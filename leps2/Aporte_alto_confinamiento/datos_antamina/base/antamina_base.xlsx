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ntes" sheetId="1" state="visible" r:id="rId1"/>
    <sheet name="materiales" sheetId="2" state="visible" r:id="rId2"/>
    <sheet name="ensayos" sheetId="3" state="visible" r:id="rId3"/>
    <sheet name="edometros" sheetId="4" state="visible" r:id="rId4"/>
    <sheet name="indices_roca" sheetId="5" state="visible" r:id="rId5"/>
    <sheet name="indices_suelo_Anddes" sheetId="6" state="visible" r:id="rId6"/>
    <sheet name="fragmentacion" sheetId="7" state="visible" r:id="rId7"/>
    <sheet name="litologia_plan" sheetId="8" state="visible" r:id="rId8"/>
    <sheet name="propiedades_modelo" sheetId="9" state="visible" r:id="rId9"/>
    <sheet name="externos_ovalle2020" sheetId="10" state="visible" r:id="rId10"/>
    <sheet name="leyenda_litologia" sheetId="11" state="visible" r:id="rId11"/>
    <sheet name="composicion_desmonte_LE2" sheetId="12" state="visible" r:id="rId12"/>
    <sheet name="UCS_directa_vs_PLT" sheetId="13" state="visible" r:id="rId13"/>
    <sheet name="diccionario" sheetId="14" state="visible" r:id="rId14"/>
    <sheet name="cobertura_litologia_s3" sheetId="15" state="visible" r:id="rId15"/>
    <sheet name="cobertura_escal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fuente_id</t>
        </is>
      </c>
      <c r="B1" s="1" t="inlineStr">
        <is>
          <t>autor</t>
        </is>
      </c>
      <c r="C1" s="1" t="inlineStr">
        <is>
          <t>anio</t>
        </is>
      </c>
      <c r="D1" s="1" t="inlineStr">
        <is>
          <t>titulo</t>
        </is>
      </c>
      <c r="E1" s="1" t="inlineStr">
        <is>
          <t>tipo</t>
        </is>
      </c>
      <c r="F1" s="1" t="inlineStr">
        <is>
          <t>archivo</t>
        </is>
      </c>
    </row>
    <row r="2">
      <c r="A2" t="inlineStr">
        <is>
          <t>G2010</t>
        </is>
      </c>
      <c r="B2" t="inlineStr">
        <is>
          <t>Golder Associates</t>
        </is>
      </c>
      <c r="C2" t="n">
        <v>2010</v>
      </c>
      <c r="D2" t="inlineStr">
        <is>
          <t>Caracterización ROM IPCC</t>
        </is>
      </c>
      <c r="E2" t="inlineStr">
        <is>
          <t>primaria</t>
        </is>
      </c>
      <c r="F2" t="inlineStr">
        <is>
          <t>Golder_2010_ROM_verificado.csv</t>
        </is>
      </c>
    </row>
    <row r="3">
      <c r="A3" t="inlineStr">
        <is>
          <t>G2012</t>
        </is>
      </c>
      <c r="B3" t="inlineStr">
        <is>
          <t>Golder Associates / IDIEM</t>
        </is>
      </c>
      <c r="C3" t="n">
        <v>2012</v>
      </c>
      <c r="D3" t="inlineStr">
        <is>
          <t>Triaxiales gran escala en mármol negro (Doc. 446; IDIEM 708.397-A)</t>
        </is>
      </c>
      <c r="E3" t="inlineStr">
        <is>
          <t>primaria</t>
        </is>
      </c>
      <c r="F3" t="inlineStr">
        <is>
          <t>Golder_2012_marmol_verificado.csv</t>
        </is>
      </c>
    </row>
    <row r="4">
      <c r="A4" t="inlineStr">
        <is>
          <t>G2021</t>
        </is>
      </c>
      <c r="B4" t="inlineStr">
        <is>
          <t>Golder Associates</t>
        </is>
      </c>
      <c r="C4" t="n">
        <v>2021</v>
      </c>
      <c r="D4" t="inlineStr">
        <is>
          <t>Ensayos de laboratorio commingling</t>
        </is>
      </c>
      <c r="E4" t="inlineStr">
        <is>
          <t>primaria</t>
        </is>
      </c>
      <c r="F4" t="inlineStr">
        <is>
          <t>Golder_2021_commingling_verificado.csv</t>
        </is>
      </c>
    </row>
    <row r="5">
      <c r="A5" t="inlineStr">
        <is>
          <t>W2022</t>
        </is>
      </c>
      <c r="B5" t="inlineStr">
        <is>
          <t>WSP / IDIEM / Golder / USC</t>
        </is>
      </c>
      <c r="C5" t="n">
        <v>2022</v>
      </c>
      <c r="D5" t="inlineStr">
        <is>
          <t>Pruebas de enrocado 3B a gran escala, hornfels (deformación)</t>
        </is>
      </c>
      <c r="E5" t="inlineStr">
        <is>
          <t>primaria</t>
        </is>
      </c>
      <c r="F5" t="inlineStr">
        <is>
          <t>WSP_2022_hornfels3B_verificado.csv</t>
        </is>
      </c>
    </row>
    <row r="6">
      <c r="A6" t="inlineStr">
        <is>
          <t>W2024</t>
        </is>
      </c>
      <c r="B6" t="inlineStr">
        <is>
          <t>WSP / IDIEM</t>
        </is>
      </c>
      <c r="C6" t="n">
        <v>2024</v>
      </c>
      <c r="D6" t="inlineStr">
        <is>
          <t>Ensayos gran escala mezcla co-disposición (Fase 1)</t>
        </is>
      </c>
      <c r="E6" t="inlineStr">
        <is>
          <t>primaria</t>
        </is>
      </c>
      <c r="F6" t="inlineStr">
        <is>
          <t>WSP_2024_codisposicion_verificado.csv</t>
        </is>
      </c>
    </row>
    <row r="7">
      <c r="A7" t="inlineStr">
        <is>
          <t>I2025</t>
        </is>
      </c>
      <c r="B7" t="inlineStr">
        <is>
          <t>IDIEM (para WSP)</t>
        </is>
      </c>
      <c r="C7" t="n">
        <v>2025</v>
      </c>
      <c r="D7" t="inlineStr">
        <is>
          <t>Triaxiales gran escala Codisposal 100 % intrusivo (Fases 2–3)</t>
        </is>
      </c>
      <c r="E7" t="inlineStr">
        <is>
          <t>primaria</t>
        </is>
      </c>
      <c r="F7" t="inlineStr">
        <is>
          <t>IDIEM_2025_verificado.csv</t>
        </is>
      </c>
    </row>
    <row r="8">
      <c r="A8" t="inlineStr">
        <is>
          <t>A2024</t>
        </is>
      </c>
      <c r="B8" t="inlineStr">
        <is>
          <t>Anddes Geolab</t>
        </is>
      </c>
      <c r="C8" t="n">
        <v>2024</v>
      </c>
      <c r="D8" t="inlineStr">
        <is>
          <t>Triaxial CU 6 in (solicitud EPE-23.10.141)</t>
        </is>
      </c>
      <c r="E8" t="inlineStr">
        <is>
          <t>primaria</t>
        </is>
      </c>
      <c r="F8" t="inlineStr">
        <is>
          <t>ensayos_triaxial_CU_verificado.csv</t>
        </is>
      </c>
    </row>
    <row r="9">
      <c r="A9" t="inlineStr">
        <is>
          <t>A2024DS</t>
        </is>
      </c>
      <c r="B9" t="inlineStr">
        <is>
          <t>Anddes Geolab</t>
        </is>
      </c>
      <c r="C9" t="n">
        <v>2024</v>
      </c>
      <c r="D9" t="inlineStr">
        <is>
          <t>Corte directo de gran escala LSDS</t>
        </is>
      </c>
      <c r="E9" t="inlineStr">
        <is>
          <t>primaria</t>
        </is>
      </c>
      <c r="F9" t="inlineStr">
        <is>
          <t>ensayos_corte_directo_verificado.csv</t>
        </is>
      </c>
    </row>
    <row r="10">
      <c r="A10" t="inlineStr">
        <is>
          <t>LE2</t>
        </is>
      </c>
      <c r="B10" t="inlineStr">
        <is>
          <t>Antamina</t>
        </is>
      </c>
      <c r="C10" t="n">
        <v>2025</v>
      </c>
      <c r="D10" t="inlineStr">
        <is>
          <t>Resultados parámetros geotécnicos LE2 (03-09-2025), núcleos por RMU</t>
        </is>
      </c>
      <c r="E10" t="inlineStr">
        <is>
          <t>primaria (roca)</t>
        </is>
      </c>
      <c r="F10" t="inlineStr">
        <is>
          <t>indices_roca_LE2.csv</t>
        </is>
      </c>
    </row>
    <row r="11">
      <c r="A11" t="inlineStr">
        <is>
          <t>FRAG</t>
        </is>
      </c>
      <c r="B11" t="inlineStr">
        <is>
          <t>Antamina</t>
        </is>
      </c>
      <c r="C11" t="n">
        <v>2025</v>
      </c>
      <c r="D11" t="inlineStr">
        <is>
          <t>Fragmentación desmonte 2025 (análisis por fotos)</t>
        </is>
      </c>
      <c r="E11" t="inlineStr">
        <is>
          <t>primaria (campo)</t>
        </is>
      </c>
      <c r="F11" t="inlineStr">
        <is>
          <t>fragmentacion.csv</t>
        </is>
      </c>
    </row>
    <row r="12">
      <c r="A12" t="inlineStr">
        <is>
          <t>MR24</t>
        </is>
      </c>
      <c r="B12" t="inlineStr">
        <is>
          <t>Antamina</t>
        </is>
      </c>
      <c r="C12" t="n">
        <v>2024</v>
      </c>
      <c r="D12" t="inlineStr">
        <is>
          <t>Modelo de bloques MR2024 y sondajes LE2 (proporción y propiedades por litología)</t>
        </is>
      </c>
      <c r="E12" t="inlineStr">
        <is>
          <t>primaria (modelo)</t>
        </is>
      </c>
      <c r="F12" t="inlineStr">
        <is>
          <t>litologias_proporcion.csv</t>
        </is>
      </c>
    </row>
    <row r="13">
      <c r="A13" t="inlineStr">
        <is>
          <t>S2023</t>
        </is>
      </c>
      <c r="B13" t="inlineStr">
        <is>
          <t>Stantec</t>
        </is>
      </c>
      <c r="C13" t="n">
        <v>2023</v>
      </c>
      <c r="D13" t="inlineStr">
        <is>
          <t>Láminas A.5.4 y A.5.5: interpretación antigua</t>
        </is>
      </c>
      <c r="E13" t="inlineStr">
        <is>
          <t>histórica (no se usa)</t>
        </is>
      </c>
      <c r="F13" t="inlineStr">
        <is>
          <t>—</t>
        </is>
      </c>
    </row>
    <row r="14">
      <c r="A14" t="inlineStr">
        <is>
          <t>OV2020</t>
        </is>
      </c>
      <c r="B14" t="inlineStr">
        <is>
          <t>Ovalle et al.</t>
        </is>
      </c>
      <c r="C14" t="n">
        <v>2020</v>
      </c>
      <c r="D14" t="inlineStr">
        <is>
          <t>Compilación de triaxiales grandes (Zenodo 3625778), no Antamina</t>
        </is>
      </c>
      <c r="E14" t="inlineStr">
        <is>
          <t>externa</t>
        </is>
      </c>
      <c r="F14" t="inlineStr">
        <is>
          <t>Ovalle_2020.csv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id_material</t>
        </is>
      </c>
      <c r="B1" s="1" t="inlineStr">
        <is>
          <t>fuente_id</t>
        </is>
      </c>
      <c r="C1" s="1" t="inlineStr">
        <is>
          <t>set_id</t>
        </is>
      </c>
      <c r="D1" s="1" t="inlineStr">
        <is>
          <t>litologia</t>
        </is>
      </c>
      <c r="E1" s="1" t="inlineStr">
        <is>
          <t>litologia_detalle</t>
        </is>
      </c>
      <c r="F1" s="1" t="inlineStr">
        <is>
          <t>litologia_proporcion</t>
        </is>
      </c>
      <c r="G1" s="1" t="inlineStr">
        <is>
          <t>clase_desmonte_std</t>
        </is>
      </c>
      <c r="H1" s="1" t="inlineStr">
        <is>
          <t>clase_confianza</t>
        </is>
      </c>
      <c r="I1" s="1" t="inlineStr">
        <is>
          <t>relave_pct_masa_total</t>
        </is>
      </c>
      <c r="J1" s="1" t="inlineStr">
        <is>
          <t>escala</t>
        </is>
      </c>
      <c r="K1" s="1" t="inlineStr">
        <is>
          <t>n_probetas</t>
        </is>
      </c>
      <c r="L1" s="1" t="inlineStr">
        <is>
          <t>tipos_ensayo</t>
        </is>
      </c>
      <c r="M1" s="1" t="inlineStr">
        <is>
          <t>sigma3_min_kPa</t>
        </is>
      </c>
      <c r="N1" s="1" t="inlineStr">
        <is>
          <t>sigma3_max_kPa</t>
        </is>
      </c>
      <c r="O1" s="1" t="inlineStr">
        <is>
          <t>Dmax_mm</t>
        </is>
      </c>
      <c r="P1" s="1" t="inlineStr">
        <is>
          <t>D50_mm</t>
        </is>
      </c>
      <c r="Q1" s="1" t="inlineStr">
        <is>
          <t>Cu</t>
        </is>
      </c>
      <c r="R1" s="1" t="inlineStr">
        <is>
          <t>finos_pct</t>
        </is>
      </c>
      <c r="S1" s="1" t="inlineStr">
        <is>
          <t>Gs</t>
        </is>
      </c>
      <c r="T1" s="1" t="inlineStr">
        <is>
          <t>e0_adoptado</t>
        </is>
      </c>
      <c r="U1" s="1" t="inlineStr">
        <is>
          <t>UCS_MPa</t>
        </is>
      </c>
      <c r="V1" s="1" t="inlineStr">
        <is>
          <t>fuente</t>
        </is>
      </c>
      <c r="W1" s="1" t="inlineStr">
        <is>
          <t>origen_muestra</t>
        </is>
      </c>
      <c r="X1" s="1" t="inlineStr">
        <is>
          <t>clase_desmonte</t>
        </is>
      </c>
      <c r="Y1" s="1" t="inlineStr">
        <is>
          <t>Dmax_campo_mm</t>
        </is>
      </c>
      <c r="Z1" s="1" t="inlineStr">
        <is>
          <t>granulometria_campo</t>
        </is>
      </c>
      <c r="AA1" s="1" t="inlineStr">
        <is>
          <t>densidad_campo</t>
        </is>
      </c>
      <c r="AB1" s="1" t="inlineStr">
        <is>
          <t>escalamiento_metodo</t>
        </is>
      </c>
      <c r="AC1" s="1" t="inlineStr">
        <is>
          <t>Dmax_lab_mm</t>
        </is>
      </c>
      <c r="AD1" s="1" t="inlineStr">
        <is>
          <t>D_probeta_mm</t>
        </is>
      </c>
      <c r="AE1" s="1" t="inlineStr">
        <is>
          <t>H_probeta_mm</t>
        </is>
      </c>
      <c r="AF1" s="1" t="inlineStr">
        <is>
          <t>D_sobre_Dmax</t>
        </is>
      </c>
      <c r="AG1" s="1" t="inlineStr">
        <is>
          <t>granulometria_lab</t>
        </is>
      </c>
      <c r="AH1" s="1" t="inlineStr">
        <is>
          <t>preparacion</t>
        </is>
      </c>
      <c r="AI1" s="1" t="inlineStr">
        <is>
          <t>gamma_d_montaje_kNm3</t>
        </is>
      </c>
      <c r="AJ1" s="1" t="inlineStr">
        <is>
          <t>w_montaje_pct</t>
        </is>
      </c>
      <c r="AK1" s="1" t="inlineStr">
        <is>
          <t>Gs_valor</t>
        </is>
      </c>
      <c r="AL1" s="1" t="inlineStr">
        <is>
          <t>Gs_origen</t>
        </is>
      </c>
      <c r="AM1" s="1" t="inlineStr">
        <is>
          <t>e0_recalculado</t>
        </is>
      </c>
      <c r="AN1" s="1" t="inlineStr">
        <is>
          <t>saturacion</t>
        </is>
      </c>
      <c r="AO1" s="1" t="inlineStr">
        <is>
          <t>contrapresion_kPa</t>
        </is>
      </c>
      <c r="AP1" s="1" t="inlineStr">
        <is>
          <t>consolidacion</t>
        </is>
      </c>
      <c r="AQ1" s="1" t="inlineStr">
        <is>
          <t>gamma_d_post_consolidacion_kNm3</t>
        </is>
      </c>
      <c r="AR1" s="1" t="inlineStr">
        <is>
          <t>drenaje_corte</t>
        </is>
      </c>
      <c r="AS1" s="1" t="inlineStr">
        <is>
          <t>velocidad_pct_min</t>
        </is>
      </c>
      <c r="AT1" s="1" t="inlineStr">
        <is>
          <t>deformacion_final_pct</t>
        </is>
      </c>
      <c r="AU1" s="1" t="inlineStr">
        <is>
          <t>criterio_falla_informe</t>
        </is>
      </c>
      <c r="AV1" s="1" t="inlineStr">
        <is>
          <t>hay_pico</t>
        </is>
      </c>
      <c r="AW1" s="1" t="inlineStr">
        <is>
          <t>hay_curva_tabulada</t>
        </is>
      </c>
      <c r="AX1" s="1" t="inlineStr">
        <is>
          <t>envolvente_informe</t>
        </is>
      </c>
      <c r="AY1" s="1" t="inlineStr">
        <is>
          <t>Bg_metodo</t>
        </is>
      </c>
      <c r="AZ1" s="1" t="inlineStr">
        <is>
          <t>UCS</t>
        </is>
      </c>
      <c r="BA1" s="1" t="inlineStr">
        <is>
          <t>Is50</t>
        </is>
      </c>
      <c r="BB1" s="1" t="inlineStr">
        <is>
          <t>LA_pct</t>
        </is>
      </c>
      <c r="BC1" s="1" t="inlineStr">
        <is>
          <t>durabilidad</t>
        </is>
      </c>
      <c r="BD1" s="1" t="inlineStr">
        <is>
          <t>absorcion_pct</t>
        </is>
      </c>
      <c r="BE1" s="1" t="inlineStr">
        <is>
          <t>paginas</t>
        </is>
      </c>
      <c r="BF1" s="1" t="inlineStr">
        <is>
          <t>notas_verificacion</t>
        </is>
      </c>
      <c r="BG1" s="1" t="inlineStr">
        <is>
          <t>tipo_ensayo</t>
        </is>
      </c>
      <c r="BH1" s="1" t="inlineStr">
        <is>
          <t>n_probetas_cond</t>
        </is>
      </c>
      <c r="BI1" s="1" t="inlineStr">
        <is>
          <t>e0_csv_extraido</t>
        </is>
      </c>
      <c r="BJ1" s="1" t="inlineStr">
        <is>
          <t>e0_alternativas</t>
        </is>
      </c>
      <c r="BK1" s="1" t="inlineStr">
        <is>
          <t>verificado_imagen</t>
        </is>
      </c>
      <c r="BL1" s="1" t="inlineStr">
        <is>
          <t>notas</t>
        </is>
      </c>
      <c r="BM1" s="1" t="inlineStr">
        <is>
          <t>material_mezcla</t>
        </is>
      </c>
      <c r="BN1" s="1" t="inlineStr">
        <is>
          <t>UCS_Is50_LA_durabilidad_absorcion</t>
        </is>
      </c>
      <c r="BO1" s="1" t="inlineStr">
        <is>
          <t>fuente_set</t>
        </is>
      </c>
      <c r="BP1" s="1" t="inlineStr">
        <is>
          <t>submuestras_verificadas</t>
        </is>
      </c>
      <c r="BQ1" s="1" t="inlineStr">
        <is>
          <t>clase_desmonte_base</t>
        </is>
      </c>
      <c r="BR1" s="1" t="inlineStr">
        <is>
          <t>litologia_informe</t>
        </is>
      </c>
      <c r="BS1" s="1" t="inlineStr">
        <is>
          <t>litologia_metodo</t>
        </is>
      </c>
      <c r="BT1" s="1" t="inlineStr">
        <is>
          <t>fechas_ensayo</t>
        </is>
      </c>
      <c r="BU1" s="1" t="inlineStr">
        <is>
          <t>informe</t>
        </is>
      </c>
      <c r="BV1" s="1" t="inlineStr">
        <is>
          <t>rho_d_montaje_gcm3</t>
        </is>
      </c>
      <c r="BW1" s="1" t="inlineStr">
        <is>
          <t>w_montaje_vs_proctor</t>
        </is>
      </c>
      <c r="BX1" s="1" t="inlineStr">
        <is>
          <t>pagina</t>
        </is>
      </c>
    </row>
    <row r="2">
      <c r="A2" t="inlineStr">
        <is>
          <t>A2024DS|Pila 01 (MP1-B-M-1, MP1-B-M2, MP1-B-M3, MP1-H-Material B)</t>
        </is>
      </c>
      <c r="B2" t="inlineStr">
        <is>
          <t>A2024DS</t>
        </is>
      </c>
      <c r="C2" t="inlineStr">
        <is>
          <t>Pila 01 (MP1-B-M-1, MP1-B-M2, MP1-B-M3, MP1-H-Material B)</t>
        </is>
      </c>
      <c r="D2" t="inlineStr">
        <is>
          <t>Mezcla</t>
        </is>
      </c>
      <c r="E2" t="inlineStr"/>
      <c r="F2" t="inlineStr">
        <is>
          <t>Mármol + Hornfels, proporción no indicada</t>
        </is>
      </c>
      <c r="G2" t="inlineStr">
        <is>
          <t>ROM</t>
        </is>
      </c>
      <c r="H2" t="inlineStr">
        <is>
          <t>criterio experto: rumas perforadas en el Botadero Este (desmonte depositado por camión) y pilas experimentales</t>
        </is>
      </c>
      <c r="I2" t="n">
        <v>0</v>
      </c>
      <c r="J2" t="inlineStr">
        <is>
          <t>media (240–305 mm)</t>
        </is>
      </c>
      <c r="K2" t="n">
        <v>3</v>
      </c>
      <c r="L2" t="inlineStr">
        <is>
          <t>Corte directo CD</t>
        </is>
      </c>
      <c r="M2" t="inlineStr"/>
      <c r="N2" t="inlineStr"/>
      <c r="O2" t="n">
        <v>25.4</v>
      </c>
      <c r="P2" t="inlineStr"/>
      <c r="Q2" t="inlineStr"/>
      <c r="R2" t="inlineStr"/>
      <c r="S2" t="n">
        <v>2.9</v>
      </c>
      <c r="T2" t="n">
        <v>0.385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A2024DS|Pila 02 (MP2-A-M-1 a MP2-A-M-5, MP2-H-Material A)</t>
        </is>
      </c>
      <c r="B3" t="inlineStr">
        <is>
          <t>A2024DS</t>
        </is>
      </c>
      <c r="C3" t="inlineStr">
        <is>
          <t>Pila 02 (MP2-A-M-1 a MP2-A-M-5, MP2-H-Material A)</t>
        </is>
      </c>
      <c r="D3" t="inlineStr">
        <is>
          <t>Intrusivo</t>
        </is>
      </c>
      <c r="E3" t="inlineStr"/>
      <c r="F3" t="inlineStr"/>
      <c r="G3" t="inlineStr">
        <is>
          <t>ROM</t>
        </is>
      </c>
      <c r="H3" t="inlineStr">
        <is>
          <t>criterio experto: rumas perforadas en el Botadero Este (desmonte depositado por camión) y pilas experimentales</t>
        </is>
      </c>
      <c r="I3" t="n">
        <v>0</v>
      </c>
      <c r="J3" t="inlineStr">
        <is>
          <t>media (240–305 mm)</t>
        </is>
      </c>
      <c r="K3" t="n">
        <v>3</v>
      </c>
      <c r="L3" t="inlineStr">
        <is>
          <t>Corte directo CD</t>
        </is>
      </c>
      <c r="M3" t="inlineStr"/>
      <c r="N3" t="inlineStr"/>
      <c r="O3" t="n">
        <v>25.4</v>
      </c>
      <c r="P3" t="inlineStr"/>
      <c r="Q3" t="inlineStr"/>
      <c r="R3" t="inlineStr"/>
      <c r="S3" t="n">
        <v>2.74</v>
      </c>
      <c r="T3" t="n">
        <v>0.4785284671532848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A2024DS|Ruma 01 (M-1 al M-13)</t>
        </is>
      </c>
      <c r="B4" t="inlineStr">
        <is>
          <t>A2024DS</t>
        </is>
      </c>
      <c r="C4" t="inlineStr">
        <is>
          <t>Ruma 01 (M-1 al M-13)</t>
        </is>
      </c>
      <c r="D4" t="inlineStr">
        <is>
          <t>Mármol</t>
        </is>
      </c>
      <c r="E4" t="inlineStr"/>
      <c r="F4" t="inlineStr"/>
      <c r="G4" t="inlineStr">
        <is>
          <t>ROM</t>
        </is>
      </c>
      <c r="H4" t="inlineStr">
        <is>
          <t>criterio experto: rumas perforadas en el Botadero Este (desmonte depositado por camión) y pilas experimentales</t>
        </is>
      </c>
      <c r="I4" t="n">
        <v>0</v>
      </c>
      <c r="J4" t="inlineStr">
        <is>
          <t>media (240–305 mm)</t>
        </is>
      </c>
      <c r="K4" t="n">
        <v>3</v>
      </c>
      <c r="L4" t="inlineStr">
        <is>
          <t>Corte directo CD</t>
        </is>
      </c>
      <c r="M4" t="inlineStr"/>
      <c r="N4" t="inlineStr"/>
      <c r="O4" t="n">
        <v>25.4</v>
      </c>
      <c r="P4" t="inlineStr"/>
      <c r="Q4" t="inlineStr"/>
      <c r="R4" t="inlineStr"/>
      <c r="S4" t="n">
        <v>3.06</v>
      </c>
      <c r="T4" t="n">
        <v>0.2622581699346407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A2024DS|Ruma 02 (H-1 al H-12)</t>
        </is>
      </c>
      <c r="B5" t="inlineStr">
        <is>
          <t>A2024DS</t>
        </is>
      </c>
      <c r="C5" t="inlineStr">
        <is>
          <t>Ruma 02 (H-1 al H-12)</t>
        </is>
      </c>
      <c r="D5" t="inlineStr">
        <is>
          <t>Hornfels</t>
        </is>
      </c>
      <c r="E5" t="inlineStr"/>
      <c r="F5" t="inlineStr"/>
      <c r="G5" t="inlineStr">
        <is>
          <t>ROM</t>
        </is>
      </c>
      <c r="H5" t="inlineStr">
        <is>
          <t>criterio experto: rumas perforadas en el Botadero Este (desmonte depositado por camión) y pilas experimentales</t>
        </is>
      </c>
      <c r="I5" t="n">
        <v>0</v>
      </c>
      <c r="J5" t="inlineStr">
        <is>
          <t>media (240–305 mm)</t>
        </is>
      </c>
      <c r="K5" t="n">
        <v>3</v>
      </c>
      <c r="L5" t="inlineStr">
        <is>
          <t>Corte directo CD</t>
        </is>
      </c>
      <c r="M5" t="inlineStr"/>
      <c r="N5" t="inlineStr"/>
      <c r="O5" t="n">
        <v>25.4</v>
      </c>
      <c r="P5" t="inlineStr"/>
      <c r="Q5" t="inlineStr"/>
      <c r="R5" t="inlineStr"/>
      <c r="S5" t="n">
        <v>2.94</v>
      </c>
      <c r="T5" t="n">
        <v>0.3319047619047619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A2024DS|Ruma 03 / Fase 10 A (I-1 al I-12)</t>
        </is>
      </c>
      <c r="B6" t="inlineStr">
        <is>
          <t>A2024DS</t>
        </is>
      </c>
      <c r="C6" t="inlineStr">
        <is>
          <t>Ruma 03 / Fase 10 A (I-1 al I-12)</t>
        </is>
      </c>
      <c r="D6" t="inlineStr">
        <is>
          <t>Intrusivo</t>
        </is>
      </c>
      <c r="E6" t="inlineStr"/>
      <c r="F6" t="inlineStr"/>
      <c r="G6" t="inlineStr">
        <is>
          <t>ROM</t>
        </is>
      </c>
      <c r="H6" t="inlineStr">
        <is>
          <t>criterio experto: rumas perforadas en el Botadero Este (desmonte depositado por camión) y pilas experimentales</t>
        </is>
      </c>
      <c r="I6" t="n">
        <v>0</v>
      </c>
      <c r="J6" t="inlineStr">
        <is>
          <t>media (240–305 mm)</t>
        </is>
      </c>
      <c r="K6" t="n">
        <v>3</v>
      </c>
      <c r="L6" t="inlineStr">
        <is>
          <t>Corte directo CD</t>
        </is>
      </c>
      <c r="M6" t="inlineStr"/>
      <c r="N6" t="inlineStr"/>
      <c r="O6" t="n">
        <v>25.4</v>
      </c>
      <c r="P6" t="inlineStr"/>
      <c r="Q6" t="inlineStr"/>
      <c r="R6" t="inlineStr"/>
      <c r="S6" t="n">
        <v>2.75</v>
      </c>
      <c r="T6" t="n">
        <v>0.4101294545454546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A2024|Pila 01 (MP1-B-M-1, MP1-B-M2, MP1-B-M3, MP1-H-Material B)</t>
        </is>
      </c>
      <c r="B7" t="inlineStr">
        <is>
          <t>A2024</t>
        </is>
      </c>
      <c r="C7" t="inlineStr">
        <is>
          <t>Pila 01 (MP1-B-M-1, MP1-B-M2, MP1-B-M3, MP1-H-Material B)</t>
        </is>
      </c>
      <c r="D7" t="inlineStr">
        <is>
          <t>Mezcla</t>
        </is>
      </c>
      <c r="E7" t="inlineStr"/>
      <c r="F7" t="inlineStr">
        <is>
          <t>Mármol + Hornfels, proporción no indicada</t>
        </is>
      </c>
      <c r="G7" t="inlineStr">
        <is>
          <t>ROM</t>
        </is>
      </c>
      <c r="H7" t="inlineStr">
        <is>
          <t>criterio experto: rumas perforadas en el Botadero Este (desmonte depositado por camión) y pilas experimentales</t>
        </is>
      </c>
      <c r="I7" t="n">
        <v>0</v>
      </c>
      <c r="J7" t="inlineStr">
        <is>
          <t>6 in (≈150 mm)</t>
        </is>
      </c>
      <c r="K7" t="n">
        <v>3</v>
      </c>
      <c r="L7" t="inlineStr">
        <is>
          <t>Triaxial CU</t>
        </is>
      </c>
      <c r="M7" t="n">
        <v>500</v>
      </c>
      <c r="N7" t="n">
        <v>2000</v>
      </c>
      <c r="O7" t="inlineStr">
        <is>
          <t>no informado</t>
        </is>
      </c>
      <c r="P7" t="inlineStr"/>
      <c r="Q7" t="inlineStr"/>
      <c r="R7" t="inlineStr"/>
      <c r="S7" t="n">
        <v>2.9</v>
      </c>
      <c r="T7" t="n">
        <v>0.385</v>
      </c>
      <c r="U7" t="inlineStr"/>
      <c r="V7" t="inlineStr">
        <is>
          <t>Anddes Geolab 2024 (solicitud EPE-23.10.141)</t>
        </is>
      </c>
      <c r="W7" t="inlineStr">
        <is>
          <t>Zona «Pilas Experimentales Medio Ambiente»; profundidad «--»; código Pila 01; N° de muestra MP1-B-M-1, MP1-B-M2, MP1-B-M3, MP1-H-Material B; recepción 2024-09-03; fecha y punto de muestreo no informados</t>
        </is>
      </c>
      <c r="X7" t="inlineStr">
        <is>
          <t>no indicada</t>
        </is>
      </c>
      <c r="Y7" t="inlineStr">
        <is>
          <t>no informado (la muestra recibida pasa 100 % por 3 in = 75 mm)</t>
        </is>
      </c>
      <c r="Z7" t="inlineStr">
        <is>
          <t>no informada; solo la de la muestra recibida: Muestra recibida: 100 % pasa 3 in; 0 % bolonería; 59/30/11 %; D30 1,50, D50 8,0, D60 12,6 mm; D10 &lt; 0,075 mm (no 1,54); NP; GP-GM informado, no verificable (podría ser GW-GM)</t>
        </is>
      </c>
      <c r="AA7" t="inlineStr">
        <is>
          <t>no informado</t>
        </is>
      </c>
      <c r="AB7" t="inlineStr">
        <is>
          <t>no informado (el TX no declara tamizado, truncamiento ni escalamiento)</t>
        </is>
      </c>
      <c r="AC7" t="inlineStr">
        <is>
          <t>no informado</t>
        </is>
      </c>
      <c r="AD7" t="inlineStr">
        <is>
          <t>152.0</t>
        </is>
      </c>
      <c r="AE7" t="n">
        <v>310</v>
      </c>
      <c r="AF7" t="inlineStr">
        <is>
          <t>no calculable (Dmax de probeta no informado); si fuera la fracción &lt; 19 mm del Proctor, D/Dmax = 8 (supuesto, no documentado)</t>
        </is>
      </c>
      <c r="AG7" t="inlineStr">
        <is>
          <t>no informada para la probeta</t>
        </is>
      </c>
      <c r="AH7" t="inlineStr">
        <is>
          <t>«Reconstituido al 90% de la máxima densidad seca (MDS) de 2.327 g/cm³ y óptimo contenido de agua de 7.4 %» (p.1-7). Método (pisón, vibración), número de capas y fracción usada: no informados. Formato marca «Grado de compactación: Medio». Densa respecto de la colocación: no se puede juzgar</t>
        </is>
      </c>
      <c r="AI7" t="n">
        <v>20.54</v>
      </c>
      <c r="AJ7" t="n">
        <v>7.4</v>
      </c>
      <c r="AK7" t="n">
        <v>2.9</v>
      </c>
      <c r="AL7" t="inlineStr">
        <is>
          <t>leído del rótulo «Curva 100% saturación (Gs=2.9)» del gráfico Proctor (fracción &lt; 19 mm); no hay ensayo de Gs. La geometría de la línea da Gs ≈ 2.89</t>
        </is>
      </c>
      <c r="AM7" t="n">
        <v>0.385</v>
      </c>
      <c r="AN7" t="inlineStr">
        <is>
          <t>método no informado; B = 0.95/0.97/0.96 (500/1000/2000 kPa)</t>
        </is>
      </c>
      <c r="AO7" t="inlineStr">
        <is>
          <t>187</t>
        </is>
      </c>
      <c r="AP7" t="inlineStr">
        <is>
          <t>isotrópica; σ′3c = 500, 1000 y 2000 kPa (celda 687/1187/2187 − 187); duración no informada; ΔV de consolidación recalculado 6.1/8.6/10.7 %</t>
        </is>
      </c>
      <c r="AQ7" t="inlineStr">
        <is>
          <t>500 kPa: 2.229 g/cm³ = 21.87 kN/m³; 1000 kPa: 2.289 g/cm³ = 22.46 kN/m³; 2000 kPa: 2.345 g/cm³ = 23.00 kN/m³</t>
        </is>
      </c>
      <c r="AR7" t="inlineStr">
        <is>
          <t>no drenado con medición de u</t>
        </is>
      </c>
      <c r="AS7" t="inlineStr">
        <is>
          <t>0,025 cm/min sobre H = 31,0 cm = 0,081 %/min</t>
        </is>
      </c>
      <c r="AT7" t="inlineStr">
        <is>
          <t>15.0</t>
        </is>
      </c>
      <c r="AU7" t="inlineStr">
        <is>
          <t>15 % de deformación axial para la envolvente efectiva y Su (p.1); envolvente total a 2 % (M, H, I) o 15 % (P1, P2) en p.7, pedida por el cliente</t>
        </is>
      </c>
      <c r="AV7" t="inlineStr">
        <is>
          <t>500 kPa: máx. q 666.5 a 2.0 %; 1000 kPa: máx. q 1365.5 a 2.5 %; 2000 kPa: máx. q 3067.8 a 14.0 %</t>
        </is>
      </c>
      <c r="AW7" t="inlineStr">
        <is>
          <t>sí: 28 puntos de 0 a 15 % por probeta (q, u, p, q, p′, q′, q′/p′, σ′1/σ′3), p.3-5</t>
        </is>
      </c>
      <c r="AX7" t="inlineStr"/>
      <c r="AY7" t="inlineStr">
        <is>
          <t>no informado (no hay granulometría después del ensayo)</t>
        </is>
      </c>
      <c r="AZ7" t="inlineStr">
        <is>
          <t>no informado en estos informes</t>
        </is>
      </c>
      <c r="BA7" t="inlineStr">
        <is>
          <t>no informado en estos informes</t>
        </is>
      </c>
      <c r="BB7" t="inlineStr">
        <is>
          <t>no informado</t>
        </is>
      </c>
      <c r="BC7" t="inlineStr">
        <is>
          <t>no informado</t>
        </is>
      </c>
      <c r="BD7" t="inlineStr">
        <is>
          <t>no informado (el Proctor da «w» de la fracción sobre tamaño, que no es absorción)</t>
        </is>
      </c>
      <c r="BE7" t="inlineStr"/>
      <c r="BF7" t="inlineStr"/>
      <c r="BG7" t="inlineStr">
        <is>
          <t>Triaxial CU (CIU) 6 in, ASTM D4767-11 (2020)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Pila 01 Mármol + Hornfels</t>
        </is>
      </c>
      <c r="BP7" t="inlineStr">
        <is>
          <t>MP1-B-M-1, MP1-B-M2, MP1-B-M3, MP1-H-Material B (4)</t>
        </is>
      </c>
      <c r="BQ7" t="inlineStr">
        <is>
          <t>El texto no dice ROM, Chancado ni Enrocado. El N° de muestra contiene «Material B»: podría ser la clase de material de Antamina (A/B/C), que no es ROM/Chancado/Enrocado; inferencia no confirmada</t>
        </is>
      </c>
      <c r="BR7" t="inlineStr">
        <is>
          <t>Mármol + Hornfels</t>
        </is>
      </c>
      <c r="BS7" t="inlineStr">
        <is>
          <t>descripción del solicitante («Las muestras han sido proporcionadas e identificadas por el solicitante»); sin petrografía ni conteo</t>
        </is>
      </c>
      <c r="BT7" t="inlineStr">
        <is>
          <t>2024-10-02 / 2024-10-10</t>
        </is>
      </c>
      <c r="BU7" t="inlineStr">
        <is>
          <t>EPE-23.10.141_1,2,3,4_110_R0_TXCU</t>
        </is>
      </c>
      <c r="BV7" t="n">
        <v>2.094</v>
      </c>
      <c r="BW7" t="inlineStr">
        <is>
          <t>igual al óptimo Proctor</t>
        </is>
      </c>
      <c r="BX7" t="inlineStr">
        <is>
          <t>TX p.1, p.3-5, p.7</t>
        </is>
      </c>
    </row>
    <row r="8">
      <c r="A8" t="inlineStr">
        <is>
          <t>A2024|Pila 01 (MP1-B-M-1, MP1-B-M2, MP1-B-M3, MP1-H-Material B)</t>
        </is>
      </c>
      <c r="B8" t="inlineStr">
        <is>
          <t>A2024</t>
        </is>
      </c>
      <c r="C8" t="inlineStr">
        <is>
          <t>Pila 01 (MP1-B-M-1, MP1-B-M2, MP1-B-M3, MP1-H-Material B)</t>
        </is>
      </c>
      <c r="D8" t="inlineStr">
        <is>
          <t>Mezcla</t>
        </is>
      </c>
      <c r="E8" t="inlineStr"/>
      <c r="F8" t="inlineStr">
        <is>
          <t>Mármol + Hornfels, proporción no indicada</t>
        </is>
      </c>
      <c r="G8" t="inlineStr">
        <is>
          <t>ROM</t>
        </is>
      </c>
      <c r="H8" t="inlineStr">
        <is>
          <t>criterio experto: rumas perforadas en el Botadero Este (desmonte depositado por camión) y pilas experimentales</t>
        </is>
      </c>
      <c r="I8" t="n">
        <v>0</v>
      </c>
      <c r="J8" t="inlineStr">
        <is>
          <t>6 in (≈150 mm)</t>
        </is>
      </c>
      <c r="K8" t="n">
        <v>3</v>
      </c>
      <c r="L8" t="inlineStr">
        <is>
          <t>Triaxial CU</t>
        </is>
      </c>
      <c r="M8" t="n">
        <v>500</v>
      </c>
      <c r="N8" t="n">
        <v>2000</v>
      </c>
      <c r="O8" t="inlineStr">
        <is>
          <t>no informado</t>
        </is>
      </c>
      <c r="P8" t="inlineStr"/>
      <c r="Q8" t="inlineStr"/>
      <c r="R8" t="inlineStr"/>
      <c r="S8" t="n">
        <v>2.9</v>
      </c>
      <c r="T8" t="n">
        <v>0.385</v>
      </c>
      <c r="U8" t="inlineStr"/>
      <c r="V8" t="inlineStr">
        <is>
          <t>Anddes Geolab 2024 (solicitud EPE-23.10.141)</t>
        </is>
      </c>
      <c r="W8" t="inlineStr">
        <is>
          <t>Zona «Pilas Experimentales Medio Ambiente»; profundidad «--»; código Pila 01; N° de muestra MP1-B-M-1, MP1-B-M2, MP1-B-M3, MP1-H-Material B; recepción 2024-09-03; fecha y punto de muestreo no informados</t>
        </is>
      </c>
      <c r="X8" t="inlineStr">
        <is>
          <t>no indicada</t>
        </is>
      </c>
      <c r="Y8" t="inlineStr">
        <is>
          <t>no informado (la muestra recibida pasa 100 % por 3 in = 75 mm)</t>
        </is>
      </c>
      <c r="Z8" t="inlineStr">
        <is>
          <t>no informada; solo la de la muestra recibida: Muestra recibida: 100 % pasa 3 in; 0 % bolonería; 59/30/11 %; D30 1,50, D50 8,0, D60 12,6 mm; D10 &lt; 0,075 mm (no 1,54); NP; GP-GM informado, no verificable (podría ser GW-GM)</t>
        </is>
      </c>
      <c r="AA8" t="inlineStr">
        <is>
          <t>no informado</t>
        </is>
      </c>
      <c r="AB8" t="inlineStr">
        <is>
          <t>no informado; «TM: 1 in» en el esquema de la caja (p.2). Ni el truncamiento ni la granulometría de la probeta se informan</t>
        </is>
      </c>
      <c r="AC8" t="inlineStr">
        <is>
          <t>25.4</t>
        </is>
      </c>
      <c r="AD8" t="inlineStr">
        <is>
          <t>caja cuadrada 305 × 305</t>
        </is>
      </c>
      <c r="AE8" t="n">
        <v>178</v>
      </c>
      <c r="AF8" t="inlineStr">
        <is>
          <t>lado/TM = 305/25,4 = 12,0; altura/TM = 7,0</t>
        </is>
      </c>
      <c r="AG8" t="inlineStr">
        <is>
          <t>no informada</t>
        </is>
      </c>
      <c r="AH8" t="inlineStr">
        <is>
          <t>ρd inicial 2.094 g/cm³ (= 90 % de la MDS 2.327, que corresponde a la fracción &lt; 19 mm) y w 7.40 % (p.2). Método de compactación y capas: no informados</t>
        </is>
      </c>
      <c r="AI8" t="n">
        <v>20.54</v>
      </c>
      <c r="AJ8" t="n">
        <v>7.4</v>
      </c>
      <c r="AK8" t="n">
        <v>2.9</v>
      </c>
      <c r="AL8" t="inlineStr">
        <is>
          <t>leído del rótulo «Curva 100% saturación (Gs=2.9)» del gráfico Proctor (fracción &lt; 19 mm); no hay ensayo de Gs. La geometría de la línea da Gs ≈ 2.89</t>
        </is>
      </c>
      <c r="AM8" t="n">
        <v>0.385</v>
      </c>
      <c r="AN8" t="inlineStr">
        <is>
          <t>«Los especímenes fueron saturados durante el ensayo, salvo excepciones» (p.2); sin verificación. Sr final recalculado: ver ensayos_corte_directo_verificado.csv</t>
        </is>
      </c>
      <c r="AO8" t="inlineStr">
        <is>
          <t>no aplica</t>
        </is>
      </c>
      <c r="AP8" t="inlineStr">
        <is>
          <t>16,0 h al esfuerzo normal σn = 300/600/1000 kPa</t>
        </is>
      </c>
      <c r="AQ8" t="inlineStr">
        <is>
          <t>no informado (solo ρd final después del corte, p.2)</t>
        </is>
      </c>
      <c r="AR8" t="inlineStr">
        <is>
          <t>drenado (CD)</t>
        </is>
      </c>
      <c r="AS8" t="inlineStr">
        <is>
          <t>0,5 mm/min (desplazamiento horizontal); separación de cajas 1,0 mm; fin a unos 65 mm</t>
        </is>
      </c>
      <c r="AT8" t="inlineStr">
        <is>
          <t>unos 65 mm de desplazamiento horizontal</t>
        </is>
      </c>
      <c r="AU8" t="inlineStr">
        <is>
          <t>τ pico y τ a 6,6 cm de desplazamiento; envolvente lineal por mínimos cuadrados</t>
        </is>
      </c>
      <c r="AV8" t="inlineStr">
        <is>
          <t>pico poco marcado: τ pico y τ a 6,6 cm difieren menos de 5 % salvo I a 1200 kPa (945,1 → 885,6 kPa; caída visible después de unos 4,3 cm en el gráfico p.2) y P1/P2 a 300 kPa (356,3 → 340,0; 353,9 → 349,1)</t>
        </is>
      </c>
      <c r="AW8" t="inlineStr">
        <is>
          <t>no (solo gráficos τ-δh y δv-δh)</t>
        </is>
      </c>
      <c r="AX8" t="inlineStr"/>
      <c r="AY8" t="inlineStr">
        <is>
          <t>no informado (no hay granulometría después del ensayo)</t>
        </is>
      </c>
      <c r="AZ8" t="inlineStr">
        <is>
          <t>no informado en estos informes</t>
        </is>
      </c>
      <c r="BA8" t="inlineStr">
        <is>
          <t>no informado en estos informes</t>
        </is>
      </c>
      <c r="BB8" t="inlineStr">
        <is>
          <t>no informado</t>
        </is>
      </c>
      <c r="BC8" t="inlineStr">
        <is>
          <t>no informado</t>
        </is>
      </c>
      <c r="BD8" t="inlineStr">
        <is>
          <t>no informado (el Proctor da «w» de la fracción sobre tamaño, que no es absorción)</t>
        </is>
      </c>
      <c r="BE8" t="inlineStr"/>
      <c r="BF8" t="inlineStr"/>
      <c r="BG8" t="inlineStr">
        <is>
          <t>Corte directo gran escala CD, ASTM D3080/D3080M-23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Pila 01 Mármol + Hornfels</t>
        </is>
      </c>
      <c r="BP8" t="inlineStr">
        <is>
          <t>MP1-B-M-1, MP1-B-M2, MP1-B-M3, MP1-H-Material B (4)</t>
        </is>
      </c>
      <c r="BQ8" t="inlineStr">
        <is>
          <t>El texto no dice ROM, Chancado ni Enrocado. El N° de muestra contiene «Material B»: podría ser la clase de material de Antamina (A/B/C), que no es ROM/Chancado/Enrocado; inferencia no confirmada</t>
        </is>
      </c>
      <c r="BR8" t="inlineStr">
        <is>
          <t>Mármol + Hornfels</t>
        </is>
      </c>
      <c r="BS8" t="inlineStr">
        <is>
          <t>descripción del solicitante («Las muestras han sido proporcionadas e identificadas por el solicitante»); sin petrografía ni conteo</t>
        </is>
      </c>
      <c r="BT8" t="inlineStr">
        <is>
          <t>2024-10-15 / 2024-10-25</t>
        </is>
      </c>
      <c r="BU8" t="inlineStr">
        <is>
          <t>EPE-23.10.141_1,2,3,4_110_R0_LSDS</t>
        </is>
      </c>
      <c r="BV8" t="n">
        <v>2.094</v>
      </c>
      <c r="BW8" t="inlineStr">
        <is>
          <t>igual al óptimo Proctor</t>
        </is>
      </c>
      <c r="BX8" t="inlineStr">
        <is>
          <t>LSDS p.1-2</t>
        </is>
      </c>
    </row>
    <row r="9">
      <c r="A9" t="inlineStr">
        <is>
          <t>A2024|Pila 02 (MP2-A-M-1 a MP2-A-M-5, MP2-H-Material A)</t>
        </is>
      </c>
      <c r="B9" t="inlineStr">
        <is>
          <t>A2024</t>
        </is>
      </c>
      <c r="C9" t="inlineStr">
        <is>
          <t>Pila 02 (MP2-A-M-1 a MP2-A-M-5, MP2-H-Material A)</t>
        </is>
      </c>
      <c r="D9" t="inlineStr">
        <is>
          <t>Intrusivo</t>
        </is>
      </c>
      <c r="E9" t="inlineStr"/>
      <c r="F9" t="inlineStr"/>
      <c r="G9" t="inlineStr">
        <is>
          <t>ROM</t>
        </is>
      </c>
      <c r="H9" t="inlineStr">
        <is>
          <t>criterio experto: rumas perforadas en el Botadero Este (desmonte depositado por camión) y pilas experimentales</t>
        </is>
      </c>
      <c r="I9" t="n">
        <v>0</v>
      </c>
      <c r="J9" t="inlineStr">
        <is>
          <t>6 in (≈150 mm)</t>
        </is>
      </c>
      <c r="K9" t="n">
        <v>3</v>
      </c>
      <c r="L9" t="inlineStr">
        <is>
          <t>Triaxial CU</t>
        </is>
      </c>
      <c r="M9" t="n">
        <v>500</v>
      </c>
      <c r="N9" t="n">
        <v>2000</v>
      </c>
      <c r="O9" t="inlineStr">
        <is>
          <t>no informado</t>
        </is>
      </c>
      <c r="P9" t="inlineStr"/>
      <c r="Q9" t="inlineStr"/>
      <c r="R9" t="inlineStr"/>
      <c r="S9" t="n">
        <v>2.74</v>
      </c>
      <c r="T9" t="n">
        <v>0.4785284671532848</v>
      </c>
      <c r="U9" t="inlineStr"/>
      <c r="V9" t="inlineStr">
        <is>
          <t>Anddes Geolab 2024 (solicitud EPE-23.10.141)</t>
        </is>
      </c>
      <c r="W9" t="inlineStr">
        <is>
          <t>Zona «Pilas Experimentales Medio Ambiente»; profundidad «--»; código Pila 02; N° de muestra MP2-A-M-1 a MP2-A-M-5 y MP2-H-Material A; recepción 2024-09-03; fecha y punto de muestreo no informados</t>
        </is>
      </c>
      <c r="X9" t="inlineStr">
        <is>
          <t>no indicada</t>
        </is>
      </c>
      <c r="Y9" t="inlineStr">
        <is>
          <t>no informado (la muestra recibida pasa 100 % por 3 in = 75 mm)</t>
        </is>
      </c>
      <c r="Z9" t="inlineStr">
        <is>
          <t>no informada; solo la de la muestra recibida: Muestra recibida: 100 % pasa 3 in; 1 % bolonería (incoherente con 100 % &lt; 3 in); 57/34/9 %; D10 0,084, D30 1,50, D50 7,1, D60 11,5 mm; Cu 137, Cc 2,3; NP; GW-GM</t>
        </is>
      </c>
      <c r="AA9" t="inlineStr">
        <is>
          <t>no informado</t>
        </is>
      </c>
      <c r="AB9" t="inlineStr">
        <is>
          <t>no informado (el TX no declara tamizado, truncamiento ni escalamiento)</t>
        </is>
      </c>
      <c r="AC9" t="inlineStr">
        <is>
          <t>no informado</t>
        </is>
      </c>
      <c r="AD9" t="inlineStr">
        <is>
          <t>152.0</t>
        </is>
      </c>
      <c r="AE9" t="n">
        <v>310</v>
      </c>
      <c r="AF9" t="inlineStr">
        <is>
          <t>no calculable (Dmax de probeta no informado); si fuera la fracción &lt; 19 mm del Proctor, D/Dmax = 8 (supuesto, no documentado)</t>
        </is>
      </c>
      <c r="AG9" t="inlineStr">
        <is>
          <t>no informada para la probeta</t>
        </is>
      </c>
      <c r="AH9" t="inlineStr">
        <is>
          <t>«Reconstituido al 90% de la máxima densidad seca (MDS) de 2.034 g/cm³ y óptimo contenido de agua de 11.1 %» (p.1-7). Método (pisón, vibración), número de capas y fracción usada: no informados. Formato marca «Grado de compactación: Medio». Densa respecto de la colocación: no se puede juzgar</t>
        </is>
      </c>
      <c r="AI9" t="n">
        <v>17.96</v>
      </c>
      <c r="AJ9" t="n">
        <v>11.1</v>
      </c>
      <c r="AK9" t="n">
        <v>2.74</v>
      </c>
      <c r="AL9" t="inlineStr">
        <is>
          <t>leído del rótulo «Curva 100% saturación (Gs=2.74)» del gráfico Proctor (fracción &lt; 19 mm); no hay ensayo de Gs. La geometría de la línea da Gs ≈ 2.73</t>
        </is>
      </c>
      <c r="AM9" t="n">
        <v>0.496</v>
      </c>
      <c r="AN9" t="inlineStr">
        <is>
          <t>método no informado; B = 0.98/0.95/0.95 (500/1000/2000 kPa)</t>
        </is>
      </c>
      <c r="AO9" t="inlineStr">
        <is>
          <t>187</t>
        </is>
      </c>
      <c r="AP9" t="inlineStr">
        <is>
          <t>isotrópica; σ′3c = 500, 1000 y 2000 kPa (celda 687/1187/2187 − 187); duración no informada; ΔV de consolidación recalculado 7.6/9.8/12.3 %</t>
        </is>
      </c>
      <c r="AQ9" t="inlineStr">
        <is>
          <t>500 kPa: 1.983 g/cm³ = 19.45 kN/m³; 1000 kPa: 2.028 g/cm³ = 19.89 kN/m³; 2000 kPa: 2.087 g/cm³ = 20.47 kN/m³</t>
        </is>
      </c>
      <c r="AR9" t="inlineStr">
        <is>
          <t>no drenado con medición de u</t>
        </is>
      </c>
      <c r="AS9" t="inlineStr">
        <is>
          <t>0,025 cm/min sobre H = 31,0 cm = 0,081 %/min</t>
        </is>
      </c>
      <c r="AT9" t="inlineStr">
        <is>
          <t>15.0</t>
        </is>
      </c>
      <c r="AU9" t="inlineStr">
        <is>
          <t>15 % de deformación axial para la envolvente efectiva y Su (p.1); envolvente total a 2 % (M, H, I) o 15 % (P1, P2) en p.7, pedida por el cliente</t>
        </is>
      </c>
      <c r="AV9" t="inlineStr">
        <is>
          <t>500 kPa: máx. q 658.3 a 2.5 %; 1000 kPa: máx. q 1368.6 a 15.0 %; 2000 kPa: máx. q 2782.7 a 15.0 %</t>
        </is>
      </c>
      <c r="AW9" t="inlineStr">
        <is>
          <t>sí: 28 puntos de 0 a 15 % por probeta (q, u, p, q, p′, q′, q′/p′, σ′1/σ′3), p.3-5</t>
        </is>
      </c>
      <c r="AX9" t="inlineStr"/>
      <c r="AY9" t="inlineStr">
        <is>
          <t>no informado (no hay granulometría después del ensayo)</t>
        </is>
      </c>
      <c r="AZ9" t="inlineStr">
        <is>
          <t>no informado en estos informes</t>
        </is>
      </c>
      <c r="BA9" t="inlineStr">
        <is>
          <t>no informado en estos informes</t>
        </is>
      </c>
      <c r="BB9" t="inlineStr">
        <is>
          <t>no informado</t>
        </is>
      </c>
      <c r="BC9" t="inlineStr">
        <is>
          <t>no informado</t>
        </is>
      </c>
      <c r="BD9" t="inlineStr">
        <is>
          <t>no informado (el Proctor da «w» de la fracción sobre tamaño, que no es absorción)</t>
        </is>
      </c>
      <c r="BE9" t="inlineStr"/>
      <c r="BF9" t="inlineStr"/>
      <c r="BG9" t="inlineStr">
        <is>
          <t>Triaxial CU (CIU) 6 in, ASTM D4767-11 (2020)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Pila 02 Intrusivo</t>
        </is>
      </c>
      <c r="BP9" t="inlineStr">
        <is>
          <t>MP2-A-M-1 a MP2-A-M-5, MP2-H-Material A (6)</t>
        </is>
      </c>
      <c r="BQ9" t="inlineStr">
        <is>
          <t>El texto no dice ROM, Chancado ni Enrocado. El N° de muestra contiene «Material A» (posible clase de material de Antamina, no ROM/Chancado/Enrocado); inferencia no confirmada</t>
        </is>
      </c>
      <c r="BR9" t="inlineStr">
        <is>
          <t>Intrusivo</t>
        </is>
      </c>
      <c r="BS9" t="inlineStr">
        <is>
          <t>descripción del solicitante («Las muestras han sido proporcionadas e identificadas por el solicitante»); sin petrografía ni conteo</t>
        </is>
      </c>
      <c r="BT9" t="inlineStr">
        <is>
          <t>2024-10-03 / 2024-10-10</t>
        </is>
      </c>
      <c r="BU9" t="inlineStr">
        <is>
          <t>EPE-23.10.141_5,6,7,8,9,10_110_R0_TXCU</t>
        </is>
      </c>
      <c r="BV9" t="n">
        <v>1.831</v>
      </c>
      <c r="BW9" t="inlineStr">
        <is>
          <t>igual al óptimo Proctor</t>
        </is>
      </c>
      <c r="BX9" t="inlineStr">
        <is>
          <t>TX p.1, p.3-5, p.7</t>
        </is>
      </c>
    </row>
    <row r="10">
      <c r="A10" t="inlineStr">
        <is>
          <t>A2024|Pila 02 (MP2-A-M-1 a MP2-A-M-5, MP2-H-Material A)</t>
        </is>
      </c>
      <c r="B10" t="inlineStr">
        <is>
          <t>A2024</t>
        </is>
      </c>
      <c r="C10" t="inlineStr">
        <is>
          <t>Pila 02 (MP2-A-M-1 a MP2-A-M-5, MP2-H-Material A)</t>
        </is>
      </c>
      <c r="D10" t="inlineStr">
        <is>
          <t>Intrusivo</t>
        </is>
      </c>
      <c r="E10" t="inlineStr"/>
      <c r="F10" t="inlineStr"/>
      <c r="G10" t="inlineStr">
        <is>
          <t>ROM</t>
        </is>
      </c>
      <c r="H10" t="inlineStr">
        <is>
          <t>criterio experto: rumas perforadas en el Botadero Este (desmonte depositado por camión) y pilas experimentales</t>
        </is>
      </c>
      <c r="I10" t="n">
        <v>0</v>
      </c>
      <c r="J10" t="inlineStr">
        <is>
          <t>6 in (≈150 mm)</t>
        </is>
      </c>
      <c r="K10" t="n">
        <v>3</v>
      </c>
      <c r="L10" t="inlineStr">
        <is>
          <t>Triaxial CU</t>
        </is>
      </c>
      <c r="M10" t="n">
        <v>500</v>
      </c>
      <c r="N10" t="n">
        <v>2000</v>
      </c>
      <c r="O10" t="inlineStr">
        <is>
          <t>no informado</t>
        </is>
      </c>
      <c r="P10" t="inlineStr"/>
      <c r="Q10" t="inlineStr"/>
      <c r="R10" t="inlineStr"/>
      <c r="S10" t="n">
        <v>2.74</v>
      </c>
      <c r="T10" t="n">
        <v>0.4785284671532848</v>
      </c>
      <c r="U10" t="inlineStr"/>
      <c r="V10" t="inlineStr">
        <is>
          <t>Anddes Geolab 2024 (solicitud EPE-23.10.141)</t>
        </is>
      </c>
      <c r="W10" t="inlineStr">
        <is>
          <t>Zona «Pilas Experimentales Medio Ambiente»; profundidad «--»; código Pila 02; N° de muestra MP2-A-M-1 a MP2-A-M-5 y MP2-H-Material A; recepción 2024-09-03; fecha y punto de muestreo no informados</t>
        </is>
      </c>
      <c r="X10" t="inlineStr">
        <is>
          <t>no indicada</t>
        </is>
      </c>
      <c r="Y10" t="inlineStr">
        <is>
          <t>no informado (la muestra recibida pasa 100 % por 3 in = 75 mm)</t>
        </is>
      </c>
      <c r="Z10" t="inlineStr">
        <is>
          <t>no informada; solo la de la muestra recibida: Muestra recibida: 100 % pasa 3 in; 1 % bolonería (incoherente con 100 % &lt; 3 in); 57/34/9 %; D10 0,084, D30 1,50, D50 7,1, D60 11,5 mm; Cu 137, Cc 2,3; NP; GW-GM</t>
        </is>
      </c>
      <c r="AA10" t="inlineStr">
        <is>
          <t>no informado</t>
        </is>
      </c>
      <c r="AB10" t="inlineStr">
        <is>
          <t>no informado; «TM: 1 in» en el esquema de la caja (p.2). Ni el truncamiento ni la granulometría de la probeta se informan</t>
        </is>
      </c>
      <c r="AC10" t="inlineStr">
        <is>
          <t>25.4</t>
        </is>
      </c>
      <c r="AD10" t="inlineStr">
        <is>
          <t>caja cuadrada 305 × 305</t>
        </is>
      </c>
      <c r="AE10" t="n">
        <v>178</v>
      </c>
      <c r="AF10" t="inlineStr">
        <is>
          <t>lado/TM = 305/25,4 = 12,0; altura/TM = 7,0</t>
        </is>
      </c>
      <c r="AG10" t="inlineStr">
        <is>
          <t>no informada</t>
        </is>
      </c>
      <c r="AH10" t="inlineStr">
        <is>
          <t>ρd inicial 1.831 g/cm³ (= 90 % de la MDS 2.034, que corresponde a la fracción &lt; 19 mm) y w 11.10 % (p.2). Método de compactación y capas: no informados</t>
        </is>
      </c>
      <c r="AI10" t="n">
        <v>17.96</v>
      </c>
      <c r="AJ10" t="n">
        <v>11.1</v>
      </c>
      <c r="AK10" t="n">
        <v>2.74</v>
      </c>
      <c r="AL10" t="inlineStr">
        <is>
          <t>leído del rótulo «Curva 100% saturación (Gs=2.74)» del gráfico Proctor (fracción &lt; 19 mm); no hay ensayo de Gs. La geometría de la línea da Gs ≈ 2.73</t>
        </is>
      </c>
      <c r="AM10" t="n">
        <v>0.496</v>
      </c>
      <c r="AN10" t="inlineStr">
        <is>
          <t>«Los especímenes fueron saturados durante el ensayo, salvo excepciones» (p.2); sin verificación. Sr final recalculado: ver ensayos_corte_directo_verificado.csv</t>
        </is>
      </c>
      <c r="AO10" t="inlineStr">
        <is>
          <t>no aplica</t>
        </is>
      </c>
      <c r="AP10" t="inlineStr">
        <is>
          <t>16,0 h al esfuerzo normal σn = 300/600/1200 kPa</t>
        </is>
      </c>
      <c r="AQ10" t="inlineStr">
        <is>
          <t>no informado (solo ρd final después del corte, p.2)</t>
        </is>
      </c>
      <c r="AR10" t="inlineStr">
        <is>
          <t>drenado (CD)</t>
        </is>
      </c>
      <c r="AS10" t="inlineStr">
        <is>
          <t>0,5 mm/min (desplazamiento horizontal); separación de cajas 1,0 mm; fin a unos 65 mm</t>
        </is>
      </c>
      <c r="AT10" t="inlineStr">
        <is>
          <t>unos 65 mm de desplazamiento horizontal</t>
        </is>
      </c>
      <c r="AU10" t="inlineStr">
        <is>
          <t>τ pico y τ a 6,6 cm de desplazamiento; envolvente lineal por mínimos cuadrados</t>
        </is>
      </c>
      <c r="AV10" t="inlineStr">
        <is>
          <t>pico poco marcado: τ pico y τ a 6,6 cm difieren menos de 5 % salvo I a 1200 kPa (945,1 → 885,6 kPa; caída visible después de unos 4,3 cm en el gráfico p.2) y P1/P2 a 300 kPa (356,3 → 340,0; 353,9 → 349,1)</t>
        </is>
      </c>
      <c r="AW10" t="inlineStr">
        <is>
          <t>no (solo gráficos τ-δh y δv-δh)</t>
        </is>
      </c>
      <c r="AX10" t="inlineStr"/>
      <c r="AY10" t="inlineStr">
        <is>
          <t>no informado (no hay granulometría después del ensayo)</t>
        </is>
      </c>
      <c r="AZ10" t="inlineStr">
        <is>
          <t>no informado en estos informes</t>
        </is>
      </c>
      <c r="BA10" t="inlineStr">
        <is>
          <t>no informado en estos informes</t>
        </is>
      </c>
      <c r="BB10" t="inlineStr">
        <is>
          <t>no informado</t>
        </is>
      </c>
      <c r="BC10" t="inlineStr">
        <is>
          <t>no informado</t>
        </is>
      </c>
      <c r="BD10" t="inlineStr">
        <is>
          <t>no informado (el Proctor da «w» de la fracción sobre tamaño, que no es absorción)</t>
        </is>
      </c>
      <c r="BE10" t="inlineStr"/>
      <c r="BF10" t="inlineStr"/>
      <c r="BG10" t="inlineStr">
        <is>
          <t>Corte directo gran escala CD, ASTM D3080/D3080M-23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Pila 02 Intrusivo</t>
        </is>
      </c>
      <c r="BP10" t="inlineStr">
        <is>
          <t>MP2-A-M-1 a MP2-A-M-5, MP2-H-Material A (6)</t>
        </is>
      </c>
      <c r="BQ10" t="inlineStr">
        <is>
          <t>El texto no dice ROM, Chancado ni Enrocado. El N° de muestra contiene «Material A» (posible clase de material de Antamina, no ROM/Chancado/Enrocado); inferencia no confirmada</t>
        </is>
      </c>
      <c r="BR10" t="inlineStr">
        <is>
          <t>Intrusivo</t>
        </is>
      </c>
      <c r="BS10" t="inlineStr">
        <is>
          <t>descripción del solicitante («Las muestras han sido proporcionadas e identificadas por el solicitante»); sin petrografía ni conteo</t>
        </is>
      </c>
      <c r="BT10" t="inlineStr">
        <is>
          <t>2024-10-05 / 2024-10-15</t>
        </is>
      </c>
      <c r="BU10" t="inlineStr">
        <is>
          <t>EPE-23.10.141_5,6,7,8,9,10_110_R0_SUCS (sic, en el LSDS)</t>
        </is>
      </c>
      <c r="BV10" t="n">
        <v>1.831</v>
      </c>
      <c r="BW10" t="inlineStr">
        <is>
          <t>igual al óptimo Proctor</t>
        </is>
      </c>
      <c r="BX10" t="inlineStr">
        <is>
          <t>LSDS p.1-2</t>
        </is>
      </c>
    </row>
    <row r="11">
      <c r="A11" t="inlineStr">
        <is>
          <t>A2024|Ruma 01 (M-1 al M-13)</t>
        </is>
      </c>
      <c r="B11" t="inlineStr">
        <is>
          <t>A2024</t>
        </is>
      </c>
      <c r="C11" t="inlineStr">
        <is>
          <t>Ruma 01 (M-1 al M-13)</t>
        </is>
      </c>
      <c r="D11" t="inlineStr">
        <is>
          <t>Mármol</t>
        </is>
      </c>
      <c r="E11" t="inlineStr"/>
      <c r="F11" t="inlineStr"/>
      <c r="G11" t="inlineStr">
        <is>
          <t>ROM</t>
        </is>
      </c>
      <c r="H11" t="inlineStr">
        <is>
          <t>criterio experto: rumas perforadas en el Botadero Este (desmonte depositado por camión) y pilas experimentales</t>
        </is>
      </c>
      <c r="I11" t="n">
        <v>0</v>
      </c>
      <c r="J11" t="inlineStr">
        <is>
          <t>6 in (≈150 mm)</t>
        </is>
      </c>
      <c r="K11" t="n">
        <v>3</v>
      </c>
      <c r="L11" t="inlineStr">
        <is>
          <t>Triaxial CU</t>
        </is>
      </c>
      <c r="M11" t="n">
        <v>500</v>
      </c>
      <c r="N11" t="n">
        <v>2000</v>
      </c>
      <c r="O11" t="inlineStr">
        <is>
          <t>no informado</t>
        </is>
      </c>
      <c r="P11" t="inlineStr"/>
      <c r="Q11" t="inlineStr"/>
      <c r="R11" t="inlineStr"/>
      <c r="S11" t="n">
        <v>3.06</v>
      </c>
      <c r="T11" t="n">
        <v>0.2622581699346407</v>
      </c>
      <c r="U11" t="inlineStr"/>
      <c r="V11" t="inlineStr">
        <is>
          <t>Anddes Geolab 2024 (solicitud EPE-23.10.141)</t>
        </is>
      </c>
      <c r="W11" t="inlineStr">
        <is>
          <t>Perforación (proyecto «Perforaciones Geotécnicas e Hidrogeológicas 2023»); Zona «Patio de servicios / Botadero Este»; profundidad 40,00-90,00 m; código 01 (Ruma 01); compuesta de 13 submuestras M-1 a M-13; recepción 2023-11-23; fecha de muestreo no informada</t>
        </is>
      </c>
      <c r="X11" t="inlineStr">
        <is>
          <t>no indicada</t>
        </is>
      </c>
      <c r="Y11" t="inlineStr">
        <is>
          <t>no informado (la muestra recibida pasa 100 % por 3 in = 75 mm, tamaño limitado por la perforación o el muestreo)</t>
        </is>
      </c>
      <c r="Z11" t="inlineStr">
        <is>
          <t>no informada; solo la de la muestra recibida: Muestra recibida: 100 % pasa 3 in; 65/25/10 % grava/arena/finos; D30 2,77, D50 13,4, D60 22,2 mm (interpolados); D10 = 0,075 mm (no 1,54); Cu ≈ 296, Cc ≈ 4,6 (recalculados); NP; GP-GM</t>
        </is>
      </c>
      <c r="AA11" t="inlineStr">
        <is>
          <t>no informado</t>
        </is>
      </c>
      <c r="AB11" t="inlineStr">
        <is>
          <t>no informado (el TX no declara tamizado, truncamiento ni escalamiento)</t>
        </is>
      </c>
      <c r="AC11" t="inlineStr">
        <is>
          <t>no informado</t>
        </is>
      </c>
      <c r="AD11" t="inlineStr">
        <is>
          <t>152.0</t>
        </is>
      </c>
      <c r="AE11" t="n">
        <v>310</v>
      </c>
      <c r="AF11" t="inlineStr">
        <is>
          <t>no calculable (Dmax de probeta no informado); si fuera la fracción &lt; 19 mm del Proctor, D/Dmax = 8 (supuesto, no documentado)</t>
        </is>
      </c>
      <c r="AG11" t="inlineStr">
        <is>
          <t>no informada para la probeta</t>
        </is>
      </c>
      <c r="AH11" t="inlineStr">
        <is>
          <t>«Reconstituido al 90% de la máxima densidad seca (MDS) de 2.425 g/cm³ y óptimo contenido de agua de 6.8 %» (p.1-7). Método (pisón, vibración), número de capas y fracción usada: no informados. Formato marca «Grado de compactación: Medio». Densa respecto de la colocación: no se puede juzgar</t>
        </is>
      </c>
      <c r="AI11" t="n">
        <v>21.41</v>
      </c>
      <c r="AJ11" t="n">
        <v>6.8</v>
      </c>
      <c r="AK11" t="n">
        <v>3.06</v>
      </c>
      <c r="AL11" t="inlineStr">
        <is>
          <t>leído del rótulo «Curva 100% saturación (Gs=3.06)» del gráfico Proctor (fracción &lt; 19 mm); no hay ensayo de Gs. La geometría de la línea da Gs ≈ 3.05</t>
        </is>
      </c>
      <c r="AM11" t="n">
        <v>0.402</v>
      </c>
      <c r="AN11" t="inlineStr">
        <is>
          <t>método no informado; B = 0.95/0.96/0.97 (500/1000/2000 kPa)</t>
        </is>
      </c>
      <c r="AO11" t="inlineStr">
        <is>
          <t>187</t>
        </is>
      </c>
      <c r="AP11" t="inlineStr">
        <is>
          <t>isotrópica; σ′3c = 500, 1000 y 2000 kPa (celda 687/1187/2187 − 187); duración no informada; ΔV de consolidación recalculado 10.5/10.7/13.2 %</t>
        </is>
      </c>
      <c r="AQ11" t="inlineStr">
        <is>
          <t>500 kPa: 2.438 g/cm³ = 23.92 kN/m³; 1000 kPa: 2.444 g/cm³ = 23.98 kN/m³; 2000 kPa: 2.514 g/cm³ = 24.66 kN/m³</t>
        </is>
      </c>
      <c r="AR11" t="inlineStr">
        <is>
          <t>no drenado con medición de u</t>
        </is>
      </c>
      <c r="AS11" t="inlineStr">
        <is>
          <t>0,025 cm/min sobre H = 31,0 cm = 0,081 %/min</t>
        </is>
      </c>
      <c r="AT11" t="inlineStr">
        <is>
          <t>15.0</t>
        </is>
      </c>
      <c r="AU11" t="inlineStr">
        <is>
          <t>15 % de deformación axial para la envolvente efectiva y Su (p.1); envolvente total a 2 % (M, H, I) o 15 % (P1, P2) en p.7, pedida por el cliente</t>
        </is>
      </c>
      <c r="AV11" t="inlineStr">
        <is>
          <t>500 kPa: máx. q 516.8 a 1.75 %; 1000 kPa: máx. q 1148.2 a 2.0 %; 2000 kPa: máx. q 2018.3 a 15.0 %</t>
        </is>
      </c>
      <c r="AW11" t="inlineStr">
        <is>
          <t>sí: 28 puntos de 0 a 15 % por probeta (q, u, p, q, p′, q′, q′/p′, σ′1/σ′3), p.3-5</t>
        </is>
      </c>
      <c r="AX11" t="inlineStr"/>
      <c r="AY11" t="inlineStr">
        <is>
          <t>no informado (no hay granulometría después del ensayo)</t>
        </is>
      </c>
      <c r="AZ11" t="inlineStr">
        <is>
          <t>no informado en estos informes</t>
        </is>
      </c>
      <c r="BA11" t="inlineStr">
        <is>
          <t>no informado en estos informes</t>
        </is>
      </c>
      <c r="BB11" t="inlineStr">
        <is>
          <t>no informado</t>
        </is>
      </c>
      <c r="BC11" t="inlineStr">
        <is>
          <t>no informado</t>
        </is>
      </c>
      <c r="BD11" t="inlineStr">
        <is>
          <t>no informado (el Proctor da «w» de la fracción sobre tamaño, que no es absorción)</t>
        </is>
      </c>
      <c r="BE11" t="inlineStr"/>
      <c r="BF11" t="inlineStr"/>
      <c r="BG11" t="inlineStr">
        <is>
          <t>Triaxial CU (CIU) 6 in, ASTM D4767-11 (2020)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Marmol M-1 al M-13</t>
        </is>
      </c>
      <c r="BP11" t="inlineStr">
        <is>
          <t>M-1 a M-13 (13; el N° de informe TX lista 13 ítems)</t>
        </is>
      </c>
      <c r="BQ11" t="inlineStr">
        <is>
          <t>El texto no la menciona. Inferencia (no textual): desmonte ya depositado en el Botadero Este y recuperado por perforación a 40-90 m; por la definición de DECISIONES.md (transportado en camión) sería ROM, pero el informe no lo dice</t>
        </is>
      </c>
      <c r="BR11" t="inlineStr">
        <is>
          <t>Marmol</t>
        </is>
      </c>
      <c r="BS11" t="inlineStr">
        <is>
          <t>descripción del solicitante («Las muestras han sido proporcionadas e identificadas por el solicitante»); sin petrografía ni conteo</t>
        </is>
      </c>
      <c r="BT11" t="inlineStr">
        <is>
          <t>2024-04-16 / 2024-04-19</t>
        </is>
      </c>
      <c r="BU11" t="inlineStr">
        <is>
          <t>EPE-23.10.141_17,19,20,13,23,22,25,24,14,15,12,16,21_200_R0_TXCU (13 ítems)</t>
        </is>
      </c>
      <c r="BV11" t="n">
        <v>2.182</v>
      </c>
      <c r="BW11" t="inlineStr">
        <is>
          <t>igual al óptimo Proctor</t>
        </is>
      </c>
      <c r="BX11" t="inlineStr">
        <is>
          <t>TX p.1, p.3-5, p.7</t>
        </is>
      </c>
    </row>
    <row r="12">
      <c r="A12" t="inlineStr">
        <is>
          <t>A2024|Ruma 01 (M-1 al M-13)</t>
        </is>
      </c>
      <c r="B12" t="inlineStr">
        <is>
          <t>A2024</t>
        </is>
      </c>
      <c r="C12" t="inlineStr">
        <is>
          <t>Ruma 01 (M-1 al M-13)</t>
        </is>
      </c>
      <c r="D12" t="inlineStr">
        <is>
          <t>Mármol</t>
        </is>
      </c>
      <c r="E12" t="inlineStr"/>
      <c r="F12" t="inlineStr"/>
      <c r="G12" t="inlineStr">
        <is>
          <t>ROM</t>
        </is>
      </c>
      <c r="H12" t="inlineStr">
        <is>
          <t>criterio experto: rumas perforadas en el Botadero Este (desmonte depositado por camión) y pilas experimentales</t>
        </is>
      </c>
      <c r="I12" t="n">
        <v>0</v>
      </c>
      <c r="J12" t="inlineStr">
        <is>
          <t>6 in (≈150 mm)</t>
        </is>
      </c>
      <c r="K12" t="n">
        <v>3</v>
      </c>
      <c r="L12" t="inlineStr">
        <is>
          <t>Triaxial CU</t>
        </is>
      </c>
      <c r="M12" t="n">
        <v>500</v>
      </c>
      <c r="N12" t="n">
        <v>2000</v>
      </c>
      <c r="O12" t="inlineStr">
        <is>
          <t>no informado</t>
        </is>
      </c>
      <c r="P12" t="inlineStr"/>
      <c r="Q12" t="inlineStr"/>
      <c r="R12" t="inlineStr"/>
      <c r="S12" t="n">
        <v>3.06</v>
      </c>
      <c r="T12" t="n">
        <v>0.2622581699346407</v>
      </c>
      <c r="U12" t="inlineStr"/>
      <c r="V12" t="inlineStr">
        <is>
          <t>Anddes Geolab 2024 (solicitud EPE-23.10.141)</t>
        </is>
      </c>
      <c r="W12" t="inlineStr">
        <is>
          <t>Perforación (proyecto «Perforaciones Geotécnicas e Hidrogeológicas 2023»); Zona «Patio de servicios / Botadero Este»; profundidad 40,00-90,00 m; código 01 (Ruma 01); compuesta de 13 submuestras M-1 a M-13; recepción 2023-11-23; fecha de muestreo no informada</t>
        </is>
      </c>
      <c r="X12" t="inlineStr">
        <is>
          <t>no indicada</t>
        </is>
      </c>
      <c r="Y12" t="inlineStr">
        <is>
          <t>no informado (la muestra recibida pasa 100 % por 3 in = 75 mm, tamaño limitado por la perforación o el muestreo)</t>
        </is>
      </c>
      <c r="Z12" t="inlineStr">
        <is>
          <t>no informada; solo la de la muestra recibida: Muestra recibida: 100 % pasa 3 in; 65/25/10 % grava/arena/finos; D30 2,77, D50 13,4, D60 22,2 mm (interpolados); D10 = 0,075 mm (no 1,54); Cu ≈ 296, Cc ≈ 4,6 (recalculados); NP; GP-GM</t>
        </is>
      </c>
      <c r="AA12" t="inlineStr">
        <is>
          <t>no informado</t>
        </is>
      </c>
      <c r="AB12" t="inlineStr">
        <is>
          <t>no informado; «TM: 1 in» en el esquema de la caja (p.2). Ni el truncamiento ni la granulometría de la probeta se informan</t>
        </is>
      </c>
      <c r="AC12" t="inlineStr">
        <is>
          <t>25.4</t>
        </is>
      </c>
      <c r="AD12" t="inlineStr">
        <is>
          <t>caja cuadrada 305 × 305</t>
        </is>
      </c>
      <c r="AE12" t="n">
        <v>178</v>
      </c>
      <c r="AF12" t="inlineStr">
        <is>
          <t>lado/TM = 305/25,4 = 12,0; altura/TM = 7,0</t>
        </is>
      </c>
      <c r="AG12" t="inlineStr">
        <is>
          <t>no informada</t>
        </is>
      </c>
      <c r="AH12" t="inlineStr">
        <is>
          <t>ρd inicial 2.182 g/cm³ (= 90 % de la MDS 2.425, que corresponde a la fracción &lt; 19 mm) y w 6.80 % (p.2). Método de compactación y capas: no informados</t>
        </is>
      </c>
      <c r="AI12" t="n">
        <v>21.41</v>
      </c>
      <c r="AJ12" t="n">
        <v>6.8</v>
      </c>
      <c r="AK12" t="n">
        <v>3.06</v>
      </c>
      <c r="AL12" t="inlineStr">
        <is>
          <t>leído del rótulo «Curva 100% saturación (Gs=3.06)» del gráfico Proctor (fracción &lt; 19 mm); no hay ensayo de Gs. La geometría de la línea da Gs ≈ 3.05</t>
        </is>
      </c>
      <c r="AM12" t="n">
        <v>0.402</v>
      </c>
      <c r="AN12" t="inlineStr">
        <is>
          <t>«Los especímenes fueron saturados durante el ensayo, salvo excepciones» (p.2); sin verificación. Sr final recalculado: ver ensayos_corte_directo_verificado.csv</t>
        </is>
      </c>
      <c r="AO12" t="inlineStr">
        <is>
          <t>no aplica</t>
        </is>
      </c>
      <c r="AP12" t="inlineStr">
        <is>
          <t>16,0 h al esfuerzo normal σn = 300/600/1200 kPa</t>
        </is>
      </c>
      <c r="AQ12" t="inlineStr">
        <is>
          <t>no informado (solo ρd final después del corte, p.2)</t>
        </is>
      </c>
      <c r="AR12" t="inlineStr">
        <is>
          <t>drenado (CD)</t>
        </is>
      </c>
      <c r="AS12" t="inlineStr">
        <is>
          <t>0,5 mm/min (desplazamiento horizontal); separación de cajas 1,0 mm; fin a unos 65 mm</t>
        </is>
      </c>
      <c r="AT12" t="inlineStr">
        <is>
          <t>unos 65 mm de desplazamiento horizontal</t>
        </is>
      </c>
      <c r="AU12" t="inlineStr">
        <is>
          <t>τ pico y τ a 6,6 cm de desplazamiento; envolvente lineal por mínimos cuadrados</t>
        </is>
      </c>
      <c r="AV12" t="inlineStr">
        <is>
          <t>pico poco marcado: τ pico y τ a 6,6 cm difieren menos de 5 % salvo I a 1200 kPa (945,1 → 885,6 kPa; caída visible después de unos 4,3 cm en el gráfico p.2) y P1/P2 a 300 kPa (356,3 → 340,0; 353,9 → 349,1)</t>
        </is>
      </c>
      <c r="AW12" t="inlineStr">
        <is>
          <t>no (solo gráficos τ-δh y δv-δh)</t>
        </is>
      </c>
      <c r="AX12" t="inlineStr"/>
      <c r="AY12" t="inlineStr">
        <is>
          <t>no informado (no hay granulometría después del ensayo)</t>
        </is>
      </c>
      <c r="AZ12" t="inlineStr">
        <is>
          <t>no informado en estos informes</t>
        </is>
      </c>
      <c r="BA12" t="inlineStr">
        <is>
          <t>no informado en estos informes</t>
        </is>
      </c>
      <c r="BB12" t="inlineStr">
        <is>
          <t>no informado</t>
        </is>
      </c>
      <c r="BC12" t="inlineStr">
        <is>
          <t>no informado</t>
        </is>
      </c>
      <c r="BD12" t="inlineStr">
        <is>
          <t>no informado (el Proctor da «w» de la fracción sobre tamaño, que no es absorción)</t>
        </is>
      </c>
      <c r="BE12" t="inlineStr"/>
      <c r="BF12" t="inlineStr"/>
      <c r="BG12" t="inlineStr">
        <is>
          <t>Corte directo gran escala CD, ASTM D3080/D3080M-23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Marmol M-1 al M-13</t>
        </is>
      </c>
      <c r="BP12" t="inlineStr">
        <is>
          <t>M-1 a M-13 (13; el N° de informe TX lista 13 ítems)</t>
        </is>
      </c>
      <c r="BQ12" t="inlineStr">
        <is>
          <t>El texto no la menciona. Inferencia (no textual): desmonte ya depositado en el Botadero Este y recuperado por perforación a 40-90 m; por la definición de DECISIONES.md (transportado en camión) sería ROM, pero el informe no lo dice</t>
        </is>
      </c>
      <c r="BR12" t="inlineStr">
        <is>
          <t>Marmol</t>
        </is>
      </c>
      <c r="BS12" t="inlineStr">
        <is>
          <t>descripción del solicitante («Las muestras han sido proporcionadas e identificadas por el solicitante»); sin petrografía ni conteo</t>
        </is>
      </c>
      <c r="BT12" t="inlineStr">
        <is>
          <t>2024-07-16 / 2024-07-23</t>
        </is>
      </c>
      <c r="BU12" t="inlineStr">
        <is>
          <t>EPE-23.10141_12al25_200_R0_LSDS</t>
        </is>
      </c>
      <c r="BV12" t="n">
        <v>2.182</v>
      </c>
      <c r="BW12" t="inlineStr">
        <is>
          <t>igual al óptimo Proctor</t>
        </is>
      </c>
      <c r="BX12" t="inlineStr">
        <is>
          <t>LSDS p.1-2</t>
        </is>
      </c>
    </row>
    <row r="13">
      <c r="A13" t="inlineStr">
        <is>
          <t>A2024|Ruma 02 (H-1 al H-12)</t>
        </is>
      </c>
      <c r="B13" t="inlineStr">
        <is>
          <t>A2024</t>
        </is>
      </c>
      <c r="C13" t="inlineStr">
        <is>
          <t>Ruma 02 (H-1 al H-12)</t>
        </is>
      </c>
      <c r="D13" t="inlineStr">
        <is>
          <t>Hornfels</t>
        </is>
      </c>
      <c r="E13" t="inlineStr"/>
      <c r="F13" t="inlineStr"/>
      <c r="G13" t="inlineStr">
        <is>
          <t>ROM</t>
        </is>
      </c>
      <c r="H13" t="inlineStr">
        <is>
          <t>criterio experto: rumas perforadas en el Botadero Este (desmonte depositado por camión) y pilas experimentales</t>
        </is>
      </c>
      <c r="I13" t="n">
        <v>0</v>
      </c>
      <c r="J13" t="inlineStr">
        <is>
          <t>6 in (≈150 mm)</t>
        </is>
      </c>
      <c r="K13" t="n">
        <v>3</v>
      </c>
      <c r="L13" t="inlineStr">
        <is>
          <t>Triaxial CU</t>
        </is>
      </c>
      <c r="M13" t="n">
        <v>500</v>
      </c>
      <c r="N13" t="n">
        <v>2000</v>
      </c>
      <c r="O13" t="inlineStr">
        <is>
          <t>no informado</t>
        </is>
      </c>
      <c r="P13" t="inlineStr"/>
      <c r="Q13" t="inlineStr"/>
      <c r="R13" t="inlineStr"/>
      <c r="S13" t="n">
        <v>2.94</v>
      </c>
      <c r="T13" t="n">
        <v>0.3319047619047619</v>
      </c>
      <c r="U13" t="inlineStr"/>
      <c r="V13" t="inlineStr">
        <is>
          <t>Anddes Geolab 2024 (solicitud EPE-23.10.141)</t>
        </is>
      </c>
      <c r="W13" t="inlineStr">
        <is>
          <t>Perforación (proyecto «Perforaciones Geotécnicas e Hidrogeológicas 2023»); Zona «Patio de servicios / Botadero Este»; profundidad 40,00-90,00 m; código 02 (Ruma 02); compuesta de 12 submuestras H-1 a H-12; recepción 2023-11-23; fecha de muestreo no informada</t>
        </is>
      </c>
      <c r="X13" t="inlineStr">
        <is>
          <t>no indicada</t>
        </is>
      </c>
      <c r="Y13" t="inlineStr">
        <is>
          <t>no informado (la muestra recibida pasa 100 % por 3 in = 75 mm, tamaño limitado por la perforación o el muestreo)</t>
        </is>
      </c>
      <c r="Z13" t="inlineStr">
        <is>
          <t>no informada; solo la de la muestra recibida: Muestra recibida: 100 % pasa 3 in; 68/21/11 %; D30 3,56, D50 12,9, D60 19,6 mm (interpolados); D10 &lt; 0,075 mm (no 1,54); LL 16, NP; GP-GM</t>
        </is>
      </c>
      <c r="AA13" t="inlineStr">
        <is>
          <t>no informado</t>
        </is>
      </c>
      <c r="AB13" t="inlineStr">
        <is>
          <t>no informado (el TX no declara tamizado, truncamiento ni escalamiento)</t>
        </is>
      </c>
      <c r="AC13" t="inlineStr">
        <is>
          <t>no informado</t>
        </is>
      </c>
      <c r="AD13" t="inlineStr">
        <is>
          <t>152.0</t>
        </is>
      </c>
      <c r="AE13" t="n">
        <v>310</v>
      </c>
      <c r="AF13" t="inlineStr">
        <is>
          <t>no calculable (Dmax de probeta no informado); si fuera la fracción &lt; 19 mm del Proctor, D/Dmax = 8 (supuesto, no documentado)</t>
        </is>
      </c>
      <c r="AG13" t="inlineStr">
        <is>
          <t>no informada para la probeta</t>
        </is>
      </c>
      <c r="AH13" t="inlineStr">
        <is>
          <t>«Reconstituido al 90% de la máxima densidad seca (MDS) de 2.333 g/cm³ y óptimo contenido de agua de 6.0 %» (p.1-7). Método (pisón, vibración), número de capas y fracción usada: no informados. Formato marca «Grado de compactación: Medio». Densa respecto de la colocación: no se puede juzgar</t>
        </is>
      </c>
      <c r="AI13" t="n">
        <v>20.6</v>
      </c>
      <c r="AJ13" t="n">
        <v>6</v>
      </c>
      <c r="AK13" t="n">
        <v>2.94</v>
      </c>
      <c r="AL13" t="inlineStr">
        <is>
          <t>leído del rótulo «Curva 100% saturación (Gs=2.94)» del gráfico Proctor (fracción &lt; 19 mm); no hay ensayo de Gs. La geometría de la línea da Gs ≈ 2.93</t>
        </is>
      </c>
      <c r="AM13" t="n">
        <v>0.4</v>
      </c>
      <c r="AN13" t="inlineStr">
        <is>
          <t>método no informado; B = 0.95/0.96/0.97 (500/1000/2000 kPa)</t>
        </is>
      </c>
      <c r="AO13" t="inlineStr">
        <is>
          <t>187</t>
        </is>
      </c>
      <c r="AP13" t="inlineStr">
        <is>
          <t>isotrópica; σ′3c = 500, 1000 y 2000 kPa (celda 687/1187/2187 − 187); duración no informada; ΔV de consolidación recalculado 8.6/11.3/13.8 %</t>
        </is>
      </c>
      <c r="AQ13" t="inlineStr">
        <is>
          <t>500 kPa: 2.298 g/cm³ = 22.54 kN/m³; 1000 kPa: 2.368 g/cm³ = 23.23 kN/m³; 2000 kPa: 2.433 g/cm³ = 23.87 kN/m³</t>
        </is>
      </c>
      <c r="AR13" t="inlineStr">
        <is>
          <t>no drenado con medición de u</t>
        </is>
      </c>
      <c r="AS13" t="inlineStr">
        <is>
          <t>0,025 cm/min sobre H = 31,0 cm = 0,081 %/min</t>
        </is>
      </c>
      <c r="AT13" t="inlineStr">
        <is>
          <t>15.0</t>
        </is>
      </c>
      <c r="AU13" t="inlineStr">
        <is>
          <t>15 % de deformación axial para la envolvente efectiva y Su (p.1); envolvente total a 2 % (M, H, I) o 15 % (P1, P2) en p.7, pedida por el cliente</t>
        </is>
      </c>
      <c r="AV13" t="inlineStr">
        <is>
          <t>500 kPa: máx. q 555.4 a 15.0 %; 1000 kPa: máx. q 1090.6 a 2.0 %; 2000 kPa: máx. q 1756.6 a 2.0 %</t>
        </is>
      </c>
      <c r="AW13" t="inlineStr">
        <is>
          <t>sí: 28 puntos de 0 a 15 % por probeta (q, u, p, q, p′, q′, q′/p′, σ′1/σ′3), p.3-5</t>
        </is>
      </c>
      <c r="AX13" t="inlineStr"/>
      <c r="AY13" t="inlineStr">
        <is>
          <t>no informado (no hay granulometría después del ensayo)</t>
        </is>
      </c>
      <c r="AZ13" t="inlineStr">
        <is>
          <t>no informado en estos informes</t>
        </is>
      </c>
      <c r="BA13" t="inlineStr">
        <is>
          <t>no informado en estos informes</t>
        </is>
      </c>
      <c r="BB13" t="inlineStr">
        <is>
          <t>no informado</t>
        </is>
      </c>
      <c r="BC13" t="inlineStr">
        <is>
          <t>no informado</t>
        </is>
      </c>
      <c r="BD13" t="inlineStr">
        <is>
          <t>no informado (el Proctor da «w» de la fracción sobre tamaño, que no es absorción)</t>
        </is>
      </c>
      <c r="BE13" t="inlineStr"/>
      <c r="BF13" t="inlineStr"/>
      <c r="BG13" t="inlineStr">
        <is>
          <t>Triaxial CU (CIU) 6 in, ASTM D4767-11 (2020)</t>
        </is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HORNFELS H-1 al H-12</t>
        </is>
      </c>
      <c r="BP13" t="inlineStr">
        <is>
          <t>H-1 a H-12 (12; el N° de informe TX lista 12 ítems)</t>
        </is>
      </c>
      <c r="BQ13" t="inlineStr">
        <is>
          <t>El texto no la menciona. Inferencia (no textual): desmonte del Botadero Este recuperado por perforación a 40-90 m; sería ROM por definición, no confirmado</t>
        </is>
      </c>
      <c r="BR13" t="inlineStr">
        <is>
          <t>HORNFELS</t>
        </is>
      </c>
      <c r="BS13" t="inlineStr">
        <is>
          <t>descripción del solicitante («Las muestras han sido proporcionadas e identificadas por el solicitante»); sin petrografía ni conteo</t>
        </is>
      </c>
      <c r="BT13" t="inlineStr">
        <is>
          <t>2024-01-25 / 2024-01-29</t>
        </is>
      </c>
      <c r="BU13" t="inlineStr">
        <is>
          <t>EPE-23.10.141_7,9,2,4,11,8,1,3,5,6,18,10_200_R0_TXCU (12 ítems)</t>
        </is>
      </c>
      <c r="BV13" t="n">
        <v>2.1</v>
      </c>
      <c r="BW13" t="inlineStr">
        <is>
          <t>DISTINTO: TX 6.0 % rotulado «óptimo»; Proctor da 7.7 % y el LSDS usa 7.7 %</t>
        </is>
      </c>
      <c r="BX13" t="inlineStr">
        <is>
          <t>TX p.1, p.3-5, p.7</t>
        </is>
      </c>
    </row>
    <row r="14">
      <c r="A14" t="inlineStr">
        <is>
          <t>A2024|Ruma 02 (H-1 al H-12)</t>
        </is>
      </c>
      <c r="B14" t="inlineStr">
        <is>
          <t>A2024</t>
        </is>
      </c>
      <c r="C14" t="inlineStr">
        <is>
          <t>Ruma 02 (H-1 al H-12)</t>
        </is>
      </c>
      <c r="D14" t="inlineStr">
        <is>
          <t>Hornfels</t>
        </is>
      </c>
      <c r="E14" t="inlineStr"/>
      <c r="F14" t="inlineStr"/>
      <c r="G14" t="inlineStr">
        <is>
          <t>ROM</t>
        </is>
      </c>
      <c r="H14" t="inlineStr">
        <is>
          <t>criterio experto: rumas perforadas en el Botadero Este (desmonte depositado por camión) y pilas experimentales</t>
        </is>
      </c>
      <c r="I14" t="n">
        <v>0</v>
      </c>
      <c r="J14" t="inlineStr">
        <is>
          <t>6 in (≈150 mm)</t>
        </is>
      </c>
      <c r="K14" t="n">
        <v>3</v>
      </c>
      <c r="L14" t="inlineStr">
        <is>
          <t>Triaxial CU</t>
        </is>
      </c>
      <c r="M14" t="n">
        <v>500</v>
      </c>
      <c r="N14" t="n">
        <v>2000</v>
      </c>
      <c r="O14" t="inlineStr">
        <is>
          <t>no informado</t>
        </is>
      </c>
      <c r="P14" t="inlineStr"/>
      <c r="Q14" t="inlineStr"/>
      <c r="R14" t="inlineStr"/>
      <c r="S14" t="n">
        <v>2.94</v>
      </c>
      <c r="T14" t="n">
        <v>0.3319047619047619</v>
      </c>
      <c r="U14" t="inlineStr"/>
      <c r="V14" t="inlineStr">
        <is>
          <t>Anddes Geolab 2024 (solicitud EPE-23.10.141)</t>
        </is>
      </c>
      <c r="W14" t="inlineStr">
        <is>
          <t>Perforación (proyecto «Perforaciones Geotécnicas e Hidrogeológicas 2023»); Zona «Patio de servicios / Botadero Este»; profundidad 40,00-90,00 m; código 02 (Ruma 02); compuesta de 12 submuestras H-1 a H-12; recepción 2023-11-23; fecha de muestreo no informada</t>
        </is>
      </c>
      <c r="X14" t="inlineStr">
        <is>
          <t>no indicada</t>
        </is>
      </c>
      <c r="Y14" t="inlineStr">
        <is>
          <t>no informado (la muestra recibida pasa 100 % por 3 in = 75 mm, tamaño limitado por la perforación o el muestreo)</t>
        </is>
      </c>
      <c r="Z14" t="inlineStr">
        <is>
          <t>no informada; solo la de la muestra recibida: Muestra recibida: 100 % pasa 3 in; 68/21/11 %; D30 3,56, D50 12,9, D60 19,6 mm (interpolados); D10 &lt; 0,075 mm (no 1,54); LL 16, NP; GP-GM</t>
        </is>
      </c>
      <c r="AA14" t="inlineStr">
        <is>
          <t>no informado</t>
        </is>
      </c>
      <c r="AB14" t="inlineStr">
        <is>
          <t>no informado; «TM: 1 in» en el esquema de la caja (p.2). Ni el truncamiento ni la granulometría de la probeta se informan</t>
        </is>
      </c>
      <c r="AC14" t="inlineStr">
        <is>
          <t>25.4</t>
        </is>
      </c>
      <c r="AD14" t="inlineStr">
        <is>
          <t>caja cuadrada 305 × 305</t>
        </is>
      </c>
      <c r="AE14" t="n">
        <v>178</v>
      </c>
      <c r="AF14" t="inlineStr">
        <is>
          <t>lado/TM = 305/25,4 = 12,0; altura/TM = 7,0</t>
        </is>
      </c>
      <c r="AG14" t="inlineStr">
        <is>
          <t>no informada</t>
        </is>
      </c>
      <c r="AH14" t="inlineStr">
        <is>
          <t>ρd inicial 2.100 g/cm³ (= 90 % de la MDS 2.333, que corresponde a la fracción &lt; 19 mm) y w 7.70 % (p.2). Método de compactación y capas: no informados</t>
        </is>
      </c>
      <c r="AI14" t="n">
        <v>20.6</v>
      </c>
      <c r="AJ14" t="n">
        <v>7.7</v>
      </c>
      <c r="AK14" t="n">
        <v>2.94</v>
      </c>
      <c r="AL14" t="inlineStr">
        <is>
          <t>leído del rótulo «Curva 100% saturación (Gs=2.94)» del gráfico Proctor (fracción &lt; 19 mm); no hay ensayo de Gs. La geometría de la línea da Gs ≈ 2.93</t>
        </is>
      </c>
      <c r="AM14" t="n">
        <v>0.4</v>
      </c>
      <c r="AN14" t="inlineStr">
        <is>
          <t>«Los especímenes fueron saturados durante el ensayo, salvo excepciones» (p.2); sin verificación. Sr final recalculado: ver ensayos_corte_directo_verificado.csv</t>
        </is>
      </c>
      <c r="AO14" t="inlineStr">
        <is>
          <t>no aplica</t>
        </is>
      </c>
      <c r="AP14" t="inlineStr">
        <is>
          <t>16,0 h al esfuerzo normal σn = 300/600/1200 kPa</t>
        </is>
      </c>
      <c r="AQ14" t="inlineStr">
        <is>
          <t>no informado (solo ρd final después del corte, p.2)</t>
        </is>
      </c>
      <c r="AR14" t="inlineStr">
        <is>
          <t>drenado (CD)</t>
        </is>
      </c>
      <c r="AS14" t="inlineStr">
        <is>
          <t>0,5 mm/min (desplazamiento horizontal); separación de cajas 1,0 mm; fin a unos 65 mm</t>
        </is>
      </c>
      <c r="AT14" t="inlineStr">
        <is>
          <t>unos 65 mm de desplazamiento horizontal</t>
        </is>
      </c>
      <c r="AU14" t="inlineStr">
        <is>
          <t>τ pico y τ a 6,6 cm de desplazamiento; envolvente lineal por mínimos cuadrados</t>
        </is>
      </c>
      <c r="AV14" t="inlineStr">
        <is>
          <t>pico poco marcado: τ pico y τ a 6,6 cm difieren menos de 5 % salvo I a 1200 kPa (945,1 → 885,6 kPa; caída visible después de unos 4,3 cm en el gráfico p.2) y P1/P2 a 300 kPa (356,3 → 340,0; 353,9 → 349,1)</t>
        </is>
      </c>
      <c r="AW14" t="inlineStr">
        <is>
          <t>no (solo gráficos τ-δh y δv-δh)</t>
        </is>
      </c>
      <c r="AX14" t="inlineStr"/>
      <c r="AY14" t="inlineStr">
        <is>
          <t>no informado (no hay granulometría después del ensayo)</t>
        </is>
      </c>
      <c r="AZ14" t="inlineStr">
        <is>
          <t>no informado en estos informes</t>
        </is>
      </c>
      <c r="BA14" t="inlineStr">
        <is>
          <t>no informado en estos informes</t>
        </is>
      </c>
      <c r="BB14" t="inlineStr">
        <is>
          <t>no informado</t>
        </is>
      </c>
      <c r="BC14" t="inlineStr">
        <is>
          <t>no informado</t>
        </is>
      </c>
      <c r="BD14" t="inlineStr">
        <is>
          <t>no informado (el Proctor da «w» de la fracción sobre tamaño, que no es absorción)</t>
        </is>
      </c>
      <c r="BE14" t="inlineStr"/>
      <c r="BF14" t="inlineStr"/>
      <c r="BG14" t="inlineStr">
        <is>
          <t>Corte directo gran escala CD, ASTM D3080/D3080M-23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HORNFELS H-1 al H-12</t>
        </is>
      </c>
      <c r="BP14" t="inlineStr">
        <is>
          <t>H-1 a H-12 (12; el N° de informe TX lista 12 ítems)</t>
        </is>
      </c>
      <c r="BQ14" t="inlineStr">
        <is>
          <t>El texto no la menciona. Inferencia (no textual): desmonte del Botadero Este recuperado por perforación a 40-90 m; sería ROM por definición, no confirmado</t>
        </is>
      </c>
      <c r="BR14" t="inlineStr">
        <is>
          <t>HORNFELS</t>
        </is>
      </c>
      <c r="BS14" t="inlineStr">
        <is>
          <t>descripción del solicitante («Las muestras han sido proporcionadas e identificadas por el solicitante»); sin petrografía ni conteo</t>
        </is>
      </c>
      <c r="BT14" t="inlineStr">
        <is>
          <t>2024-07-24 / 2024-08-01</t>
        </is>
      </c>
      <c r="BU14" t="inlineStr">
        <is>
          <t>EPE-23.10141_1al18_200_R0_LSDS</t>
        </is>
      </c>
      <c r="BV14" t="n">
        <v>2.1</v>
      </c>
      <c r="BW14" t="inlineStr">
        <is>
          <t>igual al óptimo Proctor</t>
        </is>
      </c>
      <c r="BX14" t="inlineStr">
        <is>
          <t>LSDS p.1-2</t>
        </is>
      </c>
    </row>
    <row r="15">
      <c r="A15" t="inlineStr">
        <is>
          <t>A2024|Ruma 03 / Fase 10 A (I-1 al I-12)</t>
        </is>
      </c>
      <c r="B15" t="inlineStr">
        <is>
          <t>A2024</t>
        </is>
      </c>
      <c r="C15" t="inlineStr">
        <is>
          <t>Ruma 03 / Fase 10 A (I-1 al I-12)</t>
        </is>
      </c>
      <c r="D15" t="inlineStr">
        <is>
          <t>Intrusivo</t>
        </is>
      </c>
      <c r="E15" t="inlineStr"/>
      <c r="F15" t="inlineStr"/>
      <c r="G15" t="inlineStr">
        <is>
          <t>ROM</t>
        </is>
      </c>
      <c r="H15" t="inlineStr">
        <is>
          <t>criterio experto: rumas perforadas en el Botadero Este (desmonte depositado por camión) y pilas experimentales</t>
        </is>
      </c>
      <c r="I15" t="n">
        <v>0</v>
      </c>
      <c r="J15" t="inlineStr">
        <is>
          <t>6 in (≈150 mm)</t>
        </is>
      </c>
      <c r="K15" t="n">
        <v>3</v>
      </c>
      <c r="L15" t="inlineStr">
        <is>
          <t>Triaxial CU</t>
        </is>
      </c>
      <c r="M15" t="n">
        <v>500</v>
      </c>
      <c r="N15" t="n">
        <v>2000</v>
      </c>
      <c r="O15" t="inlineStr">
        <is>
          <t>no informado</t>
        </is>
      </c>
      <c r="P15" t="inlineStr"/>
      <c r="Q15" t="inlineStr"/>
      <c r="R15" t="inlineStr"/>
      <c r="S15" t="n">
        <v>2.75</v>
      </c>
      <c r="T15" t="n">
        <v>0.4101294545454546</v>
      </c>
      <c r="U15" t="inlineStr"/>
      <c r="V15" t="inlineStr">
        <is>
          <t>Anddes Geolab 2024 (solicitud EPE-23.10.141)</t>
        </is>
      </c>
      <c r="W15" t="inlineStr">
        <is>
          <t>Perforación (proyecto «Perforaciones Geotécnicas e Hidrogeológicas 2023»); Zona «Botadero Este»; profundidad 20,00-60,00 m; código 03 (Ruma 03) / Fase 10 A; submuestras I-1 a I-11 (el TX dice I-1 al I-12, pero su N° de informe lista 11 ítems); recepción 2023-11-23; fecha de muestreo no informada</t>
        </is>
      </c>
      <c r="X15" t="inlineStr">
        <is>
          <t>no indicada</t>
        </is>
      </c>
      <c r="Y15" t="inlineStr">
        <is>
          <t>no informado (la muestra recibida pasa 100 % por 3 in = 75 mm, tamaño limitado por la perforación o el muestreo)</t>
        </is>
      </c>
      <c r="Z15" t="inlineStr">
        <is>
          <t>no informada; solo la de la muestra recibida: Muestra recibida: 100 % pasa 3 in; 63/29/8 %; D10 0,126, D30 2,98, D50 9,9, D60 15,3 mm; Cu 121, Cc 4,7; LL 17, NP; GP-GM</t>
        </is>
      </c>
      <c r="AA15" t="inlineStr">
        <is>
          <t>no informado</t>
        </is>
      </c>
      <c r="AB15" t="inlineStr">
        <is>
          <t>no informado (el TX no declara tamizado, truncamiento ni escalamiento)</t>
        </is>
      </c>
      <c r="AC15" t="inlineStr">
        <is>
          <t>no informado</t>
        </is>
      </c>
      <c r="AD15" t="inlineStr">
        <is>
          <t>152.0</t>
        </is>
      </c>
      <c r="AE15" t="n">
        <v>310</v>
      </c>
      <c r="AF15" t="inlineStr">
        <is>
          <t>no calculable (Dmax de probeta no informado); si fuera la fracción &lt; 19 mm del Proctor, D/Dmax = 8 (supuesto, no documentado)</t>
        </is>
      </c>
      <c r="AG15" t="inlineStr">
        <is>
          <t>no informada para la probeta</t>
        </is>
      </c>
      <c r="AH15" t="inlineStr">
        <is>
          <t>«Reconstituido al 90% de la máxima densidad seca (MDS) de 2.134 g/cm³ y óptimo contenido de agua de 8.0 %» (p.1-7). Método (pisón, vibración), número de capas y fracción usada: no informados. Formato marca «Grado de compactación: Medio». Densa respecto de la colocación: no se puede juzgar</t>
        </is>
      </c>
      <c r="AI15" t="n">
        <v>18.85</v>
      </c>
      <c r="AJ15" t="n">
        <v>8</v>
      </c>
      <c r="AK15" t="n">
        <v>2.75</v>
      </c>
      <c r="AL15" t="inlineStr">
        <is>
          <t>leído del rótulo «Curva 100% saturación (Gs=2.75)» del gráfico Proctor (fracción &lt; 19 mm); no hay ensayo de Gs. La geometría de la línea da Gs ≈ 2.74</t>
        </is>
      </c>
      <c r="AM15" t="n">
        <v>0.432</v>
      </c>
      <c r="AN15" t="inlineStr">
        <is>
          <t>método no informado; B = 0.95/0.96/0.97 (500/1000/2000 kPa)</t>
        </is>
      </c>
      <c r="AO15" t="inlineStr">
        <is>
          <t>187</t>
        </is>
      </c>
      <c r="AP15" t="inlineStr">
        <is>
          <t>isotrópica; σ′3c = 500, 1000 y 2000 kPa (celda 687/1187/2187 − 187); duración no informada; ΔV de consolidación recalculado 8.7/11.5/13.2 %</t>
        </is>
      </c>
      <c r="AQ15" t="inlineStr">
        <is>
          <t>500 kPa: 2.103 g/cm³ = 20.63 kN/m³; 1000 kPa: 2.169 g/cm³ = 21.28 kN/m³; 2000 kPa: 2.213 g/cm³ = 21.71 kN/m³</t>
        </is>
      </c>
      <c r="AR15" t="inlineStr">
        <is>
          <t>no drenado con medición de u</t>
        </is>
      </c>
      <c r="AS15" t="inlineStr">
        <is>
          <t>0,025 cm/min sobre H = 31,0 cm = 0,081 %/min</t>
        </is>
      </c>
      <c r="AT15" t="inlineStr">
        <is>
          <t>15.0</t>
        </is>
      </c>
      <c r="AU15" t="inlineStr">
        <is>
          <t>15 % de deformación axial para la envolvente efectiva y Su (p.1); envolvente total a 2 % (M, H, I) o 15 % (P1, P2) en p.7, pedida por el cliente</t>
        </is>
      </c>
      <c r="AV15" t="inlineStr">
        <is>
          <t>500 kPa: máx. q 862.7 a 1.75 %; 1000 kPa: máx. q 1232.6 a 1.75 %; 2000 kPa: máx. q 2005.5 a 2.5 %</t>
        </is>
      </c>
      <c r="AW15" t="inlineStr">
        <is>
          <t>sí: 28 puntos de 0 a 15 % por probeta (q, u, p, q, p′, q′, q′/p′, σ′1/σ′3), p.3-5</t>
        </is>
      </c>
      <c r="AX15" t="inlineStr"/>
      <c r="AY15" t="inlineStr">
        <is>
          <t>no informado (no hay granulometría después del ensayo)</t>
        </is>
      </c>
      <c r="AZ15" t="inlineStr">
        <is>
          <t>no informado en estos informes</t>
        </is>
      </c>
      <c r="BA15" t="inlineStr">
        <is>
          <t>no informado en estos informes</t>
        </is>
      </c>
      <c r="BB15" t="inlineStr">
        <is>
          <t>no informado</t>
        </is>
      </c>
      <c r="BC15" t="inlineStr">
        <is>
          <t>no informado</t>
        </is>
      </c>
      <c r="BD15" t="inlineStr">
        <is>
          <t>no informado (el Proctor da «w» de la fracción sobre tamaño, que no es absorción)</t>
        </is>
      </c>
      <c r="BE15" t="inlineStr"/>
      <c r="BF15" t="inlineStr"/>
      <c r="BG15" t="inlineStr">
        <is>
          <t>Triaxial CU (CIU) 6 in, ASTM D4767-11 (2020)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Intrusivo I-1 al I-12</t>
        </is>
      </c>
      <c r="BP15" t="inlineStr">
        <is>
          <t>I-1 a I-11 (11): así lo dicen SUCS, Proctor, CA y LSDS, y el N° de informe TX lista 11 ítems; el encabezado TX y los nombres de archivo dicen I-1 al I-12 (error probable)</t>
        </is>
      </c>
      <c r="BQ15" t="inlineStr">
        <is>
          <t>El texto no la menciona. Inferencia (no textual): desmonte del Botadero Este recuperado por perforación a 20-60 m; sería ROM por definición, no confirmado. «Fase 10 A» no se explica en el informe</t>
        </is>
      </c>
      <c r="BR15" t="inlineStr">
        <is>
          <t>Intrusivo</t>
        </is>
      </c>
      <c r="BS15" t="inlineStr">
        <is>
          <t>descripción del solicitante («Las muestras han sido proporcionadas e identificadas por el solicitante»); sin petrografía ni conteo</t>
        </is>
      </c>
      <c r="BT15" t="inlineStr">
        <is>
          <t>2024-04-24 / 2024-04-29</t>
        </is>
      </c>
      <c r="BU15" t="inlineStr">
        <is>
          <t>EPE-23.10.141_28,27,26,43,34,35,41,39,40,38,36_200_R0_TXCU (11 ítems)</t>
        </is>
      </c>
      <c r="BV15" t="n">
        <v>1.921</v>
      </c>
      <c r="BW15" t="inlineStr">
        <is>
          <t>DISTINTO: TX 8.0 % rotulado «óptimo»; Proctor da 9.8 % y el LSDS usa 9.8 %</t>
        </is>
      </c>
      <c r="BX15" t="inlineStr">
        <is>
          <t>TX p.1, p.3-5, p.7</t>
        </is>
      </c>
    </row>
    <row r="16">
      <c r="A16" t="inlineStr">
        <is>
          <t>A2024|Ruma 03 / Fase 10 A (I-1 al I-12)</t>
        </is>
      </c>
      <c r="B16" t="inlineStr">
        <is>
          <t>A2024</t>
        </is>
      </c>
      <c r="C16" t="inlineStr">
        <is>
          <t>Ruma 03 / Fase 10 A (I-1 al I-12)</t>
        </is>
      </c>
      <c r="D16" t="inlineStr">
        <is>
          <t>Intrusivo</t>
        </is>
      </c>
      <c r="E16" t="inlineStr"/>
      <c r="F16" t="inlineStr"/>
      <c r="G16" t="inlineStr">
        <is>
          <t>ROM</t>
        </is>
      </c>
      <c r="H16" t="inlineStr">
        <is>
          <t>criterio experto: rumas perforadas en el Botadero Este (desmonte depositado por camión) y pilas experimentales</t>
        </is>
      </c>
      <c r="I16" t="n">
        <v>0</v>
      </c>
      <c r="J16" t="inlineStr">
        <is>
          <t>6 in (≈150 mm)</t>
        </is>
      </c>
      <c r="K16" t="n">
        <v>3</v>
      </c>
      <c r="L16" t="inlineStr">
        <is>
          <t>Triaxial CU</t>
        </is>
      </c>
      <c r="M16" t="n">
        <v>500</v>
      </c>
      <c r="N16" t="n">
        <v>2000</v>
      </c>
      <c r="O16" t="inlineStr">
        <is>
          <t>no informado</t>
        </is>
      </c>
      <c r="P16" t="inlineStr"/>
      <c r="Q16" t="inlineStr"/>
      <c r="R16" t="inlineStr"/>
      <c r="S16" t="n">
        <v>2.75</v>
      </c>
      <c r="T16" t="n">
        <v>0.4101294545454546</v>
      </c>
      <c r="U16" t="inlineStr"/>
      <c r="V16" t="inlineStr">
        <is>
          <t>Anddes Geolab 2024 (solicitud EPE-23.10.141)</t>
        </is>
      </c>
      <c r="W16" t="inlineStr">
        <is>
          <t>Perforación (proyecto «Perforaciones Geotécnicas e Hidrogeológicas 2023»); Zona «Botadero Este»; profundidad 20,00-60,00 m; código 03 (Ruma 03) / Fase 10 A; submuestras I-1 a I-11 (el TX dice I-1 al I-12, pero su N° de informe lista 11 ítems); recepción 2023-11-23; fecha de muestreo no informada</t>
        </is>
      </c>
      <c r="X16" t="inlineStr">
        <is>
          <t>no indicada</t>
        </is>
      </c>
      <c r="Y16" t="inlineStr">
        <is>
          <t>no informado (la muestra recibida pasa 100 % por 3 in = 75 mm, tamaño limitado por la perforación o el muestreo)</t>
        </is>
      </c>
      <c r="Z16" t="inlineStr">
        <is>
          <t>no informada; solo la de la muestra recibida: Muestra recibida: 100 % pasa 3 in; 63/29/8 %; D10 0,126, D30 2,98, D50 9,9, D60 15,3 mm; Cu 121, Cc 4,7; LL 17, NP; GP-GM</t>
        </is>
      </c>
      <c r="AA16" t="inlineStr">
        <is>
          <t>no informado</t>
        </is>
      </c>
      <c r="AB16" t="inlineStr">
        <is>
          <t>no informado; «TM: 1 in» en el esquema de la caja (p.2). Ni el truncamiento ni la granulometría de la probeta se informan</t>
        </is>
      </c>
      <c r="AC16" t="inlineStr">
        <is>
          <t>25.4</t>
        </is>
      </c>
      <c r="AD16" t="inlineStr">
        <is>
          <t>caja cuadrada 305 × 305</t>
        </is>
      </c>
      <c r="AE16" t="n">
        <v>178</v>
      </c>
      <c r="AF16" t="inlineStr">
        <is>
          <t>lado/TM = 305/25,4 = 12,0; altura/TM = 7,0</t>
        </is>
      </c>
      <c r="AG16" t="inlineStr">
        <is>
          <t>no informada</t>
        </is>
      </c>
      <c r="AH16" t="inlineStr">
        <is>
          <t>ρd inicial 1.921 g/cm³ (= 90 % de la MDS 2.134, que corresponde a la fracción &lt; 19 mm) y w 9.80 % (p.2). Método de compactación y capas: no informados</t>
        </is>
      </c>
      <c r="AI16" t="n">
        <v>18.85</v>
      </c>
      <c r="AJ16" t="n">
        <v>9.800000000000001</v>
      </c>
      <c r="AK16" t="n">
        <v>2.75</v>
      </c>
      <c r="AL16" t="inlineStr">
        <is>
          <t>leído del rótulo «Curva 100% saturación (Gs=2.75)» del gráfico Proctor (fracción &lt; 19 mm); no hay ensayo de Gs. La geometría de la línea da Gs ≈ 2.74</t>
        </is>
      </c>
      <c r="AM16" t="n">
        <v>0.432</v>
      </c>
      <c r="AN16" t="inlineStr">
        <is>
          <t>«Los especímenes fueron saturados durante el ensayo, salvo excepciones» (p.2); sin verificación. Sr final recalculado: ver ensayos_corte_directo_verificado.csv</t>
        </is>
      </c>
      <c r="AO16" t="inlineStr">
        <is>
          <t>no aplica</t>
        </is>
      </c>
      <c r="AP16" t="inlineStr">
        <is>
          <t>16,0 h al esfuerzo normal σn = 300/600/1200 kPa</t>
        </is>
      </c>
      <c r="AQ16" t="inlineStr">
        <is>
          <t>no informado (solo ρd final después del corte, p.2)</t>
        </is>
      </c>
      <c r="AR16" t="inlineStr">
        <is>
          <t>drenado (CD)</t>
        </is>
      </c>
      <c r="AS16" t="inlineStr">
        <is>
          <t>0,5 mm/min (desplazamiento horizontal); separación de cajas 1,0 mm; fin a unos 65 mm</t>
        </is>
      </c>
      <c r="AT16" t="inlineStr">
        <is>
          <t>unos 65 mm de desplazamiento horizontal</t>
        </is>
      </c>
      <c r="AU16" t="inlineStr">
        <is>
          <t>τ pico y τ a 6,6 cm de desplazamiento; envolvente lineal por mínimos cuadrados</t>
        </is>
      </c>
      <c r="AV16" t="inlineStr">
        <is>
          <t>pico poco marcado: τ pico y τ a 6,6 cm difieren menos de 5 % salvo I a 1200 kPa (945,1 → 885,6 kPa; caída visible después de unos 4,3 cm en el gráfico p.2) y P1/P2 a 300 kPa (356,3 → 340,0; 353,9 → 349,1)</t>
        </is>
      </c>
      <c r="AW16" t="inlineStr">
        <is>
          <t>no (solo gráficos τ-δh y δv-δh)</t>
        </is>
      </c>
      <c r="AX16" t="inlineStr"/>
      <c r="AY16" t="inlineStr">
        <is>
          <t>no informado (no hay granulometría después del ensayo)</t>
        </is>
      </c>
      <c r="AZ16" t="inlineStr">
        <is>
          <t>no informado en estos informes</t>
        </is>
      </c>
      <c r="BA16" t="inlineStr">
        <is>
          <t>no informado en estos informes</t>
        </is>
      </c>
      <c r="BB16" t="inlineStr">
        <is>
          <t>no informado</t>
        </is>
      </c>
      <c r="BC16" t="inlineStr">
        <is>
          <t>no informado</t>
        </is>
      </c>
      <c r="BD16" t="inlineStr">
        <is>
          <t>no informado (el Proctor da «w» de la fracción sobre tamaño, que no es absorción)</t>
        </is>
      </c>
      <c r="BE16" t="inlineStr"/>
      <c r="BF16" t="inlineStr"/>
      <c r="BG16" t="inlineStr">
        <is>
          <t>Corte directo gran escala CD, ASTM D3080/D3080M-23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Intrusivo I-1 al I-12</t>
        </is>
      </c>
      <c r="BP16" t="inlineStr">
        <is>
          <t>I-1 a I-11 (11): así lo dicen SUCS, Proctor, CA y LSDS, y el N° de informe TX lista 11 ítems; el encabezado TX y los nombres de archivo dicen I-1 al I-12 (error probable)</t>
        </is>
      </c>
      <c r="BQ16" t="inlineStr">
        <is>
          <t>El texto no la menciona. Inferencia (no textual): desmonte del Botadero Este recuperado por perforación a 20-60 m; sería ROM por definición, no confirmado. «Fase 10 A» no se explica en el informe</t>
        </is>
      </c>
      <c r="BR16" t="inlineStr">
        <is>
          <t>Intrusivo</t>
        </is>
      </c>
      <c r="BS16" t="inlineStr">
        <is>
          <t>descripción del solicitante («Las muestras han sido proporcionadas e identificadas por el solicitante»); sin petrografía ni conteo</t>
        </is>
      </c>
      <c r="BT16" t="inlineStr">
        <is>
          <t>2024-07-08 / 2024-07-15</t>
        </is>
      </c>
      <c r="BU16" t="inlineStr">
        <is>
          <t>EPE-23.10141_26al43_200_R0_LSDS</t>
        </is>
      </c>
      <c r="BV16" t="n">
        <v>1.921</v>
      </c>
      <c r="BW16" t="inlineStr">
        <is>
          <t>igual al óptimo Proctor</t>
        </is>
      </c>
      <c r="BX16" t="inlineStr">
        <is>
          <t>LSDS p.1-2</t>
        </is>
      </c>
    </row>
    <row r="17">
      <c r="A17" t="inlineStr">
        <is>
          <t>G2010|G2010-A-EXO-2.8in</t>
        </is>
      </c>
      <c r="B17" t="inlineStr">
        <is>
          <t>G2010</t>
        </is>
      </c>
      <c r="C17" t="inlineStr">
        <is>
          <t>G2010-A-EXO-2.8in</t>
        </is>
      </c>
      <c r="D17" t="inlineStr">
        <is>
          <t>Skarn</t>
        </is>
      </c>
      <c r="E17" t="inlineStr">
        <is>
          <t>exoskarn diópsido</t>
        </is>
      </c>
      <c r="F17" t="inlineStr"/>
      <c r="G17" t="inlineStr">
        <is>
          <t>ROM</t>
        </is>
      </c>
      <c r="H17" t="inlineStr">
        <is>
          <t>dudosa: muestras del acopio de la chancadora secundaria; hojas de Fase A dicen «Material Chancado»</t>
        </is>
      </c>
      <c r="I17" t="n">
        <v>0</v>
      </c>
      <c r="J17" t="inlineStr">
        <is>
          <t>pequeña (&lt;120 mm)</t>
        </is>
      </c>
      <c r="K17" t="n">
        <v>3</v>
      </c>
      <c r="L17" t="inlineStr">
        <is>
          <t>Triaxial CU</t>
        </is>
      </c>
      <c r="M17" t="n">
        <v>394</v>
      </c>
      <c r="N17" t="n">
        <v>1573</v>
      </c>
      <c r="O17" t="n">
        <v>9.5</v>
      </c>
      <c r="P17" t="inlineStr"/>
      <c r="Q17" t="inlineStr"/>
      <c r="R17" t="inlineStr"/>
      <c r="S17" t="n">
        <v>3.484</v>
      </c>
      <c r="T17" t="n">
        <v>0.532</v>
      </c>
      <c r="U17" t="n">
        <v>73.3</v>
      </c>
      <c r="V17" t="inlineStr">
        <is>
          <t>2010_Golder_Caracterizacion ROM IPCC.pdf</t>
        </is>
      </c>
      <c r="W17" t="inlineStr">
        <is>
          <t>Acopio parte baja de chancadora secundaria (hojas de humedad/granulometría p.19-34); muestreado por personal de mina el 29/08/2009; tajo, fase y banco no informados; densidad in situ medida el 02/09/2009 en «Parte baja chancadora secundaria»</t>
        </is>
      </c>
      <c r="X17" t="inlineStr">
        <is>
          <t>ROM. Base textual p.1: «La Fase A corresponde al conjunto de actividades realizadas en el material original procedente del tajo». Contradicción: las hojas de densidad in situ (p.35-38) rotulan «Material Chancado Fase A» en «Parte baja chancadora secundaria».</t>
        </is>
      </c>
      <c r="Y17" t="inlineStr">
        <is>
          <t>483</t>
        </is>
      </c>
      <c r="Z17" t="inlineStr">
        <is>
          <t>Hoja p.30 (ASTM D422/D1140): D60=33.0 mm, D30=8.5 mm, D10=0.8 mm, Cu=41.3, Cc=2.7; D50 y D80 no informados; bloques &gt;12" 4.6 %, cantos 3-12" 15.6 %, grava 58.0 %, arena 19.0 %, finos 2.7 %; SUCS GP; TM 19" (483 mm); Cu/Cc de la figura: 41.3/2.7 (Fig.2)</t>
        </is>
      </c>
      <c r="AA17" t="inlineStr">
        <is>
          <t>Reemplazo de agua ASTM D5030 (p.38): γ húmeda 2.35 t/m³, γd 2.273 t/m³ (= 22.30 kN/m³), w de la hoja 3.4 %</t>
        </is>
      </c>
      <c r="AB17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17" t="n">
        <v>9.5</v>
      </c>
      <c r="AD17" t="inlineStr">
        <is>
          <t>71.4/71.4/71.4</t>
        </is>
      </c>
      <c r="AE17" t="inlineStr">
        <is>
          <t>142.2/142.2/142.2</t>
        </is>
      </c>
      <c r="AF17" t="n">
        <v>7.5</v>
      </c>
      <c r="AG17" t="inlineStr">
        <is>
          <t>no informada (no hay curva de la fracción ensayada; no se recalculó nada)</t>
        </is>
      </c>
      <c r="AH17" t="inlineStr">
        <is>
          <t>Remoldeado a la densidad de campo δ=2.273 gr/cm3 y 6% de humedad, solicitado por el cliente; material &lt;3/8"; método de compactación y número de capas no informados</t>
        </is>
      </c>
      <c r="AI17" t="inlineStr">
        <is>
          <t>22.31/22.33/22.31</t>
        </is>
      </c>
      <c r="AJ17" t="inlineStr">
        <is>
          <t>5.9/5.9/5.9</t>
        </is>
      </c>
      <c r="AK17" t="n">
        <v>3.484</v>
      </c>
      <c r="AL17" t="inlineStr">
        <is>
          <t>ASTM D854 (p.49) sobre la misma litología y fase, impreso como «G. Específica Promedio» en la hoja CU; fracción ensayada en el picnómetro no especificada. Gs grueso C127 bulk = 3.212 (p.48); Tabla 2 da 3.172. Con Gs grueso e0 sería menor.</t>
        </is>
      </c>
      <c r="AM17" t="inlineStr">
        <is>
          <t>0.532/0.531/0.532 (hoja: 0.532/0.531/0.532)</t>
        </is>
      </c>
      <c r="AN17" t="inlineStr">
        <is>
          <t>no informado (B no figura; S final ≈100 % según la hoja)</t>
        </is>
      </c>
      <c r="AO17" t="inlineStr">
        <is>
          <t>no informado</t>
        </is>
      </c>
      <c r="AP17" t="inlineStr">
        <is>
          <t>isotrópica según ASTM D4767 (σ'3c = 394/787/1573 kPa); duración no informada; t50 «-»</t>
        </is>
      </c>
      <c r="AQ17" t="inlineStr">
        <is>
          <t>23.04/23.63/24.11 (γd 2.349/2.409/2.458 g/cm³; e 0.483/0.446/0.417; S final 100.0/99.5/99.3 %)</t>
        </is>
      </c>
      <c r="AR17" t="inlineStr">
        <is>
          <t>no drenado (CU, ASTM D4767)</t>
        </is>
      </c>
      <c r="AS17" t="inlineStr">
        <is>
          <t>0.125/0.125/0.125</t>
        </is>
      </c>
      <c r="AT17" t="inlineStr">
        <is>
          <t>no informada numéricamente (solo gráficos)</t>
        </is>
      </c>
      <c r="AU17" t="inlineStr">
        <is>
          <t>Esfuerzo desviador máximo (hoja Golder)</t>
        </is>
      </c>
      <c r="AV17" t="inlineStr">
        <is>
          <t>no determinable: la hoja Golder solo da el estado de falla y gráficos</t>
        </is>
      </c>
      <c r="AW17" t="inlineStr">
        <is>
          <t>no (solo gráficos q-εa, u-εa, p'-q)</t>
        </is>
      </c>
      <c r="AX17" t="inlineStr">
        <is>
          <t>Hoja Mohr p.99: total c=80 kPa φ=11°; efectiva c'=0 kPa φ'=29°; Tabla 3 (p.9) da estos c y c' en kg/cm² aunque rotula kPa (80→1, 0→0)</t>
        </is>
      </c>
      <c r="AY17" t="inlineStr">
        <is>
          <t>no informado (sin granulometría post-ensayo)</t>
        </is>
      </c>
      <c r="AZ17" t="inlineStr">
        <is>
          <t>73.3 MPa (79.3; 67.3), p.69</t>
        </is>
      </c>
      <c r="BA17" t="inlineStr">
        <is>
          <t>28.8 kg/cm² (4; σc 67.79 MPa), p.77</t>
        </is>
      </c>
      <c r="BB17" t="inlineStr">
        <is>
          <t>37.0, p.53</t>
        </is>
      </c>
      <c r="BC17" t="inlineStr">
        <is>
          <t>5.9 % MgSO4, p.61 (hoja: sulfato de magnesio; texto p.2: sulfato de sodio)</t>
        </is>
      </c>
      <c r="BD17" t="inlineStr">
        <is>
          <t>1.44, p.48</t>
        </is>
      </c>
      <c r="BE17" t="inlineStr">
        <is>
          <t>97-101;8;9;30;38;48;49</t>
        </is>
      </c>
      <c r="BF17" t="inlineStr">
        <is>
          <t>Densidad «de campo» usada para montar = la de la hoja de densidad in situ rotulada «Material Chancado Fase A».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G2010|G2010-A-EXO-4in</t>
        </is>
      </c>
      <c r="B18" t="inlineStr">
        <is>
          <t>G2010</t>
        </is>
      </c>
      <c r="C18" t="inlineStr">
        <is>
          <t>G2010-A-EXO-4in</t>
        </is>
      </c>
      <c r="D18" t="inlineStr">
        <is>
          <t>Skarn</t>
        </is>
      </c>
      <c r="E18" t="inlineStr">
        <is>
          <t>exoskarn diópsido</t>
        </is>
      </c>
      <c r="F18" t="inlineStr"/>
      <c r="G18" t="inlineStr">
        <is>
          <t>ROM</t>
        </is>
      </c>
      <c r="H18" t="inlineStr">
        <is>
          <t>dudosa: muestras del acopio de la chancadora secundaria; hojas de Fase A dicen «Material Chancado»</t>
        </is>
      </c>
      <c r="I18" t="n">
        <v>0</v>
      </c>
      <c r="J18" t="inlineStr">
        <is>
          <t>pequeña (&lt;120 mm)</t>
        </is>
      </c>
      <c r="K18" t="n">
        <v>3</v>
      </c>
      <c r="L18" t="inlineStr">
        <is>
          <t>Triaxial CU</t>
        </is>
      </c>
      <c r="M18" t="n">
        <v>392</v>
      </c>
      <c r="N18" t="n">
        <v>783</v>
      </c>
      <c r="O18" t="n">
        <v>15.9</v>
      </c>
      <c r="P18" t="inlineStr"/>
      <c r="Q18" t="inlineStr"/>
      <c r="R18" t="inlineStr"/>
      <c r="S18" t="n">
        <v>3.484</v>
      </c>
      <c r="T18" t="n">
        <v>0.695</v>
      </c>
      <c r="U18" t="n">
        <v>73.3</v>
      </c>
      <c r="V18" t="inlineStr">
        <is>
          <t>2010_Golder_Caracterizacion ROM IPCC.pdf</t>
        </is>
      </c>
      <c r="W18" t="inlineStr">
        <is>
          <t>Acopio parte baja de chancadora secundaria (hojas de humedad/granulometría p.19-34); muestreado por personal de mina el 29/08/2009; tajo, fase y banco no informados; densidad in situ medida el 02/09/2009 en «Parte baja chancadora secundaria»</t>
        </is>
      </c>
      <c r="X18" t="inlineStr">
        <is>
          <t>ROM. Base textual p.1: «La Fase A corresponde al conjunto de actividades realizadas en el material original procedente del tajo». Contradicción: las hojas de densidad in situ (p.35-38) rotulan «Material Chancado Fase A» en «Parte baja chancadora secundaria».</t>
        </is>
      </c>
      <c r="Y18" t="inlineStr">
        <is>
          <t>483</t>
        </is>
      </c>
      <c r="Z18" t="inlineStr">
        <is>
          <t>Hoja p.30 (ASTM D422/D1140): D60=33.0 mm, D30=8.5 mm, D10=0.8 mm, Cu=41.3, Cc=2.7; D50 y D80 no informados; bloques &gt;12" 4.6 %, cantos 3-12" 15.6 %, grava 58.0 %, arena 19.0 %, finos 2.7 %; SUCS GP; TM 19" (483 mm); Cu/Cc de la figura: 41.3/2.7 (Fig.2)</t>
        </is>
      </c>
      <c r="AA18" t="inlineStr">
        <is>
          <t>Reemplazo de agua ASTM D5030 (p.38): γ húmeda 2.35 t/m³, γd 2.273 t/m³ (= 22.30 kN/m³), w de la hoja 3.4 %</t>
        </is>
      </c>
      <c r="AB18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18" t="n">
        <v>15.9</v>
      </c>
      <c r="AD18" t="inlineStr">
        <is>
          <t>100.7/101.1/101.1</t>
        </is>
      </c>
      <c r="AE18" t="inlineStr">
        <is>
          <t>200.4/211.1/211.1</t>
        </is>
      </c>
      <c r="AF18" t="n">
        <v>6.3</v>
      </c>
      <c r="AG18" t="inlineStr">
        <is>
          <t>no informada (no hay curva de la fracción ensayada; no se recalculó nada)</t>
        </is>
      </c>
      <c r="AH18" t="inlineStr">
        <is>
          <t>Remoldeado a la densidad mínima δ=2.180 gr/cm3 y 6% de humedad, solicitado por el cliente; material &lt;5/8"; método de compactación y número de capas no informados</t>
        </is>
      </c>
      <c r="AI18" t="inlineStr">
        <is>
          <t>21.39/20.17/20.07</t>
        </is>
      </c>
      <c r="AJ18" t="inlineStr">
        <is>
          <t>5.6/5.5/5.5</t>
        </is>
      </c>
      <c r="AK18" t="n">
        <v>3.484</v>
      </c>
      <c r="AL18" t="inlineStr">
        <is>
          <t>ASTM D854 (p.49) sobre la misma litología y fase, impreso como «G. Específica Promedio» en la hoja CU; fracción ensayada en el picnómetro no especificada. Gs grueso C127 bulk = 3.212 (p.48); Tabla 2 da 3.172. Con Gs grueso e0 sería menor.</t>
        </is>
      </c>
      <c r="AM18" t="inlineStr">
        <is>
          <t>0.598/0.695/0.703 (hoja: 0.598/0.695/0.703)</t>
        </is>
      </c>
      <c r="AN18" t="inlineStr">
        <is>
          <t>no informado (B no figura; S final ≈100 % según la hoja)</t>
        </is>
      </c>
      <c r="AO18" t="inlineStr">
        <is>
          <t>no informado</t>
        </is>
      </c>
      <c r="AP18" t="inlineStr">
        <is>
          <t>isotrópica según ASTM D4767 (σ'3c = 392/588/783 kPa); duración no informada; t50 «-»</t>
        </is>
      </c>
      <c r="AQ18" t="inlineStr">
        <is>
          <t>22.20/21.05/21.61 (γd 2.263/2.146/2.203 g/cm³; e 0.54/0.624/0.582; S final 100.0/100.0/100.0 %)</t>
        </is>
      </c>
      <c r="AR18" t="inlineStr">
        <is>
          <t>no drenado (CU, ASTM D4767)</t>
        </is>
      </c>
      <c r="AS18" t="inlineStr">
        <is>
          <t>0.125/0.125/0.125</t>
        </is>
      </c>
      <c r="AT18" t="inlineStr">
        <is>
          <t>no informada numéricamente (solo gráficos)</t>
        </is>
      </c>
      <c r="AU18" t="inlineStr">
        <is>
          <t>Esfuerzo desviador máximo (hoja Golder)</t>
        </is>
      </c>
      <c r="AV18" t="inlineStr">
        <is>
          <t>no determinable: la hoja Golder solo da el estado de falla y gráficos</t>
        </is>
      </c>
      <c r="AW18" t="inlineStr">
        <is>
          <t>no (solo gráficos q-εa, u-εa, p'-q)</t>
        </is>
      </c>
      <c r="AX18" t="inlineStr">
        <is>
          <t>Hoja Mohr p.114: total c=4 kPa φ=17°; efectiva c'=29 kPa φ'=26°</t>
        </is>
      </c>
      <c r="AY18" t="inlineStr">
        <is>
          <t>no informado (sin granulometría post-ensayo)</t>
        </is>
      </c>
      <c r="AZ18" t="inlineStr">
        <is>
          <t>73.3 MPa (79.3; 67.3), p.69</t>
        </is>
      </c>
      <c r="BA18" t="inlineStr">
        <is>
          <t>28.8 kg/cm² (4; σc 67.79 MPa), p.77</t>
        </is>
      </c>
      <c r="BB18" t="inlineStr">
        <is>
          <t>37.0, p.53</t>
        </is>
      </c>
      <c r="BC18" t="inlineStr">
        <is>
          <t>5.9 % MgSO4, p.61 (hoja: sulfato de magnesio; texto p.2: sulfato de sodio)</t>
        </is>
      </c>
      <c r="BD18" t="inlineStr">
        <is>
          <t>1.44, p.48</t>
        </is>
      </c>
      <c r="BE18" t="inlineStr">
        <is>
          <t>112-116;8;9;30;38;48;49</t>
        </is>
      </c>
      <c r="BF18" t="inlineStr">
        <is>
          <t>Probetas 2 y 3 montadas a γd 2.056 y 2.046 g/cm³, por debajo de la γd mínima de laboratorio 2.175 (p.43) y de la «densidad mínima 2.180» declarada: e0 0.695/0.703 &gt; emax=0.602 (con Gs 3.484). Densidad «de campo» usada para montar = la de la hoja de densidad in situ rotulada «Material Chancado Fase A».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G2010|G2010-A-HG-2.8in</t>
        </is>
      </c>
      <c r="B19" t="inlineStr">
        <is>
          <t>G2010</t>
        </is>
      </c>
      <c r="C19" t="inlineStr">
        <is>
          <t>G2010-A-HG-2.8in</t>
        </is>
      </c>
      <c r="D19" t="inlineStr">
        <is>
          <t>Hornfels</t>
        </is>
      </c>
      <c r="E19" t="inlineStr">
        <is>
          <t>hornfels gris</t>
        </is>
      </c>
      <c r="F19" t="inlineStr"/>
      <c r="G19" t="inlineStr">
        <is>
          <t>ROM</t>
        </is>
      </c>
      <c r="H19" t="inlineStr">
        <is>
          <t>dudosa: muestras del acopio de la chancadora secundaria; hojas de Fase A dicen «Material Chancado»</t>
        </is>
      </c>
      <c r="I19" t="n">
        <v>0</v>
      </c>
      <c r="J19" t="inlineStr">
        <is>
          <t>pequeña (&lt;120 mm)</t>
        </is>
      </c>
      <c r="K19" t="n">
        <v>3</v>
      </c>
      <c r="L19" t="inlineStr">
        <is>
          <t>Triaxial CU</t>
        </is>
      </c>
      <c r="M19" t="n">
        <v>393</v>
      </c>
      <c r="N19" t="n">
        <v>1577</v>
      </c>
      <c r="O19" t="n">
        <v>9.5</v>
      </c>
      <c r="P19" t="inlineStr"/>
      <c r="Q19" t="inlineStr"/>
      <c r="R19" t="inlineStr"/>
      <c r="S19" t="n">
        <v>2.791</v>
      </c>
      <c r="T19" t="n">
        <v>0.377</v>
      </c>
      <c r="U19" t="n">
        <v>49.2</v>
      </c>
      <c r="V19" t="inlineStr">
        <is>
          <t>2010_Golder_Caracterizacion ROM IPCC.pdf</t>
        </is>
      </c>
      <c r="W19" t="inlineStr">
        <is>
          <t>Acopio parte baja de chancadora secundaria (hojas de humedad/granulometría p.19-34); muestreado por personal de mina el 06/07/2009; tajo, fase y banco no informados; densidad in situ medida el 02/09/2009 en «Parte baja chancadora secundaria»</t>
        </is>
      </c>
      <c r="X19" t="inlineStr">
        <is>
          <t>ROM. Base textual p.1: «La Fase A corresponde al conjunto de actividades realizadas en el material original procedente del tajo». Contradicción: las hojas de densidad in situ (p.35-38) rotulan «Material Chancado Fase A» en «Parte baja chancadora secundaria».</t>
        </is>
      </c>
      <c r="Y19" t="inlineStr">
        <is>
          <t>&gt;889</t>
        </is>
      </c>
      <c r="Z19" t="inlineStr">
        <is>
          <t>Hoja p.28 (ASTM D422/D1140): D60=205.0 mm, D30=78.0 mm, D10=20.0 mm, Cu=10.3, Cc=1.5; D50 y D80 no informados; bloques &gt;12" 22.1 %, cantos 3-12" 49.3 %, grava 24.9 %, arena 2.9 %, finos 0.9 %; SUCS GP; TM &gt;35" (94.9 % pasa 35" = 889 mm); Cu/Cc de la figura: 10.3/1.5 (Fig.1)</t>
        </is>
      </c>
      <c r="AA19" t="inlineStr">
        <is>
          <t>Reemplazo de agua ASTM D5030 (p.36): γ húmeda 2.055 t/m³, γd 2.026 t/m³ (= 19.88 kN/m³), w de la hoja 1.44 %</t>
        </is>
      </c>
      <c r="AB19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19" t="n">
        <v>9.5</v>
      </c>
      <c r="AD19" t="inlineStr">
        <is>
          <t>71.7/71.7/71.7</t>
        </is>
      </c>
      <c r="AE19" t="inlineStr">
        <is>
          <t>142.2/142.2/142.2</t>
        </is>
      </c>
      <c r="AF19" t="n">
        <v>7.5</v>
      </c>
      <c r="AG19" t="inlineStr">
        <is>
          <t>no informada (no hay curva de la fracción ensayada; no se recalculó nada)</t>
        </is>
      </c>
      <c r="AH19" t="inlineStr">
        <is>
          <t>Remoldeado a la densidad de campo δ=2.026 gr/cm3 y 6% de humedad, solicitado por el cliente; material &lt;3/8"; método de compactación y número de capas no informados</t>
        </is>
      </c>
      <c r="AI19" t="inlineStr">
        <is>
          <t>19.88/19.88/19.88</t>
        </is>
      </c>
      <c r="AJ19" t="inlineStr">
        <is>
          <t>6.0/6.0/6.0</t>
        </is>
      </c>
      <c r="AK19" t="n">
        <v>2.791</v>
      </c>
      <c r="AL19" t="inlineStr">
        <is>
          <t>ASTM D854 (p.49) sobre la misma litología y fase, impreso como «G. Específica Promedio» en la hoja CU; fracción ensayada en el picnómetro no especificada. Gs grueso C127 bulk = 2.737 (p.48); Tabla 2 da 2.733. Con Gs grueso e0 sería menor.</t>
        </is>
      </c>
      <c r="AM19" t="inlineStr">
        <is>
          <t>0.377/0.377/0.377 (hoja: 0.377/0.377/0.377)</t>
        </is>
      </c>
      <c r="AN19" t="inlineStr">
        <is>
          <t>no informado (B no figura; S final ≈100 % según la hoja)</t>
        </is>
      </c>
      <c r="AO19" t="inlineStr">
        <is>
          <t>no informado</t>
        </is>
      </c>
      <c r="AP19" t="inlineStr">
        <is>
          <t>isotrópica según ASTM D4767 (σ'3c = 393/786/1577 kPa); duración no informada; t50 «-»</t>
        </is>
      </c>
      <c r="AQ19" t="inlineStr">
        <is>
          <t>20.27/20.91/21.16 (γd 2.066/2.131/2.157 g/cm³; e 0.351/0.31/0.294; S final 100.0/100.0/100.0 %)</t>
        </is>
      </c>
      <c r="AR19" t="inlineStr">
        <is>
          <t>no drenado (CU, ASTM D4767)</t>
        </is>
      </c>
      <c r="AS19" t="inlineStr">
        <is>
          <t>0.083/0.083/0.083</t>
        </is>
      </c>
      <c r="AT19" t="inlineStr">
        <is>
          <t>no informada numéricamente (solo gráficos)</t>
        </is>
      </c>
      <c r="AU19" t="inlineStr">
        <is>
          <t>Esfuerzo desviador máximo (hoja Golder)</t>
        </is>
      </c>
      <c r="AV19" t="inlineStr">
        <is>
          <t>no determinable: la hoja Golder solo da el estado de falla y gráficos</t>
        </is>
      </c>
      <c r="AW19" t="inlineStr">
        <is>
          <t>no (solo gráficos q-εa, u-εa, p'-q)</t>
        </is>
      </c>
      <c r="AX19" t="inlineStr">
        <is>
          <t>Hoja Mohr p.89: total c=149 kPa φ=15°; efectiva c'=33 kPa φ'=35°; Tabla 3 (p.9) da estos c y c' en kg/cm² aunque rotula kPa (149→2, 33→0)</t>
        </is>
      </c>
      <c r="AY19" t="inlineStr">
        <is>
          <t>no informado (sin granulometría post-ensayo)</t>
        </is>
      </c>
      <c r="AZ19" t="inlineStr">
        <is>
          <t>49.2 MPa (46.8; 51.6), p.67</t>
        </is>
      </c>
      <c r="BA19" t="inlineStr">
        <is>
          <t>31.1 kg/cm² (4; σc 72.99 MPa), p.75</t>
        </is>
      </c>
      <c r="BB19" t="inlineStr">
        <is>
          <t>23.7, p.51</t>
        </is>
      </c>
      <c r="BC19" t="inlineStr">
        <is>
          <t>0.7 % MgSO4, p.59 (hoja: sulfato de magnesio; texto p.2: sulfato de sodio)</t>
        </is>
      </c>
      <c r="BD19" t="inlineStr">
        <is>
          <t>0.24, p.48</t>
        </is>
      </c>
      <c r="BE19" t="inlineStr">
        <is>
          <t>87-91;8;9;28;36;48;49</t>
        </is>
      </c>
      <c r="BF19" t="inlineStr">
        <is>
          <t>Densidad «de campo» usada para montar = la de la hoja de densidad in situ rotulada «Material Chancado Fase A».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G2010|G2010-A-HG-4in</t>
        </is>
      </c>
      <c r="B20" t="inlineStr">
        <is>
          <t>G2010</t>
        </is>
      </c>
      <c r="C20" t="inlineStr">
        <is>
          <t>G2010-A-HG-4in</t>
        </is>
      </c>
      <c r="D20" t="inlineStr">
        <is>
          <t>Hornfels</t>
        </is>
      </c>
      <c r="E20" t="inlineStr">
        <is>
          <t>hornfels gris</t>
        </is>
      </c>
      <c r="F20" t="inlineStr"/>
      <c r="G20" t="inlineStr">
        <is>
          <t>ROM</t>
        </is>
      </c>
      <c r="H20" t="inlineStr">
        <is>
          <t>dudosa: muestras del acopio de la chancadora secundaria; hojas de Fase A dicen «Material Chancado»</t>
        </is>
      </c>
      <c r="I20" t="n">
        <v>0</v>
      </c>
      <c r="J20" t="inlineStr">
        <is>
          <t>pequeña (&lt;120 mm)</t>
        </is>
      </c>
      <c r="K20" t="n">
        <v>3</v>
      </c>
      <c r="L20" t="inlineStr">
        <is>
          <t>Triaxial CU</t>
        </is>
      </c>
      <c r="M20" t="n">
        <v>392</v>
      </c>
      <c r="N20" t="n">
        <v>785</v>
      </c>
      <c r="O20" t="n">
        <v>15.9</v>
      </c>
      <c r="P20" t="inlineStr"/>
      <c r="Q20" t="inlineStr"/>
      <c r="R20" t="inlineStr"/>
      <c r="S20" t="n">
        <v>2.791</v>
      </c>
      <c r="T20" t="n">
        <v>0.377</v>
      </c>
      <c r="U20" t="n">
        <v>49.2</v>
      </c>
      <c r="V20" t="inlineStr">
        <is>
          <t>2010_Golder_Caracterizacion ROM IPCC.pdf</t>
        </is>
      </c>
      <c r="W20" t="inlineStr">
        <is>
          <t>Acopio parte baja de chancadora secundaria (hojas de humedad/granulometría p.19-34); muestreado por personal de mina el 06/07/2009; tajo, fase y banco no informados; densidad in situ medida el 02/09/2009 en «Parte baja chancadora secundaria»</t>
        </is>
      </c>
      <c r="X20" t="inlineStr">
        <is>
          <t>ROM. Base textual p.1: «La Fase A corresponde al conjunto de actividades realizadas en el material original procedente del tajo». Contradicción: las hojas de densidad in situ (p.35-38) rotulan «Material Chancado Fase A» en «Parte baja chancadora secundaria».</t>
        </is>
      </c>
      <c r="Y20" t="inlineStr">
        <is>
          <t>&gt;889</t>
        </is>
      </c>
      <c r="Z20" t="inlineStr">
        <is>
          <t>Hoja p.28 (ASTM D422/D1140): D60=205.0 mm, D30=78.0 mm, D10=20.0 mm, Cu=10.3, Cc=1.5; D50 y D80 no informados; bloques &gt;12" 22.1 %, cantos 3-12" 49.3 %, grava 24.9 %, arena 2.9 %, finos 0.9 %; SUCS GP; TM &gt;35" (94.9 % pasa 35" = 889 mm); Cu/Cc de la figura: 10.3/1.5 (Fig.1)</t>
        </is>
      </c>
      <c r="AA20" t="inlineStr">
        <is>
          <t>Reemplazo de agua ASTM D5030 (p.36): γ húmeda 2.055 t/m³, γd 2.026 t/m³ (= 19.88 kN/m³), w de la hoja 1.44 %</t>
        </is>
      </c>
      <c r="AB20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0" t="n">
        <v>15.9</v>
      </c>
      <c r="AD20" t="inlineStr">
        <is>
          <t>102.2/102.2/102.2</t>
        </is>
      </c>
      <c r="AE20" t="inlineStr">
        <is>
          <t>203.5/204.0/203.5</t>
        </is>
      </c>
      <c r="AF20" t="n">
        <v>6.4</v>
      </c>
      <c r="AG20" t="inlineStr">
        <is>
          <t>no informada (no hay curva de la fracción ensayada; no se recalculó nada)</t>
        </is>
      </c>
      <c r="AH20" t="inlineStr">
        <is>
          <t>Remoldeado a la densidad de campo δ=2.026 gr/cm3 y 4% de humedad, solicitado por el cliente; material &lt;5/8"; método de compactación y número de capas no informados</t>
        </is>
      </c>
      <c r="AI20" t="inlineStr">
        <is>
          <t>19.88/19.84/19.88</t>
        </is>
      </c>
      <c r="AJ20" t="inlineStr">
        <is>
          <t>4.0/4.0/4.0</t>
        </is>
      </c>
      <c r="AK20" t="n">
        <v>2.791</v>
      </c>
      <c r="AL20" t="inlineStr">
        <is>
          <t>ASTM D854 (p.49) sobre la misma litología y fase, impreso como «G. Específica Promedio» en la hoja CU; fracción ensayada en el picnómetro no especificada. Gs grueso C127 bulk = 2.737 (p.48); Tabla 2 da 2.733. Con Gs grueso e0 sería menor.</t>
        </is>
      </c>
      <c r="AM20" t="inlineStr">
        <is>
          <t>0.377/0.380/0.377 (hoja: 0.377/0.381/0.377)</t>
        </is>
      </c>
      <c r="AN20" t="inlineStr">
        <is>
          <t>no informado (B no figura; S final ≈100 % según la hoja)</t>
        </is>
      </c>
      <c r="AO20" t="inlineStr">
        <is>
          <t>no informado</t>
        </is>
      </c>
      <c r="AP20" t="inlineStr">
        <is>
          <t>isotrópica según ASTM D4767 (σ'3c = 392/591/785 kPa); duración no informada; t50 «-»</t>
        </is>
      </c>
      <c r="AQ20" t="inlineStr">
        <is>
          <t>20.61/20.74/20.98 (γd 2.101/2.114/2.139 g/cm³; e 0.328/0.321/0.305; S final 99.8/99.9/100.0 %)</t>
        </is>
      </c>
      <c r="AR20" t="inlineStr">
        <is>
          <t>no drenado (CU, ASTM D4767)</t>
        </is>
      </c>
      <c r="AS20" t="inlineStr">
        <is>
          <t>0.083/0.083/0.083</t>
        </is>
      </c>
      <c r="AT20" t="inlineStr">
        <is>
          <t>no informada numéricamente (solo gráficos)</t>
        </is>
      </c>
      <c r="AU20" t="inlineStr">
        <is>
          <t>Esfuerzo desviador máximo (hoja Golder)</t>
        </is>
      </c>
      <c r="AV20" t="inlineStr">
        <is>
          <t>no determinable: la hoja Golder solo da el estado de falla y gráficos</t>
        </is>
      </c>
      <c r="AW20" t="inlineStr">
        <is>
          <t>no (solo gráficos q-εa, u-εa, p'-q)</t>
        </is>
      </c>
      <c r="AX20" t="inlineStr">
        <is>
          <t>Hoja Mohr p.104: total c=376 kPa φ=3°; efectiva c'=272 kPa φ'=14°</t>
        </is>
      </c>
      <c r="AY20" t="inlineStr">
        <is>
          <t>no informado (sin granulometría post-ensayo)</t>
        </is>
      </c>
      <c r="AZ20" t="inlineStr">
        <is>
          <t>49.2 MPa (46.8; 51.6), p.67</t>
        </is>
      </c>
      <c r="BA20" t="inlineStr">
        <is>
          <t>31.1 kg/cm² (4; σc 72.99 MPa), p.75</t>
        </is>
      </c>
      <c r="BB20" t="inlineStr">
        <is>
          <t>23.7, p.51</t>
        </is>
      </c>
      <c r="BC20" t="inlineStr">
        <is>
          <t>0.7 % MgSO4, p.59 (hoja: sulfato de magnesio; texto p.2: sulfato de sodio)</t>
        </is>
      </c>
      <c r="BD20" t="inlineStr">
        <is>
          <t>0.24, p.48</t>
        </is>
      </c>
      <c r="BE20" t="inlineStr">
        <is>
          <t>102-106;8;9;28;36;48;49</t>
        </is>
      </c>
      <c r="BF20" t="inlineStr">
        <is>
          <t>Densidad «de campo» usada para montar = la de la hoja de densidad in situ rotulada «Material Chancado Fase A».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G2010|G2010-A-INT-2.8in</t>
        </is>
      </c>
      <c r="B21" t="inlineStr">
        <is>
          <t>G2010</t>
        </is>
      </c>
      <c r="C21" t="inlineStr">
        <is>
          <t>G2010-A-INT-2.8in</t>
        </is>
      </c>
      <c r="D21" t="inlineStr">
        <is>
          <t>Intrusivo</t>
        </is>
      </c>
      <c r="E21" t="inlineStr"/>
      <c r="F21" t="inlineStr"/>
      <c r="G21" t="inlineStr">
        <is>
          <t>ROM</t>
        </is>
      </c>
      <c r="H21" t="inlineStr">
        <is>
          <t>dudosa: muestras del acopio de la chancadora secundaria; hojas de Fase A dicen «Material Chancado»</t>
        </is>
      </c>
      <c r="I21" t="n">
        <v>0</v>
      </c>
      <c r="J21" t="inlineStr">
        <is>
          <t>pequeña (&lt;120 mm)</t>
        </is>
      </c>
      <c r="K21" t="n">
        <v>3</v>
      </c>
      <c r="L21" t="inlineStr">
        <is>
          <t>Triaxial CU</t>
        </is>
      </c>
      <c r="M21" t="n">
        <v>394</v>
      </c>
      <c r="N21" t="n">
        <v>1570</v>
      </c>
      <c r="O21" t="n">
        <v>9.5</v>
      </c>
      <c r="P21" t="inlineStr"/>
      <c r="Q21" t="inlineStr"/>
      <c r="R21" t="inlineStr"/>
      <c r="S21" t="n">
        <v>2.674</v>
      </c>
      <c r="T21" t="n">
        <v>0.434</v>
      </c>
      <c r="U21" t="n">
        <v>46.8</v>
      </c>
      <c r="V21" t="inlineStr">
        <is>
          <t>2010_Golder_Caracterizacion ROM IPCC.pdf</t>
        </is>
      </c>
      <c r="W21" t="inlineStr">
        <is>
          <t>Acopio parte baja de chancadora secundaria (hojas de humedad/granulometría p.19-34); muestreado por personal de mina el 07/07/2009; tajo, fase y banco no informados; densidad in situ medida el 02/09/2009 en «Parte baja chancadora secundaria»</t>
        </is>
      </c>
      <c r="X21" t="inlineStr">
        <is>
          <t>ROM. Base textual p.1: «La Fase A corresponde al conjunto de actividades realizadas en el material original procedente del tajo». Contradicción: las hojas de densidad in situ (p.35-38) rotulan «Material Chancado Fase A» en «Parte baja chancadora secundaria».</t>
        </is>
      </c>
      <c r="Y21" t="inlineStr">
        <is>
          <t>762</t>
        </is>
      </c>
      <c r="Z21" t="inlineStr">
        <is>
          <t>Hoja p.29 (ASTM D422/D1140): D60=183.0 mm, D30=55.0 mm, D10=9.0 mm, Cu=20.3, Cc=1.8; D50 y D80 no informados; bloques &gt;12" 21.8 %, cantos 3-12" 38.8 %, grava 31.4 %, arena 6.5 %, finos 1.6 %; SUCS GP; TM 30" (762 mm); Cu/Cc de la figura: 30.3/1.8 (Fig.4: Cu mal copiado; hoja 20.3)</t>
        </is>
      </c>
      <c r="AA21" t="inlineStr">
        <is>
          <t>Reemplazo de agua ASTM D5030 (p.37): γ húmeda 1.931 t/m³, γd 1.865 t/m³ (= 18.30 kN/m³), w de la hoja 3.5 %</t>
        </is>
      </c>
      <c r="AB21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1" t="n">
        <v>9.5</v>
      </c>
      <c r="AD21" t="inlineStr">
        <is>
          <t>71.7/71.7/71.7</t>
        </is>
      </c>
      <c r="AE21" t="inlineStr">
        <is>
          <t>142.2/142.2/142.2</t>
        </is>
      </c>
      <c r="AF21" t="n">
        <v>7.5</v>
      </c>
      <c r="AG21" t="inlineStr">
        <is>
          <t>no informada (no hay curva de la fracción ensayada; no se recalculó nada)</t>
        </is>
      </c>
      <c r="AH21" t="inlineStr">
        <is>
          <t>Remoldeado a la densidad de campo δ=1.863 gr/cm3 y 9% de humedad, solicitado por el cliente; material &lt;3/8"; método de compactación y número de capas no informados</t>
        </is>
      </c>
      <c r="AI21" t="inlineStr">
        <is>
          <t>18.29/18.29/18.29</t>
        </is>
      </c>
      <c r="AJ21" t="inlineStr">
        <is>
          <t>9.0/9.0/9.0</t>
        </is>
      </c>
      <c r="AK21" t="n">
        <v>2.674</v>
      </c>
      <c r="AL21" t="inlineStr">
        <is>
          <t>ASTM D854 (p.49) sobre la misma litología y fase, impreso como «G. Específica Promedio» en la hoja CU; fracción ensayada en el picnómetro no especificada. Gs grueso C127 bulk = 2.461 (p.48); Tabla 2 da 2.451. Con Gs grueso e0 sería menor.</t>
        </is>
      </c>
      <c r="AM21" t="inlineStr">
        <is>
          <t>0.435/0.435/0.435 (hoja: 0.434/0.434/0.434)</t>
        </is>
      </c>
      <c r="AN21" t="inlineStr">
        <is>
          <t>no informado (B no figura; S final ≈100 % según la hoja)</t>
        </is>
      </c>
      <c r="AO21" t="inlineStr">
        <is>
          <t>no informado</t>
        </is>
      </c>
      <c r="AP21" t="inlineStr">
        <is>
          <t>isotrópica según ASTM D4767 (σ'3c = 394/788/1570 kPa); duración no informada; t50 «-»</t>
        </is>
      </c>
      <c r="AQ21" t="inlineStr">
        <is>
          <t>18.75/18.90/19.06 (γd 1.911/1.927/1.943 g/cm³; e 0.4/0.388/0.376; S final 100.0/99.8/99.9 %)</t>
        </is>
      </c>
      <c r="AR21" t="inlineStr">
        <is>
          <t>no drenado (CU, ASTM D4767)</t>
        </is>
      </c>
      <c r="AS21" t="inlineStr">
        <is>
          <t>0.083/0.083/0.083</t>
        </is>
      </c>
      <c r="AT21" t="inlineStr">
        <is>
          <t>no informada numéricamente (solo gráficos)</t>
        </is>
      </c>
      <c r="AU21" t="inlineStr">
        <is>
          <t>Esfuerzo desviador máximo (hoja Golder)</t>
        </is>
      </c>
      <c r="AV21" t="inlineStr">
        <is>
          <t>no determinable: la hoja Golder solo da el estado de falla y gráficos</t>
        </is>
      </c>
      <c r="AW21" t="inlineStr">
        <is>
          <t>no (solo gráficos q-εa, u-εa, p'-q)</t>
        </is>
      </c>
      <c r="AX21" t="inlineStr">
        <is>
          <t>Hoja Mohr p.94: total c=313 kPa φ=10°; efectiva c'=103 kPa φ'=30°; Tabla 3 (p.9) da estos c y c' en kg/cm² aunque rotula kPa (313→3, 103→1)</t>
        </is>
      </c>
      <c r="AY21" t="inlineStr">
        <is>
          <t>no informado (sin granulometría post-ensayo)</t>
        </is>
      </c>
      <c r="AZ21" t="inlineStr">
        <is>
          <t>46.8 MPa (48.4; 45.1), p.68</t>
        </is>
      </c>
      <c r="BA21" t="inlineStr">
        <is>
          <t>34.2 kg/cm² (4; σc 80.56 MPa), p.76</t>
        </is>
      </c>
      <c r="BB21" t="inlineStr">
        <is>
          <t>49.8, p.52</t>
        </is>
      </c>
      <c r="BC21" t="inlineStr">
        <is>
          <t>33.4 % MgSO4, p.60 (hoja: sulfato de magnesio; texto p.2: sulfato de sodio)</t>
        </is>
      </c>
      <c r="BD21" t="inlineStr">
        <is>
          <t>1.66, p.48</t>
        </is>
      </c>
      <c r="BE21" t="inlineStr">
        <is>
          <t>92-96;8;9;29;37;48;49</t>
        </is>
      </c>
      <c r="BF21" t="inlineStr">
        <is>
          <t>Densidad «de campo» usada para montar = la de la hoja de densidad in situ rotulada «Material Chancado Fase A».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G2010|G2010-A-INT-4in</t>
        </is>
      </c>
      <c r="B22" t="inlineStr">
        <is>
          <t>G2010</t>
        </is>
      </c>
      <c r="C22" t="inlineStr">
        <is>
          <t>G2010-A-INT-4in</t>
        </is>
      </c>
      <c r="D22" t="inlineStr">
        <is>
          <t>Intrusivo</t>
        </is>
      </c>
      <c r="E22" t="inlineStr"/>
      <c r="F22" t="inlineStr"/>
      <c r="G22" t="inlineStr">
        <is>
          <t>ROM</t>
        </is>
      </c>
      <c r="H22" t="inlineStr">
        <is>
          <t>dudosa: muestras del acopio de la chancadora secundaria; hojas de Fase A dicen «Material Chancado»</t>
        </is>
      </c>
      <c r="I22" t="n">
        <v>0</v>
      </c>
      <c r="J22" t="inlineStr">
        <is>
          <t>pequeña (&lt;120 mm)</t>
        </is>
      </c>
      <c r="K22" t="n">
        <v>3</v>
      </c>
      <c r="L22" t="inlineStr">
        <is>
          <t>Triaxial CU</t>
        </is>
      </c>
      <c r="M22" t="n">
        <v>393</v>
      </c>
      <c r="N22" t="n">
        <v>786</v>
      </c>
      <c r="O22" t="n">
        <v>15.9</v>
      </c>
      <c r="P22" t="inlineStr"/>
      <c r="Q22" t="inlineStr"/>
      <c r="R22" t="inlineStr"/>
      <c r="S22" t="n">
        <v>2.674</v>
      </c>
      <c r="T22" t="n">
        <v>0.435</v>
      </c>
      <c r="U22" t="n">
        <v>46.8</v>
      </c>
      <c r="V22" t="inlineStr">
        <is>
          <t>2010_Golder_Caracterizacion ROM IPCC.pdf</t>
        </is>
      </c>
      <c r="W22" t="inlineStr">
        <is>
          <t>Acopio parte baja de chancadora secundaria (hojas de humedad/granulometría p.19-34); muestreado por personal de mina el 07/07/2009; tajo, fase y banco no informados; densidad in situ medida el 02/09/2009 en «Parte baja chancadora secundaria»</t>
        </is>
      </c>
      <c r="X22" t="inlineStr">
        <is>
          <t>ROM. Base textual p.1: «La Fase A corresponde al conjunto de actividades realizadas en el material original procedente del tajo». Contradicción: las hojas de densidad in situ (p.35-38) rotulan «Material Chancado Fase A» en «Parte baja chancadora secundaria».</t>
        </is>
      </c>
      <c r="Y22" t="inlineStr">
        <is>
          <t>762</t>
        </is>
      </c>
      <c r="Z22" t="inlineStr">
        <is>
          <t>Hoja p.29 (ASTM D422/D1140): D60=183.0 mm, D30=55.0 mm, D10=9.0 mm, Cu=20.3, Cc=1.8; D50 y D80 no informados; bloques &gt;12" 21.8 %, cantos 3-12" 38.8 %, grava 31.4 %, arena 6.5 %, finos 1.6 %; SUCS GP; TM 30" (762 mm); Cu/Cc de la figura: 30.3/1.8 (Fig.4: Cu mal copiado; hoja 20.3)</t>
        </is>
      </c>
      <c r="AA22" t="inlineStr">
        <is>
          <t>Reemplazo de agua ASTM D5030 (p.37): γ húmeda 1.931 t/m³, γd 1.865 t/m³ (= 18.30 kN/m³), w de la hoja 3.5 %</t>
        </is>
      </c>
      <c r="AB22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2" t="n">
        <v>15.9</v>
      </c>
      <c r="AD22" t="inlineStr">
        <is>
          <t>102.2/102.2/102.2</t>
        </is>
      </c>
      <c r="AE22" t="inlineStr">
        <is>
          <t>203.5/203.4/203.5</t>
        </is>
      </c>
      <c r="AF22" t="n">
        <v>6.4</v>
      </c>
      <c r="AG22" t="inlineStr">
        <is>
          <t>no informada (no hay curva de la fracción ensayada; no se recalculó nada)</t>
        </is>
      </c>
      <c r="AH22" t="inlineStr">
        <is>
          <t>Remoldeado a la densidad de campo δ=1.863 gr/cm3 y 9% de humedad, solicitado por el cliente; material &lt;5/8"; método de compactación y número de capas no informados</t>
        </is>
      </c>
      <c r="AI22" t="inlineStr">
        <is>
          <t>18.28/18.28/18.28</t>
        </is>
      </c>
      <c r="AJ22" t="inlineStr">
        <is>
          <t>9.0/9.0/9.0</t>
        </is>
      </c>
      <c r="AK22" t="n">
        <v>2.674</v>
      </c>
      <c r="AL22" t="inlineStr">
        <is>
          <t>ASTM D854 (p.49) sobre la misma litología y fase, impreso como «G. Específica Promedio» en la hoja CU; fracción ensayada en el picnómetro no especificada. Gs grueso C127 bulk = 2.461 (p.48); Tabla 2 da 2.451. Con Gs grueso e0 sería menor.</t>
        </is>
      </c>
      <c r="AM22" t="inlineStr">
        <is>
          <t>0.435/0.435/0.435 (hoja: 0.435/0.435/0.435)</t>
        </is>
      </c>
      <c r="AN22" t="inlineStr">
        <is>
          <t>no informado (B no figura; S final ≈100 % según la hoja)</t>
        </is>
      </c>
      <c r="AO22" t="inlineStr">
        <is>
          <t>no informado</t>
        </is>
      </c>
      <c r="AP22" t="inlineStr">
        <is>
          <t>isotrópica según ASTM D4767 (σ'3c = 393/590/786 kPa); duración no informada; t50 «-»</t>
        </is>
      </c>
      <c r="AQ22" t="inlineStr">
        <is>
          <t>18.55/18.60/18.63 (γd 1.891/1.896/1.899 g/cm³; e 0.414/0.41/0.408; S final 100.0/99.9/100.0 %)</t>
        </is>
      </c>
      <c r="AR22" t="inlineStr">
        <is>
          <t>no drenado (CU, ASTM D4767)</t>
        </is>
      </c>
      <c r="AS22" t="inlineStr">
        <is>
          <t>0.083/0.083/0.083</t>
        </is>
      </c>
      <c r="AT22" t="inlineStr">
        <is>
          <t>no informada numéricamente (solo gráficos)</t>
        </is>
      </c>
      <c r="AU22" t="inlineStr">
        <is>
          <t>Esfuerzo desviador máximo (hoja Golder)</t>
        </is>
      </c>
      <c r="AV22" t="inlineStr">
        <is>
          <t>no determinable: la hoja Golder solo da el estado de falla y gráficos</t>
        </is>
      </c>
      <c r="AW22" t="inlineStr">
        <is>
          <t>no (solo gráficos q-εa, u-εa, p'-q)</t>
        </is>
      </c>
      <c r="AX22" t="inlineStr">
        <is>
          <t>Hoja Mohr p.109: total c=0 kPa φ=17°; efectiva c'=0 kPa φ'=36°</t>
        </is>
      </c>
      <c r="AY22" t="inlineStr">
        <is>
          <t>no informado (sin granulometría post-ensayo)</t>
        </is>
      </c>
      <c r="AZ22" t="inlineStr">
        <is>
          <t>46.8 MPa (48.4; 45.1), p.68</t>
        </is>
      </c>
      <c r="BA22" t="inlineStr">
        <is>
          <t>34.2 kg/cm² (4; σc 80.56 MPa), p.76</t>
        </is>
      </c>
      <c r="BB22" t="inlineStr">
        <is>
          <t>49.8, p.52</t>
        </is>
      </c>
      <c r="BC22" t="inlineStr">
        <is>
          <t>33.4 % MgSO4, p.60 (hoja: sulfato de magnesio; texto p.2: sulfato de sodio)</t>
        </is>
      </c>
      <c r="BD22" t="inlineStr">
        <is>
          <t>1.66, p.48</t>
        </is>
      </c>
      <c r="BE22" t="inlineStr">
        <is>
          <t>107-111;8;9;29;37;48;49</t>
        </is>
      </c>
      <c r="BF22" t="inlineStr">
        <is>
          <t>Densidad «de campo» usada para montar = la de la hoja de densidad in situ rotulada «Material Chancado Fase A».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G2010|G2010-A-MN-2.8in</t>
        </is>
      </c>
      <c r="B23" t="inlineStr">
        <is>
          <t>G2010</t>
        </is>
      </c>
      <c r="C23" t="inlineStr">
        <is>
          <t>G2010-A-MN-2.8in</t>
        </is>
      </c>
      <c r="D23" t="inlineStr">
        <is>
          <t>Mármol</t>
        </is>
      </c>
      <c r="E23" t="inlineStr">
        <is>
          <t>mármol negro</t>
        </is>
      </c>
      <c r="F23" t="inlineStr"/>
      <c r="G23" t="inlineStr">
        <is>
          <t>ROM</t>
        </is>
      </c>
      <c r="H23" t="inlineStr">
        <is>
          <t>dudosa: muestras del acopio de la chancadora secundaria; hojas de Fase A dicen «Material Chancado»</t>
        </is>
      </c>
      <c r="I23" t="n">
        <v>0</v>
      </c>
      <c r="J23" t="inlineStr">
        <is>
          <t>pequeña (&lt;120 mm)</t>
        </is>
      </c>
      <c r="K23" t="n">
        <v>3</v>
      </c>
      <c r="L23" t="inlineStr">
        <is>
          <t>Triaxial CU</t>
        </is>
      </c>
      <c r="M23" t="n">
        <v>324</v>
      </c>
      <c r="N23" t="n">
        <v>1570</v>
      </c>
      <c r="O23" t="n">
        <v>9.5</v>
      </c>
      <c r="P23" t="inlineStr"/>
      <c r="Q23" t="inlineStr"/>
      <c r="R23" t="inlineStr"/>
      <c r="S23" t="n">
        <v>2.763</v>
      </c>
      <c r="T23" t="n">
        <v>0.29</v>
      </c>
      <c r="U23" t="n">
        <v>44.7</v>
      </c>
      <c r="V23" t="inlineStr">
        <is>
          <t>2010_Golder_Caracterizacion ROM IPCC.pdf</t>
        </is>
      </c>
      <c r="W23" t="inlineStr">
        <is>
          <t>Acopio parte baja de chancadora secundaria (hojas de humedad/granulometría p.19-34); muestreado por personal de mina el 02/07/2009; tajo, fase y banco no informados; densidad in situ medida el 02/09/2009 en «Parte baja chancadora secundaria»</t>
        </is>
      </c>
      <c r="X23" t="inlineStr">
        <is>
          <t>ROM. Base textual p.1: «La Fase A corresponde al conjunto de actividades realizadas en el material original procedente del tajo». Contradicción: las hojas de densidad in situ (p.35-38) rotulan «Material Chancado Fase A» en «Parte baja chancadora secundaria».</t>
        </is>
      </c>
      <c r="Y23" t="inlineStr">
        <is>
          <t>889</t>
        </is>
      </c>
      <c r="Z23" t="inlineStr">
        <is>
          <t>Hoja p.27 (ASTM D422/D1140): D60=265.0 mm, D30=60.0 mm, D10=3.0 mm, Cu=88.3, Cc=4.5; D50 y D80 no informados; bloques &gt;12" 35.1 %, cantos 3-12" 30.2 %, grava 23.6 %, arena 8.3 %, finos 2.8 %; SUCS GP-GM; TM 35" (889 mm); 100 % pasa 35"; Cu/Cc de la figura: 88.3/4.5 (Fig.3)</t>
        </is>
      </c>
      <c r="AA23" t="inlineStr">
        <is>
          <t>Reemplazo de agua ASTM D5030 (p.35): γ húmeda 2.185 t/m³, γd 2.135 t/m³ (= 20.94 kN/m³), w de la hoja 2.4 %</t>
        </is>
      </c>
      <c r="AB23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3" t="n">
        <v>9.5</v>
      </c>
      <c r="AD23" t="inlineStr">
        <is>
          <t>71.4/71.5/71.4</t>
        </is>
      </c>
      <c r="AE23" t="inlineStr">
        <is>
          <t>142.5/142.5/142.5</t>
        </is>
      </c>
      <c r="AF23" t="n">
        <v>7.5</v>
      </c>
      <c r="AG23" t="inlineStr">
        <is>
          <t>no informada (no hay curva de la fracción ensayada; no se recalculó nada)</t>
        </is>
      </c>
      <c r="AH23" t="inlineStr">
        <is>
          <t>Remoldeado a la densidad de campo δ=2.135 gr/cm3 y 7% de humedad, solicitado por el cliente; material &lt;3/8"; método de compactación y número de capas no informados</t>
        </is>
      </c>
      <c r="AI23" t="inlineStr">
        <is>
          <t>21.00/20.93/21.00</t>
        </is>
      </c>
      <c r="AJ23" t="inlineStr">
        <is>
          <t>7.0/7.0/7.0</t>
        </is>
      </c>
      <c r="AK23" t="n">
        <v>2.763</v>
      </c>
      <c r="AL23" t="inlineStr">
        <is>
          <t>ASTM D854 (p.49) sobre la misma litología y fase, impreso como «G. Específica Promedio» en la hoja CU; fracción ensayada en el picnómetro no especificada. Gs grueso C127 bulk = 2.717 (p.48); Tabla 2 da 2.696. Con Gs grueso e0 sería menor.</t>
        </is>
      </c>
      <c r="AM23" t="inlineStr">
        <is>
          <t>0.291/0.295/0.291 (hoja: 0.29/0.295/0.29)</t>
        </is>
      </c>
      <c r="AN23" t="inlineStr">
        <is>
          <t>no informado (B no figura; S final ≈100 % según la hoja)</t>
        </is>
      </c>
      <c r="AO23" t="inlineStr">
        <is>
          <t>no informado</t>
        </is>
      </c>
      <c r="AP23" t="inlineStr">
        <is>
          <t>isotrópica según ASTM D4767 (σ'3c = 324/788/1570 kPa); duración no informada; t50 «-»</t>
        </is>
      </c>
      <c r="AQ23" t="inlineStr">
        <is>
          <t>21.37/21.57/21.77 (γd 2.178/2.199/2.219 g/cm³; e 0.269/0.256/0.245; S final 100.0/99.9/100.0 %)</t>
        </is>
      </c>
      <c r="AR23" t="inlineStr">
        <is>
          <t>no drenado (CU, ASTM D4767)</t>
        </is>
      </c>
      <c r="AS23" t="inlineStr">
        <is>
          <t>0.083/0.083/0.083</t>
        </is>
      </c>
      <c r="AT23" t="inlineStr">
        <is>
          <t>no informada numéricamente (solo gráficos)</t>
        </is>
      </c>
      <c r="AU23" t="inlineStr">
        <is>
          <t>Esfuerzo desviador máximo (hoja Golder)</t>
        </is>
      </c>
      <c r="AV23" t="inlineStr">
        <is>
          <t>no determinable: la hoja Golder solo da el estado de falla y gráficos</t>
        </is>
      </c>
      <c r="AW23" t="inlineStr">
        <is>
          <t>no (solo gráficos q-εa, u-εa, p'-q)</t>
        </is>
      </c>
      <c r="AX23" t="inlineStr">
        <is>
          <t>Hoja Mohr p.84: total c=871 kPa φ=10°; efectiva c'=259 kPa φ'=31°; Tabla 3 (p.9) da estos c y c' en kg/cm² aunque rotula kPa (871→9, 259→3)</t>
        </is>
      </c>
      <c r="AY23" t="inlineStr">
        <is>
          <t>no informado (sin granulometría post-ensayo)</t>
        </is>
      </c>
      <c r="AZ23" t="inlineStr">
        <is>
          <t>44.7 MPa (41.0; 48.3), ASTM D2938, 2 probetas, p.66</t>
        </is>
      </c>
      <c r="BA23" t="inlineStr">
        <is>
          <t>13.7 kg/cm² (4 probetas; σc PL 32.24 MPa), p.74</t>
        </is>
      </c>
      <c r="BB23" t="inlineStr">
        <is>
          <t>62.1 (C535), p.50</t>
        </is>
      </c>
      <c r="BC23" t="inlineStr">
        <is>
          <t>43.4 % MgSO4, p.58 (hoja: sulfato de magnesio; texto p.2: sulfato de sodio)</t>
        </is>
      </c>
      <c r="BD23" t="inlineStr">
        <is>
          <t>0.34 (C127), p.48</t>
        </is>
      </c>
      <c r="BE23" t="inlineStr">
        <is>
          <t>82-86;8;9;27;35;48;49</t>
        </is>
      </c>
      <c r="BF23" t="inlineStr">
        <is>
          <t>Densidad «de campo» usada para montar = la de la hoja de densidad in situ rotulada «Material Chancado Fase A».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G2010|G2010-B-EXO-2.8in</t>
        </is>
      </c>
      <c r="B24" t="inlineStr">
        <is>
          <t>G2010</t>
        </is>
      </c>
      <c r="C24" t="inlineStr">
        <is>
          <t>G2010-B-EXO-2.8in</t>
        </is>
      </c>
      <c r="D24" t="inlineStr">
        <is>
          <t>Skarn</t>
        </is>
      </c>
      <c r="E24" t="inlineStr">
        <is>
          <t>exoskarn diópsido</t>
        </is>
      </c>
      <c r="F24" t="inlineStr"/>
      <c r="G24" t="inlineStr">
        <is>
          <t>Chancado</t>
        </is>
      </c>
      <c r="H24" t="inlineStr">
        <is>
          <t>dudosa: muestras del acopio de la chancadora secundaria; hojas de Fase A dicen «Material Chancado»</t>
        </is>
      </c>
      <c r="I24" t="n">
        <v>0</v>
      </c>
      <c r="J24" t="inlineStr">
        <is>
          <t>pequeña (&lt;120 mm)</t>
        </is>
      </c>
      <c r="K24" t="n">
        <v>3</v>
      </c>
      <c r="L24" t="inlineStr">
        <is>
          <t>Triaxial CU</t>
        </is>
      </c>
      <c r="M24" t="n">
        <v>393</v>
      </c>
      <c r="N24" t="n">
        <v>1568</v>
      </c>
      <c r="O24" t="n">
        <v>9.5</v>
      </c>
      <c r="P24" t="inlineStr"/>
      <c r="Q24" t="inlineStr"/>
      <c r="R24" t="inlineStr"/>
      <c r="S24" t="n">
        <v>3.338</v>
      </c>
      <c r="T24" t="n">
        <v>0.416</v>
      </c>
      <c r="U24" t="n">
        <v>97.40000000000001</v>
      </c>
      <c r="V24" t="inlineStr">
        <is>
          <t>2010_Golder_Caracterizacion ROM IPCC.pdf</t>
        </is>
      </c>
      <c r="W24" t="inlineStr">
        <is>
          <t>Acopio parte baja de chancadora secundaria (hojas de humedad/granulometría p.19-34); muestreado por personal de mina el 23/09/2009; tajo, fase y banco no informados; densidad in situ medida el 25/09/2009 en «Parte baja chancadora secundaria»</t>
        </is>
      </c>
      <c r="X24" t="inlineStr">
        <is>
          <t>Chancado. Base textual p.1: «La Fase B corresponde al conjunto de actividades realizadas en el material chancado»; LA p.54-57: «Material Chancado, en la planta secundaria».</t>
        </is>
      </c>
      <c r="Y24" t="inlineStr">
        <is>
          <t>305</t>
        </is>
      </c>
      <c r="Z24" t="inlineStr">
        <is>
          <t>Hoja p.34 (ASTM D422/D1140): D60=18.9 mm, D30=5.1 mm, D10=0.2 mm, Cu=84.0, Cc=6.0; D50 y D80 no informados; bloques &gt;12" 0.0 %, cantos 3-12" 10.7 %, grava 60.9 %, arena 23.0 %, finos 5.4 %; SUCS GP; TM 12" (305 mm) según Tabla 1; Tabla 2 repite 19"; Cu/Cc de la figura: 76.2/6.4 (Fig.2)</t>
        </is>
      </c>
      <c r="AA24" t="inlineStr">
        <is>
          <t>Reemplazo de agua ASTM D5030 (p.42): γ húmeda 2.418 t/m³, γd 2.357 t/m³ (= 23.12 kN/m³), w de la hoja 2.6 %</t>
        </is>
      </c>
      <c r="AB24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4" t="n">
        <v>9.5</v>
      </c>
      <c r="AD24" t="inlineStr">
        <is>
          <t>71.5/71.5/71.5</t>
        </is>
      </c>
      <c r="AE24" t="inlineStr">
        <is>
          <t>142.5/142.4/142.4</t>
        </is>
      </c>
      <c r="AF24" t="n">
        <v>7.5</v>
      </c>
      <c r="AG24" t="inlineStr">
        <is>
          <t>no informada (no hay curva de la fracción ensayada; no se recalculó nada)</t>
        </is>
      </c>
      <c r="AH24" t="inlineStr">
        <is>
          <t>Remoldeado a la densidad de campo δ=2.357 gr/cm3 y 6% de humedad, solicitado por el cliente; material &lt;3/8"; método de compactación y número de capas no informados</t>
        </is>
      </c>
      <c r="AI24" t="inlineStr">
        <is>
          <t>23.11/23.12/23.12</t>
        </is>
      </c>
      <c r="AJ24" t="inlineStr">
        <is>
          <t>6.2/6.2/6.2</t>
        </is>
      </c>
      <c r="AK24" t="n">
        <v>3.338</v>
      </c>
      <c r="AL24" t="inlineStr">
        <is>
          <t>ASTM D854 (p.49) sobre la misma litología y fase, impreso como «G. Específica Promedio» en la hoja CU; fracción ensayada en el picnómetro no especificada. Gs grueso C127 bulk = 3.102 (p.48); Tabla 2 da 3.102. Con Gs grueso e0 sería menor.</t>
        </is>
      </c>
      <c r="AM24" t="inlineStr">
        <is>
          <t>0.417/0.416/0.416 (hoja: 0.417/0.416/0.416)</t>
        </is>
      </c>
      <c r="AN24" t="inlineStr">
        <is>
          <t>no informado (B no figura; S final ≈100 % según la hoja)</t>
        </is>
      </c>
      <c r="AO24" t="inlineStr">
        <is>
          <t>no informado</t>
        </is>
      </c>
      <c r="AP24" t="inlineStr">
        <is>
          <t>isotrópica según ASTM D4767 (σ'3c = 393/784/1568 kPa); duración no informada; t50 «-»</t>
        </is>
      </c>
      <c r="AQ24" t="inlineStr">
        <is>
          <t>23.74/23.96/24.29 (γd 2.42/2.442/2.476 g/cm³; e 0.379/0.367/0.348; S final 105.2/101.6/101.8 %)</t>
        </is>
      </c>
      <c r="AR24" t="inlineStr">
        <is>
          <t>no drenado (CU, ASTM D4767)</t>
        </is>
      </c>
      <c r="AS24" t="inlineStr">
        <is>
          <t>0.125/0.125/0.125</t>
        </is>
      </c>
      <c r="AT24" t="inlineStr">
        <is>
          <t>no informada numéricamente (solo gráficos)</t>
        </is>
      </c>
      <c r="AU24" t="inlineStr">
        <is>
          <t>Esfuerzo desviador máximo (hoja Golder)</t>
        </is>
      </c>
      <c r="AV24" t="inlineStr">
        <is>
          <t>no determinable: la hoja Golder solo da el estado de falla y gráficos</t>
        </is>
      </c>
      <c r="AW24" t="inlineStr">
        <is>
          <t>no (solo gráficos q-εa, u-εa, p'-q)</t>
        </is>
      </c>
      <c r="AX24" t="inlineStr">
        <is>
          <t>Hoja Mohr p.134: total c=102 kPa φ=16°; efectiva c'=0 kPa φ'=37°</t>
        </is>
      </c>
      <c r="AY24" t="inlineStr">
        <is>
          <t>no informado (sin granulometría post-ensayo)</t>
        </is>
      </c>
      <c r="AZ24" t="inlineStr">
        <is>
          <t>97.4 MPa (101.7; 93.1), p.73</t>
        </is>
      </c>
      <c r="BA24" t="inlineStr">
        <is>
          <t>53.0 kg/cm² (8; σc 124.78 MPa), p.81</t>
        </is>
      </c>
      <c r="BB24" t="inlineStr">
        <is>
          <t>27.6, p.57</t>
        </is>
      </c>
      <c r="BC24" t="inlineStr">
        <is>
          <t>6.7 % MgSO4, p.65 (hoja: sulfato de magnesio; texto p.2: sulfato de sodio)</t>
        </is>
      </c>
      <c r="BD24" t="inlineStr">
        <is>
          <t>1.30, p.48</t>
        </is>
      </c>
      <c r="BE24" t="inlineStr">
        <is>
          <t>132-136;8;10;34;42;48;49</t>
        </is>
      </c>
      <c r="BF24" t="inlineStr">
        <is>
          <t>Saturación final &gt;100 % (hasta 105.2 %): Gs 3.338 o γd inconsistentes; e0 incierto.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G2010|G2010-B-EXO-4in</t>
        </is>
      </c>
      <c r="B25" t="inlineStr">
        <is>
          <t>G2010</t>
        </is>
      </c>
      <c r="C25" t="inlineStr">
        <is>
          <t>G2010-B-EXO-4in</t>
        </is>
      </c>
      <c r="D25" t="inlineStr">
        <is>
          <t>Skarn</t>
        </is>
      </c>
      <c r="E25" t="inlineStr">
        <is>
          <t>exoskarn diópsido</t>
        </is>
      </c>
      <c r="F25" t="inlineStr"/>
      <c r="G25" t="inlineStr">
        <is>
          <t>Chancado</t>
        </is>
      </c>
      <c r="H25" t="inlineStr">
        <is>
          <t>dudosa: muestras del acopio de la chancadora secundaria; hojas de Fase A dicen «Material Chancado»</t>
        </is>
      </c>
      <c r="I25" t="n">
        <v>0</v>
      </c>
      <c r="J25" t="inlineStr">
        <is>
          <t>pequeña (&lt;120 mm)</t>
        </is>
      </c>
      <c r="K25" t="n">
        <v>3</v>
      </c>
      <c r="L25" t="inlineStr">
        <is>
          <t>Triaxial CU</t>
        </is>
      </c>
      <c r="M25" t="n">
        <v>391</v>
      </c>
      <c r="N25" t="n">
        <v>784</v>
      </c>
      <c r="O25" t="n">
        <v>15.9</v>
      </c>
      <c r="P25" t="inlineStr"/>
      <c r="Q25" t="inlineStr"/>
      <c r="R25" t="inlineStr"/>
      <c r="S25" t="n">
        <v>3.338</v>
      </c>
      <c r="T25" t="n">
        <v>0.538</v>
      </c>
      <c r="U25" t="n">
        <v>97.40000000000001</v>
      </c>
      <c r="V25" t="inlineStr">
        <is>
          <t>2010_Golder_Caracterizacion ROM IPCC.pdf</t>
        </is>
      </c>
      <c r="W25" t="inlineStr">
        <is>
          <t>Acopio parte baja de chancadora secundaria (hojas de humedad/granulometría p.19-34); muestreado por personal de mina el 23/09/2009; tajo, fase y banco no informados; densidad in situ medida el 25/09/2009 en «Parte baja chancadora secundaria»</t>
        </is>
      </c>
      <c r="X25" t="inlineStr">
        <is>
          <t>Chancado. Base textual p.1: «La Fase B corresponde al conjunto de actividades realizadas en el material chancado»; LA p.54-57: «Material Chancado, en la planta secundaria».</t>
        </is>
      </c>
      <c r="Y25" t="inlineStr">
        <is>
          <t>305</t>
        </is>
      </c>
      <c r="Z25" t="inlineStr">
        <is>
          <t>Hoja p.34 (ASTM D422/D1140): D60=18.9 mm, D30=5.1 mm, D10=0.2 mm, Cu=84.0, Cc=6.0; D50 y D80 no informados; bloques &gt;12" 0.0 %, cantos 3-12" 10.7 %, grava 60.9 %, arena 23.0 %, finos 5.4 %; SUCS GP; TM 12" (305 mm) según Tabla 1; Tabla 2 repite 19"; Cu/Cc de la figura: 76.2/6.4 (Fig.2)</t>
        </is>
      </c>
      <c r="AA25" t="inlineStr">
        <is>
          <t>Reemplazo de agua ASTM D5030 (p.42): γ húmeda 2.418 t/m³, γd 2.357 t/m³ (= 23.12 kN/m³), w de la hoja 2.6 %</t>
        </is>
      </c>
      <c r="AB25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5" t="n">
        <v>15.9</v>
      </c>
      <c r="AD25" t="inlineStr">
        <is>
          <t>100.4/100.2/100.3</t>
        </is>
      </c>
      <c r="AE25" t="inlineStr">
        <is>
          <t>199.9/199.9/199.9</t>
        </is>
      </c>
      <c r="AF25" t="n">
        <v>6.3</v>
      </c>
      <c r="AG25" t="inlineStr">
        <is>
          <t>no informada (no hay curva de la fracción ensayada; no se recalculó nada)</t>
        </is>
      </c>
      <c r="AH25" t="inlineStr">
        <is>
          <t>Remoldeado a la densidad mínima δ=2.161 gr/cm3 y 5% de humedad, solicitado por el cliente; material &lt;5/8"; método de compactación y número de capas no informados</t>
        </is>
      </c>
      <c r="AI25" t="inlineStr">
        <is>
          <t>21.27/21.35/21.30</t>
        </is>
      </c>
      <c r="AJ25" t="inlineStr">
        <is>
          <t>5.0/5.0/5.0</t>
        </is>
      </c>
      <c r="AK25" t="n">
        <v>3.338</v>
      </c>
      <c r="AL25" t="inlineStr">
        <is>
          <t>ASTM D854 (p.49) sobre la misma litología y fase, impreso como «G. Específica Promedio» en la hoja CU; fracción ensayada en el picnómetro no especificada. Gs grueso C127 bulk = 3.102 (p.48); Tabla 2 da 3.102. Con Gs grueso e0 sería menor.</t>
        </is>
      </c>
      <c r="AM25" t="inlineStr">
        <is>
          <t>0.540/0.534/0.538 (hoja: 0.539/0.534/0.538)</t>
        </is>
      </c>
      <c r="AN25" t="inlineStr">
        <is>
          <t>no informado (B no figura; S final ≈100 % según la hoja)</t>
        </is>
      </c>
      <c r="AO25" t="inlineStr">
        <is>
          <t>no informado</t>
        </is>
      </c>
      <c r="AP25" t="inlineStr">
        <is>
          <t>isotrópica según ASTM D4767 (σ'3c = 391/589/784 kPa); duración no informada; t50 «-»</t>
        </is>
      </c>
      <c r="AQ25" t="inlineStr">
        <is>
          <t>22.41/22.96/23.72 (γd 2.284/2.34/2.418 g/cm³; e 0.461/0.427/0.38; S final 100.2/100.2/100.4 %)</t>
        </is>
      </c>
      <c r="AR25" t="inlineStr">
        <is>
          <t>no drenado (CU, ASTM D4767)</t>
        </is>
      </c>
      <c r="AS25" t="inlineStr">
        <is>
          <t>0.125/0.125/0.125</t>
        </is>
      </c>
      <c r="AT25" t="inlineStr">
        <is>
          <t>no informada numéricamente (solo gráficos)</t>
        </is>
      </c>
      <c r="AU25" t="inlineStr">
        <is>
          <t>Esfuerzo desviador máximo (hoja Golder)</t>
        </is>
      </c>
      <c r="AV25" t="inlineStr">
        <is>
          <t>no determinable: la hoja Golder solo da el estado de falla y gráficos</t>
        </is>
      </c>
      <c r="AW25" t="inlineStr">
        <is>
          <t>no (solo gráficos q-εa, u-εa, p'-q)</t>
        </is>
      </c>
      <c r="AX25" t="inlineStr">
        <is>
          <t>Hoja Mohr p.154: total c=0 kPa φ=14°; efectiva c'=14 kPa φ'=26°</t>
        </is>
      </c>
      <c r="AY25" t="inlineStr">
        <is>
          <t>no informado (sin granulometría post-ensayo)</t>
        </is>
      </c>
      <c r="AZ25" t="inlineStr">
        <is>
          <t>97.4 MPa (101.7; 93.1), p.73</t>
        </is>
      </c>
      <c r="BA25" t="inlineStr">
        <is>
          <t>53.0 kg/cm² (8; σc 124.78 MPa), p.81</t>
        </is>
      </c>
      <c r="BB25" t="inlineStr">
        <is>
          <t>27.6, p.57</t>
        </is>
      </c>
      <c r="BC25" t="inlineStr">
        <is>
          <t>6.7 % MgSO4, p.65 (hoja: sulfato de magnesio; texto p.2: sulfato de sodio)</t>
        </is>
      </c>
      <c r="BD25" t="inlineStr">
        <is>
          <t>1.30, p.48</t>
        </is>
      </c>
      <c r="BE25" t="inlineStr">
        <is>
          <t>152-156;8;10;34;42;48;49</t>
        </is>
      </c>
      <c r="BF25" t="inlineStr">
        <is>
          <t>Saturación final &gt;100 % (hasta 105.2 %): Gs 3.338 o γd inconsistentes; e0 incierto.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G2010|G2010-B-EXO-6in</t>
        </is>
      </c>
      <c r="B26" t="inlineStr">
        <is>
          <t>G2010</t>
        </is>
      </c>
      <c r="C26" t="inlineStr">
        <is>
          <t>G2010-B-EXO-6in</t>
        </is>
      </c>
      <c r="D26" t="inlineStr">
        <is>
          <t>Skarn</t>
        </is>
      </c>
      <c r="E26" t="inlineStr">
        <is>
          <t>exoskarn diópsido</t>
        </is>
      </c>
      <c r="F26" t="inlineStr"/>
      <c r="G26" t="inlineStr">
        <is>
          <t>Chancado</t>
        </is>
      </c>
      <c r="H26" t="inlineStr">
        <is>
          <t>dudosa: muestras del acopio de la chancadora secundaria; hojas de Fase A dicen «Material Chancado»</t>
        </is>
      </c>
      <c r="I26" t="n">
        <v>0</v>
      </c>
      <c r="J26" t="inlineStr">
        <is>
          <t>6 in (≈150 mm)</t>
        </is>
      </c>
      <c r="K26" t="n">
        <v>3</v>
      </c>
      <c r="L26" t="inlineStr">
        <is>
          <t>Triaxial CU</t>
        </is>
      </c>
      <c r="M26" t="n">
        <v>125</v>
      </c>
      <c r="N26" t="n">
        <v>500</v>
      </c>
      <c r="O26" t="n">
        <v>25.4</v>
      </c>
      <c r="P26" t="inlineStr"/>
      <c r="Q26" t="inlineStr"/>
      <c r="R26" t="inlineStr"/>
      <c r="S26" t="n">
        <v>3.338</v>
      </c>
      <c r="T26" t="n">
        <v>0.419</v>
      </c>
      <c r="U26" t="n">
        <v>97.40000000000001</v>
      </c>
      <c r="V26" t="inlineStr">
        <is>
          <t>2010_Golder_Caracterizacion ROM IPCC.pdf</t>
        </is>
      </c>
      <c r="W26" t="inlineStr">
        <is>
          <t>Acopio parte baja de chancadora secundaria (hojas de humedad/granulometría p.19-34); muestreado por personal de mina el 23/09/2009; tajo, fase y banco no informados; densidad in situ medida el 25/09/2009 en «Parte baja chancadora secundaria»</t>
        </is>
      </c>
      <c r="X26" t="inlineStr">
        <is>
          <t>Chancado. Base textual p.1: «La Fase B corresponde al conjunto de actividades realizadas en el material chancado»; LA p.54-57: «Material Chancado, en la planta secundaria».</t>
        </is>
      </c>
      <c r="Y26" t="inlineStr">
        <is>
          <t>305</t>
        </is>
      </c>
      <c r="Z26" t="inlineStr">
        <is>
          <t>Hoja p.34 (ASTM D422/D1140): D60=18.9 mm, D30=5.1 mm, D10=0.2 mm, Cu=84.0, Cc=6.0; D50 y D80 no informados; bloques &gt;12" 0.0 %, cantos 3-12" 10.7 %, grava 60.9 %, arena 23.0 %, finos 5.4 %; SUCS GP; TM 12" (305 mm) según Tabla 1; Tabla 2 repite 19"; Cu/Cc de la figura: 76.2/6.4 (Fig.2)</t>
        </is>
      </c>
      <c r="AA26" t="inlineStr">
        <is>
          <t>Reemplazo de agua ASTM D5030 (p.42): γ húmeda 2.418 t/m³, γd 2.357 t/m³ (= 23.12 kN/m³), w de la hoja 2.6 %</t>
        </is>
      </c>
      <c r="AB26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6" t="n">
        <v>25.4</v>
      </c>
      <c r="AD26" t="inlineStr">
        <is>
          <t>151.5/151.5/151.5</t>
        </is>
      </c>
      <c r="AE26" t="inlineStr">
        <is>
          <t>310.0/310.0/310.0</t>
        </is>
      </c>
      <c r="AF26" t="n">
        <v>6</v>
      </c>
      <c r="AG26" t="inlineStr">
        <is>
          <t>no informada (no hay curva de la fracción ensayada; no se recalculó nada)</t>
        </is>
      </c>
      <c r="AH26" t="inlineStr">
        <is>
          <t>Remoldeado (estado «Remoldeado» en la hoja Vector); criterio de densidad y método de compactación no informados</t>
        </is>
      </c>
      <c r="AI26" t="inlineStr">
        <is>
          <t>23.08/23.09/22.88</t>
        </is>
      </c>
      <c r="AJ26" t="inlineStr">
        <is>
          <t>3.50/3.50/3.50</t>
        </is>
      </c>
      <c r="AK26" t="n">
        <v>3.338</v>
      </c>
      <c r="AL26" t="inlineStr">
        <is>
          <t>ASTM D854 (p.49) sobre la misma litología y fase, impreso como «G. Específica Promedio» en la hoja CU; fracción ensayada en el picnómetro no especificada. Gs grueso C127 bulk = 3.102 (p.48); Tabla 2 da 3.102. Con Gs grueso e0 sería menor.</t>
        </is>
      </c>
      <c r="AM26" t="inlineStr">
        <is>
          <t>0.419/0.418/0.431</t>
        </is>
      </c>
      <c r="AN26" t="inlineStr">
        <is>
          <t>Parámetro B = 0.89/0.88/0.9 (menor que 0.95)</t>
        </is>
      </c>
      <c r="AO26" t="inlineStr">
        <is>
          <t>205/205/205</t>
        </is>
      </c>
      <c r="AP26" t="inlineStr">
        <is>
          <t>isotrópica; σ'3c = 500/250/125 kPa (celda 705/455/330 kPa); duración no informada</t>
        </is>
      </c>
      <c r="AQ26" t="inlineStr">
        <is>
          <t>23.94/23.63/23.35 (γd final de consolidación 2.44/2.409/2.38 g/cm³)</t>
        </is>
      </c>
      <c r="AR26" t="inlineStr">
        <is>
          <t>no drenado (CU, ASTM D4767)</t>
        </is>
      </c>
      <c r="AS26" t="inlineStr">
        <is>
          <t>0.082 (0.01 pulg/min sobre H=31 cm)</t>
        </is>
      </c>
      <c r="AT26" t="inlineStr">
        <is>
          <t>14</t>
        </is>
      </c>
      <c r="AU26" t="inlineStr">
        <is>
          <t>Pico de esfuerzo desviador y 12 % de deformación (Vector)</t>
        </is>
      </c>
      <c r="AV26" t="inlineStr">
        <is>
          <t>500 y 250 kPa: pico local temprano y luego endurecimiento; 125 kPa: sin pico (endurece hasta 14 %)</t>
        </is>
      </c>
      <c r="AW26" t="inlineStr">
        <is>
          <t>sí (tabla εa, Δσ, u, σ'3, σ'1, p, q, oblicuidad)</t>
        </is>
      </c>
      <c r="AX26" t="inlineStr">
        <is>
          <t>Hoja p.183: pico total c=0 φ=24.3°, efectiva c'=0 φ'=34.1°; 12 %: total c=66 φ=25.5°, efectiva c'=0 φ'=42°</t>
        </is>
      </c>
      <c r="AY26" t="inlineStr">
        <is>
          <t>no informado (sin granulometría post-ensayo)</t>
        </is>
      </c>
      <c r="AZ26" t="inlineStr">
        <is>
          <t>97.4 MPa (101.7; 93.1), p.73</t>
        </is>
      </c>
      <c r="BA26" t="inlineStr">
        <is>
          <t>53.0 kg/cm² (8; σc 124.78 MPa), p.81</t>
        </is>
      </c>
      <c r="BB26" t="inlineStr">
        <is>
          <t>27.6, p.57</t>
        </is>
      </c>
      <c r="BC26" t="inlineStr">
        <is>
          <t>6.7 % MgSO4, p.65 (hoja: sulfato de magnesio; texto p.2: sulfato de sodio)</t>
        </is>
      </c>
      <c r="BD26" t="inlineStr">
        <is>
          <t>1.30, p.48</t>
        </is>
      </c>
      <c r="BE26" t="inlineStr">
        <is>
          <t>179-184;3;10;34;42;49</t>
        </is>
      </c>
      <c r="BF26" t="inlineStr">
        <is>
          <t>Vector no informa Gs, e0 ni granulometría; e0 calculado con Gs D854 de Golder. Vector no indica el tamaño máximo: el 1" sale del cuadro de p.3.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G2010|G2010-B-HG-2.8in</t>
        </is>
      </c>
      <c r="B27" t="inlineStr">
        <is>
          <t>G2010</t>
        </is>
      </c>
      <c r="C27" t="inlineStr">
        <is>
          <t>G2010-B-HG-2.8in</t>
        </is>
      </c>
      <c r="D27" t="inlineStr">
        <is>
          <t>Hornfels</t>
        </is>
      </c>
      <c r="E27" t="inlineStr">
        <is>
          <t>hornfels gris</t>
        </is>
      </c>
      <c r="F27" t="inlineStr"/>
      <c r="G27" t="inlineStr">
        <is>
          <t>Chancado</t>
        </is>
      </c>
      <c r="H27" t="inlineStr">
        <is>
          <t>dudosa: muestras del acopio de la chancadora secundaria; hojas de Fase A dicen «Material Chancado»</t>
        </is>
      </c>
      <c r="I27" t="n">
        <v>0</v>
      </c>
      <c r="J27" t="inlineStr">
        <is>
          <t>pequeña (&lt;120 mm)</t>
        </is>
      </c>
      <c r="K27" t="n">
        <v>3</v>
      </c>
      <c r="L27" t="inlineStr">
        <is>
          <t>Triaxial CU</t>
        </is>
      </c>
      <c r="M27" t="n">
        <v>387</v>
      </c>
      <c r="N27" t="n">
        <v>1576</v>
      </c>
      <c r="O27" t="n">
        <v>9.5</v>
      </c>
      <c r="P27" t="inlineStr"/>
      <c r="Q27" t="inlineStr"/>
      <c r="R27" t="inlineStr"/>
      <c r="S27" t="n">
        <v>2.802</v>
      </c>
      <c r="T27" t="n">
        <v>0.312</v>
      </c>
      <c r="U27" t="n">
        <v>65.5</v>
      </c>
      <c r="V27" t="inlineStr">
        <is>
          <t>2010_Golder_Caracterizacion ROM IPCC.pdf</t>
        </is>
      </c>
      <c r="W27" t="inlineStr">
        <is>
          <t>Acopio parte baja de chancadora secundaria (hojas de humedad/granulometría p.19-34); muestreado por personal de mina el 22/09/2009; tajo, fase y banco no informados; densidad in situ medida el 25/09/2009 en «Parte baja chancadora secundaria»</t>
        </is>
      </c>
      <c r="X27" t="inlineStr">
        <is>
          <t>Chancado. Base textual p.1: «La Fase B corresponde al conjunto de actividades realizadas en el material chancado»; LA p.54-57: «Material Chancado, en la planta secundaria».</t>
        </is>
      </c>
      <c r="Y27" t="inlineStr">
        <is>
          <t>305</t>
        </is>
      </c>
      <c r="Z27" t="inlineStr">
        <is>
          <t>Hoja p.32 (ASTM D422/D1140): D60=63.0 mm, D30=23.8 mm, D10=6.8 mm, Cu=9.3, Cc=1.3; D50 y D80 no informados; bloques &gt;12" 0.0 %, cantos 3-12" 35.6 %, grava 56.3 %, arena 5.4 %, finos 2.7 %; SUCS GP; TM 12" (305 mm) según Tabla 1; Tabla 2 repite 35"; Cu/Cc de la figura: 7.9/1.0 (Fig.1)</t>
        </is>
      </c>
      <c r="AA27" t="inlineStr">
        <is>
          <t>Reemplazo de agua ASTM D5030 (p.40): γ húmeda 2.162 t/m³, γd 2.137 t/m³ (= 20.96 kN/m³), w de la hoja 1.2 %</t>
        </is>
      </c>
      <c r="AB27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7" t="n">
        <v>9.5</v>
      </c>
      <c r="AD27" t="inlineStr">
        <is>
          <t>71.5/71.5/71.5</t>
        </is>
      </c>
      <c r="AE27" t="inlineStr">
        <is>
          <t>142.5/142.5/142.5</t>
        </is>
      </c>
      <c r="AF27" t="n">
        <v>7.5</v>
      </c>
      <c r="AG27" t="inlineStr">
        <is>
          <t>no informada (no hay curva de la fracción ensayada; no se recalculó nada)</t>
        </is>
      </c>
      <c r="AH27" t="inlineStr">
        <is>
          <t>Remoldeado a la densidad de campo δ=2.137 gr/cm3 y 7% de humedad, solicitado por el cliente; material &lt;3/8"; método de compactación y número de capas no informados</t>
        </is>
      </c>
      <c r="AI27" t="inlineStr">
        <is>
          <t>20.94/20.95/20.96</t>
        </is>
      </c>
      <c r="AJ27" t="inlineStr">
        <is>
          <t>7.1/7.1/7.1</t>
        </is>
      </c>
      <c r="AK27" t="n">
        <v>2.802</v>
      </c>
      <c r="AL27" t="inlineStr">
        <is>
          <t>ASTM D854 (p.49) sobre la misma litología y fase, impreso como «G. Específica Promedio» en la hoja CU; fracción ensayada en el picnómetro no especificada. Gs grueso C127 bulk = 2.74 (p.48); Tabla 2 da 2.74. Con Gs grueso e0 sería menor.</t>
        </is>
      </c>
      <c r="AM27" t="inlineStr">
        <is>
          <t>0.312/0.312/0.311 (hoja: 0.312/0.312/0.311)</t>
        </is>
      </c>
      <c r="AN27" t="inlineStr">
        <is>
          <t>no informado (B no figura; S final ≈100 % según la hoja)</t>
        </is>
      </c>
      <c r="AO27" t="inlineStr">
        <is>
          <t>no informado</t>
        </is>
      </c>
      <c r="AP27" t="inlineStr">
        <is>
          <t>isotrópica según ASTM D4767 (σ'3c = 387/786/1576 kPa); duración no informada; t50 «-»</t>
        </is>
      </c>
      <c r="AQ27" t="inlineStr">
        <is>
          <t>21.45/21.79/21.94 (γd 2.187/2.221/2.237 g/cm³; e 0.281/0.261/0.253; S final 100.0/100.0/100.0 %)</t>
        </is>
      </c>
      <c r="AR27" t="inlineStr">
        <is>
          <t>no drenado (CU, ASTM D4767)</t>
        </is>
      </c>
      <c r="AS27" t="inlineStr">
        <is>
          <t>0.167/0.167/0.125</t>
        </is>
      </c>
      <c r="AT27" t="inlineStr">
        <is>
          <t>no informada numéricamente (solo gráficos)</t>
        </is>
      </c>
      <c r="AU27" t="inlineStr">
        <is>
          <t>Esfuerzo desviador máximo (hoja Golder)</t>
        </is>
      </c>
      <c r="AV27" t="inlineStr">
        <is>
          <t>no determinable: la hoja Golder solo da el estado de falla y gráficos</t>
        </is>
      </c>
      <c r="AW27" t="inlineStr">
        <is>
          <t>no (solo gráficos q-εa, u-εa, p'-q)</t>
        </is>
      </c>
      <c r="AX27" t="inlineStr">
        <is>
          <t>Hoja Mohr p.124: total c=23 kPa φ=18°; efectiva c'=0 kPa φ'=40°</t>
        </is>
      </c>
      <c r="AY27" t="inlineStr">
        <is>
          <t>no informado (sin granulometría post-ensayo)</t>
        </is>
      </c>
      <c r="AZ27" t="inlineStr">
        <is>
          <t>65.5 MPa (62.6; 68.3), p.71</t>
        </is>
      </c>
      <c r="BA27" t="inlineStr">
        <is>
          <t>42.7 kg/cm² (8; σc 100.42 MPa), p.79</t>
        </is>
      </c>
      <c r="BB27" t="inlineStr">
        <is>
          <t>20.3, p.55</t>
        </is>
      </c>
      <c r="BC27" t="inlineStr">
        <is>
          <t>0.6 % MgSO4, p.63 (hoja: sulfato de magnesio; texto p.2: sulfato de sodio)</t>
        </is>
      </c>
      <c r="BD27" t="inlineStr">
        <is>
          <t>0.12, p.48</t>
        </is>
      </c>
      <c r="BE27" t="inlineStr">
        <is>
          <t>122-126;8;10;32;40;48;49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G2010|G2010-B-HG-4in</t>
        </is>
      </c>
      <c r="B28" t="inlineStr">
        <is>
          <t>G2010</t>
        </is>
      </c>
      <c r="C28" t="inlineStr">
        <is>
          <t>G2010-B-HG-4in</t>
        </is>
      </c>
      <c r="D28" t="inlineStr">
        <is>
          <t>Hornfels</t>
        </is>
      </c>
      <c r="E28" t="inlineStr">
        <is>
          <t>hornfels gris</t>
        </is>
      </c>
      <c r="F28" t="inlineStr"/>
      <c r="G28" t="inlineStr">
        <is>
          <t>Chancado</t>
        </is>
      </c>
      <c r="H28" t="inlineStr">
        <is>
          <t>dudosa: muestras del acopio de la chancadora secundaria; hojas de Fase A dicen «Material Chancado»</t>
        </is>
      </c>
      <c r="I28" t="n">
        <v>0</v>
      </c>
      <c r="J28" t="inlineStr">
        <is>
          <t>pequeña (&lt;120 mm)</t>
        </is>
      </c>
      <c r="K28" t="n">
        <v>3</v>
      </c>
      <c r="L28" t="inlineStr">
        <is>
          <t>Triaxial CU</t>
        </is>
      </c>
      <c r="M28" t="n">
        <v>393</v>
      </c>
      <c r="N28" t="n">
        <v>783</v>
      </c>
      <c r="O28" t="n">
        <v>15.9</v>
      </c>
      <c r="P28" t="inlineStr"/>
      <c r="Q28" t="inlineStr"/>
      <c r="R28" t="inlineStr"/>
      <c r="S28" t="n">
        <v>2.802</v>
      </c>
      <c r="T28" t="n">
        <v>0.502</v>
      </c>
      <c r="U28" t="n">
        <v>65.5</v>
      </c>
      <c r="V28" t="inlineStr">
        <is>
          <t>2010_Golder_Caracterizacion ROM IPCC.pdf</t>
        </is>
      </c>
      <c r="W28" t="inlineStr">
        <is>
          <t>Acopio parte baja de chancadora secundaria (hojas de humedad/granulometría p.19-34); muestreado por personal de mina el 22/09/2009; tajo, fase y banco no informados; densidad in situ medida el 25/09/2009 en «Parte baja chancadora secundaria»</t>
        </is>
      </c>
      <c r="X28" t="inlineStr">
        <is>
          <t>Chancado. Base textual p.1: «La Fase B corresponde al conjunto de actividades realizadas en el material chancado»; LA p.54-57: «Material Chancado, en la planta secundaria».</t>
        </is>
      </c>
      <c r="Y28" t="inlineStr">
        <is>
          <t>305</t>
        </is>
      </c>
      <c r="Z28" t="inlineStr">
        <is>
          <t>Hoja p.32 (ASTM D422/D1140): D60=63.0 mm, D30=23.8 mm, D10=6.8 mm, Cu=9.3, Cc=1.3; D50 y D80 no informados; bloques &gt;12" 0.0 %, cantos 3-12" 35.6 %, grava 56.3 %, arena 5.4 %, finos 2.7 %; SUCS GP; TM 12" (305 mm) según Tabla 1; Tabla 2 repite 35"; Cu/Cc de la figura: 7.9/1.0 (Fig.1)</t>
        </is>
      </c>
      <c r="AA28" t="inlineStr">
        <is>
          <t>Reemplazo de agua ASTM D5030 (p.40): γ húmeda 2.162 t/m³, γd 2.137 t/m³ (= 20.96 kN/m³), w de la hoja 1.2 %</t>
        </is>
      </c>
      <c r="AB28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8" t="n">
        <v>15.9</v>
      </c>
      <c r="AD28" t="inlineStr">
        <is>
          <t>100.6/100.6/100.5</t>
        </is>
      </c>
      <c r="AE28" t="inlineStr">
        <is>
          <t>199.9/199.9/200.4</t>
        </is>
      </c>
      <c r="AF28" t="n">
        <v>6.3</v>
      </c>
      <c r="AG28" t="inlineStr">
        <is>
          <t>no informada (no hay curva de la fracción ensayada; no se recalculó nada)</t>
        </is>
      </c>
      <c r="AH28" t="inlineStr">
        <is>
          <t>Remoldeado a la densidad mínima δ=1.861 gr/cm3 y 5% de humedad, solicitado por el cliente; material &lt;5/8"; método de compactación y número de capas no informados</t>
        </is>
      </c>
      <c r="AI28" t="inlineStr">
        <is>
          <t>18.30/18.31/18.29</t>
        </is>
      </c>
      <c r="AJ28" t="inlineStr">
        <is>
          <t>5.0/5.0/5.0</t>
        </is>
      </c>
      <c r="AK28" t="n">
        <v>2.802</v>
      </c>
      <c r="AL28" t="inlineStr">
        <is>
          <t>ASTM D854 (p.49) sobre la misma litología y fase, impreso como «G. Específica Promedio» en la hoja CU; fracción ensayada en el picnómetro no especificada. Gs grueso C127 bulk = 2.74 (p.48); Tabla 2 da 2.74. Con Gs grueso e0 sería menor.</t>
        </is>
      </c>
      <c r="AM28" t="inlineStr">
        <is>
          <t>0.502/0.502/0.503 (hoja: 0.502/0.501/0.503)</t>
        </is>
      </c>
      <c r="AN28" t="inlineStr">
        <is>
          <t>no informado (B no figura; S final ≈100 % según la hoja)</t>
        </is>
      </c>
      <c r="AO28" t="inlineStr">
        <is>
          <t>no informado</t>
        </is>
      </c>
      <c r="AP28" t="inlineStr">
        <is>
          <t>isotrópica según ASTM D4767 (σ'3c = 393/580/783 kPa); duración no informada; t50 «-»</t>
        </is>
      </c>
      <c r="AQ28" t="inlineStr">
        <is>
          <t>18.84/19.19/19.68 (γd 1.92/1.956/2.006 g/cm³; e 0.459/0.433/0.397; S final 100.0/100.0/100.0 %)</t>
        </is>
      </c>
      <c r="AR28" t="inlineStr">
        <is>
          <t>no drenado (CU, ASTM D4767)</t>
        </is>
      </c>
      <c r="AS28" t="inlineStr">
        <is>
          <t>0.125/0.125/0.125</t>
        </is>
      </c>
      <c r="AT28" t="inlineStr">
        <is>
          <t>no informada numéricamente (solo gráficos)</t>
        </is>
      </c>
      <c r="AU28" t="inlineStr">
        <is>
          <t>Esfuerzo desviador máximo (hoja Golder)</t>
        </is>
      </c>
      <c r="AV28" t="inlineStr">
        <is>
          <t>no determinable: la hoja Golder solo da el estado de falla y gráficos</t>
        </is>
      </c>
      <c r="AW28" t="inlineStr">
        <is>
          <t>no (solo gráficos q-εa, u-εa, p'-q)</t>
        </is>
      </c>
      <c r="AX28" t="inlineStr">
        <is>
          <t>Hoja Mohr p.144: total c=0 kPa φ=15°; efectiva c'=22 kPa φ'=21°</t>
        </is>
      </c>
      <c r="AY28" t="inlineStr">
        <is>
          <t>no informado (sin granulometría post-ensayo)</t>
        </is>
      </c>
      <c r="AZ28" t="inlineStr">
        <is>
          <t>65.5 MPa (62.6; 68.3), p.71</t>
        </is>
      </c>
      <c r="BA28" t="inlineStr">
        <is>
          <t>42.7 kg/cm² (8; σc 100.42 MPa), p.79</t>
        </is>
      </c>
      <c r="BB28" t="inlineStr">
        <is>
          <t>20.3, p.55</t>
        </is>
      </c>
      <c r="BC28" t="inlineStr">
        <is>
          <t>0.6 % MgSO4, p.63 (hoja: sulfato de magnesio; texto p.2: sulfato de sodio)</t>
        </is>
      </c>
      <c r="BD28" t="inlineStr">
        <is>
          <t>0.12, p.48</t>
        </is>
      </c>
      <c r="BE28" t="inlineStr">
        <is>
          <t>142-146;8;10;32;40;48;49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G2010|G2010-B-HG-6in</t>
        </is>
      </c>
      <c r="B29" t="inlineStr">
        <is>
          <t>G2010</t>
        </is>
      </c>
      <c r="C29" t="inlineStr">
        <is>
          <t>G2010-B-HG-6in</t>
        </is>
      </c>
      <c r="D29" t="inlineStr">
        <is>
          <t>Hornfels</t>
        </is>
      </c>
      <c r="E29" t="inlineStr">
        <is>
          <t>hornfels gris</t>
        </is>
      </c>
      <c r="F29" t="inlineStr"/>
      <c r="G29" t="inlineStr">
        <is>
          <t>Chancado</t>
        </is>
      </c>
      <c r="H29" t="inlineStr">
        <is>
          <t>dudosa: muestras del acopio de la chancadora secundaria; hojas de Fase A dicen «Material Chancado»</t>
        </is>
      </c>
      <c r="I29" t="n">
        <v>0</v>
      </c>
      <c r="J29" t="inlineStr">
        <is>
          <t>6 in (≈150 mm)</t>
        </is>
      </c>
      <c r="K29" t="n">
        <v>3</v>
      </c>
      <c r="L29" t="inlineStr">
        <is>
          <t>Triaxial CU</t>
        </is>
      </c>
      <c r="M29" t="n">
        <v>125</v>
      </c>
      <c r="N29" t="n">
        <v>500</v>
      </c>
      <c r="O29" t="n">
        <v>25.4</v>
      </c>
      <c r="P29" t="inlineStr"/>
      <c r="Q29" t="inlineStr"/>
      <c r="R29" t="inlineStr"/>
      <c r="S29" t="n">
        <v>2.802</v>
      </c>
      <c r="T29" t="n">
        <v>0.31</v>
      </c>
      <c r="U29" t="n">
        <v>65.5</v>
      </c>
      <c r="V29" t="inlineStr">
        <is>
          <t>2010_Golder_Caracterizacion ROM IPCC.pdf</t>
        </is>
      </c>
      <c r="W29" t="inlineStr">
        <is>
          <t>Acopio parte baja de chancadora secundaria (hojas de humedad/granulometría p.19-34); muestreado por personal de mina el 22/09/2009; tajo, fase y banco no informados; densidad in situ medida el 25/09/2009 en «Parte baja chancadora secundaria»</t>
        </is>
      </c>
      <c r="X29" t="inlineStr">
        <is>
          <t>Chancado. Base textual p.1: «La Fase B corresponde al conjunto de actividades realizadas en el material chancado»; LA p.54-57: «Material Chancado, en la planta secundaria».</t>
        </is>
      </c>
      <c r="Y29" t="inlineStr">
        <is>
          <t>305</t>
        </is>
      </c>
      <c r="Z29" t="inlineStr">
        <is>
          <t>Hoja p.32 (ASTM D422/D1140): D60=63.0 mm, D30=23.8 mm, D10=6.8 mm, Cu=9.3, Cc=1.3; D50 y D80 no informados; bloques &gt;12" 0.0 %, cantos 3-12" 35.6 %, grava 56.3 %, arena 5.4 %, finos 2.7 %; SUCS GP; TM 12" (305 mm) según Tabla 1; Tabla 2 repite 35"; Cu/Cc de la figura: 7.9/1.0 (Fig.1)</t>
        </is>
      </c>
      <c r="AA29" t="inlineStr">
        <is>
          <t>Reemplazo de agua ASTM D5030 (p.40): γ húmeda 2.162 t/m³, γd 2.137 t/m³ (= 20.96 kN/m³), w de la hoja 1.2 %</t>
        </is>
      </c>
      <c r="AB29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29" t="n">
        <v>25.4</v>
      </c>
      <c r="AD29" t="inlineStr">
        <is>
          <t>151.4/151.4/151.4</t>
        </is>
      </c>
      <c r="AE29" t="inlineStr">
        <is>
          <t>310.0/310.0/310.0</t>
        </is>
      </c>
      <c r="AF29" t="n">
        <v>6</v>
      </c>
      <c r="AG29" t="inlineStr">
        <is>
          <t>no informada (no hay curva de la fracción ensayada; no se recalculó nada)</t>
        </is>
      </c>
      <c r="AH29" t="inlineStr">
        <is>
          <t>Remoldeado (estado «Remoldeado» en la hoja Vector); criterio de densidad y método de compactación no informados</t>
        </is>
      </c>
      <c r="AI29" t="inlineStr">
        <is>
          <t>20.94/20.98/20.98</t>
        </is>
      </c>
      <c r="AJ29" t="inlineStr">
        <is>
          <t>3.30/3.30/3.30</t>
        </is>
      </c>
      <c r="AK29" t="n">
        <v>2.802</v>
      </c>
      <c r="AL29" t="inlineStr">
        <is>
          <t>ASTM D854 (p.49) sobre la misma litología y fase, impreso como «G. Específica Promedio» en la hoja CU; fracción ensayada en el picnómetro no especificada. Gs grueso C127 bulk = 2.74 (p.48); Tabla 2 da 2.74. Con Gs grueso e0 sería menor.</t>
        </is>
      </c>
      <c r="AM29" t="inlineStr">
        <is>
          <t>0.312/0.310/0.310</t>
        </is>
      </c>
      <c r="AN29" t="inlineStr">
        <is>
          <t>Parámetro B = 0.9/0.91/0.93 (menor que 0.95)</t>
        </is>
      </c>
      <c r="AO29" t="inlineStr">
        <is>
          <t>207/205/205</t>
        </is>
      </c>
      <c r="AP29" t="inlineStr">
        <is>
          <t>isotrópica; σ'3c = 500/250/125 kPa (celda 707/455/330 kPa); duración no informada</t>
        </is>
      </c>
      <c r="AQ29" t="inlineStr">
        <is>
          <t>21.60/21.48/21.43 (γd final de consolidación 2.202/2.19/2.185 g/cm³)</t>
        </is>
      </c>
      <c r="AR29" t="inlineStr">
        <is>
          <t>no drenado (CU, ASTM D4767)</t>
        </is>
      </c>
      <c r="AS29" t="inlineStr">
        <is>
          <t>0.082 (0.01 pulg/min sobre H=31 cm)</t>
        </is>
      </c>
      <c r="AT29" t="inlineStr">
        <is>
          <t>14</t>
        </is>
      </c>
      <c r="AU29" t="inlineStr">
        <is>
          <t>Pico de esfuerzo desviador y 12 % de deformación (Vector)</t>
        </is>
      </c>
      <c r="AV29" t="inlineStr">
        <is>
          <t>500 kPa: pico a 1.25 %; 250 y 125 kPa: pico local temprano y luego endurecimiento hasta 14 %</t>
        </is>
      </c>
      <c r="AW29" t="inlineStr">
        <is>
          <t>sí (tabla εa, Δσ, u, σ'3, σ'1, p, q, oblicuidad)</t>
        </is>
      </c>
      <c r="AX29" t="inlineStr">
        <is>
          <t>Hoja p.171: pico total c=0 φ=22.8°, efectiva c'=6 φ'=29.2°; 12 %: total c=0 φ=26°, efectiva c'=5 φ'=39.2°</t>
        </is>
      </c>
      <c r="AY29" t="inlineStr">
        <is>
          <t>no informado (sin granulometría post-ensayo)</t>
        </is>
      </c>
      <c r="AZ29" t="inlineStr">
        <is>
          <t>65.5 MPa (62.6; 68.3), p.71</t>
        </is>
      </c>
      <c r="BA29" t="inlineStr">
        <is>
          <t>42.7 kg/cm² (8; σc 100.42 MPa), p.79</t>
        </is>
      </c>
      <c r="BB29" t="inlineStr">
        <is>
          <t>20.3, p.55</t>
        </is>
      </c>
      <c r="BC29" t="inlineStr">
        <is>
          <t>0.6 % MgSO4, p.63 (hoja: sulfato de magnesio; texto p.2: sulfato de sodio)</t>
        </is>
      </c>
      <c r="BD29" t="inlineStr">
        <is>
          <t>0.12, p.48</t>
        </is>
      </c>
      <c r="BE29" t="inlineStr">
        <is>
          <t>167-172;3;10;32;40;49</t>
        </is>
      </c>
      <c r="BF29" t="inlineStr">
        <is>
          <t>Vector no informa Gs, e0 ni granulometría; e0 calculado con Gs D854 de Golder. Vector no indica el tamaño máximo: el 1" sale del cuadro de p.3.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G2010|G2010-B-INT-2.8in</t>
        </is>
      </c>
      <c r="B30" t="inlineStr">
        <is>
          <t>G2010</t>
        </is>
      </c>
      <c r="C30" t="inlineStr">
        <is>
          <t>G2010-B-INT-2.8in</t>
        </is>
      </c>
      <c r="D30" t="inlineStr">
        <is>
          <t>Intrusivo</t>
        </is>
      </c>
      <c r="E30" t="inlineStr"/>
      <c r="F30" t="inlineStr"/>
      <c r="G30" t="inlineStr">
        <is>
          <t>Chancado</t>
        </is>
      </c>
      <c r="H30" t="inlineStr">
        <is>
          <t>dudosa: muestras del acopio de la chancadora secundaria; hojas de Fase A dicen «Material Chancado»</t>
        </is>
      </c>
      <c r="I30" t="n">
        <v>0</v>
      </c>
      <c r="J30" t="inlineStr">
        <is>
          <t>pequeña (&lt;120 mm)</t>
        </is>
      </c>
      <c r="K30" t="n">
        <v>3</v>
      </c>
      <c r="L30" t="inlineStr">
        <is>
          <t>Triaxial CU</t>
        </is>
      </c>
      <c r="M30" t="n">
        <v>390</v>
      </c>
      <c r="N30" t="n">
        <v>1568</v>
      </c>
      <c r="O30" t="n">
        <v>9.5</v>
      </c>
      <c r="P30" t="inlineStr"/>
      <c r="Q30" t="inlineStr"/>
      <c r="R30" t="inlineStr"/>
      <c r="S30" t="n">
        <v>2.742</v>
      </c>
      <c r="T30" t="n">
        <v>0.358</v>
      </c>
      <c r="U30" t="n">
        <v>54</v>
      </c>
      <c r="V30" t="inlineStr">
        <is>
          <t>2010_Golder_Caracterizacion ROM IPCC.pdf</t>
        </is>
      </c>
      <c r="W30" t="inlineStr">
        <is>
          <t>Acopio parte baja de chancadora secundaria (hojas de humedad/granulometría p.19-34); muestreado por personal de mina el 23/09/2009; tajo, fase y banco no informados; densidad in situ medida el 25/09/2009 en «Parte baja chancadora secundaria»</t>
        </is>
      </c>
      <c r="X30" t="inlineStr">
        <is>
          <t>Chancado. Base textual p.1: «La Fase B corresponde al conjunto de actividades realizadas en el material chancado»; LA p.54-57: «Material Chancado, en la planta secundaria».</t>
        </is>
      </c>
      <c r="Y30" t="inlineStr">
        <is>
          <t>305</t>
        </is>
      </c>
      <c r="Z30" t="inlineStr">
        <is>
          <t>Hoja p.33 (ASTM D422/D1140): D60=57.5 mm, D30=8.5 mm, D10=0.1 mm, Cu=410.7, Cc=9.0; D50 y D80 no informados; bloques &gt;12" 0.0 %, cantos 3-12" 34.7 %, grava 40.7 %, arena 17.6 %, finos 7.0 %; SUCS GP-GM; TM 12" (305 mm) según Tabla 1; Tabla 2 repite 30"; Cu/Cc de la figura: 400/10 (Fig.4)</t>
        </is>
      </c>
      <c r="AA30" t="inlineStr">
        <is>
          <t>Reemplazo de agua ASTM D5030 (p.41): γ húmeda 2.06 t/m³, γd 2.019 t/m³ (= 19.81 kN/m³), w de la hoja 2.0 %</t>
        </is>
      </c>
      <c r="AB30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30" t="n">
        <v>9.5</v>
      </c>
      <c r="AD30" t="inlineStr">
        <is>
          <t>71.5/71.5/71.5</t>
        </is>
      </c>
      <c r="AE30" t="inlineStr">
        <is>
          <t>142.4/142.5/142.4</t>
        </is>
      </c>
      <c r="AF30" t="n">
        <v>7.5</v>
      </c>
      <c r="AG30" t="inlineStr">
        <is>
          <t>no informada (no hay curva de la fracción ensayada; no se recalculó nada)</t>
        </is>
      </c>
      <c r="AH30" t="inlineStr">
        <is>
          <t>Remoldeado a la densidad de campo δ=2.019 gr/cm3 y 8% de humedad, solicitado por el cliente; material &lt;3/8"; método de compactación y número de capas no informados</t>
        </is>
      </c>
      <c r="AI30" t="inlineStr">
        <is>
          <t>19.81/19.81/19.81</t>
        </is>
      </c>
      <c r="AJ30" t="inlineStr">
        <is>
          <t>7.5/7.4/7.5</t>
        </is>
      </c>
      <c r="AK30" t="n">
        <v>2.742</v>
      </c>
      <c r="AL30" t="inlineStr">
        <is>
          <t>ASTM D854 (p.49) sobre la misma litología y fase, impreso como «G. Específica Promedio» en la hoja CU; fracción ensayada en el picnómetro no especificada. Gs grueso C127 bulk = 2.647 (p.48); Tabla 2 da 2.647. Con Gs grueso e0 sería menor.</t>
        </is>
      </c>
      <c r="AM30" t="inlineStr">
        <is>
          <t>0.358/0.358/0.358 (hoja: 0.358/0.358/0.358)</t>
        </is>
      </c>
      <c r="AN30" t="inlineStr">
        <is>
          <t>no informado (B no figura; S final ≈100 % según la hoja)</t>
        </is>
      </c>
      <c r="AO30" t="inlineStr">
        <is>
          <t>no informado</t>
        </is>
      </c>
      <c r="AP30" t="inlineStr">
        <is>
          <t>isotrópica según ASTM D4767 (σ'3c = 390/785/1568 kPa); duración no informada; t50 «-»</t>
        </is>
      </c>
      <c r="AQ30" t="inlineStr">
        <is>
          <t>20.28/20.47/20.76 (γd 2.067/2.087/2.116 g/cm³; e 0.326/0.314/0.296; S final 100.0/99.5/100.0 %)</t>
        </is>
      </c>
      <c r="AR30" t="inlineStr">
        <is>
          <t>no drenado (CU, ASTM D4767)</t>
        </is>
      </c>
      <c r="AS30" t="inlineStr">
        <is>
          <t>0.125/0.125/0.125</t>
        </is>
      </c>
      <c r="AT30" t="inlineStr">
        <is>
          <t>no informada numéricamente (solo gráficos)</t>
        </is>
      </c>
      <c r="AU30" t="inlineStr">
        <is>
          <t>Esfuerzo desviador máximo (hoja Golder)</t>
        </is>
      </c>
      <c r="AV30" t="inlineStr">
        <is>
          <t>no determinable: la hoja Golder solo da el estado de falla y gráficos</t>
        </is>
      </c>
      <c r="AW30" t="inlineStr">
        <is>
          <t>no (solo gráficos q-εa, u-εa, p'-q)</t>
        </is>
      </c>
      <c r="AX30" t="inlineStr">
        <is>
          <t>Hoja Mohr p.129: total c=162 kPa φ=15°; efectiva c'=42 kPa φ'=34°</t>
        </is>
      </c>
      <c r="AY30" t="inlineStr">
        <is>
          <t>no informado (sin granulometría post-ensayo)</t>
        </is>
      </c>
      <c r="AZ30" t="inlineStr">
        <is>
          <t>54.0 MPa (56.1; 51.8), p.72</t>
        </is>
      </c>
      <c r="BA30" t="inlineStr">
        <is>
          <t>32.7 kg/cm² (8; σc Tabla 2 78.06 MPa, hoja 76.97 MPa), p.80</t>
        </is>
      </c>
      <c r="BB30" t="inlineStr">
        <is>
          <t>32.2, p.56</t>
        </is>
      </c>
      <c r="BC30" t="inlineStr">
        <is>
          <t>18.6 % MgSO4, p.64 (hoja: sulfato de magnesio; texto p.2: sulfato de sodio)</t>
        </is>
      </c>
      <c r="BD30" t="inlineStr">
        <is>
          <t>2.17, p.48</t>
        </is>
      </c>
      <c r="BE30" t="inlineStr">
        <is>
          <t>127-131;8;10;33;41;48;49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G2010|G2010-B-INT-4in</t>
        </is>
      </c>
      <c r="B31" t="inlineStr">
        <is>
          <t>G2010</t>
        </is>
      </c>
      <c r="C31" t="inlineStr">
        <is>
          <t>G2010-B-INT-4in</t>
        </is>
      </c>
      <c r="D31" t="inlineStr">
        <is>
          <t>Intrusivo</t>
        </is>
      </c>
      <c r="E31" t="inlineStr"/>
      <c r="F31" t="inlineStr"/>
      <c r="G31" t="inlineStr">
        <is>
          <t>Chancado</t>
        </is>
      </c>
      <c r="H31" t="inlineStr">
        <is>
          <t>dudosa: muestras del acopio de la chancadora secundaria; hojas de Fase A dicen «Material Chancado»</t>
        </is>
      </c>
      <c r="I31" t="n">
        <v>0</v>
      </c>
      <c r="J31" t="inlineStr">
        <is>
          <t>pequeña (&lt;120 mm)</t>
        </is>
      </c>
      <c r="K31" t="n">
        <v>3</v>
      </c>
      <c r="L31" t="inlineStr">
        <is>
          <t>Triaxial CU</t>
        </is>
      </c>
      <c r="M31" t="n">
        <v>392</v>
      </c>
      <c r="N31" t="n">
        <v>780</v>
      </c>
      <c r="O31" t="n">
        <v>15.9</v>
      </c>
      <c r="P31" t="inlineStr"/>
      <c r="Q31" t="inlineStr"/>
      <c r="R31" t="inlineStr"/>
      <c r="S31" t="n">
        <v>2.742</v>
      </c>
      <c r="T31" t="n">
        <v>0.492</v>
      </c>
      <c r="U31" t="n">
        <v>54</v>
      </c>
      <c r="V31" t="inlineStr">
        <is>
          <t>2010_Golder_Caracterizacion ROM IPCC.pdf</t>
        </is>
      </c>
      <c r="W31" t="inlineStr">
        <is>
          <t>Acopio parte baja de chancadora secundaria (hojas de humedad/granulometría p.19-34); muestreado por personal de mina el 23/09/2009; tajo, fase y banco no informados; densidad in situ medida el 25/09/2009 en «Parte baja chancadora secundaria»</t>
        </is>
      </c>
      <c r="X31" t="inlineStr">
        <is>
          <t>Chancado. Base textual p.1: «La Fase B corresponde al conjunto de actividades realizadas en el material chancado»; LA p.54-57: «Material Chancado, en la planta secundaria».</t>
        </is>
      </c>
      <c r="Y31" t="inlineStr">
        <is>
          <t>305</t>
        </is>
      </c>
      <c r="Z31" t="inlineStr">
        <is>
          <t>Hoja p.33 (ASTM D422/D1140): D60=57.5 mm, D30=8.5 mm, D10=0.1 mm, Cu=410.7, Cc=9.0; D50 y D80 no informados; bloques &gt;12" 0.0 %, cantos 3-12" 34.7 %, grava 40.7 %, arena 17.6 %, finos 7.0 %; SUCS GP-GM; TM 12" (305 mm) según Tabla 1; Tabla 2 repite 30"; Cu/Cc de la figura: 400/10 (Fig.4)</t>
        </is>
      </c>
      <c r="AA31" t="inlineStr">
        <is>
          <t>Reemplazo de agua ASTM D5030 (p.41): γ húmeda 2.06 t/m³, γd 2.019 t/m³ (= 19.81 kN/m³), w de la hoja 2.0 %</t>
        </is>
      </c>
      <c r="AB31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31" t="n">
        <v>15.9</v>
      </c>
      <c r="AD31" t="inlineStr">
        <is>
          <t>100.4/100.6/100.4</t>
        </is>
      </c>
      <c r="AE31" t="inlineStr">
        <is>
          <t>199.9/199.9/199.9</t>
        </is>
      </c>
      <c r="AF31" t="n">
        <v>6.3</v>
      </c>
      <c r="AG31" t="inlineStr">
        <is>
          <t>no informada (no hay curva de la fracción ensayada; no se recalculó nada)</t>
        </is>
      </c>
      <c r="AH31" t="inlineStr">
        <is>
          <t>Remoldeado a la densidad mínima δ=1.833 gr/cm3 y 5% de humedad, solicitado por el cliente; material &lt;5/8"; método de compactación y número de capas no informados</t>
        </is>
      </c>
      <c r="AI31" t="inlineStr">
        <is>
          <t>18.03/17.96/18.03</t>
        </is>
      </c>
      <c r="AJ31" t="inlineStr">
        <is>
          <t>5.0/5.0/5.0</t>
        </is>
      </c>
      <c r="AK31" t="n">
        <v>2.742</v>
      </c>
      <c r="AL31" t="inlineStr">
        <is>
          <t>ASTM D854 (p.49) sobre la misma litología y fase, impreso como «G. Específica Promedio» en la hoja CU; fracción ensayada en el picnómetro no especificada. Gs grueso C127 bulk = 2.647 (p.48); Tabla 2 da 2.647. Con Gs grueso e0 sería menor.</t>
        </is>
      </c>
      <c r="AM31" t="inlineStr">
        <is>
          <t>0.492/0.498/0.492 (hoja: 0.492/0.498/0.492)</t>
        </is>
      </c>
      <c r="AN31" t="inlineStr">
        <is>
          <t>no informado (B no figura; S final ≈100 % según la hoja)</t>
        </is>
      </c>
      <c r="AO31" t="inlineStr">
        <is>
          <t>no informado</t>
        </is>
      </c>
      <c r="AP31" t="inlineStr">
        <is>
          <t>isotrópica según ASTM D4767 (σ'3c = 392/589/780 kPa); duración no informada; t50 «-»</t>
        </is>
      </c>
      <c r="AQ31" t="inlineStr">
        <is>
          <t>18.62/18.76/19.23 (γd 1.898/1.912/1.96 g/cm³; e 0.444/0.434/0.399; S final 100.0/100.0/100.0 %)</t>
        </is>
      </c>
      <c r="AR31" t="inlineStr">
        <is>
          <t>no drenado (CU, ASTM D4767)</t>
        </is>
      </c>
      <c r="AS31" t="inlineStr">
        <is>
          <t>0.125/0.125/0.125</t>
        </is>
      </c>
      <c r="AT31" t="inlineStr">
        <is>
          <t>no informada numéricamente (solo gráficos)</t>
        </is>
      </c>
      <c r="AU31" t="inlineStr">
        <is>
          <t>Esfuerzo desviador máximo (hoja Golder)</t>
        </is>
      </c>
      <c r="AV31" t="inlineStr">
        <is>
          <t>no determinable: la hoja Golder solo da el estado de falla y gráficos</t>
        </is>
      </c>
      <c r="AW31" t="inlineStr">
        <is>
          <t>no (solo gráficos q-εa, u-εa, p'-q)</t>
        </is>
      </c>
      <c r="AX31" t="inlineStr">
        <is>
          <t>Hoja Mohr p.149: total c=7 kPa φ=12°; efectiva c'=0 kPa φ'=23°</t>
        </is>
      </c>
      <c r="AY31" t="inlineStr">
        <is>
          <t>no informado (sin granulometría post-ensayo)</t>
        </is>
      </c>
      <c r="AZ31" t="inlineStr">
        <is>
          <t>54.0 MPa (56.1; 51.8), p.72</t>
        </is>
      </c>
      <c r="BA31" t="inlineStr">
        <is>
          <t>32.7 kg/cm² (8; σc Tabla 2 78.06 MPa, hoja 76.97 MPa), p.80</t>
        </is>
      </c>
      <c r="BB31" t="inlineStr">
        <is>
          <t>32.2, p.56</t>
        </is>
      </c>
      <c r="BC31" t="inlineStr">
        <is>
          <t>18.6 % MgSO4, p.64 (hoja: sulfato de magnesio; texto p.2: sulfato de sodio)</t>
        </is>
      </c>
      <c r="BD31" t="inlineStr">
        <is>
          <t>2.17, p.48</t>
        </is>
      </c>
      <c r="BE31" t="inlineStr">
        <is>
          <t>147-151;8;10;33;41;48;49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G2010|G2010-B-INT-6in</t>
        </is>
      </c>
      <c r="B32" t="inlineStr">
        <is>
          <t>G2010</t>
        </is>
      </c>
      <c r="C32" t="inlineStr">
        <is>
          <t>G2010-B-INT-6in</t>
        </is>
      </c>
      <c r="D32" t="inlineStr">
        <is>
          <t>Intrusivo</t>
        </is>
      </c>
      <c r="E32" t="inlineStr"/>
      <c r="F32" t="inlineStr"/>
      <c r="G32" t="inlineStr">
        <is>
          <t>Chancado</t>
        </is>
      </c>
      <c r="H32" t="inlineStr">
        <is>
          <t>dudosa: muestras del acopio de la chancadora secundaria; hojas de Fase A dicen «Material Chancado»</t>
        </is>
      </c>
      <c r="I32" t="n">
        <v>0</v>
      </c>
      <c r="J32" t="inlineStr">
        <is>
          <t>6 in (≈150 mm)</t>
        </is>
      </c>
      <c r="K32" t="n">
        <v>3</v>
      </c>
      <c r="L32" t="inlineStr">
        <is>
          <t>Triaxial CU</t>
        </is>
      </c>
      <c r="M32" t="n">
        <v>125</v>
      </c>
      <c r="N32" t="n">
        <v>500</v>
      </c>
      <c r="O32" t="n">
        <v>25.4</v>
      </c>
      <c r="P32" t="inlineStr"/>
      <c r="Q32" t="inlineStr"/>
      <c r="R32" t="inlineStr"/>
      <c r="S32" t="n">
        <v>2.742</v>
      </c>
      <c r="T32" t="n">
        <v>0.354</v>
      </c>
      <c r="U32" t="n">
        <v>54</v>
      </c>
      <c r="V32" t="inlineStr">
        <is>
          <t>2010_Golder_Caracterizacion ROM IPCC.pdf</t>
        </is>
      </c>
      <c r="W32" t="inlineStr">
        <is>
          <t>Acopio parte baja de chancadora secundaria (hojas de humedad/granulometría p.19-34); muestreado por personal de mina el 23/09/2009; tajo, fase y banco no informados; densidad in situ medida el 25/09/2009 en «Parte baja chancadora secundaria»</t>
        </is>
      </c>
      <c r="X32" t="inlineStr">
        <is>
          <t>Chancado. Base textual p.1: «La Fase B corresponde al conjunto de actividades realizadas en el material chancado»; LA p.54-57: «Material Chancado, en la planta secundaria».</t>
        </is>
      </c>
      <c r="Y32" t="inlineStr">
        <is>
          <t>305</t>
        </is>
      </c>
      <c r="Z32" t="inlineStr">
        <is>
          <t>Hoja p.33 (ASTM D422/D1140): D60=57.5 mm, D30=8.5 mm, D10=0.1 mm, Cu=410.7, Cc=9.0; D50 y D80 no informados; bloques &gt;12" 0.0 %, cantos 3-12" 34.7 %, grava 40.7 %, arena 17.6 %, finos 7.0 %; SUCS GP-GM; TM 12" (305 mm) según Tabla 1; Tabla 2 repite 30"; Cu/Cc de la figura: 400/10 (Fig.4)</t>
        </is>
      </c>
      <c r="AA32" t="inlineStr">
        <is>
          <t>Reemplazo de agua ASTM D5030 (p.41): γ húmeda 2.06 t/m³, γd 2.019 t/m³ (= 19.81 kN/m³), w de la hoja 2.0 %</t>
        </is>
      </c>
      <c r="AB32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32" t="n">
        <v>25.4</v>
      </c>
      <c r="AD32" t="inlineStr">
        <is>
          <t>151.2/151.2/151.3</t>
        </is>
      </c>
      <c r="AE32" t="inlineStr">
        <is>
          <t>310.0/310.0/310.0</t>
        </is>
      </c>
      <c r="AF32" t="n">
        <v>6</v>
      </c>
      <c r="AG32" t="inlineStr">
        <is>
          <t>no informada (no hay curva de la fracción ensayada; no se recalculó nada)</t>
        </is>
      </c>
      <c r="AH32" t="inlineStr">
        <is>
          <t>Remoldeado (estado «Remoldeado» en la hoja Vector); criterio de densidad y método de compactación no informados</t>
        </is>
      </c>
      <c r="AI32" t="inlineStr">
        <is>
          <t>19.88/19.87/19.85</t>
        </is>
      </c>
      <c r="AJ32" t="inlineStr">
        <is>
          <t>4.50/4.50/4.50</t>
        </is>
      </c>
      <c r="AK32" t="n">
        <v>2.742</v>
      </c>
      <c r="AL32" t="inlineStr">
        <is>
          <t>ASTM D854 (p.49) sobre la misma litología y fase, impreso como «G. Específica Promedio» en la hoja CU; fracción ensayada en el picnómetro no especificada. Gs grueso C127 bulk = 2.647 (p.48); Tabla 2 da 2.647. Con Gs grueso e0 sería menor.</t>
        </is>
      </c>
      <c r="AM32" t="inlineStr">
        <is>
          <t>0.353/0.354/0.355</t>
        </is>
      </c>
      <c r="AN32" t="inlineStr">
        <is>
          <t>Parámetro B = 0.87/0.88/0.86 (menor que 0.95)</t>
        </is>
      </c>
      <c r="AO32" t="inlineStr">
        <is>
          <t>207/205/205</t>
        </is>
      </c>
      <c r="AP32" t="inlineStr">
        <is>
          <t>isotrópica; σ'3c = 500/250/125 kPa (celda 707/455/330 kPa); duración no informada</t>
        </is>
      </c>
      <c r="AQ32" t="inlineStr">
        <is>
          <t>21.08/20.63/20.34 (γd final de consolidación 2.149/2.103/2.073 g/cm³)</t>
        </is>
      </c>
      <c r="AR32" t="inlineStr">
        <is>
          <t>no drenado (CU, ASTM D4767)</t>
        </is>
      </c>
      <c r="AS32" t="inlineStr">
        <is>
          <t>0.082 (0.01 pulg/min sobre H=31 cm)</t>
        </is>
      </c>
      <c r="AT32" t="inlineStr">
        <is>
          <t>14</t>
        </is>
      </c>
      <c r="AU32" t="inlineStr">
        <is>
          <t>Pico de esfuerzo desviador y 12 % de deformación (Vector)</t>
        </is>
      </c>
      <c r="AV32" t="inlineStr">
        <is>
          <t>sí en las 3 (εa 0.75-1.75 %); a 125 kPa σ'3 cae a ≈13 kPa (casi licuación)</t>
        </is>
      </c>
      <c r="AW32" t="inlineStr">
        <is>
          <t>sí (tabla εa, Δσ, u, σ'3, σ'1, p, q, oblicuidad)</t>
        </is>
      </c>
      <c r="AX32" t="inlineStr">
        <is>
          <t>Hoja p.177: pico total c=0 φ=15.3°, efectiva c'=0 φ'=27.9°; 12 %: total c=0 φ=12.4°, efectiva c'=0 φ'=38.1°</t>
        </is>
      </c>
      <c r="AY32" t="inlineStr">
        <is>
          <t>no informado (sin granulometría post-ensayo)</t>
        </is>
      </c>
      <c r="AZ32" t="inlineStr">
        <is>
          <t>54.0 MPa (56.1; 51.8), p.72</t>
        </is>
      </c>
      <c r="BA32" t="inlineStr">
        <is>
          <t>32.7 kg/cm² (8; σc Tabla 2 78.06 MPa, hoja 76.97 MPa), p.80</t>
        </is>
      </c>
      <c r="BB32" t="inlineStr">
        <is>
          <t>32.2, p.56</t>
        </is>
      </c>
      <c r="BC32" t="inlineStr">
        <is>
          <t>18.6 % MgSO4, p.64 (hoja: sulfato de magnesio; texto p.2: sulfato de sodio)</t>
        </is>
      </c>
      <c r="BD32" t="inlineStr">
        <is>
          <t>2.17, p.48</t>
        </is>
      </c>
      <c r="BE32" t="inlineStr">
        <is>
          <t>173-178;3;10;33;41;49</t>
        </is>
      </c>
      <c r="BF32" t="inlineStr">
        <is>
          <t>Vector no informa Gs, e0 ni granulometría; e0 calculado con Gs D854 de Golder. Vector no indica el tamaño máximo: el 1" sale del cuadro de p.3. Cabeceras MN e INT idénticas en w inicial (4.50 %) y w final (8.50/8.84/9.56 %): posible plantilla copiada.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G2010|G2010-B-MN-2.8in</t>
        </is>
      </c>
      <c r="B33" t="inlineStr">
        <is>
          <t>G2010</t>
        </is>
      </c>
      <c r="C33" t="inlineStr">
        <is>
          <t>G2010-B-MN-2.8in</t>
        </is>
      </c>
      <c r="D33" t="inlineStr">
        <is>
          <t>Mármol</t>
        </is>
      </c>
      <c r="E33" t="inlineStr">
        <is>
          <t>mármol negro</t>
        </is>
      </c>
      <c r="F33" t="inlineStr"/>
      <c r="G33" t="inlineStr">
        <is>
          <t>Chancado</t>
        </is>
      </c>
      <c r="H33" t="inlineStr">
        <is>
          <t>dudosa: muestras del acopio de la chancadora secundaria; hojas de Fase A dicen «Material Chancado»</t>
        </is>
      </c>
      <c r="I33" t="n">
        <v>0</v>
      </c>
      <c r="J33" t="inlineStr">
        <is>
          <t>pequeña (&lt;120 mm)</t>
        </is>
      </c>
      <c r="K33" t="n">
        <v>3</v>
      </c>
      <c r="L33" t="inlineStr">
        <is>
          <t>Triaxial CU</t>
        </is>
      </c>
      <c r="M33" t="n">
        <v>391</v>
      </c>
      <c r="N33" t="n">
        <v>1577</v>
      </c>
      <c r="O33" t="n">
        <v>9.5</v>
      </c>
      <c r="P33" t="inlineStr"/>
      <c r="Q33" t="inlineStr"/>
      <c r="R33" t="inlineStr"/>
      <c r="S33" t="n">
        <v>2.747</v>
      </c>
      <c r="T33" t="n">
        <v>0.273</v>
      </c>
      <c r="U33" t="n">
        <v>49.6</v>
      </c>
      <c r="V33" t="inlineStr">
        <is>
          <t>2010_Golder_Caracterizacion ROM IPCC.pdf</t>
        </is>
      </c>
      <c r="W33" t="inlineStr">
        <is>
          <t>Acopio parte baja de chancadora secundaria (hojas de humedad/granulometría p.19-34); muestreado por personal de mina el 22/09/2009; tajo, fase y banco no informados; densidad in situ medida el 25/09/2009 en «Parte baja chancadora secundaria»</t>
        </is>
      </c>
      <c r="X33" t="inlineStr">
        <is>
          <t>Chancado. Base textual p.1: «La Fase B corresponde al conjunto de actividades realizadas en el material chancado»; LA p.54-57: «Material Chancado, en la planta secundaria».</t>
        </is>
      </c>
      <c r="Y33" t="inlineStr">
        <is>
          <t>305</t>
        </is>
      </c>
      <c r="Z33" t="inlineStr">
        <is>
          <t>Hoja p.31 (ASTM D422/D1140): D60=50.5 mm, D30=11.2 mm, D10=0.1 mm, Cu=476.4, Cc=23.4; D50 y D80 no informados; bloques &gt;12" 0.0 %, cantos 3-12" 34.0 %, grava 43.3 %, arena 15.5 %, finos 7.2 %; SUCS GP-GM; TM 12" (305 mm) según Tabla 1; Tabla 2 repite 35"; Cu/Cc de la figura: 485.3/26.6 (Fig.3)</t>
        </is>
      </c>
      <c r="AA33" t="inlineStr">
        <is>
          <t>Reemplazo de agua ASTM D5030 (p.39): γ húmeda 2.2 t/m³, γd 2.151 t/m³ (= 21.10 kN/m³), w de la hoja 2.3 %</t>
        </is>
      </c>
      <c r="AB33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33" t="n">
        <v>9.5</v>
      </c>
      <c r="AD33" t="inlineStr">
        <is>
          <t>71.5/71.4/71.4</t>
        </is>
      </c>
      <c r="AE33" t="inlineStr">
        <is>
          <t>142.5/142.5/142.5</t>
        </is>
      </c>
      <c r="AF33" t="n">
        <v>7.5</v>
      </c>
      <c r="AG33" t="inlineStr">
        <is>
          <t>no informada (no hay curva de la fracción ensayada; no se recalculó nada)</t>
        </is>
      </c>
      <c r="AH33" t="inlineStr">
        <is>
          <t>Remoldeado a la densidad de campo δ=2.151 gr/cm3 y 8% de humedad, solicitado por el cliente; material &lt;3/8"; método de compactación y número de capas no informados</t>
        </is>
      </c>
      <c r="AI33" t="inlineStr">
        <is>
          <t>21.09/21.16/21.16</t>
        </is>
      </c>
      <c r="AJ33" t="inlineStr">
        <is>
          <t>7.6/7.6/7.6</t>
        </is>
      </c>
      <c r="AK33" t="n">
        <v>2.747</v>
      </c>
      <c r="AL33" t="inlineStr">
        <is>
          <t>ASTM D854 (p.49) sobre la misma litología y fase, impreso como «G. Específica Promedio» en la hoja CU; fracción ensayada en el picnómetro no especificada. Gs grueso C127 bulk = 2.725 (p.48); Tabla 2 da 2.725. Con Gs grueso e0 sería menor.</t>
        </is>
      </c>
      <c r="AM33" t="inlineStr">
        <is>
          <t>0.278/0.274/0.274 (hoja: 0.278/0.273/0.273)</t>
        </is>
      </c>
      <c r="AN33" t="inlineStr">
        <is>
          <t>no informado (B no figura; S final ≈100 % según la hoja)</t>
        </is>
      </c>
      <c r="AO33" t="inlineStr">
        <is>
          <t>no informado</t>
        </is>
      </c>
      <c r="AP33" t="inlineStr">
        <is>
          <t>isotrópica según ASTM D4767 (σ'3c = 391/788/1577 kPa); duración no informada; t50 «-»</t>
        </is>
      </c>
      <c r="AQ33" t="inlineStr">
        <is>
          <t>21.54/21.76/21.86 (γd 2.196/2.218/2.228 g/cm³; e 0.251/0.238/0.233; S final 100.0/100.0/100.0 %)</t>
        </is>
      </c>
      <c r="AR33" t="inlineStr">
        <is>
          <t>no drenado (CU, ASTM D4767)</t>
        </is>
      </c>
      <c r="AS33" t="inlineStr">
        <is>
          <t>0.125/0.125/0.125</t>
        </is>
      </c>
      <c r="AT33" t="inlineStr">
        <is>
          <t>no informada numéricamente (solo gráficos)</t>
        </is>
      </c>
      <c r="AU33" t="inlineStr">
        <is>
          <t>Esfuerzo desviador máximo (hoja Golder)</t>
        </is>
      </c>
      <c r="AV33" t="inlineStr">
        <is>
          <t>no determinable: la hoja Golder solo da el estado de falla y gráficos</t>
        </is>
      </c>
      <c r="AW33" t="inlineStr">
        <is>
          <t>no (solo gráficos q-εa, u-εa, p'-q)</t>
        </is>
      </c>
      <c r="AX33" t="inlineStr">
        <is>
          <t>Hoja Mohr p.119: total c=927 kPa φ=15°; efectiva c'=188 kPa φ'=35°</t>
        </is>
      </c>
      <c r="AY33" t="inlineStr">
        <is>
          <t>no informado (sin granulometría post-ensayo)</t>
        </is>
      </c>
      <c r="AZ33" t="inlineStr">
        <is>
          <t>49.6 MPa (41.5; 57.7), p.70</t>
        </is>
      </c>
      <c r="BA33" t="inlineStr">
        <is>
          <t>10.4 kg/cm² (8; σc 24.56 MPa), p.78</t>
        </is>
      </c>
      <c r="BB33" t="inlineStr">
        <is>
          <t>62.4, p.54</t>
        </is>
      </c>
      <c r="BC33" t="inlineStr">
        <is>
          <t>49.8 % MgSO4, p.62 (hoja: sulfato de magnesio; texto p.2: sulfato de sodio)</t>
        </is>
      </c>
      <c r="BD33" t="inlineStr">
        <is>
          <t>0.33, p.48</t>
        </is>
      </c>
      <c r="BE33" t="inlineStr">
        <is>
          <t>117-121;8;10;31;39;48;49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G2010|G2010-B-MN-4in</t>
        </is>
      </c>
      <c r="B34" t="inlineStr">
        <is>
          <t>G2010</t>
        </is>
      </c>
      <c r="C34" t="inlineStr">
        <is>
          <t>G2010-B-MN-4in</t>
        </is>
      </c>
      <c r="D34" t="inlineStr">
        <is>
          <t>Mármol</t>
        </is>
      </c>
      <c r="E34" t="inlineStr">
        <is>
          <t>mármol negro</t>
        </is>
      </c>
      <c r="F34" t="inlineStr"/>
      <c r="G34" t="inlineStr">
        <is>
          <t>Chancado</t>
        </is>
      </c>
      <c r="H34" t="inlineStr">
        <is>
          <t>dudosa: muestras del acopio de la chancadora secundaria; hojas de Fase A dicen «Material Chancado»</t>
        </is>
      </c>
      <c r="I34" t="n">
        <v>0</v>
      </c>
      <c r="J34" t="inlineStr">
        <is>
          <t>pequeña (&lt;120 mm)</t>
        </is>
      </c>
      <c r="K34" t="n">
        <v>3</v>
      </c>
      <c r="L34" t="inlineStr">
        <is>
          <t>Triaxial CU</t>
        </is>
      </c>
      <c r="M34" t="n">
        <v>392</v>
      </c>
      <c r="N34" t="n">
        <v>785</v>
      </c>
      <c r="O34" t="n">
        <v>15.9</v>
      </c>
      <c r="P34" t="inlineStr"/>
      <c r="Q34" t="inlineStr"/>
      <c r="R34" t="inlineStr"/>
      <c r="S34" t="n">
        <v>2.747</v>
      </c>
      <c r="T34" t="n">
        <v>0.506</v>
      </c>
      <c r="U34" t="n">
        <v>49.6</v>
      </c>
      <c r="V34" t="inlineStr">
        <is>
          <t>2010_Golder_Caracterizacion ROM IPCC.pdf</t>
        </is>
      </c>
      <c r="W34" t="inlineStr">
        <is>
          <t>Acopio parte baja de chancadora secundaria (hojas de humedad/granulometría p.19-34); muestreado por personal de mina el 22/09/2009; tajo, fase y banco no informados; densidad in situ medida el 25/09/2009 en «Parte baja chancadora secundaria»</t>
        </is>
      </c>
      <c r="X34" t="inlineStr">
        <is>
          <t>Chancado. Base textual p.1: «La Fase B corresponde al conjunto de actividades realizadas en el material chancado»; LA p.54-57: «Material Chancado, en la planta secundaria».</t>
        </is>
      </c>
      <c r="Y34" t="inlineStr">
        <is>
          <t>305</t>
        </is>
      </c>
      <c r="Z34" t="inlineStr">
        <is>
          <t>Hoja p.31 (ASTM D422/D1140): D60=50.5 mm, D30=11.2 mm, D10=0.1 mm, Cu=476.4, Cc=23.4; D50 y D80 no informados; bloques &gt;12" 0.0 %, cantos 3-12" 34.0 %, grava 43.3 %, arena 15.5 %, finos 7.2 %; SUCS GP-GM; TM 12" (305 mm) según Tabla 1; Tabla 2 repite 35"; Cu/Cc de la figura: 485.3/26.6 (Fig.3)</t>
        </is>
      </c>
      <c r="AA34" t="inlineStr">
        <is>
          <t>Reemplazo de agua ASTM D5030 (p.39): γ húmeda 2.2 t/m³, γd 2.151 t/m³ (= 21.10 kN/m³), w de la hoja 2.3 %</t>
        </is>
      </c>
      <c r="AB34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34" t="n">
        <v>15.9</v>
      </c>
      <c r="AD34" t="inlineStr">
        <is>
          <t>100.6/100.4/100.6</t>
        </is>
      </c>
      <c r="AE34" t="inlineStr">
        <is>
          <t>200.9/201.9/213.1</t>
        </is>
      </c>
      <c r="AF34" t="n">
        <v>6.3</v>
      </c>
      <c r="AG34" t="inlineStr">
        <is>
          <t>no informada (no hay curva de la fracción ensayada; no se recalculó nada)</t>
        </is>
      </c>
      <c r="AH34" t="inlineStr">
        <is>
          <t>Remoldeado a la densidad mínima δ=1.821 gr/cm3 y 5% de humedad, solicitado por el cliente; material &lt;5/8"; método de compactación y número de capas no informados</t>
        </is>
      </c>
      <c r="AI34" t="inlineStr">
        <is>
          <t>17.90/17.89/16.89</t>
        </is>
      </c>
      <c r="AJ34" t="inlineStr">
        <is>
          <t>5.0/5.0/5.0</t>
        </is>
      </c>
      <c r="AK34" t="n">
        <v>2.747</v>
      </c>
      <c r="AL34" t="inlineStr">
        <is>
          <t>ASTM D854 (p.49) sobre la misma litología y fase, impreso como «G. Específica Promedio» en la hoja CU; fracción ensayada en el picnómetro no especificada. Gs grueso C127 bulk = 2.725 (p.48); Tabla 2 da 2.725. Con Gs grueso e0 sería menor.</t>
        </is>
      </c>
      <c r="AM34" t="inlineStr">
        <is>
          <t>0.505/0.506/0.595 (hoja: 0.505/0.506/0.595)</t>
        </is>
      </c>
      <c r="AN34" t="inlineStr">
        <is>
          <t>no informado (B no figura; S final ≈100 % según la hoja)</t>
        </is>
      </c>
      <c r="AO34" t="inlineStr">
        <is>
          <t>no informado</t>
        </is>
      </c>
      <c r="AP34" t="inlineStr">
        <is>
          <t>isotrópica según ASTM D4767 (σ'3c = 392/550/785 kPa); duración no informada; t50 «-»</t>
        </is>
      </c>
      <c r="AQ34" t="inlineStr">
        <is>
          <t>18.09/18.69/17.88 (γd 1.844/1.905/1.823 g/cm³; e 0.49/0.442/0.507; S final 100.0/100.0/100.0 %)</t>
        </is>
      </c>
      <c r="AR34" t="inlineStr">
        <is>
          <t>no drenado (CU, ASTM D4767)</t>
        </is>
      </c>
      <c r="AS34" t="inlineStr">
        <is>
          <t>0.125/0.125/0.125</t>
        </is>
      </c>
      <c r="AT34" t="inlineStr">
        <is>
          <t>no informada numéricamente (solo gráficos)</t>
        </is>
      </c>
      <c r="AU34" t="inlineStr">
        <is>
          <t>Esfuerzo desviador máximo (hoja Golder)</t>
        </is>
      </c>
      <c r="AV34" t="inlineStr">
        <is>
          <t>no determinable: la hoja Golder solo da el estado de falla y gráficos</t>
        </is>
      </c>
      <c r="AW34" t="inlineStr">
        <is>
          <t>no (solo gráficos q-εa, u-εa, p'-q)</t>
        </is>
      </c>
      <c r="AX34" t="inlineStr">
        <is>
          <t>Hoja Mohr p.139: total c=47 kPa φ=11°; efectiva c'=67 kPa φ'=16°</t>
        </is>
      </c>
      <c r="AY34" t="inlineStr">
        <is>
          <t>no informado (sin granulometría post-ensayo)</t>
        </is>
      </c>
      <c r="AZ34" t="inlineStr">
        <is>
          <t>49.6 MPa (41.5; 57.7), p.70</t>
        </is>
      </c>
      <c r="BA34" t="inlineStr">
        <is>
          <t>10.4 kg/cm² (8; σc 24.56 MPa), p.78</t>
        </is>
      </c>
      <c r="BB34" t="inlineStr">
        <is>
          <t>62.4, p.54</t>
        </is>
      </c>
      <c r="BC34" t="inlineStr">
        <is>
          <t>49.8 % MgSO4, p.62 (hoja: sulfato de magnesio; texto p.2: sulfato de sodio)</t>
        </is>
      </c>
      <c r="BD34" t="inlineStr">
        <is>
          <t>0.33, p.48</t>
        </is>
      </c>
      <c r="BE34" t="inlineStr">
        <is>
          <t>137-141;8;10;31;39;48;49</t>
        </is>
      </c>
      <c r="BF34" t="inlineStr">
        <is>
          <t>Probeta 3 a γd 1.722 (&lt; γd mínima 1.821); la Tabla 4 da 1.722 como «promedio».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G2010|G2010-B-MN-6in</t>
        </is>
      </c>
      <c r="B35" t="inlineStr">
        <is>
          <t>G2010</t>
        </is>
      </c>
      <c r="C35" t="inlineStr">
        <is>
          <t>G2010-B-MN-6in</t>
        </is>
      </c>
      <c r="D35" t="inlineStr">
        <is>
          <t>Mármol</t>
        </is>
      </c>
      <c r="E35" t="inlineStr">
        <is>
          <t>mármol negro</t>
        </is>
      </c>
      <c r="F35" t="inlineStr"/>
      <c r="G35" t="inlineStr">
        <is>
          <t>Chancado</t>
        </is>
      </c>
      <c r="H35" t="inlineStr">
        <is>
          <t>dudosa: muestras del acopio de la chancadora secundaria; hojas de Fase A dicen «Material Chancado»</t>
        </is>
      </c>
      <c r="I35" t="n">
        <v>0</v>
      </c>
      <c r="J35" t="inlineStr">
        <is>
          <t>6 in (≈150 mm)</t>
        </is>
      </c>
      <c r="K35" t="n">
        <v>3</v>
      </c>
      <c r="L35" t="inlineStr">
        <is>
          <t>Triaxial CU</t>
        </is>
      </c>
      <c r="M35" t="n">
        <v>125</v>
      </c>
      <c r="N35" t="n">
        <v>500</v>
      </c>
      <c r="O35" t="n">
        <v>25.4</v>
      </c>
      <c r="P35" t="inlineStr"/>
      <c r="Q35" t="inlineStr"/>
      <c r="R35" t="inlineStr"/>
      <c r="S35" t="n">
        <v>2.747</v>
      </c>
      <c r="T35" t="n">
        <v>0.357</v>
      </c>
      <c r="U35" t="n">
        <v>49.6</v>
      </c>
      <c r="V35" t="inlineStr">
        <is>
          <t>2010_Golder_Caracterizacion ROM IPCC.pdf</t>
        </is>
      </c>
      <c r="W35" t="inlineStr">
        <is>
          <t>Acopio parte baja de chancadora secundaria (hojas de humedad/granulometría p.19-34); muestreado por personal de mina el 22/09/2009; tajo, fase y banco no informados; densidad in situ medida el 25/09/2009 en «Parte baja chancadora secundaria»</t>
        </is>
      </c>
      <c r="X35" t="inlineStr">
        <is>
          <t>Chancado. Base textual p.1: «La Fase B corresponde al conjunto de actividades realizadas en el material chancado»; LA p.54-57: «Material Chancado, en la planta secundaria».</t>
        </is>
      </c>
      <c r="Y35" t="inlineStr">
        <is>
          <t>305</t>
        </is>
      </c>
      <c r="Z35" t="inlineStr">
        <is>
          <t>Hoja p.31 (ASTM D422/D1140): D60=50.5 mm, D30=11.2 mm, D10=0.1 mm, Cu=476.4, Cc=23.4; D50 y D80 no informados; bloques &gt;12" 0.0 %, cantos 3-12" 34.0 %, grava 43.3 %, arena 15.5 %, finos 7.2 %; SUCS GP-GM; TM 12" (305 mm) según Tabla 1; Tabla 2 repite 35"; Cu/Cc de la figura: 485.3/26.6 (Fig.3)</t>
        </is>
      </c>
      <c r="AA35" t="inlineStr">
        <is>
          <t>Reemplazo de agua ASTM D5030 (p.39): γ húmeda 2.2 t/m³, γd 2.151 t/m³ (= 21.10 kN/m³), w de la hoja 2.3 %</t>
        </is>
      </c>
      <c r="AB35" t="inlineStr">
        <is>
          <t>Truncado (scalping) de la matriz: p.3 «Los ensayos de compresión triaxial CU se realizaron considerando materiales menores que 3"» y cuadro Ø 2.8"→3/8", 4"→5/8", 6"→1"; hojas: «Se usó material &lt;3/8"» / «&lt;5/8"»</t>
        </is>
      </c>
      <c r="AC35" t="n">
        <v>25.4</v>
      </c>
      <c r="AD35" t="inlineStr">
        <is>
          <t>151.2/151.2/151.3</t>
        </is>
      </c>
      <c r="AE35" t="inlineStr">
        <is>
          <t>310.0/310.0/310.0</t>
        </is>
      </c>
      <c r="AF35" t="n">
        <v>6</v>
      </c>
      <c r="AG35" t="inlineStr">
        <is>
          <t>no informada (no hay curva de la fracción ensayada; no se recalculó nada)</t>
        </is>
      </c>
      <c r="AH35" t="inlineStr">
        <is>
          <t>Remoldeado (estado «Remoldeado» en la hoja Vector); criterio de densidad y método de compactación no informados</t>
        </is>
      </c>
      <c r="AI35" t="inlineStr">
        <is>
          <t>19.88/19.87/19.86</t>
        </is>
      </c>
      <c r="AJ35" t="inlineStr">
        <is>
          <t>4.50/4.50/4.50</t>
        </is>
      </c>
      <c r="AK35" t="n">
        <v>2.747</v>
      </c>
      <c r="AL35" t="inlineStr">
        <is>
          <t>ASTM D854 (p.49) sobre la misma litología y fase, impreso como «G. Específica Promedio» en la hoja CU; fracción ensayada en el picnómetro no especificada. Gs grueso C127 bulk = 2.725 (p.48); Tabla 2 da 2.725. Con Gs grueso e0 sería menor.</t>
        </is>
      </c>
      <c r="AM35" t="inlineStr">
        <is>
          <t>0.355/0.357/0.357</t>
        </is>
      </c>
      <c r="AN35" t="inlineStr">
        <is>
          <t>Parámetro B = 0.88/0.87/0.89 (menor que 0.95)</t>
        </is>
      </c>
      <c r="AO35" t="inlineStr">
        <is>
          <t>207/205/205</t>
        </is>
      </c>
      <c r="AP35" t="inlineStr">
        <is>
          <t>isotrópica; σ'3c = 500/250/125 kPa (celda 707/455/330 kPa); duración no informada</t>
        </is>
      </c>
      <c r="AQ35" t="inlineStr">
        <is>
          <t>20.21/20.12/20.04 (γd final de consolidación 2.06/2.051/2.043 g/cm³)</t>
        </is>
      </c>
      <c r="AR35" t="inlineStr">
        <is>
          <t>no drenado (CU, ASTM D4767)</t>
        </is>
      </c>
      <c r="AS35" t="inlineStr">
        <is>
          <t>0.082 (0.01 pulg/min sobre H=31 cm)</t>
        </is>
      </c>
      <c r="AT35" t="inlineStr">
        <is>
          <t>14</t>
        </is>
      </c>
      <c r="AU35" t="inlineStr">
        <is>
          <t>Pico de esfuerzo desviador y 12 % de deformación (Vector)</t>
        </is>
      </c>
      <c r="AV35" t="inlineStr">
        <is>
          <t>sí en las 3 probetas (εa 1.0-1.5 %), con ablandamiento posterior</t>
        </is>
      </c>
      <c r="AW35" t="inlineStr">
        <is>
          <t>sí (tabla εa, Δσ, u, σ'3, σ'1, p, q, oblicuidad)</t>
        </is>
      </c>
      <c r="AX35" t="inlineStr">
        <is>
          <t>Hoja p.165: pico total c=60 φ=29.6°, efectiva c'=25 φ'=36.4°; 12 %: total c=0 φ=26°, efectiva c'=10 φ'=38°</t>
        </is>
      </c>
      <c r="AY35" t="inlineStr">
        <is>
          <t>no informado (sin granulometría post-ensayo)</t>
        </is>
      </c>
      <c r="AZ35" t="inlineStr">
        <is>
          <t>49.6 MPa (41.5; 57.7), p.70</t>
        </is>
      </c>
      <c r="BA35" t="inlineStr">
        <is>
          <t>10.4 kg/cm² (8; σc 24.56 MPa), p.78</t>
        </is>
      </c>
      <c r="BB35" t="inlineStr">
        <is>
          <t>62.4, p.54</t>
        </is>
      </c>
      <c r="BC35" t="inlineStr">
        <is>
          <t>49.8 % MgSO4, p.62 (hoja: sulfato de magnesio; texto p.2: sulfato de sodio)</t>
        </is>
      </c>
      <c r="BD35" t="inlineStr">
        <is>
          <t>0.33, p.48</t>
        </is>
      </c>
      <c r="BE35" t="inlineStr">
        <is>
          <t>161-166;3;10;31;39;49</t>
        </is>
      </c>
      <c r="BF35" t="inlineStr">
        <is>
          <t>Vector no informa Gs, e0 ni granulometría; e0 calculado con Gs D854 de Golder. Vector no indica el tamaño máximo: el 1" sale del cuadro de p.3. Cabeceras MN e INT idénticas en w inicial (4.50 %) y w final (8.50/8.84/9.56 %): posible plantilla copiada.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G2012|G2012-MN-C</t>
        </is>
      </c>
      <c r="B36" t="inlineStr">
        <is>
          <t>G2012</t>
        </is>
      </c>
      <c r="C36" t="inlineStr">
        <is>
          <t>G2012-MN-C</t>
        </is>
      </c>
      <c r="D36" t="inlineStr">
        <is>
          <t>Mármol</t>
        </is>
      </c>
      <c r="E36" t="inlineStr">
        <is>
          <t>mármol negro</t>
        </is>
      </c>
      <c r="F36" t="inlineStr"/>
      <c r="G36" t="inlineStr">
        <is>
          <t>Enrocado</t>
        </is>
      </c>
      <c r="H36" t="inlineStr">
        <is>
          <t>asignada: material para presa; el texto lo llama run-of-the-mine</t>
        </is>
      </c>
      <c r="I36" t="n">
        <v>0</v>
      </c>
      <c r="J36" t="inlineStr">
        <is>
          <t>1.0 m</t>
        </is>
      </c>
      <c r="K36" t="n">
        <v>6</v>
      </c>
      <c r="L36" t="inlineStr">
        <is>
          <t>Edómetro; Triaxial CD</t>
        </is>
      </c>
      <c r="M36" t="n">
        <v>490.3</v>
      </c>
      <c r="N36" t="n">
        <v>1961.3</v>
      </c>
      <c r="O36" t="n">
        <v>177.8</v>
      </c>
      <c r="P36" t="n">
        <v>39.48</v>
      </c>
      <c r="Q36" t="n">
        <v>34.4</v>
      </c>
      <c r="R36" t="n">
        <v>4.9</v>
      </c>
      <c r="S36" t="n">
        <v>2.7</v>
      </c>
      <c r="T36" t="n">
        <v>0.3121962962962963</v>
      </c>
      <c r="U36" t="n">
        <v>97.3</v>
      </c>
      <c r="V36" t="inlineStr">
        <is>
          <t>2012_Golder_Triaxiales Gran Escala en Marmol Negro.pdf</t>
        </is>
      </c>
      <c r="W36" t="inlineStr">
        <is>
          <t>'Type C rockfill from Phase 5, Polygon 12022607, elevation 4478', ~16,000 kg, 'angular run-of-the-mine material'; muestreo según Informe 379 (Golder 2011, no incluido) (p1–p2). IDIEM: fecha de muestreo '---', lugar 'Realizado por Cliente', recepción abril 2011 (p25)</t>
        </is>
      </c>
      <c r="X36" t="inlineStr">
        <is>
          <t>C ('identified by Antamina as Type C rockfill', p1). Material de presa; origen ROM ('run-of-the-mine') (p2)</t>
        </is>
      </c>
      <c r="Y36" t="inlineStr">
        <is>
          <t>558.8 ('oversize particles up to 559 mm', p2)</t>
        </is>
      </c>
      <c r="Z36" t="inlineStr">
        <is>
          <t>Solo gráfico (Fig. 1 p2): macro-granulometría 'Run-of-Mine' con Dmax 558.8 mm, Cu 35.0, Cc 2.5; ≈3–4 % pasa 0.074 mm (lectura del gráfico). D10/D50/D80 no tabulados</t>
        </is>
      </c>
      <c r="AA36" t="inlineStr">
        <is>
          <t>no informada</t>
        </is>
      </c>
      <c r="AB36" t="inlineStr">
        <is>
          <t>Truncado: 'scalped at 178 mm to produce samples for testing with comparable grain size curves' (p2)</t>
        </is>
      </c>
      <c r="AC36" t="n">
        <v>177.8</v>
      </c>
      <c r="AD36" t="n">
        <v>1000</v>
      </c>
      <c r="AE36" t="n">
        <v>1800</v>
      </c>
      <c r="AF36" t="n">
        <v>5.6</v>
      </c>
      <c r="AG36" t="inlineStr">
        <is>
          <t>IDIEM inicial (p27): 100/97.9/93.2/87.9/75.5/67.6/59.2/48.7/38.0/31.2/20.3/14.7/10.8/8.9/7.9/7.3/5.5/4.9 % pasa 178…0.074 mm. Informe: Cu 34.4, Cc 4.1 (Fig. 1). Recalculado log-lineal: D10 1.39, D30 17.6, D50 39.5, D60 51.9 mm; Cu 37.4, Cc 4.3; grava 85.3, arena 9.8, finos 4.9 %</t>
        </is>
      </c>
      <c r="AH36" t="inlineStr">
        <is>
          <t>Molde Ø1.0×1.8 m, 2 membranas 5 mm + geotextil; 6 capas de 0.3 m de material SECO con pisón vibratorio pequeño a ρd objetivo 2.1 t/m³; vacío 0.3 kg/cm² (p5). Criterio: densidad objetivo (sin % Proctor ni Dr)</t>
        </is>
      </c>
      <c r="AI36" t="inlineStr">
        <is>
          <t>20.60 (2.10 g/cm³ en las 5 hojas)</t>
        </is>
      </c>
      <c r="AJ36" t="inlineStr">
        <is>
          <t>0.09 (hojas)</t>
        </is>
      </c>
      <c r="AK36" t="n">
        <v>2.7</v>
      </c>
      <c r="AL36" t="inlineStr">
        <is>
          <t>SUPUESTO: 'The specific gravity of this rock type was not determined' (p3); 'estimated assuming Gs=2.7' (p7); IDIEM 'Peso específico integral 2,700' (p72)</t>
        </is>
      </c>
      <c r="AM36" t="inlineStr">
        <is>
          <t>0.286</t>
        </is>
      </c>
      <c r="AN36" t="inlineStr">
        <is>
          <t>CO2 24 h + agua destilada desaireada; saturada con B &gt; 95 % (p7); B por probeta no informado</t>
        </is>
      </c>
      <c r="AO36" t="inlineStr">
        <is>
          <t>196 (2 kg/cm²; p7 y hojas)</t>
        </is>
      </c>
      <c r="AP36" t="inlineStr">
        <is>
          <t>Isotrópica en incrementos hasta σ'c (p7); ΔV 34,670 / 41,604 / 65,378 / 92,453 / 116,227 cm³; duración no informada</t>
        </is>
      </c>
      <c r="AQ36" t="inlineStr">
        <is>
          <t>21.09, 21.19, 21.58, 22.07, 22.46 (2.15, 2.16, 2.20, 2.25, 2.29 t/m³; e 0.256, 0.250, 0.227, 0.200, 0.179; Tabla 3 p7)</t>
        </is>
      </c>
      <c r="AR36" t="inlineStr">
        <is>
          <t>Drenado</t>
        </is>
      </c>
      <c r="AS36" t="inlineStr">
        <is>
          <t>no informada ('--'); controlado por carga en incrementos (p7)</t>
        </is>
      </c>
      <c r="AT36" t="inlineStr">
        <is>
          <t>19.97 / 20.39 / 18.73 / 19.97 / 19.74</t>
        </is>
      </c>
      <c r="AU36" t="inlineStr">
        <is>
          <t>'Peak friction angle' estimado por ensayo (p10) = máximo de t=(σ1−σ3)/2</t>
        </is>
      </c>
      <c r="AV36" t="inlineStr">
        <is>
          <t>No marcado: máximo a 17–20 % con caída posterior ≤ 4.6 % (P1 −4.6 %, P2 −1.7 %, P3 −1.2 %, P4 −0.5 %, P5 −2.9 %)</t>
        </is>
      </c>
      <c r="AW36" t="inlineStr">
        <is>
          <t>sí (p29–p70)</t>
        </is>
      </c>
      <c r="AX36" t="inlineStr"/>
      <c r="AY36" t="inlineStr">
        <is>
          <t>Marsal (1967) declarado como 'sum of the positive differences' (p17); tamices 7" a #200 (p27–p28). PERO la Tabla 5 (26.8, 28.6, 40.8, 50.2, 55.4) es Σ|ΔW| = 2×Bg; Bg correcto 13.4, 14.3, 20.4, 25.1, 27.7</t>
        </is>
      </c>
      <c r="AZ36" t="inlineStr">
        <is>
          <t>Informe 379 (Golder 2011), 8 probetas M1-1…M4-2, Ø 45–45.5 mm, L/D 2.0: 540, 1110, 1080, 1310, 560, 620, 1380, 1340 kg/cm² (= 53–135 MPa; prom. 97.3 MPa) (Golder 2012 Tabla 1 p3). WSP 2022 Tabla 2 (p8) recalcula de la carga: 53, 108, 106, 129, 54, 61, 136, 132 MPa (mismos ensayos; diferencia solo de redondeo). Norma no indicada; Informe 379 no incluido</t>
        </is>
      </c>
      <c r="BA36" t="inlineStr">
        <is>
          <t>no informado</t>
        </is>
      </c>
      <c r="BB36" t="inlineStr">
        <is>
          <t>44 y 41 (2 muestras; Informe 379; Golder 2012 p17). WSP p38 lo resume como 43 %. Norma no indicada</t>
        </is>
      </c>
      <c r="BC36" t="inlineStr">
        <is>
          <t>no informado</t>
        </is>
      </c>
      <c r="BD36" t="inlineStr">
        <is>
          <t>no informado</t>
        </is>
      </c>
      <c r="BE36" t="inlineStr">
        <is>
          <t>1–3;5;7;10;17;25–29;31–70</t>
        </is>
      </c>
      <c r="BF36" t="inlineStr"/>
      <c r="BG36" t="inlineStr">
        <is>
          <t>CID monótono (P1, P4) y carga-descarga (P2, P3, P5), IDIEM 708.397-A</t>
        </is>
      </c>
      <c r="BH36" t="inlineStr">
        <is>
          <t>5 (σ'c 5, 5, 10, 20, 20 kg/cm²)</t>
        </is>
      </c>
      <c r="BI36" t="n">
        <v>0.286</v>
      </c>
      <c r="BJ36" t="inlineStr">
        <is>
          <t>sin dato de densidad de roca para acotar Gs</t>
        </is>
      </c>
      <c r="BK36" t="inlineStr">
        <is>
          <t>sí</t>
        </is>
      </c>
      <c r="BL36" t="inlineStr">
        <is>
          <t>Registro PRIMARIO de estos ensayos; WSP 2022 (p252–p293, p66–p67) los reproduce idénticos. No hay ensayos no drenados (sección B de VERIFICACION.md no aplica).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</row>
    <row r="37">
      <c r="A37" t="inlineStr">
        <is>
          <t>G2012|G2012-MN-C</t>
        </is>
      </c>
      <c r="B37" t="inlineStr">
        <is>
          <t>G2012</t>
        </is>
      </c>
      <c r="C37" t="inlineStr">
        <is>
          <t>G2012-MN-C</t>
        </is>
      </c>
      <c r="D37" t="inlineStr">
        <is>
          <t>Mármol</t>
        </is>
      </c>
      <c r="E37" t="inlineStr">
        <is>
          <t>mármol negro</t>
        </is>
      </c>
      <c r="F37" t="inlineStr"/>
      <c r="G37" t="inlineStr">
        <is>
          <t>Enrocado</t>
        </is>
      </c>
      <c r="H37" t="inlineStr">
        <is>
          <t>asignada: material para presa; el texto lo llama run-of-the-mine</t>
        </is>
      </c>
      <c r="I37" t="n">
        <v>0</v>
      </c>
      <c r="J37" t="inlineStr">
        <is>
          <t>1.0 m</t>
        </is>
      </c>
      <c r="K37" t="n">
        <v>6</v>
      </c>
      <c r="L37" t="inlineStr">
        <is>
          <t>Edómetro; Triaxial CD</t>
        </is>
      </c>
      <c r="M37" t="n">
        <v>490.3</v>
      </c>
      <c r="N37" t="n">
        <v>1961.3</v>
      </c>
      <c r="O37" t="n">
        <v>177.8</v>
      </c>
      <c r="P37" t="n">
        <v>39.48</v>
      </c>
      <c r="Q37" t="n">
        <v>34.4</v>
      </c>
      <c r="R37" t="n">
        <v>4.9</v>
      </c>
      <c r="S37" t="n">
        <v>2.7</v>
      </c>
      <c r="T37" t="n">
        <v>0.3121962962962963</v>
      </c>
      <c r="U37" t="n">
        <v>97.3</v>
      </c>
      <c r="V37" t="inlineStr">
        <is>
          <t>2012_Golder_Triaxiales Gran Escala en Marmol Negro.pdf</t>
        </is>
      </c>
      <c r="W37" t="inlineStr">
        <is>
          <t>'Type C rockfill from Phase 5, Polygon 12022607, elevation 4478', ~16,000 kg, 'angular run-of-the-mine material'; muestreo según Informe 379 (Golder 2011, no incluido) (p1–p2). IDIEM: fecha de muestreo '---', lugar 'Realizado por Cliente', recepción abril 2011 (p25)</t>
        </is>
      </c>
      <c r="X37" t="inlineStr">
        <is>
          <t>C (p1)</t>
        </is>
      </c>
      <c r="Y37" t="inlineStr">
        <is>
          <t>558.8</t>
        </is>
      </c>
      <c r="Z37" t="inlineStr">
        <is>
          <t>Solo gráfico (Fig. 1 p2): macro-granulometría 'Run-of-Mine' con Dmax 558.8 mm, Cu 35.0, Cc 2.5; ≈3–4 % pasa 0.074 mm (lectura del gráfico). D10/D50/D80 no tabulados</t>
        </is>
      </c>
      <c r="AA37" t="inlineStr">
        <is>
          <t>no informada</t>
        </is>
      </c>
      <c r="AB37" t="inlineStr">
        <is>
          <t>Truncado a 178 mm (p2)</t>
        </is>
      </c>
      <c r="AC37" t="n">
        <v>177.8</v>
      </c>
      <c r="AD37" t="n">
        <v>949.7</v>
      </c>
      <c r="AE37" t="n">
        <v>900</v>
      </c>
      <c r="AF37" t="n">
        <v>5.3</v>
      </c>
      <c r="AG37" t="inlineStr">
        <is>
          <t>IDIEM inicial (p27): 100/97.9/93.2/87.9/75.5/67.6/59.2/48.7/38.0/31.2/20.3/14.7/10.8/8.9/7.9/7.3/5.5/4.9 % pasa 178…0.074 mm. Informe: Cu 34.4, Cc 4.1 (Fig. 1). Recalculado log-lineal: D10 1.39, D30 17.6, D50 39.5, D60 51.9 mm; Cu 37.4, Cc 4.3; grava 85.3, arena 9.8, finos 4.9 %</t>
        </is>
      </c>
      <c r="AH37" t="inlineStr">
        <is>
          <t>Capas de 0.3 m, pisón vibratorio pequeño, 3 capas de material seco a 2.1 t/m³ (p13)</t>
        </is>
      </c>
      <c r="AI37" t="inlineStr">
        <is>
          <t>20.60 (2.100)</t>
        </is>
      </c>
      <c r="AJ37" t="inlineStr">
        <is>
          <t>0.088</t>
        </is>
      </c>
      <c r="AK37" t="n">
        <v>2.7</v>
      </c>
      <c r="AL37" t="inlineStr">
        <is>
          <t>supuesto (p13)</t>
        </is>
      </c>
      <c r="AM37" t="inlineStr">
        <is>
          <t>0.286 (confección)</t>
        </is>
      </c>
      <c r="AN37" t="inlineStr">
        <is>
          <t>Inundación a carga de asiento 0.18 kg/cm²; colapso 0.8 mm (0.09 %) (p13)</t>
        </is>
      </c>
      <c r="AO37" t="inlineStr">
        <is>
          <t>no aplica</t>
        </is>
      </c>
      <c r="AP37" t="inlineStr">
        <is>
          <t>Hasta 60 kg/cm² (5884 kPa): 20 incrementos de 2 kg/cm² y 4 de 5 kg/cm²; cada uno hasta sin deformación ≥100 min; los dos últimos ≈15 días; descarga en 12 etapas; ≈2.5 meses (p13)</t>
        </is>
      </c>
      <c r="AQ37" t="inlineStr">
        <is>
          <t>ρd 2.309 (22.65 kN/m³), e 0.170 a 60 kg/cm² (p72)</t>
        </is>
      </c>
      <c r="AR37" t="inlineStr">
        <is>
          <t>no aplica</t>
        </is>
      </c>
      <c r="AS37" t="inlineStr">
        <is>
          <t>no aplica</t>
        </is>
      </c>
      <c r="AT37" t="inlineStr">
        <is>
          <t>9.03 a 60 kg/cm²</t>
        </is>
      </c>
      <c r="AU37" t="inlineStr">
        <is>
          <t>no aplica</t>
        </is>
      </c>
      <c r="AV37" t="inlineStr">
        <is>
          <t>no aplica</t>
        </is>
      </c>
      <c r="AW37" t="inlineStr">
        <is>
          <t>sí (p72)</t>
        </is>
      </c>
      <c r="AX37" t="inlineStr"/>
      <c r="AY37" t="inlineStr">
        <is>
          <t>Igual que triaxiales; Tabla 5 da 28.8 (= 2×Bg); correcto 14.4</t>
        </is>
      </c>
      <c r="AZ37" t="inlineStr">
        <is>
          <t>Informe 379 (Golder 2011), 8 probetas M1-1…M4-2, Ø 45–45.5 mm, L/D 2.0: 540, 1110, 1080, 1310, 560, 620, 1380, 1340 kg/cm² (= 53–135 MPa; prom. 97.3 MPa) (Golder 2012 Tabla 1 p3). WSP 2022 Tabla 2 (p8) recalcula de la carga: 53, 108, 106, 129, 54, 61, 136, 132 MPa (mismos ensayos; diferencia solo de redondeo). Norma no indicada; Informe 379 no incluido</t>
        </is>
      </c>
      <c r="BA37" t="inlineStr">
        <is>
          <t>no informado</t>
        </is>
      </c>
      <c r="BB37" t="inlineStr">
        <is>
          <t>44 y 41 (2 muestras; Informe 379; Golder 2012 p17). WSP p38 lo resume como 43 %. Norma no indicada</t>
        </is>
      </c>
      <c r="BC37" t="inlineStr">
        <is>
          <t>no informado</t>
        </is>
      </c>
      <c r="BD37" t="inlineStr">
        <is>
          <t>no informado</t>
        </is>
      </c>
      <c r="BE37" t="inlineStr">
        <is>
          <t>13–17;28;72–79</t>
        </is>
      </c>
      <c r="BF37" t="inlineStr"/>
      <c r="BG37" t="inlineStr">
        <is>
          <t>Edómetro de gran escala (Probeta 6) con permeabilidad de carga constante</t>
        </is>
      </c>
      <c r="BH37" t="inlineStr">
        <is>
          <t>1</t>
        </is>
      </c>
      <c r="BI37" t="n">
        <v>0.286</v>
      </c>
      <c r="BJ37" t="inlineStr">
        <is>
          <t>hoja: 0.284 a 0.18 kg/cm²</t>
        </is>
      </c>
      <c r="BK37" t="inlineStr">
        <is>
          <t>sí</t>
        </is>
      </c>
      <c r="BL37" t="inlineStr">
        <is>
          <t>k = 1.4E-1 a 8.2E-2 cm/s entre 6 y 60 kg/cm² (Tabla 4 p16). Módulo E ≈400 kg/cm² (σ'v&lt;40) a ≈800 kg/cm² (40–60) (p15).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</row>
    <row r="38">
      <c r="A38" t="inlineStr">
        <is>
          <t>G2021|G21-ALT1-1:1</t>
        </is>
      </c>
      <c r="B38" t="inlineStr">
        <is>
          <t>G2021</t>
        </is>
      </c>
      <c r="C38" t="inlineStr">
        <is>
          <t>G21-ALT1-1:1</t>
        </is>
      </c>
      <c r="D38" t="inlineStr">
        <is>
          <t>Mezcla</t>
        </is>
      </c>
      <c r="E38" t="inlineStr">
        <is>
          <t>Tipo B = mármol y hornfels (el informe no separa su reparto); sin subtipos (mármol blanco/negro, skarn, etc.) indicados</t>
        </is>
      </c>
      <c r="F38" t="inlineStr">
        <is>
          <t>Intrusivo 35 %; Mármol + Hornfels 15 % (Tipo B, reparto no indicado); Hornfels 50 % (proporciones del desmonte, masa seca); la mezcla lleva además 50 % de relave en masa seca</t>
        </is>
      </c>
      <c r="G38" t="inlineStr">
        <is>
          <t>Mezcla co-disposición (desmonte ROM + relave)</t>
        </is>
      </c>
      <c r="H38" t="inlineStr">
        <is>
          <t>criterio experto: compuesto de desmonte por tipos geoquímicos A/B/C para co-disposición en botadero</t>
        </is>
      </c>
      <c r="I38" t="n">
        <v>50</v>
      </c>
      <c r="J38" t="inlineStr">
        <is>
          <t>6 in (≈150 mm)</t>
        </is>
      </c>
      <c r="K38" t="n">
        <v>4</v>
      </c>
      <c r="L38" t="inlineStr">
        <is>
          <t>Permeabilidad; Triaxial CD</t>
        </is>
      </c>
      <c r="M38" t="n">
        <v>103</v>
      </c>
      <c r="N38" t="n">
        <v>1202</v>
      </c>
      <c r="O38" t="n">
        <v>25.4</v>
      </c>
      <c r="P38" t="n">
        <v>0.2833</v>
      </c>
      <c r="Q38" t="n">
        <v>35.57</v>
      </c>
      <c r="R38" t="n">
        <v>26.2</v>
      </c>
      <c r="S38" t="n">
        <v>3</v>
      </c>
      <c r="T38" t="n">
        <v>0.668</v>
      </c>
      <c r="U38" t="inlineStr"/>
      <c r="V38" t="inlineStr">
        <is>
          <t>2021_Golder_Ensayos de Laboratorio Commingling.pdf</t>
        </is>
      </c>
      <c r="W38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38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38" t="inlineStr">
        <is>
          <t>no informado</t>
        </is>
      </c>
      <c r="Z38" t="inlineStr">
        <is>
          <t>no informada (solo se ensayaron muestras truncadas a 1")</t>
        </is>
      </c>
      <c r="AA38" t="inlineStr">
        <is>
          <t>no informada</t>
        </is>
      </c>
      <c r="AB38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38" t="n">
        <v>25.4</v>
      </c>
      <c r="AD38" t="n">
        <v>152.4</v>
      </c>
      <c r="AE38" t="n">
        <v>305.1</v>
      </c>
      <c r="AF38" t="n">
        <v>6</v>
      </c>
      <c r="AG38" t="inlineStr">
        <is>
          <t>Hoja p.49 (ASTM D422/D7928, hidrómetro): D10=0.0208, D30=0.0952, D50=0.2833, D60=0.7395 mm, Cu=35.57, Cc=0.59; grava 29.8, arena 44.0, finos 26.2 %; SUCS SM; no recalculada</t>
        </is>
      </c>
      <c r="AH38" t="inlineStr">
        <is>
          <t>Remoldeado «a la DS 1.8 g/cm3 ... según solicitud del cliente» (hojas p.129-131); ≈78-80 % del Proctor estándar de la Tabla 6 (suelta). Método de compactación y capas no informados</t>
        </is>
      </c>
      <c r="AI38" t="inlineStr">
        <is>
          <t>17.68/17.67/17.68</t>
        </is>
      </c>
      <c r="AJ38" t="inlineStr">
        <is>
          <t>8.15/8.20/8.18</t>
        </is>
      </c>
      <c r="AK38" t="n">
        <v>3</v>
      </c>
      <c r="AL38" t="inlineStr">
        <is>
          <t>«G. Específica (Promedio)» impresa en las hojas triaxiales (p.129-131); no es el Gs de finos (D854) ni el de gruesos (C127) de la Tabla 5 y el informe no explica su cálculo. Golder calculó e0 con este valor</t>
        </is>
      </c>
      <c r="AM38" t="inlineStr">
        <is>
          <t>0.665/0.666/0.665 (Tabla 8: 0.66/0.67/0.67)</t>
        </is>
      </c>
      <c r="AN38" t="inlineStr">
        <is>
          <t>Por contrapresión; B = 0.96/0.99/0.98</t>
        </is>
      </c>
      <c r="AO38" t="inlineStr">
        <is>
          <t>264/265/267</t>
        </is>
      </c>
      <c r="AP38" t="inlineStr">
        <is>
          <t>isotrópica; σ'3c = 103/404/1202 kPa (celda 367/669/1469 kPa); duración no informada (t90 en la hoja)</t>
        </is>
      </c>
      <c r="AQ38" t="inlineStr">
        <is>
          <t>21.58/21.68/22.46 (hojas; Tabla 8 «antes del corte» equivalente)</t>
        </is>
      </c>
      <c r="AR38" t="inlineStr">
        <is>
          <t>drenado (CID, ASTM D7181)</t>
        </is>
      </c>
      <c r="AS38" t="n">
        <v>0.111</v>
      </c>
      <c r="AT38" t="inlineStr">
        <is>
          <t>≈20</t>
        </is>
      </c>
      <c r="AU38" t="inlineStr">
        <is>
          <t>«Esfuerzo Desv. Máximo» (hoja; pero σ1 impreso corresponde a εa≈16 %); Tabla 8 «Máx. Esfuerzo Desviador»</t>
        </is>
      </c>
      <c r="AV38" t="inlineStr">
        <is>
          <t>ver columna hay_pico del CSV verificado (por probeta)</t>
        </is>
      </c>
      <c r="AW38" t="inlineStr">
        <is>
          <t>sí</t>
        </is>
      </c>
      <c r="AX38" t="inlineStr">
        <is>
          <t>Tabla 7 (p.19): c=24 kPa φ=38°; hoja p.133: c=22 kPa φ=38°</t>
        </is>
      </c>
      <c r="AY38" t="inlineStr">
        <is>
          <t>no informado (sin granulometría post-ensayo)</t>
        </is>
      </c>
      <c r="AZ38" t="inlineStr">
        <is>
          <t>no ensayado</t>
        </is>
      </c>
      <c r="BA38" t="inlineStr">
        <is>
          <t>no ensayado</t>
        </is>
      </c>
      <c r="BB38" t="inlineStr">
        <is>
          <t>no ensayado</t>
        </is>
      </c>
      <c r="BC38" t="inlineStr">
        <is>
          <t>no ensayado</t>
        </is>
      </c>
      <c r="BD38" t="inlineStr">
        <is>
          <t>gruesos de la mezcla, C127 (p.87-95); ver resumen</t>
        </is>
      </c>
      <c r="BE38" t="inlineStr">
        <is>
          <t>6;9;11;15;18;19;20-22;49;129-131;133;23;180</t>
        </is>
      </c>
      <c r="BF38" t="inlineStr">
        <is>
          <t>Permeabilidad pared flexible ASTM D5084 (p.180) a σ'=399 kPa sobre la probeta triaxial de ≈400 kPa: k20 = 8.9E-07 (Tabla 9: 8.90E-06) m/s.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G2021|G21-ALT1-4:1</t>
        </is>
      </c>
      <c r="B39" t="inlineStr">
        <is>
          <t>G2021</t>
        </is>
      </c>
      <c r="C39" t="inlineStr">
        <is>
          <t>G21-ALT1-4:1</t>
        </is>
      </c>
      <c r="D39" t="inlineStr">
        <is>
          <t>Mezcla</t>
        </is>
      </c>
      <c r="E39" t="inlineStr">
        <is>
          <t>Tipo B = mármol y hornfels (el informe no separa su reparto); sin subtipos (mármol blanco/negro, skarn, etc.) indicados</t>
        </is>
      </c>
      <c r="F39" t="inlineStr">
        <is>
          <t>Intrusivo 35 %; Mármol + Hornfels 15 % (Tipo B, reparto no indicado); Hornfels 50 % (proporciones del desmonte, masa seca); la mezcla lleva además 20 % de relave en masa seca</t>
        </is>
      </c>
      <c r="G39" t="inlineStr">
        <is>
          <t>Mezcla co-disposición (desmonte ROM + relave)</t>
        </is>
      </c>
      <c r="H39" t="inlineStr">
        <is>
          <t>criterio experto: compuesto de desmonte por tipos geoquímicos A/B/C para co-disposición en botadero</t>
        </is>
      </c>
      <c r="I39" t="n">
        <v>20</v>
      </c>
      <c r="J39" t="inlineStr">
        <is>
          <t>6 in (≈150 mm)</t>
        </is>
      </c>
      <c r="K39" t="n">
        <v>3</v>
      </c>
      <c r="L39" t="inlineStr">
        <is>
          <t>Triaxial CD</t>
        </is>
      </c>
      <c r="M39" t="n">
        <v>100</v>
      </c>
      <c r="N39" t="n">
        <v>1202</v>
      </c>
      <c r="O39" t="n">
        <v>25.4</v>
      </c>
      <c r="P39" t="n">
        <v>4.0365</v>
      </c>
      <c r="Q39" t="n">
        <v>167.06</v>
      </c>
      <c r="R39" t="n">
        <v>15.9</v>
      </c>
      <c r="S39" t="n">
        <v>2.846</v>
      </c>
      <c r="T39" t="n">
        <v>0.58</v>
      </c>
      <c r="U39" t="inlineStr"/>
      <c r="V39" t="inlineStr">
        <is>
          <t>2021_Golder_Ensayos de Laboratorio Commingling.pdf</t>
        </is>
      </c>
      <c r="W39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39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39" t="inlineStr">
        <is>
          <t>no informado</t>
        </is>
      </c>
      <c r="Z39" t="inlineStr">
        <is>
          <t>no informada (solo se ensayaron muestras truncadas a 1")</t>
        </is>
      </c>
      <c r="AA39" t="inlineStr">
        <is>
          <t>no informada</t>
        </is>
      </c>
      <c r="AB39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39" t="n">
        <v>25.4</v>
      </c>
      <c r="AD39" t="n">
        <v>152.4</v>
      </c>
      <c r="AE39" t="n">
        <v>305.1</v>
      </c>
      <c r="AF39" t="n">
        <v>6</v>
      </c>
      <c r="AG39" t="inlineStr">
        <is>
          <t>Hoja p.48 (ASTM D422/D7928, hidrómetro): D10=0.0443, D30=0.2874, D50=4.0365, D60=7.4082 mm, Cu=167.06, Cc=0.25; grava 47.7, arena 36.4, finos 15.9 %; SUCS GM; no recalculada</t>
        </is>
      </c>
      <c r="AH39" t="inlineStr">
        <is>
          <t>Remoldeado «a la DS 1.8 g/cm3 ... según solicitud del cliente» (hojas p.122-124); ≈78-80 % del Proctor estándar de la Tabla 6 (suelta). Método de compactación y capas no informados</t>
        </is>
      </c>
      <c r="AI39" t="inlineStr">
        <is>
          <t>17.68/17.68/17.68</t>
        </is>
      </c>
      <c r="AJ39" t="inlineStr">
        <is>
          <t>3.28/3.28/3.25</t>
        </is>
      </c>
      <c r="AK39" t="n">
        <v>2.846</v>
      </c>
      <c r="AL39" t="inlineStr">
        <is>
          <t>«G. Específica (Promedio)» impresa en las hojas triaxiales (p.122-124); no es el Gs de finos (D854) ni el de gruesos (C127) de la Tabla 5 y el informe no explica su cálculo. Golder calculó e0 con este valor</t>
        </is>
      </c>
      <c r="AM39" t="inlineStr">
        <is>
          <t>0.579/0.579/0.579 (Tabla 8: 0.58/0.58/0.58)</t>
        </is>
      </c>
      <c r="AN39" t="inlineStr">
        <is>
          <t>Por contrapresión; B = 0.98/0.99/0.99</t>
        </is>
      </c>
      <c r="AO39" t="inlineStr">
        <is>
          <t>265/264/268</t>
        </is>
      </c>
      <c r="AP39" t="inlineStr">
        <is>
          <t>isotrópica; σ'3c = 100/402/1202 kPa (celda 366/666/1470 kPa); duración no informada (t90 en la hoja)</t>
        </is>
      </c>
      <c r="AQ39" t="inlineStr">
        <is>
          <t>21.29/22.07/22.66 (hojas; Tabla 8 «antes del corte» equivalente)</t>
        </is>
      </c>
      <c r="AR39" t="inlineStr">
        <is>
          <t>drenado (CID, ASTM D7181)</t>
        </is>
      </c>
      <c r="AS39" t="n">
        <v>0.111</v>
      </c>
      <c r="AT39" t="inlineStr">
        <is>
          <t>≈20</t>
        </is>
      </c>
      <c r="AU39" t="inlineStr">
        <is>
          <t>«Esfuerzo Desv. Máximo» (hoja; pero σ1 impreso corresponde a εa≈16 %); Tabla 8 «Máx. Esfuerzo Desviador»</t>
        </is>
      </c>
      <c r="AV39" t="inlineStr">
        <is>
          <t>ver columna hay_pico del CSV verificado (por probeta)</t>
        </is>
      </c>
      <c r="AW39" t="inlineStr">
        <is>
          <t>sí</t>
        </is>
      </c>
      <c r="AX39" t="inlineStr">
        <is>
          <t>Tabla 7 (p.19): c=59 kPa φ=40°; hoja p.126: c=58 kPa φ=40°</t>
        </is>
      </c>
      <c r="AY39" t="inlineStr">
        <is>
          <t>no informado (sin granulometría post-ensayo)</t>
        </is>
      </c>
      <c r="AZ39" t="inlineStr">
        <is>
          <t>no ensayado</t>
        </is>
      </c>
      <c r="BA39" t="inlineStr">
        <is>
          <t>no ensayado</t>
        </is>
      </c>
      <c r="BB39" t="inlineStr">
        <is>
          <t>no ensayado</t>
        </is>
      </c>
      <c r="BC39" t="inlineStr">
        <is>
          <t>no ensayado</t>
        </is>
      </c>
      <c r="BD39" t="inlineStr">
        <is>
          <t>gruesos de la mezcla, C127 (p.87-95); ver resumen</t>
        </is>
      </c>
      <c r="BE39" t="inlineStr">
        <is>
          <t>6;9;11;15;18;19;20-22;48;122-124;126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G2021|G21-ALT1-9:1</t>
        </is>
      </c>
      <c r="B40" t="inlineStr">
        <is>
          <t>G2021</t>
        </is>
      </c>
      <c r="C40" t="inlineStr">
        <is>
          <t>G21-ALT1-9:1</t>
        </is>
      </c>
      <c r="D40" t="inlineStr">
        <is>
          <t>Mezcla</t>
        </is>
      </c>
      <c r="E40" t="inlineStr">
        <is>
          <t>Tipo B = mármol y hornfels (el informe no separa su reparto); sin subtipos (mármol blanco/negro, skarn, etc.) indicados</t>
        </is>
      </c>
      <c r="F40" t="inlineStr">
        <is>
          <t>Intrusivo 35 %; Mármol + Hornfels 15 % (Tipo B, reparto no indicado); Hornfels 50 % (proporciones del desmonte, masa seca); la mezcla lleva además 10 % de relave en masa seca</t>
        </is>
      </c>
      <c r="G40" t="inlineStr">
        <is>
          <t>Mezcla co-disposición (desmonte ROM + relave)</t>
        </is>
      </c>
      <c r="H40" t="inlineStr">
        <is>
          <t>criterio experto: compuesto de desmonte por tipos geoquímicos A/B/C para co-disposición en botadero</t>
        </is>
      </c>
      <c r="I40" t="n">
        <v>10</v>
      </c>
      <c r="J40" t="inlineStr">
        <is>
          <t>6 in (≈150 mm)</t>
        </is>
      </c>
      <c r="K40" t="n">
        <v>4</v>
      </c>
      <c r="L40" t="inlineStr">
        <is>
          <t>Permeabilidad; Triaxial CD</t>
        </is>
      </c>
      <c r="M40" t="n">
        <v>101</v>
      </c>
      <c r="N40" t="n">
        <v>1203</v>
      </c>
      <c r="O40" t="n">
        <v>25.4</v>
      </c>
      <c r="P40" t="n">
        <v>5.7715</v>
      </c>
      <c r="Q40" t="n">
        <v>172.96</v>
      </c>
      <c r="R40" t="n">
        <v>13.1</v>
      </c>
      <c r="S40" t="n">
        <v>2.793</v>
      </c>
      <c r="T40" t="n">
        <v>0.55</v>
      </c>
      <c r="U40" t="inlineStr"/>
      <c r="V40" t="inlineStr">
        <is>
          <t>2021_Golder_Ensayos de Laboratorio Commingling.pdf</t>
        </is>
      </c>
      <c r="W40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40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40" t="inlineStr">
        <is>
          <t>no informado</t>
        </is>
      </c>
      <c r="Z40" t="inlineStr">
        <is>
          <t>no informada (solo se ensayaron muestras truncadas a 1")</t>
        </is>
      </c>
      <c r="AA40" t="inlineStr">
        <is>
          <t>no informada</t>
        </is>
      </c>
      <c r="AB40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40" t="n">
        <v>25.4</v>
      </c>
      <c r="AD40" t="n">
        <v>152.4</v>
      </c>
      <c r="AE40" t="n">
        <v>305.1</v>
      </c>
      <c r="AF40" t="n">
        <v>6</v>
      </c>
      <c r="AG40" t="inlineStr">
        <is>
          <t>Hoja p.47 (ASTM D422/D7928, hidrómetro): D10=0.0507, D30=0.6621, D50=5.7715, D60=8.7665 mm, Cu=172.96, Cc=0.99; grava 53.6, arena 33.3, finos 13.1 %; SUCS GM; no recalculada</t>
        </is>
      </c>
      <c r="AH40" t="inlineStr">
        <is>
          <t>Remoldeado «a la DS 1.8 g/cm3 ... según solicitud del cliente» (hojas p.115-117); ≈78-80 % del Proctor estándar de la Tabla 6 (suelta). Método de compactación y capas no informados</t>
        </is>
      </c>
      <c r="AI40" t="inlineStr">
        <is>
          <t>17.68/17.68/17.68</t>
        </is>
      </c>
      <c r="AJ40" t="inlineStr">
        <is>
          <t>1.65/1.65/1.65</t>
        </is>
      </c>
      <c r="AK40" t="n">
        <v>2.793</v>
      </c>
      <c r="AL40" t="inlineStr">
        <is>
          <t>«G. Específica (Promedio)» impresa en las hojas triaxiales (p.115-117); no es el Gs de finos (D854) ni el de gruesos (C127) de la Tabla 5 y el informe no explica su cálculo. Golder calculó e0 con este valor</t>
        </is>
      </c>
      <c r="AM40" t="inlineStr">
        <is>
          <t>0.550/0.550/0.550 (Tabla 8: 0.55/0.55/0.55)</t>
        </is>
      </c>
      <c r="AN40" t="inlineStr">
        <is>
          <t>Por contrapresión; B = 0.98/0.99/1</t>
        </is>
      </c>
      <c r="AO40" t="inlineStr">
        <is>
          <t>266/267/262</t>
        </is>
      </c>
      <c r="AP40" t="inlineStr">
        <is>
          <t>isotrópica; σ'3c = 101/400/1203 kPa (celda 366/667/1466 kPa); duración no informada (t90 en la hoja)</t>
        </is>
      </c>
      <c r="AQ40" t="inlineStr">
        <is>
          <t>21.19/21.78/22.27 (hojas; Tabla 8 «antes del corte» equivalente)</t>
        </is>
      </c>
      <c r="AR40" t="inlineStr">
        <is>
          <t>drenado (CID, ASTM D7181)</t>
        </is>
      </c>
      <c r="AS40" t="n">
        <v>0.111</v>
      </c>
      <c r="AT40" t="inlineStr">
        <is>
          <t>≈20</t>
        </is>
      </c>
      <c r="AU40" t="inlineStr">
        <is>
          <t>«Esfuerzo Desv. Máximo» (hoja; pero σ1 impreso corresponde a εa≈16 %); Tabla 8 «Máx. Esfuerzo Desviador»</t>
        </is>
      </c>
      <c r="AV40" t="inlineStr">
        <is>
          <t>ver columna hay_pico del CSV verificado (por probeta)</t>
        </is>
      </c>
      <c r="AW40" t="inlineStr">
        <is>
          <t>sí</t>
        </is>
      </c>
      <c r="AX40" t="inlineStr">
        <is>
          <t>Tabla 7 (p.19): c=84 kPa φ=40°; hoja p.119: c=83 kPa φ=40°</t>
        </is>
      </c>
      <c r="AY40" t="inlineStr">
        <is>
          <t>no informado (sin granulometría post-ensayo)</t>
        </is>
      </c>
      <c r="AZ40" t="inlineStr">
        <is>
          <t>no ensayado</t>
        </is>
      </c>
      <c r="BA40" t="inlineStr">
        <is>
          <t>no ensayado</t>
        </is>
      </c>
      <c r="BB40" t="inlineStr">
        <is>
          <t>no ensayado</t>
        </is>
      </c>
      <c r="BC40" t="inlineStr">
        <is>
          <t>no ensayado</t>
        </is>
      </c>
      <c r="BD40" t="inlineStr">
        <is>
          <t>gruesos de la mezcla, C127 (p.87-95); ver resumen</t>
        </is>
      </c>
      <c r="BE40" t="inlineStr">
        <is>
          <t>6;9;11;15;18;19;20-22;47;115-117;119;23;179</t>
        </is>
      </c>
      <c r="BF40" t="inlineStr">
        <is>
          <t>Permeabilidad pared flexible ASTM D5084 (p.179) a σ'=399 kPa sobre la probeta triaxial de ≈400 kPa: k20 = 5.6E-06 m/s.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G2021|G21-ALT2-1:1</t>
        </is>
      </c>
      <c r="B41" t="inlineStr">
        <is>
          <t>G2021</t>
        </is>
      </c>
      <c r="C41" t="inlineStr">
        <is>
          <t>G21-ALT2-1:1</t>
        </is>
      </c>
      <c r="D41" t="inlineStr">
        <is>
          <t>Mezcla</t>
        </is>
      </c>
      <c r="E41" t="inlineStr">
        <is>
          <t>Tipo B = mármol y hornfels (el informe no separa su reparto); sin subtipos (mármol blanco/negro, skarn, etc.) indicados</t>
        </is>
      </c>
      <c r="F41" t="inlineStr">
        <is>
          <t>Intrusivo 35 %; Mármol + Hornfels 15 % (Tipo B, reparto no indicado); Hornfels 50 % (proporciones del desmonte, masa seca); la mezcla lleva además 50 % de relave en masa seca</t>
        </is>
      </c>
      <c r="G41" t="inlineStr">
        <is>
          <t>Mezcla co-disposición (desmonte ROM + relave)</t>
        </is>
      </c>
      <c r="H41" t="inlineStr">
        <is>
          <t>criterio experto: compuesto de desmonte por tipos geoquímicos A/B/C para co-disposición en botadero</t>
        </is>
      </c>
      <c r="I41" t="n">
        <v>50</v>
      </c>
      <c r="J41" t="inlineStr">
        <is>
          <t>6 in (≈150 mm)</t>
        </is>
      </c>
      <c r="K41" t="n">
        <v>4</v>
      </c>
      <c r="L41" t="inlineStr">
        <is>
          <t>Permeabilidad; Triaxial CD</t>
        </is>
      </c>
      <c r="M41" t="n">
        <v>100</v>
      </c>
      <c r="N41" t="n">
        <v>1204</v>
      </c>
      <c r="O41" t="n">
        <v>25.4</v>
      </c>
      <c r="P41" t="n">
        <v>0.3191</v>
      </c>
      <c r="Q41" t="n">
        <v>47.36</v>
      </c>
      <c r="R41" t="n">
        <v>25.3</v>
      </c>
      <c r="S41" t="n">
        <v>3.006</v>
      </c>
      <c r="T41" t="n">
        <v>0.67</v>
      </c>
      <c r="U41" t="inlineStr"/>
      <c r="V41" t="inlineStr">
        <is>
          <t>2021_Golder_Ensayos de Laboratorio Commingling.pdf</t>
        </is>
      </c>
      <c r="W41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41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41" t="inlineStr">
        <is>
          <t>no informado</t>
        </is>
      </c>
      <c r="Z41" t="inlineStr">
        <is>
          <t>no informada (solo se ensayaron muestras truncadas a 1")</t>
        </is>
      </c>
      <c r="AA41" t="inlineStr">
        <is>
          <t>no informada</t>
        </is>
      </c>
      <c r="AB41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41" t="n">
        <v>25.4</v>
      </c>
      <c r="AD41" t="n">
        <v>152.4</v>
      </c>
      <c r="AE41" t="n">
        <v>305.1</v>
      </c>
      <c r="AF41" t="n">
        <v>6</v>
      </c>
      <c r="AG41" t="inlineStr">
        <is>
          <t>Hoja p.52 (ASTM D422/D7928, hidrómetro): D10=0.0215, D30=0.1020, D50=0.3191, D60=1.0164 mm, Cu=47.36, Cc=0.48; grava 29.9, arena 44.8, finos 25.3 %; SUCS SM; no recalculada</t>
        </is>
      </c>
      <c r="AH41" t="inlineStr">
        <is>
          <t>Remoldeado «a la DS 1.8 g/cm3 ... según solicitud del cliente» (hojas p.150-152); ≈78-80 % del Proctor estándar de la Tabla 6 (suelta). Método de compactación y capas no informados</t>
        </is>
      </c>
      <c r="AI41" t="inlineStr">
        <is>
          <t>17.68/17.68/17.68</t>
        </is>
      </c>
      <c r="AJ41" t="inlineStr">
        <is>
          <t>8.5/8.5/8.5</t>
        </is>
      </c>
      <c r="AK41" t="n">
        <v>3.006</v>
      </c>
      <c r="AL41" t="inlineStr">
        <is>
          <t>«G. Específica (Promedio)» impresa en las hojas triaxiales (p.150-152); no es el Gs de finos (D854) ni el de gruesos (C127) de la Tabla 5 y el informe no explica su cálculo. Golder calculó e0 con este valor</t>
        </is>
      </c>
      <c r="AM41" t="inlineStr">
        <is>
          <t>0.668/0.668/0.668 (Tabla 8: 0.67/0.67/0.67)</t>
        </is>
      </c>
      <c r="AN41" t="inlineStr">
        <is>
          <t>Por contrapresión; B = 1/0.98/0.99</t>
        </is>
      </c>
      <c r="AO41" t="inlineStr">
        <is>
          <t>262/263/263</t>
        </is>
      </c>
      <c r="AP41" t="inlineStr">
        <is>
          <t>isotrópica; σ'3c = 100/401/1204 kPa (celda 362/664/1468 kPa); duración no informada (t90 en la hoja)</t>
        </is>
      </c>
      <c r="AQ41" t="inlineStr">
        <is>
          <t>21.75/22.21/22.77 (hojas; Tabla 8 «antes del corte» equivalente)</t>
        </is>
      </c>
      <c r="AR41" t="inlineStr">
        <is>
          <t>drenado (CID, ASTM D7181)</t>
        </is>
      </c>
      <c r="AS41" t="n">
        <v>0.111</v>
      </c>
      <c r="AT41" t="inlineStr">
        <is>
          <t>≈20</t>
        </is>
      </c>
      <c r="AU41" t="inlineStr">
        <is>
          <t>«Esfuerzo Desv. Máximo» (hoja; pero σ1 impreso corresponde a εa≈16 %); Tabla 8 «Máx. Esfuerzo Desviador»</t>
        </is>
      </c>
      <c r="AV41" t="inlineStr">
        <is>
          <t>ver columna hay_pico del CSV verificado (por probeta)</t>
        </is>
      </c>
      <c r="AW41" t="inlineStr">
        <is>
          <t>sí</t>
        </is>
      </c>
      <c r="AX41" t="inlineStr">
        <is>
          <t>Tabla 7 (p.19): c=29 kPa φ=39°; hoja p.154: c=29 kPa φ=39°</t>
        </is>
      </c>
      <c r="AY41" t="inlineStr">
        <is>
          <t>no informado (sin granulometría post-ensayo)</t>
        </is>
      </c>
      <c r="AZ41" t="inlineStr">
        <is>
          <t>no ensayado</t>
        </is>
      </c>
      <c r="BA41" t="inlineStr">
        <is>
          <t>no ensayado</t>
        </is>
      </c>
      <c r="BB41" t="inlineStr">
        <is>
          <t>no ensayado</t>
        </is>
      </c>
      <c r="BC41" t="inlineStr">
        <is>
          <t>no ensayado</t>
        </is>
      </c>
      <c r="BD41" t="inlineStr">
        <is>
          <t>gruesos de la mezcla, C127 (p.87-95); ver resumen</t>
        </is>
      </c>
      <c r="BE41" t="inlineStr">
        <is>
          <t>6;9;11;15;18;19;20-22;52;150-152;154;23;182</t>
        </is>
      </c>
      <c r="BF41" t="inlineStr">
        <is>
          <t>Permeabilidad pared flexible ASTM D5084 (p.182) a σ'=399 kPa sobre la probeta triaxial de ≈400 kPa: k20 = 1.4E-06 m/s.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G2021|G21-ALT2-4:1</t>
        </is>
      </c>
      <c r="B42" t="inlineStr">
        <is>
          <t>G2021</t>
        </is>
      </c>
      <c r="C42" t="inlineStr">
        <is>
          <t>G21-ALT2-4:1</t>
        </is>
      </c>
      <c r="D42" t="inlineStr">
        <is>
          <t>Mezcla</t>
        </is>
      </c>
      <c r="E42" t="inlineStr">
        <is>
          <t>Tipo B = mármol y hornfels (el informe no separa su reparto); sin subtipos (mármol blanco/negro, skarn, etc.) indicados</t>
        </is>
      </c>
      <c r="F42" t="inlineStr">
        <is>
          <t>Intrusivo 35 %; Mármol + Hornfels 15 % (Tipo B, reparto no indicado); Hornfels 50 % (proporciones del desmonte, masa seca); la mezcla lleva además 20 % de relave en masa seca</t>
        </is>
      </c>
      <c r="G42" t="inlineStr">
        <is>
          <t>Mezcla co-disposición (desmonte ROM + relave)</t>
        </is>
      </c>
      <c r="H42" t="inlineStr">
        <is>
          <t>criterio experto: compuesto de desmonte por tipos geoquímicos A/B/C para co-disposición en botadero</t>
        </is>
      </c>
      <c r="I42" t="n">
        <v>20</v>
      </c>
      <c r="J42" t="inlineStr">
        <is>
          <t>6 in (≈150 mm)</t>
        </is>
      </c>
      <c r="K42" t="n">
        <v>3</v>
      </c>
      <c r="L42" t="inlineStr">
        <is>
          <t>Triaxial CD</t>
        </is>
      </c>
      <c r="M42" t="n">
        <v>98</v>
      </c>
      <c r="N42" t="n">
        <v>1200</v>
      </c>
      <c r="O42" t="n">
        <v>25.4</v>
      </c>
      <c r="P42" t="n">
        <v>3.9094</v>
      </c>
      <c r="Q42" t="n">
        <v>191.11</v>
      </c>
      <c r="R42" t="n">
        <v>16.8</v>
      </c>
      <c r="S42" t="n">
        <v>2.851</v>
      </c>
      <c r="T42" t="n">
        <v>0.58</v>
      </c>
      <c r="U42" t="inlineStr"/>
      <c r="V42" t="inlineStr">
        <is>
          <t>2021_Golder_Ensayos de Laboratorio Commingling.pdf</t>
        </is>
      </c>
      <c r="W42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42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42" t="inlineStr">
        <is>
          <t>no informado</t>
        </is>
      </c>
      <c r="Z42" t="inlineStr">
        <is>
          <t>no informada (solo se ensayaron muestras truncadas a 1")</t>
        </is>
      </c>
      <c r="AA42" t="inlineStr">
        <is>
          <t>no informada</t>
        </is>
      </c>
      <c r="AB42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42" t="n">
        <v>25.4</v>
      </c>
      <c r="AD42" t="n">
        <v>152.4</v>
      </c>
      <c r="AE42" t="n">
        <v>305.1</v>
      </c>
      <c r="AF42" t="n">
        <v>6</v>
      </c>
      <c r="AG42" t="inlineStr">
        <is>
          <t>Hoja p.51 (ASTM D422/D7928, hidrómetro): D10=0.0394, D30=0.2431, D50=3.9094, D60=7.5292 mm, Cu=191.11, Cc=0.20; grava 47.7, arena 35.5, finos 16.8 %; SUCS GM; no recalculada</t>
        </is>
      </c>
      <c r="AH42" t="inlineStr">
        <is>
          <t>Remoldeado «a la DS 1.8 g/cm3 ... según solicitud del cliente» (hojas p.143-145); ≈78-80 % del Proctor estándar de la Tabla 6 (suelta). Método de compactación y capas no informados</t>
        </is>
      </c>
      <c r="AI42" t="inlineStr">
        <is>
          <t>17.68/17.68/17.68</t>
        </is>
      </c>
      <c r="AJ42" t="inlineStr">
        <is>
          <t>5.0/5.0/5.0</t>
        </is>
      </c>
      <c r="AK42" t="n">
        <v>2.851</v>
      </c>
      <c r="AL42" t="inlineStr">
        <is>
          <t>«G. Específica (Promedio)» impresa en las hojas triaxiales (p.143-145); no es el Gs de finos (D854) ni el de gruesos (C127) de la Tabla 5 y el informe no explica su cálculo. Golder calculó e0 con este valor</t>
        </is>
      </c>
      <c r="AM42" t="inlineStr">
        <is>
          <t>0.582/0.582/0.582 (Tabla 8: 0.58/0.58/0.58)</t>
        </is>
      </c>
      <c r="AN42" t="inlineStr">
        <is>
          <t>Por contrapresión; B = 0.98/0.97/1</t>
        </is>
      </c>
      <c r="AO42" t="inlineStr">
        <is>
          <t>267/266/267</t>
        </is>
      </c>
      <c r="AP42" t="inlineStr">
        <is>
          <t>isotrópica; σ'3c = 98/402/1200 kPa (celda 365/668/1467 kPa); duración no informada (t90 en la hoja)</t>
        </is>
      </c>
      <c r="AQ42" t="inlineStr">
        <is>
          <t>21.67/22.01/22.74 (hojas; Tabla 8 «antes del corte» equivalente)</t>
        </is>
      </c>
      <c r="AR42" t="inlineStr">
        <is>
          <t>drenado (CID, ASTM D7181)</t>
        </is>
      </c>
      <c r="AS42" t="n">
        <v>0.111</v>
      </c>
      <c r="AT42" t="inlineStr">
        <is>
          <t>≈20 (13.85 en Alt.2 4:1 a 1200 kPa)</t>
        </is>
      </c>
      <c r="AU42" t="inlineStr">
        <is>
          <t>«Esfuerzo Desv. Máximo» (hoja; pero σ1 impreso corresponde a εa≈16 %); Tabla 8 «Máx. Esfuerzo Desviador»</t>
        </is>
      </c>
      <c r="AV42" t="inlineStr">
        <is>
          <t>ver columna hay_pico del CSV verificado (por probeta)</t>
        </is>
      </c>
      <c r="AW42" t="inlineStr">
        <is>
          <t>sí</t>
        </is>
      </c>
      <c r="AX42" t="inlineStr">
        <is>
          <t>Tabla 7 (p.19): c=41 kPa φ=40°; hoja p.147: c=41 kPa φ=40°</t>
        </is>
      </c>
      <c r="AY42" t="inlineStr">
        <is>
          <t>no informado (sin granulometría post-ensayo)</t>
        </is>
      </c>
      <c r="AZ42" t="inlineStr">
        <is>
          <t>no ensayado</t>
        </is>
      </c>
      <c r="BA42" t="inlineStr">
        <is>
          <t>no ensayado</t>
        </is>
      </c>
      <c r="BB42" t="inlineStr">
        <is>
          <t>no ensayado</t>
        </is>
      </c>
      <c r="BC42" t="inlineStr">
        <is>
          <t>no ensayado</t>
        </is>
      </c>
      <c r="BD42" t="inlineStr">
        <is>
          <t>gruesos de la mezcla, C127 (p.87-95); ver resumen</t>
        </is>
      </c>
      <c r="BE42" t="inlineStr">
        <is>
          <t>6;9;11;15;18;19;20-22;51;143-145;147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G2021|G21-ALT2-9:1</t>
        </is>
      </c>
      <c r="B43" t="inlineStr">
        <is>
          <t>G2021</t>
        </is>
      </c>
      <c r="C43" t="inlineStr">
        <is>
          <t>G21-ALT2-9:1</t>
        </is>
      </c>
      <c r="D43" t="inlineStr">
        <is>
          <t>Mezcla</t>
        </is>
      </c>
      <c r="E43" t="inlineStr">
        <is>
          <t>Tipo B = mármol y hornfels (el informe no separa su reparto); sin subtipos (mármol blanco/negro, skarn, etc.) indicados</t>
        </is>
      </c>
      <c r="F43" t="inlineStr">
        <is>
          <t>Intrusivo 35 %; Mármol + Hornfels 15 % (Tipo B, reparto no indicado); Hornfels 50 % (proporciones del desmonte, masa seca); la mezcla lleva además 10 % de relave en masa seca</t>
        </is>
      </c>
      <c r="G43" t="inlineStr">
        <is>
          <t>Mezcla co-disposición (desmonte ROM + relave)</t>
        </is>
      </c>
      <c r="H43" t="inlineStr">
        <is>
          <t>criterio experto: compuesto de desmonte por tipos geoquímicos A/B/C para co-disposición en botadero</t>
        </is>
      </c>
      <c r="I43" t="n">
        <v>10</v>
      </c>
      <c r="J43" t="inlineStr">
        <is>
          <t>6 in (≈150 mm)</t>
        </is>
      </c>
      <c r="K43" t="n">
        <v>4</v>
      </c>
      <c r="L43" t="inlineStr">
        <is>
          <t>Permeabilidad; Triaxial CD</t>
        </is>
      </c>
      <c r="M43" t="n">
        <v>98</v>
      </c>
      <c r="N43" t="n">
        <v>1203</v>
      </c>
      <c r="O43" t="n">
        <v>25.4</v>
      </c>
      <c r="P43" t="n">
        <v>6.3687</v>
      </c>
      <c r="Q43" t="n">
        <v>201.9</v>
      </c>
      <c r="R43" t="n">
        <v>13.1</v>
      </c>
      <c r="S43" t="n">
        <v>2.789</v>
      </c>
      <c r="T43" t="n">
        <v>0.55</v>
      </c>
      <c r="U43" t="inlineStr"/>
      <c r="V43" t="inlineStr">
        <is>
          <t>2021_Golder_Ensayos de Laboratorio Commingling.pdf</t>
        </is>
      </c>
      <c r="W43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43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43" t="inlineStr">
        <is>
          <t>no informado</t>
        </is>
      </c>
      <c r="Z43" t="inlineStr">
        <is>
          <t>no informada (solo se ensayaron muestras truncadas a 1")</t>
        </is>
      </c>
      <c r="AA43" t="inlineStr">
        <is>
          <t>no informada</t>
        </is>
      </c>
      <c r="AB43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43" t="n">
        <v>25.4</v>
      </c>
      <c r="AD43" t="n">
        <v>152.4</v>
      </c>
      <c r="AE43" t="n">
        <v>305.1</v>
      </c>
      <c r="AF43" t="n">
        <v>6</v>
      </c>
      <c r="AG43" t="inlineStr">
        <is>
          <t>Hoja p.50 (ASTM D422/D7928, hidrómetro): D10=0.0526, D30=0.6079, D50=6.3687, D60=10.6137 mm, Cu=201.90, Cc=0.66; grava 53.7, arena 33.2, finos 13.1 %; SUCS GM; no recalculada</t>
        </is>
      </c>
      <c r="AH43" t="inlineStr">
        <is>
          <t>Remoldeado «a la DS 1.8 g/cm3 ... según solicitud del cliente» (hojas p.136-138); ≈78-80 % del Proctor estándar de la Tabla 6 (suelta). Método de compactación y capas no informados</t>
        </is>
      </c>
      <c r="AI43" t="inlineStr">
        <is>
          <t>17.68/17.68/17.68</t>
        </is>
      </c>
      <c r="AJ43" t="inlineStr">
        <is>
          <t>2.5/2.5/2.5</t>
        </is>
      </c>
      <c r="AK43" t="n">
        <v>2.789</v>
      </c>
      <c r="AL43" t="inlineStr">
        <is>
          <t>«G. Específica (Promedio)» impresa en las hojas triaxiales (p.136-138); no es el Gs de finos (D854) ni el de gruesos (C127) de la Tabla 5 y el informe no explica su cálculo. Golder calculó e0 con este valor</t>
        </is>
      </c>
      <c r="AM43" t="inlineStr">
        <is>
          <t>0.548/0.548/0.548 (Tabla 8: 0.55/0.55/0.55)</t>
        </is>
      </c>
      <c r="AN43" t="inlineStr">
        <is>
          <t>Por contrapresión; B = 1/0.98/0.99</t>
        </is>
      </c>
      <c r="AO43" t="inlineStr">
        <is>
          <t>268/266/268</t>
        </is>
      </c>
      <c r="AP43" t="inlineStr">
        <is>
          <t>isotrópica; σ'3c = 98/402/1203 kPa (celda 366/668/1471 kPa); duración no informada (t90 en la hoja)</t>
        </is>
      </c>
      <c r="AQ43" t="inlineStr">
        <is>
          <t>21.33/21.80/22.11 (hojas; Tabla 8 «antes del corte» equivalente)</t>
        </is>
      </c>
      <c r="AR43" t="inlineStr">
        <is>
          <t>drenado (CID, ASTM D7181)</t>
        </is>
      </c>
      <c r="AS43" t="n">
        <v>0.111</v>
      </c>
      <c r="AT43" t="inlineStr">
        <is>
          <t>≈20</t>
        </is>
      </c>
      <c r="AU43" t="inlineStr">
        <is>
          <t>«Esfuerzo Desv. Máximo» (hoja; pero σ1 impreso corresponde a εa≈16 %); Tabla 8 «Máx. Esfuerzo Desviador»</t>
        </is>
      </c>
      <c r="AV43" t="inlineStr">
        <is>
          <t>ver columna hay_pico del CSV verificado (por probeta)</t>
        </is>
      </c>
      <c r="AW43" t="inlineStr">
        <is>
          <t>sí</t>
        </is>
      </c>
      <c r="AX43" t="inlineStr">
        <is>
          <t>Tabla 7 (p.19): c=53 kPa φ=40°; hoja p.140: c=53 kPa φ=40°</t>
        </is>
      </c>
      <c r="AY43" t="inlineStr">
        <is>
          <t>no informado (sin granulometría post-ensayo)</t>
        </is>
      </c>
      <c r="AZ43" t="inlineStr">
        <is>
          <t>no ensayado</t>
        </is>
      </c>
      <c r="BA43" t="inlineStr">
        <is>
          <t>no ensayado</t>
        </is>
      </c>
      <c r="BB43" t="inlineStr">
        <is>
          <t>no ensayado</t>
        </is>
      </c>
      <c r="BC43" t="inlineStr">
        <is>
          <t>no ensayado</t>
        </is>
      </c>
      <c r="BD43" t="inlineStr">
        <is>
          <t>gruesos de la mezcla, C127 (p.87-95); ver resumen</t>
        </is>
      </c>
      <c r="BE43" t="inlineStr">
        <is>
          <t>6;9;11;15;18;19;20-22;50;136-138;140;23;181</t>
        </is>
      </c>
      <c r="BF43" t="inlineStr">
        <is>
          <t>Permeabilidad pared flexible ASTM D5084 (p.181) a σ'=399 kPa sobre la probeta triaxial de ≈400 kPa: k20 = 8.1E-06 m/s.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G2021|G21-ALT4-1:1</t>
        </is>
      </c>
      <c r="B44" t="inlineStr">
        <is>
          <t>G2021</t>
        </is>
      </c>
      <c r="C44" t="inlineStr">
        <is>
          <t>G21-ALT4-1:1</t>
        </is>
      </c>
      <c r="D44" t="inlineStr">
        <is>
          <t>Mezcla</t>
        </is>
      </c>
      <c r="E44" t="inlineStr">
        <is>
          <t>Tipo B = mármol y hornfels (el informe no separa su reparto); sin subtipos (mármol blanco/negro, skarn, etc.) indicados</t>
        </is>
      </c>
      <c r="F44" t="inlineStr">
        <is>
          <t>Intrusivo 35 %; Mármol + Hornfels 15 % (Tipo B, reparto no indicado); Hornfels 50 % (proporciones del desmonte, masa seca); la mezcla lleva además 50 % de relave en masa seca</t>
        </is>
      </c>
      <c r="G44" t="inlineStr">
        <is>
          <t>Mezcla co-disposición (desmonte ROM + relave)</t>
        </is>
      </c>
      <c r="H44" t="inlineStr">
        <is>
          <t>criterio experto: compuesto de desmonte por tipos geoquímicos A/B/C para co-disposición en botadero</t>
        </is>
      </c>
      <c r="I44" t="n">
        <v>50</v>
      </c>
      <c r="J44" t="inlineStr">
        <is>
          <t>6 in (≈150 mm)</t>
        </is>
      </c>
      <c r="K44" t="n">
        <v>4</v>
      </c>
      <c r="L44" t="inlineStr">
        <is>
          <t>Permeabilidad; Triaxial CD</t>
        </is>
      </c>
      <c r="M44" t="n">
        <v>96</v>
      </c>
      <c r="N44" t="n">
        <v>1206</v>
      </c>
      <c r="O44" t="n">
        <v>25.4</v>
      </c>
      <c r="P44" t="n">
        <v>0.3076</v>
      </c>
      <c r="Q44" t="n">
        <v>15.19</v>
      </c>
      <c r="R44" t="n">
        <v>18.7</v>
      </c>
      <c r="S44" t="n">
        <v>3.003</v>
      </c>
      <c r="T44" t="n">
        <v>0.67</v>
      </c>
      <c r="U44" t="inlineStr"/>
      <c r="V44" t="inlineStr">
        <is>
          <t>2021_Golder_Ensayos de Laboratorio Commingling.pdf</t>
        </is>
      </c>
      <c r="W44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44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44" t="inlineStr">
        <is>
          <t>no informado</t>
        </is>
      </c>
      <c r="Z44" t="inlineStr">
        <is>
          <t>no informada (solo se ensayaron muestras truncadas a 1")</t>
        </is>
      </c>
      <c r="AA44" t="inlineStr">
        <is>
          <t>no informada</t>
        </is>
      </c>
      <c r="AB44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44" t="n">
        <v>25.4</v>
      </c>
      <c r="AD44" t="n">
        <v>152.4</v>
      </c>
      <c r="AE44" t="n">
        <v>305.1</v>
      </c>
      <c r="AF44" t="n">
        <v>6</v>
      </c>
      <c r="AG44" t="inlineStr">
        <is>
          <t>Hoja p.55 (ASTM D422/D7928, hidrómetro): D10=0.0449, D30=0.1250, D50=0.3076, D60=0.6814 mm, Cu=15.19, Cc=0.51; grava 29.8, arena 51.5, finos 18.7 %; SUCS SM; no recalculada</t>
        </is>
      </c>
      <c r="AH44" t="inlineStr">
        <is>
          <t>Remoldeado «a la DS 1.8 g/cm3 ... según solicitud del cliente» (hojas p.171-173); ≈78-80 % del Proctor estándar de la Tabla 6 (suelta). Método de compactación y capas no informados</t>
        </is>
      </c>
      <c r="AI44" t="inlineStr">
        <is>
          <t>17.68/17.68/17.68</t>
        </is>
      </c>
      <c r="AJ44" t="inlineStr">
        <is>
          <t>8.1/8.1/8.1</t>
        </is>
      </c>
      <c r="AK44" t="n">
        <v>3.003</v>
      </c>
      <c r="AL44" t="inlineStr">
        <is>
          <t>«G. Específica (Promedio)» impresa en las hojas triaxiales (p.171-173); no es el Gs de finos (D854) ni el de gruesos (C127) de la Tabla 5 y el informe no explica su cálculo. Golder calculó e0 con este valor</t>
        </is>
      </c>
      <c r="AM44" t="inlineStr">
        <is>
          <t>0.666/0.666/0.666 (Tabla 8: 0.67/0.67/0.67)</t>
        </is>
      </c>
      <c r="AN44" t="inlineStr">
        <is>
          <t>Por contrapresión; B = 1/0.99/0.99</t>
        </is>
      </c>
      <c r="AO44" t="inlineStr">
        <is>
          <t>262/268/260</t>
        </is>
      </c>
      <c r="AP44" t="inlineStr">
        <is>
          <t>isotrópica; σ'3c = 96/400/1206 kPa (celda 358/669/1467 kPa); duración no informada (t90 en la hoja)</t>
        </is>
      </c>
      <c r="AQ44" t="inlineStr">
        <is>
          <t>21.55/22.02/22.66 (hojas; Tabla 8 «antes del corte» equivalente)</t>
        </is>
      </c>
      <c r="AR44" t="inlineStr">
        <is>
          <t>drenado (CID, ASTM D7181)</t>
        </is>
      </c>
      <c r="AS44" t="n">
        <v>0.111</v>
      </c>
      <c r="AT44" t="inlineStr">
        <is>
          <t>≈20</t>
        </is>
      </c>
      <c r="AU44" t="inlineStr">
        <is>
          <t>«Esfuerzo Desv. Máximo» (hoja; pero σ1 impreso corresponde a εa≈16 %); Tabla 8 «Máx. Esfuerzo Desviador»</t>
        </is>
      </c>
      <c r="AV44" t="inlineStr">
        <is>
          <t>ver columna hay_pico del CSV verificado (por probeta)</t>
        </is>
      </c>
      <c r="AW44" t="inlineStr">
        <is>
          <t>sí</t>
        </is>
      </c>
      <c r="AX44" t="inlineStr">
        <is>
          <t>Tabla 7 (p.19): c=51 kPa φ=37°; hoja p.175: c=51 kPa φ=37°</t>
        </is>
      </c>
      <c r="AY44" t="inlineStr">
        <is>
          <t>no informado (sin granulometría post-ensayo)</t>
        </is>
      </c>
      <c r="AZ44" t="inlineStr">
        <is>
          <t>no ensayado</t>
        </is>
      </c>
      <c r="BA44" t="inlineStr">
        <is>
          <t>no ensayado</t>
        </is>
      </c>
      <c r="BB44" t="inlineStr">
        <is>
          <t>no ensayado</t>
        </is>
      </c>
      <c r="BC44" t="inlineStr">
        <is>
          <t>no ensayado</t>
        </is>
      </c>
      <c r="BD44" t="inlineStr">
        <is>
          <t>gruesos de la mezcla, C127 (p.87-95); ver resumen</t>
        </is>
      </c>
      <c r="BE44" t="inlineStr">
        <is>
          <t>6;9;11;15;18;19;20-22;55;171-173;175;23;184</t>
        </is>
      </c>
      <c r="BF44" t="inlineStr">
        <is>
          <t>Permeabilidad pared flexible ASTM D5084 (p.184) a σ'=399 kPa sobre la probeta triaxial de ≈400 kPa: k20 = 2.5E-06 m/s.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G2021|G21-ALT4-4:1</t>
        </is>
      </c>
      <c r="B45" t="inlineStr">
        <is>
          <t>G2021</t>
        </is>
      </c>
      <c r="C45" t="inlineStr">
        <is>
          <t>G21-ALT4-4:1</t>
        </is>
      </c>
      <c r="D45" t="inlineStr">
        <is>
          <t>Mezcla</t>
        </is>
      </c>
      <c r="E45" t="inlineStr">
        <is>
          <t>Tipo B = mármol y hornfels (el informe no separa su reparto); sin subtipos (mármol blanco/negro, skarn, etc.) indicados</t>
        </is>
      </c>
      <c r="F45" t="inlineStr">
        <is>
          <t>Intrusivo 35 %; Mármol + Hornfels 15 % (Tipo B, reparto no indicado); Hornfels 50 % (proporciones del desmonte, masa seca); la mezcla lleva además 20 % de relave en masa seca</t>
        </is>
      </c>
      <c r="G45" t="inlineStr">
        <is>
          <t>Mezcla co-disposición (desmonte ROM + relave)</t>
        </is>
      </c>
      <c r="H45" t="inlineStr">
        <is>
          <t>criterio experto: compuesto de desmonte por tipos geoquímicos A/B/C para co-disposición en botadero</t>
        </is>
      </c>
      <c r="I45" t="n">
        <v>20</v>
      </c>
      <c r="J45" t="inlineStr">
        <is>
          <t>6 in (≈150 mm)</t>
        </is>
      </c>
      <c r="K45" t="n">
        <v>3</v>
      </c>
      <c r="L45" t="inlineStr">
        <is>
          <t>Triaxial CD</t>
        </is>
      </c>
      <c r="M45" t="n">
        <v>98</v>
      </c>
      <c r="N45" t="n">
        <v>1204</v>
      </c>
      <c r="O45" t="n">
        <v>25.4</v>
      </c>
      <c r="P45" t="n">
        <v>4.0732</v>
      </c>
      <c r="Q45" t="n">
        <v>120.18</v>
      </c>
      <c r="R45" t="n">
        <v>12.7</v>
      </c>
      <c r="S45" t="n">
        <v>2.846</v>
      </c>
      <c r="T45" t="n">
        <v>0.58</v>
      </c>
      <c r="U45" t="inlineStr"/>
      <c r="V45" t="inlineStr">
        <is>
          <t>2021_Golder_Ensayos de Laboratorio Commingling.pdf</t>
        </is>
      </c>
      <c r="W45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45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45" t="inlineStr">
        <is>
          <t>no informado</t>
        </is>
      </c>
      <c r="Z45" t="inlineStr">
        <is>
          <t>no informada (solo se ensayaron muestras truncadas a 1")</t>
        </is>
      </c>
      <c r="AA45" t="inlineStr">
        <is>
          <t>no informada</t>
        </is>
      </c>
      <c r="AB45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45" t="n">
        <v>25.4</v>
      </c>
      <c r="AD45" t="n">
        <v>152.4</v>
      </c>
      <c r="AE45" t="n">
        <v>305.1</v>
      </c>
      <c r="AF45" t="n">
        <v>6</v>
      </c>
      <c r="AG45" t="inlineStr">
        <is>
          <t>Hoja p.54 (ASTM D422/D7928, hidrómetro): D10=0.0593, D30=0.3140, D50=4.0732, D60=7.1259 mm, Cu=120.18, Cc=0.23; grava 47.7, arena 39.6, finos 12.7 %; SUCS GM; no recalculada</t>
        </is>
      </c>
      <c r="AH45" t="inlineStr">
        <is>
          <t>Remoldeado «a la DS 1.8 g/cm3 ... según solicitud del cliente» (hojas p.164-166); ≈78-80 % del Proctor estándar de la Tabla 6 (suelta). Método de compactación y capas no informados</t>
        </is>
      </c>
      <c r="AI45" t="inlineStr">
        <is>
          <t>17.68/17.68/17.68</t>
        </is>
      </c>
      <c r="AJ45" t="inlineStr">
        <is>
          <t>3.3/3.3/3.3</t>
        </is>
      </c>
      <c r="AK45" t="n">
        <v>2.846</v>
      </c>
      <c r="AL45" t="inlineStr">
        <is>
          <t>«G. Específica (Promedio)» impresa en las hojas triaxiales (p.164-166); no es el Gs de finos (D854) ni el de gruesos (C127) de la Tabla 5 y el informe no explica su cálculo. Golder calculó e0 con este valor</t>
        </is>
      </c>
      <c r="AM45" t="inlineStr">
        <is>
          <t>0.579/0.579/0.579 (Tabla 8: 0.58/0.58/0.23 (0.23 es error))</t>
        </is>
      </c>
      <c r="AN45" t="inlineStr">
        <is>
          <t>Por contrapresión; B = 0.98/0.98/1</t>
        </is>
      </c>
      <c r="AO45" t="inlineStr">
        <is>
          <t>268/265/265</t>
        </is>
      </c>
      <c r="AP45" t="inlineStr">
        <is>
          <t>isotrópica; σ'3c = 98/409/1204 kPa (celda 366/674/1469 kPa); duración no informada (t90 en la hoja)</t>
        </is>
      </c>
      <c r="AQ45" t="inlineStr">
        <is>
          <t>21.65/22.09/22.72 (hojas; Tabla 8 «antes del corte» equivalente)</t>
        </is>
      </c>
      <c r="AR45" t="inlineStr">
        <is>
          <t>drenado (CID, ASTM D7181)</t>
        </is>
      </c>
      <c r="AS45" t="n">
        <v>0.111</v>
      </c>
      <c r="AT45" t="inlineStr">
        <is>
          <t>≈20</t>
        </is>
      </c>
      <c r="AU45" t="inlineStr">
        <is>
          <t>«Esfuerzo Desv. Máximo» (hoja; pero σ1 impreso corresponde a εa≈16 %); Tabla 8 «Máx. Esfuerzo Desviador»</t>
        </is>
      </c>
      <c r="AV45" t="inlineStr">
        <is>
          <t>ver columna hay_pico del CSV verificado (por probeta)</t>
        </is>
      </c>
      <c r="AW45" t="inlineStr">
        <is>
          <t>sí</t>
        </is>
      </c>
      <c r="AX45" t="inlineStr">
        <is>
          <t>Tabla 7 (p.19): c=66 kPa φ=39°; hoja p.168: c=66 kPa φ=39°</t>
        </is>
      </c>
      <c r="AY45" t="inlineStr">
        <is>
          <t>no informado (sin granulometría post-ensayo)</t>
        </is>
      </c>
      <c r="AZ45" t="inlineStr">
        <is>
          <t>no ensayado</t>
        </is>
      </c>
      <c r="BA45" t="inlineStr">
        <is>
          <t>no ensayado</t>
        </is>
      </c>
      <c r="BB45" t="inlineStr">
        <is>
          <t>no ensayado</t>
        </is>
      </c>
      <c r="BC45" t="inlineStr">
        <is>
          <t>no ensayado</t>
        </is>
      </c>
      <c r="BD45" t="inlineStr">
        <is>
          <t>gruesos de la mezcla, C127 (p.87-95); ver resumen</t>
        </is>
      </c>
      <c r="BE45" t="inlineStr">
        <is>
          <t>6;9;11;15;18;19;20-22;54;164-166;168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G2021|G21-ALT4-9:1</t>
        </is>
      </c>
      <c r="B46" t="inlineStr">
        <is>
          <t>G2021</t>
        </is>
      </c>
      <c r="C46" t="inlineStr">
        <is>
          <t>G21-ALT4-9:1</t>
        </is>
      </c>
      <c r="D46" t="inlineStr">
        <is>
          <t>Mezcla</t>
        </is>
      </c>
      <c r="E46" t="inlineStr">
        <is>
          <t>Tipo B = mármol y hornfels (el informe no separa su reparto); sin subtipos (mármol blanco/negro, skarn, etc.) indicados</t>
        </is>
      </c>
      <c r="F46" t="inlineStr">
        <is>
          <t>Intrusivo 35 %; Mármol + Hornfels 15 % (Tipo B, reparto no indicado); Hornfels 50 % (proporciones del desmonte, masa seca); la mezcla lleva además 10 % de relave en masa seca</t>
        </is>
      </c>
      <c r="G46" t="inlineStr">
        <is>
          <t>Mezcla co-disposición (desmonte ROM + relave)</t>
        </is>
      </c>
      <c r="H46" t="inlineStr">
        <is>
          <t>criterio experto: compuesto de desmonte por tipos geoquímicos A/B/C para co-disposición en botadero</t>
        </is>
      </c>
      <c r="I46" t="n">
        <v>10</v>
      </c>
      <c r="J46" t="inlineStr">
        <is>
          <t>6 in (≈150 mm)</t>
        </is>
      </c>
      <c r="K46" t="n">
        <v>4</v>
      </c>
      <c r="L46" t="inlineStr">
        <is>
          <t>Permeabilidad; Triaxial CD</t>
        </is>
      </c>
      <c r="M46" t="n">
        <v>102</v>
      </c>
      <c r="N46" t="n">
        <v>1202</v>
      </c>
      <c r="O46" t="n">
        <v>25.4</v>
      </c>
      <c r="P46" t="n">
        <v>5.717</v>
      </c>
      <c r="Q46" t="n">
        <v>131.25</v>
      </c>
      <c r="R46" t="n">
        <v>11.4</v>
      </c>
      <c r="S46" t="n">
        <v>2.793</v>
      </c>
      <c r="T46" t="n">
        <v>0.55</v>
      </c>
      <c r="U46" t="inlineStr"/>
      <c r="V46" t="inlineStr">
        <is>
          <t>2021_Golder_Ensayos de Laboratorio Commingling.pdf</t>
        </is>
      </c>
      <c r="W46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46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46" t="inlineStr">
        <is>
          <t>no informado</t>
        </is>
      </c>
      <c r="Z46" t="inlineStr">
        <is>
          <t>no informada (solo se ensayaron muestras truncadas a 1")</t>
        </is>
      </c>
      <c r="AA46" t="inlineStr">
        <is>
          <t>no informada</t>
        </is>
      </c>
      <c r="AB46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46" t="n">
        <v>25.4</v>
      </c>
      <c r="AD46" t="n">
        <v>152.4</v>
      </c>
      <c r="AE46" t="n">
        <v>305.1</v>
      </c>
      <c r="AF46" t="n">
        <v>6</v>
      </c>
      <c r="AG46" t="inlineStr">
        <is>
          <t>Hoja p.53 (ASTM D422/D7928, hidrómetro): D10=0.0654, D30=0.7774, D50=5.7170, D60=8.5892 mm, Cu=131.25, Cc=1.08; grava 53.7, arena 34.9, finos 11.4 %; SUCS GW-GM; no recalculada</t>
        </is>
      </c>
      <c r="AH46" t="inlineStr">
        <is>
          <t>Remoldeado «a la DS 1.8 g/cm3 ... según solicitud del cliente» (hojas p.157-159); ≈78-80 % del Proctor estándar de la Tabla 6 (suelta). Método de compactación y capas no informados</t>
        </is>
      </c>
      <c r="AI46" t="inlineStr">
        <is>
          <t>17.68/17.68/17.68</t>
        </is>
      </c>
      <c r="AJ46" t="inlineStr">
        <is>
          <t>1.6/1.6/1.6</t>
        </is>
      </c>
      <c r="AK46" t="n">
        <v>2.793</v>
      </c>
      <c r="AL46" t="inlineStr">
        <is>
          <t>«G. Específica (Promedio)» impresa en las hojas triaxiales (p.157-159); no es el Gs de finos (D854) ni el de gruesos (C127) de la Tabla 5 y el informe no explica su cálculo. Golder calculó e0 con este valor</t>
        </is>
      </c>
      <c r="AM46" t="inlineStr">
        <is>
          <t>0.550/0.550/0.550 (Tabla 8: 0.55/0.55/0.55)</t>
        </is>
      </c>
      <c r="AN46" t="inlineStr">
        <is>
          <t>Por contrapresión; B = 1/0.99/1</t>
        </is>
      </c>
      <c r="AO46" t="inlineStr">
        <is>
          <t>262/264/268</t>
        </is>
      </c>
      <c r="AP46" t="inlineStr">
        <is>
          <t>isotrópica; σ'3c = 102/409/1202 kPa (celda 364/673/1470 kPa); duración no informada (t90 en la hoja)</t>
        </is>
      </c>
      <c r="AQ46" t="inlineStr">
        <is>
          <t>21.30/21.76/22.04 (hojas; Tabla 8 «antes del corte» equivalente)</t>
        </is>
      </c>
      <c r="AR46" t="inlineStr">
        <is>
          <t>drenado (CID, ASTM D7181)</t>
        </is>
      </c>
      <c r="AS46" t="n">
        <v>0.111</v>
      </c>
      <c r="AT46" t="inlineStr">
        <is>
          <t>≈20</t>
        </is>
      </c>
      <c r="AU46" t="inlineStr">
        <is>
          <t>«Esfuerzo Desv. Máximo» (hoja; pero σ1 impreso corresponde a εa≈16 %); Tabla 8 «Máx. Esfuerzo Desviador»</t>
        </is>
      </c>
      <c r="AV46" t="inlineStr">
        <is>
          <t>ver columna hay_pico del CSV verificado (por probeta)</t>
        </is>
      </c>
      <c r="AW46" t="inlineStr">
        <is>
          <t>sí</t>
        </is>
      </c>
      <c r="AX46" t="inlineStr">
        <is>
          <t>Tabla 7 (p.19): c=62 kPa φ=40°; hoja p.161: c=62 kPa φ=40°</t>
        </is>
      </c>
      <c r="AY46" t="inlineStr">
        <is>
          <t>no informado (sin granulometría post-ensayo)</t>
        </is>
      </c>
      <c r="AZ46" t="inlineStr">
        <is>
          <t>no ensayado</t>
        </is>
      </c>
      <c r="BA46" t="inlineStr">
        <is>
          <t>no ensayado</t>
        </is>
      </c>
      <c r="BB46" t="inlineStr">
        <is>
          <t>no ensayado</t>
        </is>
      </c>
      <c r="BC46" t="inlineStr">
        <is>
          <t>no ensayado</t>
        </is>
      </c>
      <c r="BD46" t="inlineStr">
        <is>
          <t>gruesos de la mezcla, C127 (p.87-95); ver resumen</t>
        </is>
      </c>
      <c r="BE46" t="inlineStr">
        <is>
          <t>6;9;11;15;18;19;20-22;53;157-159;161;23;183</t>
        </is>
      </c>
      <c r="BF46" t="inlineStr">
        <is>
          <t>Permeabilidad pared flexible ASTM D5084 (p.183) a σ'=399 kPa sobre la probeta triaxial de ≈400 kPa: k20 = 6.7E-06 m/s.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G2021|G21-DESM-COMP</t>
        </is>
      </c>
      <c r="B47" t="inlineStr">
        <is>
          <t>G2021</t>
        </is>
      </c>
      <c r="C47" t="inlineStr">
        <is>
          <t>G21-DESM-COMP</t>
        </is>
      </c>
      <c r="D47" t="inlineStr">
        <is>
          <t>Mezcla</t>
        </is>
      </c>
      <c r="E47" t="inlineStr">
        <is>
          <t>Tipo B = mármol y hornfels (el informe no separa su reparto); sin subtipos (mármol blanco/negro, skarn, etc.) indicados</t>
        </is>
      </c>
      <c r="F47" t="inlineStr">
        <is>
          <t>Intrusivo 35 %; Mármol + Hornfels 15 % (Tipo B, reparto no indicado); Hornfels 50 % (proporciones del desmonte, masa seca)</t>
        </is>
      </c>
      <c r="G47" t="inlineStr">
        <is>
          <t>ROM</t>
        </is>
      </c>
      <c r="H47" t="inlineStr">
        <is>
          <t>criterio experto: compuesto de desmonte por tipos geoquímicos A/B/C para co-disposición en botadero</t>
        </is>
      </c>
      <c r="I47" t="n">
        <v>0</v>
      </c>
      <c r="J47" t="inlineStr">
        <is>
          <t>6 in (≈150 mm)</t>
        </is>
      </c>
      <c r="K47" t="n">
        <v>3</v>
      </c>
      <c r="L47" t="inlineStr">
        <is>
          <t>Triaxial CD</t>
        </is>
      </c>
      <c r="M47" t="n">
        <v>98</v>
      </c>
      <c r="N47" t="n">
        <v>1200</v>
      </c>
      <c r="O47" t="n">
        <v>25.4</v>
      </c>
      <c r="P47" t="n">
        <v>7.3703</v>
      </c>
      <c r="Q47" t="n">
        <v>129.97</v>
      </c>
      <c r="R47" t="n">
        <v>9.699999999999999</v>
      </c>
      <c r="S47" t="n">
        <v>2.762</v>
      </c>
      <c r="T47" t="n">
        <v>0.32</v>
      </c>
      <c r="U47" t="inlineStr"/>
      <c r="V47" t="inlineStr">
        <is>
          <t>2021_Golder_Ensayos de Laboratorio Commingling.pdf</t>
        </is>
      </c>
      <c r="W47" t="inlineStr">
        <is>
          <t>no informado (tajo, fase, banco o botadero no indicados). Muestras Tipo A/B/C recibidas en el laboratorio Golder Lima el 11/08/2020 (Tabla 1, p.6-7); relaves del segundo lote (16/09 y 21/10/2020, p.7 y p.9)</t>
        </is>
      </c>
      <c r="X47" t="inlineStr">
        <is>
          <t>no indicada. El informe solo tipifica A/B/C por geoquímica: p.6 «cuya tipificación obedece a consideraciones geoquímicas de potencial de generación de acidez»; no dice ROM, Chancado ni Enrocado</t>
        </is>
      </c>
      <c r="Y47" t="inlineStr">
        <is>
          <t>no informado</t>
        </is>
      </c>
      <c r="Z47" t="inlineStr">
        <is>
          <t>no informada (solo se ensayaron muestras truncadas a 1")</t>
        </is>
      </c>
      <c r="AA47" t="inlineStr">
        <is>
          <t>no informada</t>
        </is>
      </c>
      <c r="AB47" t="inlineStr">
        <is>
          <t>Truncado (scalping): p.9 «Las muestras primigenias de desmonte Tipo A, Tipo B y Tipo C fueron limitadas a partículas menores a una pulgada, debido a las limitaciones inherentes a los equipos de laboratorio»; aplicado antes de mezclar. p.29: los resultados «no representan de manera verídica el comportamiento de los materiales in-situ a escala real»</t>
        </is>
      </c>
      <c r="AC47" t="n">
        <v>25.4</v>
      </c>
      <c r="AD47" t="n">
        <v>152.4</v>
      </c>
      <c r="AE47" t="n">
        <v>305.1</v>
      </c>
      <c r="AF47" t="n">
        <v>6</v>
      </c>
      <c r="AG47" t="inlineStr">
        <is>
          <t>Hoja p.46 (ASTM D422/D7928, hidrómetro): D10=0.0778, D30=1.5869, D50=7.3703, D60=10.1146 mm, Cu=129.97, Cc=3.20; grava 59.5 %, arena 30.8 %, finos 9.7 % (limo 9.2, arcilla 0.5); SUCS GP-GM; no recalculada</t>
        </is>
      </c>
      <c r="AH47" t="inlineStr">
        <is>
          <t>Remoldeado «a la densidad seca de 2.084 g/cm3 y 2.0 % de humedad» (hojas p.108-110); real 2.089/2.089/2.087 g/cm³ = 90 % del Proctor estándar corregido por sobretamaño (22.72 kN/m³, ASTM D698 + D4718, p.97) o 92 % del no corregido (22.26). Método de compactación y capas no informados</t>
        </is>
      </c>
      <c r="AI47" t="inlineStr">
        <is>
          <t>20.49/20.49/20.47</t>
        </is>
      </c>
      <c r="AJ47" t="inlineStr">
        <is>
          <t>2.00/2.00/2.0</t>
        </is>
      </c>
      <c r="AK47" t="n">
        <v>2.762</v>
      </c>
      <c r="AL47" t="inlineStr">
        <is>
          <t>«G. Específica (Promedio)» impresa en las hojas triaxiales (p.108-110); no es el Gs de finos (D854) ni el de gruesos (C127) de la Tabla 5 y el informe no explica su cálculo. Golder calculó e0 con este valor</t>
        </is>
      </c>
      <c r="AM47" t="inlineStr">
        <is>
          <t>0.322/0.322/0.323 (Tabla 8: 0.32/0.32/0.32)</t>
        </is>
      </c>
      <c r="AN47" t="inlineStr">
        <is>
          <t>Por contrapresión; B = 0.97/0.95/0.95</t>
        </is>
      </c>
      <c r="AO47" t="inlineStr">
        <is>
          <t>264/263/266</t>
        </is>
      </c>
      <c r="AP47" t="inlineStr">
        <is>
          <t>isotrópica; σ'3c = 98/399/1200 kPa (celda 363/662/1466 kPa); duración no informada (t90 en la hoja)</t>
        </is>
      </c>
      <c r="AQ47" t="inlineStr">
        <is>
          <t>21.19/21.48/22.18 (hojas; Tabla 8 «antes del corte» equivalente)</t>
        </is>
      </c>
      <c r="AR47" t="inlineStr">
        <is>
          <t>drenado (CID, ASTM D7181)</t>
        </is>
      </c>
      <c r="AS47" t="n">
        <v>0.111</v>
      </c>
      <c r="AT47" t="inlineStr">
        <is>
          <t>≈20</t>
        </is>
      </c>
      <c r="AU47" t="inlineStr">
        <is>
          <t>«Esfuerzo Desv. Máximo» (hoja; pero σ1 impreso corresponde a εa≈16 %); Tabla 8 «Máx. Esfuerzo Desviador»</t>
        </is>
      </c>
      <c r="AV47" t="inlineStr">
        <is>
          <t>ver columna hay_pico del CSV verificado (por probeta)</t>
        </is>
      </c>
      <c r="AW47" t="inlineStr">
        <is>
          <t>sí</t>
        </is>
      </c>
      <c r="AX47" t="inlineStr">
        <is>
          <t>Tabla 7 (p.19): c=0 kPa φ=40°; hoja p.112: c=0 kPa φ=41°</t>
        </is>
      </c>
      <c r="AY47" t="inlineStr">
        <is>
          <t>no informado (sin granulometría post-ensayo)</t>
        </is>
      </c>
      <c r="AZ47" t="inlineStr">
        <is>
          <t>no ensayado</t>
        </is>
      </c>
      <c r="BA47" t="inlineStr">
        <is>
          <t>no ensayado</t>
        </is>
      </c>
      <c r="BB47" t="inlineStr">
        <is>
          <t>no ensayado</t>
        </is>
      </c>
      <c r="BC47" t="inlineStr">
        <is>
          <t>no ensayado</t>
        </is>
      </c>
      <c r="BD47" t="inlineStr">
        <is>
          <t>compuesto 0.54 % (C127, Tabla 5 y p.86); A 3.39, B 1.22, C 0.61 % (p.83-85)</t>
        </is>
      </c>
      <c r="BE47" t="inlineStr">
        <is>
          <t>6;9;11;15;18;19;20-22;46;108-110;112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inlineStr">
        <is>
          <t>I2025|Codisposal 1 (100% Intrusivo)</t>
        </is>
      </c>
      <c r="B48" t="inlineStr">
        <is>
          <t>I2025</t>
        </is>
      </c>
      <c r="C48" t="inlineStr">
        <is>
          <t>Codisposal 1 (100% Intrusivo)</t>
        </is>
      </c>
      <c r="D48" t="inlineStr">
        <is>
          <t>Intrusivo</t>
        </is>
      </c>
      <c r="E48" t="inlineStr"/>
      <c r="F48" t="inlineStr"/>
      <c r="G48" t="inlineStr">
        <is>
          <t>ROM</t>
        </is>
      </c>
      <c r="H48" t="inlineStr">
        <is>
          <t>criterio experto: mismo programa Codisposal que W2024; intrusivo del tajo</t>
        </is>
      </c>
      <c r="I48" t="n">
        <v>0</v>
      </c>
      <c r="J48" t="inlineStr">
        <is>
          <t>1.0 m</t>
        </is>
      </c>
      <c r="K48" t="n">
        <v>3</v>
      </c>
      <c r="L48" t="inlineStr">
        <is>
          <t>Triaxial CD</t>
        </is>
      </c>
      <c r="M48" t="n">
        <v>490.3</v>
      </c>
      <c r="N48" t="n">
        <v>1961.3</v>
      </c>
      <c r="O48" t="n">
        <v>177.8</v>
      </c>
      <c r="P48" t="n">
        <v>53.9</v>
      </c>
      <c r="Q48" t="n">
        <v>315</v>
      </c>
      <c r="R48" t="n">
        <v>5.5</v>
      </c>
      <c r="S48" t="inlineStr"/>
      <c r="T48" t="n">
        <v>0.357</v>
      </c>
      <c r="U48" t="inlineStr"/>
      <c r="V48" t="inlineStr">
        <is>
          <t>2025_IDIEM_Triaxiales Gran Escala Codisposal 100 Intrusivo.pdf</t>
        </is>
      </c>
      <c r="W48" t="inlineStr">
        <is>
          <t>"Intrusivo" 139 184 kg y "Relave" 64 864 kg, perturbadas, en maxisacos, recibidas el 12, 14 y 16-08-2024 (Tabla 2 p.6); calicata y cota "---"; tajo, fase, banco no informados</t>
        </is>
      </c>
      <c r="X48" t="inlineStr">
        <is>
          <t>no indicada (solo "Intrusivo", p.3 y p.6)</t>
        </is>
      </c>
      <c r="Y48" t="inlineStr">
        <is>
          <t>no informado</t>
        </is>
      </c>
      <c r="Z48" t="inlineStr">
        <is>
          <t>no informado (granulometría inicial en informe 1.966.314-A, no incluido)</t>
        </is>
      </c>
      <c r="AA48" t="inlineStr">
        <is>
          <t>no informado</t>
        </is>
      </c>
      <c r="AB48" t="inlineStr">
        <is>
          <t>truncado: "el cliente ha decidido cortar el material en 7”" (p.8)</t>
        </is>
      </c>
      <c r="AC48" t="n">
        <v>177.8</v>
      </c>
      <c r="AD48" t="n">
        <v>1000</v>
      </c>
      <c r="AE48" t="n">
        <v>1800</v>
      </c>
      <c r="AF48" t="n">
        <v>5.62</v>
      </c>
      <c r="AG48" t="inlineStr">
        <is>
          <t>solo gráfico (Gráfico 1 p.8), digitalizado: D10 0,22; D30 17,4; D50 53,9; D60 67,7 mm; Cu 315; Cc 20,8; finos 5,5 %; pasa N°4 21,2 % (verificado en imagen ±0,5 %)</t>
        </is>
      </c>
      <c r="AH48" t="inlineStr">
        <is>
          <t>capas en molde rígido con geomembrana; peso y espesor por capa (p.8); ρd 2,10 g/cm³ definida por el cliente; criterio (% Proctor, Dr) no informado; n.° de capas no informado</t>
        </is>
      </c>
      <c r="AI48" t="n">
        <v>20.6</v>
      </c>
      <c r="AJ48" t="n">
        <v>0</v>
      </c>
      <c r="AK48" t="inlineStr">
        <is>
          <t>no informado</t>
        </is>
      </c>
      <c r="AL48" t="inlineStr">
        <is>
          <t>no informado en IDIEM 2025; posible referencia externa 2.85 (WSP 2024 Tabla 5, Codisposal 4, otro lote y otra curva)</t>
        </is>
      </c>
      <c r="AM48" t="inlineStr">
        <is>
          <t>no calculable con el informe; condicional con Gs 2.85 (WSP 2024): 0.357</t>
        </is>
      </c>
      <c r="AN48" t="inlineStr">
        <is>
          <t>B ≥ 0,95 (p.8); método no descrito</t>
        </is>
      </c>
      <c r="AO48" t="inlineStr">
        <is>
          <t>98,1 / 196,1 / 98,1 (1 / 2 / 1 kgf/cm², pp.10, 16, 22)</t>
        </is>
      </c>
      <c r="AP48" t="inlineStr">
        <is>
          <t>isotrópica hasta σ′3c = 490/981/1961 kPa (cámara 6/12/21 − contrapresión 1/2/1 kgf/cm²); fin al estabilizar εv; duración no informada; ΔV 16 200/57 500/131 400 cm³</t>
        </is>
      </c>
      <c r="AQ48" t="inlineStr">
        <is>
          <t>20,80 / 21,48 / 22,66 (2,12/2,19/2,31 g/cm³, Tabla 4 p.29; verificado con ΔV/V0)</t>
        </is>
      </c>
      <c r="AR48" t="inlineStr">
        <is>
          <t>drenado, monótona, carga controlada por escalones de esfuerzo vertical (p.8)</t>
        </is>
      </c>
      <c r="AS48" t="inlineStr">
        <is>
          <t>no informado ("---")</t>
        </is>
      </c>
      <c r="AT48" t="inlineStr">
        <is>
          <t>19,09 / 15,02 / 16,70</t>
        </is>
      </c>
      <c r="AU48" t="inlineStr">
        <is>
          <t>no informa criterio ni φ; tabla p-q (MIT) hasta el final</t>
        </is>
      </c>
      <c r="AV48" t="inlineStr">
        <is>
          <t>probeta 1 sí (frágil, εa 3,98 %); probetas 2 y 3 meseta (máx. en 12,97 y 11,18 %)</t>
        </is>
      </c>
      <c r="AW48" t="inlineStr">
        <is>
          <t>sí, εa-εv-p-q en kgf/cm² (pp.10-14, 16-20, 22-27)</t>
        </is>
      </c>
      <c r="AX48" t="inlineStr"/>
      <c r="AY48" t="inlineStr">
        <is>
          <t>no informado (granulometrías post-ensayo pendientes, Tabla 1)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>
        <is>
          <t>Codisposal 1 = 100 % intrusivo, sin relave (numeración de Fase 2-3, distinta de WSP 2024)</t>
        </is>
      </c>
      <c r="BN48" t="inlineStr">
        <is>
          <t>no informado en IDIEM 2025 (para el lote de Fase 1 ver WSP 2024; no es el mismo lote)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W2022|HF-0.15m-Golder</t>
        </is>
      </c>
      <c r="B49" t="inlineStr">
        <is>
          <t>W2022</t>
        </is>
      </c>
      <c r="C49" t="inlineStr">
        <is>
          <t>HF-0.15m-Golder</t>
        </is>
      </c>
      <c r="D49" t="inlineStr">
        <is>
          <t>Hornfels</t>
        </is>
      </c>
      <c r="E49" t="inlineStr">
        <is>
          <t>hornfels gris (H6), Tajo Fase 8; vetillas de calcita en núcleos UCS</t>
        </is>
      </c>
      <c r="F49" t="inlineStr"/>
      <c r="G49" t="inlineStr">
        <is>
          <t>Enrocado</t>
        </is>
      </c>
      <c r="H49" t="inlineStr">
        <is>
          <t>textual</t>
        </is>
      </c>
      <c r="I49" t="n">
        <v>0</v>
      </c>
      <c r="J49" t="inlineStr">
        <is>
          <t>6 in (≈150 mm)</t>
        </is>
      </c>
      <c r="K49" t="n">
        <v>1</v>
      </c>
      <c r="L49" t="inlineStr">
        <is>
          <t>Triaxial CD carga-descarga</t>
        </is>
      </c>
      <c r="M49" t="n">
        <v>977</v>
      </c>
      <c r="N49" t="n">
        <v>977</v>
      </c>
      <c r="O49" t="n">
        <v>25.4</v>
      </c>
      <c r="P49" t="n">
        <v>4.55</v>
      </c>
      <c r="Q49" t="n">
        <v>34</v>
      </c>
      <c r="R49" t="inlineStr"/>
      <c r="S49" t="n">
        <v>2.75</v>
      </c>
      <c r="T49" t="n">
        <v>0.31</v>
      </c>
      <c r="U49" t="n">
        <v>64.5</v>
      </c>
      <c r="V49" t="inlineStr">
        <is>
          <t>2022_WSP_Pruebas de enrocado 3B a Gran Escala Hornfels para Deformacion.pdf</t>
        </is>
      </c>
      <c r="W49" t="inlineStr">
        <is>
          <t>Tajo Mina, Fase 8 / Norte, Pala 11, polígono 8-NP-4193-46-03, cota 4193 m s.n.m.; macro-granulometría M-001 muestreada 23/10/2020 por W. Paz (p47). Muestras UCS/LA M-001: 'Tajo Mina - Fase 8', lugar 'Acopio punto F / M-01 y M-02', 31/10/2020 (p48–p51). Texto: del Tajo al Acopio G (p4). Lote IDIEM 'H6 HORNFEL GRIS': fecha y lugar de muestreo '----', recibido 12/04/2021 (p59, p231). 39 t enviadas a IDIEM (&lt;7"), 200 kg a Golder y USC (&lt;1") (p5–p6)</t>
        </is>
      </c>
      <c r="X49" t="inlineStr">
        <is>
          <t>C: rótulo manuscrito 'MATERIAL TIPO C – HORNFELS GRIS – TAJO MINA FASE 8' en fotos de probetas UCS/LA (p8, p48–p51). Material de enrocado 3B para recrecimiento de la presa (p3)</t>
        </is>
      </c>
      <c r="Y49" t="inlineStr">
        <is>
          <t>entre 406 y 914</t>
        </is>
      </c>
      <c r="Z49" t="inlineStr">
        <is>
          <t>Macro-granulometría M-001 (ASTM D5519/D6913, p47): 100 % pasa 36" (914 mm); 88.2 % pasa 16"; 58.3 % pasa 6"; 31.5 % pasa 1"; 13.1 % pasa #4; 2.49 % pasa #200; Cu 33.0 y Cc 2.5 (calculados por el informe con material &lt;3"); GW-GM; humedad en blanco. Calculado aquí (log-lineal, curva completa): D10≈2.6 mm, D50≈86 mm, D80≈288 mm</t>
        </is>
      </c>
      <c r="AA49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49" t="inlineStr">
        <is>
          <t>material &lt;1" (p4: '24.5 mm (1")', errata de 25.4); método no declarado; densidad 'estimada con base en Dorador et al. (2018) a partir de granulometría y densidades mín./máx.' (p14)</t>
        </is>
      </c>
      <c r="AC49" t="n">
        <v>25.4</v>
      </c>
      <c r="AD49" t="inlineStr">
        <is>
          <t>152.0</t>
        </is>
      </c>
      <c r="AE49" t="inlineStr">
        <is>
          <t>327.0</t>
        </is>
      </c>
      <c r="AF49" t="inlineStr">
        <is>
          <t>6.0</t>
        </is>
      </c>
      <c r="AG49" t="inlineStr">
        <is>
          <t>Sin tabla: solo curva 'INICIAL 0.15m' (Fig. 3 p6 hornfels; Fig. 4 p7 mármol, idénticas). Leída de la figura: 100 % pasa 25.4 mm, ≈72 % 9.5 mm, ≈51 % 4.76 mm, ≈32 % 2 mm, ≈9 % 0.15 mm; D10≈0.19, D30≈1.7, D50≈4.6, D60≈6.4 mm; Cu≈34</t>
        </is>
      </c>
      <c r="AH49" t="inlineStr">
        <is>
          <t>Reconstituida, compactada en capas hasta densidad objetivo (p14); 'Saturation Method: Dry' (p353). ρmáx/ρmín índice del material 1" (ASTM D4253/D4254): 2232 (seco), 2308 (húmedo) / 1852 kg/m³ (p85)</t>
        </is>
      </c>
      <c r="AI49" t="inlineStr">
        <is>
          <t>20.58</t>
        </is>
      </c>
      <c r="AJ49" t="inlineStr">
        <is>
          <t>3.4</t>
        </is>
      </c>
      <c r="AK49" t="inlineStr">
        <is>
          <t>2.75</t>
        </is>
      </c>
      <c r="AL49" t="inlineStr">
        <is>
          <t>Hoja Golder 'Specific Gravity (calculated)' (p350, p353); procedimiento no descrito; coherente con e0 0.31</t>
        </is>
      </c>
      <c r="AM49" t="inlineStr">
        <is>
          <t>0.311</t>
        </is>
      </c>
      <c r="AN49" t="inlineStr">
        <is>
          <t>B = 0.99; Sat 99 % tras consolidación (p353)</t>
        </is>
      </c>
      <c r="AO49" t="inlineStr">
        <is>
          <t>688 (σpwp, p353)</t>
        </is>
      </c>
      <c r="AP49" t="inlineStr">
        <is>
          <t>Isotrópica, σ'3c 992 kPa (σcell 1667 kPa); ΔV −386 cc; t100 0.0 min</t>
        </is>
      </c>
      <c r="AQ49" t="inlineStr">
        <is>
          <t>21.62 (ec 0.25)</t>
        </is>
      </c>
      <c r="AR49" t="inlineStr">
        <is>
          <t>Drenado</t>
        </is>
      </c>
      <c r="AS49" t="inlineStr">
        <is>
          <t>0.0167 (1.00 %/h)</t>
        </is>
      </c>
      <c r="AT49" t="inlineStr">
        <is>
          <t>≈17.6 (curva p351)</t>
        </is>
      </c>
      <c r="AU49" t="inlineStr">
        <is>
          <t>'Failure at maximum deviator stress' (p350)</t>
        </is>
      </c>
      <c r="AV49" t="inlineStr">
        <is>
          <t>La hoja da máx. 4100 kPa a 11.44 %, pero la curva p351 sigue subiendo hasta ≈4600 kPa a ≈17.5 %: inconsistencia</t>
        </is>
      </c>
      <c r="AW49" t="inlineStr">
        <is>
          <t>no (solo gráficos p351–p352)</t>
        </is>
      </c>
      <c r="AX49" t="inlineStr"/>
      <c r="AY49" t="inlineStr">
        <is>
          <t>Bg Marsal 15 (Tabla 7 p41); granulometría post solo en gráfico (Fig. 35); no verificable</t>
        </is>
      </c>
      <c r="AZ49" t="inlineStr">
        <is>
          <t>(1) Golder 2021a, CQA Antamina, ASTM D7012 Método C: muestra M-001/M-01: 66.0 y 64.5 MPa (prom. 65.3), M-001/M-02: 65.1 y 62.5 MPa (prom. 63.8); núcleos 74–74.6 mm, L/D 1.9 (p49, p51); la Tabla 1 (p7) los resume como 65 y 64 MPa (la carga de M-2, 27,259 kg, es errata: el promedio de la hoja es 28,258.5 kg). (2) IDIEM 1.555.677-D (15/06/2022), ASTM D7012-14e1, 3 núcleos de 54 mm del lote 'H6 HORNFEL GRIS' enviado a IDIEM: 26.3, 40.8 y 24.5 MPa (corregidos a D50; 25.9, 40.2, 24.1 a D54); ρd de roca 2.66, 2.71, 2.69 g/cm³; falla 'Mixta (Tipo B2)'; vetillas de calcita (p72, p74, p76). El texto del memo solo cita (1)</t>
        </is>
      </c>
      <c r="BA49" t="inlineStr">
        <is>
          <t>no informado</t>
        </is>
      </c>
      <c r="BB49" t="inlineStr">
        <is>
          <t>15.5 (M-01) y 17.3 (M-02); prom. 16.4. ASTM C535, gradación 2, 1000 rev. (p48, p50). El texto (p38) dice 'promedio de 17 %'</t>
        </is>
      </c>
      <c r="BC49" t="inlineStr">
        <is>
          <t>no informado</t>
        </is>
      </c>
      <c r="BD49" t="inlineStr">
        <is>
          <t>no informado</t>
        </is>
      </c>
      <c r="BE49" t="inlineStr">
        <is>
          <t>4;6;14;41;85;350–353</t>
        </is>
      </c>
      <c r="BF49" t="inlineStr"/>
      <c r="BG49" t="inlineStr">
        <is>
          <t>CID carga-descarga Ø6" (Golder Burnaby B21-132, ASTM D7181-11)</t>
        </is>
      </c>
      <c r="BH49" t="inlineStr">
        <is>
          <t>1 (σ'3c 992 kPa)</t>
        </is>
      </c>
      <c r="BI49" t="inlineStr">
        <is>
          <t>0.31</t>
        </is>
      </c>
      <c r="BJ49" t="inlineStr">
        <is>
          <t>Gs 2.71 → 0.292</t>
        </is>
      </c>
      <c r="BK49" t="inlineStr">
        <is>
          <t>sí</t>
        </is>
      </c>
      <c r="BL49" t="inlineStr">
        <is>
          <t>La hoja de hornfels dice 'Sample: MR' y la curva 'CID 6" MR' (errata de rótulo).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W2022|HF-1.0m-IDIEM-cd</t>
        </is>
      </c>
      <c r="B50" t="inlineStr">
        <is>
          <t>W2022</t>
        </is>
      </c>
      <c r="C50" t="inlineStr">
        <is>
          <t>HF-1.0m-IDIEM-cd</t>
        </is>
      </c>
      <c r="D50" t="inlineStr">
        <is>
          <t>Hornfels</t>
        </is>
      </c>
      <c r="E50" t="inlineStr">
        <is>
          <t>hornfels gris (H6), Tajo Fase 8; vetillas de calcita en núcleos UCS</t>
        </is>
      </c>
      <c r="F50" t="inlineStr"/>
      <c r="G50" t="inlineStr">
        <is>
          <t>Enrocado</t>
        </is>
      </c>
      <c r="H50" t="inlineStr">
        <is>
          <t>textual</t>
        </is>
      </c>
      <c r="I50" t="n">
        <v>0</v>
      </c>
      <c r="J50" t="inlineStr">
        <is>
          <t>1.0 m</t>
        </is>
      </c>
      <c r="K50" t="n">
        <v>3</v>
      </c>
      <c r="L50" t="inlineStr">
        <is>
          <t>Triaxial CD carga-descarga</t>
        </is>
      </c>
      <c r="M50" t="n">
        <v>981</v>
      </c>
      <c r="N50" t="n">
        <v>2452</v>
      </c>
      <c r="O50" t="n">
        <v>177.8</v>
      </c>
      <c r="P50" t="n">
        <v>28</v>
      </c>
      <c r="Q50" t="n">
        <v>13.4</v>
      </c>
      <c r="R50" t="n">
        <v>2.6</v>
      </c>
      <c r="S50" t="n">
        <v>2.75</v>
      </c>
      <c r="T50" t="n">
        <v>0.335</v>
      </c>
      <c r="U50" t="n">
        <v>64.5</v>
      </c>
      <c r="V50" t="inlineStr">
        <is>
          <t>2022_WSP_Pruebas de enrocado 3B a Gran Escala Hornfels para Deformacion.pdf</t>
        </is>
      </c>
      <c r="W50" t="inlineStr">
        <is>
          <t>Tajo Mina, Fase 8 / Norte, Pala 11, polígono 8-NP-4193-46-03, cota 4193 m s.n.m.; macro-granulometría M-001 muestreada 23/10/2020 por W. Paz (p47). Muestras UCS/LA M-001: 'Tajo Mina - Fase 8', lugar 'Acopio punto F / M-01 y M-02', 31/10/2020 (p48–p51). Texto: del Tajo al Acopio G (p4). Lote IDIEM 'H6 HORNFEL GRIS': fecha y lugar de muestreo '----', recibido 12/04/2021 (p59, p231). 39 t enviadas a IDIEM (&lt;7"), 200 kg a Golder y USC (&lt;1") (p5–p6)</t>
        </is>
      </c>
      <c r="X50" t="inlineStr">
        <is>
          <t>C: rótulo manuscrito 'MATERIAL TIPO C – HORNFELS GRIS – TAJO MINA FASE 8' en fotos de probetas UCS/LA (p8, p48–p51). Material de enrocado 3B para recrecimiento de la presa (p3)</t>
        </is>
      </c>
      <c r="Y50" t="inlineStr">
        <is>
          <t>entre 406 y 914; no informado exacto</t>
        </is>
      </c>
      <c r="Z50" t="inlineStr">
        <is>
          <t>Macro-granulometría M-001 (ASTM D5519/D6913, p47): 100 % pasa 36" (914 mm); 88.2 % pasa 16"; 58.3 % pasa 6"; 31.5 % pasa 1"; 13.1 % pasa #4; 2.49 % pasa #200; Cu 33.0 y Cc 2.5 (calculados por el informe con material &lt;3"); GW-GM; humedad en blanco. Calculado aquí (log-lineal, curva completa): D10≈2.6 mm, D50≈86 mm, D80≈288 mm</t>
        </is>
      </c>
      <c r="AA50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50" t="inlineStr">
        <is>
          <t>no declarado (p4)</t>
        </is>
      </c>
      <c r="AC50" t="n">
        <v>177.8</v>
      </c>
      <c r="AD50" t="inlineStr">
        <is>
          <t>1000</t>
        </is>
      </c>
      <c r="AE50" t="inlineStr">
        <is>
          <t>1800</t>
        </is>
      </c>
      <c r="AF50" t="inlineStr">
        <is>
          <t>5.6</t>
        </is>
      </c>
      <c r="AG50" t="inlineStr">
        <is>
          <t>IDIEM inicial (p62, ASTM D422): 100 % pasa 177.8 mm; D10 2.61, D30 13.3, D50 28.0, D60 35.0 mm; Cu 13.4, Cc 1.94 (recalculados log-lineal; el informe no los da); grava 87.3, arena 10.1, finos 2.6 %</t>
        </is>
      </c>
      <c r="AH50" t="inlineStr">
        <is>
          <t>Igual procedimiento que los monótonos (p11), pero las hojas dan ρd 2.06 g/cm³ y w 5 %, menor que el objetivo 2.1 t/m³</t>
        </is>
      </c>
      <c r="AI50" t="inlineStr">
        <is>
          <t>20.21 (ρd 2.06 g/cm³; p106, p119, p169)</t>
        </is>
      </c>
      <c r="AJ50" t="inlineStr">
        <is>
          <t>5.00</t>
        </is>
      </c>
      <c r="AK50" t="inlineStr">
        <is>
          <t>2.75</t>
        </is>
      </c>
      <c r="AL50" t="inlineStr">
        <is>
          <t>Igual que set monótono (Golder 'calculated', otro laboratorio, mismo lote)</t>
        </is>
      </c>
      <c r="AM50" t="inlineStr">
        <is>
          <t>0.335</t>
        </is>
      </c>
      <c r="AN50" t="inlineStr">
        <is>
          <t>CO2 + agua desaireada, B &gt; 0.95 (p13); B por probeta no informado</t>
        </is>
      </c>
      <c r="AO50" t="inlineStr">
        <is>
          <t>98 (1.00 kg/cm² en las 3 hojas)</t>
        </is>
      </c>
      <c r="AP50" t="inlineStr">
        <is>
          <t>Isotrópica a 10, 20, 25 kg/cm²; ΔV 29,390 / 73,737 / 87,571 cm³; duración no informada</t>
        </is>
      </c>
      <c r="AQ50" t="inlineStr">
        <is>
          <t>no informado; calculado de ΔV: 20.64, 21.32, 21.54</t>
        </is>
      </c>
      <c r="AR50" t="inlineStr">
        <is>
          <t>Drenado</t>
        </is>
      </c>
      <c r="AS50" t="inlineStr">
        <is>
          <t>no informada en hoja; texto ≈98 kPa/min (p13)</t>
        </is>
      </c>
      <c r="AT50" t="inlineStr">
        <is>
          <t>19.15 / 19.33 / 19.52</t>
        </is>
      </c>
      <c r="AU50" t="inlineStr">
        <is>
          <t>Ángulo de fricción máximo (p19); etapas: 33 % τu + 1 ciclo; 50 % τu + 3 ciclos parciales; 15 ciclos a 50 % τu; carga monótona hasta ≈20 % (p13)</t>
        </is>
      </c>
      <c r="AV50" t="inlineStr">
        <is>
          <t>P4: no (máx. = último punto 19.15 %); P5: meseta (18.80 %); P6: meseta (18.98 %)</t>
        </is>
      </c>
      <c r="AW50" t="inlineStr">
        <is>
          <t>sí (p106–p227, con ciclos)</t>
        </is>
      </c>
      <c r="AX50" t="inlineStr"/>
      <c r="AY50" t="inlineStr">
        <is>
          <t>Marsal (1967): suma de diferencias positivas de % retenido por fracción, antes y después; tamices 7" a #200 (18 tamices) + fondo; Tabla 7: 24, 36, 39 (recalculado 24.2, 35.5, 38.9)</t>
        </is>
      </c>
      <c r="AZ50" t="inlineStr">
        <is>
          <t>(1) Golder 2021a, CQA Antamina, ASTM D7012 Método C: muestra M-001/M-01: 66.0 y 64.5 MPa (prom. 65.3), M-001/M-02: 65.1 y 62.5 MPa (prom. 63.8); núcleos 74–74.6 mm, L/D 1.9 (p49, p51); la Tabla 1 (p7) los resume como 65 y 64 MPa (la carga de M-2, 27,259 kg, es errata: el promedio de la hoja es 28,258.5 kg). (2) IDIEM 1.555.677-D (15/06/2022), ASTM D7012-14e1, 3 núcleos de 54 mm del lote 'H6 HORNFEL GRIS' enviado a IDIEM: 26.3, 40.8 y 24.5 MPa (corregidos a D50; 25.9, 40.2, 24.1 a D54); ρd de roca 2.66, 2.71, 2.69 g/cm³; falla 'Mixta (Tipo B2)'; vetillas de calcita (p72, p74, p76). El texto del memo solo cita (1)</t>
        </is>
      </c>
      <c r="BA50" t="inlineStr">
        <is>
          <t>no informado</t>
        </is>
      </c>
      <c r="BB50" t="inlineStr">
        <is>
          <t>15.5 (M-01) y 17.3 (M-02); prom. 16.4. ASTM C535, gradación 2, 1000 rev. (p48, p50). El texto (p38) dice 'promedio de 17 %'</t>
        </is>
      </c>
      <c r="BC50" t="inlineStr">
        <is>
          <t>no informado</t>
        </is>
      </c>
      <c r="BD50" t="inlineStr">
        <is>
          <t>no informado</t>
        </is>
      </c>
      <c r="BE50" t="inlineStr">
        <is>
          <t>13;41;62–63;104–227</t>
        </is>
      </c>
      <c r="BF50" t="inlineStr"/>
      <c r="BG50" t="inlineStr">
        <is>
          <t>CID carga-descarga, 4 etapas (IDIEM 1.555.677-E)</t>
        </is>
      </c>
      <c r="BH50" t="inlineStr">
        <is>
          <t>3 (σ'c 10, 20, 25 kg/cm²)</t>
        </is>
      </c>
      <c r="BI50" t="inlineStr">
        <is>
          <t>0.335</t>
        </is>
      </c>
      <c r="BJ50" t="inlineStr">
        <is>
          <t>Gs 2.71 → 0.316; Gs 2.60 → 0.262</t>
        </is>
      </c>
      <c r="BK50" t="inlineStr">
        <is>
          <t>sí</t>
        </is>
      </c>
      <c r="BL50" t="inlineStr">
        <is>
          <t>Asignación de columnas post-ensayo de 20 y 25 kgf/cm² (p63) confirmada por Bg recalculado vs Tabla 7.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W2022|HF-1.0m-IDIEM-mono</t>
        </is>
      </c>
      <c r="B51" t="inlineStr">
        <is>
          <t>W2022</t>
        </is>
      </c>
      <c r="C51" t="inlineStr">
        <is>
          <t>HF-1.0m-IDIEM-mono</t>
        </is>
      </c>
      <c r="D51" t="inlineStr">
        <is>
          <t>Hornfels</t>
        </is>
      </c>
      <c r="E51" t="inlineStr">
        <is>
          <t>hornfels gris (H6), Tajo Fase 8; vetillas de calcita en núcleos UCS</t>
        </is>
      </c>
      <c r="F51" t="inlineStr"/>
      <c r="G51" t="inlineStr">
        <is>
          <t>Enrocado</t>
        </is>
      </c>
      <c r="H51" t="inlineStr">
        <is>
          <t>textual</t>
        </is>
      </c>
      <c r="I51" t="n">
        <v>0</v>
      </c>
      <c r="J51" t="inlineStr">
        <is>
          <t>1.0 m</t>
        </is>
      </c>
      <c r="K51" t="n">
        <v>3</v>
      </c>
      <c r="L51" t="inlineStr">
        <is>
          <t>Triaxial CD</t>
        </is>
      </c>
      <c r="M51" t="n">
        <v>981</v>
      </c>
      <c r="N51" t="n">
        <v>2452</v>
      </c>
      <c r="O51" t="n">
        <v>177.8</v>
      </c>
      <c r="P51" t="n">
        <v>28</v>
      </c>
      <c r="Q51" t="n">
        <v>13.4</v>
      </c>
      <c r="R51" t="n">
        <v>2.6</v>
      </c>
      <c r="S51" t="n">
        <v>2.75</v>
      </c>
      <c r="T51" t="n">
        <v>0.31</v>
      </c>
      <c r="U51" t="n">
        <v>64.5</v>
      </c>
      <c r="V51" t="inlineStr">
        <is>
          <t>2022_WSP_Pruebas de enrocado 3B a Gran Escala Hornfels para Deformacion.pdf</t>
        </is>
      </c>
      <c r="W51" t="inlineStr">
        <is>
          <t>Tajo Mina, Fase 8 / Norte, Pala 11, polígono 8-NP-4193-46-03, cota 4193 m s.n.m.; macro-granulometría M-001 muestreada 23/10/2020 por W. Paz (p47). Muestras UCS/LA M-001: 'Tajo Mina - Fase 8', lugar 'Acopio punto F / M-01 y M-02', 31/10/2020 (p48–p51). Texto: del Tajo al Acopio G (p4). Lote IDIEM 'H6 HORNFEL GRIS': fecha y lugar de muestreo '----', recibido 12/04/2021 (p59, p231). 39 t enviadas a IDIEM (&lt;7"), 200 kg a Golder y USC (&lt;1") (p5–p6)</t>
        </is>
      </c>
      <c r="X51" t="inlineStr">
        <is>
          <t>C: rótulo manuscrito 'MATERIAL TIPO C – HORNFELS GRIS – TAJO MINA FASE 8' en fotos de probetas UCS/LA (p8, p48–p51). Material de enrocado 3B para recrecimiento de la presa (p3)</t>
        </is>
      </c>
      <c r="Y51" t="inlineStr">
        <is>
          <t>entre 406 y 914 (100 % pasa 36"; 11.8 % retenido en 16"); valor exacto no informado</t>
        </is>
      </c>
      <c r="Z51" t="inlineStr">
        <is>
          <t>Macro-granulometría M-001 (ASTM D5519/D6913, p47): 100 % pasa 36" (914 mm); 88.2 % pasa 16"; 58.3 % pasa 6"; 31.5 % pasa 1"; 13.1 % pasa #4; 2.49 % pasa #200; Cu 33.0 y Cc 2.5 (calculados por el informe con material &lt;3"); GW-GM; humedad en blanco. Calculado aquí (log-lineal, curva completa): D10≈2.6 mm, D50≈86 mm, D80≈288 mm</t>
        </is>
      </c>
      <c r="AA51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51" t="inlineStr">
        <is>
          <t>'ajustadas a granulometrías con tamaño menor a 178 mm (7")' (p4); método no declarado (ni paralelo ni truncado)</t>
        </is>
      </c>
      <c r="AC51" t="n">
        <v>177.8</v>
      </c>
      <c r="AD51" t="inlineStr">
        <is>
          <t>1000</t>
        </is>
      </c>
      <c r="AE51" t="inlineStr">
        <is>
          <t>1800</t>
        </is>
      </c>
      <c r="AF51" t="inlineStr">
        <is>
          <t>5.6</t>
        </is>
      </c>
      <c r="AG51" t="inlineStr">
        <is>
          <t>IDIEM inicial (p62, ASTM D422): 100 % pasa 177.8 mm; D10 2.61, D30 13.3, D50 28.0, D60 35.0 mm; Cu 13.4, Cc 1.94 (recalculados log-lineal; el informe no los da); grava 87.3, arena 10.1, finos 2.6 %</t>
        </is>
      </c>
      <c r="AH51" t="inlineStr">
        <is>
          <t>Molde Ø1.0×1.8 m con 2 membranas de 5 mm y geotextil; 6 capas de 0.3 m de material seco compactadas con pisón vibrador a ρd objetivo 2.1 t/m³; vacío ≈30 kPa para desmoldar (p11). Densidad 'especificada' (≈97 % Proctor estándar estimado) (p31)</t>
        </is>
      </c>
      <c r="AI51" t="inlineStr">
        <is>
          <t>20.60 (ρd 2.10 g/cm³ en las 3 hojas)</t>
        </is>
      </c>
      <c r="AJ51" t="inlineStr">
        <is>
          <t>3.00 (hojas p233, p238, p245)</t>
        </is>
      </c>
      <c r="AK51" t="inlineStr">
        <is>
          <t>2.75</t>
        </is>
      </c>
      <c r="AL51" t="inlineStr">
        <is>
          <t>NO ensayado sobre estas probetas: las hojas IDIEM no traen Gs. 2.75 = 'Specific Gravity (calculated)' de Golder Burnaby sobre el mismo lote &lt;1" (p350, p353), método no descrito. Otros valores del mismo material: 2.71 'Estimated' (USC, p373) y 2.60 'estimado' (IDIEM edómetro, p300), este último incompatible con ρd de núcleos 2.66–2.71</t>
        </is>
      </c>
      <c r="AM51" t="inlineStr">
        <is>
          <t>0.310</t>
        </is>
      </c>
      <c r="AN51" t="inlineStr">
        <is>
          <t>CO2 24 h + agua desaireada; saturada si B &gt; 0.95 (p13). Valor de B por probeta no informado</t>
        </is>
      </c>
      <c r="AO51" t="inlineStr">
        <is>
          <t>196 (P1), 98 (P2), 196 (P3) [2.00/1.00/2.00 kg/cm², hojas p233/p238/p245]</t>
        </is>
      </c>
      <c r="AP51" t="inlineStr">
        <is>
          <t>Isotrópica, incremental hasta σ'c = 10, 20 y 25 kg/cm² (981, 1961, 2452 kPa); ΔV drenado 28,920.61 / 68,762.28 / 92,728 cm³; duración no informada</t>
        </is>
      </c>
      <c r="AQ51" t="inlineStr">
        <is>
          <t>no informado; calculado de ΔV/V0 (V0=1.4137 m³): 21.03, 21.65, 22.05</t>
        </is>
      </c>
      <c r="AR51" t="inlineStr">
        <is>
          <t>Drenado</t>
        </is>
      </c>
      <c r="AS51" t="inlineStr">
        <is>
          <t>no informada en hoja ('--'); texto: carga controlada ≈98 kPa/min (p13)</t>
        </is>
      </c>
      <c r="AT51" t="inlineStr">
        <is>
          <t>19.05 / 19.04 / 19.63</t>
        </is>
      </c>
      <c r="AU51" t="inlineStr">
        <is>
          <t>'Ángulo de fricción máximo' (p19) a partir del máximo de t=(σ1−σ3)/2</t>
        </is>
      </c>
      <c r="AV51" t="inlineStr">
        <is>
          <t>P1: pico leve (máx. a 13.13 %, −5.3 % al final); P2: no (máx. = último punto); P3: meseta (máx. 17.83 %)</t>
        </is>
      </c>
      <c r="AW51" t="inlineStr">
        <is>
          <t>sí (εa, εv, p, q en kg/cm²; p233–p250)</t>
        </is>
      </c>
      <c r="AX51" t="inlineStr"/>
      <c r="AY51" t="inlineStr">
        <is>
          <t>Marsal (1967): suma de diferencias positivas de % retenido por fracción, antes y después; tamices 7" a #200 (18 tamices) + fondo; post-ensayo p62–p63. Bg Tabla 7: 20, 29, 37 (recalculado 20.3, 29.3, 36.5)</t>
        </is>
      </c>
      <c r="AZ51" t="inlineStr">
        <is>
          <t>(1) Golder 2021a, CQA Antamina, ASTM D7012 Método C: muestra M-001/M-01: 66.0 y 64.5 MPa (prom. 65.3), M-001/M-02: 65.1 y 62.5 MPa (prom. 63.8); núcleos 74–74.6 mm, L/D 1.9 (p49, p51); la Tabla 1 (p7) los resume como 65 y 64 MPa (la carga de M-2, 27,259 kg, es errata: el promedio de la hoja es 28,258.5 kg). (2) IDIEM 1.555.677-D (15/06/2022), ASTM D7012-14e1, 3 núcleos de 54 mm del lote 'H6 HORNFEL GRIS' enviado a IDIEM: 26.3, 40.8 y 24.5 MPa (corregidos a D50; 25.9, 40.2, 24.1 a D54); ρd de roca 2.66, 2.71, 2.69 g/cm³; falla 'Mixta (Tipo B2)'; vetillas de calcita (p72, p74, p76). El texto del memo solo cita (1)</t>
        </is>
      </c>
      <c r="BA51" t="inlineStr">
        <is>
          <t>no informado</t>
        </is>
      </c>
      <c r="BB51" t="inlineStr">
        <is>
          <t>15.5 (M-01) y 17.3 (M-02); prom. 16.4. ASTM C535, gradación 2, 1000 rev. (p48, p50). El texto (p38) dice 'promedio de 17 %'</t>
        </is>
      </c>
      <c r="BC51" t="inlineStr">
        <is>
          <t>no informado</t>
        </is>
      </c>
      <c r="BD51" t="inlineStr">
        <is>
          <t>no informado</t>
        </is>
      </c>
      <c r="BE51" t="inlineStr">
        <is>
          <t>4–8;11;13;31;41;47–51;59;62–63;72–76;233–250;300;350;373</t>
        </is>
      </c>
      <c r="BF51" t="inlineStr"/>
      <c r="BG51" t="inlineStr">
        <is>
          <t>CID monótono (IDIEM 1.555.677-B.2)</t>
        </is>
      </c>
      <c r="BH51" t="inlineStr">
        <is>
          <t>3 (σ'c 10, 20, 25 kg/cm²)</t>
        </is>
      </c>
      <c r="BI51" t="inlineStr">
        <is>
          <t>0.31</t>
        </is>
      </c>
      <c r="BJ51" t="inlineStr">
        <is>
          <t>Gs 2.71 → 0.290; Gs 2.60 → 0.238</t>
        </is>
      </c>
      <c r="BK51" t="inlineStr">
        <is>
          <t>sí</t>
        </is>
      </c>
      <c r="BL51" t="inlineStr">
        <is>
          <t>Fechas de las hojas '17-12-2022 a 23-12-2022' posteriores a la emisión del memo (sept. 2022): errata. Probeta 2 con contrapresión distinta (1 kg/cm²).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W2022|HF-USC-ciclico-350</t>
        </is>
      </c>
      <c r="B52" t="inlineStr">
        <is>
          <t>W2022</t>
        </is>
      </c>
      <c r="C52" t="inlineStr">
        <is>
          <t>HF-USC-ciclico-350</t>
        </is>
      </c>
      <c r="D52" t="inlineStr">
        <is>
          <t>Hornfels</t>
        </is>
      </c>
      <c r="E52" t="inlineStr">
        <is>
          <t>hornfels gris (H6), Tajo Fase 8; vetillas de calcita en núcleos UCS</t>
        </is>
      </c>
      <c r="F52" t="inlineStr"/>
      <c r="G52" t="inlineStr">
        <is>
          <t>Enrocado</t>
        </is>
      </c>
      <c r="H52" t="inlineStr">
        <is>
          <t>textual</t>
        </is>
      </c>
      <c r="I52" t="n">
        <v>0</v>
      </c>
      <c r="J52" t="inlineStr">
        <is>
          <t>6 in (≈150 mm)</t>
        </is>
      </c>
      <c r="K52" t="n">
        <v>3</v>
      </c>
      <c r="L52" t="inlineStr">
        <is>
          <t>Triaxial cíclico + monótono post-cíclico</t>
        </is>
      </c>
      <c r="M52" t="n">
        <v>350</v>
      </c>
      <c r="N52" t="n">
        <v>350</v>
      </c>
      <c r="O52" t="n">
        <v>25.4</v>
      </c>
      <c r="P52" t="n">
        <v>4.55</v>
      </c>
      <c r="Q52" t="n">
        <v>34</v>
      </c>
      <c r="R52" t="inlineStr"/>
      <c r="S52" t="n">
        <v>2.71</v>
      </c>
      <c r="T52" t="n">
        <v>0.239</v>
      </c>
      <c r="U52" t="n">
        <v>64.5</v>
      </c>
      <c r="V52" t="inlineStr">
        <is>
          <t>2022_WSP_Pruebas de enrocado 3B a Gran Escala Hornfels para Deformacion.pdf</t>
        </is>
      </c>
      <c r="W52" t="inlineStr">
        <is>
          <t>Tajo Mina, Fase 8 / Norte, Pala 11, polígono 8-NP-4193-46-03, cota 4193 m s.n.m.; macro-granulometría M-001 muestreada 23/10/2020 por W. Paz (p47). Muestras UCS/LA M-001: 'Tajo Mina - Fase 8', lugar 'Acopio punto F / M-01 y M-02', 31/10/2020 (p48–p51). Texto: del Tajo al Acopio G (p4). Lote IDIEM 'H6 HORNFEL GRIS': fecha y lugar de muestreo '----', recibido 12/04/2021 (p59, p231). 39 t enviadas a IDIEM (&lt;7"), 200 kg a Golder y USC (&lt;1") (p5–p6)</t>
        </is>
      </c>
      <c r="X52" t="inlineStr">
        <is>
          <t>C: rótulo manuscrito 'MATERIAL TIPO C – HORNFELS GRIS – TAJO MINA FASE 8' en fotos de probetas UCS/LA (p8, p48–p51). Material de enrocado 3B para recrecimiento de la presa (p3)</t>
        </is>
      </c>
      <c r="Y52" t="inlineStr">
        <is>
          <t>entre 406 y 914</t>
        </is>
      </c>
      <c r="Z52" t="inlineStr">
        <is>
          <t>Macro-granulometría M-001 (ASTM D5519/D6913, p47): 100 % pasa 36" (914 mm); 88.2 % pasa 16"; 58.3 % pasa 6"; 31.5 % pasa 1"; 13.1 % pasa #4; 2.49 % pasa #200; Cu 33.0 y Cc 2.5 (calculados por el informe con material &lt;3"); GW-GM; humedad en blanco. Calculado aquí (log-lineal, curva completa): D10≈2.6 mm, D50≈86 mm, D80≈288 mm</t>
        </is>
      </c>
      <c r="AA52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52" t="inlineStr">
        <is>
          <t>material &lt;1"; no declarado</t>
        </is>
      </c>
      <c r="AC52" t="n">
        <v>25.4</v>
      </c>
      <c r="AD52" t="inlineStr">
        <is>
          <t>146.5 / 100 / 100</t>
        </is>
      </c>
      <c r="AE52" t="inlineStr">
        <is>
          <t>266.7 / 203.2 / 203.2</t>
        </is>
      </c>
      <c r="AF52" t="inlineStr">
        <is>
          <t>5.8 / 3.9 / 3.9</t>
        </is>
      </c>
      <c r="AG52" t="inlineStr">
        <is>
          <t>Sin tabla: solo curva 'INICIAL 0.15m' (Fig. 3 p6 hornfels; Fig. 4 p7 mármol, idénticas). Leída de la figura: 100 % pasa 25.4 mm, ≈72 % 9.5 mm, ≈51 % 4.76 mm, ≈32 % 2 mm, ≈9 % 0.15 mm; D10≈0.19, D30≈1.7, D50≈4.6, D60≈6.4 mm; Cu≈34</t>
        </is>
      </c>
      <c r="AH52" t="inlineStr">
        <is>
          <t>Hojas USC: 'Moist Tamping' con w=5 %. Texto p15: 'preparada en estado seco con densidad 2.2 t/m³, equivalente a IDIEM corregida por tamaño (Dorador et al. 2018)' — contradice la hoja</t>
        </is>
      </c>
      <c r="AI52" t="inlineStr">
        <is>
          <t>21.46 (las 3)</t>
        </is>
      </c>
      <c r="AJ52" t="inlineStr">
        <is>
          <t>5.00</t>
        </is>
      </c>
      <c r="AK52" t="inlineStr">
        <is>
          <t>2.71</t>
        </is>
      </c>
      <c r="AL52" t="inlineStr">
        <is>
          <t>'Estimated Specific Gravity' USC en la hoja 6" (p373); las de 4" no traen Gs</t>
        </is>
      </c>
      <c r="AM52" t="inlineStr">
        <is>
          <t>0.239</t>
        </is>
      </c>
      <c r="AN52" t="inlineStr">
        <is>
          <t>CO2 + agua desaireada; B = 0.95 (LCTX2), 0.97 (CTX1), 0.96 (CTX4)</t>
        </is>
      </c>
      <c r="AO52" t="inlineStr">
        <is>
          <t>≈444–451 (presión de poros inicial, p361/p367/p373)</t>
        </is>
      </c>
      <c r="AP52" t="inlineStr">
        <is>
          <t>Isotrópica σ'c = 350 kPa</t>
        </is>
      </c>
      <c r="AQ52" t="inlineStr">
        <is>
          <t>no informado</t>
        </is>
      </c>
      <c r="AR52" t="inlineStr">
        <is>
          <t>Drenado (cíclico y post-cíclico)</t>
        </is>
      </c>
      <c r="AS52" t="inlineStr">
        <is>
          <t>cíclico: 19.4–20.2 kPa/min; post-cíclico 5.00 %/h = 0.083 %/min</t>
        </is>
      </c>
      <c r="AT52" t="inlineStr">
        <is>
          <t>20.00 / 1.68 / 7.37 (Max. Axial Strain de las hojas)</t>
        </is>
      </c>
      <c r="AU52" t="inlineStr">
        <is>
          <t>'Max. Principal Stress Difference' (hoja USC)</t>
        </is>
      </c>
      <c r="AV52" t="inlineStr">
        <is>
          <t>LCTX2: no (máx. = valor a 20 %). CTX1 y CTX4: ensayo post-cíclico detenido a 1.68 % y 7.37 %: el 'máximo' es el último punto, no falla</t>
        </is>
      </c>
      <c r="AW52" t="inlineStr">
        <is>
          <t>no (gráficos)</t>
        </is>
      </c>
      <c r="AX52" t="inlineStr"/>
      <c r="AY52" t="inlineStr">
        <is>
          <t>Un único Bg = 8 para los 3 cíclicos (Tabla 7 p41); no verificable</t>
        </is>
      </c>
      <c r="AZ52" t="inlineStr">
        <is>
          <t>(1) Golder 2021a, CQA Antamina, ASTM D7012 Método C: muestra M-001/M-01: 66.0 y 64.5 MPa (prom. 65.3), M-001/M-02: 65.1 y 62.5 MPa (prom. 63.8); núcleos 74–74.6 mm, L/D 1.9 (p49, p51); la Tabla 1 (p7) los resume como 65 y 64 MPa (la carga de M-2, 27,259 kg, es errata: el promedio de la hoja es 28,258.5 kg). (2) IDIEM 1.555.677-D (15/06/2022), ASTM D7012-14e1, 3 núcleos de 54 mm del lote 'H6 HORNFEL GRIS' enviado a IDIEM: 26.3, 40.8 y 24.5 MPa (corregidos a D50; 25.9, 40.2, 24.1 a D54); ρd de roca 2.66, 2.71, 2.69 g/cm³; falla 'Mixta (Tipo B2)'; vetillas de calcita (p72, p74, p76). El texto del memo solo cita (1)</t>
        </is>
      </c>
      <c r="BA52" t="inlineStr">
        <is>
          <t>no informado</t>
        </is>
      </c>
      <c r="BB52" t="inlineStr">
        <is>
          <t>15.5 (M-01) y 17.3 (M-02); prom. 16.4. ASTM C535, gradación 2, 1000 rev. (p48, p50). El texto (p38) dice 'promedio de 17 %'</t>
        </is>
      </c>
      <c r="BC52" t="inlineStr">
        <is>
          <t>no informado</t>
        </is>
      </c>
      <c r="BD52" t="inlineStr">
        <is>
          <t>no informado</t>
        </is>
      </c>
      <c r="BE52" t="inlineStr">
        <is>
          <t>10;15;28–29;41;361–378</t>
        </is>
      </c>
      <c r="BF52" t="inlineStr"/>
      <c r="BG52" t="inlineStr">
        <is>
          <t>Triaxial cíclico drenado (compresión-extensión) + carga monótona drenada post-cíclica (USC, GDS ELDyn)</t>
        </is>
      </c>
      <c r="BH52" t="inlineStr">
        <is>
          <t>3 (HR-LCTX2 6" CSR 0.38; HR-CTX1 4" CSR 0.33; HR-CTX4 4" CSR 0.20)</t>
        </is>
      </c>
      <c r="BI52" t="inlineStr">
        <is>
          <t>0.239</t>
        </is>
      </c>
      <c r="BJ52" t="inlineStr">
        <is>
          <t>Gs 2.75 → 0.257; e tras consolidación (HR-LCTX2) 0.19 (p373)</t>
        </is>
      </c>
      <c r="BK52" t="inlineStr">
        <is>
          <t>sí</t>
        </is>
      </c>
      <c r="BL52" t="inlineStr">
        <is>
          <t>CSR de las hojas (0.38, 0.33, 0.20) no coincide con Tabla 3 (0.50, 0.40, 0.33) ni con los diámetros. HR-CTX1 y HR-CTX4 tienen masas idénticas (3665.03/3490.50 g): no son mediciones independientes.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</row>
    <row r="53">
      <c r="A53" t="inlineStr">
        <is>
          <t>W2022|HF-edo-0.24m-1.8</t>
        </is>
      </c>
      <c r="B53" t="inlineStr">
        <is>
          <t>W2022</t>
        </is>
      </c>
      <c r="C53" t="inlineStr">
        <is>
          <t>HF-edo-0.24m-1.8</t>
        </is>
      </c>
      <c r="D53" t="inlineStr">
        <is>
          <t>Hornfels</t>
        </is>
      </c>
      <c r="E53" t="inlineStr">
        <is>
          <t>hornfels gris (H6), Tajo Fase 8; vetillas de calcita en núcleos UCS</t>
        </is>
      </c>
      <c r="F53" t="inlineStr"/>
      <c r="G53" t="inlineStr">
        <is>
          <t>Enrocado</t>
        </is>
      </c>
      <c r="H53" t="inlineStr">
        <is>
          <t>textual</t>
        </is>
      </c>
      <c r="I53" t="n">
        <v>0</v>
      </c>
      <c r="J53" t="inlineStr">
        <is>
          <t>media (240–305 mm)</t>
        </is>
      </c>
      <c r="K53" t="n">
        <v>1</v>
      </c>
      <c r="L53" t="inlineStr">
        <is>
          <t>Edómetro</t>
        </is>
      </c>
      <c r="M53" t="inlineStr"/>
      <c r="N53" t="inlineStr"/>
      <c r="O53" t="n">
        <v>25.4</v>
      </c>
      <c r="P53" t="inlineStr"/>
      <c r="Q53" t="inlineStr"/>
      <c r="R53" t="inlineStr"/>
      <c r="S53" t="inlineStr"/>
      <c r="T53" t="inlineStr"/>
      <c r="U53" t="inlineStr"/>
      <c r="V53" t="inlineStr">
        <is>
          <t>2022_WSP_Pruebas de enrocado 3B a Gran Escala Hornfels para Deformacion.pdf</t>
        </is>
      </c>
      <c r="W53" t="inlineStr">
        <is>
          <t>Tajo Mina, Fase 8 / Norte, Pala 11, polígono 8-NP-4193-46-03, cota 4193 m s.n.m.; macro-granulometría M-001 muestreada 23/10/2020 por W. Paz (p47). Muestras UCS/LA M-001: 'Tajo Mina - Fase 8', lugar 'Acopio punto F / M-01 y M-02', 31/10/2020 (p48–p51). Texto: del Tajo al Acopio G (p4). Lote IDIEM 'H6 HORNFEL GRIS': fecha y lugar de muestreo '----', recibido 12/04/2021 (p59, p231). 39 t enviadas a IDIEM (&lt;7"), 200 kg a Golder y USC (&lt;1") (p5–p6)</t>
        </is>
      </c>
      <c r="X53" t="inlineStr">
        <is>
          <t>C: rótulo manuscrito 'MATERIAL TIPO C – HORNFELS GRIS – TAJO MINA FASE 8' en fotos de probetas UCS/LA (p8, p48–p51). Material de enrocado 3B para recrecimiento de la presa (p3)</t>
        </is>
      </c>
      <c r="Y53" t="inlineStr">
        <is>
          <t>entre 406 y 914</t>
        </is>
      </c>
      <c r="Z53" t="inlineStr">
        <is>
          <t>Macro-granulometría M-001 (ASTM D5519/D6913, p47): 100 % pasa 36" (914 mm); 88.2 % pasa 16"; 58.3 % pasa 6"; 31.5 % pasa 1"; 13.1 % pasa #4; 2.49 % pasa #200; Cu 33.0 y Cc 2.5 (calculados por el informe con material &lt;3"); GW-GM; humedad en blanco. Calculado aquí (log-lineal, curva completa): D10≈2.6 mm, D50≈86 mm, D80≈288 mm</t>
        </is>
      </c>
      <c r="AA53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53" t="inlineStr">
        <is>
          <t>material &lt;1"; densidad corregida por tamaño según Dorador et al. (2018) (p32)</t>
        </is>
      </c>
      <c r="AC53" t="n">
        <v>25.4</v>
      </c>
      <c r="AD53" t="inlineStr">
        <is>
          <t>240</t>
        </is>
      </c>
      <c r="AE53" t="inlineStr">
        <is>
          <t>≈200</t>
        </is>
      </c>
      <c r="AF53" t="inlineStr">
        <is>
          <t>9.4</t>
        </is>
      </c>
      <c r="AG53" t="inlineStr">
        <is>
          <t>Sin tabla: solo curva 'INICIAL 0.15m' (Fig. 3 p6 hornfels; Fig. 4 p7 mármol, idénticas). Leída de la figura: 100 % pasa 25.4 mm, ≈72 % 9.5 mm, ≈51 % 4.76 mm, ≈32 % 2 mm, ≈9 % 0.15 mm; D10≈0.19, D30≈1.7, D50≈4.6, D60≈6.4 mm; Cu≈34</t>
        </is>
      </c>
      <c r="AH53" t="inlineStr">
        <is>
          <t>Pistón de compactación estándar, en capas ('de 0.3 m', errata para 0.20 m de altura) (p32). Densidad menor, ≈92 % Proctor estándar estimado (p31–p32)</t>
        </is>
      </c>
      <c r="AI53" t="inlineStr">
        <is>
          <t>17.66</t>
        </is>
      </c>
      <c r="AJ53" t="inlineStr">
        <is>
          <t>no informado</t>
        </is>
      </c>
      <c r="AK53" t="inlineStr">
        <is>
          <t>no informado</t>
        </is>
      </c>
      <c r="AL53" t="inlineStr">
        <is>
          <t>no informado (no hay hoja del ensayo)</t>
        </is>
      </c>
      <c r="AM53" t="inlineStr">
        <is>
          <t>no calculable sin Gs</t>
        </is>
      </c>
      <c r="AN53" t="inlineStr">
        <is>
          <t>no informado (el 0.24 m no mide permeabilidad, p37)</t>
        </is>
      </c>
      <c r="AO53" t="inlineStr">
        <is>
          <t>no aplica</t>
        </is>
      </c>
      <c r="AP53" t="inlineStr">
        <is>
          <t>hasta 4.8 MPa (p32)</t>
        </is>
      </c>
      <c r="AQ53" t="inlineStr">
        <is>
          <t>no informado</t>
        </is>
      </c>
      <c r="AR53" t="inlineStr">
        <is>
          <t>no aplica</t>
        </is>
      </c>
      <c r="AS53" t="inlineStr">
        <is>
          <t>no aplica</t>
        </is>
      </c>
      <c r="AT53" t="inlineStr">
        <is>
          <t>≈17 % a 4.8 MPa (texto p32)</t>
        </is>
      </c>
      <c r="AU53" t="inlineStr">
        <is>
          <t>no aplica</t>
        </is>
      </c>
      <c r="AV53" t="inlineStr">
        <is>
          <t>no aplica</t>
        </is>
      </c>
      <c r="AW53" t="inlineStr">
        <is>
          <t>no: solo gráfico (Fig. 33d); la curva del CSV de edómetros es digitalizada</t>
        </is>
      </c>
      <c r="AX53" t="inlineStr"/>
      <c r="AY53" t="inlineStr">
        <is>
          <t>Bg 8; granulometría post solo en Fig. 35; no verificable</t>
        </is>
      </c>
      <c r="AZ53" t="inlineStr">
        <is>
          <t>(1) Golder 2021a, CQA Antamina, ASTM D7012 Método C: muestra M-001/M-01: 66.0 y 64.5 MPa (prom. 65.3), M-001/M-02: 65.1 y 62.5 MPa (prom. 63.8); núcleos 74–74.6 mm, L/D 1.9 (p49, p51); la Tabla 1 (p7) los resume como 65 y 64 MPa (la carga de M-2, 27,259 kg, es errata: el promedio de la hoja es 28,258.5 kg). (2) IDIEM 1.555.677-D (15/06/2022), ASTM D7012-14e1, 3 núcleos de 54 mm del lote 'H6 HORNFEL GRIS' enviado a IDIEM: 26.3, 40.8 y 24.5 MPa (corregidos a D50; 25.9, 40.2, 24.1 a D54); ρd de roca 2.66, 2.71, 2.69 g/cm³; falla 'Mixta (Tipo B2)'; vetillas de calcita (p72, p74, p76). El texto del memo solo cita (1)</t>
        </is>
      </c>
      <c r="BA53" t="inlineStr">
        <is>
          <t>no informado</t>
        </is>
      </c>
      <c r="BB53" t="inlineStr">
        <is>
          <t>15.5 (M-01) y 17.3 (M-02); prom. 16.4. ASTM C535, gradación 2, 1000 rev. (p48, p50). El texto (p38) dice 'promedio de 17 %'</t>
        </is>
      </c>
      <c r="BC53" t="inlineStr">
        <is>
          <t>no informado</t>
        </is>
      </c>
      <c r="BD53" t="inlineStr">
        <is>
          <t>no informado</t>
        </is>
      </c>
      <c r="BE53" t="inlineStr">
        <is>
          <t>31–35;41</t>
        </is>
      </c>
      <c r="BF53" t="inlineStr"/>
      <c r="BG53" t="inlineStr">
        <is>
          <t>Edómetro Ø0.24 m (Golder Burnaby) – Probeta 3</t>
        </is>
      </c>
      <c r="BH53" t="inlineStr">
        <is>
          <t>1</t>
        </is>
      </c>
      <c r="BI53" t="inlineStr">
        <is>
          <t>(vacío)</t>
        </is>
      </c>
      <c r="BJ53" t="inlineStr">
        <is>
          <t>Gs 2.75 → 0.528</t>
        </is>
      </c>
      <c r="BK53" t="inlineStr">
        <is>
          <t>sí (texto y figura)</t>
        </is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W2022|HF-edo-0.24m-2.1</t>
        </is>
      </c>
      <c r="B54" t="inlineStr">
        <is>
          <t>W2022</t>
        </is>
      </c>
      <c r="C54" t="inlineStr">
        <is>
          <t>HF-edo-0.24m-2.1</t>
        </is>
      </c>
      <c r="D54" t="inlineStr">
        <is>
          <t>Hornfels</t>
        </is>
      </c>
      <c r="E54" t="inlineStr">
        <is>
          <t>hornfels gris (H6), Tajo Fase 8; vetillas de calcita en núcleos UCS</t>
        </is>
      </c>
      <c r="F54" t="inlineStr"/>
      <c r="G54" t="inlineStr">
        <is>
          <t>Enrocado</t>
        </is>
      </c>
      <c r="H54" t="inlineStr">
        <is>
          <t>textual</t>
        </is>
      </c>
      <c r="I54" t="n">
        <v>0</v>
      </c>
      <c r="J54" t="inlineStr">
        <is>
          <t>media (240–305 mm)</t>
        </is>
      </c>
      <c r="K54" t="n">
        <v>1</v>
      </c>
      <c r="L54" t="inlineStr">
        <is>
          <t>Edómetro</t>
        </is>
      </c>
      <c r="M54" t="inlineStr"/>
      <c r="N54" t="inlineStr"/>
      <c r="O54" t="n">
        <v>25.4</v>
      </c>
      <c r="P54" t="inlineStr"/>
      <c r="Q54" t="inlineStr"/>
      <c r="R54" t="inlineStr"/>
      <c r="S54" t="inlineStr"/>
      <c r="T54" t="inlineStr"/>
      <c r="U54" t="inlineStr"/>
      <c r="V54" t="inlineStr">
        <is>
          <t>2022_WSP_Pruebas de enrocado 3B a Gran Escala Hornfels para Deformacion.pdf</t>
        </is>
      </c>
      <c r="W54" t="inlineStr">
        <is>
          <t>Tajo Mina, Fase 8 / Norte, Pala 11, polígono 8-NP-4193-46-03, cota 4193 m s.n.m.; macro-granulometría M-001 muestreada 23/10/2020 por W. Paz (p47). Muestras UCS/LA M-001: 'Tajo Mina - Fase 8', lugar 'Acopio punto F / M-01 y M-02', 31/10/2020 (p48–p51). Texto: del Tajo al Acopio G (p4). Lote IDIEM 'H6 HORNFEL GRIS': fecha y lugar de muestreo '----', recibido 12/04/2021 (p59, p231). 39 t enviadas a IDIEM (&lt;7"), 200 kg a Golder y USC (&lt;1") (p5–p6)</t>
        </is>
      </c>
      <c r="X54" t="inlineStr">
        <is>
          <t>C: rótulo manuscrito 'MATERIAL TIPO C – HORNFELS GRIS – TAJO MINA FASE 8' en fotos de probetas UCS/LA (p8, p48–p51). Material de enrocado 3B para recrecimiento de la presa (p3)</t>
        </is>
      </c>
      <c r="Y54" t="inlineStr">
        <is>
          <t>entre 406 y 914</t>
        </is>
      </c>
      <c r="Z54" t="inlineStr">
        <is>
          <t>Macro-granulometría M-001 (ASTM D5519/D6913, p47): 100 % pasa 36" (914 mm); 88.2 % pasa 16"; 58.3 % pasa 6"; 31.5 % pasa 1"; 13.1 % pasa #4; 2.49 % pasa #200; Cu 33.0 y Cc 2.5 (calculados por el informe con material &lt;3"); GW-GM; humedad en blanco. Calculado aquí (log-lineal, curva completa): D10≈2.6 mm, D50≈86 mm, D80≈288 mm</t>
        </is>
      </c>
      <c r="AA54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54" t="inlineStr">
        <is>
          <t>material &lt;1"; densidad corregida por tamaño según Dorador et al. (2018) (p32)</t>
        </is>
      </c>
      <c r="AC54" t="n">
        <v>25.4</v>
      </c>
      <c r="AD54" t="inlineStr">
        <is>
          <t>240</t>
        </is>
      </c>
      <c r="AE54" t="inlineStr">
        <is>
          <t>≈200</t>
        </is>
      </c>
      <c r="AF54" t="inlineStr">
        <is>
          <t>9.4</t>
        </is>
      </c>
      <c r="AG54" t="inlineStr">
        <is>
          <t>Sin tabla: solo curva 'INICIAL 0.15m' (Fig. 3 p6 hornfels; Fig. 4 p7 mármol, idénticas). Leída de la figura: 100 % pasa 25.4 mm, ≈72 % 9.5 mm, ≈51 % 4.76 mm, ≈32 % 2 mm, ≈9 % 0.15 mm; D10≈0.19, D30≈1.7, D50≈4.6, D60≈6.4 mm; Cu≈34</t>
        </is>
      </c>
      <c r="AH54" t="inlineStr">
        <is>
          <t>Pistón de compactación estándar, en capas ('de 0.3 m', errata para 0.20 m de altura) (p32). Objetivo 2.3 t/m³ (densidad especificada corregida) no alcanzable: se compactó a 2.1 t/m³ (≈97 % Proctor) (p31 nota 4, p32)</t>
        </is>
      </c>
      <c r="AI54" t="inlineStr">
        <is>
          <t>20.60</t>
        </is>
      </c>
      <c r="AJ54" t="inlineStr">
        <is>
          <t>no informado</t>
        </is>
      </c>
      <c r="AK54" t="inlineStr">
        <is>
          <t>no informado</t>
        </is>
      </c>
      <c r="AL54" t="inlineStr">
        <is>
          <t>no informado (no hay hoja del ensayo)</t>
        </is>
      </c>
      <c r="AM54" t="inlineStr">
        <is>
          <t>no calculable sin Gs</t>
        </is>
      </c>
      <c r="AN54" t="inlineStr">
        <is>
          <t>no informado (el 0.24 m no mide permeabilidad, p37)</t>
        </is>
      </c>
      <c r="AO54" t="inlineStr">
        <is>
          <t>no aplica</t>
        </is>
      </c>
      <c r="AP54" t="inlineStr">
        <is>
          <t>hasta 4.8 MPa (p32)</t>
        </is>
      </c>
      <c r="AQ54" t="inlineStr">
        <is>
          <t>no informado</t>
        </is>
      </c>
      <c r="AR54" t="inlineStr">
        <is>
          <t>no aplica</t>
        </is>
      </c>
      <c r="AS54" t="inlineStr">
        <is>
          <t>no aplica</t>
        </is>
      </c>
      <c r="AT54" t="inlineStr">
        <is>
          <t>≈6 % a 4.8 MPa (texto p32)</t>
        </is>
      </c>
      <c r="AU54" t="inlineStr">
        <is>
          <t>no aplica</t>
        </is>
      </c>
      <c r="AV54" t="inlineStr">
        <is>
          <t>no aplica</t>
        </is>
      </c>
      <c r="AW54" t="inlineStr">
        <is>
          <t>no: solo gráfico (Fig. 33c); la curva del CSV de edómetros es digitalizada</t>
        </is>
      </c>
      <c r="AX54" t="inlineStr"/>
      <c r="AY54" t="inlineStr">
        <is>
          <t>Bg 12 (Tabla 7 la rotula 2.3 t/m³; Tabla 4 y texto dicen 2.1); granulometría post solo en Fig. 35; no verificable</t>
        </is>
      </c>
      <c r="AZ54" t="inlineStr">
        <is>
          <t>(1) Golder 2021a, CQA Antamina, ASTM D7012 Método C: muestra M-001/M-01: 66.0 y 64.5 MPa (prom. 65.3), M-001/M-02: 65.1 y 62.5 MPa (prom. 63.8); núcleos 74–74.6 mm, L/D 1.9 (p49, p51); la Tabla 1 (p7) los resume como 65 y 64 MPa (la carga de M-2, 27,259 kg, es errata: el promedio de la hoja es 28,258.5 kg). (2) IDIEM 1.555.677-D (15/06/2022), ASTM D7012-14e1, 3 núcleos de 54 mm del lote 'H6 HORNFEL GRIS' enviado a IDIEM: 26.3, 40.8 y 24.5 MPa (corregidos a D50; 25.9, 40.2, 24.1 a D54); ρd de roca 2.66, 2.71, 2.69 g/cm³; falla 'Mixta (Tipo B2)'; vetillas de calcita (p72, p74, p76). El texto del memo solo cita (1)</t>
        </is>
      </c>
      <c r="BA54" t="inlineStr">
        <is>
          <t>no informado</t>
        </is>
      </c>
      <c r="BB54" t="inlineStr">
        <is>
          <t>15.5 (M-01) y 17.3 (M-02); prom. 16.4. ASTM C535, gradación 2, 1000 rev. (p48, p50). El texto (p38) dice 'promedio de 17 %'</t>
        </is>
      </c>
      <c r="BC54" t="inlineStr">
        <is>
          <t>no informado</t>
        </is>
      </c>
      <c r="BD54" t="inlineStr">
        <is>
          <t>no informado</t>
        </is>
      </c>
      <c r="BE54" t="inlineStr">
        <is>
          <t>31–35;41</t>
        </is>
      </c>
      <c r="BF54" t="inlineStr"/>
      <c r="BG54" t="inlineStr">
        <is>
          <t>Edómetro Ø0.24 m (Golder Burnaby) – Probeta 2</t>
        </is>
      </c>
      <c r="BH54" t="inlineStr">
        <is>
          <t>1</t>
        </is>
      </c>
      <c r="BI54" t="inlineStr">
        <is>
          <t>(vacío)</t>
        </is>
      </c>
      <c r="BJ54" t="inlineStr">
        <is>
          <t>Gs 2.75 → 0.310</t>
        </is>
      </c>
      <c r="BK54" t="inlineStr">
        <is>
          <t>sí (texto y figura)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W2022|HF-edo-1.0m</t>
        </is>
      </c>
      <c r="B55" t="inlineStr">
        <is>
          <t>W2022</t>
        </is>
      </c>
      <c r="C55" t="inlineStr">
        <is>
          <t>HF-edo-1.0m</t>
        </is>
      </c>
      <c r="D55" t="inlineStr">
        <is>
          <t>Hornfels</t>
        </is>
      </c>
      <c r="E55" t="inlineStr">
        <is>
          <t>hornfels gris (H6), Tajo Fase 8; vetillas de calcita en núcleos UCS</t>
        </is>
      </c>
      <c r="F55" t="inlineStr"/>
      <c r="G55" t="inlineStr">
        <is>
          <t>Enrocado</t>
        </is>
      </c>
      <c r="H55" t="inlineStr">
        <is>
          <t>textual</t>
        </is>
      </c>
      <c r="I55" t="n">
        <v>0</v>
      </c>
      <c r="J55" t="inlineStr">
        <is>
          <t>1.0 m</t>
        </is>
      </c>
      <c r="K55" t="n">
        <v>1</v>
      </c>
      <c r="L55" t="inlineStr">
        <is>
          <t>Edómetro</t>
        </is>
      </c>
      <c r="M55" t="inlineStr"/>
      <c r="N55" t="inlineStr"/>
      <c r="O55" t="n">
        <v>177.8</v>
      </c>
      <c r="P55" t="n">
        <v>28</v>
      </c>
      <c r="Q55" t="n">
        <v>13.4</v>
      </c>
      <c r="R55" t="n">
        <v>2.6</v>
      </c>
      <c r="S55" t="n">
        <v>2.6</v>
      </c>
      <c r="T55" t="n">
        <v>0.3094230769230768</v>
      </c>
      <c r="U55" t="inlineStr"/>
      <c r="V55" t="inlineStr">
        <is>
          <t>2022_WSP_Pruebas de enrocado 3B a Gran Escala Hornfels para Deformacion.pdf</t>
        </is>
      </c>
      <c r="W55" t="inlineStr">
        <is>
          <t>Tajo Mina, Fase 8 / Norte, Pala 11, polígono 8-NP-4193-46-03, cota 4193 m s.n.m.; macro-granulometría M-001 muestreada 23/10/2020 por W. Paz (p47). Muestras UCS/LA M-001: 'Tajo Mina - Fase 8', lugar 'Acopio punto F / M-01 y M-02', 31/10/2020 (p48–p51). Texto: del Tajo al Acopio G (p4). Lote IDIEM 'H6 HORNFEL GRIS': fecha y lugar de muestreo '----', recibido 12/04/2021 (p59, p231). 39 t enviadas a IDIEM (&lt;7"), 200 kg a Golder y USC (&lt;1") (p5–p6)</t>
        </is>
      </c>
      <c r="X55" t="inlineStr">
        <is>
          <t>C: rótulo manuscrito 'MATERIAL TIPO C – HORNFELS GRIS – TAJO MINA FASE 8' en fotos de probetas UCS/LA (p8, p48–p51). Material de enrocado 3B para recrecimiento de la presa (p3)</t>
        </is>
      </c>
      <c r="Y55" t="inlineStr">
        <is>
          <t>entre 406 y 914</t>
        </is>
      </c>
      <c r="Z55" t="inlineStr">
        <is>
          <t>Macro-granulometría M-001 (ASTM D5519/D6913, p47): 100 % pasa 36" (914 mm); 88.2 % pasa 16"; 58.3 % pasa 6"; 31.5 % pasa 1"; 13.1 % pasa #4; 2.49 % pasa #200; Cu 33.0 y Cc 2.5 (calculados por el informe con material &lt;3"); GW-GM; humedad en blanco. Calculado aquí (log-lineal, curva completa): D10≈2.6 mm, D50≈86 mm, D80≈288 mm</t>
        </is>
      </c>
      <c r="AA55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55" t="inlineStr">
        <is>
          <t>no declarado</t>
        </is>
      </c>
      <c r="AC55" t="n">
        <v>177.8</v>
      </c>
      <c r="AD55" t="inlineStr">
        <is>
          <t>1000 (área 7853.98 cm²)</t>
        </is>
      </c>
      <c r="AE55" t="inlineStr">
        <is>
          <t>700 (hoja p300; p4 dice 0.9 m)</t>
        </is>
      </c>
      <c r="AF55" t="inlineStr">
        <is>
          <t>5.6</t>
        </is>
      </c>
      <c r="AG55" t="inlineStr">
        <is>
          <t>IDIEM inicial (p62, ASTM D422): 100 % pasa 177.8 mm; D10 2.61, D30 13.3, D50 28.0, D60 35.0 mm; Cu 13.4, Cc 1.94 (recalculados log-lineal; el informe no los da); grava 87.3, arena 10.1, finos 2.6 %</t>
        </is>
      </c>
      <c r="AH55" t="inlineStr">
        <is>
          <t>Capas de 0.3 m con pisón vibratorio pequeño a 2.1 t/m³ (p32); muestra remoldeada, método B (p300)</t>
        </is>
      </c>
      <c r="AI55" t="inlineStr">
        <is>
          <t>20.60 (2.100 g/cm³)</t>
        </is>
      </c>
      <c r="AJ55" t="inlineStr">
        <is>
          <t>1.69</t>
        </is>
      </c>
      <c r="AK55" t="inlineStr">
        <is>
          <t>2.60</t>
        </is>
      </c>
      <c r="AL55" t="inlineStr">
        <is>
          <t>'Peso específico estimado, para cálculo de parámetros entregados' (IDIEM p300, nota 3). No ensayado. Incompatible con ρd de núcleos del mismo lote 2.66–2.71 g/cm³</t>
        </is>
      </c>
      <c r="AM55" t="inlineStr">
        <is>
          <t>0.238</t>
        </is>
      </c>
      <c r="AN55" t="inlineStr">
        <is>
          <t>Inundada a la carga de asiento (texto p32: 18 kPa); '(*) lectura después de saturar' (p300)</t>
        </is>
      </c>
      <c r="AO55" t="inlineStr">
        <is>
          <t>no aplica</t>
        </is>
      </c>
      <c r="AP55" t="inlineStr">
        <is>
          <t>Carga vertical hasta 70 kg/cm² (6865 kPa), con descarga-recarga a 60 kg/cm²; escalones de 2 kg/cm²; 8–48 h por escalón (p32)</t>
        </is>
      </c>
      <c r="AQ55" t="inlineStr">
        <is>
          <t>final 2.205 g/cm³ húmedo (no seco); e final 0.179 (p300)</t>
        </is>
      </c>
      <c r="AR55" t="inlineStr">
        <is>
          <t>no aplica</t>
        </is>
      </c>
      <c r="AS55" t="inlineStr">
        <is>
          <t>no aplica</t>
        </is>
      </c>
      <c r="AT55" t="inlineStr">
        <is>
          <t>5.014 a 70 kg/cm²; 4.743 tras descarga</t>
        </is>
      </c>
      <c r="AU55" t="inlineStr">
        <is>
          <t>no aplica</t>
        </is>
      </c>
      <c r="AV55" t="inlineStr">
        <is>
          <t>no aplica</t>
        </is>
      </c>
      <c r="AW55" t="inlineStr">
        <is>
          <t>sí (σv, εv, e; p300–p302; 69 filas comprobadas contra WSP_2022_edometro.csv)</t>
        </is>
      </c>
      <c r="AX55" t="inlineStr"/>
      <c r="AY55" t="inlineStr">
        <is>
          <t>Marsal (1967): suma de diferencias positivas de % retenido por fracción, antes y después; tamices 7" a #200 (18 tamices) + fondo; Bg 23 (Tabla 7; recalculado 23.0, p62)</t>
        </is>
      </c>
      <c r="AZ55" t="inlineStr">
        <is>
          <t>(1) Golder 2021a, CQA Antamina, ASTM D7012 Método C: muestra M-001/M-01: 66.0 y 64.5 MPa (prom. 65.3), M-001/M-02: 65.1 y 62.5 MPa (prom. 63.8); núcleos 74–74.6 mm, L/D 1.9 (p49, p51); la Tabla 1 (p7) los resume como 65 y 64 MPa (la carga de M-2, 27,259 kg, es errata: el promedio de la hoja es 28,258.5 kg). (2) IDIEM 1.555.677-D (15/06/2022), ASTM D7012-14e1, 3 núcleos de 54 mm del lote 'H6 HORNFEL GRIS' enviado a IDIEM: 26.3, 40.8 y 24.5 MPa (corregidos a D50; 25.9, 40.2, 24.1 a D54); ρd de roca 2.66, 2.71, 2.69 g/cm³; falla 'Mixta (Tipo B2)'; vetillas de calcita (p72, p74, p76). El texto del memo solo cita (1)</t>
        </is>
      </c>
      <c r="BA55" t="inlineStr">
        <is>
          <t>no informado</t>
        </is>
      </c>
      <c r="BB55" t="inlineStr">
        <is>
          <t>15.5 (M-01) y 17.3 (M-02); prom. 16.4. ASTM C535, gradación 2, 1000 rev. (p48, p50). El texto (p38) dice 'promedio de 17 %'</t>
        </is>
      </c>
      <c r="BC55" t="inlineStr">
        <is>
          <t>no informado</t>
        </is>
      </c>
      <c r="BD55" t="inlineStr">
        <is>
          <t>no informado</t>
        </is>
      </c>
      <c r="BE55" t="inlineStr">
        <is>
          <t>32;35;37;41;62;298–302</t>
        </is>
      </c>
      <c r="BF55" t="inlineStr"/>
      <c r="BG55" t="inlineStr">
        <is>
          <t>Edómetro Ø1.0 m (IDIEM 1.555.677-B.1; encabezado de hoja 1.555.677-A), con permeabilidad de carga constante</t>
        </is>
      </c>
      <c r="BH55" t="inlineStr">
        <is>
          <t>1</t>
        </is>
      </c>
      <c r="BI55" t="inlineStr">
        <is>
          <t>0.238</t>
        </is>
      </c>
      <c r="BJ55" t="inlineStr">
        <is>
          <t>Gs 2.75 → 0.310; Gs 2.71 → 0.290</t>
        </is>
      </c>
      <c r="BK55" t="inlineStr">
        <is>
          <t>sí</t>
        </is>
      </c>
      <c r="BL55" t="inlineStr">
        <is>
          <t>Fecha de hoja '05-11-2022'; IDIEM p298 indica trabajos 05/11/2021–20/01/2022.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W2022|MN-0.15m-Golder</t>
        </is>
      </c>
      <c r="B56" t="inlineStr">
        <is>
          <t>W2022</t>
        </is>
      </c>
      <c r="C56" t="inlineStr">
        <is>
          <t>MN-0.15m-Golder</t>
        </is>
      </c>
      <c r="D56" t="inlineStr">
        <is>
          <t>Mármol</t>
        </is>
      </c>
      <c r="E56" t="inlineStr">
        <is>
          <t>mármol negro</t>
        </is>
      </c>
      <c r="F56" t="inlineStr"/>
      <c r="G56" t="inlineStr">
        <is>
          <t>Enrocado</t>
        </is>
      </c>
      <c r="H56" t="inlineStr">
        <is>
          <t>textual</t>
        </is>
      </c>
      <c r="I56" t="n">
        <v>0</v>
      </c>
      <c r="J56" t="inlineStr">
        <is>
          <t>6 in (≈150 mm)</t>
        </is>
      </c>
      <c r="K56" t="n">
        <v>1</v>
      </c>
      <c r="L56" t="inlineStr">
        <is>
          <t>Triaxial CD carga-descarga</t>
        </is>
      </c>
      <c r="M56" t="n">
        <v>982</v>
      </c>
      <c r="N56" t="n">
        <v>982</v>
      </c>
      <c r="O56" t="n">
        <v>25.4</v>
      </c>
      <c r="P56" t="n">
        <v>4.55</v>
      </c>
      <c r="Q56" t="n">
        <v>34</v>
      </c>
      <c r="R56" t="inlineStr"/>
      <c r="S56" t="n">
        <v>2.7</v>
      </c>
      <c r="T56" t="n">
        <v>0.3</v>
      </c>
      <c r="U56" t="inlineStr"/>
      <c r="V56" t="inlineStr">
        <is>
          <t>2022_WSP_Pruebas de enrocado 3B a Gran Escala Hornfels para Deformacion.pdf</t>
        </is>
      </c>
      <c r="W56" t="inlineStr">
        <is>
          <t>Tajo Mina, Fase 8 Sur (Pala 10, rótulo de foto), polígono 8-NP-4133-25-04, Acopio punto G; muestreado 23–24/11/2020 por A. Tabata / M. Vilela (p52–p56); texto: Acopio Punto G (p8). Lote IDIEM 'MARMOL (REG 41061)' / 'MARMOL NEGRO': recibido 12/04/2021, muestreo '----' (p59, p322). 7 t a IDIEM (&lt;7"), 200 kg a Golder y USC (&lt;1")</t>
        </is>
      </c>
      <c r="X56" t="inlineStr">
        <is>
          <t>C: rótulo 'MATERIAL TIPO C – MARMOL NEGRO (MN) – polígono 8-NP-4133-25-04 – Acopio punto G – Fase 8 Sur Pala 10' en fotos UCS/LA (p9, p53–p56)</t>
        </is>
      </c>
      <c r="Y56" t="inlineStr">
        <is>
          <t>entre 406 y 914</t>
        </is>
      </c>
      <c r="Z56" t="inlineStr">
        <is>
          <t>Macro-granulometría M-001 mármol (p52): 100 % pasa 36"; 95.1 % pasa 16"; 68.6 % pasa 6"; 29.5 % pasa 1"; 11.95 % pasa #4; 4.07 % pasa #200; Cu 113.1, Cc 7.0 (informe, mat. &lt;3"); GP-GM; humedad 4.2 %. Calculado aquí: D10≈2.6 mm, D50≈66 mm, D80≈193 mm</t>
        </is>
      </c>
      <c r="AA56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56" t="inlineStr">
        <is>
          <t>material &lt;1"; no declarado</t>
        </is>
      </c>
      <c r="AC56" t="n">
        <v>25.4</v>
      </c>
      <c r="AD56" t="inlineStr">
        <is>
          <t>151.9</t>
        </is>
      </c>
      <c r="AE56" t="inlineStr">
        <is>
          <t>330.0</t>
        </is>
      </c>
      <c r="AF56" t="inlineStr">
        <is>
          <t>6.0</t>
        </is>
      </c>
      <c r="AG56" t="inlineStr">
        <is>
          <t>Sin tabla: solo curva 'INICIAL 0.15m' (Fig. 3 p6 hornfels; Fig. 4 p7 mármol, idénticas). Leída de la figura: 100 % pasa 25.4 mm, ≈72 % 9.5 mm, ≈51 % 4.76 mm, ≈32 % 2 mm, ≈9 % 0.15 mm; D10≈0.19, D30≈1.7, D50≈4.6, D60≈6.4 mm; Cu≈34</t>
        </is>
      </c>
      <c r="AH56" t="inlineStr">
        <is>
          <t>Reconstituida, 'Saturation Method: Dry' (p357); ρmáx/ρmín índice 1": 2297 (seco) / 2398 (húmedo) / 1905 kg/m³ (p86)</t>
        </is>
      </c>
      <c r="AI56" t="inlineStr">
        <is>
          <t>20.37</t>
        </is>
      </c>
      <c r="AJ56" t="inlineStr">
        <is>
          <t>3.5</t>
        </is>
      </c>
      <c r="AK56" t="inlineStr">
        <is>
          <t>2.70</t>
        </is>
      </c>
      <c r="AL56" t="inlineStr">
        <is>
          <t>Hoja Golder 'calculated' (p354, p357); no ensayado; &lt; ρd núcleos REG 41061</t>
        </is>
      </c>
      <c r="AM56" t="inlineStr">
        <is>
          <t>0.300</t>
        </is>
      </c>
      <c r="AN56" t="inlineStr">
        <is>
          <t>B = 0.99 (p357)</t>
        </is>
      </c>
      <c r="AO56" t="inlineStr">
        <is>
          <t>1104 (σpwp)</t>
        </is>
      </c>
      <c r="AP56" t="inlineStr">
        <is>
          <t>Isotrópica σ'3c 976 kPa (σcell 2081); ΔV −192.9 cc</t>
        </is>
      </c>
      <c r="AQ56" t="inlineStr">
        <is>
          <t>21.50 (ec 0.23)</t>
        </is>
      </c>
      <c r="AR56" t="inlineStr">
        <is>
          <t>Drenado</t>
        </is>
      </c>
      <c r="AS56" t="inlineStr">
        <is>
          <t>0.0167 (1.00 %/h)</t>
        </is>
      </c>
      <c r="AT56" t="inlineStr">
        <is>
          <t>≈22.4 (curva p355)</t>
        </is>
      </c>
      <c r="AU56" t="inlineStr">
        <is>
          <t>'Failure at maximum deviator stress': 3823 kPa a 18.51 %, εv −6.51 %</t>
        </is>
      </c>
      <c r="AV56" t="inlineStr">
        <is>
          <t>sí: cae después de 18.5 % (p355)</t>
        </is>
      </c>
      <c r="AW56" t="inlineStr">
        <is>
          <t>no</t>
        </is>
      </c>
      <c r="AX56" t="inlineStr"/>
      <c r="AY56" t="inlineStr">
        <is>
          <t>Bg 30 (Tabla 7); no verificable</t>
        </is>
      </c>
      <c r="AZ56" t="inlineStr">
        <is>
          <t>(1) Golder 2021a, ASTM D7012 C: M-001: 45.6 y 42.9 MPa (prom. 44.3); M-002: 42.6 y 40.5 MPa (prom. 41.5); núcleos 68.5–69 mm (p54, p56); Tabla 2 (p8): 44 y 42 MPa. (2) IDIEM 1.555.677-D, 3 núcleos 54 mm de 'REG 41061' (= lote de mármol del edómetro IDIEM 2021): 96.6, 66.9 y 103.5 MPa (D50); ρd roca 2.74–2.75 g/cm³; falla por matriz (Tipo A) (p78, p80, p82)</t>
        </is>
      </c>
      <c r="BA56" t="inlineStr">
        <is>
          <t>no informado</t>
        </is>
      </c>
      <c r="BB56" t="inlineStr">
        <is>
          <t>55.8 (M-001) y 45.2 (M-002), ASTM C535 gradación 2 (p53, p55). El texto (p38) dice 'entre 45 % y 50 %': el 55.8 % lo contradice</t>
        </is>
      </c>
      <c r="BC56" t="inlineStr">
        <is>
          <t>no informado</t>
        </is>
      </c>
      <c r="BD56" t="inlineStr">
        <is>
          <t>no informado</t>
        </is>
      </c>
      <c r="BE56" t="inlineStr">
        <is>
          <t>7;41;86;354–357</t>
        </is>
      </c>
      <c r="BF56" t="inlineStr"/>
      <c r="BG56" t="inlineStr">
        <is>
          <t>CID carga-descarga Ø6" (Golder Burnaby)</t>
        </is>
      </c>
      <c r="BH56" t="inlineStr">
        <is>
          <t>1 (σ'3c 976 kPa)</t>
        </is>
      </c>
      <c r="BI56" t="inlineStr">
        <is>
          <t>0.30</t>
        </is>
      </c>
      <c r="BJ56" t="inlineStr">
        <is>
          <t>Gs 2.75 → 0.324</t>
        </is>
      </c>
      <c r="BK56" t="inlineStr">
        <is>
          <t>sí</t>
        </is>
      </c>
      <c r="BL56" t="inlineStr">
        <is>
          <t>w post 27.4 % y Sat 319 % en la hoja: erratas. Texto (p26) da φ 45°; con la hoja φsec = 41.3°.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W2022|MN-1.0m-IDIEM-2011</t>
        </is>
      </c>
      <c r="B57" t="inlineStr">
        <is>
          <t>W2022</t>
        </is>
      </c>
      <c r="C57" t="inlineStr">
        <is>
          <t>MN-1.0m-IDIEM-2011</t>
        </is>
      </c>
      <c r="D57" t="inlineStr">
        <is>
          <t>Mármol</t>
        </is>
      </c>
      <c r="E57" t="inlineStr">
        <is>
          <t>mármol negro</t>
        </is>
      </c>
      <c r="F57" t="inlineStr"/>
      <c r="G57" t="inlineStr">
        <is>
          <t>Enrocado</t>
        </is>
      </c>
      <c r="H57" t="inlineStr">
        <is>
          <t>textual</t>
        </is>
      </c>
      <c r="I57" t="n">
        <v>0</v>
      </c>
      <c r="J57" t="inlineStr">
        <is>
          <t>1.0 m</t>
        </is>
      </c>
      <c r="K57" t="n">
        <v>5</v>
      </c>
      <c r="L57" t="inlineStr">
        <is>
          <t>Triaxial CD; Triaxial CD carga-descarga</t>
        </is>
      </c>
      <c r="M57" t="n">
        <v>490.3</v>
      </c>
      <c r="N57" t="n">
        <v>1961.3</v>
      </c>
      <c r="O57" t="n">
        <v>177.8</v>
      </c>
      <c r="P57" t="n">
        <v>39.5</v>
      </c>
      <c r="Q57" t="n">
        <v>34.4</v>
      </c>
      <c r="R57" t="n">
        <v>4.9</v>
      </c>
      <c r="S57" t="n">
        <v>2.7</v>
      </c>
      <c r="T57" t="n">
        <v>0.3121962962962963</v>
      </c>
      <c r="U57" t="n">
        <v>97.3</v>
      </c>
      <c r="V57" t="inlineStr">
        <is>
          <t>2022_WSP_Pruebas de enrocado 3B a Gran Escala Hornfels para Deformacion.pdf</t>
        </is>
      </c>
      <c r="W57" t="inlineStr">
        <is>
          <t>Ver condiciones_Golder2012.csv (registro primario): Fase 5, polígono 12022607, cota 4478; NO del Acopio G</t>
        </is>
      </c>
      <c r="X57" t="inlineStr">
        <is>
          <t>C ('Type C rockfill', Golder 2012 p1)</t>
        </is>
      </c>
      <c r="Y57" t="inlineStr">
        <is>
          <t>558.8 (Golder 2012 p2)</t>
        </is>
      </c>
      <c r="Z57" t="inlineStr">
        <is>
          <t>ver Golder 2012</t>
        </is>
      </c>
      <c r="AA57" t="inlineStr">
        <is>
          <t>no informada</t>
        </is>
      </c>
      <c r="AB57" t="inlineStr">
        <is>
          <t>truncado (scalping) a 178 mm (Golder 2012 p2); WSP no lo dice</t>
        </is>
      </c>
      <c r="AC57" t="n">
        <v>177.8</v>
      </c>
      <c r="AD57" t="inlineStr">
        <is>
          <t>1000</t>
        </is>
      </c>
      <c r="AE57" t="inlineStr">
        <is>
          <t>1800</t>
        </is>
      </c>
      <c r="AF57" t="inlineStr">
        <is>
          <t>5.6</t>
        </is>
      </c>
      <c r="AG57" t="inlineStr">
        <is>
          <t>p66 = Golder 2012 p27</t>
        </is>
      </c>
      <c r="AH57" t="inlineStr">
        <is>
          <t>ver Golder 2012</t>
        </is>
      </c>
      <c r="AI57" t="inlineStr">
        <is>
          <t>20.60</t>
        </is>
      </c>
      <c r="AJ57" t="inlineStr">
        <is>
          <t>0.09</t>
        </is>
      </c>
      <c r="AK57" t="inlineStr">
        <is>
          <t>2.70</t>
        </is>
      </c>
      <c r="AL57" t="inlineStr">
        <is>
          <t>supuesto (Golder 2012 p3, p7)</t>
        </is>
      </c>
      <c r="AM57" t="inlineStr">
        <is>
          <t>0.286</t>
        </is>
      </c>
      <c r="AN57" t="inlineStr">
        <is>
          <t>CO2 + agua, B &gt; 0.95 (Golder 2012 p7); el CSV extraído decía 'no indicado'</t>
        </is>
      </c>
      <c r="AO57" t="inlineStr">
        <is>
          <t>196 (2.00 kg/cm²)</t>
        </is>
      </c>
      <c r="AP57" t="inlineStr">
        <is>
          <t>ver Golder 2012</t>
        </is>
      </c>
      <c r="AQ57" t="inlineStr">
        <is>
          <t>21.09, 21.19, 21.58, 22.07, 22.46 (Golder 2012 Tabla 3)</t>
        </is>
      </c>
      <c r="AR57" t="inlineStr">
        <is>
          <t>Drenado</t>
        </is>
      </c>
      <c r="AS57" t="inlineStr">
        <is>
          <t>'--' (controlado por carga)</t>
        </is>
      </c>
      <c r="AT57" t="inlineStr">
        <is>
          <t>19.97 / 20.39 / 18.73 / 19.97 / 19.74</t>
        </is>
      </c>
      <c r="AU57" t="inlineStr">
        <is>
          <t>máximo t (ángulo máximo, p26)</t>
        </is>
      </c>
      <c r="AV57" t="inlineStr">
        <is>
          <t>ver Golder 2012</t>
        </is>
      </c>
      <c r="AW57" t="inlineStr">
        <is>
          <t>sí (p252–p293, idénticas a Golder 2012 p29–p70)</t>
        </is>
      </c>
      <c r="AX57" t="inlineStr"/>
      <c r="AY57" t="inlineStr">
        <is>
          <t>Marsal; Tabla 7: 13, 25, 14, 20, 28 (correcto; Golder 2012 Tabla 5 los duplica)</t>
        </is>
      </c>
      <c r="AZ57" t="inlineStr">
        <is>
          <t>Informe 379 (Golder 2011), 8 probetas M1-1…M4-2, Ø 45–45.5 mm, L/D 2.0: 540, 1110, 1080, 1310, 560, 620, 1380, 1340 kg/cm² (= 53–135 MPa; prom. 97.3 MPa) (Golder 2012 Tabla 1 p3). WSP 2022 Tabla 2 (p8) recalcula de la carga: 53, 108, 106, 129, 54, 61, 136, 132 MPa (mismos ensayos; diferencia solo de redondeo). Norma no indicada; Informe 379 no incluido</t>
        </is>
      </c>
      <c r="BA57" t="inlineStr">
        <is>
          <t>no informado</t>
        </is>
      </c>
      <c r="BB57" t="inlineStr">
        <is>
          <t>44 y 41 (2 muestras; Informe 379; Golder 2012 p17). WSP p38 lo resume como 43 %. Norma no indicada</t>
        </is>
      </c>
      <c r="BC57" t="inlineStr">
        <is>
          <t>no informado</t>
        </is>
      </c>
      <c r="BD57" t="inlineStr">
        <is>
          <t>no informado</t>
        </is>
      </c>
      <c r="BE57" t="inlineStr">
        <is>
          <t>10;41;66–67;252–293</t>
        </is>
      </c>
      <c r="BF57" t="inlineStr"/>
      <c r="BG57" t="inlineStr">
        <is>
          <t>CID monótono (2) y carga-descarga (3), IDIEM 708.397-A — DUPLICADO de Golder 2012</t>
        </is>
      </c>
      <c r="BH57" t="inlineStr">
        <is>
          <t>5</t>
        </is>
      </c>
      <c r="BI57" t="inlineStr">
        <is>
          <t>0.286</t>
        </is>
      </c>
      <c r="BJ57" t="inlineStr">
        <is>
          <t>—</t>
        </is>
      </c>
      <c r="BK57" t="inlineStr">
        <is>
          <t>sí</t>
        </is>
      </c>
      <c r="BL57" t="inlineStr">
        <is>
          <t>Registro primario: Golder 2012. No contar dos veces.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W2022|MN-USC-ciclico-350</t>
        </is>
      </c>
      <c r="B58" t="inlineStr">
        <is>
          <t>W2022</t>
        </is>
      </c>
      <c r="C58" t="inlineStr">
        <is>
          <t>MN-USC-ciclico-350</t>
        </is>
      </c>
      <c r="D58" t="inlineStr">
        <is>
          <t>Mármol</t>
        </is>
      </c>
      <c r="E58" t="inlineStr">
        <is>
          <t>mármol negro</t>
        </is>
      </c>
      <c r="F58" t="inlineStr"/>
      <c r="G58" t="inlineStr">
        <is>
          <t>Enrocado</t>
        </is>
      </c>
      <c r="H58" t="inlineStr">
        <is>
          <t>textual</t>
        </is>
      </c>
      <c r="I58" t="n">
        <v>0</v>
      </c>
      <c r="J58" t="inlineStr">
        <is>
          <t>pequeña (&lt;120 mm)</t>
        </is>
      </c>
      <c r="K58" t="n">
        <v>3</v>
      </c>
      <c r="L58" t="inlineStr">
        <is>
          <t>Triaxial cíclico + monótono post-cíclico</t>
        </is>
      </c>
      <c r="M58" t="n">
        <v>350</v>
      </c>
      <c r="N58" t="n">
        <v>350</v>
      </c>
      <c r="O58" t="n">
        <v>25.4</v>
      </c>
      <c r="P58" t="n">
        <v>4.55</v>
      </c>
      <c r="Q58" t="n">
        <v>34</v>
      </c>
      <c r="R58" t="inlineStr"/>
      <c r="S58" t="n">
        <v>2.71</v>
      </c>
      <c r="T58" t="n">
        <v>0.205</v>
      </c>
      <c r="U58" t="inlineStr"/>
      <c r="V58" t="inlineStr">
        <is>
          <t>2022_WSP_Pruebas de enrocado 3B a Gran Escala Hornfels para Deformacion.pdf</t>
        </is>
      </c>
      <c r="W58" t="inlineStr">
        <is>
          <t>Tajo Mina, Fase 8 Sur (Pala 10, rótulo de foto), polígono 8-NP-4133-25-04, Acopio punto G; muestreado 23–24/11/2020 por A. Tabata / M. Vilela (p52–p56); texto: Acopio Punto G (p8). Lote IDIEM 'MARMOL (REG 41061)' / 'MARMOL NEGRO': recibido 12/04/2021, muestreo '----' (p59, p322). 7 t a IDIEM (&lt;7"), 200 kg a Golder y USC (&lt;1")</t>
        </is>
      </c>
      <c r="X58" t="inlineStr">
        <is>
          <t>C: rótulo 'MATERIAL TIPO C – MARMOL NEGRO (MN) – polígono 8-NP-4133-25-04 – Acopio punto G – Fase 8 Sur Pala 10' en fotos UCS/LA (p9, p53–p56)</t>
        </is>
      </c>
      <c r="Y58" t="inlineStr">
        <is>
          <t>entre 406 y 914 (100 % pasa 36"; 4.9 % retenido en 16")</t>
        </is>
      </c>
      <c r="Z58" t="inlineStr">
        <is>
          <t>Macro-granulometría M-001 mármol (p52): 100 % pasa 36"; 95.1 % pasa 16"; 68.6 % pasa 6"; 29.5 % pasa 1"; 11.95 % pasa #4; 4.07 % pasa #200; Cu 113.1, Cc 7.0 (informe, mat. &lt;3"); GP-GM; humedad 4.2 %. Calculado aquí: D10≈2.6 mm, D50≈66 mm, D80≈193 mm</t>
        </is>
      </c>
      <c r="AA58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58" t="inlineStr">
        <is>
          <t>material &lt;1"; no declarado</t>
        </is>
      </c>
      <c r="AC58" t="n">
        <v>25.4</v>
      </c>
      <c r="AD58" t="inlineStr">
        <is>
          <t>100 / 146.5 / 146.5</t>
        </is>
      </c>
      <c r="AE58" t="inlineStr">
        <is>
          <t>203.2 / 266.7 / 266.7</t>
        </is>
      </c>
      <c r="AF58" t="inlineStr">
        <is>
          <t>3.9 / 5.8 / 5.8</t>
        </is>
      </c>
      <c r="AG58" t="inlineStr">
        <is>
          <t>Sin tabla: solo curva 'INICIAL 0.15m' (Fig. 3 p6 hornfels; Fig. 4 p7 mármol, idénticas). Leída de la figura: 100 % pasa 25.4 mm, ≈72 % 9.5 mm, ≈51 % 4.76 mm, ≈32 % 2 mm, ≈9 % 0.15 mm; D10≈0.19, D30≈1.7, D50≈4.6, D60≈6.4 mm; Cu≈34</t>
        </is>
      </c>
      <c r="AH58" t="inlineStr">
        <is>
          <t>Hojas: 'Moist Tamping', w=5 %. Texto p15 dice estado seco a 2.2 t/m³</t>
        </is>
      </c>
      <c r="AI58" t="inlineStr">
        <is>
          <t>22.07 (las 3)</t>
        </is>
      </c>
      <c r="AJ58" t="inlineStr">
        <is>
          <t>5.00</t>
        </is>
      </c>
      <c r="AK58" t="inlineStr">
        <is>
          <t>2.71</t>
        </is>
      </c>
      <c r="AL58" t="inlineStr">
        <is>
          <t>'Estimated Specific Gravity' USC (p385, p391); no ensayado; &lt; ρd de núcleos REG 41061 (2.74–2.75)</t>
        </is>
      </c>
      <c r="AM58" t="inlineStr">
        <is>
          <t>0.205</t>
        </is>
      </c>
      <c r="AN58" t="inlineStr">
        <is>
          <t>B = 0.97 (CTX3), 0.95 (LCTX1), 0.96 (LCTX2)</t>
        </is>
      </c>
      <c r="AO58" t="inlineStr">
        <is>
          <t>≈431–451 (presión de poros inicial)</t>
        </is>
      </c>
      <c r="AP58" t="inlineStr">
        <is>
          <t>Isotrópica σ'c = 350 kPa</t>
        </is>
      </c>
      <c r="AQ58" t="inlineStr">
        <is>
          <t>no informado</t>
        </is>
      </c>
      <c r="AR58" t="inlineStr">
        <is>
          <t>Drenado</t>
        </is>
      </c>
      <c r="AS58" t="inlineStr">
        <is>
          <t>cíclico 18.75–20.19 kPa/min; post-cíclico 0.083 (5 %/h)</t>
        </is>
      </c>
      <c r="AT58" t="inlineStr">
        <is>
          <t>4.89 / 20.00 / 20.00</t>
        </is>
      </c>
      <c r="AU58" t="inlineStr">
        <is>
          <t>'Max. Principal Stress Difference'</t>
        </is>
      </c>
      <c r="AV58" t="inlineStr">
        <is>
          <t>CTX3: detenido a 4.89 % (no falla); LCTX1: máx. 1575.9 y 1392.7 a 20 % (pico); LCTX2: máx. 1550.5 y 1414.8 a 20 % (pico)</t>
        </is>
      </c>
      <c r="AW58" t="inlineStr">
        <is>
          <t>no</t>
        </is>
      </c>
      <c r="AX58" t="inlineStr"/>
      <c r="AY58" t="inlineStr">
        <is>
          <t>Bg único = 6 (Tabla 7); no verificable</t>
        </is>
      </c>
      <c r="AZ58" t="inlineStr">
        <is>
          <t>(1) Golder 2021a, ASTM D7012 C: M-001: 45.6 y 42.9 MPa (prom. 44.3); M-002: 42.6 y 40.5 MPa (prom. 41.5); núcleos 68.5–69 mm (p54, p56); Tabla 2 (p8): 44 y 42 MPa. (2) IDIEM 1.555.677-D, 3 núcleos 54 mm de 'REG 41061' (= lote de mármol del edómetro IDIEM 2021): 96.6, 66.9 y 103.5 MPa (D50); ρd roca 2.74–2.75 g/cm³; falla por matriz (Tipo A) (p78, p80, p82)</t>
        </is>
      </c>
      <c r="BA58" t="inlineStr">
        <is>
          <t>no informado</t>
        </is>
      </c>
      <c r="BB58" t="inlineStr">
        <is>
          <t>55.8 (M-001) y 45.2 (M-002), ASTM C535 gradación 2 (p53, p55). El texto (p38) dice 'entre 45 % y 50 %': el 55.8 % lo contradice</t>
        </is>
      </c>
      <c r="BC58" t="inlineStr">
        <is>
          <t>no informado</t>
        </is>
      </c>
      <c r="BD58" t="inlineStr">
        <is>
          <t>no informado</t>
        </is>
      </c>
      <c r="BE58" t="inlineStr">
        <is>
          <t>10;15;30;41;52–56;379–396</t>
        </is>
      </c>
      <c r="BF58" t="inlineStr"/>
      <c r="BG58" t="inlineStr">
        <is>
          <t>Triaxial cíclico drenado + carga monótona post-cíclica (USC)</t>
        </is>
      </c>
      <c r="BH58" t="inlineStr">
        <is>
          <t>3 (MN-CTX3 4" CSR 0.25; MN-LCTX1 6" CSR 0.19; MN-LCTX2 6" CSR 0.38)</t>
        </is>
      </c>
      <c r="BI58" t="inlineStr">
        <is>
          <t>0.205</t>
        </is>
      </c>
      <c r="BJ58" t="inlineStr">
        <is>
          <t>Gs 2.75 → 0.222; la hoja da e tras consolidación 0.21 y 0.25 (&gt; e0): inconsistente</t>
        </is>
      </c>
      <c r="BK58" t="inlineStr">
        <is>
          <t>sí</t>
        </is>
      </c>
      <c r="BL58" t="inlineStr">
        <is>
          <t>MN-LCTX1 y MN-LCTX2 con masas idénticas.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W2022|MN-edo-0.24m-1.86</t>
        </is>
      </c>
      <c r="B59" t="inlineStr">
        <is>
          <t>W2022</t>
        </is>
      </c>
      <c r="C59" t="inlineStr">
        <is>
          <t>MN-edo-0.24m-1.86</t>
        </is>
      </c>
      <c r="D59" t="inlineStr">
        <is>
          <t>Mármol</t>
        </is>
      </c>
      <c r="E59" t="inlineStr">
        <is>
          <t>mármol negro</t>
        </is>
      </c>
      <c r="F59" t="inlineStr"/>
      <c r="G59" t="inlineStr">
        <is>
          <t>Enrocado</t>
        </is>
      </c>
      <c r="H59" t="inlineStr">
        <is>
          <t>textual</t>
        </is>
      </c>
      <c r="I59" t="n">
        <v>0</v>
      </c>
      <c r="J59" t="inlineStr">
        <is>
          <t>media (240–305 mm)</t>
        </is>
      </c>
      <c r="K59" t="n">
        <v>1</v>
      </c>
      <c r="L59" t="inlineStr">
        <is>
          <t>Edómetro</t>
        </is>
      </c>
      <c r="M59" t="inlineStr"/>
      <c r="N59" t="inlineStr"/>
      <c r="O59" t="n">
        <v>25.4</v>
      </c>
      <c r="P59" t="inlineStr"/>
      <c r="Q59" t="inlineStr"/>
      <c r="R59" t="inlineStr"/>
      <c r="S59" t="n">
        <v>2.7</v>
      </c>
      <c r="T59" t="n">
        <v>0.455</v>
      </c>
      <c r="U59" t="inlineStr"/>
      <c r="V59" t="inlineStr">
        <is>
          <t>2022_WSP_Pruebas de enrocado 3B a Gran Escala Hornfels para Deformacion.pdf</t>
        </is>
      </c>
      <c r="W59" t="inlineStr">
        <is>
          <t>Tajo Mina, Fase 8 Sur (Pala 10, rótulo de foto), polígono 8-NP-4133-25-04, Acopio punto G; muestreado 23–24/11/2020 por A. Tabata / M. Vilela (p52–p56); texto: Acopio Punto G (p8). Lote IDIEM 'MARMOL (REG 41061)' / 'MARMOL NEGRO': recibido 12/04/2021, muestreo '----' (p59, p322). 7 t a IDIEM (&lt;7"), 200 kg a Golder y USC (&lt;1")</t>
        </is>
      </c>
      <c r="X59" t="inlineStr">
        <is>
          <t>C: rótulo 'MATERIAL TIPO C – MARMOL NEGRO (MN) – polígono 8-NP-4133-25-04 – Acopio punto G – Fase 8 Sur Pala 10' en fotos UCS/LA (p9, p53–p56)</t>
        </is>
      </c>
      <c r="Y59" t="inlineStr">
        <is>
          <t>entre 406 y 914</t>
        </is>
      </c>
      <c r="Z59" t="inlineStr">
        <is>
          <t>Macro-granulometría M-001 mármol (p52): 100 % pasa 36"; 95.1 % pasa 16"; 68.6 % pasa 6"; 29.5 % pasa 1"; 11.95 % pasa #4; 4.07 % pasa #200; Cu 113.1, Cc 7.0 (informe, mat. &lt;3"); GP-GM; humedad 4.2 %. Calculado aquí: D10≈2.6 mm, D50≈66 mm, D80≈193 mm</t>
        </is>
      </c>
      <c r="AA59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59" t="inlineStr">
        <is>
          <t>material &lt;1"; densidad corregida (Dorador 2018)</t>
        </is>
      </c>
      <c r="AC59" t="n">
        <v>25.4</v>
      </c>
      <c r="AD59" t="inlineStr">
        <is>
          <t>241.0</t>
        </is>
      </c>
      <c r="AE59" t="inlineStr">
        <is>
          <t>202.0</t>
        </is>
      </c>
      <c r="AF59" t="inlineStr">
        <is>
          <t>9.5</t>
        </is>
      </c>
      <c r="AG59" t="inlineStr">
        <is>
          <t>Sin tabla: solo curva 'INICIAL 0.15m' (Fig. 3 p6 hornfels; Fig. 4 p7 mármol, idénticas). Leída de la figura: 100 % pasa 25.4 mm, ≈72 % 9.5 mm, ≈51 % 4.76 mm, ≈32 % 2 mm, ≈9 % 0.15 mm; D10≈0.19, D30≈1.7, D50≈4.6, D60≈6.4 mm; Cu≈34</t>
        </is>
      </c>
      <c r="AH59" t="inlineStr">
        <is>
          <t>Densidad menor, ≈92 % Proctor estándar estimado (Tabla 4: Probeta 4, 1.8 t/m³; el texto p33 invierte la numeración 3/4)</t>
        </is>
      </c>
      <c r="AI59" t="inlineStr">
        <is>
          <t>18.21 (ρd 1856 kg/m³)</t>
        </is>
      </c>
      <c r="AJ59" t="inlineStr">
        <is>
          <t>1.20</t>
        </is>
      </c>
      <c r="AK59" t="inlineStr">
        <is>
          <t>2.70</t>
        </is>
      </c>
      <c r="AL59" t="inlineStr">
        <is>
          <t>'Assumed' (p359)</t>
        </is>
      </c>
      <c r="AM59" t="inlineStr">
        <is>
          <t>0.455</t>
        </is>
      </c>
      <c r="AN59" t="inlineStr">
        <is>
          <t>final S 100 % (p359)</t>
        </is>
      </c>
      <c r="AO59" t="inlineStr">
        <is>
          <t>no aplica</t>
        </is>
      </c>
      <c r="AP59" t="inlineStr">
        <is>
          <t>hasta 4799–4800 kPa con descarga-recarga; 'Advanced to 15 kPa due to swelling' (p358)</t>
        </is>
      </c>
      <c r="AQ59" t="inlineStr">
        <is>
          <t>ρd final 2213 kg/m³; e 0.220</t>
        </is>
      </c>
      <c r="AR59" t="inlineStr">
        <is>
          <t>no aplica</t>
        </is>
      </c>
      <c r="AS59" t="inlineStr">
        <is>
          <t>no aplica</t>
        </is>
      </c>
      <c r="AT59" t="inlineStr">
        <is>
          <t>15.63 a 4799 kPa (15.67 a 4800 tras recarga)</t>
        </is>
      </c>
      <c r="AU59" t="inlineStr">
        <is>
          <t>no aplica</t>
        </is>
      </c>
      <c r="AV59" t="inlineStr">
        <is>
          <t>no aplica</t>
        </is>
      </c>
      <c r="AW59" t="inlineStr">
        <is>
          <t>sí (p359; 26 filas comprobadas)</t>
        </is>
      </c>
      <c r="AX59" t="inlineStr"/>
      <c r="AY59" t="inlineStr">
        <is>
          <t>Bg 21 (Tabla 7); no verificable</t>
        </is>
      </c>
      <c r="AZ59" t="inlineStr">
        <is>
          <t>(1) Golder 2021a, ASTM D7012 C: M-001: 45.6 y 42.9 MPa (prom. 44.3); M-002: 42.6 y 40.5 MPa (prom. 41.5); núcleos 68.5–69 mm (p54, p56); Tabla 2 (p8): 44 y 42 MPa. (2) IDIEM 1.555.677-D, 3 núcleos 54 mm de 'REG 41061' (= lote de mármol del edómetro IDIEM 2021): 96.6, 66.9 y 103.5 MPa (D50); ρd roca 2.74–2.75 g/cm³; falla por matriz (Tipo A) (p78, p80, p82)</t>
        </is>
      </c>
      <c r="BA59" t="inlineStr">
        <is>
          <t>no informado</t>
        </is>
      </c>
      <c r="BB59" t="inlineStr">
        <is>
          <t>55.8 (M-001) y 45.2 (M-002), ASTM C535 gradación 2 (p53, p55). El texto (p38) dice 'entre 45 % y 50 %': el 55.8 % lo contradice</t>
        </is>
      </c>
      <c r="BC59" t="inlineStr">
        <is>
          <t>no informado</t>
        </is>
      </c>
      <c r="BD59" t="inlineStr">
        <is>
          <t>no informado</t>
        </is>
      </c>
      <c r="BE59" t="inlineStr">
        <is>
          <t>31–36;41;358–359</t>
        </is>
      </c>
      <c r="BF59" t="inlineStr"/>
      <c r="BG59" t="inlineStr">
        <is>
          <t>Edómetro Ø0.24 m (Golder 'Test 1', ASTM D2435 Método B)</t>
        </is>
      </c>
      <c r="BH59" t="inlineStr">
        <is>
          <t>1</t>
        </is>
      </c>
      <c r="BI59" t="inlineStr">
        <is>
          <t>0.455</t>
        </is>
      </c>
      <c r="BJ59" t="inlineStr">
        <is>
          <t>Gs 2.75 → 0.482</t>
        </is>
      </c>
      <c r="BK59" t="inlineStr">
        <is>
          <t>sí</t>
        </is>
      </c>
      <c r="BL59" t="inlineStr">
        <is>
          <t>El edómetro de 2.3 t/m³ (Tabla 4 Probeta 3) no tiene hoja; Bg '-' en Tabla 7. Texto (p31) cita 17 % de εv para la probeta suelta; la hoja da 15.63 %.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W2022|MN-edo-1.0m-2011</t>
        </is>
      </c>
      <c r="B60" t="inlineStr">
        <is>
          <t>W2022</t>
        </is>
      </c>
      <c r="C60" t="inlineStr">
        <is>
          <t>MN-edo-1.0m-2011</t>
        </is>
      </c>
      <c r="D60" t="inlineStr">
        <is>
          <t>Mármol</t>
        </is>
      </c>
      <c r="E60" t="inlineStr">
        <is>
          <t>mármol negro</t>
        </is>
      </c>
      <c r="F60" t="inlineStr"/>
      <c r="G60" t="inlineStr">
        <is>
          <t>Enrocado</t>
        </is>
      </c>
      <c r="H60" t="inlineStr">
        <is>
          <t>textual</t>
        </is>
      </c>
      <c r="I60" t="n">
        <v>0</v>
      </c>
      <c r="J60" t="inlineStr">
        <is>
          <t>1.0 m</t>
        </is>
      </c>
      <c r="K60" t="n">
        <v>1</v>
      </c>
      <c r="L60" t="inlineStr">
        <is>
          <t>Edómetro</t>
        </is>
      </c>
      <c r="M60" t="inlineStr"/>
      <c r="N60" t="inlineStr"/>
      <c r="O60" t="n">
        <v>177.8</v>
      </c>
      <c r="P60" t="n">
        <v>39.48</v>
      </c>
      <c r="Q60" t="n">
        <v>34.4</v>
      </c>
      <c r="R60" t="n">
        <v>4.9</v>
      </c>
      <c r="S60" t="n">
        <v>2.7</v>
      </c>
      <c r="T60" t="n">
        <v>0.3101555555555555</v>
      </c>
      <c r="U60" t="n">
        <v>97.3</v>
      </c>
      <c r="V60" t="inlineStr">
        <is>
          <t>2022_WSP_Pruebas de enrocado 3B a Gran Escala Hornfels para Deformacion.pdf</t>
        </is>
      </c>
      <c r="W60" t="inlineStr">
        <is>
          <t>Golder 2012 (Fase 5, polígono 12022607, cota 4478)</t>
        </is>
      </c>
      <c r="X60" t="inlineStr">
        <is>
          <t>C (Golder 2012 p1)</t>
        </is>
      </c>
      <c r="Y60" t="inlineStr">
        <is>
          <t>558.8</t>
        </is>
      </c>
      <c r="Z60" t="inlineStr">
        <is>
          <t>ver Golder 2012</t>
        </is>
      </c>
      <c r="AA60" t="inlineStr">
        <is>
          <t>no informada</t>
        </is>
      </c>
      <c r="AB60" t="inlineStr">
        <is>
          <t>truncado a 178 mm (Golder 2012 p2)</t>
        </is>
      </c>
      <c r="AC60" t="n">
        <v>177.8</v>
      </c>
      <c r="AD60" t="inlineStr">
        <is>
          <t>949.7</t>
        </is>
      </c>
      <c r="AE60" t="inlineStr">
        <is>
          <t>900</t>
        </is>
      </c>
      <c r="AF60" t="inlineStr">
        <is>
          <t>5.3</t>
        </is>
      </c>
      <c r="AG60">
        <f> Golder 2012 p27</f>
        <v/>
      </c>
      <c r="AH60" t="inlineStr">
        <is>
          <t>3 capas de 0.3 m, pisón vibratorio, 2.1 t/m³ (Golder 2012 p13)</t>
        </is>
      </c>
      <c r="AI60" t="inlineStr">
        <is>
          <t>20.60</t>
        </is>
      </c>
      <c r="AJ60" t="inlineStr">
        <is>
          <t>0.088</t>
        </is>
      </c>
      <c r="AK60" t="inlineStr">
        <is>
          <t>2.70</t>
        </is>
      </c>
      <c r="AL60" t="inlineStr">
        <is>
          <t>'Peso específico integral 2,700' (p295) = supuesto (Golder 2012 p13)</t>
        </is>
      </c>
      <c r="AM60" t="inlineStr">
        <is>
          <t>0.286 (confección); 0.284 a 0.18 kg/cm² (hoja)</t>
        </is>
      </c>
      <c r="AN60" t="inlineStr">
        <is>
          <t>inundada a 0.18 kg/cm²</t>
        </is>
      </c>
      <c r="AO60" t="inlineStr">
        <is>
          <t>no aplica</t>
        </is>
      </c>
      <c r="AP60" t="inlineStr">
        <is>
          <t>hasta 60 kg/cm² (5884 kPa)</t>
        </is>
      </c>
      <c r="AQ60" t="inlineStr">
        <is>
          <t>ρd 2.309 g/cm³ (22.65 kN/m³) a 60 kg/cm²; e 0.170</t>
        </is>
      </c>
      <c r="AR60" t="inlineStr">
        <is>
          <t>no aplica</t>
        </is>
      </c>
      <c r="AS60" t="inlineStr">
        <is>
          <t>no aplica</t>
        </is>
      </c>
      <c r="AT60" t="inlineStr">
        <is>
          <t>9.03</t>
        </is>
      </c>
      <c r="AU60" t="inlineStr">
        <is>
          <t>no aplica</t>
        </is>
      </c>
      <c r="AV60" t="inlineStr">
        <is>
          <t>no aplica</t>
        </is>
      </c>
      <c r="AW60" t="inlineStr">
        <is>
          <t>sí (p295 = Golder 2012 p72; 38 filas comprobadas)</t>
        </is>
      </c>
      <c r="AX60" t="inlineStr"/>
      <c r="AY60" t="inlineStr">
        <is>
          <t>Marsal; Tabla 7: 14 (correcto; Golder 2012 da 28.8 = 2×Bg)</t>
        </is>
      </c>
      <c r="AZ60" t="inlineStr">
        <is>
          <t>Informe 379 (Golder 2011), 8 probetas M1-1…M4-2, Ø 45–45.5 mm, L/D 2.0: 540, 1110, 1080, 1310, 560, 620, 1380, 1340 kg/cm² (= 53–135 MPa; prom. 97.3 MPa) (Golder 2012 Tabla 1 p3). WSP 2022 Tabla 2 (p8) recalcula de la carga: 53, 108, 106, 129, 54, 61, 136, 132 MPa (mismos ensayos; diferencia solo de redondeo). Norma no indicada; Informe 379 no incluido</t>
        </is>
      </c>
      <c r="BA60" t="inlineStr">
        <is>
          <t>no informado</t>
        </is>
      </c>
      <c r="BB60" t="inlineStr">
        <is>
          <t>44 y 41 (2 muestras; Informe 379; Golder 2012 p17). WSP p38 lo resume como 43 %. Norma no indicada</t>
        </is>
      </c>
      <c r="BC60" t="inlineStr">
        <is>
          <t>no informado</t>
        </is>
      </c>
      <c r="BD60" t="inlineStr">
        <is>
          <t>no informado</t>
        </is>
      </c>
      <c r="BE60" t="inlineStr">
        <is>
          <t>41;67;295</t>
        </is>
      </c>
      <c r="BF60" t="inlineStr"/>
      <c r="BG60" t="inlineStr">
        <is>
          <t>Edómetro IDIEM 708.397-A — DUPLICADO de Golder 2012</t>
        </is>
      </c>
      <c r="BH60" t="inlineStr">
        <is>
          <t>1</t>
        </is>
      </c>
      <c r="BI60" t="inlineStr">
        <is>
          <t>0.284</t>
        </is>
      </c>
      <c r="BJ60" t="inlineStr">
        <is>
          <t>—</t>
        </is>
      </c>
      <c r="BK60" t="inlineStr">
        <is>
          <t>sí</t>
        </is>
      </c>
      <c r="BL60" t="inlineStr">
        <is>
          <t>La Tabla 7 (p41) asigna 6800 kPa como esfuerzo máximo, pero la hoja llega a 60 kg/cm² (5884 kPa).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W2022|MN-edo-1.0m-2021</t>
        </is>
      </c>
      <c r="B61" t="inlineStr">
        <is>
          <t>W2022</t>
        </is>
      </c>
      <c r="C61" t="inlineStr">
        <is>
          <t>MN-edo-1.0m-2021</t>
        </is>
      </c>
      <c r="D61" t="inlineStr">
        <is>
          <t>Mármol</t>
        </is>
      </c>
      <c r="E61" t="inlineStr">
        <is>
          <t>mármol negro</t>
        </is>
      </c>
      <c r="F61" t="inlineStr"/>
      <c r="G61" t="inlineStr">
        <is>
          <t>Enrocado</t>
        </is>
      </c>
      <c r="H61" t="inlineStr">
        <is>
          <t>textual</t>
        </is>
      </c>
      <c r="I61" t="n">
        <v>0</v>
      </c>
      <c r="J61" t="inlineStr">
        <is>
          <t>1.0 m</t>
        </is>
      </c>
      <c r="K61" t="n">
        <v>1</v>
      </c>
      <c r="L61" t="inlineStr">
        <is>
          <t>Edómetro</t>
        </is>
      </c>
      <c r="M61" t="inlineStr"/>
      <c r="N61" t="inlineStr"/>
      <c r="O61" t="n">
        <v>177.8</v>
      </c>
      <c r="P61" t="n">
        <v>23.4</v>
      </c>
      <c r="Q61" t="inlineStr"/>
      <c r="R61" t="n">
        <v>10.9</v>
      </c>
      <c r="S61" t="n">
        <v>2.6</v>
      </c>
      <c r="T61" t="n">
        <v>0.3118038461538459</v>
      </c>
      <c r="U61" t="inlineStr"/>
      <c r="V61" t="inlineStr">
        <is>
          <t>2022_WSP_Pruebas de enrocado 3B a Gran Escala Hornfels para Deformacion.pdf</t>
        </is>
      </c>
      <c r="W61" t="inlineStr">
        <is>
          <t>Tajo Mina, Fase 8 Sur (Pala 10, rótulo de foto), polígono 8-NP-4133-25-04, Acopio punto G; muestreado 23–24/11/2020 por A. Tabata / M. Vilela (p52–p56); texto: Acopio Punto G (p8). Lote IDIEM 'MARMOL (REG 41061)' / 'MARMOL NEGRO': recibido 12/04/2021, muestreo '----' (p59, p322). 7 t a IDIEM (&lt;7"), 200 kg a Golder y USC (&lt;1")</t>
        </is>
      </c>
      <c r="X61" t="inlineStr">
        <is>
          <t>C: rótulo 'MATERIAL TIPO C – MARMOL NEGRO (MN) – polígono 8-NP-4133-25-04 – Acopio punto G – Fase 8 Sur Pala 10' en fotos UCS/LA (p9, p53–p56)</t>
        </is>
      </c>
      <c r="Y61" t="inlineStr">
        <is>
          <t>entre 406 y 914</t>
        </is>
      </c>
      <c r="Z61" t="inlineStr">
        <is>
          <t>Macro-granulometría M-001 mármol (p52): 100 % pasa 36"; 95.1 % pasa 16"; 68.6 % pasa 6"; 29.5 % pasa 1"; 11.95 % pasa #4; 4.07 % pasa #200; Cu 113.1, Cc 7.0 (informe, mat. &lt;3"); GP-GM; humedad 4.2 %. Calculado aquí: D10≈2.6 mm, D50≈66 mm, D80≈193 mm</t>
        </is>
      </c>
      <c r="AA61" t="inlineStr">
        <is>
          <t>no informada (sin ensayo de densidad in situ). La 'densidad especificada' de 2.1 t/m³ se describe como ≈97 % del Proctor estándar ESTIMADO por correlación (Dorador et al. 2018), no medido (p31–p32)</t>
        </is>
      </c>
      <c r="AB61" t="inlineStr">
        <is>
          <t>no declarado</t>
        </is>
      </c>
      <c r="AC61" t="n">
        <v>177.8</v>
      </c>
      <c r="AD61" t="inlineStr">
        <is>
          <t>1000</t>
        </is>
      </c>
      <c r="AE61" t="inlineStr">
        <is>
          <t>700</t>
        </is>
      </c>
      <c r="AF61" t="inlineStr">
        <is>
          <t>5.6</t>
        </is>
      </c>
      <c r="AG61" t="inlineStr">
        <is>
          <t>IDIEM inicial (p61): D10 &lt; 0.074 (10.9 % pasa #200); D30 7.68, D50 23.5, D60 33.6 mm (recalculados); grava 75.8, arena 13.3, finos 10.9 %. Post: 25.7 % finos</t>
        </is>
      </c>
      <c r="AH61" t="inlineStr">
        <is>
          <t>Capas de 0.3 m con pisón vibratorio a 2.1 t/m³ (p32); remoldeada, método B (p324)</t>
        </is>
      </c>
      <c r="AI61" t="inlineStr">
        <is>
          <t>20.60</t>
        </is>
      </c>
      <c r="AJ61" t="inlineStr">
        <is>
          <t>1.50</t>
        </is>
      </c>
      <c r="AK61" t="inlineStr">
        <is>
          <t>2.60</t>
        </is>
      </c>
      <c r="AL61" t="inlineStr">
        <is>
          <t>'estimado' por IDIEM (p324 nota 3); incompatible con ρd 2.74–2.75 de núcleos REG 41061 del mismo lote</t>
        </is>
      </c>
      <c r="AM61" t="inlineStr">
        <is>
          <t>0.238</t>
        </is>
      </c>
      <c r="AN61" t="inlineStr">
        <is>
          <t>inundada; '(*) lectura después de saturar'</t>
        </is>
      </c>
      <c r="AO61" t="inlineStr">
        <is>
          <t>no aplica</t>
        </is>
      </c>
      <c r="AP61" t="inlineStr">
        <is>
          <t>hasta 70 kg/cm² (6865 kPa) con descarga-recarga a 60 kg/cm²</t>
        </is>
      </c>
      <c r="AQ61" t="inlineStr">
        <is>
          <t>e final 0.163 (p324)</t>
        </is>
      </c>
      <c r="AR61" t="inlineStr">
        <is>
          <t>no aplica</t>
        </is>
      </c>
      <c r="AS61" t="inlineStr">
        <is>
          <t>no aplica</t>
        </is>
      </c>
      <c r="AT61" t="inlineStr">
        <is>
          <t>6.386 a 70 kg/cm²; 6.071 tras descarga</t>
        </is>
      </c>
      <c r="AU61" t="inlineStr">
        <is>
          <t>no aplica</t>
        </is>
      </c>
      <c r="AV61" t="inlineStr">
        <is>
          <t>no aplica</t>
        </is>
      </c>
      <c r="AW61" t="inlineStr">
        <is>
          <t>sí (p324; 69 filas comprobadas contra WSP_2022_edometro.csv)</t>
        </is>
      </c>
      <c r="AX61" t="inlineStr"/>
      <c r="AY61" t="inlineStr">
        <is>
          <t>Marsal (1967): suma de diferencias positivas de % retenido por fracción, antes y después; tamices 7" a #200 (18 tamices) + fondo. Tabla 7 da 45; con p61 (inicial y post del MISMO ensayo) resulta 37.8. El 45 se reproduce (45.6) comparando con la inicial de 2011: error probable</t>
        </is>
      </c>
      <c r="AZ61" t="inlineStr">
        <is>
          <t>(1) Golder 2021a, ASTM D7012 C: M-001: 45.6 y 42.9 MPa (prom. 44.3); M-002: 42.6 y 40.5 MPa (prom. 41.5); núcleos 68.5–69 mm (p54, p56); Tabla 2 (p8): 44 y 42 MPa. (2) IDIEM 1.555.677-D, 3 núcleos 54 mm de 'REG 41061' (= lote de mármol del edómetro IDIEM 2021): 96.6, 66.9 y 103.5 MPa (D50); ρd roca 2.74–2.75 g/cm³; falla por matriz (Tipo A) (p78, p80, p82)</t>
        </is>
      </c>
      <c r="BA61" t="inlineStr">
        <is>
          <t>no informado</t>
        </is>
      </c>
      <c r="BB61" t="inlineStr">
        <is>
          <t>55.8 (M-001) y 45.2 (M-002), ASTM C535 gradación 2 (p53, p55). El texto (p38) dice 'entre 45 % y 50 %': el 55.8 % lo contradice</t>
        </is>
      </c>
      <c r="BC61" t="inlineStr">
        <is>
          <t>no informado</t>
        </is>
      </c>
      <c r="BD61" t="inlineStr">
        <is>
          <t>no informado</t>
        </is>
      </c>
      <c r="BE61" t="inlineStr">
        <is>
          <t>32–37;41;61;78–82;322–324</t>
        </is>
      </c>
      <c r="BF61" t="inlineStr"/>
      <c r="BG61" t="inlineStr">
        <is>
          <t>Edómetro Ø1.0 m (IDIEM 1.555.677-A REV2) con permeabilidad</t>
        </is>
      </c>
      <c r="BH61" t="inlineStr">
        <is>
          <t>1</t>
        </is>
      </c>
      <c r="BI61" t="inlineStr">
        <is>
          <t>0.238</t>
        </is>
      </c>
      <c r="BJ61" t="inlineStr">
        <is>
          <t>Gs 2.70 → 0.286; Gs 2.75 → 0.310</t>
        </is>
      </c>
      <c r="BK61" t="inlineStr">
        <is>
          <t>sí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W2024|WSP24_C1_CD</t>
        </is>
      </c>
      <c r="B62" t="inlineStr">
        <is>
          <t>W2024</t>
        </is>
      </c>
      <c r="C62" t="inlineStr">
        <is>
          <t>WSP24_C1_CD</t>
        </is>
      </c>
      <c r="D62" t="inlineStr">
        <is>
          <t>Intrusivo</t>
        </is>
      </c>
      <c r="E62" t="inlineStr">
        <is>
          <t>tonalita (31 de 38 fragmentos de carga puntual, IDIEM-F pp.356-362); incluye fragmentos de caliza (7 de 38)</t>
        </is>
      </c>
      <c r="F62" t="inlineStr">
        <is>
          <t>Nominal (informe): intrusivo 78 % / relave 22 %, aplicado a la fracción &lt; 3/4" (59.7 % de la masa); efectivo en masa seca total: desmonte intrusivo 86.9 %, relave 13.1 % (intrusivo:relave ≈ 6.6:1). Dentro del desmonte, por conteo de 38 fragmentos de carga puntual (no por masa): tonalita 31 (82 %), caliza 7 (18 %)</t>
        </is>
      </c>
      <c r="G62" t="inlineStr">
        <is>
          <t>Mezcla co-disposición (desmonte ROM + relave)</t>
        </is>
      </c>
      <c r="H62" t="inlineStr">
        <is>
          <t>criterio experto: desmonte del tajo recibido con Dmax 10 in, escalado; programa de co-disposición de desmonte de camión</t>
        </is>
      </c>
      <c r="I62" t="inlineStr"/>
      <c r="J62" t="inlineStr">
        <is>
          <t>0.6 m</t>
        </is>
      </c>
      <c r="K62" t="n">
        <v>3</v>
      </c>
      <c r="L62" t="inlineStr">
        <is>
          <t>Triaxial CD carga-descarga</t>
        </is>
      </c>
      <c r="M62" t="n">
        <v>490.3</v>
      </c>
      <c r="N62" t="n">
        <v>1961.3</v>
      </c>
      <c r="O62" t="n">
        <v>101.6</v>
      </c>
      <c r="P62" t="n">
        <v>12</v>
      </c>
      <c r="Q62" t="n">
        <v>148</v>
      </c>
      <c r="R62" t="n">
        <v>7.1</v>
      </c>
      <c r="S62" t="n">
        <v>2.93</v>
      </c>
      <c r="T62" t="n">
        <v>0.415</v>
      </c>
      <c r="U62" t="n">
        <v>95.2</v>
      </c>
      <c r="V62" t="inlineStr">
        <is>
          <t>2024_WSP_Ensayos gran escala mezcla co-disposicion.pdf</t>
        </is>
      </c>
      <c r="W62" t="inlineStr">
        <is>
          <t>Desmonte "Desmonte de Mina (Intrusivo)", 46 191 kg en 5 maxisacos, y relave 10 630 kg, recibidos por IDIEM el 15-11-2023 (IDIEM-A p.89); calicata y cota "---"; fase, banco o botadero no informados. Ensayos índice WSP Lima sobre muestras distintas: "Tajo Mina" / "Material Intrusivo / Tajo Mina", códigos CD-EGS-001, CD-ECU-001, CD-ERD-001, muestreo Antamina 10-02-2024 a 07-03-2024 (pp.45-82)</t>
        </is>
      </c>
      <c r="X62" t="inlineStr">
        <is>
          <t>no indicada (el informe solo dice "desmonte tipo intrusivo" / "Desmonte de Mina (Intrusivo)", p.8 y p.89)</t>
        </is>
      </c>
      <c r="Y62" t="inlineStr">
        <is>
          <t>no informado (Dmax de la muestra recibida 254 mm = 10", IDIEM-A p.93)</t>
        </is>
      </c>
      <c r="Z62" t="inlineStr">
        <is>
          <t>no informada para terreno; muestra recibida (IDIEM-A p.93): Dmax 10", 96,2 % pasa 4", 57,4 % pasa 3/4", 25,7 % pasa N°4, 6,6 % pasa N°200; 6,8 % retenido en 3"</t>
        </is>
      </c>
      <c r="AA62" t="inlineStr">
        <is>
          <t>no informado</t>
        </is>
      </c>
      <c r="AB62" t="inlineStr">
        <is>
          <t>truncado (scalping) en 4" definido por el cliente; "se trabaja el material integral bajo 3/4"" (IDIEM p.108/142/231/267)</t>
        </is>
      </c>
      <c r="AC62" t="n">
        <v>101.6</v>
      </c>
      <c r="AD62" t="n">
        <v>600</v>
      </c>
      <c r="AE62" t="n">
        <v>1200</v>
      </c>
      <c r="AF62" t="n">
        <v>5.91</v>
      </c>
      <c r="AG62" t="inlineStr">
        <is>
          <t>igual a C1_MON</t>
        </is>
      </c>
      <c r="AH62" t="inlineStr">
        <is>
          <t>capas en molde rígido con geomembrana de caucho y geotextil; peso y espesor controlados por capa; vacío y montaje con grúa (p.16-17, IDIEM p.108); número de capas y energía no informados; ρd objetivo definida por el cliente (2.07 g/cm³, Tabla 9 p.15); criterio (% Proctor, Dr) no informado; Dr implícita con ρdmín/ρdmáx de Tabla 8 (material &lt; 3", no &lt; 4"): C1 58 %, C2 51 %, C3 61 %, C4 50 % (no del informe)</t>
        </is>
      </c>
      <c r="AI62" t="n">
        <v>20.31</v>
      </c>
      <c r="AJ62" t="n">
        <v>3</v>
      </c>
      <c r="AK62" t="n">
        <v>2.93</v>
      </c>
      <c r="AL62" t="inlineStr">
        <is>
          <t>Gs global ponderado del informe (Tabla 5 p.12; hojas IDIEM: "ponderado proporcionado por el cliente"): Gs aparente &gt; N°4 = 2.87 (WSP Lima, ASTM C127, otra muestra) y Gs &lt; N°4 = 3.07 (IDIEM p.271/339, ASTM D854)</t>
        </is>
      </c>
      <c r="AM62" t="n">
        <v>0.415</v>
      </c>
      <c r="AN62" t="inlineStr">
        <is>
          <t>CO2 + agua hasta flujo constante; B &gt; 0,95 en todas (p.17)</t>
        </is>
      </c>
      <c r="AO62" t="n">
        <v>98.09999999999999</v>
      </c>
      <c r="AP62" t="inlineStr">
        <is>
          <t>isotrópica, incrementos continuos hasta σ′3c = 490/980/1960 kPa (5/10/20 kgf/cm²); fin al estabilizar εv; duración no informada; ΔV drenado 8200/11800/21300 cm³</t>
        </is>
      </c>
      <c r="AQ62" t="inlineStr">
        <is>
          <t>20.80 / 20.99 / 21.68 (2.12/2.14/2.21 g/cm³, p.341); e_c = 0.382 / 0.369 / 0.326</t>
        </is>
      </c>
      <c r="AR62" t="inlineStr">
        <is>
          <t>drenado, carga-descarga (ciclos a εa 2, 5 y 8 %, Tabla 10 p.18)</t>
        </is>
      </c>
      <c r="AS62" t="inlineStr">
        <is>
          <t>no informado ("--" en hojas; corte a carga controlada)</t>
        </is>
      </c>
      <c r="AT62" t="inlineStr">
        <is>
          <t>19.99 / 20.55 / 20.79</t>
        </is>
      </c>
      <c r="AU62" t="inlineStr">
        <is>
          <t>máximo φ′ (pico) por probeta, Fig. 13 p.27; no ajusta envolventes</t>
        </is>
      </c>
      <c r="AV62" t="inlineStr">
        <is>
          <t>sí (máximo de q)</t>
        </is>
      </c>
      <c r="AW62" t="inlineStr">
        <is>
          <t>sí, εa-εv-p-q en kgf/cm² (pp.283-326)</t>
        </is>
      </c>
      <c r="AX62" t="inlineStr"/>
      <c r="AY62" t="inlineStr">
        <is>
          <t>Marsal (1967): suma de diferencias positivas de % retenido inicial vs post (p.35); inicial = curva teórica de montaje (Gráfico 1); post: probeta secada, tamizado total hasta 1 1/2", cuarteo de 200 kg hasta N°4 y 4×2 kg lavados (IDIEM p.109); tamices 4", 3", 2", 1 1/2", 1", 3/4", 3/8", N°4, N°10, N°20, N°40, N°60, N°140, N°200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Codisposal 1: intrusivo + relave, nominal 3.5:1 (78/22) aplicado a la fracción &lt; 3/4"; relave efectivo 13,1 % de la masa seca total</t>
        </is>
      </c>
      <c r="BN62" t="inlineStr">
        <is>
          <t>UCS 61,1–143,1 MPa, media 95,2 MPa (7 probetas ~49×107 mm, ASTM D7012 Método C, WSP Lima, Tabla 6 p.12 y pp.61-74; el texto dice mínimo 64,0 por error); Is50 por hoja 5,48 / 4,36 / 4,11 / 6,16 MPa (IDIEM 1.914.482-G, ASTM D5731, Tabla 6 p.364, promedios con fragmentos no válidos; solo válidos 5,49 / 4,90 / 3,27 / 6,12); Los Ángeles 21,2–39,9 %, media 30,4 % (8 muestras, ASTM C535 gradación 1 según fichas pp.75-82; el texto p.13 dice C131); durabilidad no informada; absorción 0,8–1,6 %, media 1,08 % (ASTM C127, Tabla 3 p.11)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W2024|WSP24_C1_MON</t>
        </is>
      </c>
      <c r="B63" t="inlineStr">
        <is>
          <t>W2024</t>
        </is>
      </c>
      <c r="C63" t="inlineStr">
        <is>
          <t>WSP24_C1_MON</t>
        </is>
      </c>
      <c r="D63" t="inlineStr">
        <is>
          <t>Intrusivo</t>
        </is>
      </c>
      <c r="E63" t="inlineStr">
        <is>
          <t>tonalita (31 de 38 fragmentos de carga puntual, IDIEM-F pp.356-362); incluye fragmentos de caliza (7 de 38)</t>
        </is>
      </c>
      <c r="F63" t="inlineStr">
        <is>
          <t>Nominal (informe): intrusivo 78 % / relave 22 %, aplicado a la fracción &lt; 3/4" (59.7 % de la masa); efectivo en masa seca total: desmonte intrusivo 86.9 %, relave 13.1 % (intrusivo:relave ≈ 6.6:1). Dentro del desmonte, por conteo de 38 fragmentos de carga puntual (no por masa): tonalita 31 (82 %), caliza 7 (18 %)</t>
        </is>
      </c>
      <c r="G63" t="inlineStr">
        <is>
          <t>Mezcla co-disposición (desmonte ROM + relave)</t>
        </is>
      </c>
      <c r="H63" t="inlineStr">
        <is>
          <t>criterio experto: desmonte del tajo recibido con Dmax 10 in, escalado; programa de co-disposición de desmonte de camión</t>
        </is>
      </c>
      <c r="I63" t="inlineStr"/>
      <c r="J63" t="inlineStr">
        <is>
          <t>0.6 m</t>
        </is>
      </c>
      <c r="K63" t="n">
        <v>3</v>
      </c>
      <c r="L63" t="inlineStr">
        <is>
          <t>Triaxial CD</t>
        </is>
      </c>
      <c r="M63" t="n">
        <v>490.3</v>
      </c>
      <c r="N63" t="n">
        <v>1961.3</v>
      </c>
      <c r="O63" t="n">
        <v>101.6</v>
      </c>
      <c r="P63" t="n">
        <v>12</v>
      </c>
      <c r="Q63" t="n">
        <v>148</v>
      </c>
      <c r="R63" t="n">
        <v>7.1</v>
      </c>
      <c r="S63" t="n">
        <v>2.93</v>
      </c>
      <c r="T63" t="n">
        <v>0.415</v>
      </c>
      <c r="U63" t="n">
        <v>95.2</v>
      </c>
      <c r="V63" t="inlineStr">
        <is>
          <t>2024_WSP_Ensayos gran escala mezcla co-disposicion.pdf</t>
        </is>
      </c>
      <c r="W63" t="inlineStr">
        <is>
          <t>Desmonte "Desmonte de Mina (Intrusivo)", 46 191 kg en 5 maxisacos, y relave 10 630 kg, recibidos por IDIEM el 15-11-2023 (IDIEM-A p.89); calicata y cota "---"; fase, banco o botadero no informados. Ensayos índice WSP Lima sobre muestras distintas: "Tajo Mina" / "Material Intrusivo / Tajo Mina", códigos CD-EGS-001, CD-ECU-001, CD-ERD-001, muestreo Antamina 10-02-2024 a 07-03-2024 (pp.45-82)</t>
        </is>
      </c>
      <c r="X63" t="inlineStr">
        <is>
          <t>no indicada (el informe solo dice "desmonte tipo intrusivo" / "Desmonte de Mina (Intrusivo)", p.8 y p.89)</t>
        </is>
      </c>
      <c r="Y63" t="inlineStr">
        <is>
          <t>no informado (Dmax de la muestra recibida 254 mm = 10", IDIEM-A p.93)</t>
        </is>
      </c>
      <c r="Z63" t="inlineStr">
        <is>
          <t>no informada para terreno; muestra recibida (IDIEM-A p.93): Dmax 10", 96,2 % pasa 4", 57,4 % pasa 3/4", 25,7 % pasa N°4, 6,6 % pasa N°200; 6,8 % retenido en 3"</t>
        </is>
      </c>
      <c r="AA63" t="inlineStr">
        <is>
          <t>no informado</t>
        </is>
      </c>
      <c r="AB63" t="inlineStr">
        <is>
          <t>truncado (scalping) en 4" definido por el cliente; "se trabaja el material integral bajo 3/4"" (IDIEM p.108/142/231/267)</t>
        </is>
      </c>
      <c r="AC63" t="n">
        <v>101.6</v>
      </c>
      <c r="AD63" t="n">
        <v>600</v>
      </c>
      <c r="AE63" t="n">
        <v>1200</v>
      </c>
      <c r="AF63" t="n">
        <v>5.91</v>
      </c>
      <c r="AG63" t="inlineStr">
        <is>
          <t>D10 0,13; D30 2,1; D50 12,0; D60 19,2 mm; Cu 148; Cc 1,8; finos 7,1 %; pasa N°4 34,0 % (digitalizado del Gráfico 1 p.268; recalculado exacto con desmonte p.93 + relave p.355: D30 2,15; Cc 1,87; finos 7,0 %)</t>
        </is>
      </c>
      <c r="AH63" t="inlineStr">
        <is>
          <t>capas en molde rígido con geomembrana de caucho y geotextil; peso y espesor controlados por capa; vacío y montaje con grúa (p.16-17, IDIEM p.108); número de capas y energía no informados; ρd objetivo definida por el cliente (2.07 g/cm³, Tabla 9 p.15); criterio (% Proctor, Dr) no informado; Dr implícita con ρdmín/ρdmáx de Tabla 8 (material &lt; 3", no &lt; 4"): C1 58 %, C2 51 %, C3 61 %, C4 50 % (no del informe)</t>
        </is>
      </c>
      <c r="AI63" t="n">
        <v>20.31</v>
      </c>
      <c r="AJ63" t="n">
        <v>3</v>
      </c>
      <c r="AK63" t="n">
        <v>2.93</v>
      </c>
      <c r="AL63" t="inlineStr">
        <is>
          <t>Gs global ponderado del informe (Tabla 5 p.12; hojas IDIEM: "ponderado proporcionado por el cliente"): Gs aparente &gt; N°4 = 2.87 (WSP Lima, ASTM C127, otra muestra) y Gs &lt; N°4 = 3.07 (IDIEM p.271/339, ASTM D854)</t>
        </is>
      </c>
      <c r="AM63" t="n">
        <v>0.415</v>
      </c>
      <c r="AN63" t="inlineStr">
        <is>
          <t>CO2 + agua hasta flujo constante; B &gt; 0,95 en todas (p.17)</t>
        </is>
      </c>
      <c r="AO63" t="n">
        <v>98.09999999999999</v>
      </c>
      <c r="AP63" t="inlineStr">
        <is>
          <t>isotrópica, incrementos continuos hasta σ′3c = 490/980/1960 kPa (5/10/20 kgf/cm²); fin al estabilizar εv; duración no informada; ΔV drenado 10700/19000/32200 cm³</t>
        </is>
      </c>
      <c r="AQ63" t="inlineStr">
        <is>
          <t>20.99 / 21.48 / 22.37 (2.14/2.19/2.28 g/cm³, p.339); e_c = 0.369 / 0.338 / 0.285</t>
        </is>
      </c>
      <c r="AR63" t="inlineStr">
        <is>
          <t>drenado, monótona</t>
        </is>
      </c>
      <c r="AS63" t="inlineStr">
        <is>
          <t>no informado ("--" en hojas; corte a carga controlada)</t>
        </is>
      </c>
      <c r="AT63" t="inlineStr">
        <is>
          <t>19.94 / 20.55 / 20.85</t>
        </is>
      </c>
      <c r="AU63" t="inlineStr">
        <is>
          <t>máximo φ′ (pico) por probeta, Fig. 13 p.27; no ajusta envolventes</t>
        </is>
      </c>
      <c r="AV63" t="inlineStr">
        <is>
          <t>sí (máximo de q)</t>
        </is>
      </c>
      <c r="AW63" t="inlineStr">
        <is>
          <t>sí, εa-εv-p-q en kgf/cm² (pp.274-281)</t>
        </is>
      </c>
      <c r="AX63" t="inlineStr"/>
      <c r="AY63" t="inlineStr">
        <is>
          <t>Marsal (1967): suma de diferencias positivas de % retenido inicial vs post (p.35); inicial = curva teórica de montaje (Gráfico 1); post: probeta secada, tamizado total hasta 1 1/2", cuarteo de 200 kg hasta N°4 y 4×2 kg lavados (IDIEM p.109); tamices 4", 3", 2", 1 1/2", 1", 3/4", 3/8", N°4, N°10, N°20, N°40, N°60, N°140, N°200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Codisposal 1: intrusivo + relave, nominal 3.5:1 (78/22) aplicado a la fracción &lt; 3/4"; relave efectivo 13,1 % de la masa seca total</t>
        </is>
      </c>
      <c r="BN63" t="inlineStr">
        <is>
          <t>UCS 61,1–143,1 MPa, media 95,2 MPa (7 probetas ~49×107 mm, ASTM D7012 Método C, WSP Lima, Tabla 6 p.12 y pp.61-74; el texto dice mínimo 64,0 por error); Is50 por hoja 5,48 / 4,36 / 4,11 / 6,16 MPa (IDIEM 1.914.482-G, ASTM D5731, Tabla 6 p.364, promedios con fragmentos no válidos; solo válidos 5,49 / 4,90 / 3,27 / 6,12); Los Ángeles 21,2–39,9 %, media 30,4 % (8 muestras, ASTM C535 gradación 1 según fichas pp.75-82; el texto p.13 dice C131); durabilidad no informada; absorción 0,8–1,6 %, media 1,08 % (ASTM C127, Tabla 3 p.11)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</row>
    <row r="64">
      <c r="A64" t="inlineStr">
        <is>
          <t>W2024|WSP24_C2_CD</t>
        </is>
      </c>
      <c r="B64" t="inlineStr">
        <is>
          <t>W2024</t>
        </is>
      </c>
      <c r="C64" t="inlineStr">
        <is>
          <t>WSP24_C2_CD</t>
        </is>
      </c>
      <c r="D64" t="inlineStr">
        <is>
          <t>Intrusivo</t>
        </is>
      </c>
      <c r="E64" t="inlineStr">
        <is>
          <t>tonalita (31 de 38 fragmentos de carga puntual, IDIEM-F pp.356-362); incluye fragmentos de caliza (7 de 38)</t>
        </is>
      </c>
      <c r="F64" t="inlineStr">
        <is>
          <t>Nominal (informe): intrusivo 82 % / relave 18 %, aplicado a la fracción &lt; 3/4" (59.7 % de la masa); efectivo en masa seca total: desmonte intrusivo 89.3 %, relave 10.7 % (intrusivo:relave ≈ 8.3:1). Dentro del desmonte, por conteo de 38 fragmentos de carga puntual (no por masa): tonalita 31 (82 %), caliza 7 (18 %)</t>
        </is>
      </c>
      <c r="G64" t="inlineStr">
        <is>
          <t>Mezcla co-disposición (desmonte ROM + relave)</t>
        </is>
      </c>
      <c r="H64" t="inlineStr">
        <is>
          <t>criterio experto: desmonte del tajo recibido con Dmax 10 in, escalado; programa de co-disposición de desmonte de camión</t>
        </is>
      </c>
      <c r="I64" t="inlineStr"/>
      <c r="J64" t="inlineStr">
        <is>
          <t>0.6 m</t>
        </is>
      </c>
      <c r="K64" t="n">
        <v>3</v>
      </c>
      <c r="L64" t="inlineStr">
        <is>
          <t>Triaxial CD carga-descarga</t>
        </is>
      </c>
      <c r="M64" t="n">
        <v>490.3</v>
      </c>
      <c r="N64" t="n">
        <v>1961.3</v>
      </c>
      <c r="O64" t="n">
        <v>101.6</v>
      </c>
      <c r="P64" t="n">
        <v>12.2</v>
      </c>
      <c r="Q64" t="n">
        <v>141</v>
      </c>
      <c r="R64" t="n">
        <v>7.1</v>
      </c>
      <c r="S64" t="n">
        <v>2.9</v>
      </c>
      <c r="T64" t="n">
        <v>0.429</v>
      </c>
      <c r="U64" t="n">
        <v>95.2</v>
      </c>
      <c r="V64" t="inlineStr">
        <is>
          <t>2024_WSP_Ensayos gran escala mezcla co-disposicion.pdf</t>
        </is>
      </c>
      <c r="W64" t="inlineStr">
        <is>
          <t>Desmonte "Desmonte de Mina (Intrusivo)", 46 191 kg en 5 maxisacos, y relave 10 630 kg, recibidos por IDIEM el 15-11-2023 (IDIEM-A p.89); calicata y cota "---"; fase, banco o botadero no informados. Ensayos índice WSP Lima sobre muestras distintas: "Tajo Mina" / "Material Intrusivo / Tajo Mina", códigos CD-EGS-001, CD-ECU-001, CD-ERD-001, muestreo Antamina 10-02-2024 a 07-03-2024 (pp.45-82)</t>
        </is>
      </c>
      <c r="X64" t="inlineStr">
        <is>
          <t>no indicada (el informe solo dice "desmonte tipo intrusivo" / "Desmonte de Mina (Intrusivo)", p.8 y p.89)</t>
        </is>
      </c>
      <c r="Y64" t="inlineStr">
        <is>
          <t>no informado (Dmax de la muestra recibida 254 mm = 10", IDIEM-A p.93)</t>
        </is>
      </c>
      <c r="Z64" t="inlineStr">
        <is>
          <t>no informada para terreno; muestra recibida (IDIEM-A p.93): Dmax 10", 96,2 % pasa 4", 57,4 % pasa 3/4", 25,7 % pasa N°4, 6,6 % pasa N°200; 6,8 % retenido en 3"</t>
        </is>
      </c>
      <c r="AA64" t="inlineStr">
        <is>
          <t>no informado</t>
        </is>
      </c>
      <c r="AB64" t="inlineStr">
        <is>
          <t>truncado (scalping) en 4" definido por el cliente; "se trabaja el material integral bajo 3/4"" (IDIEM p.108/142/231/267)</t>
        </is>
      </c>
      <c r="AC64" t="n">
        <v>101.6</v>
      </c>
      <c r="AD64" t="n">
        <v>600</v>
      </c>
      <c r="AE64" t="n">
        <v>1200</v>
      </c>
      <c r="AF64" t="n">
        <v>5.91</v>
      </c>
      <c r="AG64" t="inlineStr">
        <is>
          <t>igual a C2_MON</t>
        </is>
      </c>
      <c r="AH64" t="inlineStr">
        <is>
          <t>capas en molde rígido con geomembrana de caucho y geotextil; peso y espesor controlados por capa; vacío y montaje con grúa (p.16-17, IDIEM p.108); número de capas y energía no informados; ρd objetivo definida por el cliente (2.03 g/cm³, Tabla 9 p.15); criterio (% Proctor, Dr) no informado; Dr implícita con ρdmín/ρdmáx de Tabla 8 (material &lt; 3", no &lt; 4"): C1 58 %, C2 51 %, C3 61 %, C4 50 % (no del informe)</t>
        </is>
      </c>
      <c r="AI64" t="n">
        <v>19.91</v>
      </c>
      <c r="AJ64" t="n">
        <v>3</v>
      </c>
      <c r="AK64" t="n">
        <v>2.9</v>
      </c>
      <c r="AL64" t="inlineStr">
        <is>
          <t>Gs global ponderado del informe (Tabla 5 p.12; hojas IDIEM: "ponderado proporcionado por el cliente"): Gs aparente &gt; N°4 = 2.87 (WSP Lima, ASTM C127, otra muestra) y Gs &lt; N°4 = 2.97 (solo WSP Tabla 5 p.12, ASTM D854)</t>
        </is>
      </c>
      <c r="AM64" t="n">
        <v>0.429</v>
      </c>
      <c r="AN64" t="inlineStr">
        <is>
          <t>CO2 + agua hasta flujo constante; B &gt; 0,95 en todas (p.17)</t>
        </is>
      </c>
      <c r="AO64" t="n">
        <v>98.09999999999999</v>
      </c>
      <c r="AP64" t="inlineStr">
        <is>
          <t>isotrópica, incrementos continuos hasta σ′3c = 490/980/1960 kPa (5/10/20 kgf/cm²); fin al estabilizar εv; duración no informada; ΔV drenado 9100/17400/26900 cm³</t>
        </is>
      </c>
      <c r="AQ64" t="inlineStr">
        <is>
          <t>20.50 / 20.99 / 21.58 (2.09/2.14/2.2 g/cm³, p.219); e_c = 0.388 / 0.355 / 0.318</t>
        </is>
      </c>
      <c r="AR64" t="inlineStr">
        <is>
          <t>drenado, carga-descarga (ciclos a εa 2, 5 y 8 %, Tabla 10 p.18)</t>
        </is>
      </c>
      <c r="AS64" t="inlineStr">
        <is>
          <t>no informado ("--" en hojas; corte a carga controlada)</t>
        </is>
      </c>
      <c r="AT64" t="inlineStr">
        <is>
          <t>19.45 / 20.17 / 20.15</t>
        </is>
      </c>
      <c r="AU64" t="inlineStr">
        <is>
          <t>máximo φ′ (pico) por probeta, Fig. 13 p.27; no ajusta envolventes</t>
        </is>
      </c>
      <c r="AV64" t="inlineStr">
        <is>
          <t>sí (máximo de q)</t>
        </is>
      </c>
      <c r="AW64" t="inlineStr">
        <is>
          <t>sí, εa-εv-p-q en kgf/cm² (pp.157-204)</t>
        </is>
      </c>
      <c r="AX64" t="inlineStr"/>
      <c r="AY64" t="inlineStr">
        <is>
          <t>Marsal (1967): suma de diferencias positivas de % retenido inicial vs post (p.35); inicial = curva teórica de montaje (Gráfico 1); post: probeta secada, tamizado total hasta 1 1/2", cuarteo de 200 kg hasta N°4 y 4×2 kg lavados (IDIEM p.109); tamices 4", 3", 2", 1 1/2", 1", 3/4", 3/8", N°4, N°10, N°20, N°40, N°60, N°140, N°200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>
        <is>
          <t>Codisposal 2: nominal 4.5:1 (82/18) aplicado a la fracción &lt; 3/4"; relave efectivo 10,7 % de la masa seca total</t>
        </is>
      </c>
      <c r="BN64" t="inlineStr">
        <is>
          <t>UCS 61,1–143,1 MPa, media 95,2 MPa (7 probetas ~49×107 mm, ASTM D7012 Método C, WSP Lima, Tabla 6 p.12 y pp.61-74; el texto dice mínimo 64,0 por error); Is50 por hoja 5,48 / 4,36 / 4,11 / 6,16 MPa (IDIEM 1.914.482-G, ASTM D5731, Tabla 6 p.364, promedios con fragmentos no válidos; solo válidos 5,49 / 4,90 / 3,27 / 6,12); Los Ángeles 21,2–39,9 %, media 30,4 % (8 muestras, ASTM C535 gradación 1 según fichas pp.75-82; el texto p.13 dice C131); durabilidad no informada; absorción 0,8–1,6 %, media 1,08 % (ASTM C127, Tabla 3 p.11)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W2024|WSP24_C2_MON</t>
        </is>
      </c>
      <c r="B65" t="inlineStr">
        <is>
          <t>W2024</t>
        </is>
      </c>
      <c r="C65" t="inlineStr">
        <is>
          <t>WSP24_C2_MON</t>
        </is>
      </c>
      <c r="D65" t="inlineStr">
        <is>
          <t>Intrusivo</t>
        </is>
      </c>
      <c r="E65" t="inlineStr">
        <is>
          <t>tonalita (31 de 38 fragmentos de carga puntual, IDIEM-F pp.356-362); incluye fragmentos de caliza (7 de 38)</t>
        </is>
      </c>
      <c r="F65" t="inlineStr">
        <is>
          <t>Nominal (informe): intrusivo 82 % / relave 18 %, aplicado a la fracción &lt; 3/4" (59.7 % de la masa); efectivo en masa seca total: desmonte intrusivo 89.3 %, relave 10.7 % (intrusivo:relave ≈ 8.3:1). Dentro del desmonte, por conteo de 38 fragmentos de carga puntual (no por masa): tonalita 31 (82 %), caliza 7 (18 %)</t>
        </is>
      </c>
      <c r="G65" t="inlineStr">
        <is>
          <t>Mezcla co-disposición (desmonte ROM + relave)</t>
        </is>
      </c>
      <c r="H65" t="inlineStr">
        <is>
          <t>criterio experto: desmonte del tajo recibido con Dmax 10 in, escalado; programa de co-disposición de desmonte de camión</t>
        </is>
      </c>
      <c r="I65" t="inlineStr"/>
      <c r="J65" t="inlineStr">
        <is>
          <t>0.6 m</t>
        </is>
      </c>
      <c r="K65" t="n">
        <v>3</v>
      </c>
      <c r="L65" t="inlineStr">
        <is>
          <t>Triaxial CD</t>
        </is>
      </c>
      <c r="M65" t="n">
        <v>490.3</v>
      </c>
      <c r="N65" t="n">
        <v>1961.3</v>
      </c>
      <c r="O65" t="n">
        <v>101.6</v>
      </c>
      <c r="P65" t="n">
        <v>12.2</v>
      </c>
      <c r="Q65" t="n">
        <v>141</v>
      </c>
      <c r="R65" t="n">
        <v>7.1</v>
      </c>
      <c r="S65" t="n">
        <v>2.9</v>
      </c>
      <c r="T65" t="n">
        <v>0.429</v>
      </c>
      <c r="U65" t="n">
        <v>95.2</v>
      </c>
      <c r="V65" t="inlineStr">
        <is>
          <t>2024_WSP_Ensayos gran escala mezcla co-disposicion.pdf</t>
        </is>
      </c>
      <c r="W65" t="inlineStr">
        <is>
          <t>Desmonte "Desmonte de Mina (Intrusivo)", 46 191 kg en 5 maxisacos, y relave 10 630 kg, recibidos por IDIEM el 15-11-2023 (IDIEM-A p.89); calicata y cota "---"; fase, banco o botadero no informados. Ensayos índice WSP Lima sobre muestras distintas: "Tajo Mina" / "Material Intrusivo / Tajo Mina", códigos CD-EGS-001, CD-ECU-001, CD-ERD-001, muestreo Antamina 10-02-2024 a 07-03-2024 (pp.45-82)</t>
        </is>
      </c>
      <c r="X65" t="inlineStr">
        <is>
          <t>no indicada (el informe solo dice "desmonte tipo intrusivo" / "Desmonte de Mina (Intrusivo)", p.8 y p.89)</t>
        </is>
      </c>
      <c r="Y65" t="inlineStr">
        <is>
          <t>no informado (Dmax de la muestra recibida 254 mm = 10", IDIEM-A p.93)</t>
        </is>
      </c>
      <c r="Z65" t="inlineStr">
        <is>
          <t>no informada para terreno; muestra recibida (IDIEM-A p.93): Dmax 10", 96,2 % pasa 4", 57,4 % pasa 3/4", 25,7 % pasa N°4, 6,6 % pasa N°200; 6,8 % retenido en 3"</t>
        </is>
      </c>
      <c r="AA65" t="inlineStr">
        <is>
          <t>no informado</t>
        </is>
      </c>
      <c r="AB65" t="inlineStr">
        <is>
          <t>truncado (scalping) en 4" definido por el cliente; "se trabaja el material integral bajo 3/4"" (IDIEM p.108/142/231/267)</t>
        </is>
      </c>
      <c r="AC65" t="n">
        <v>101.6</v>
      </c>
      <c r="AD65" t="n">
        <v>600</v>
      </c>
      <c r="AE65" t="n">
        <v>1200</v>
      </c>
      <c r="AF65" t="n">
        <v>5.91</v>
      </c>
      <c r="AG65" t="inlineStr">
        <is>
          <t>D10 0,135; D30 2,8; D50 12,2; D60 19,0 mm; Cu 141; Cc 3,1; finos 7,1 %; pasa N°4 32,8 % (digitalizado Gráfico 1 p.143; recalculado exacto: D30 2,88; Cc 3,2; finos 7,0 %)</t>
        </is>
      </c>
      <c r="AH65" t="inlineStr">
        <is>
          <t>capas en molde rígido con geomembrana de caucho y geotextil; peso y espesor controlados por capa; vacío y montaje con grúa (p.16-17, IDIEM p.108); número de capas y energía no informados; ρd objetivo definida por el cliente (2.03 g/cm³, Tabla 9 p.15); criterio (% Proctor, Dr) no informado; Dr implícita con ρdmín/ρdmáx de Tabla 8 (material &lt; 3", no &lt; 4"): C1 58 %, C2 51 %, C3 61 %, C4 50 % (no del informe)</t>
        </is>
      </c>
      <c r="AI65" t="n">
        <v>19.91</v>
      </c>
      <c r="AJ65" t="n">
        <v>3</v>
      </c>
      <c r="AK65" t="n">
        <v>2.9</v>
      </c>
      <c r="AL65" t="inlineStr">
        <is>
          <t>Gs global ponderado del informe (Tabla 5 p.12; hojas IDIEM: "ponderado proporcionado por el cliente"): Gs aparente &gt; N°4 = 2.87 (WSP Lima, ASTM C127, otra muestra) y Gs &lt; N°4 = 2.97 (solo WSP Tabla 5 p.12, ASTM D854)</t>
        </is>
      </c>
      <c r="AM65" t="n">
        <v>0.429</v>
      </c>
      <c r="AN65" t="inlineStr">
        <is>
          <t>CO2 + agua hasta flujo constante; B &gt; 0,95 en todas (p.17)</t>
        </is>
      </c>
      <c r="AO65" t="n">
        <v>98.09999999999999</v>
      </c>
      <c r="AP65" t="inlineStr">
        <is>
          <t>isotrópica, incrementos continuos hasta σ′3c = 490/980/1960 kPa (5/10/20 kgf/cm²); fin al estabilizar εv; duración no informada; ΔV drenado 8500/16000/22600 cm³</t>
        </is>
      </c>
      <c r="AQ65" t="inlineStr">
        <is>
          <t>20.40 / 20.90 / 21.29 (2.08/2.13/2.17 g/cm³, p.217); e_c = 0.394 / 0.362 / 0.336</t>
        </is>
      </c>
      <c r="AR65" t="inlineStr">
        <is>
          <t>drenado, monótona</t>
        </is>
      </c>
      <c r="AS65" t="inlineStr">
        <is>
          <t>no informado ("--" en hojas; corte a carga controlada)</t>
        </is>
      </c>
      <c r="AT65" t="inlineStr">
        <is>
          <t>19.94 / 20.29 / 20.6</t>
        </is>
      </c>
      <c r="AU65" t="inlineStr">
        <is>
          <t>máximo φ′ (pico) por probeta, Fig. 13 p.27; no ajusta envolventes</t>
        </is>
      </c>
      <c r="AV65" t="inlineStr">
        <is>
          <t>sí (máximo de q)</t>
        </is>
      </c>
      <c r="AW65" t="inlineStr">
        <is>
          <t>sí, εa-εv-p-q en kgf/cm² (pp.148-155)</t>
        </is>
      </c>
      <c r="AX65" t="inlineStr"/>
      <c r="AY65" t="inlineStr">
        <is>
          <t>Marsal (1967): suma de diferencias positivas de % retenido inicial vs post (p.35); inicial = curva teórica de montaje (Gráfico 1); post: probeta secada, tamizado total hasta 1 1/2", cuarteo de 200 kg hasta N°4 y 4×2 kg lavados (IDIEM p.109); tamices 4", 3", 2", 1 1/2", 1", 3/4", 3/8", N°4, N°10, N°20, N°40, N°60, N°140, N°200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Codisposal 2: nominal 4.5:1 (82/18) aplicado a la fracción &lt; 3/4"; relave efectivo 10,7 % de la masa seca total</t>
        </is>
      </c>
      <c r="BN65" t="inlineStr">
        <is>
          <t>UCS 61,1–143,1 MPa, media 95,2 MPa (7 probetas ~49×107 mm, ASTM D7012 Método C, WSP Lima, Tabla 6 p.12 y pp.61-74; el texto dice mínimo 64,0 por error); Is50 por hoja 5,48 / 4,36 / 4,11 / 6,16 MPa (IDIEM 1.914.482-G, ASTM D5731, Tabla 6 p.364, promedios con fragmentos no válidos; solo válidos 5,49 / 4,90 / 3,27 / 6,12); Los Ángeles 21,2–39,9 %, media 30,4 % (8 muestras, ASTM C535 gradación 1 según fichas pp.75-82; el texto p.13 dice C131); durabilidad no informada; absorción 0,8–1,6 %, media 1,08 % (ASTM C127, Tabla 3 p.11)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W2024|WSP24_C3_MON</t>
        </is>
      </c>
      <c r="B66" t="inlineStr">
        <is>
          <t>W2024</t>
        </is>
      </c>
      <c r="C66" t="inlineStr">
        <is>
          <t>WSP24_C3_MON</t>
        </is>
      </c>
      <c r="D66" t="inlineStr">
        <is>
          <t>Intrusivo</t>
        </is>
      </c>
      <c r="E66" t="inlineStr">
        <is>
          <t>tonalita (31 de 38 fragmentos de carga puntual, IDIEM-F pp.356-362); incluye fragmentos de caliza (7 de 38)</t>
        </is>
      </c>
      <c r="F66" t="inlineStr">
        <is>
          <t>Nominal (informe): intrusivo 85 % / relave 15 %, aplicado a la fracción &lt; 3/4" (59.7 % de la masa); efectivo en masa seca total: desmonte intrusivo 91.0 %, relave 9.0 % (intrusivo:relave ≈ 10.2:1). Dentro del desmonte, por conteo de 38 fragmentos de carga puntual (no por masa): tonalita 31 (82 %), caliza 7 (18 %)</t>
        </is>
      </c>
      <c r="G66" t="inlineStr">
        <is>
          <t>Mezcla co-disposición (desmonte ROM + relave)</t>
        </is>
      </c>
      <c r="H66" t="inlineStr">
        <is>
          <t>criterio experto: desmonte del tajo recibido con Dmax 10 in, escalado; programa de co-disposición de desmonte de camión</t>
        </is>
      </c>
      <c r="I66" t="inlineStr"/>
      <c r="J66" t="inlineStr">
        <is>
          <t>0.6 m</t>
        </is>
      </c>
      <c r="K66" t="n">
        <v>3</v>
      </c>
      <c r="L66" t="inlineStr">
        <is>
          <t>Triaxial CD</t>
        </is>
      </c>
      <c r="M66" t="n">
        <v>490.3</v>
      </c>
      <c r="N66" t="n">
        <v>1961.3</v>
      </c>
      <c r="O66" t="n">
        <v>101.6</v>
      </c>
      <c r="P66" t="n">
        <v>12.4</v>
      </c>
      <c r="Q66" t="n">
        <v>137</v>
      </c>
      <c r="R66" t="n">
        <v>7.1</v>
      </c>
      <c r="S66" t="n">
        <v>2.89</v>
      </c>
      <c r="T66" t="n">
        <v>0.41</v>
      </c>
      <c r="U66" t="n">
        <v>95.2</v>
      </c>
      <c r="V66" t="inlineStr">
        <is>
          <t>2024_WSP_Ensayos gran escala mezcla co-disposicion.pdf</t>
        </is>
      </c>
      <c r="W66" t="inlineStr">
        <is>
          <t>Desmonte "Desmonte de Mina (Intrusivo)", 46 191 kg en 5 maxisacos, y relave 10 630 kg, recibidos por IDIEM el 15-11-2023 (IDIEM-A p.89); calicata y cota "---"; fase, banco o botadero no informados. Ensayos índice WSP Lima sobre muestras distintas: "Tajo Mina" / "Material Intrusivo / Tajo Mina", códigos CD-EGS-001, CD-ECU-001, CD-ERD-001, muestreo Antamina 10-02-2024 a 07-03-2024 (pp.45-82)</t>
        </is>
      </c>
      <c r="X66" t="inlineStr">
        <is>
          <t>no indicada (el informe solo dice "desmonte tipo intrusivo" / "Desmonte de Mina (Intrusivo)", p.8 y p.89)</t>
        </is>
      </c>
      <c r="Y66" t="inlineStr">
        <is>
          <t>no informado (Dmax de la muestra recibida 254 mm = 10", IDIEM-A p.93)</t>
        </is>
      </c>
      <c r="Z66" t="inlineStr">
        <is>
          <t>no informada para terreno; muestra recibida (IDIEM-A p.93): Dmax 10", 96,2 % pasa 4", 57,4 % pasa 3/4", 25,7 % pasa N°4, 6,6 % pasa N°200; 6,8 % retenido en 3"</t>
        </is>
      </c>
      <c r="AA66" t="inlineStr">
        <is>
          <t>no informado</t>
        </is>
      </c>
      <c r="AB66" t="inlineStr">
        <is>
          <t>truncado (scalping) en 4" definido por el cliente; "se trabaja el material integral bajo 3/4"" (IDIEM p.108/142/231/267)</t>
        </is>
      </c>
      <c r="AC66" t="n">
        <v>101.6</v>
      </c>
      <c r="AD66" t="n">
        <v>600</v>
      </c>
      <c r="AE66" t="n">
        <v>1200</v>
      </c>
      <c r="AF66" t="n">
        <v>5.91</v>
      </c>
      <c r="AG66" t="inlineStr">
        <is>
          <t>D10 0,14; D30 3,4; D50 12,4; D60 19,0 mm; Cu 137; Cc 4,5; finos 7,1 %; pasa N°4 31,8 % (digitalizado Gráfico 1 p.232; recalculado exacto: D30 3,51; Cc 4,6; finos 6,9 %)</t>
        </is>
      </c>
      <c r="AH66" t="inlineStr">
        <is>
          <t>capas en molde rígido con geomembrana de caucho y geotextil; peso y espesor controlados por capa; vacío y montaje con grúa (p.16-17, IDIEM p.108); número de capas y energía no informados; ρd objetivo definida por el cliente (2.05 g/cm³, Tabla 9 p.15); criterio (% Proctor, Dr) no informado; Dr implícita con ρdmín/ρdmáx de Tabla 8 (material &lt; 3", no &lt; 4"): C1 58 %, C2 51 %, C3 61 %, C4 50 % (no del informe)</t>
        </is>
      </c>
      <c r="AI66" t="n">
        <v>20.11</v>
      </c>
      <c r="AJ66" t="n">
        <v>3</v>
      </c>
      <c r="AK66" t="n">
        <v>2.89</v>
      </c>
      <c r="AL66" t="inlineStr">
        <is>
          <t>Gs global ponderado del informe (Tabla 5 p.12; hojas IDIEM: "ponderado proporcionado por el cliente"): Gs aparente &gt; N°4 = 2.87 (WSP Lima, ASTM C127, otra muestra) y Gs &lt; N°4 = 2.94 (solo WSP Tabla 5 p.12, ASTM D854)</t>
        </is>
      </c>
      <c r="AM66" t="n">
        <v>0.41</v>
      </c>
      <c r="AN66" t="inlineStr">
        <is>
          <t>CO2 + agua hasta flujo constante; B &gt; 0,95 en todas (p.17)</t>
        </is>
      </c>
      <c r="AO66" t="n">
        <v>98.09999999999999</v>
      </c>
      <c r="AP66" t="inlineStr">
        <is>
          <t>isotrópica, incrementos continuos hasta σ′3c = 490/980/1960 kPa (5/10/20 kgf/cm²); fin al estabilizar εv; duración no informada; ΔV drenado 9800/14300/27000 cm³</t>
        </is>
      </c>
      <c r="AQ66" t="inlineStr">
        <is>
          <t>20.70 / 20.99 / 21.78 (2.11/2.14/2.22 g/cm³, p.255); e_c = 0.370 / 0.350 / 0.302</t>
        </is>
      </c>
      <c r="AR66" t="inlineStr">
        <is>
          <t>drenado, monótona</t>
        </is>
      </c>
      <c r="AS66" t="inlineStr">
        <is>
          <t>no informado ("--" en hojas; corte a carga controlada)</t>
        </is>
      </c>
      <c r="AT66" t="inlineStr">
        <is>
          <t>19.96 / 20.05 / 20.25</t>
        </is>
      </c>
      <c r="AU66" t="inlineStr">
        <is>
          <t>máximo φ′ (pico) por probeta, Fig. 13 p.27; no ajusta envolventes</t>
        </is>
      </c>
      <c r="AV66" t="inlineStr">
        <is>
          <t>sí (máximo de q)</t>
        </is>
      </c>
      <c r="AW66" t="inlineStr">
        <is>
          <t>sí, εa-εv-p-q en kgf/cm² (pp.236-243)</t>
        </is>
      </c>
      <c r="AX66" t="inlineStr"/>
      <c r="AY66" t="inlineStr">
        <is>
          <t>Marsal (1967): suma de diferencias positivas de % retenido inicial vs post (p.35); inicial = curva teórica de montaje (Gráfico 1); post: probeta secada, tamizado total hasta 1 1/2", cuarteo de 200 kg hasta N°4 y 4×2 kg lavados (IDIEM p.109); tamices 4", 3", 2", 1 1/2", 1", 3/4", 3/8", N°4, N°10, N°20, N°40, N°60, N°140, N°200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Codisposal 3: nominal 5.5:1 (85/15) aplicado a la fracción &lt; 3/4"; relave efectivo 9,0 % de la masa seca total</t>
        </is>
      </c>
      <c r="BN66" t="inlineStr">
        <is>
          <t>UCS 61,1–143,1 MPa, media 95,2 MPa (7 probetas ~49×107 mm, ASTM D7012 Método C, WSP Lima, Tabla 6 p.12 y pp.61-74; el texto dice mínimo 64,0 por error); Is50 por hoja 5,48 / 4,36 / 4,11 / 6,16 MPa (IDIEM 1.914.482-G, ASTM D5731, Tabla 6 p.364, promedios con fragmentos no válidos; solo válidos 5,49 / 4,90 / 3,27 / 6,12); Los Ángeles 21,2–39,9 %, media 30,4 % (8 muestras, ASTM C535 gradación 1 según fichas pp.75-82; el texto p.13 dice C131); durabilidad no informada; absorción 0,8–1,6 %, media 1,08 % (ASTM C127, Tabla 3 p.11)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</row>
    <row r="67">
      <c r="A67" t="inlineStr">
        <is>
          <t>W2024|WSP24_C4_MON</t>
        </is>
      </c>
      <c r="B67" t="inlineStr">
        <is>
          <t>W2024</t>
        </is>
      </c>
      <c r="C67" t="inlineStr">
        <is>
          <t>WSP24_C4_MON</t>
        </is>
      </c>
      <c r="D67" t="inlineStr">
        <is>
          <t>Intrusivo</t>
        </is>
      </c>
      <c r="E67" t="inlineStr">
        <is>
          <t>tonalita (31 de 38 fragmentos de carga puntual, IDIEM-F pp.356-362); incluye fragmentos de caliza (7 de 38)</t>
        </is>
      </c>
      <c r="F67" t="inlineStr">
        <is>
          <t>Intrusivo 100 % (sin relave). Por conteo de 38 fragmentos de carga puntual (no por masa ni petrografía): tonalita 31 (82 %), caliza 7 (18 %)</t>
        </is>
      </c>
      <c r="G67" t="inlineStr">
        <is>
          <t>ROM</t>
        </is>
      </c>
      <c r="H67" t="inlineStr">
        <is>
          <t>criterio experto: desmonte del tajo recibido con Dmax 10 in, escalado; programa de co-disposición de desmonte de camión</t>
        </is>
      </c>
      <c r="I67" t="inlineStr"/>
      <c r="J67" t="inlineStr">
        <is>
          <t>0.6 m</t>
        </is>
      </c>
      <c r="K67" t="n">
        <v>3</v>
      </c>
      <c r="L67" t="inlineStr">
        <is>
          <t>Triaxial CD</t>
        </is>
      </c>
      <c r="M67" t="n">
        <v>490.3</v>
      </c>
      <c r="N67" t="n">
        <v>1961.3</v>
      </c>
      <c r="O67" t="n">
        <v>101.6</v>
      </c>
      <c r="P67" t="n">
        <v>13.3</v>
      </c>
      <c r="Q67" t="n">
        <v>96</v>
      </c>
      <c r="R67" t="n">
        <v>6.9</v>
      </c>
      <c r="S67" t="n">
        <v>2.85</v>
      </c>
      <c r="T67" t="n">
        <v>0.425</v>
      </c>
      <c r="U67" t="n">
        <v>95.2</v>
      </c>
      <c r="V67" t="inlineStr">
        <is>
          <t>2024_WSP_Ensayos gran escala mezcla co-disposicion.pdf</t>
        </is>
      </c>
      <c r="W67" t="inlineStr">
        <is>
          <t>Desmonte "Desmonte de Mina (Intrusivo)", 46 191 kg en 5 maxisacos, y relave 10 630 kg, recibidos por IDIEM el 15-11-2023 (IDIEM-A p.89); calicata y cota "---"; fase, banco o botadero no informados. Ensayos índice WSP Lima sobre muestras distintas: "Tajo Mina" / "Material Intrusivo / Tajo Mina", códigos CD-EGS-001, CD-ECU-001, CD-ERD-001, muestreo Antamina 10-02-2024 a 07-03-2024 (pp.45-82)</t>
        </is>
      </c>
      <c r="X67" t="inlineStr">
        <is>
          <t>no indicada (el informe solo dice "desmonte tipo intrusivo" / "Desmonte de Mina (Intrusivo)", p.8 y p.89)</t>
        </is>
      </c>
      <c r="Y67" t="inlineStr">
        <is>
          <t>no informado (Dmax de la muestra recibida 254 mm = 10", IDIEM-A p.93)</t>
        </is>
      </c>
      <c r="Z67" t="inlineStr">
        <is>
          <t>no informada para terreno; muestra recibida (IDIEM-A p.93): Dmax 10", 96,2 % pasa 4", 57,4 % pasa 3/4", 25,7 % pasa N°4, 6,6 % pasa N°200; 6,8 % retenido en 3"</t>
        </is>
      </c>
      <c r="AA67" t="inlineStr">
        <is>
          <t>no informado</t>
        </is>
      </c>
      <c r="AB67" t="inlineStr">
        <is>
          <t>truncado (scalping) en 4" definido por el cliente; "se trabaja el material integral bajo 3/4"" (IDIEM p.108/142/231/267)</t>
        </is>
      </c>
      <c r="AC67" t="n">
        <v>101.6</v>
      </c>
      <c r="AD67" t="n">
        <v>600</v>
      </c>
      <c r="AE67" t="n">
        <v>1200</v>
      </c>
      <c r="AF67" t="n">
        <v>5.91</v>
      </c>
      <c r="AG67" t="inlineStr">
        <is>
          <t>D10 0,20; D30 5,59; D50 13,3; D60 19,2 mm; Cu 96; Cc 8,1; finos 6,9 %; pasa N°4 26,7 % (calculado de la tabla p.93 truncada a 4"; verificado)</t>
        </is>
      </c>
      <c r="AH67" t="inlineStr">
        <is>
          <t>capas en molde rígido con geomembrana de caucho y geotextil; peso y espesor controlados por capa; vacío y montaje con grúa (p.16-17, IDIEM p.108); número de capas y energía no informados; ρd objetivo definida por el cliente (2.00 g/cm³, Tabla 9 p.15); criterio (% Proctor, Dr) no informado; Dr implícita con ρdmín/ρdmáx de Tabla 8 (material &lt; 3", no &lt; 4"): C1 58 %, C2 51 %, C3 61 %, C4 50 % (no del informe)</t>
        </is>
      </c>
      <c r="AI67" t="n">
        <v>19.62</v>
      </c>
      <c r="AJ67" t="n">
        <v>3</v>
      </c>
      <c r="AK67" t="n">
        <v>2.85</v>
      </c>
      <c r="AL67" t="inlineStr">
        <is>
          <t>Gs global ponderado del informe (Tabla 5 p.12; hojas IDIEM: "ponderado proporcionado por el cliente"): Gs aparente &gt; N°4 = 2.87 (WSP Lima, ASTM C127, otra muestra) y Gs &lt; N°4 = 2.8 (IDIEM p.110, ASTM D854)</t>
        </is>
      </c>
      <c r="AM67" t="n">
        <v>0.425</v>
      </c>
      <c r="AN67" t="inlineStr">
        <is>
          <t>CO2 + agua hasta flujo constante; B &gt; 0,95 en todas (p.17)</t>
        </is>
      </c>
      <c r="AO67" t="n">
        <v>98.09999999999999</v>
      </c>
      <c r="AP67" t="inlineStr">
        <is>
          <t>isotrópica, incrementos continuos hasta σ′3c = 490/980/1960 kPa (5/10/20 kgf/cm²); fin al estabilizar εv; duración no informada; ΔV drenado 3100/17400/22500 cm³</t>
        </is>
      </c>
      <c r="AQ67" t="inlineStr">
        <is>
          <t>19.82 / 20.70 / 20.99 (2.02/2.11/2.14 g/cm³, p.130); e_c = 0.411 / 0.351 / 0.332</t>
        </is>
      </c>
      <c r="AR67" t="inlineStr">
        <is>
          <t>drenado, monótona</t>
        </is>
      </c>
      <c r="AS67" t="inlineStr">
        <is>
          <t>no informado ("--" en hojas; corte a carga controlada)</t>
        </is>
      </c>
      <c r="AT67" t="inlineStr">
        <is>
          <t>20.26 / 20.7 / 20.98</t>
        </is>
      </c>
      <c r="AU67" t="inlineStr">
        <is>
          <t>máximo φ′ (pico) por probeta, Fig. 13 p.27; no ajusta envolventes</t>
        </is>
      </c>
      <c r="AV67" t="inlineStr">
        <is>
          <t>sí (máximo de q); C4 a 980 kPa: máximo al final (εa 20,7 %), límite inferior</t>
        </is>
      </c>
      <c r="AW67" t="inlineStr">
        <is>
          <t>sí, εa-εv-p-q en kgf/cm² (pp.111-118)</t>
        </is>
      </c>
      <c r="AX67" t="inlineStr"/>
      <c r="AY67" t="inlineStr">
        <is>
          <t>Marsal (1967): suma de diferencias positivas de % retenido inicial vs post (p.35); inicial = curva teórica de montaje (Gráfico 1); post: probeta secada, tamizado total hasta 1 1/2", cuarteo de 200 kg hasta N°4 y 4×2 kg lavados (IDIEM p.109); tamices 4", 3", 2", 1 1/2", 1", 3/4", 3/8", N°4, N°10, N°20, N°40, N°60, N°140, N°200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Codisposal 4: 100 % desmonte intrusivo, sin relave</t>
        </is>
      </c>
      <c r="BN67" t="inlineStr">
        <is>
          <t>UCS 61,1–143,1 MPa, media 95,2 MPa (7 probetas ~49×107 mm, ASTM D7012 Método C, WSP Lima, Tabla 6 p.12 y pp.61-74; el texto dice mínimo 64,0 por error); Is50 por hoja 5,48 / 4,36 / 4,11 / 6,16 MPa (IDIEM 1.914.482-G, ASTM D5731, Tabla 6 p.364, promedios con fragmentos no válidos; solo válidos 5,49 / 4,90 / 3,27 / 6,12); Los Ángeles 21,2–39,9 %, media 30,4 % (8 muestras, ASTM C535 gradación 1 según fichas pp.75-82; el texto p.13 dice C131); durabilidad no informada; absorción 0,8–1,6 %, media 1,08 % (ASTM C127, Tabla 3 p.11)</t>
        </is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fuente_id</t>
        </is>
      </c>
      <c r="B1" s="1" t="inlineStr">
        <is>
          <t>fuente</t>
        </is>
      </c>
      <c r="C1" s="1" t="inlineStr">
        <is>
          <t>anio</t>
        </is>
      </c>
      <c r="D1" s="1" t="inlineStr">
        <is>
          <t>autor_informe</t>
        </is>
      </c>
      <c r="E1" s="1" t="inlineStr">
        <is>
          <t>laboratorio</t>
        </is>
      </c>
      <c r="F1" s="1" t="inlineStr">
        <is>
          <t>set_id</t>
        </is>
      </c>
      <c r="G1" s="1" t="inlineStr">
        <is>
          <t>ensayo_id</t>
        </is>
      </c>
      <c r="H1" s="1" t="inlineStr">
        <is>
          <t>litologia_informe</t>
        </is>
      </c>
      <c r="I1" s="1" t="inlineStr">
        <is>
          <t>litologia</t>
        </is>
      </c>
      <c r="J1" s="1" t="inlineStr">
        <is>
          <t>litologia_detalle</t>
        </is>
      </c>
      <c r="K1" s="1" t="inlineStr">
        <is>
          <t>litologia_proporcion</t>
        </is>
      </c>
      <c r="L1" s="1" t="inlineStr">
        <is>
          <t>alteracion</t>
        </is>
      </c>
      <c r="M1" s="1" t="inlineStr">
        <is>
          <t>tipo_material</t>
        </is>
      </c>
      <c r="N1" s="1" t="inlineStr">
        <is>
          <t>clase_desmonte</t>
        </is>
      </c>
      <c r="O1" s="1" t="inlineStr">
        <is>
          <t>tipo_ensayo</t>
        </is>
      </c>
      <c r="P1" s="1" t="inlineStr">
        <is>
          <t>saturado</t>
        </is>
      </c>
      <c r="Q1" s="1" t="inlineStr">
        <is>
          <t>diametro_mm</t>
        </is>
      </c>
      <c r="R1" s="1" t="inlineStr">
        <is>
          <t>altura_mm</t>
        </is>
      </c>
      <c r="S1" s="1" t="inlineStr">
        <is>
          <t>Dmax_mm</t>
        </is>
      </c>
      <c r="T1" s="1" t="inlineStr">
        <is>
          <t>D10_mm</t>
        </is>
      </c>
      <c r="U1" s="1" t="inlineStr">
        <is>
          <t>D30_mm</t>
        </is>
      </c>
      <c r="V1" s="1" t="inlineStr">
        <is>
          <t>D50_mm</t>
        </is>
      </c>
      <c r="W1" s="1" t="inlineStr">
        <is>
          <t>D60_mm</t>
        </is>
      </c>
      <c r="X1" s="1" t="inlineStr">
        <is>
          <t>Cu</t>
        </is>
      </c>
      <c r="Y1" s="1" t="inlineStr">
        <is>
          <t>Cc</t>
        </is>
      </c>
      <c r="Z1" s="1" t="inlineStr">
        <is>
          <t>grava_pct</t>
        </is>
      </c>
      <c r="AA1" s="1" t="inlineStr">
        <is>
          <t>arena_pct</t>
        </is>
      </c>
      <c r="AB1" s="1" t="inlineStr">
        <is>
          <t>finos_pct</t>
        </is>
      </c>
      <c r="AC1" s="1" t="inlineStr">
        <is>
          <t>escalamiento</t>
        </is>
      </c>
      <c r="AD1" s="1" t="inlineStr">
        <is>
          <t>Gs</t>
        </is>
      </c>
      <c r="AE1" s="1" t="inlineStr">
        <is>
          <t>gamma_d_kNm3</t>
        </is>
      </c>
      <c r="AF1" s="1" t="inlineStr">
        <is>
          <t>e0</t>
        </is>
      </c>
      <c r="AG1" s="1" t="inlineStr">
        <is>
          <t>e0_origen</t>
        </is>
      </c>
      <c r="AH1" s="1" t="inlineStr">
        <is>
          <t>Dr_pct</t>
        </is>
      </c>
      <c r="AI1" s="1" t="inlineStr">
        <is>
          <t>w_pct</t>
        </is>
      </c>
      <c r="AJ1" s="1" t="inlineStr">
        <is>
          <t>UCS_MPa</t>
        </is>
      </c>
      <c r="AK1" s="1" t="inlineStr">
        <is>
          <t>sigma3_kPa</t>
        </is>
      </c>
      <c r="AL1" s="1" t="inlineStr">
        <is>
          <t>sigma1_kPa</t>
        </is>
      </c>
      <c r="AM1" s="1" t="inlineStr">
        <is>
          <t>q_kPa</t>
        </is>
      </c>
      <c r="AN1" s="1" t="inlineStr">
        <is>
          <t>criterio_falla</t>
        </is>
      </c>
      <c r="AO1" s="1" t="inlineStr">
        <is>
          <t>phi_sec_deg</t>
        </is>
      </c>
      <c r="AP1" s="1" t="inlineStr">
        <is>
          <t>eps_axial_falla_pct</t>
        </is>
      </c>
      <c r="AQ1" s="1" t="inlineStr">
        <is>
          <t>eps_vol_falla_pct</t>
        </is>
      </c>
      <c r="AR1" s="1" t="inlineStr">
        <is>
          <t>u_falla_kPa</t>
        </is>
      </c>
      <c r="AS1" s="1" t="inlineStr">
        <is>
          <t>p_falla_kPa</t>
        </is>
      </c>
      <c r="AT1" s="1" t="inlineStr">
        <is>
          <t>q_falla_und_kPa</t>
        </is>
      </c>
      <c r="AU1" s="1" t="inlineStr">
        <is>
          <t>Su_kPa</t>
        </is>
      </c>
      <c r="AV1" s="1" t="inlineStr">
        <is>
          <t>Bg_pct</t>
        </is>
      </c>
      <c r="AW1" s="1" t="inlineStr">
        <is>
          <t>Br</t>
        </is>
      </c>
      <c r="AX1" s="1" t="inlineStr">
        <is>
          <t>finos_post_pct</t>
        </is>
      </c>
      <c r="AY1" s="1" t="inlineStr">
        <is>
          <t>sigma_n_kPa</t>
        </is>
      </c>
      <c r="AZ1" s="1" t="inlineStr">
        <is>
          <t>tau_kPa</t>
        </is>
      </c>
      <c r="BA1" s="1" t="inlineStr">
        <is>
          <t>pagina</t>
        </is>
      </c>
      <c r="BB1" s="1" t="inlineStr">
        <is>
          <t>verificado_imagen</t>
        </is>
      </c>
      <c r="BC1" s="1" t="inlineStr">
        <is>
          <t>notas</t>
        </is>
      </c>
      <c r="BD1" s="1" t="inlineStr">
        <is>
          <t>sigma3c_kPa</t>
        </is>
      </c>
      <c r="BE1" s="1" t="inlineStr">
        <is>
          <t>sigma3f_kPa</t>
        </is>
      </c>
      <c r="BF1" s="1" t="inlineStr">
        <is>
          <t>sigma1f_kPa</t>
        </is>
      </c>
      <c r="BG1" s="1" t="inlineStr">
        <is>
          <t>maxdev_eps_pct</t>
        </is>
      </c>
      <c r="BH1" s="1" t="inlineStr">
        <is>
          <t>maxdev_sigma3f_kPa</t>
        </is>
      </c>
      <c r="BI1" s="1" t="inlineStr">
        <is>
          <t>maxdev_sigma1f_kPa</t>
        </is>
      </c>
      <c r="BJ1" s="1" t="inlineStr">
        <is>
          <t>maxdev_q_kPa</t>
        </is>
      </c>
      <c r="BK1" s="1" t="inlineStr">
        <is>
          <t>maxdev_u_kPa</t>
        </is>
      </c>
      <c r="BL1" s="1" t="inlineStr">
        <is>
          <t>maxobl_eps_pct</t>
        </is>
      </c>
      <c r="BM1" s="1" t="inlineStr">
        <is>
          <t>maxobl_sigma3f_kPa</t>
        </is>
      </c>
      <c r="BN1" s="1" t="inlineStr">
        <is>
          <t>maxobl_sigma1f_kPa</t>
        </is>
      </c>
      <c r="BO1" s="1" t="inlineStr">
        <is>
          <t>maxobl_q_kPa</t>
        </is>
      </c>
      <c r="BP1" s="1" t="inlineStr">
        <is>
          <t>maxobl_u_kPa</t>
        </is>
      </c>
      <c r="BQ1" s="1" t="inlineStr">
        <is>
          <t>maxobl_ratio</t>
        </is>
      </c>
      <c r="BR1" s="1" t="inlineStr">
        <is>
          <t>B_valor</t>
        </is>
      </c>
      <c r="BS1" s="1" t="inlineStr">
        <is>
          <t>contrapresion_kPa</t>
        </is>
      </c>
      <c r="BT1" s="1" t="inlineStr">
        <is>
          <t>velocidad_pct_min</t>
        </is>
      </c>
      <c r="BU1" s="1" t="inlineStr">
        <is>
          <t>gamma_d_post_consol_kNm3</t>
        </is>
      </c>
      <c r="BV1" s="1" t="inlineStr">
        <is>
          <t>e_post_consol</t>
        </is>
      </c>
      <c r="BW1" s="1" t="inlineStr">
        <is>
          <t>S_final_pct</t>
        </is>
      </c>
      <c r="BX1" s="1" t="inlineStr">
        <is>
          <t>e0_Gs_usado</t>
        </is>
      </c>
      <c r="BY1" s="1" t="inlineStr">
        <is>
          <t>verificacion_2026</t>
        </is>
      </c>
      <c r="BZ1" s="1" t="inlineStr">
        <is>
          <t>hoja_maxdev_eps_pct</t>
        </is>
      </c>
      <c r="CA1" s="1" t="inlineStr">
        <is>
          <t>hoja_maxdev_q_kPa</t>
        </is>
      </c>
      <c r="CB1" s="1" t="inlineStr">
        <is>
          <t>hoja_maxdev_sigma3f_kPa</t>
        </is>
      </c>
      <c r="CC1" s="1" t="inlineStr">
        <is>
          <t>hoja_maxdev_sigma1f_kPa</t>
        </is>
      </c>
      <c r="CD1" s="1" t="inlineStr">
        <is>
          <t>eps_final_pct</t>
        </is>
      </c>
      <c r="CE1" s="1" t="inlineStr">
        <is>
          <t>q_final_kPa</t>
        </is>
      </c>
      <c r="CF1" s="1" t="inlineStr">
        <is>
          <t>hay_pico</t>
        </is>
      </c>
      <c r="CG1" s="1" t="inlineStr">
        <is>
          <t>celda_kPa</t>
        </is>
      </c>
      <c r="CH1" s="1" t="inlineStr">
        <is>
          <t>Gs_origen</t>
        </is>
      </c>
      <c r="CI1" s="1" t="inlineStr">
        <is>
          <t>e0_recalculado</t>
        </is>
      </c>
      <c r="CJ1" s="1" t="inlineStr">
        <is>
          <t>estado_max_oblicuidad</t>
        </is>
      </c>
      <c r="CK1" s="1" t="inlineStr">
        <is>
          <t>rho_d_gcm3</t>
        </is>
      </c>
      <c r="CL1" s="1" t="inlineStr">
        <is>
          <t>B</t>
        </is>
      </c>
      <c r="CM1" s="1" t="inlineStr">
        <is>
          <t>presion_celda_kPa</t>
        </is>
      </c>
      <c r="CN1" s="1" t="inlineStr">
        <is>
          <t>altura_consol_mm</t>
        </is>
      </c>
      <c r="CO1" s="1" t="inlineStr">
        <is>
          <t>diametro_consol_mm</t>
        </is>
      </c>
      <c r="CP1" s="1" t="inlineStr">
        <is>
          <t>rho_d_consol_gcm3</t>
        </is>
      </c>
      <c r="CQ1" s="1" t="inlineStr">
        <is>
          <t>w_final_pct</t>
        </is>
      </c>
      <c r="CR1" s="1" t="inlineStr">
        <is>
          <t>ratio_s1s3_falla</t>
        </is>
      </c>
      <c r="CS1" s="1" t="inlineStr">
        <is>
          <t>q_dev_max_kPa</t>
        </is>
      </c>
      <c r="CT1" s="1" t="inlineStr">
        <is>
          <t>eps_q_dev_max_pct</t>
        </is>
      </c>
      <c r="CU1" s="1" t="inlineStr">
        <is>
          <t>u_q_dev_max_kPa</t>
        </is>
      </c>
      <c r="CV1" s="1" t="inlineStr">
        <is>
          <t>p_q_dev_max_kPa</t>
        </is>
      </c>
      <c r="CW1" s="1" t="inlineStr">
        <is>
          <t>ratio_s1s3_max</t>
        </is>
      </c>
      <c r="CX1" s="1" t="inlineStr">
        <is>
          <t>eps_ratio_max_pct</t>
        </is>
      </c>
      <c r="CY1" s="1" t="inlineStr">
        <is>
          <t>c_ef_serie_kPa</t>
        </is>
      </c>
      <c r="CZ1" s="1" t="inlineStr">
        <is>
          <t>phi_ef_serie_deg</t>
        </is>
      </c>
      <c r="DA1" s="1" t="inlineStr">
        <is>
          <t>a_ef_serie_kPa</t>
        </is>
      </c>
      <c r="DB1" s="1" t="inlineStr">
        <is>
          <t>alfa_ef_serie_deg</t>
        </is>
      </c>
      <c r="DC1" s="1" t="inlineStr">
        <is>
          <t>c_tot_serie_kPa</t>
        </is>
      </c>
      <c r="DD1" s="1" t="inlineStr">
        <is>
          <t>phi_tot_serie_deg</t>
        </is>
      </c>
      <c r="DE1" s="1" t="inlineStr">
        <is>
          <t>envolvente_total_criterio</t>
        </is>
      </c>
      <c r="DF1" s="1" t="inlineStr">
        <is>
          <t>eps_qmax_pct</t>
        </is>
      </c>
      <c r="DG1" s="1" t="inlineStr">
        <is>
          <t>sigma3f_qmax_kPa</t>
        </is>
      </c>
      <c r="DH1" s="1" t="inlineStr">
        <is>
          <t>sigma1f_qmax_kPa</t>
        </is>
      </c>
      <c r="DI1" s="1" t="inlineStr">
        <is>
          <t>u_qmax_kPa</t>
        </is>
      </c>
      <c r="DJ1" s="1" t="inlineStr">
        <is>
          <t>q_qmax_kPa</t>
        </is>
      </c>
      <c r="DK1" s="1" t="inlineStr">
        <is>
          <t>ratio_qmax</t>
        </is>
      </c>
      <c r="DL1" s="1" t="inlineStr">
        <is>
          <t>p_mit_qmax_kPa</t>
        </is>
      </c>
      <c r="DM1" s="1" t="inlineStr">
        <is>
          <t>t_mit_qmax_kPa</t>
        </is>
      </c>
      <c r="DN1" s="1" t="inlineStr">
        <is>
          <t>eps_oblmax_pct</t>
        </is>
      </c>
      <c r="DO1" s="1" t="inlineStr">
        <is>
          <t>sigma3f_oblmax_kPa</t>
        </is>
      </c>
      <c r="DP1" s="1" t="inlineStr">
        <is>
          <t>sigma1f_oblmax_kPa</t>
        </is>
      </c>
      <c r="DQ1" s="1" t="inlineStr">
        <is>
          <t>u_oblmax_kPa</t>
        </is>
      </c>
      <c r="DR1" s="1" t="inlineStr">
        <is>
          <t>q_oblmax_kPa</t>
        </is>
      </c>
      <c r="DS1" s="1" t="inlineStr">
        <is>
          <t>ratio_oblmax</t>
        </is>
      </c>
      <c r="DT1" s="1" t="inlineStr">
        <is>
          <t>p_mit_oblmax_kPa</t>
        </is>
      </c>
      <c r="DU1" s="1" t="inlineStr">
        <is>
          <t>t_mit_oblmax_kPa</t>
        </is>
      </c>
      <c r="DV1" s="1" t="inlineStr">
        <is>
          <t>eps_e15_pct</t>
        </is>
      </c>
      <c r="DW1" s="1" t="inlineStr">
        <is>
          <t>sigma3f_e15_kPa</t>
        </is>
      </c>
      <c r="DX1" s="1" t="inlineStr">
        <is>
          <t>sigma1f_e15_kPa</t>
        </is>
      </c>
      <c r="DY1" s="1" t="inlineStr">
        <is>
          <t>u_e15_kPa</t>
        </is>
      </c>
      <c r="DZ1" s="1" t="inlineStr">
        <is>
          <t>q_e15_kPa</t>
        </is>
      </c>
      <c r="EA1" s="1" t="inlineStr">
        <is>
          <t>ratio_e15</t>
        </is>
      </c>
      <c r="EB1" s="1" t="inlineStr">
        <is>
          <t>p_mit_e15_kPa</t>
        </is>
      </c>
      <c r="EC1" s="1" t="inlineStr">
        <is>
          <t>t_mit_e15_kPa</t>
        </is>
      </c>
      <c r="ED1" s="1" t="inlineStr">
        <is>
          <t>pico_local_previo</t>
        </is>
      </c>
      <c r="EE1" s="1" t="inlineStr">
        <is>
          <t>e_post_consolidacion_calc</t>
        </is>
      </c>
      <c r="EF1" s="1" t="inlineStr">
        <is>
          <t>dV_consolidacion_pct_calc</t>
        </is>
      </c>
      <c r="EG1" s="1" t="inlineStr">
        <is>
          <t>Sr_post_consol_calc</t>
        </is>
      </c>
      <c r="EH1" s="1" t="inlineStr">
        <is>
          <t>Gs_implicito_Sr1_calc</t>
        </is>
      </c>
      <c r="EI1" s="1" t="inlineStr">
        <is>
          <t>velocidad_pct_min_calc</t>
        </is>
      </c>
      <c r="EJ1" s="1" t="inlineStr">
        <is>
          <t>notas_verificacion</t>
        </is>
      </c>
      <c r="EK1" s="1" t="inlineStr">
        <is>
          <t>caja_mm</t>
        </is>
      </c>
      <c r="EL1" s="1" t="inlineStr">
        <is>
          <t>tau_66mm_kPa</t>
        </is>
      </c>
      <c r="EM1" s="1" t="inlineStr">
        <is>
          <t>phi_sec_66mm_deg</t>
        </is>
      </c>
      <c r="EN1" s="1" t="inlineStr">
        <is>
          <t>tau_residual_kPa</t>
        </is>
      </c>
      <c r="EO1" s="1" t="inlineStr">
        <is>
          <t>c_pico_serie_kPa</t>
        </is>
      </c>
      <c r="EP1" s="1" t="inlineStr">
        <is>
          <t>phi_pico_serie_deg</t>
        </is>
      </c>
      <c r="EQ1" s="1" t="inlineStr">
        <is>
          <t>coef_friccion_pico</t>
        </is>
      </c>
      <c r="ER1" s="1" t="inlineStr">
        <is>
          <t>c_66mm_serie_kPa</t>
        </is>
      </c>
      <c r="ES1" s="1" t="inlineStr">
        <is>
          <t>phi_66mm_serie_deg</t>
        </is>
      </c>
      <c r="ET1" s="1" t="inlineStr">
        <is>
          <t>coef_friccion_66mm</t>
        </is>
      </c>
      <c r="EU1" s="1" t="inlineStr">
        <is>
          <t>altura_final_mm</t>
        </is>
      </c>
      <c r="EV1" s="1" t="inlineStr">
        <is>
          <t>rho_d_final_gcm3</t>
        </is>
      </c>
      <c r="EW1" s="1" t="inlineStr">
        <is>
          <t>Sr_final_calc</t>
        </is>
      </c>
      <c r="EX1" s="1" t="inlineStr">
        <is>
          <t>tipo_ensayo_std</t>
        </is>
      </c>
      <c r="EY1" s="1" t="inlineStr">
        <is>
          <t>criterio_falla_std</t>
        </is>
      </c>
      <c r="EZ1" s="1" t="inlineStr">
        <is>
          <t>sigma3f_kPa_std</t>
        </is>
      </c>
      <c r="FA1" s="1" t="inlineStr">
        <is>
          <t>sigma1f_kPa_std</t>
        </is>
      </c>
      <c r="FB1" s="1" t="inlineStr">
        <is>
          <t>q_kPa_std</t>
        </is>
      </c>
      <c r="FC1" s="1" t="inlineStr">
        <is>
          <t>phi_sec_deg_std</t>
        </is>
      </c>
      <c r="FD1" s="1" t="inlineStr">
        <is>
          <t>sigma_n_falla_kPa</t>
        </is>
      </c>
      <c r="FE1" s="1" t="inlineStr">
        <is>
          <t>tau_falla_kPa</t>
        </is>
      </c>
      <c r="FF1" s="1" t="inlineStr">
        <is>
          <t>escala</t>
        </is>
      </c>
      <c r="FG1" s="1" t="inlineStr">
        <is>
          <t>D_sobre_Dmax</t>
        </is>
      </c>
      <c r="FH1" s="1" t="inlineStr">
        <is>
          <t>clase_desmonte_std</t>
        </is>
      </c>
      <c r="FI1" s="1" t="inlineStr">
        <is>
          <t>clase_confianza</t>
        </is>
      </c>
      <c r="FJ1" s="1" t="inlineStr">
        <is>
          <t>relave_pct_masa_total</t>
        </is>
      </c>
      <c r="FK1" s="1" t="inlineStr">
        <is>
          <t>duplicado_de</t>
        </is>
      </c>
      <c r="FL1" s="1" t="inlineStr">
        <is>
          <t>excluir_envolvente</t>
        </is>
      </c>
      <c r="FM1" s="1" t="inlineStr">
        <is>
          <t>calidad</t>
        </is>
      </c>
      <c r="FN1" s="1" t="inlineStr">
        <is>
          <t>e0_adoptado</t>
        </is>
      </c>
      <c r="FO1" s="1" t="inlineStr">
        <is>
          <t>e0_nota</t>
        </is>
      </c>
      <c r="FP1" s="1" t="inlineStr">
        <is>
          <t>Gs_adoptado</t>
        </is>
      </c>
      <c r="FQ1" s="1" t="inlineStr">
        <is>
          <t>Gs_adoptado_origen</t>
        </is>
      </c>
      <c r="FR1" s="1" t="inlineStr">
        <is>
          <t>id_probeta</t>
        </is>
      </c>
      <c r="FS1" s="1" t="inlineStr">
        <is>
          <t>id_material</t>
        </is>
      </c>
    </row>
    <row r="2">
      <c r="A2" t="inlineStr">
        <is>
          <t>G2010</t>
        </is>
      </c>
      <c r="B2" t="inlineStr">
        <is>
          <t>2010_Golder_Caracterizacion ROM IPCC.pdf</t>
        </is>
      </c>
      <c r="C2" t="n">
        <v>2010</v>
      </c>
      <c r="D2" t="inlineStr">
        <is>
          <t>Golder Associates Perú, Memorando técnico 'Caracterización material de ROM – Proyecto IPCC' (proy. 099-4151017, 25-mar-2010)</t>
        </is>
      </c>
      <c r="E2" t="inlineStr">
        <is>
          <t>Golder Associates Perú – Laboratorio de Mecánica de Suelos (Lima)</t>
        </is>
      </c>
      <c r="F2" t="inlineStr">
        <is>
          <t>G2010-A-MN-2.8in</t>
        </is>
      </c>
      <c r="G2" t="inlineStr">
        <is>
          <t>GL-481-09 Prueba Nº 1 (σ3c=324 kPa)</t>
        </is>
      </c>
      <c r="H2" t="inlineStr">
        <is>
          <t>Mármol Negro</t>
        </is>
      </c>
      <c r="I2" t="inlineStr">
        <is>
          <t>Mármol</t>
        </is>
      </c>
      <c r="J2" t="inlineStr">
        <is>
          <t>mármol negro</t>
        </is>
      </c>
      <c r="K2" t="inlineStr"/>
      <c r="L2" t="inlineStr"/>
      <c r="M2" t="inlineStr">
        <is>
          <t>ROM</t>
        </is>
      </c>
      <c r="N2" t="inlineStr"/>
      <c r="O2" t="inlineStr">
        <is>
          <t>CU</t>
        </is>
      </c>
      <c r="P2" t="inlineStr">
        <is>
          <t>sí</t>
        </is>
      </c>
      <c r="Q2" t="n">
        <v>71.40000000000001</v>
      </c>
      <c r="R2" t="n">
        <v>142.5</v>
      </c>
      <c r="S2" t="n">
        <v>9.5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Truncado: se ensayó la fracción &lt; 3/8" de la matriz; TM de terreno 35" (Fase A, Tabla 2)</t>
        </is>
      </c>
      <c r="AD2" t="n">
        <v>2.763</v>
      </c>
      <c r="AE2" t="n">
        <v>21</v>
      </c>
      <c r="AF2" t="n">
        <v>0.29</v>
      </c>
      <c r="AG2" t="inlineStr">
        <is>
          <t>informe</t>
        </is>
      </c>
      <c r="AH2" t="inlineStr"/>
      <c r="AI2" t="n">
        <v>7</v>
      </c>
      <c r="AJ2" t="n">
        <v>44.7</v>
      </c>
      <c r="AK2" t="n">
        <v>619</v>
      </c>
      <c r="AL2" t="n">
        <v>2838</v>
      </c>
      <c r="AM2" t="n">
        <v>2219</v>
      </c>
      <c r="AN2" t="inlineStr">
        <is>
          <t>Esfuerzo desviador máximo (criterio impreso en la hoja Golder)</t>
        </is>
      </c>
      <c r="AO2" t="inlineStr"/>
      <c r="AP2" t="n">
        <v>8.300000000000001</v>
      </c>
      <c r="AQ2" t="inlineStr"/>
      <c r="AR2" t="n">
        <v>-295</v>
      </c>
      <c r="AS2" t="n">
        <v>1358.7</v>
      </c>
      <c r="AT2" t="n">
        <v>2219</v>
      </c>
      <c r="AU2" t="inlineStr"/>
      <c r="AV2" t="inlineStr"/>
      <c r="AW2" t="inlineStr"/>
      <c r="AX2" t="inlineStr"/>
      <c r="AY2" t="inlineStr"/>
      <c r="AZ2" t="inlineStr"/>
      <c r="BA2" t="inlineStr">
        <is>
          <t>82;84;8;9;49</t>
        </is>
      </c>
      <c r="BB2" t="inlineStr">
        <is>
          <t>sí</t>
        </is>
      </c>
      <c r="BC2" t="inlineStr">
        <is>
          <t>Fase A (material original del tajo = ROM). Probeta remoldeada a la densidad de campo δ=2.135 g/cm3 y 7 % de humedad (solicitado por el cliente). Diámetro nominal 2.8". Inicial: S=66.6 %; final (post-consolidación): gd=2.178 g/cm3, e=0.269. Velocidad 0.083 %/min. Hoja da σ1, σ1', σ3, σ3' en la falla; σ3'f=619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32.24 MPa; Los Ángeles 62.1 %; durabilidad (sulfato de magnesio, pérdida corregida) 43.4 %. Envolvente de la hoja Golder (Mohr máximo, pág. 84): total c=871 kPa φ=10°, efectiva c'=259 kPa φ'=31°.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p.82): σ'3c=324; en la falla σ1=2543, σ1'=2838, σ3=324, σ3'=619 kPa (impresos); Δu=-295 kPa; q=σ'1−σ'3=2219 kPa. Tras consolidar: γd=2.178 g/cm3, e=0.269, S=100.0 %. La hoja Golder no tabula la curva (solo gráficos): máxima oblicuidad no informada; el estado de «máximo desviador» es el impreso. Remoldeado a la densidad de campo δ=2.135 gr/cm3 y 7% de humedad, solicitado por el cliente; material &lt;3/8".</t>
        </is>
      </c>
      <c r="BD2" t="n">
        <v>324</v>
      </c>
      <c r="BE2" t="n">
        <v>619</v>
      </c>
      <c r="BF2" t="n">
        <v>2838</v>
      </c>
      <c r="BG2" t="n">
        <v>8.300000000000001</v>
      </c>
      <c r="BH2" t="n">
        <v>619</v>
      </c>
      <c r="BI2" t="n">
        <v>2838</v>
      </c>
      <c r="BJ2" t="n">
        <v>2219</v>
      </c>
      <c r="BK2" t="n">
        <v>-295</v>
      </c>
      <c r="BL2" t="inlineStr">
        <is>
          <t>no informado</t>
        </is>
      </c>
      <c r="BM2" t="inlineStr">
        <is>
          <t>no informado</t>
        </is>
      </c>
      <c r="BN2" t="inlineStr">
        <is>
          <t>no informado</t>
        </is>
      </c>
      <c r="BO2" t="inlineStr">
        <is>
          <t>no informado</t>
        </is>
      </c>
      <c r="BP2" t="inlineStr">
        <is>
          <t>no informado</t>
        </is>
      </c>
      <c r="BQ2" t="inlineStr">
        <is>
          <t>no informado</t>
        </is>
      </c>
      <c r="BR2" t="inlineStr">
        <is>
          <t>no informado</t>
        </is>
      </c>
      <c r="BS2" t="inlineStr">
        <is>
          <t>no informado</t>
        </is>
      </c>
      <c r="BT2" t="n">
        <v>0.083</v>
      </c>
      <c r="BU2" t="n">
        <v>21.37</v>
      </c>
      <c r="BV2" t="n">
        <v>0.269</v>
      </c>
      <c r="BW2" t="inlineStr">
        <is>
          <t>100.0</t>
        </is>
      </c>
      <c r="BX2" t="inlineStr">
        <is>
          <t>2.763 (D854, «G. Específica Promedio» de la hoja y p.49); e0 recalculado = 0.291</t>
        </is>
      </c>
      <c r="BY2" t="inlineStr">
        <is>
          <t>verificado en imagen; esfuerzos separados (consolidación / falla)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Triaxial CU</t>
        </is>
      </c>
      <c r="EY2" t="inlineStr">
        <is>
          <t>CU: máximo desviador (la fuente no permite máxima oblicuidad)</t>
        </is>
      </c>
      <c r="EZ2" t="n">
        <v>619</v>
      </c>
      <c r="FA2" t="n">
        <v>2838</v>
      </c>
      <c r="FB2" t="n">
        <v>2219</v>
      </c>
      <c r="FC2" t="n">
        <v>39.93260007831604</v>
      </c>
      <c r="FD2" t="n">
        <v>1016.327451547585</v>
      </c>
      <c r="FE2" t="n">
        <v>850.7646626598873</v>
      </c>
      <c r="FF2" t="inlineStr">
        <is>
          <t>pequeña (&lt;120 mm)</t>
        </is>
      </c>
      <c r="FG2" t="n">
        <v>7.515789473684211</v>
      </c>
      <c r="FH2" t="inlineStr">
        <is>
          <t>ROM</t>
        </is>
      </c>
      <c r="FI2" t="inlineStr">
        <is>
          <t>dudosa: muestras del acopio de la chancadora secundaria; hojas de Fase A dicen «Material Chancado»</t>
        </is>
      </c>
      <c r="FJ2" t="n">
        <v>0</v>
      </c>
      <c r="FK2" t="inlineStr"/>
      <c r="FL2" t="inlineStr"/>
      <c r="FM2" t="inlineStr">
        <is>
          <t>A</t>
        </is>
      </c>
      <c r="FN2" t="n">
        <v>0.29</v>
      </c>
      <c r="FO2" t="inlineStr"/>
      <c r="FP2" t="n">
        <v>2.763</v>
      </c>
      <c r="FQ2" t="inlineStr">
        <is>
          <t>informe o verificación</t>
        </is>
      </c>
      <c r="FR2" t="inlineStr">
        <is>
          <t>G2010-000</t>
        </is>
      </c>
      <c r="FS2" t="inlineStr">
        <is>
          <t>G2010|G2010-A-MN-2.8in</t>
        </is>
      </c>
    </row>
    <row r="3">
      <c r="A3" t="inlineStr">
        <is>
          <t>G2010</t>
        </is>
      </c>
      <c r="B3" t="inlineStr">
        <is>
          <t>2010_Golder_Caracterizacion ROM IPCC.pdf</t>
        </is>
      </c>
      <c r="C3" t="n">
        <v>2010</v>
      </c>
      <c r="D3" t="inlineStr">
        <is>
          <t>Golder Associates Perú, Memorando técnico 'Caracterización material de ROM – Proyecto IPCC' (proy. 099-4151017, 25-mar-2010)</t>
        </is>
      </c>
      <c r="E3" t="inlineStr">
        <is>
          <t>Golder Associates Perú – Laboratorio de Mecánica de Suelos (Lima)</t>
        </is>
      </c>
      <c r="F3" t="inlineStr">
        <is>
          <t>G2010-A-MN-2.8in</t>
        </is>
      </c>
      <c r="G3" t="inlineStr">
        <is>
          <t>GL-481-09 Prueba Nº 2 (σ3c=788 kPa)</t>
        </is>
      </c>
      <c r="H3" t="inlineStr">
        <is>
          <t>Mármol Negro</t>
        </is>
      </c>
      <c r="I3" t="inlineStr">
        <is>
          <t>Mármol</t>
        </is>
      </c>
      <c r="J3" t="inlineStr">
        <is>
          <t>mármol negro</t>
        </is>
      </c>
      <c r="K3" t="inlineStr"/>
      <c r="L3" t="inlineStr"/>
      <c r="M3" t="inlineStr">
        <is>
          <t>ROM</t>
        </is>
      </c>
      <c r="N3" t="inlineStr"/>
      <c r="O3" t="inlineStr">
        <is>
          <t>CU</t>
        </is>
      </c>
      <c r="P3" t="inlineStr">
        <is>
          <t>sí</t>
        </is>
      </c>
      <c r="Q3" t="n">
        <v>71.5</v>
      </c>
      <c r="R3" t="n">
        <v>142.5</v>
      </c>
      <c r="S3" t="n">
        <v>9.5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Truncado: se ensayó la fracción &lt; 3/8" de la matriz; TM de terreno 35" (Fase A, Tabla 2)</t>
        </is>
      </c>
      <c r="AD3" t="n">
        <v>2.763</v>
      </c>
      <c r="AE3" t="n">
        <v>20.93</v>
      </c>
      <c r="AF3" t="n">
        <v>0.295</v>
      </c>
      <c r="AG3" t="inlineStr">
        <is>
          <t>informe</t>
        </is>
      </c>
      <c r="AH3" t="inlineStr"/>
      <c r="AI3" t="n">
        <v>7</v>
      </c>
      <c r="AJ3" t="n">
        <v>44.7</v>
      </c>
      <c r="AK3" t="n">
        <v>717</v>
      </c>
      <c r="AL3" t="n">
        <v>3111</v>
      </c>
      <c r="AM3" t="n">
        <v>2394</v>
      </c>
      <c r="AN3" t="inlineStr">
        <is>
          <t>Esfuerzo desviador máximo (criterio impreso en la hoja Golder)</t>
        </is>
      </c>
      <c r="AO3" t="inlineStr"/>
      <c r="AP3" t="n">
        <v>7.6</v>
      </c>
      <c r="AQ3" t="inlineStr"/>
      <c r="AR3" t="n">
        <v>71</v>
      </c>
      <c r="AS3" t="n">
        <v>1515</v>
      </c>
      <c r="AT3" t="n">
        <v>2394</v>
      </c>
      <c r="AU3" t="inlineStr"/>
      <c r="AV3" t="inlineStr"/>
      <c r="AW3" t="inlineStr"/>
      <c r="AX3" t="inlineStr"/>
      <c r="AY3" t="inlineStr"/>
      <c r="AZ3" t="inlineStr"/>
      <c r="BA3" t="inlineStr">
        <is>
          <t>82;84;8;9;49</t>
        </is>
      </c>
      <c r="BB3" t="inlineStr">
        <is>
          <t>sí</t>
        </is>
      </c>
      <c r="BC3" t="inlineStr">
        <is>
          <t>Fase A (material original del tajo = ROM). Probeta remoldeada a la densidad de campo δ=2.135 g/cm3 y 7 % de humedad (solicitado por el cliente). Diámetro nominal 2.8". Inicial: S=65.6 %; final (post-consolidación): gd=2.199 g/cm3, e=0.256. Velocidad 0.083 %/min. Hoja da σ1, σ1', σ3, σ3' en la falla; σ3'f=717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32.24 MPa; Los Ángeles 62.1 %; durabilidad (sulfato de magnesio, pérdida corregida) 43.4 %. Envolvente de la hoja Golder (Mohr máximo, pág. 84): total c=871 kPa φ=10°, efectiva c'=259 kPa φ'=31°.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p.82): σ'3c=788; en la falla σ1=3181, σ1'=3111, σ3=788, σ3'=717 kPa (impresos); Δu=71 kPa; q=σ'1−σ'3=2394 kPa. En la hoja σ1−σ3 (totales) = 2393 kPa y σ1'−σ3' = 2394 kPa (diferencia de redondeo de la hoja); se adopta el valor efectivo. Tras consolidar: γd=2.199 g/cm3, e=0.256, S=99.9 %. La hoja Golder no tabula la curva (solo gráficos): máxima oblicuidad no informada; el estado de «máximo desviador» es el impreso. Remoldeado a la densidad de campo δ=2.135 gr/cm3 y 7% de humedad, solicitado por el cliente; material &lt;3/8".</t>
        </is>
      </c>
      <c r="BD3" t="n">
        <v>788</v>
      </c>
      <c r="BE3" t="n">
        <v>717</v>
      </c>
      <c r="BF3" t="n">
        <v>3111</v>
      </c>
      <c r="BG3" t="n">
        <v>7.6</v>
      </c>
      <c r="BH3" t="n">
        <v>717</v>
      </c>
      <c r="BI3" t="n">
        <v>3111</v>
      </c>
      <c r="BJ3" t="n">
        <v>2394</v>
      </c>
      <c r="BK3" t="n">
        <v>71</v>
      </c>
      <c r="BL3" t="inlineStr">
        <is>
          <t>no informado</t>
        </is>
      </c>
      <c r="BM3" t="inlineStr">
        <is>
          <t>no informado</t>
        </is>
      </c>
      <c r="BN3" t="inlineStr">
        <is>
          <t>no informado</t>
        </is>
      </c>
      <c r="BO3" t="inlineStr">
        <is>
          <t>no informado</t>
        </is>
      </c>
      <c r="BP3" t="inlineStr">
        <is>
          <t>no informado</t>
        </is>
      </c>
      <c r="BQ3" t="inlineStr">
        <is>
          <t>no informado</t>
        </is>
      </c>
      <c r="BR3" t="inlineStr">
        <is>
          <t>no informado</t>
        </is>
      </c>
      <c r="BS3" t="inlineStr">
        <is>
          <t>no informado</t>
        </is>
      </c>
      <c r="BT3" t="n">
        <v>0.083</v>
      </c>
      <c r="BU3" t="n">
        <v>21.57</v>
      </c>
      <c r="BV3" t="n">
        <v>0.256</v>
      </c>
      <c r="BW3" t="inlineStr">
        <is>
          <t>99.9</t>
        </is>
      </c>
      <c r="BX3" t="inlineStr">
        <is>
          <t>2.763 (D854, «G. Específica Promedio» de la hoja y p.49); e0 recalculado = 0.295</t>
        </is>
      </c>
      <c r="BY3" t="inlineStr">
        <is>
          <t>verificado en imagen; esfuerzos separados (consolidación / falla)</t>
        </is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Triaxial CU</t>
        </is>
      </c>
      <c r="EY3" t="inlineStr">
        <is>
          <t>CU: máximo desviador (la fuente no permite máxima oblicuidad)</t>
        </is>
      </c>
      <c r="EZ3" t="n">
        <v>717</v>
      </c>
      <c r="FA3" t="n">
        <v>3111</v>
      </c>
      <c r="FB3" t="n">
        <v>2394</v>
      </c>
      <c r="FC3" t="n">
        <v>38.71095394927833</v>
      </c>
      <c r="FD3" t="n">
        <v>1165.405956112853</v>
      </c>
      <c r="FE3" t="n">
        <v>934.0320965880604</v>
      </c>
      <c r="FF3" t="inlineStr">
        <is>
          <t>pequeña (&lt;120 mm)</t>
        </is>
      </c>
      <c r="FG3" t="n">
        <v>7.526315789473684</v>
      </c>
      <c r="FH3" t="inlineStr">
        <is>
          <t>ROM</t>
        </is>
      </c>
      <c r="FI3" t="inlineStr">
        <is>
          <t>dudosa: muestras del acopio de la chancadora secundaria; hojas de Fase A dicen «Material Chancado»</t>
        </is>
      </c>
      <c r="FJ3" t="n">
        <v>0</v>
      </c>
      <c r="FK3" t="inlineStr"/>
      <c r="FL3" t="inlineStr"/>
      <c r="FM3" t="inlineStr">
        <is>
          <t>A</t>
        </is>
      </c>
      <c r="FN3" t="n">
        <v>0.295</v>
      </c>
      <c r="FO3" t="inlineStr"/>
      <c r="FP3" t="n">
        <v>2.763</v>
      </c>
      <c r="FQ3" t="inlineStr">
        <is>
          <t>informe o verificación</t>
        </is>
      </c>
      <c r="FR3" t="inlineStr">
        <is>
          <t>G2010-001</t>
        </is>
      </c>
      <c r="FS3" t="inlineStr">
        <is>
          <t>G2010|G2010-A-MN-2.8in</t>
        </is>
      </c>
    </row>
    <row r="4">
      <c r="A4" t="inlineStr">
        <is>
          <t>G2010</t>
        </is>
      </c>
      <c r="B4" t="inlineStr">
        <is>
          <t>2010_Golder_Caracterizacion ROM IPCC.pdf</t>
        </is>
      </c>
      <c r="C4" t="n">
        <v>2010</v>
      </c>
      <c r="D4" t="inlineStr">
        <is>
          <t>Golder Associates Perú, Memorando técnico 'Caracterización material de ROM – Proyecto IPCC' (proy. 099-4151017, 25-mar-2010)</t>
        </is>
      </c>
      <c r="E4" t="inlineStr">
        <is>
          <t>Golder Associates Perú – Laboratorio de Mecánica de Suelos (Lima)</t>
        </is>
      </c>
      <c r="F4" t="inlineStr">
        <is>
          <t>G2010-A-MN-2.8in</t>
        </is>
      </c>
      <c r="G4" t="inlineStr">
        <is>
          <t>GL-481-09 Prueba Nº 3 (σ3c=1570 kPa)</t>
        </is>
      </c>
      <c r="H4" t="inlineStr">
        <is>
          <t>Mármol Negro</t>
        </is>
      </c>
      <c r="I4" t="inlineStr">
        <is>
          <t>Mármol</t>
        </is>
      </c>
      <c r="J4" t="inlineStr">
        <is>
          <t>mármol negro</t>
        </is>
      </c>
      <c r="K4" t="inlineStr"/>
      <c r="L4" t="inlineStr"/>
      <c r="M4" t="inlineStr">
        <is>
          <t>ROM</t>
        </is>
      </c>
      <c r="N4" t="inlineStr"/>
      <c r="O4" t="inlineStr">
        <is>
          <t>CU</t>
        </is>
      </c>
      <c r="P4" t="inlineStr">
        <is>
          <t>sí</t>
        </is>
      </c>
      <c r="Q4" t="n">
        <v>71.40000000000001</v>
      </c>
      <c r="R4" t="n">
        <v>142.5</v>
      </c>
      <c r="S4" t="n">
        <v>9.5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Truncado: se ensayó la fracción &lt; 3/8" de la matriz; TM de terreno 35" (Fase A, Tabla 2)</t>
        </is>
      </c>
      <c r="AD4" t="n">
        <v>2.763</v>
      </c>
      <c r="AE4" t="n">
        <v>21</v>
      </c>
      <c r="AF4" t="n">
        <v>0.29</v>
      </c>
      <c r="AG4" t="inlineStr">
        <is>
          <t>informe</t>
        </is>
      </c>
      <c r="AH4" t="inlineStr"/>
      <c r="AI4" t="n">
        <v>7</v>
      </c>
      <c r="AJ4" t="n">
        <v>44.7</v>
      </c>
      <c r="AK4" t="n">
        <v>869</v>
      </c>
      <c r="AL4" t="n">
        <v>3606</v>
      </c>
      <c r="AM4" t="n">
        <v>2737</v>
      </c>
      <c r="AN4" t="inlineStr">
        <is>
          <t>Esfuerzo desviador máximo (criterio impreso en la hoja Golder)</t>
        </is>
      </c>
      <c r="AO4" t="inlineStr"/>
      <c r="AP4" t="n">
        <v>5.3</v>
      </c>
      <c r="AQ4" t="inlineStr"/>
      <c r="AR4" t="n">
        <v>701</v>
      </c>
      <c r="AS4" t="n">
        <v>1781.3</v>
      </c>
      <c r="AT4" t="n">
        <v>2737</v>
      </c>
      <c r="AU4" t="inlineStr"/>
      <c r="AV4" t="inlineStr"/>
      <c r="AW4" t="inlineStr"/>
      <c r="AX4" t="inlineStr"/>
      <c r="AY4" t="inlineStr"/>
      <c r="AZ4" t="inlineStr"/>
      <c r="BA4" t="inlineStr">
        <is>
          <t>82;84;8;9;49</t>
        </is>
      </c>
      <c r="BB4" t="inlineStr">
        <is>
          <t>sí</t>
        </is>
      </c>
      <c r="BC4" t="inlineStr">
        <is>
          <t>Fase A (material original del tajo = ROM). Probeta remoldeada a la densidad de campo δ=2.135 g/cm3 y 7 % de humedad (solicitado por el cliente). Diámetro nominal 2.8". Inicial: S=66.6 %; final (post-consolidación): gd=2.219 g/cm3, e=0.245. Velocidad 0.083 %/min. Hoja da σ1, σ1', σ3, σ3' en la falla; σ3'f=869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32.24 MPa; Los Ángeles 62.1 %; durabilidad (sulfato de magnesio, pérdida corregida) 43.4 %. Envolvente de la hoja Golder (Mohr máximo, pág. 84): total c=871 kPa φ=10°, efectiva c'=259 kPa φ'=31°.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p.82): σ'3c=1570; en la falla σ1=4308, σ1'=3606, σ3=1570, σ3'=869 kPa (impresos); Δu=701 kPa; q=σ'1−σ'3=2737 kPa. En la hoja σ1−σ3 (totales) = 2738 kPa y σ1'−σ3' = 2737 kPa (diferencia de redondeo de la hoja); se adopta el valor efectivo. Tras consolidar: γd=2.219 g/cm3, e=0.245, S=100.0 %. La hoja Golder no tabula la curva (solo gráficos): máxima oblicuidad no informada; el estado de «máximo desviador» es el impreso. Remoldeado a la densidad de campo δ=2.135 gr/cm3 y 7% de humedad, solicitado por el cliente; material &lt;3/8".</t>
        </is>
      </c>
      <c r="BD4" t="n">
        <v>1570</v>
      </c>
      <c r="BE4" t="n">
        <v>869</v>
      </c>
      <c r="BF4" t="n">
        <v>3606</v>
      </c>
      <c r="BG4" t="n">
        <v>5.3</v>
      </c>
      <c r="BH4" t="n">
        <v>869</v>
      </c>
      <c r="BI4" t="n">
        <v>3606</v>
      </c>
      <c r="BJ4" t="n">
        <v>2737</v>
      </c>
      <c r="BK4" t="n">
        <v>701</v>
      </c>
      <c r="BL4" t="inlineStr">
        <is>
          <t>no informado</t>
        </is>
      </c>
      <c r="BM4" t="inlineStr">
        <is>
          <t>no informado</t>
        </is>
      </c>
      <c r="BN4" t="inlineStr">
        <is>
          <t>no informado</t>
        </is>
      </c>
      <c r="BO4" t="inlineStr">
        <is>
          <t>no informado</t>
        </is>
      </c>
      <c r="BP4" t="inlineStr">
        <is>
          <t>no informado</t>
        </is>
      </c>
      <c r="BQ4" t="inlineStr">
        <is>
          <t>no informado</t>
        </is>
      </c>
      <c r="BR4" t="inlineStr">
        <is>
          <t>no informado</t>
        </is>
      </c>
      <c r="BS4" t="inlineStr">
        <is>
          <t>no informado</t>
        </is>
      </c>
      <c r="BT4" t="n">
        <v>0.083</v>
      </c>
      <c r="BU4" t="n">
        <v>21.77</v>
      </c>
      <c r="BV4" t="n">
        <v>0.245</v>
      </c>
      <c r="BW4" t="inlineStr">
        <is>
          <t>100.0</t>
        </is>
      </c>
      <c r="BX4" t="inlineStr">
        <is>
          <t>2.763 (D854, «G. Específica Promedio» de la hoja y p.49); e0 recalculado = 0.291</t>
        </is>
      </c>
      <c r="BY4" t="inlineStr">
        <is>
          <t>verificado en imagen; esfuerzos separados (consolidación / falla)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Triaxial CU</t>
        </is>
      </c>
      <c r="EY4" t="inlineStr">
        <is>
          <t>CU: máximo desviador (la fuente no permite máxima oblicuidad)</t>
        </is>
      </c>
      <c r="EZ4" t="n">
        <v>869</v>
      </c>
      <c r="FA4" t="n">
        <v>3606</v>
      </c>
      <c r="FB4" t="n">
        <v>2737</v>
      </c>
      <c r="FC4" t="n">
        <v>37.7067400032957</v>
      </c>
      <c r="FD4" t="n">
        <v>1400.497877094972</v>
      </c>
      <c r="FE4" t="n">
        <v>1082.690951404174</v>
      </c>
      <c r="FF4" t="inlineStr">
        <is>
          <t>pequeña (&lt;120 mm)</t>
        </is>
      </c>
      <c r="FG4" t="n">
        <v>7.515789473684211</v>
      </c>
      <c r="FH4" t="inlineStr">
        <is>
          <t>ROM</t>
        </is>
      </c>
      <c r="FI4" t="inlineStr">
        <is>
          <t>dudosa: muestras del acopio de la chancadora secundaria; hojas de Fase A dicen «Material Chancado»</t>
        </is>
      </c>
      <c r="FJ4" t="n">
        <v>0</v>
      </c>
      <c r="FK4" t="inlineStr"/>
      <c r="FL4" t="inlineStr"/>
      <c r="FM4" t="inlineStr">
        <is>
          <t>A</t>
        </is>
      </c>
      <c r="FN4" t="n">
        <v>0.29</v>
      </c>
      <c r="FO4" t="inlineStr"/>
      <c r="FP4" t="n">
        <v>2.763</v>
      </c>
      <c r="FQ4" t="inlineStr">
        <is>
          <t>informe o verificación</t>
        </is>
      </c>
      <c r="FR4" t="inlineStr">
        <is>
          <t>G2010-002</t>
        </is>
      </c>
      <c r="FS4" t="inlineStr">
        <is>
          <t>G2010|G2010-A-MN-2.8in</t>
        </is>
      </c>
    </row>
    <row r="5">
      <c r="A5" t="inlineStr">
        <is>
          <t>G2010</t>
        </is>
      </c>
      <c r="B5" t="inlineStr">
        <is>
          <t>2010_Golder_Caracterizacion ROM IPCC.pdf</t>
        </is>
      </c>
      <c r="C5" t="n">
        <v>2010</v>
      </c>
      <c r="D5" t="inlineStr">
        <is>
          <t>Golder Associates Perú, Memorando técnico 'Caracterización material de ROM – Proyecto IPCC' (proy. 099-4151017, 25-mar-2010)</t>
        </is>
      </c>
      <c r="E5" t="inlineStr">
        <is>
          <t>Golder Associates Perú – Laboratorio de Mecánica de Suelos (Lima)</t>
        </is>
      </c>
      <c r="F5" t="inlineStr">
        <is>
          <t>G2010-A-HG-2.8in</t>
        </is>
      </c>
      <c r="G5" t="inlineStr">
        <is>
          <t>GL-482-09 Prueba Nº 1 (σ3c=393 kPa)</t>
        </is>
      </c>
      <c r="H5" t="inlineStr">
        <is>
          <t>Hornfels Gris</t>
        </is>
      </c>
      <c r="I5" t="inlineStr">
        <is>
          <t>Hornfels</t>
        </is>
      </c>
      <c r="J5" t="inlineStr">
        <is>
          <t>hornfels gris</t>
        </is>
      </c>
      <c r="K5" t="inlineStr"/>
      <c r="L5" t="inlineStr"/>
      <c r="M5" t="inlineStr">
        <is>
          <t>ROM</t>
        </is>
      </c>
      <c r="N5" t="inlineStr"/>
      <c r="O5" t="inlineStr">
        <is>
          <t>CU</t>
        </is>
      </c>
      <c r="P5" t="inlineStr">
        <is>
          <t>sí</t>
        </is>
      </c>
      <c r="Q5" t="n">
        <v>71.7</v>
      </c>
      <c r="R5" t="n">
        <v>142.2</v>
      </c>
      <c r="S5" t="n">
        <v>9.5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Truncado: se ensayó la fracción &lt; 3/8" de la matriz; TM de terreno 35" (Fase A, Tabla 2)</t>
        </is>
      </c>
      <c r="AD5" t="n">
        <v>2.791</v>
      </c>
      <c r="AE5" t="n">
        <v>19.88</v>
      </c>
      <c r="AF5" t="n">
        <v>0.377</v>
      </c>
      <c r="AG5" t="inlineStr">
        <is>
          <t>informe</t>
        </is>
      </c>
      <c r="AH5" t="inlineStr"/>
      <c r="AI5" t="n">
        <v>6</v>
      </c>
      <c r="AJ5" t="n">
        <v>49.2</v>
      </c>
      <c r="AK5" t="n">
        <v>216</v>
      </c>
      <c r="AL5" t="n">
        <v>922</v>
      </c>
      <c r="AM5" t="n">
        <v>706</v>
      </c>
      <c r="AN5" t="inlineStr">
        <is>
          <t>Esfuerzo desviador máximo (criterio impreso en la hoja Golder)</t>
        </is>
      </c>
      <c r="AO5" t="inlineStr"/>
      <c r="AP5" t="n">
        <v>1.9</v>
      </c>
      <c r="AQ5" t="inlineStr"/>
      <c r="AR5" t="n">
        <v>177</v>
      </c>
      <c r="AS5" t="n">
        <v>451.3</v>
      </c>
      <c r="AT5" t="n">
        <v>706</v>
      </c>
      <c r="AU5" t="inlineStr"/>
      <c r="AV5" t="inlineStr"/>
      <c r="AW5" t="inlineStr"/>
      <c r="AX5" t="inlineStr"/>
      <c r="AY5" t="inlineStr"/>
      <c r="AZ5" t="inlineStr"/>
      <c r="BA5" t="inlineStr">
        <is>
          <t>87;89;8;9;49</t>
        </is>
      </c>
      <c r="BB5" t="inlineStr">
        <is>
          <t>sí</t>
        </is>
      </c>
      <c r="BC5" t="inlineStr">
        <is>
          <t>Fase A (material original del tajo = ROM). Probeta remoldeada a la densidad de campo δ=2.026 g/cm3 y 6 % de humedad (solicitado por el cliente). Diámetro nominal 2.8". Inicial: S=44.5 %; final (post-consolidación): gd=2.066 g/cm3, e=0.351. Velocidad 0.083 %/min. Hoja da σ1, σ1', σ3, σ3' en la falla; σ3'f=216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72.99 MPa; Los Ángeles 23.7 %; durabilidad (sulfato de magnesio, pérdida corregida) 0.7 %. Envolvente de la hoja Golder (Mohr máximo, pág. 89): total c=149 kPa φ=15°, efectiva c'=33 kPa φ'=35°.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p.87): σ'3c=393; en la falla σ1=1099, σ1'=922, σ3=393, σ3'=216 kPa (impresos); Δu=177 kPa; q=σ'1−σ'3=706 kPa. Tras consolidar: γd=2.066 g/cm3, e=0.351, S=100.0 %. La hoja Golder no tabula la curva (solo gráficos): máxima oblicuidad no informada; el estado de «máximo desviador» es el impreso. Remoldeado a la densidad de campo δ=2.026 gr/cm3 y 6% de humedad, solicitado por el cliente; material &lt;3/8".</t>
        </is>
      </c>
      <c r="BD5" t="n">
        <v>393</v>
      </c>
      <c r="BE5" t="n">
        <v>216</v>
      </c>
      <c r="BF5" t="n">
        <v>922</v>
      </c>
      <c r="BG5" t="n">
        <v>1.9</v>
      </c>
      <c r="BH5" t="n">
        <v>216</v>
      </c>
      <c r="BI5" t="n">
        <v>922</v>
      </c>
      <c r="BJ5" t="n">
        <v>706</v>
      </c>
      <c r="BK5" t="n">
        <v>177</v>
      </c>
      <c r="BL5" t="inlineStr">
        <is>
          <t>no informado</t>
        </is>
      </c>
      <c r="BM5" t="inlineStr">
        <is>
          <t>no informado</t>
        </is>
      </c>
      <c r="BN5" t="inlineStr">
        <is>
          <t>no informado</t>
        </is>
      </c>
      <c r="BO5" t="inlineStr">
        <is>
          <t>no informado</t>
        </is>
      </c>
      <c r="BP5" t="inlineStr">
        <is>
          <t>no informado</t>
        </is>
      </c>
      <c r="BQ5" t="inlineStr">
        <is>
          <t>no informado</t>
        </is>
      </c>
      <c r="BR5" t="inlineStr">
        <is>
          <t>no informado</t>
        </is>
      </c>
      <c r="BS5" t="inlineStr">
        <is>
          <t>no informado</t>
        </is>
      </c>
      <c r="BT5" t="n">
        <v>0.083</v>
      </c>
      <c r="BU5" t="n">
        <v>20.27</v>
      </c>
      <c r="BV5" t="n">
        <v>0.351</v>
      </c>
      <c r="BW5" t="inlineStr">
        <is>
          <t>100.0</t>
        </is>
      </c>
      <c r="BX5" t="inlineStr">
        <is>
          <t>2.791 (D854, «G. Específica Promedio» de la hoja y p.49); e0 recalculado = 0.377</t>
        </is>
      </c>
      <c r="BY5" t="inlineStr">
        <is>
          <t>verificado en imagen; esfuerzos separados (consolidación / falla)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Triaxial CU</t>
        </is>
      </c>
      <c r="EY5" t="inlineStr">
        <is>
          <t>CU: máximo desviador (la fuente no permite máxima oblicuidad)</t>
        </is>
      </c>
      <c r="EZ5" t="n">
        <v>216</v>
      </c>
      <c r="FA5" t="n">
        <v>922</v>
      </c>
      <c r="FB5" t="n">
        <v>706</v>
      </c>
      <c r="FC5" t="n">
        <v>38.34437471099353</v>
      </c>
      <c r="FD5" t="n">
        <v>350.0035149384886</v>
      </c>
      <c r="FE5" t="n">
        <v>276.8565323966607</v>
      </c>
      <c r="FF5" t="inlineStr">
        <is>
          <t>pequeña (&lt;120 mm)</t>
        </is>
      </c>
      <c r="FG5" t="n">
        <v>7.547368421052632</v>
      </c>
      <c r="FH5" t="inlineStr">
        <is>
          <t>ROM</t>
        </is>
      </c>
      <c r="FI5" t="inlineStr">
        <is>
          <t>dudosa: muestras del acopio de la chancadora secundaria; hojas de Fase A dicen «Material Chancado»</t>
        </is>
      </c>
      <c r="FJ5" t="n">
        <v>0</v>
      </c>
      <c r="FK5" t="inlineStr"/>
      <c r="FL5" t="inlineStr"/>
      <c r="FM5" t="inlineStr">
        <is>
          <t>A</t>
        </is>
      </c>
      <c r="FN5" t="n">
        <v>0.377</v>
      </c>
      <c r="FO5" t="inlineStr"/>
      <c r="FP5" t="n">
        <v>2.791</v>
      </c>
      <c r="FQ5" t="inlineStr">
        <is>
          <t>informe o verificación</t>
        </is>
      </c>
      <c r="FR5" t="inlineStr">
        <is>
          <t>G2010-003</t>
        </is>
      </c>
      <c r="FS5" t="inlineStr">
        <is>
          <t>G2010|G2010-A-HG-2.8in</t>
        </is>
      </c>
    </row>
    <row r="6">
      <c r="A6" t="inlineStr">
        <is>
          <t>G2010</t>
        </is>
      </c>
      <c r="B6" t="inlineStr">
        <is>
          <t>2010_Golder_Caracterizacion ROM IPCC.pdf</t>
        </is>
      </c>
      <c r="C6" t="n">
        <v>2010</v>
      </c>
      <c r="D6" t="inlineStr">
        <is>
          <t>Golder Associates Perú, Memorando técnico 'Caracterización material de ROM – Proyecto IPCC' (proy. 099-4151017, 25-mar-2010)</t>
        </is>
      </c>
      <c r="E6" t="inlineStr">
        <is>
          <t>Golder Associates Perú – Laboratorio de Mecánica de Suelos (Lima)</t>
        </is>
      </c>
      <c r="F6" t="inlineStr">
        <is>
          <t>G2010-A-HG-2.8in</t>
        </is>
      </c>
      <c r="G6" t="inlineStr">
        <is>
          <t>GL-482-09 Prueba Nº 2 (σ3c=786 kPa)</t>
        </is>
      </c>
      <c r="H6" t="inlineStr">
        <is>
          <t>Hornfels Gris</t>
        </is>
      </c>
      <c r="I6" t="inlineStr">
        <is>
          <t>Hornfels</t>
        </is>
      </c>
      <c r="J6" t="inlineStr">
        <is>
          <t>hornfels gris</t>
        </is>
      </c>
      <c r="K6" t="inlineStr"/>
      <c r="L6" t="inlineStr"/>
      <c r="M6" t="inlineStr">
        <is>
          <t>ROM</t>
        </is>
      </c>
      <c r="N6" t="inlineStr"/>
      <c r="O6" t="inlineStr">
        <is>
          <t>CU</t>
        </is>
      </c>
      <c r="P6" t="inlineStr">
        <is>
          <t>sí</t>
        </is>
      </c>
      <c r="Q6" t="n">
        <v>71.7</v>
      </c>
      <c r="R6" t="n">
        <v>142.2</v>
      </c>
      <c r="S6" t="n">
        <v>9.5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Truncado: se ensayó la fracción &lt; 3/8" de la matriz; TM de terreno 35" (Fase A, Tabla 2)</t>
        </is>
      </c>
      <c r="AD6" t="n">
        <v>2.791</v>
      </c>
      <c r="AE6" t="n">
        <v>19.88</v>
      </c>
      <c r="AF6" t="n">
        <v>0.377</v>
      </c>
      <c r="AG6" t="inlineStr">
        <is>
          <t>informe</t>
        </is>
      </c>
      <c r="AH6" t="inlineStr"/>
      <c r="AI6" t="n">
        <v>6</v>
      </c>
      <c r="AJ6" t="n">
        <v>49.2</v>
      </c>
      <c r="AK6" t="n">
        <v>303</v>
      </c>
      <c r="AL6" t="n">
        <v>1207</v>
      </c>
      <c r="AM6" t="n">
        <v>904</v>
      </c>
      <c r="AN6" t="inlineStr">
        <is>
          <t>Esfuerzo desviador máximo (criterio impreso en la hoja Golder)</t>
        </is>
      </c>
      <c r="AO6" t="inlineStr"/>
      <c r="AP6" t="n">
        <v>1.8</v>
      </c>
      <c r="AQ6" t="inlineStr"/>
      <c r="AR6" t="n">
        <v>483</v>
      </c>
      <c r="AS6" t="n">
        <v>604.3</v>
      </c>
      <c r="AT6" t="n">
        <v>904</v>
      </c>
      <c r="AU6" t="inlineStr"/>
      <c r="AV6" t="inlineStr"/>
      <c r="AW6" t="inlineStr"/>
      <c r="AX6" t="inlineStr"/>
      <c r="AY6" t="inlineStr"/>
      <c r="AZ6" t="inlineStr"/>
      <c r="BA6" t="inlineStr">
        <is>
          <t>87;89;8;9;49</t>
        </is>
      </c>
      <c r="BB6" t="inlineStr">
        <is>
          <t>sí</t>
        </is>
      </c>
      <c r="BC6" t="inlineStr">
        <is>
          <t>Fase A (material original del tajo = ROM). Probeta remoldeada a la densidad de campo δ=2.026 g/cm3 y 6 % de humedad (solicitado por el cliente). Diámetro nominal 2.8". Inicial: S=44.5 %; final (post-consolidación): gd=2.131 g/cm3, e=0.31. Velocidad 0.083 %/min. Hoja da σ1, σ1', σ3, σ3' en la falla; σ3'f=303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72.99 MPa; Los Ángeles 23.7 %; durabilidad (sulfato de magnesio, pérdida corregida) 0.7 %. Envolvente de la hoja Golder (Mohr máximo, pág. 89): total c=149 kPa φ=15°, efectiva c'=33 kPa φ'=35°.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p.87): σ'3c=786; en la falla σ1=1691, σ1'=1207, σ3=786, σ3'=303 kPa (impresos); Δu=483 kPa; q=σ'1−σ'3=904 kPa. En la hoja σ1−σ3 (totales) = 905 kPa y σ1'−σ3' = 904 kPa (diferencia de redondeo de la hoja); se adopta el valor efectivo. Tras consolidar: γd=2.131 g/cm3, e=0.31, S=100.0 %. La hoja Golder no tabula la curva (solo gráficos): máxima oblicuidad no informada; el estado de «máximo desviador» es el impreso. Remoldeado a la densidad de campo δ=2.026 gr/cm3 y 6% de humedad, solicitado por el cliente; material &lt;3/8".</t>
        </is>
      </c>
      <c r="BD6" t="n">
        <v>786</v>
      </c>
      <c r="BE6" t="n">
        <v>303</v>
      </c>
      <c r="BF6" t="n">
        <v>1207</v>
      </c>
      <c r="BG6" t="n">
        <v>1.8</v>
      </c>
      <c r="BH6" t="n">
        <v>303</v>
      </c>
      <c r="BI6" t="n">
        <v>1207</v>
      </c>
      <c r="BJ6" t="n">
        <v>904</v>
      </c>
      <c r="BK6" t="n">
        <v>483</v>
      </c>
      <c r="BL6" t="inlineStr">
        <is>
          <t>no informado</t>
        </is>
      </c>
      <c r="BM6" t="inlineStr">
        <is>
          <t>no informado</t>
        </is>
      </c>
      <c r="BN6" t="inlineStr">
        <is>
          <t>no informado</t>
        </is>
      </c>
      <c r="BO6" t="inlineStr">
        <is>
          <t>no informado</t>
        </is>
      </c>
      <c r="BP6" t="inlineStr">
        <is>
          <t>no informado</t>
        </is>
      </c>
      <c r="BQ6" t="inlineStr">
        <is>
          <t>no informado</t>
        </is>
      </c>
      <c r="BR6" t="inlineStr">
        <is>
          <t>no informado</t>
        </is>
      </c>
      <c r="BS6" t="inlineStr">
        <is>
          <t>no informado</t>
        </is>
      </c>
      <c r="BT6" t="n">
        <v>0.083</v>
      </c>
      <c r="BU6" t="n">
        <v>20.91</v>
      </c>
      <c r="BV6" t="n">
        <v>0.31</v>
      </c>
      <c r="BW6" t="inlineStr">
        <is>
          <t>100.0</t>
        </is>
      </c>
      <c r="BX6" t="inlineStr">
        <is>
          <t>2.791 (D854, «G. Específica Promedio» de la hoja y p.49); e0 recalculado = 0.377</t>
        </is>
      </c>
      <c r="BY6" t="inlineStr">
        <is>
          <t>verificado en imagen; esfuerzos separados (consolidación / falla)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Triaxial CU</t>
        </is>
      </c>
      <c r="EY6" t="inlineStr">
        <is>
          <t>CU: máximo desviador (la fuente no permite máxima oblicuidad)</t>
        </is>
      </c>
      <c r="EZ6" t="n">
        <v>303</v>
      </c>
      <c r="FA6" t="n">
        <v>1207</v>
      </c>
      <c r="FB6" t="n">
        <v>904</v>
      </c>
      <c r="FC6" t="n">
        <v>36.7750958627182</v>
      </c>
      <c r="FD6" t="n">
        <v>484.3986754966887</v>
      </c>
      <c r="FE6" t="n">
        <v>362.0482332190749</v>
      </c>
      <c r="FF6" t="inlineStr">
        <is>
          <t>pequeña (&lt;120 mm)</t>
        </is>
      </c>
      <c r="FG6" t="n">
        <v>7.547368421052632</v>
      </c>
      <c r="FH6" t="inlineStr">
        <is>
          <t>ROM</t>
        </is>
      </c>
      <c r="FI6" t="inlineStr">
        <is>
          <t>dudosa: muestras del acopio de la chancadora secundaria; hojas de Fase A dicen «Material Chancado»</t>
        </is>
      </c>
      <c r="FJ6" t="n">
        <v>0</v>
      </c>
      <c r="FK6" t="inlineStr"/>
      <c r="FL6" t="inlineStr"/>
      <c r="FM6" t="inlineStr">
        <is>
          <t>A</t>
        </is>
      </c>
      <c r="FN6" t="n">
        <v>0.377</v>
      </c>
      <c r="FO6" t="inlineStr"/>
      <c r="FP6" t="n">
        <v>2.791</v>
      </c>
      <c r="FQ6" t="inlineStr">
        <is>
          <t>informe o verificación</t>
        </is>
      </c>
      <c r="FR6" t="inlineStr">
        <is>
          <t>G2010-004</t>
        </is>
      </c>
      <c r="FS6" t="inlineStr">
        <is>
          <t>G2010|G2010-A-HG-2.8in</t>
        </is>
      </c>
    </row>
    <row r="7">
      <c r="A7" t="inlineStr">
        <is>
          <t>G2010</t>
        </is>
      </c>
      <c r="B7" t="inlineStr">
        <is>
          <t>2010_Golder_Caracterizacion ROM IPCC.pdf</t>
        </is>
      </c>
      <c r="C7" t="n">
        <v>2010</v>
      </c>
      <c r="D7" t="inlineStr">
        <is>
          <t>Golder Associates Perú, Memorando técnico 'Caracterización material de ROM – Proyecto IPCC' (proy. 099-4151017, 25-mar-2010)</t>
        </is>
      </c>
      <c r="E7" t="inlineStr">
        <is>
          <t>Golder Associates Perú – Laboratorio de Mecánica de Suelos (Lima)</t>
        </is>
      </c>
      <c r="F7" t="inlineStr">
        <is>
          <t>G2010-A-HG-2.8in</t>
        </is>
      </c>
      <c r="G7" t="inlineStr">
        <is>
          <t>GL-482-09 Prueba Nº 3 (σ3c=1577 kPa)</t>
        </is>
      </c>
      <c r="H7" t="inlineStr">
        <is>
          <t>Hornfels Gris</t>
        </is>
      </c>
      <c r="I7" t="inlineStr">
        <is>
          <t>Hornfels</t>
        </is>
      </c>
      <c r="J7" t="inlineStr">
        <is>
          <t>hornfels gris</t>
        </is>
      </c>
      <c r="K7" t="inlineStr"/>
      <c r="L7" t="inlineStr"/>
      <c r="M7" t="inlineStr">
        <is>
          <t>ROM</t>
        </is>
      </c>
      <c r="N7" t="inlineStr"/>
      <c r="O7" t="inlineStr">
        <is>
          <t>CU</t>
        </is>
      </c>
      <c r="P7" t="inlineStr">
        <is>
          <t>sí</t>
        </is>
      </c>
      <c r="Q7" t="n">
        <v>71.7</v>
      </c>
      <c r="R7" t="n">
        <v>142.2</v>
      </c>
      <c r="S7" t="n">
        <v>9.5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Truncado: se ensayó la fracción &lt; 3/8" de la matriz; TM de terreno 35" (Fase A, Tabla 2)</t>
        </is>
      </c>
      <c r="AD7" t="n">
        <v>2.791</v>
      </c>
      <c r="AE7" t="n">
        <v>19.88</v>
      </c>
      <c r="AF7" t="n">
        <v>0.377</v>
      </c>
      <c r="AG7" t="inlineStr">
        <is>
          <t>informe</t>
        </is>
      </c>
      <c r="AH7" t="inlineStr"/>
      <c r="AI7" t="n">
        <v>6</v>
      </c>
      <c r="AJ7" t="n">
        <v>49.2</v>
      </c>
      <c r="AK7" t="n">
        <v>535</v>
      </c>
      <c r="AL7" t="n">
        <v>2071</v>
      </c>
      <c r="AM7" t="n">
        <v>1536</v>
      </c>
      <c r="AN7" t="inlineStr">
        <is>
          <t>Esfuerzo desviador máximo (criterio impreso en la hoja Golder)</t>
        </is>
      </c>
      <c r="AO7" t="inlineStr"/>
      <c r="AP7" t="n">
        <v>2.5</v>
      </c>
      <c r="AQ7" t="inlineStr"/>
      <c r="AR7" t="n">
        <v>1042</v>
      </c>
      <c r="AS7" t="n">
        <v>1047</v>
      </c>
      <c r="AT7" t="n">
        <v>1536</v>
      </c>
      <c r="AU7" t="inlineStr"/>
      <c r="AV7" t="inlineStr"/>
      <c r="AW7" t="inlineStr"/>
      <c r="AX7" t="inlineStr"/>
      <c r="AY7" t="inlineStr"/>
      <c r="AZ7" t="inlineStr"/>
      <c r="BA7" t="inlineStr">
        <is>
          <t>87;89;8;9;49</t>
        </is>
      </c>
      <c r="BB7" t="inlineStr">
        <is>
          <t>sí</t>
        </is>
      </c>
      <c r="BC7" t="inlineStr">
        <is>
          <t>Fase A (material original del tajo = ROM). Probeta remoldeada a la densidad de campo δ=2.026 g/cm3 y 6 % de humedad (solicitado por el cliente). Diámetro nominal 2.8". Inicial: S=44.5 %; final (post-consolidación): gd=2.157 g/cm3, e=0.294. Velocidad 0.083 %/min. Hoja da σ1, σ1', σ3, σ3' en la falla; σ3'f=535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72.99 MPa; Los Ángeles 23.7 %; durabilidad (sulfato de magnesio, pérdida corregida) 0.7 %. Envolvente de la hoja Golder (Mohr máximo, pág. 89): total c=149 kPa φ=15°, efectiva c'=33 kPa φ'=35°.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p.87): σ'3c=1577; en la falla σ1=3113, σ1'=2071, σ3=1577, σ3'=535 kPa (impresos); Δu=1042 kPa; q=σ'1−σ'3=1536 kPa. Tras consolidar: γd=2.157 g/cm3, e=0.294, S=100.0 %. La hoja Golder no tabula la curva (solo gráficos): máxima oblicuidad no informada; el estado de «máximo desviador» es el impreso. Remoldeado a la densidad de campo δ=2.026 gr/cm3 y 6% de humedad, solicitado por el cliente; material &lt;3/8".</t>
        </is>
      </c>
      <c r="BD7" t="n">
        <v>1577</v>
      </c>
      <c r="BE7" t="n">
        <v>535</v>
      </c>
      <c r="BF7" t="n">
        <v>2071</v>
      </c>
      <c r="BG7" t="n">
        <v>2.5</v>
      </c>
      <c r="BH7" t="n">
        <v>535</v>
      </c>
      <c r="BI7" t="n">
        <v>2071</v>
      </c>
      <c r="BJ7" t="n">
        <v>1536</v>
      </c>
      <c r="BK7" t="n">
        <v>1042</v>
      </c>
      <c r="BL7" t="inlineStr">
        <is>
          <t>no informado</t>
        </is>
      </c>
      <c r="BM7" t="inlineStr">
        <is>
          <t>no informado</t>
        </is>
      </c>
      <c r="BN7" t="inlineStr">
        <is>
          <t>no informado</t>
        </is>
      </c>
      <c r="BO7" t="inlineStr">
        <is>
          <t>no informado</t>
        </is>
      </c>
      <c r="BP7" t="inlineStr">
        <is>
          <t>no informado</t>
        </is>
      </c>
      <c r="BQ7" t="inlineStr">
        <is>
          <t>no informado</t>
        </is>
      </c>
      <c r="BR7" t="inlineStr">
        <is>
          <t>no informado</t>
        </is>
      </c>
      <c r="BS7" t="inlineStr">
        <is>
          <t>no informado</t>
        </is>
      </c>
      <c r="BT7" t="n">
        <v>0.083</v>
      </c>
      <c r="BU7" t="n">
        <v>21.16</v>
      </c>
      <c r="BV7" t="n">
        <v>0.294</v>
      </c>
      <c r="BW7" t="inlineStr">
        <is>
          <t>100.0</t>
        </is>
      </c>
      <c r="BX7" t="inlineStr">
        <is>
          <t>2.791 (D854, «G. Específica Promedio» de la hoja y p.49); e0 recalculado = 0.377</t>
        </is>
      </c>
      <c r="BY7" t="inlineStr">
        <is>
          <t>verificado en imagen; esfuerzos separados (consolidación / falla)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Triaxial CU</t>
        </is>
      </c>
      <c r="EY7" t="inlineStr">
        <is>
          <t>CU: máximo desviador (la fuente no permite máxima oblicuidad)</t>
        </is>
      </c>
      <c r="EZ7" t="n">
        <v>535</v>
      </c>
      <c r="FA7" t="n">
        <v>2071</v>
      </c>
      <c r="FB7" t="n">
        <v>1536</v>
      </c>
      <c r="FC7" t="n">
        <v>36.11508423120885</v>
      </c>
      <c r="FD7" t="n">
        <v>850.3338449731389</v>
      </c>
      <c r="FE7" t="n">
        <v>620.4170791436982</v>
      </c>
      <c r="FF7" t="inlineStr">
        <is>
          <t>pequeña (&lt;120 mm)</t>
        </is>
      </c>
      <c r="FG7" t="n">
        <v>7.547368421052632</v>
      </c>
      <c r="FH7" t="inlineStr">
        <is>
          <t>ROM</t>
        </is>
      </c>
      <c r="FI7" t="inlineStr">
        <is>
          <t>dudosa: muestras del acopio de la chancadora secundaria; hojas de Fase A dicen «Material Chancado»</t>
        </is>
      </c>
      <c r="FJ7" t="n">
        <v>0</v>
      </c>
      <c r="FK7" t="inlineStr"/>
      <c r="FL7" t="inlineStr"/>
      <c r="FM7" t="inlineStr">
        <is>
          <t>A</t>
        </is>
      </c>
      <c r="FN7" t="n">
        <v>0.377</v>
      </c>
      <c r="FO7" t="inlineStr"/>
      <c r="FP7" t="n">
        <v>2.791</v>
      </c>
      <c r="FQ7" t="inlineStr">
        <is>
          <t>informe o verificación</t>
        </is>
      </c>
      <c r="FR7" t="inlineStr">
        <is>
          <t>G2010-005</t>
        </is>
      </c>
      <c r="FS7" t="inlineStr">
        <is>
          <t>G2010|G2010-A-HG-2.8in</t>
        </is>
      </c>
    </row>
    <row r="8">
      <c r="A8" t="inlineStr">
        <is>
          <t>G2010</t>
        </is>
      </c>
      <c r="B8" t="inlineStr">
        <is>
          <t>2010_Golder_Caracterizacion ROM IPCC.pdf</t>
        </is>
      </c>
      <c r="C8" t="n">
        <v>2010</v>
      </c>
      <c r="D8" t="inlineStr">
        <is>
          <t>Golder Associates Perú, Memorando técnico 'Caracterización material de ROM – Proyecto IPCC' (proy. 099-4151017, 25-mar-2010)</t>
        </is>
      </c>
      <c r="E8" t="inlineStr">
        <is>
          <t>Golder Associates Perú – Laboratorio de Mecánica de Suelos (Lima)</t>
        </is>
      </c>
      <c r="F8" t="inlineStr">
        <is>
          <t>G2010-A-INT-2.8in</t>
        </is>
      </c>
      <c r="G8" t="inlineStr">
        <is>
          <t>GL-483-09 Prueba Nº 1 (σ3c=394 kPa)</t>
        </is>
      </c>
      <c r="H8" t="inlineStr">
        <is>
          <t>Intrusivo</t>
        </is>
      </c>
      <c r="I8" t="inlineStr">
        <is>
          <t>Intrusivo</t>
        </is>
      </c>
      <c r="J8" t="inlineStr"/>
      <c r="K8" t="inlineStr"/>
      <c r="L8" t="inlineStr"/>
      <c r="M8" t="inlineStr">
        <is>
          <t>ROM</t>
        </is>
      </c>
      <c r="N8" t="inlineStr"/>
      <c r="O8" t="inlineStr">
        <is>
          <t>CU</t>
        </is>
      </c>
      <c r="P8" t="inlineStr">
        <is>
          <t>sí</t>
        </is>
      </c>
      <c r="Q8" t="n">
        <v>71.7</v>
      </c>
      <c r="R8" t="n">
        <v>142.2</v>
      </c>
      <c r="S8" t="n">
        <v>9.5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Truncado: se ensayó la fracción &lt; 3/8" de la matriz; TM de terreno 30" (Fase A, Tabla 2)</t>
        </is>
      </c>
      <c r="AD8" t="n">
        <v>2.674</v>
      </c>
      <c r="AE8" t="n">
        <v>18.29</v>
      </c>
      <c r="AF8" t="n">
        <v>0.434</v>
      </c>
      <c r="AG8" t="inlineStr">
        <is>
          <t>informe</t>
        </is>
      </c>
      <c r="AH8" t="inlineStr"/>
      <c r="AI8" t="n">
        <v>9</v>
      </c>
      <c r="AJ8" t="n">
        <v>46.8</v>
      </c>
      <c r="AK8" t="n">
        <v>261</v>
      </c>
      <c r="AL8" t="n">
        <v>1130</v>
      </c>
      <c r="AM8" t="n">
        <v>869</v>
      </c>
      <c r="AN8" t="inlineStr">
        <is>
          <t>Esfuerzo desviador máximo (criterio impreso en la hoja Golder)</t>
        </is>
      </c>
      <c r="AO8" t="inlineStr"/>
      <c r="AP8" t="n">
        <v>1.6</v>
      </c>
      <c r="AQ8" t="inlineStr"/>
      <c r="AR8" t="n">
        <v>133</v>
      </c>
      <c r="AS8" t="n">
        <v>550.7</v>
      </c>
      <c r="AT8" t="n">
        <v>869</v>
      </c>
      <c r="AU8" t="inlineStr"/>
      <c r="AV8" t="inlineStr"/>
      <c r="AW8" t="inlineStr"/>
      <c r="AX8" t="inlineStr"/>
      <c r="AY8" t="inlineStr"/>
      <c r="AZ8" t="inlineStr"/>
      <c r="BA8" t="inlineStr">
        <is>
          <t>92;94;8;9;49</t>
        </is>
      </c>
      <c r="BB8" t="inlineStr">
        <is>
          <t>sí</t>
        </is>
      </c>
      <c r="BC8" t="inlineStr">
        <is>
          <t>Fase A (material original del tajo = ROM). Probeta remoldeada a la densidad de campo δ=1.863 g/cm3 y 9 % de humedad (solicitado por el cliente). Diámetro nominal 2.8". Inicial: S=55.4 %; final (post-consolidación): gd=1.911 g/cm3, e=0.4. Velocidad 0.083 %/min. Hoja da σ1, σ1', σ3, σ3' en la falla; σ3'f=261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80.56 MPa; Los Ángeles 49.8 %; durabilidad (sulfato de magnesio, pérdida corregida) 33.4 %. Envolvente de la hoja Golder (Mohr máximo, pág. 94): total c=313 kPa φ=10°, efectiva c'=103 kPa φ'=30°.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p.92): σ'3c=394; en la falla σ1=1264, σ1'=1130, σ3=394, σ3'=261 kPa (impresos); Δu=133 kPa; q=σ'1−σ'3=869 kPa. En la hoja σ1−σ3 (totales) = 870 kPa y σ1'−σ3' = 869 kPa (diferencia de redondeo de la hoja); se adopta el valor efectivo. Tras consolidar: γd=1.911 g/cm3, e=0.4, S=100.0 %. La hoja Golder no tabula la curva (solo gráficos): máxima oblicuidad no informada; el estado de «máximo desviador» es el impreso. Remoldeado a la densidad de campo δ=1.863 gr/cm3 y 9% de humedad, solicitado por el cliente; material &lt;3/8".</t>
        </is>
      </c>
      <c r="BD8" t="n">
        <v>394</v>
      </c>
      <c r="BE8" t="n">
        <v>261</v>
      </c>
      <c r="BF8" t="n">
        <v>1130</v>
      </c>
      <c r="BG8" t="n">
        <v>1.6</v>
      </c>
      <c r="BH8" t="n">
        <v>261</v>
      </c>
      <c r="BI8" t="n">
        <v>1130</v>
      </c>
      <c r="BJ8" t="n">
        <v>869</v>
      </c>
      <c r="BK8" t="n">
        <v>133</v>
      </c>
      <c r="BL8" t="inlineStr">
        <is>
          <t>no informado</t>
        </is>
      </c>
      <c r="BM8" t="inlineStr">
        <is>
          <t>no informado</t>
        </is>
      </c>
      <c r="BN8" t="inlineStr">
        <is>
          <t>no informado</t>
        </is>
      </c>
      <c r="BO8" t="inlineStr">
        <is>
          <t>no informado</t>
        </is>
      </c>
      <c r="BP8" t="inlineStr">
        <is>
          <t>no informado</t>
        </is>
      </c>
      <c r="BQ8" t="inlineStr">
        <is>
          <t>no informado</t>
        </is>
      </c>
      <c r="BR8" t="inlineStr">
        <is>
          <t>no informado</t>
        </is>
      </c>
      <c r="BS8" t="inlineStr">
        <is>
          <t>no informado</t>
        </is>
      </c>
      <c r="BT8" t="n">
        <v>0.083</v>
      </c>
      <c r="BU8" t="n">
        <v>18.75</v>
      </c>
      <c r="BV8" t="n">
        <v>0.4</v>
      </c>
      <c r="BW8" t="inlineStr">
        <is>
          <t>100.0</t>
        </is>
      </c>
      <c r="BX8" t="inlineStr">
        <is>
          <t>2.674 (D854, «G. Específica Promedio» de la hoja y p.49); e0 recalculado = 0.435</t>
        </is>
      </c>
      <c r="BY8" t="inlineStr">
        <is>
          <t>verificado en imagen; esfuerzos separados (consolidación / falla)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Triaxial CU</t>
        </is>
      </c>
      <c r="EY8" t="inlineStr">
        <is>
          <t>CU: máximo desviador (la fuente no permite máxima oblicuidad)</t>
        </is>
      </c>
      <c r="EZ8" t="n">
        <v>261</v>
      </c>
      <c r="FA8" t="n">
        <v>1130</v>
      </c>
      <c r="FB8" t="n">
        <v>869</v>
      </c>
      <c r="FC8" t="n">
        <v>38.66240298292898</v>
      </c>
      <c r="FD8" t="n">
        <v>424.0546369518332</v>
      </c>
      <c r="FE8" t="n">
        <v>339.275205223796</v>
      </c>
      <c r="FF8" t="inlineStr">
        <is>
          <t>pequeña (&lt;120 mm)</t>
        </is>
      </c>
      <c r="FG8" t="n">
        <v>7.547368421052632</v>
      </c>
      <c r="FH8" t="inlineStr">
        <is>
          <t>ROM</t>
        </is>
      </c>
      <c r="FI8" t="inlineStr">
        <is>
          <t>dudosa: muestras del acopio de la chancadora secundaria; hojas de Fase A dicen «Material Chancado»</t>
        </is>
      </c>
      <c r="FJ8" t="n">
        <v>0</v>
      </c>
      <c r="FK8" t="inlineStr"/>
      <c r="FL8" t="inlineStr"/>
      <c r="FM8" t="inlineStr">
        <is>
          <t>A</t>
        </is>
      </c>
      <c r="FN8" t="n">
        <v>0.434</v>
      </c>
      <c r="FO8" t="inlineStr"/>
      <c r="FP8" t="n">
        <v>2.674</v>
      </c>
      <c r="FQ8" t="inlineStr">
        <is>
          <t>informe o verificación</t>
        </is>
      </c>
      <c r="FR8" t="inlineStr">
        <is>
          <t>G2010-006</t>
        </is>
      </c>
      <c r="FS8" t="inlineStr">
        <is>
          <t>G2010|G2010-A-INT-2.8in</t>
        </is>
      </c>
    </row>
    <row r="9">
      <c r="A9" t="inlineStr">
        <is>
          <t>G2010</t>
        </is>
      </c>
      <c r="B9" t="inlineStr">
        <is>
          <t>2010_Golder_Caracterizacion ROM IPCC.pdf</t>
        </is>
      </c>
      <c r="C9" t="n">
        <v>2010</v>
      </c>
      <c r="D9" t="inlineStr">
        <is>
          <t>Golder Associates Perú, Memorando técnico 'Caracterización material de ROM – Proyecto IPCC' (proy. 099-4151017, 25-mar-2010)</t>
        </is>
      </c>
      <c r="E9" t="inlineStr">
        <is>
          <t>Golder Associates Perú – Laboratorio de Mecánica de Suelos (Lima)</t>
        </is>
      </c>
      <c r="F9" t="inlineStr">
        <is>
          <t>G2010-A-INT-2.8in</t>
        </is>
      </c>
      <c r="G9" t="inlineStr">
        <is>
          <t>GL-483-09 Prueba Nº 2 (σ3c=788 kPa)</t>
        </is>
      </c>
      <c r="H9" t="inlineStr">
        <is>
          <t>Intrusivo</t>
        </is>
      </c>
      <c r="I9" t="inlineStr">
        <is>
          <t>Intrusivo</t>
        </is>
      </c>
      <c r="J9" t="inlineStr"/>
      <c r="K9" t="inlineStr"/>
      <c r="L9" t="inlineStr"/>
      <c r="M9" t="inlineStr">
        <is>
          <t>ROM</t>
        </is>
      </c>
      <c r="N9" t="inlineStr"/>
      <c r="O9" t="inlineStr">
        <is>
          <t>CU</t>
        </is>
      </c>
      <c r="P9" t="inlineStr">
        <is>
          <t>sí</t>
        </is>
      </c>
      <c r="Q9" t="n">
        <v>71.7</v>
      </c>
      <c r="R9" t="n">
        <v>142.2</v>
      </c>
      <c r="S9" t="n">
        <v>9.5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Truncado: se ensayó la fracción &lt; 3/8" de la matriz; TM de terreno 30" (Fase A, Tabla 2)</t>
        </is>
      </c>
      <c r="AD9" t="n">
        <v>2.674</v>
      </c>
      <c r="AE9" t="n">
        <v>18.29</v>
      </c>
      <c r="AF9" t="n">
        <v>0.434</v>
      </c>
      <c r="AG9" t="inlineStr">
        <is>
          <t>informe</t>
        </is>
      </c>
      <c r="AH9" t="inlineStr"/>
      <c r="AI9" t="n">
        <v>9</v>
      </c>
      <c r="AJ9" t="n">
        <v>46.8</v>
      </c>
      <c r="AK9" t="n">
        <v>393</v>
      </c>
      <c r="AL9" t="n">
        <v>1578</v>
      </c>
      <c r="AM9" t="n">
        <v>1185</v>
      </c>
      <c r="AN9" t="inlineStr">
        <is>
          <t>Esfuerzo desviador máximo (criterio impreso en la hoja Golder)</t>
        </is>
      </c>
      <c r="AO9" t="inlineStr"/>
      <c r="AP9" t="n">
        <v>1.9</v>
      </c>
      <c r="AQ9" t="inlineStr"/>
      <c r="AR9" t="n">
        <v>395</v>
      </c>
      <c r="AS9" t="n">
        <v>788</v>
      </c>
      <c r="AT9" t="n">
        <v>1185</v>
      </c>
      <c r="AU9" t="inlineStr"/>
      <c r="AV9" t="inlineStr"/>
      <c r="AW9" t="inlineStr"/>
      <c r="AX9" t="inlineStr"/>
      <c r="AY9" t="inlineStr"/>
      <c r="AZ9" t="inlineStr"/>
      <c r="BA9" t="inlineStr">
        <is>
          <t>92;94;8;9;49</t>
        </is>
      </c>
      <c r="BB9" t="inlineStr">
        <is>
          <t>sí</t>
        </is>
      </c>
      <c r="BC9" t="inlineStr">
        <is>
          <t>Fase A (material original del tajo = ROM). Probeta remoldeada a la densidad de campo δ=1.863 g/cm3 y 9 % de humedad (solicitado por el cliente). Diámetro nominal 2.8". Inicial: S=55.4 %; final (post-consolidación): gd=1.927 g/cm3, e=0.388. Velocidad 0.083 %/min. Hoja da σ1, σ1', σ3, σ3' en la falla; σ3'f=393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80.56 MPa; Los Ángeles 49.8 %; durabilidad (sulfato de magnesio, pérdida corregida) 33.4 %. Envolvente de la hoja Golder (Mohr máximo, pág. 94): total c=313 kPa φ=10°, efectiva c'=103 kPa φ'=30°.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p.92): σ'3c=788; en la falla σ1=1973, σ1'=1578, σ3=788, σ3'=393 kPa (impresos); Δu=395 kPa; q=σ'1−σ'3=1185 kPa. Tras consolidar: γd=1.927 g/cm3, e=0.388, S=99.8 %. La hoja Golder no tabula la curva (solo gráficos): máxima oblicuidad no informada; el estado de «máximo desviador» es el impreso. Remoldeado a la densidad de campo δ=1.863 gr/cm3 y 9% de humedad, solicitado por el cliente; material &lt;3/8".</t>
        </is>
      </c>
      <c r="BD9" t="n">
        <v>788</v>
      </c>
      <c r="BE9" t="n">
        <v>393</v>
      </c>
      <c r="BF9" t="n">
        <v>1578</v>
      </c>
      <c r="BG9" t="n">
        <v>1.9</v>
      </c>
      <c r="BH9" t="n">
        <v>393</v>
      </c>
      <c r="BI9" t="n">
        <v>1578</v>
      </c>
      <c r="BJ9" t="n">
        <v>1185</v>
      </c>
      <c r="BK9" t="n">
        <v>395</v>
      </c>
      <c r="BL9" t="inlineStr">
        <is>
          <t>no informado</t>
        </is>
      </c>
      <c r="BM9" t="inlineStr">
        <is>
          <t>no informado</t>
        </is>
      </c>
      <c r="BN9" t="inlineStr">
        <is>
          <t>no informado</t>
        </is>
      </c>
      <c r="BO9" t="inlineStr">
        <is>
          <t>no informado</t>
        </is>
      </c>
      <c r="BP9" t="inlineStr">
        <is>
          <t>no informado</t>
        </is>
      </c>
      <c r="BQ9" t="inlineStr">
        <is>
          <t>no informado</t>
        </is>
      </c>
      <c r="BR9" t="inlineStr">
        <is>
          <t>no informado</t>
        </is>
      </c>
      <c r="BS9" t="inlineStr">
        <is>
          <t>no informado</t>
        </is>
      </c>
      <c r="BT9" t="n">
        <v>0.083</v>
      </c>
      <c r="BU9" t="n">
        <v>18.9</v>
      </c>
      <c r="BV9" t="n">
        <v>0.388</v>
      </c>
      <c r="BW9" t="inlineStr">
        <is>
          <t>99.8</t>
        </is>
      </c>
      <c r="BX9" t="inlineStr">
        <is>
          <t>2.674 (D854, «G. Específica Promedio» de la hoja y p.49); e0 recalculado = 0.435</t>
        </is>
      </c>
      <c r="BY9" t="inlineStr">
        <is>
          <t>verificado en imagen; esfuerzos separados (consolidación / falla)</t>
        </is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Triaxial CU</t>
        </is>
      </c>
      <c r="EY9" t="inlineStr">
        <is>
          <t>CU: máximo desviador (la fuente no permite máxima oblicuidad)</t>
        </is>
      </c>
      <c r="EZ9" t="n">
        <v>393</v>
      </c>
      <c r="FA9" t="n">
        <v>1578</v>
      </c>
      <c r="FB9" t="n">
        <v>1185</v>
      </c>
      <c r="FC9" t="n">
        <v>36.95715570086535</v>
      </c>
      <c r="FD9" t="n">
        <v>629.2785388127854</v>
      </c>
      <c r="FE9" t="n">
        <v>473.4580452264443</v>
      </c>
      <c r="FF9" t="inlineStr">
        <is>
          <t>pequeña (&lt;120 mm)</t>
        </is>
      </c>
      <c r="FG9" t="n">
        <v>7.547368421052632</v>
      </c>
      <c r="FH9" t="inlineStr">
        <is>
          <t>ROM</t>
        </is>
      </c>
      <c r="FI9" t="inlineStr">
        <is>
          <t>dudosa: muestras del acopio de la chancadora secundaria; hojas de Fase A dicen «Material Chancado»</t>
        </is>
      </c>
      <c r="FJ9" t="n">
        <v>0</v>
      </c>
      <c r="FK9" t="inlineStr"/>
      <c r="FL9" t="inlineStr"/>
      <c r="FM9" t="inlineStr">
        <is>
          <t>A</t>
        </is>
      </c>
      <c r="FN9" t="n">
        <v>0.434</v>
      </c>
      <c r="FO9" t="inlineStr"/>
      <c r="FP9" t="n">
        <v>2.674</v>
      </c>
      <c r="FQ9" t="inlineStr">
        <is>
          <t>informe o verificación</t>
        </is>
      </c>
      <c r="FR9" t="inlineStr">
        <is>
          <t>G2010-007</t>
        </is>
      </c>
      <c r="FS9" t="inlineStr">
        <is>
          <t>G2010|G2010-A-INT-2.8in</t>
        </is>
      </c>
    </row>
    <row r="10">
      <c r="A10" t="inlineStr">
        <is>
          <t>G2010</t>
        </is>
      </c>
      <c r="B10" t="inlineStr">
        <is>
          <t>2010_Golder_Caracterizacion ROM IPCC.pdf</t>
        </is>
      </c>
      <c r="C10" t="n">
        <v>2010</v>
      </c>
      <c r="D10" t="inlineStr">
        <is>
          <t>Golder Associates Perú, Memorando técnico 'Caracterización material de ROM – Proyecto IPCC' (proy. 099-4151017, 25-mar-2010)</t>
        </is>
      </c>
      <c r="E10" t="inlineStr">
        <is>
          <t>Golder Associates Perú – Laboratorio de Mecánica de Suelos (Lima)</t>
        </is>
      </c>
      <c r="F10" t="inlineStr">
        <is>
          <t>G2010-A-INT-2.8in</t>
        </is>
      </c>
      <c r="G10" t="inlineStr">
        <is>
          <t>GL-483-09 Prueba Nº 3 (σ3c=1570 kPa)</t>
        </is>
      </c>
      <c r="H10" t="inlineStr">
        <is>
          <t>Intrusivo</t>
        </is>
      </c>
      <c r="I10" t="inlineStr">
        <is>
          <t>Intrusivo</t>
        </is>
      </c>
      <c r="J10" t="inlineStr"/>
      <c r="K10" t="inlineStr"/>
      <c r="L10" t="inlineStr"/>
      <c r="M10" t="inlineStr">
        <is>
          <t>ROM</t>
        </is>
      </c>
      <c r="N10" t="inlineStr"/>
      <c r="O10" t="inlineStr">
        <is>
          <t>CU</t>
        </is>
      </c>
      <c r="P10" t="inlineStr">
        <is>
          <t>sí</t>
        </is>
      </c>
      <c r="Q10" t="n">
        <v>71.7</v>
      </c>
      <c r="R10" t="n">
        <v>142.2</v>
      </c>
      <c r="S10" t="n">
        <v>9.5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Truncado: se ensayó la fracción &lt; 3/8" de la matriz; TM de terreno 30" (Fase A, Tabla 2)</t>
        </is>
      </c>
      <c r="AD10" t="n">
        <v>2.674</v>
      </c>
      <c r="AE10" t="n">
        <v>18.29</v>
      </c>
      <c r="AF10" t="n">
        <v>0.434</v>
      </c>
      <c r="AG10" t="inlineStr">
        <is>
          <t>informe</t>
        </is>
      </c>
      <c r="AH10" t="inlineStr"/>
      <c r="AI10" t="n">
        <v>9</v>
      </c>
      <c r="AJ10" t="n">
        <v>46.8</v>
      </c>
      <c r="AK10" t="n">
        <v>528</v>
      </c>
      <c r="AL10" t="n">
        <v>1934</v>
      </c>
      <c r="AM10" t="n">
        <v>1406</v>
      </c>
      <c r="AN10" t="inlineStr">
        <is>
          <t>Esfuerzo desviador máximo (criterio impreso en la hoja Golder)</t>
        </is>
      </c>
      <c r="AO10" t="inlineStr"/>
      <c r="AP10" t="n">
        <v>1.7</v>
      </c>
      <c r="AQ10" t="inlineStr"/>
      <c r="AR10" t="n">
        <v>1042</v>
      </c>
      <c r="AS10" t="n">
        <v>996.7</v>
      </c>
      <c r="AT10" t="n">
        <v>1406</v>
      </c>
      <c r="AU10" t="inlineStr"/>
      <c r="AV10" t="inlineStr"/>
      <c r="AW10" t="inlineStr"/>
      <c r="AX10" t="inlineStr"/>
      <c r="AY10" t="inlineStr"/>
      <c r="AZ10" t="inlineStr"/>
      <c r="BA10" t="inlineStr">
        <is>
          <t>92;94;8;9;49</t>
        </is>
      </c>
      <c r="BB10" t="inlineStr">
        <is>
          <t>sí</t>
        </is>
      </c>
      <c r="BC10" t="inlineStr">
        <is>
          <t>Fase A (material original del tajo = ROM). Probeta remoldeada a la densidad de campo δ=1.863 g/cm3 y 9 % de humedad (solicitado por el cliente). Diámetro nominal 2.8". Inicial: S=55.4 %; final (post-consolidación): gd=1.943 g/cm3, e=0.376. Velocidad 0.083 %/min. Hoja da σ1, σ1', σ3, σ3' en la falla; σ3'f=528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80.56 MPa; Los Ángeles 49.8 %; durabilidad (sulfato de magnesio, pérdida corregida) 33.4 %. Envolvente de la hoja Golder (Mohr máximo, pág. 94): total c=313 kPa φ=10°, efectiva c'=103 kPa φ'=30°.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p.92): σ'3c=1570; en la falla σ1=2976, σ1'=1934, σ3=1570, σ3'=528 kPa (impresos); Δu=1042 kPa; q=σ'1−σ'3=1406 kPa. Tras consolidar: γd=1.943 g/cm3, e=0.376, S=99.9 %. La hoja Golder no tabula la curva (solo gráficos): máxima oblicuidad no informada; el estado de «máximo desviador» es el impreso. Remoldeado a la densidad de campo δ=1.863 gr/cm3 y 9% de humedad, solicitado por el cliente; material &lt;3/8".</t>
        </is>
      </c>
      <c r="BD10" t="n">
        <v>1570</v>
      </c>
      <c r="BE10" t="n">
        <v>528</v>
      </c>
      <c r="BF10" t="n">
        <v>1934</v>
      </c>
      <c r="BG10" t="n">
        <v>1.7</v>
      </c>
      <c r="BH10" t="n">
        <v>528</v>
      </c>
      <c r="BI10" t="n">
        <v>1934</v>
      </c>
      <c r="BJ10" t="n">
        <v>1406</v>
      </c>
      <c r="BK10" t="n">
        <v>1042</v>
      </c>
      <c r="BL10" t="inlineStr">
        <is>
          <t>no informado</t>
        </is>
      </c>
      <c r="BM10" t="inlineStr">
        <is>
          <t>no informado</t>
        </is>
      </c>
      <c r="BN10" t="inlineStr">
        <is>
          <t>no informado</t>
        </is>
      </c>
      <c r="BO10" t="inlineStr">
        <is>
          <t>no informado</t>
        </is>
      </c>
      <c r="BP10" t="inlineStr">
        <is>
          <t>no informado</t>
        </is>
      </c>
      <c r="BQ10" t="inlineStr">
        <is>
          <t>no informado</t>
        </is>
      </c>
      <c r="BR10" t="inlineStr">
        <is>
          <t>no informado</t>
        </is>
      </c>
      <c r="BS10" t="inlineStr">
        <is>
          <t>no informado</t>
        </is>
      </c>
      <c r="BT10" t="n">
        <v>0.083</v>
      </c>
      <c r="BU10" t="n">
        <v>19.06</v>
      </c>
      <c r="BV10" t="n">
        <v>0.376</v>
      </c>
      <c r="BW10" t="inlineStr">
        <is>
          <t>99.9</t>
        </is>
      </c>
      <c r="BX10" t="inlineStr">
        <is>
          <t>2.674 (D854, «G. Específica Promedio» de la hoja y p.49); e0 recalculado = 0.435</t>
        </is>
      </c>
      <c r="BY10" t="inlineStr">
        <is>
          <t>verificado en imagen; esfuerzos separados (consolidación / falla)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Triaxial CU</t>
        </is>
      </c>
      <c r="EY10" t="inlineStr">
        <is>
          <t>CU: máximo desviador (la fuente no permite máxima oblicuidad)</t>
        </is>
      </c>
      <c r="EZ10" t="n">
        <v>528</v>
      </c>
      <c r="FA10" t="n">
        <v>1934</v>
      </c>
      <c r="FB10" t="n">
        <v>1406</v>
      </c>
      <c r="FC10" t="n">
        <v>34.82560130710971</v>
      </c>
      <c r="FD10" t="n">
        <v>829.5304630381802</v>
      </c>
      <c r="FE10" t="n">
        <v>577.0885641664215</v>
      </c>
      <c r="FF10" t="inlineStr">
        <is>
          <t>pequeña (&lt;120 mm)</t>
        </is>
      </c>
      <c r="FG10" t="n">
        <v>7.547368421052632</v>
      </c>
      <c r="FH10" t="inlineStr">
        <is>
          <t>ROM</t>
        </is>
      </c>
      <c r="FI10" t="inlineStr">
        <is>
          <t>dudosa: muestras del acopio de la chancadora secundaria; hojas de Fase A dicen «Material Chancado»</t>
        </is>
      </c>
      <c r="FJ10" t="n">
        <v>0</v>
      </c>
      <c r="FK10" t="inlineStr"/>
      <c r="FL10" t="inlineStr"/>
      <c r="FM10" t="inlineStr">
        <is>
          <t>A</t>
        </is>
      </c>
      <c r="FN10" t="n">
        <v>0.434</v>
      </c>
      <c r="FO10" t="inlineStr"/>
      <c r="FP10" t="n">
        <v>2.674</v>
      </c>
      <c r="FQ10" t="inlineStr">
        <is>
          <t>informe o verificación</t>
        </is>
      </c>
      <c r="FR10" t="inlineStr">
        <is>
          <t>G2010-008</t>
        </is>
      </c>
      <c r="FS10" t="inlineStr">
        <is>
          <t>G2010|G2010-A-INT-2.8in</t>
        </is>
      </c>
    </row>
    <row r="11">
      <c r="A11" t="inlineStr">
        <is>
          <t>G2010</t>
        </is>
      </c>
      <c r="B11" t="inlineStr">
        <is>
          <t>2010_Golder_Caracterizacion ROM IPCC.pdf</t>
        </is>
      </c>
      <c r="C11" t="n">
        <v>2010</v>
      </c>
      <c r="D11" t="inlineStr">
        <is>
          <t>Golder Associates Perú, Memorando técnico 'Caracterización material de ROM – Proyecto IPCC' (proy. 099-4151017, 25-mar-2010)</t>
        </is>
      </c>
      <c r="E11" t="inlineStr">
        <is>
          <t>Golder Associates Perú – Laboratorio de Mecánica de Suelos (Lima)</t>
        </is>
      </c>
      <c r="F11" t="inlineStr">
        <is>
          <t>G2010-A-EXO-2.8in</t>
        </is>
      </c>
      <c r="G11" t="inlineStr">
        <is>
          <t>GL-484-09 Prueba Nº 1 (σ3c=394 kPa)</t>
        </is>
      </c>
      <c r="H11" t="inlineStr">
        <is>
          <t>Exoskarn Diopsido</t>
        </is>
      </c>
      <c r="I11" t="inlineStr">
        <is>
          <t>Skarn</t>
        </is>
      </c>
      <c r="J11" t="inlineStr">
        <is>
          <t>exoskarn diópsido</t>
        </is>
      </c>
      <c r="K11" t="inlineStr"/>
      <c r="L11" t="inlineStr"/>
      <c r="M11" t="inlineStr">
        <is>
          <t>ROM</t>
        </is>
      </c>
      <c r="N11" t="inlineStr"/>
      <c r="O11" t="inlineStr">
        <is>
          <t>CU</t>
        </is>
      </c>
      <c r="P11" t="inlineStr">
        <is>
          <t>sí</t>
        </is>
      </c>
      <c r="Q11" t="n">
        <v>71.40000000000001</v>
      </c>
      <c r="R11" t="n">
        <v>142.2</v>
      </c>
      <c r="S11" t="n">
        <v>9.5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Truncado: se ensayó la fracción &lt; 3/8" de la matriz; TM de terreno 19" (Fase A, Tabla 2)</t>
        </is>
      </c>
      <c r="AD11" t="n">
        <v>3.484</v>
      </c>
      <c r="AE11" t="n">
        <v>22.31</v>
      </c>
      <c r="AF11" t="n">
        <v>0.532</v>
      </c>
      <c r="AG11" t="inlineStr">
        <is>
          <t>informe</t>
        </is>
      </c>
      <c r="AH11" t="inlineStr"/>
      <c r="AI11" t="n">
        <v>5.9</v>
      </c>
      <c r="AJ11" t="n">
        <v>73.3</v>
      </c>
      <c r="AK11" t="n">
        <v>193</v>
      </c>
      <c r="AL11" t="n">
        <v>565</v>
      </c>
      <c r="AM11" t="n">
        <v>372</v>
      </c>
      <c r="AN11" t="inlineStr">
        <is>
          <t>Esfuerzo desviador máximo (criterio impreso en la hoja Golder)</t>
        </is>
      </c>
      <c r="AO11" t="inlineStr"/>
      <c r="AP11" t="n">
        <v>1.1</v>
      </c>
      <c r="AQ11" t="inlineStr"/>
      <c r="AR11" t="n">
        <v>201</v>
      </c>
      <c r="AS11" t="n">
        <v>317</v>
      </c>
      <c r="AT11" t="n">
        <v>372</v>
      </c>
      <c r="AU11" t="inlineStr"/>
      <c r="AV11" t="inlineStr"/>
      <c r="AW11" t="inlineStr"/>
      <c r="AX11" t="inlineStr"/>
      <c r="AY11" t="inlineStr"/>
      <c r="AZ11" t="inlineStr"/>
      <c r="BA11" t="inlineStr">
        <is>
          <t>97;99;8;9;49</t>
        </is>
      </c>
      <c r="BB11" t="inlineStr">
        <is>
          <t>sí</t>
        </is>
      </c>
      <c r="BC11" t="inlineStr">
        <is>
          <t>Fase A (material original del tajo = ROM). Probeta remoldeada a la densidad de campo δ=2.273 g/cm3 y 6 % de humedad (solicitado por el cliente). Diámetro nominal 2.8". Inicial: S=38.6 %; final (post-consolidación): gd=2.349 g/cm3, e=0.483. Velocidad 0.125 %/min. Hoja da σ1, σ1', σ3, σ3' en la falla; σ3'f=193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67.79 MPa; Los Ángeles 37.0 %; durabilidad (sulfato de magnesio, pérdida corregida) 5.9 %. Envolvente de la hoja Golder (Mohr máximo, pág. 99): total c=80 kPa φ=11°, efectiva c'=0 kPa φ'=29°.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p.97): σ'3c=394; en la falla σ1=766, σ1'=565, σ3=394, σ3'=193 kPa (impresos); Δu=201 kPa; q=σ'1−σ'3=372 kPa. Tras consolidar: γd=2.349 g/cm3, e=0.483, S=100.0 %. La hoja Golder no tabula la curva (solo gráficos): máxima oblicuidad no informada; el estado de «máximo desviador» es el impreso. Remoldeado a la densidad de campo δ=2.273 gr/cm3 y 6% de humedad, solicitado por el cliente; material &lt;3/8".</t>
        </is>
      </c>
      <c r="BD11" t="n">
        <v>394</v>
      </c>
      <c r="BE11" t="n">
        <v>193</v>
      </c>
      <c r="BF11" t="n">
        <v>565</v>
      </c>
      <c r="BG11" t="n">
        <v>1.1</v>
      </c>
      <c r="BH11" t="n">
        <v>193</v>
      </c>
      <c r="BI11" t="n">
        <v>565</v>
      </c>
      <c r="BJ11" t="n">
        <v>372</v>
      </c>
      <c r="BK11" t="n">
        <v>201</v>
      </c>
      <c r="BL11" t="inlineStr">
        <is>
          <t>no informado</t>
        </is>
      </c>
      <c r="BM11" t="inlineStr">
        <is>
          <t>no informado</t>
        </is>
      </c>
      <c r="BN11" t="inlineStr">
        <is>
          <t>no informado</t>
        </is>
      </c>
      <c r="BO11" t="inlineStr">
        <is>
          <t>no informado</t>
        </is>
      </c>
      <c r="BP11" t="inlineStr">
        <is>
          <t>no informado</t>
        </is>
      </c>
      <c r="BQ11" t="inlineStr">
        <is>
          <t>no informado</t>
        </is>
      </c>
      <c r="BR11" t="inlineStr">
        <is>
          <t>no informado</t>
        </is>
      </c>
      <c r="BS11" t="inlineStr">
        <is>
          <t>no informado</t>
        </is>
      </c>
      <c r="BT11" t="n">
        <v>0.125</v>
      </c>
      <c r="BU11" t="n">
        <v>23.04</v>
      </c>
      <c r="BV11" t="n">
        <v>0.483</v>
      </c>
      <c r="BW11" t="inlineStr">
        <is>
          <t>100.0</t>
        </is>
      </c>
      <c r="BX11" t="inlineStr">
        <is>
          <t>3.484 (D854, «G. Específica Promedio» de la hoja y p.49); e0 recalculado = 0.532</t>
        </is>
      </c>
      <c r="BY11" t="inlineStr">
        <is>
          <t>verificado en imagen; esfuerzos separados (consolidación / falla)</t>
        </is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Triaxial CU</t>
        </is>
      </c>
      <c r="EY11" t="inlineStr">
        <is>
          <t>CU: máximo desviador (la fuente no permite máxima oblicuidad)</t>
        </is>
      </c>
      <c r="EZ11" t="n">
        <v>193</v>
      </c>
      <c r="FA11" t="n">
        <v>565</v>
      </c>
      <c r="FB11" t="n">
        <v>372</v>
      </c>
      <c r="FC11" t="n">
        <v>29.39088649168368</v>
      </c>
      <c r="FD11" t="n">
        <v>287.7176781002639</v>
      </c>
      <c r="FE11" t="n">
        <v>162.0602903508227</v>
      </c>
      <c r="FF11" t="inlineStr">
        <is>
          <t>pequeña (&lt;120 mm)</t>
        </is>
      </c>
      <c r="FG11" t="n">
        <v>7.515789473684211</v>
      </c>
      <c r="FH11" t="inlineStr">
        <is>
          <t>ROM</t>
        </is>
      </c>
      <c r="FI11" t="inlineStr">
        <is>
          <t>dudosa: muestras del acopio de la chancadora secundaria; hojas de Fase A dicen «Material Chancado»</t>
        </is>
      </c>
      <c r="FJ11" t="n">
        <v>0</v>
      </c>
      <c r="FK11" t="inlineStr"/>
      <c r="FL11" t="inlineStr"/>
      <c r="FM11" t="inlineStr">
        <is>
          <t>A</t>
        </is>
      </c>
      <c r="FN11" t="n">
        <v>0.532</v>
      </c>
      <c r="FO11" t="inlineStr"/>
      <c r="FP11" t="n">
        <v>3.484</v>
      </c>
      <c r="FQ11" t="inlineStr">
        <is>
          <t>informe o verificación</t>
        </is>
      </c>
      <c r="FR11" t="inlineStr">
        <is>
          <t>G2010-009</t>
        </is>
      </c>
      <c r="FS11" t="inlineStr">
        <is>
          <t>G2010|G2010-A-EXO-2.8in</t>
        </is>
      </c>
    </row>
    <row r="12">
      <c r="A12" t="inlineStr">
        <is>
          <t>G2010</t>
        </is>
      </c>
      <c r="B12" t="inlineStr">
        <is>
          <t>2010_Golder_Caracterizacion ROM IPCC.pdf</t>
        </is>
      </c>
      <c r="C12" t="n">
        <v>2010</v>
      </c>
      <c r="D12" t="inlineStr">
        <is>
          <t>Golder Associates Perú, Memorando técnico 'Caracterización material de ROM – Proyecto IPCC' (proy. 099-4151017, 25-mar-2010)</t>
        </is>
      </c>
      <c r="E12" t="inlineStr">
        <is>
          <t>Golder Associates Perú – Laboratorio de Mecánica de Suelos (Lima)</t>
        </is>
      </c>
      <c r="F12" t="inlineStr">
        <is>
          <t>G2010-A-EXO-2.8in</t>
        </is>
      </c>
      <c r="G12" t="inlineStr">
        <is>
          <t>GL-484-09 Prueba Nº 2 (σ3c=787 kPa)</t>
        </is>
      </c>
      <c r="H12" t="inlineStr">
        <is>
          <t>Exoskarn Diopsido</t>
        </is>
      </c>
      <c r="I12" t="inlineStr">
        <is>
          <t>Skarn</t>
        </is>
      </c>
      <c r="J12" t="inlineStr">
        <is>
          <t>exoskarn diópsido</t>
        </is>
      </c>
      <c r="K12" t="inlineStr"/>
      <c r="L12" t="inlineStr"/>
      <c r="M12" t="inlineStr">
        <is>
          <t>ROM</t>
        </is>
      </c>
      <c r="N12" t="inlineStr"/>
      <c r="O12" t="inlineStr">
        <is>
          <t>CU</t>
        </is>
      </c>
      <c r="P12" t="inlineStr">
        <is>
          <t>sí</t>
        </is>
      </c>
      <c r="Q12" t="n">
        <v>71.40000000000001</v>
      </c>
      <c r="R12" t="n">
        <v>142.2</v>
      </c>
      <c r="S12" t="n">
        <v>9.5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Truncado: se ensayó la fracción &lt; 3/8" de la matriz; TM de terreno 19" (Fase A, Tabla 2)</t>
        </is>
      </c>
      <c r="AD12" t="n">
        <v>3.484</v>
      </c>
      <c r="AE12" t="n">
        <v>22.33</v>
      </c>
      <c r="AF12" t="n">
        <v>0.531</v>
      </c>
      <c r="AG12" t="inlineStr">
        <is>
          <t>informe</t>
        </is>
      </c>
      <c r="AH12" t="inlineStr"/>
      <c r="AI12" t="n">
        <v>5.9</v>
      </c>
      <c r="AJ12" t="n">
        <v>73.3</v>
      </c>
      <c r="AK12" t="n">
        <v>317</v>
      </c>
      <c r="AL12" t="n">
        <v>884</v>
      </c>
      <c r="AM12" t="n">
        <v>567</v>
      </c>
      <c r="AN12" t="inlineStr">
        <is>
          <t>Esfuerzo desviador máximo (criterio impreso en la hoja Golder)</t>
        </is>
      </c>
      <c r="AO12" t="inlineStr"/>
      <c r="AP12" t="n">
        <v>1.2</v>
      </c>
      <c r="AQ12" t="inlineStr"/>
      <c r="AR12" t="n">
        <v>470</v>
      </c>
      <c r="AS12" t="n">
        <v>506</v>
      </c>
      <c r="AT12" t="n">
        <v>567</v>
      </c>
      <c r="AU12" t="inlineStr"/>
      <c r="AV12" t="inlineStr"/>
      <c r="AW12" t="inlineStr"/>
      <c r="AX12" t="inlineStr"/>
      <c r="AY12" t="inlineStr"/>
      <c r="AZ12" t="inlineStr"/>
      <c r="BA12" t="inlineStr">
        <is>
          <t>97;99;8;9;49</t>
        </is>
      </c>
      <c r="BB12" t="inlineStr">
        <is>
          <t>sí</t>
        </is>
      </c>
      <c r="BC12" t="inlineStr">
        <is>
          <t>Fase A (material original del tajo = ROM). Probeta remoldeada a la densidad de campo δ=2.273 g/cm3 y 6 % de humedad (solicitado por el cliente). Diámetro nominal 2.8". Inicial: S=38.7 %; final (post-consolidación): gd=2.409 g/cm3, e=0.446. Velocidad 0.125 %/min. Hoja da σ1, σ1', σ3, σ3' en la falla; σ3'f=317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67.79 MPa; Los Ángeles 37.0 %; durabilidad (sulfato de magnesio, pérdida corregida) 5.9 %. Envolvente de la hoja Golder (Mohr máximo, pág. 99): total c=80 kPa φ=11°, efectiva c'=0 kPa φ'=29°.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p.97): σ'3c=787; en la falla σ1=1354, σ1'=884, σ3=787, σ3'=317 kPa (impresos); Δu=470 kPa; q=σ'1−σ'3=567 kPa. Tras consolidar: γd=2.409 g/cm3, e=0.446, S=99.5 %. La hoja Golder no tabula la curva (solo gráficos): máxima oblicuidad no informada; el estado de «máximo desviador» es el impreso. Remoldeado a la densidad de campo δ=2.273 gr/cm3 y 6% de humedad, solicitado por el cliente; material &lt;3/8".</t>
        </is>
      </c>
      <c r="BD12" t="n">
        <v>787</v>
      </c>
      <c r="BE12" t="n">
        <v>317</v>
      </c>
      <c r="BF12" t="n">
        <v>884</v>
      </c>
      <c r="BG12" t="n">
        <v>1.2</v>
      </c>
      <c r="BH12" t="n">
        <v>317</v>
      </c>
      <c r="BI12" t="n">
        <v>884</v>
      </c>
      <c r="BJ12" t="n">
        <v>567</v>
      </c>
      <c r="BK12" t="n">
        <v>470</v>
      </c>
      <c r="BL12" t="inlineStr">
        <is>
          <t>no informado</t>
        </is>
      </c>
      <c r="BM12" t="inlineStr">
        <is>
          <t>no informado</t>
        </is>
      </c>
      <c r="BN12" t="inlineStr">
        <is>
          <t>no informado</t>
        </is>
      </c>
      <c r="BO12" t="inlineStr">
        <is>
          <t>no informado</t>
        </is>
      </c>
      <c r="BP12" t="inlineStr">
        <is>
          <t>no informado</t>
        </is>
      </c>
      <c r="BQ12" t="inlineStr">
        <is>
          <t>no informado</t>
        </is>
      </c>
      <c r="BR12" t="inlineStr">
        <is>
          <t>no informado</t>
        </is>
      </c>
      <c r="BS12" t="inlineStr">
        <is>
          <t>no informado</t>
        </is>
      </c>
      <c r="BT12" t="n">
        <v>0.125</v>
      </c>
      <c r="BU12" t="n">
        <v>23.63</v>
      </c>
      <c r="BV12" t="n">
        <v>0.446</v>
      </c>
      <c r="BW12" t="inlineStr">
        <is>
          <t>99.5</t>
        </is>
      </c>
      <c r="BX12" t="inlineStr">
        <is>
          <t>3.484 (D854, «G. Específica Promedio» de la hoja y p.49); e0 recalculado = 0.531</t>
        </is>
      </c>
      <c r="BY12" t="inlineStr">
        <is>
          <t>verificado en imagen; esfuerzos separados (consolidación / falla)</t>
        </is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Triaxial CU</t>
        </is>
      </c>
      <c r="EY12" t="inlineStr">
        <is>
          <t>CU: máximo desviador (la fuente no permite máxima oblicuidad)</t>
        </is>
      </c>
      <c r="EZ12" t="n">
        <v>317</v>
      </c>
      <c r="FA12" t="n">
        <v>884</v>
      </c>
      <c r="FB12" t="n">
        <v>567</v>
      </c>
      <c r="FC12" t="n">
        <v>28.17112617177265</v>
      </c>
      <c r="FD12" t="n">
        <v>466.6577851790175</v>
      </c>
      <c r="FE12" t="n">
        <v>249.9170092887116</v>
      </c>
      <c r="FF12" t="inlineStr">
        <is>
          <t>pequeña (&lt;120 mm)</t>
        </is>
      </c>
      <c r="FG12" t="n">
        <v>7.515789473684211</v>
      </c>
      <c r="FH12" t="inlineStr">
        <is>
          <t>ROM</t>
        </is>
      </c>
      <c r="FI12" t="inlineStr">
        <is>
          <t>dudosa: muestras del acopio de la chancadora secundaria; hojas de Fase A dicen «Material Chancado»</t>
        </is>
      </c>
      <c r="FJ12" t="n">
        <v>0</v>
      </c>
      <c r="FK12" t="inlineStr"/>
      <c r="FL12" t="inlineStr"/>
      <c r="FM12" t="inlineStr">
        <is>
          <t>A</t>
        </is>
      </c>
      <c r="FN12" t="n">
        <v>0.531</v>
      </c>
      <c r="FO12" t="inlineStr"/>
      <c r="FP12" t="n">
        <v>3.484</v>
      </c>
      <c r="FQ12" t="inlineStr">
        <is>
          <t>informe o verificación</t>
        </is>
      </c>
      <c r="FR12" t="inlineStr">
        <is>
          <t>G2010-010</t>
        </is>
      </c>
      <c r="FS12" t="inlineStr">
        <is>
          <t>G2010|G2010-A-EXO-2.8in</t>
        </is>
      </c>
    </row>
    <row r="13">
      <c r="A13" t="inlineStr">
        <is>
          <t>G2010</t>
        </is>
      </c>
      <c r="B13" t="inlineStr">
        <is>
          <t>2010_Golder_Caracterizacion ROM IPCC.pdf</t>
        </is>
      </c>
      <c r="C13" t="n">
        <v>2010</v>
      </c>
      <c r="D13" t="inlineStr">
        <is>
          <t>Golder Associates Perú, Memorando técnico 'Caracterización material de ROM – Proyecto IPCC' (proy. 099-4151017, 25-mar-2010)</t>
        </is>
      </c>
      <c r="E13" t="inlineStr">
        <is>
          <t>Golder Associates Perú – Laboratorio de Mecánica de Suelos (Lima)</t>
        </is>
      </c>
      <c r="F13" t="inlineStr">
        <is>
          <t>G2010-A-EXO-2.8in</t>
        </is>
      </c>
      <c r="G13" t="inlineStr">
        <is>
          <t>GL-484-09 Prueba Nº 3 (σ3c=1573 kPa)</t>
        </is>
      </c>
      <c r="H13" t="inlineStr">
        <is>
          <t>Exoskarn Diopsido</t>
        </is>
      </c>
      <c r="I13" t="inlineStr">
        <is>
          <t>Skarn</t>
        </is>
      </c>
      <c r="J13" t="inlineStr">
        <is>
          <t>exoskarn diópsido</t>
        </is>
      </c>
      <c r="K13" t="inlineStr"/>
      <c r="L13" t="inlineStr"/>
      <c r="M13" t="inlineStr">
        <is>
          <t>ROM</t>
        </is>
      </c>
      <c r="N13" t="inlineStr"/>
      <c r="O13" t="inlineStr">
        <is>
          <t>CU</t>
        </is>
      </c>
      <c r="P13" t="inlineStr">
        <is>
          <t>sí</t>
        </is>
      </c>
      <c r="Q13" t="n">
        <v>71.40000000000001</v>
      </c>
      <c r="R13" t="n">
        <v>142.2</v>
      </c>
      <c r="S13" t="n">
        <v>9.5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Truncado: se ensayó la fracción &lt; 3/8" de la matriz; TM de terreno 19" (Fase A, Tabla 2)</t>
        </is>
      </c>
      <c r="AD13" t="n">
        <v>3.484</v>
      </c>
      <c r="AE13" t="n">
        <v>22.31</v>
      </c>
      <c r="AF13" t="n">
        <v>0.532</v>
      </c>
      <c r="AG13" t="inlineStr">
        <is>
          <t>informe</t>
        </is>
      </c>
      <c r="AH13" t="inlineStr"/>
      <c r="AI13" t="n">
        <v>5.9</v>
      </c>
      <c r="AJ13" t="n">
        <v>73.3</v>
      </c>
      <c r="AK13" t="n">
        <v>486</v>
      </c>
      <c r="AL13" t="n">
        <v>1409</v>
      </c>
      <c r="AM13" t="n">
        <v>923</v>
      </c>
      <c r="AN13" t="inlineStr">
        <is>
          <t>Esfuerzo desviador máximo (criterio impreso en la hoja Golder)</t>
        </is>
      </c>
      <c r="AO13" t="inlineStr"/>
      <c r="AP13" t="n">
        <v>1.3</v>
      </c>
      <c r="AQ13" t="inlineStr"/>
      <c r="AR13" t="n">
        <v>1087</v>
      </c>
      <c r="AS13" t="n">
        <v>793.7</v>
      </c>
      <c r="AT13" t="n">
        <v>923</v>
      </c>
      <c r="AU13" t="inlineStr"/>
      <c r="AV13" t="inlineStr"/>
      <c r="AW13" t="inlineStr"/>
      <c r="AX13" t="inlineStr"/>
      <c r="AY13" t="inlineStr"/>
      <c r="AZ13" t="inlineStr"/>
      <c r="BA13" t="inlineStr">
        <is>
          <t>97;99;8;9;49</t>
        </is>
      </c>
      <c r="BB13" t="inlineStr">
        <is>
          <t>sí</t>
        </is>
      </c>
      <c r="BC13" t="inlineStr">
        <is>
          <t>Fase A (material original del tajo = ROM). Probeta remoldeada a la densidad de campo δ=2.273 g/cm3 y 6 % de humedad (solicitado por el cliente). Diámetro nominal 2.8". Inicial: S=38.6 %; final (post-consolidación): gd=2.458 g/cm3, e=0.417. Velocidad 0.125 %/min. Hoja da σ1, σ1', σ3, σ3' en la falla; σ3'f=486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67.79 MPa; Los Ángeles 37.0 %; durabilidad (sulfato de magnesio, pérdida corregida) 5.9 %. Envolvente de la hoja Golder (Mohr máximo, pág. 99): total c=80 kPa φ=11°, efectiva c'=0 kPa φ'=29°. En la Tabla 3 (pág. 9) los valores 2.8" de Fase A aparecen ≈100 veces menores (parecen kg/cm2 rotulados kPa). Granulometría de la fracción ensayada no informada (solo granulometría de terreno, ver resumen). Saturación final ≈100 %; el parámetro B no figura en la hoja. SUCS informado por el cliente. VERIFICACIÓN 2026-10-06 (imagen p.97): σ'3c=1573; en la falla σ1=2496, σ1'=1409, σ3=1573, σ3'=486 kPa (impresos); Δu=1087 kPa; q=σ'1−σ'3=923 kPa. Tras consolidar: γd=2.458 g/cm3, e=0.417, S=99.3 %. La hoja Golder no tabula la curva (solo gráficos): máxima oblicuidad no informada; el estado de «máximo desviador» es el impreso. Remoldeado a la densidad de campo δ=2.273 gr/cm3 y 6% de humedad, solicitado por el cliente; material &lt;3/8".</t>
        </is>
      </c>
      <c r="BD13" t="n">
        <v>1573</v>
      </c>
      <c r="BE13" t="n">
        <v>486</v>
      </c>
      <c r="BF13" t="n">
        <v>1409</v>
      </c>
      <c r="BG13" t="n">
        <v>1.3</v>
      </c>
      <c r="BH13" t="n">
        <v>486</v>
      </c>
      <c r="BI13" t="n">
        <v>1409</v>
      </c>
      <c r="BJ13" t="n">
        <v>923</v>
      </c>
      <c r="BK13" t="n">
        <v>1087</v>
      </c>
      <c r="BL13" t="inlineStr">
        <is>
          <t>no informado</t>
        </is>
      </c>
      <c r="BM13" t="inlineStr">
        <is>
          <t>no informado</t>
        </is>
      </c>
      <c r="BN13" t="inlineStr">
        <is>
          <t>no informado</t>
        </is>
      </c>
      <c r="BO13" t="inlineStr">
        <is>
          <t>no informado</t>
        </is>
      </c>
      <c r="BP13" t="inlineStr">
        <is>
          <t>no informado</t>
        </is>
      </c>
      <c r="BQ13" t="inlineStr">
        <is>
          <t>no informado</t>
        </is>
      </c>
      <c r="BR13" t="inlineStr">
        <is>
          <t>no informado</t>
        </is>
      </c>
      <c r="BS13" t="inlineStr">
        <is>
          <t>no informado</t>
        </is>
      </c>
      <c r="BT13" t="n">
        <v>0.125</v>
      </c>
      <c r="BU13" t="n">
        <v>24.11</v>
      </c>
      <c r="BV13" t="n">
        <v>0.417</v>
      </c>
      <c r="BW13" t="inlineStr">
        <is>
          <t>99.3</t>
        </is>
      </c>
      <c r="BX13" t="inlineStr">
        <is>
          <t>3.484 (D854, «G. Específica Promedio» de la hoja y p.49); e0 recalculado = 0.532</t>
        </is>
      </c>
      <c r="BY13" t="inlineStr">
        <is>
          <t>verificado en imagen; esfuerzos separados (consolidación / falla)</t>
        </is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Triaxial CU</t>
        </is>
      </c>
      <c r="EY13" t="inlineStr">
        <is>
          <t>CU: máximo desviador (la fuente no permite máxima oblicuidad)</t>
        </is>
      </c>
      <c r="EZ13" t="n">
        <v>486</v>
      </c>
      <c r="FA13" t="n">
        <v>1409</v>
      </c>
      <c r="FB13" t="n">
        <v>923</v>
      </c>
      <c r="FC13" t="n">
        <v>29.1482637741146</v>
      </c>
      <c r="FD13" t="n">
        <v>722.7166226912929</v>
      </c>
      <c r="FE13" t="n">
        <v>403.0566750293207</v>
      </c>
      <c r="FF13" t="inlineStr">
        <is>
          <t>pequeña (&lt;120 mm)</t>
        </is>
      </c>
      <c r="FG13" t="n">
        <v>7.515789473684211</v>
      </c>
      <c r="FH13" t="inlineStr">
        <is>
          <t>ROM</t>
        </is>
      </c>
      <c r="FI13" t="inlineStr">
        <is>
          <t>dudosa: muestras del acopio de la chancadora secundaria; hojas de Fase A dicen «Material Chancado»</t>
        </is>
      </c>
      <c r="FJ13" t="n">
        <v>0</v>
      </c>
      <c r="FK13" t="inlineStr"/>
      <c r="FL13" t="inlineStr"/>
      <c r="FM13" t="inlineStr">
        <is>
          <t>A</t>
        </is>
      </c>
      <c r="FN13" t="n">
        <v>0.532</v>
      </c>
      <c r="FO13" t="inlineStr"/>
      <c r="FP13" t="n">
        <v>3.484</v>
      </c>
      <c r="FQ13" t="inlineStr">
        <is>
          <t>informe o verificación</t>
        </is>
      </c>
      <c r="FR13" t="inlineStr">
        <is>
          <t>G2010-011</t>
        </is>
      </c>
      <c r="FS13" t="inlineStr">
        <is>
          <t>G2010|G2010-A-EXO-2.8in</t>
        </is>
      </c>
    </row>
    <row r="14">
      <c r="A14" t="inlineStr">
        <is>
          <t>G2010</t>
        </is>
      </c>
      <c r="B14" t="inlineStr">
        <is>
          <t>2010_Golder_Caracterizacion ROM IPCC.pdf</t>
        </is>
      </c>
      <c r="C14" t="n">
        <v>2010</v>
      </c>
      <c r="D14" t="inlineStr">
        <is>
          <t>Golder Associates Perú, Memorando técnico 'Caracterización material de ROM – Proyecto IPCC' (proy. 099-4151017, 25-mar-2010)</t>
        </is>
      </c>
      <c r="E14" t="inlineStr">
        <is>
          <t>Golder Associates Perú – Laboratorio de Mecánica de Suelos (Lima)</t>
        </is>
      </c>
      <c r="F14" t="inlineStr">
        <is>
          <t>G2010-A-HG-4in</t>
        </is>
      </c>
      <c r="G14" t="inlineStr">
        <is>
          <t>GL-482-09 Prueba Nº 1 (σ3c=392 kPa)</t>
        </is>
      </c>
      <c r="H14" t="inlineStr">
        <is>
          <t>Hornfels Gris</t>
        </is>
      </c>
      <c r="I14" t="inlineStr">
        <is>
          <t>Hornfels</t>
        </is>
      </c>
      <c r="J14" t="inlineStr">
        <is>
          <t>hornfels gris</t>
        </is>
      </c>
      <c r="K14" t="inlineStr"/>
      <c r="L14" t="inlineStr"/>
      <c r="M14" t="inlineStr">
        <is>
          <t>ROM</t>
        </is>
      </c>
      <c r="N14" t="inlineStr"/>
      <c r="O14" t="inlineStr">
        <is>
          <t>CU</t>
        </is>
      </c>
      <c r="P14" t="inlineStr">
        <is>
          <t>sí</t>
        </is>
      </c>
      <c r="Q14" t="n">
        <v>102.2</v>
      </c>
      <c r="R14" t="n">
        <v>203.5</v>
      </c>
      <c r="S14" t="n">
        <v>15.9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Truncado: se ensayó la fracción &lt; 5/8" de la matriz; TM de terreno 35" (Fase A, Tabla 2)</t>
        </is>
      </c>
      <c r="AD14" t="n">
        <v>2.791</v>
      </c>
      <c r="AE14" t="n">
        <v>19.88</v>
      </c>
      <c r="AF14" t="n">
        <v>0.377</v>
      </c>
      <c r="AG14" t="inlineStr">
        <is>
          <t>informe</t>
        </is>
      </c>
      <c r="AH14" t="inlineStr"/>
      <c r="AI14" t="n">
        <v>4</v>
      </c>
      <c r="AJ14" t="n">
        <v>49.2</v>
      </c>
      <c r="AK14" t="n">
        <v>224</v>
      </c>
      <c r="AL14" t="n">
        <v>1049</v>
      </c>
      <c r="AM14" t="n">
        <v>825</v>
      </c>
      <c r="AN14" t="inlineStr">
        <is>
          <t>Esfuerzo desviador máximo (criterio impreso en la hoja Golder)</t>
        </is>
      </c>
      <c r="AO14" t="inlineStr"/>
      <c r="AP14" t="n">
        <v>1</v>
      </c>
      <c r="AQ14" t="inlineStr"/>
      <c r="AR14" t="n">
        <v>168</v>
      </c>
      <c r="AS14" t="n">
        <v>499</v>
      </c>
      <c r="AT14" t="n">
        <v>825</v>
      </c>
      <c r="AU14" t="inlineStr"/>
      <c r="AV14" t="inlineStr"/>
      <c r="AW14" t="inlineStr"/>
      <c r="AX14" t="inlineStr"/>
      <c r="AY14" t="inlineStr"/>
      <c r="AZ14" t="inlineStr"/>
      <c r="BA14" t="inlineStr">
        <is>
          <t>102;104;8;9;49</t>
        </is>
      </c>
      <c r="BB14" t="inlineStr">
        <is>
          <t>sí</t>
        </is>
      </c>
      <c r="BC14" t="inlineStr">
        <is>
          <t>Fase A (material original del tajo = ROM). Probeta remoldeada a la densidad de campo δ=2.026 g/cm3 y 4 % de humedad (solicitado por el cliente). Diámetro nominal 4". Inicial: S=29.6 %; final (post-consolidación): gd=2.101 g/cm3, e=0.328. Velocidad 0.083 %/min. Hoja da σ1, σ1', σ3, σ3' en la falla; σ3'f=224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72.99 MPa; Los Ángeles 23.7 %; durabilidad (sulfato de magnesio, pérdida corregida) 0.7 %. Envolvente de la hoja Golder (Mohr máximo, pág. 104): total c=376 kPa φ=3°, efectiva c'=272 kPa φ'=14°. Granulometría de la fracción ensayada no informada (solo granulometría de terreno, ver resumen). Saturación final ≈100 %; el parámetro B no figura en la hoja. SUCS informado por el cliente. VERIFICACIÓN 2026-10-06 (imagen p.102): σ'3c=392; en la falla σ1=1217, σ1'=1049, σ3=392, σ3'=224 kPa (impresos); Δu=168 kPa; q=σ'1−σ'3=825 kPa. Tras consolidar: γd=2.101 g/cm3, e=0.328, S=99.8 %. La hoja Golder no tabula la curva (solo gráficos): máxima oblicuidad no informada; el estado de «máximo desviador» es el impreso. Remoldeado a la densidad de campo δ=2.026 gr/cm3 y 4% de humedad, solicitado por el cliente; material &lt;5/8".</t>
        </is>
      </c>
      <c r="BD14" t="n">
        <v>392</v>
      </c>
      <c r="BE14" t="n">
        <v>224</v>
      </c>
      <c r="BF14" t="n">
        <v>1049</v>
      </c>
      <c r="BG14" t="n">
        <v>1</v>
      </c>
      <c r="BH14" t="n">
        <v>224</v>
      </c>
      <c r="BI14" t="n">
        <v>1049</v>
      </c>
      <c r="BJ14" t="n">
        <v>825</v>
      </c>
      <c r="BK14" t="n">
        <v>168</v>
      </c>
      <c r="BL14" t="inlineStr">
        <is>
          <t>no informado</t>
        </is>
      </c>
      <c r="BM14" t="inlineStr">
        <is>
          <t>no informado</t>
        </is>
      </c>
      <c r="BN14" t="inlineStr">
        <is>
          <t>no informado</t>
        </is>
      </c>
      <c r="BO14" t="inlineStr">
        <is>
          <t>no informado</t>
        </is>
      </c>
      <c r="BP14" t="inlineStr">
        <is>
          <t>no informado</t>
        </is>
      </c>
      <c r="BQ14" t="inlineStr">
        <is>
          <t>no informado</t>
        </is>
      </c>
      <c r="BR14" t="inlineStr">
        <is>
          <t>no informado</t>
        </is>
      </c>
      <c r="BS14" t="inlineStr">
        <is>
          <t>no informado</t>
        </is>
      </c>
      <c r="BT14" t="n">
        <v>0.083</v>
      </c>
      <c r="BU14" t="n">
        <v>20.61</v>
      </c>
      <c r="BV14" t="n">
        <v>0.328</v>
      </c>
      <c r="BW14" t="inlineStr">
        <is>
          <t>99.8</t>
        </is>
      </c>
      <c r="BX14" t="inlineStr">
        <is>
          <t>2.791 (D854, «G. Específica Promedio» de la hoja y p.49); e0 recalculado = 0.377</t>
        </is>
      </c>
      <c r="BY14" t="inlineStr">
        <is>
          <t>verificado en imagen; esfuerzos separados (consolidación / falla)</t>
        </is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Triaxial CU</t>
        </is>
      </c>
      <c r="EY14" t="inlineStr">
        <is>
          <t>CU: máximo desviador (la fuente no permite máxima oblicuidad)</t>
        </is>
      </c>
      <c r="EZ14" t="n">
        <v>224</v>
      </c>
      <c r="FA14" t="n">
        <v>1049</v>
      </c>
      <c r="FB14" t="n">
        <v>825</v>
      </c>
      <c r="FC14" t="n">
        <v>40.39665289509424</v>
      </c>
      <c r="FD14" t="n">
        <v>369.1688923802043</v>
      </c>
      <c r="FE14" t="n">
        <v>314.1501693438556</v>
      </c>
      <c r="FF14" t="inlineStr">
        <is>
          <t>pequeña (&lt;120 mm)</t>
        </is>
      </c>
      <c r="FG14" t="n">
        <v>6.427672955974843</v>
      </c>
      <c r="FH14" t="inlineStr">
        <is>
          <t>ROM</t>
        </is>
      </c>
      <c r="FI14" t="inlineStr">
        <is>
          <t>dudosa: muestras del acopio de la chancadora secundaria; hojas de Fase A dicen «Material Chancado»</t>
        </is>
      </c>
      <c r="FJ14" t="n">
        <v>0</v>
      </c>
      <c r="FK14" t="inlineStr"/>
      <c r="FL14" t="inlineStr"/>
      <c r="FM14" t="inlineStr">
        <is>
          <t>A</t>
        </is>
      </c>
      <c r="FN14" t="n">
        <v>0.377</v>
      </c>
      <c r="FO14" t="inlineStr"/>
      <c r="FP14" t="n">
        <v>2.791</v>
      </c>
      <c r="FQ14" t="inlineStr">
        <is>
          <t>informe o verificación</t>
        </is>
      </c>
      <c r="FR14" t="inlineStr">
        <is>
          <t>G2010-012</t>
        </is>
      </c>
      <c r="FS14" t="inlineStr">
        <is>
          <t>G2010|G2010-A-HG-4in</t>
        </is>
      </c>
    </row>
    <row r="15">
      <c r="A15" t="inlineStr">
        <is>
          <t>G2010</t>
        </is>
      </c>
      <c r="B15" t="inlineStr">
        <is>
          <t>2010_Golder_Caracterizacion ROM IPCC.pdf</t>
        </is>
      </c>
      <c r="C15" t="n">
        <v>2010</v>
      </c>
      <c r="D15" t="inlineStr">
        <is>
          <t>Golder Associates Perú, Memorando técnico 'Caracterización material de ROM – Proyecto IPCC' (proy. 099-4151017, 25-mar-2010)</t>
        </is>
      </c>
      <c r="E15" t="inlineStr">
        <is>
          <t>Golder Associates Perú – Laboratorio de Mecánica de Suelos (Lima)</t>
        </is>
      </c>
      <c r="F15" t="inlineStr">
        <is>
          <t>G2010-A-HG-4in</t>
        </is>
      </c>
      <c r="G15" t="inlineStr">
        <is>
          <t>GL-482-09 Prueba Nº 2 (σ3c=591 kPa)</t>
        </is>
      </c>
      <c r="H15" t="inlineStr">
        <is>
          <t>Hornfels Gris</t>
        </is>
      </c>
      <c r="I15" t="inlineStr">
        <is>
          <t>Hornfels</t>
        </is>
      </c>
      <c r="J15" t="inlineStr">
        <is>
          <t>hornfels gris</t>
        </is>
      </c>
      <c r="K15" t="inlineStr"/>
      <c r="L15" t="inlineStr"/>
      <c r="M15" t="inlineStr">
        <is>
          <t>ROM</t>
        </is>
      </c>
      <c r="N15" t="inlineStr"/>
      <c r="O15" t="inlineStr">
        <is>
          <t>CU</t>
        </is>
      </c>
      <c r="P15" t="inlineStr">
        <is>
          <t>sí</t>
        </is>
      </c>
      <c r="Q15" t="n">
        <v>102.2</v>
      </c>
      <c r="R15" t="n">
        <v>204</v>
      </c>
      <c r="S15" t="n">
        <v>15.9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Truncado: se ensayó la fracción &lt; 5/8" de la matriz; TM de terreno 35" (Fase A, Tabla 2)</t>
        </is>
      </c>
      <c r="AD15" t="n">
        <v>2.791</v>
      </c>
      <c r="AE15" t="n">
        <v>19.84</v>
      </c>
      <c r="AF15" t="n">
        <v>0.381</v>
      </c>
      <c r="AG15" t="inlineStr">
        <is>
          <t>informe</t>
        </is>
      </c>
      <c r="AH15" t="inlineStr"/>
      <c r="AI15" t="n">
        <v>4</v>
      </c>
      <c r="AJ15" t="n">
        <v>49.2</v>
      </c>
      <c r="AK15" t="n">
        <v>242</v>
      </c>
      <c r="AL15" t="n">
        <v>1087</v>
      </c>
      <c r="AM15" t="n">
        <v>845</v>
      </c>
      <c r="AN15" t="inlineStr">
        <is>
          <t>Esfuerzo desviador máximo (criterio impreso en la hoja Golder)</t>
        </is>
      </c>
      <c r="AO15" t="inlineStr"/>
      <c r="AP15" t="n">
        <v>0.8</v>
      </c>
      <c r="AQ15" t="inlineStr"/>
      <c r="AR15" t="n">
        <v>349</v>
      </c>
      <c r="AS15" t="n">
        <v>523.7</v>
      </c>
      <c r="AT15" t="n">
        <v>845</v>
      </c>
      <c r="AU15" t="inlineStr"/>
      <c r="AV15" t="inlineStr"/>
      <c r="AW15" t="inlineStr"/>
      <c r="AX15" t="inlineStr"/>
      <c r="AY15" t="inlineStr"/>
      <c r="AZ15" t="inlineStr"/>
      <c r="BA15" t="inlineStr">
        <is>
          <t>102;104;8;9;49</t>
        </is>
      </c>
      <c r="BB15" t="inlineStr">
        <is>
          <t>sí</t>
        </is>
      </c>
      <c r="BC15" t="inlineStr">
        <is>
          <t>Fase A (material original del tajo = ROM). Probeta remoldeada a la densidad de campo δ=2.026 g/cm3 y 4 % de humedad (solicitado por el cliente). Diámetro nominal 4". Inicial: S=29.3 %; final (post-consolidación): gd=2.114 g/cm3, e=0.321. Velocidad 0.083 %/min. Hoja da σ1, σ1', σ3, σ3' en la falla; σ3'f=242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72.99 MPa; Los Ángeles 23.7 %; durabilidad (sulfato de magnesio, pérdida corregida) 0.7 %. Envolvente de la hoja Golder (Mohr máximo, pág. 104): total c=376 kPa φ=3°, efectiva c'=272 kPa φ'=14°. Granulometría de la fracción ensayada no informada (solo granulometría de terreno, ver resumen). Saturación final ≈100 %; el parámetro B no figura en la hoja. SUCS informado por el cliente. VERIFICACIÓN 2026-10-06 (imagen p.102): σ'3c=591; en la falla σ1=1435, σ1'=1087, σ3=591, σ3'=242 kPa (impresos); Δu=349 kPa; q=σ'1−σ'3=845 kPa. En la hoja σ1−σ3 (totales) = 844 kPa y σ1'−σ3' = 845 kPa (diferencia de redondeo de la hoja); se adopta el valor efectivo. Tras consolidar: γd=2.114 g/cm3, e=0.321, S=99.9 %. La hoja Golder no tabula la curva (solo gráficos): máxima oblicuidad no informada; el estado de «máximo desviador» es el impreso. Remoldeado a la densidad de campo δ=2.026 gr/cm3 y 4% de humedad, solicitado por el cliente; material &lt;5/8".</t>
        </is>
      </c>
      <c r="BD15" t="n">
        <v>591</v>
      </c>
      <c r="BE15" t="n">
        <v>242</v>
      </c>
      <c r="BF15" t="n">
        <v>1087</v>
      </c>
      <c r="BG15" t="n">
        <v>0.8</v>
      </c>
      <c r="BH15" t="n">
        <v>242</v>
      </c>
      <c r="BI15" t="n">
        <v>1087</v>
      </c>
      <c r="BJ15" t="n">
        <v>845</v>
      </c>
      <c r="BK15" t="n">
        <v>349</v>
      </c>
      <c r="BL15" t="inlineStr">
        <is>
          <t>no informado</t>
        </is>
      </c>
      <c r="BM15" t="inlineStr">
        <is>
          <t>no informado</t>
        </is>
      </c>
      <c r="BN15" t="inlineStr">
        <is>
          <t>no informado</t>
        </is>
      </c>
      <c r="BO15" t="inlineStr">
        <is>
          <t>no informado</t>
        </is>
      </c>
      <c r="BP15" t="inlineStr">
        <is>
          <t>no informado</t>
        </is>
      </c>
      <c r="BQ15" t="inlineStr">
        <is>
          <t>no informado</t>
        </is>
      </c>
      <c r="BR15" t="inlineStr">
        <is>
          <t>no informado</t>
        </is>
      </c>
      <c r="BS15" t="inlineStr">
        <is>
          <t>no informado</t>
        </is>
      </c>
      <c r="BT15" t="n">
        <v>0.083</v>
      </c>
      <c r="BU15" t="n">
        <v>20.74</v>
      </c>
      <c r="BV15" t="n">
        <v>0.321</v>
      </c>
      <c r="BW15" t="inlineStr">
        <is>
          <t>99.9</t>
        </is>
      </c>
      <c r="BX15" t="inlineStr">
        <is>
          <t>2.791 (D854, «G. Específica Promedio» de la hoja y p.49); e0 recalculado = 0.380</t>
        </is>
      </c>
      <c r="BY15" t="inlineStr">
        <is>
          <t>verificado en imagen; esfuerzos separados (consolidación / falla)</t>
        </is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Triaxial CU</t>
        </is>
      </c>
      <c r="EY15" t="inlineStr">
        <is>
          <t>CU: máximo desviador (la fuente no permite máxima oblicuidad)</t>
        </is>
      </c>
      <c r="EZ15" t="n">
        <v>242</v>
      </c>
      <c r="FA15" t="n">
        <v>1087</v>
      </c>
      <c r="FB15" t="n">
        <v>845</v>
      </c>
      <c r="FC15" t="n">
        <v>39.48056190730247</v>
      </c>
      <c r="FD15" t="n">
        <v>395.8675696012039</v>
      </c>
      <c r="FE15" t="n">
        <v>326.1025411401082</v>
      </c>
      <c r="FF15" t="inlineStr">
        <is>
          <t>pequeña (&lt;120 mm)</t>
        </is>
      </c>
      <c r="FG15" t="n">
        <v>6.427672955974843</v>
      </c>
      <c r="FH15" t="inlineStr">
        <is>
          <t>ROM</t>
        </is>
      </c>
      <c r="FI15" t="inlineStr">
        <is>
          <t>dudosa: muestras del acopio de la chancadora secundaria; hojas de Fase A dicen «Material Chancado»</t>
        </is>
      </c>
      <c r="FJ15" t="n">
        <v>0</v>
      </c>
      <c r="FK15" t="inlineStr"/>
      <c r="FL15" t="inlineStr"/>
      <c r="FM15" t="inlineStr">
        <is>
          <t>A</t>
        </is>
      </c>
      <c r="FN15" t="n">
        <v>0.381</v>
      </c>
      <c r="FO15" t="inlineStr"/>
      <c r="FP15" t="n">
        <v>2.791</v>
      </c>
      <c r="FQ15" t="inlineStr">
        <is>
          <t>informe o verificación</t>
        </is>
      </c>
      <c r="FR15" t="inlineStr">
        <is>
          <t>G2010-013</t>
        </is>
      </c>
      <c r="FS15" t="inlineStr">
        <is>
          <t>G2010|G2010-A-HG-4in</t>
        </is>
      </c>
    </row>
    <row r="16">
      <c r="A16" t="inlineStr">
        <is>
          <t>G2010</t>
        </is>
      </c>
      <c r="B16" t="inlineStr">
        <is>
          <t>2010_Golder_Caracterizacion ROM IPCC.pdf</t>
        </is>
      </c>
      <c r="C16" t="n">
        <v>2010</v>
      </c>
      <c r="D16" t="inlineStr">
        <is>
          <t>Golder Associates Perú, Memorando técnico 'Caracterización material de ROM – Proyecto IPCC' (proy. 099-4151017, 25-mar-2010)</t>
        </is>
      </c>
      <c r="E16" t="inlineStr">
        <is>
          <t>Golder Associates Perú – Laboratorio de Mecánica de Suelos (Lima)</t>
        </is>
      </c>
      <c r="F16" t="inlineStr">
        <is>
          <t>G2010-A-HG-4in</t>
        </is>
      </c>
      <c r="G16" t="inlineStr">
        <is>
          <t>GL-482-09 Prueba Nº 3 (σ3c=785 kPa)</t>
        </is>
      </c>
      <c r="H16" t="inlineStr">
        <is>
          <t>Hornfels Gris</t>
        </is>
      </c>
      <c r="I16" t="inlineStr">
        <is>
          <t>Hornfels</t>
        </is>
      </c>
      <c r="J16" t="inlineStr">
        <is>
          <t>hornfels gris</t>
        </is>
      </c>
      <c r="K16" t="inlineStr"/>
      <c r="L16" t="inlineStr"/>
      <c r="M16" t="inlineStr">
        <is>
          <t>ROM</t>
        </is>
      </c>
      <c r="N16" t="inlineStr"/>
      <c r="O16" t="inlineStr">
        <is>
          <t>CU</t>
        </is>
      </c>
      <c r="P16" t="inlineStr">
        <is>
          <t>sí</t>
        </is>
      </c>
      <c r="Q16" t="n">
        <v>102.2</v>
      </c>
      <c r="R16" t="n">
        <v>203.5</v>
      </c>
      <c r="S16" t="n">
        <v>15.9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Truncado: se ensayó la fracción &lt; 5/8" de la matriz; TM de terreno 35" (Fase A, Tabla 2)</t>
        </is>
      </c>
      <c r="AD16" t="n">
        <v>2.791</v>
      </c>
      <c r="AE16" t="n">
        <v>19.88</v>
      </c>
      <c r="AF16" t="n">
        <v>0.377</v>
      </c>
      <c r="AG16" t="inlineStr">
        <is>
          <t>informe</t>
        </is>
      </c>
      <c r="AH16" t="inlineStr"/>
      <c r="AI16" t="n">
        <v>4</v>
      </c>
      <c r="AJ16" t="n">
        <v>49.2</v>
      </c>
      <c r="AK16" t="n">
        <v>401</v>
      </c>
      <c r="AL16" t="n">
        <v>1338</v>
      </c>
      <c r="AM16" t="n">
        <v>937</v>
      </c>
      <c r="AN16" t="inlineStr">
        <is>
          <t>Esfuerzo desviador máximo (criterio impreso en la hoja Golder)</t>
        </is>
      </c>
      <c r="AO16" t="inlineStr"/>
      <c r="AP16" t="n">
        <v>1</v>
      </c>
      <c r="AQ16" t="inlineStr"/>
      <c r="AR16" t="n">
        <v>384</v>
      </c>
      <c r="AS16" t="n">
        <v>713.3</v>
      </c>
      <c r="AT16" t="n">
        <v>937</v>
      </c>
      <c r="AU16" t="inlineStr"/>
      <c r="AV16" t="inlineStr"/>
      <c r="AW16" t="inlineStr"/>
      <c r="AX16" t="inlineStr"/>
      <c r="AY16" t="inlineStr"/>
      <c r="AZ16" t="inlineStr"/>
      <c r="BA16" t="inlineStr">
        <is>
          <t>102;104;8;9;49</t>
        </is>
      </c>
      <c r="BB16" t="inlineStr">
        <is>
          <t>sí</t>
        </is>
      </c>
      <c r="BC16" t="inlineStr">
        <is>
          <t>Fase A (material original del tajo = ROM). Probeta remoldeada a la densidad de campo δ=2.026 g/cm3 y 4 % de humedad (solicitado por el cliente). Diámetro nominal 4". Inicial: S=29.6 %; final (post-consolidación): gd=2.139 g/cm3, e=0.305. Velocidad 0.083 %/min. Hoja da σ1, σ1', σ3, σ3' en la falla; σ3'f=401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72.99 MPa; Los Ángeles 23.7 %; durabilidad (sulfato de magnesio, pérdida corregida) 0.7 %. Envolvente de la hoja Golder (Mohr máximo, pág. 104): total c=376 kPa φ=3°, efectiva c'=272 kPa φ'=14°. Granulometría de la fracción ensayada no informada (solo granulometría de terreno, ver resumen). Saturación final ≈100 %; el parámetro B no figura en la hoja. SUCS informado por el cliente. VERIFICACIÓN 2026-10-06 (imagen p.102): σ'3c=785; en la falla σ1=1723, σ1'=1338, σ3=785, σ3'=401 kPa (impresos); Δu=384 kPa; q=σ'1−σ'3=937 kPa. En la hoja σ1−σ3 (totales) = 938 kPa y σ1'−σ3' = 937 kPa (diferencia de redondeo de la hoja); se adopta el valor efectivo. Tras consolidar: γd=2.139 g/cm3, e=0.305, S=100.0 %. La hoja Golder no tabula la curva (solo gráficos): máxima oblicuidad no informada; el estado de «máximo desviador» es el impreso. Remoldeado a la densidad de campo δ=2.026 gr/cm3 y 4% de humedad, solicitado por el cliente; material &lt;5/8".</t>
        </is>
      </c>
      <c r="BD16" t="n">
        <v>785</v>
      </c>
      <c r="BE16" t="n">
        <v>401</v>
      </c>
      <c r="BF16" t="n">
        <v>1338</v>
      </c>
      <c r="BG16" t="n">
        <v>1</v>
      </c>
      <c r="BH16" t="n">
        <v>401</v>
      </c>
      <c r="BI16" t="n">
        <v>1338</v>
      </c>
      <c r="BJ16" t="n">
        <v>937</v>
      </c>
      <c r="BK16" t="n">
        <v>384</v>
      </c>
      <c r="BL16" t="inlineStr">
        <is>
          <t>no informado</t>
        </is>
      </c>
      <c r="BM16" t="inlineStr">
        <is>
          <t>no informado</t>
        </is>
      </c>
      <c r="BN16" t="inlineStr">
        <is>
          <t>no informado</t>
        </is>
      </c>
      <c r="BO16" t="inlineStr">
        <is>
          <t>no informado</t>
        </is>
      </c>
      <c r="BP16" t="inlineStr">
        <is>
          <t>no informado</t>
        </is>
      </c>
      <c r="BQ16" t="inlineStr">
        <is>
          <t>no informado</t>
        </is>
      </c>
      <c r="BR16" t="inlineStr">
        <is>
          <t>no informado</t>
        </is>
      </c>
      <c r="BS16" t="inlineStr">
        <is>
          <t>no informado</t>
        </is>
      </c>
      <c r="BT16" t="n">
        <v>0.083</v>
      </c>
      <c r="BU16" t="n">
        <v>20.98</v>
      </c>
      <c r="BV16" t="n">
        <v>0.305</v>
      </c>
      <c r="BW16" t="inlineStr">
        <is>
          <t>100.0</t>
        </is>
      </c>
      <c r="BX16" t="inlineStr">
        <is>
          <t>2.791 (D854, «G. Específica Promedio» de la hoja y p.49); e0 recalculado = 0.377</t>
        </is>
      </c>
      <c r="BY16" t="inlineStr">
        <is>
          <t>verificado en imagen; esfuerzos separados (consolidación / falla)</t>
        </is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Triaxial CU</t>
        </is>
      </c>
      <c r="EY16" t="inlineStr">
        <is>
          <t>CU: máximo desviador (la fuente no permite máxima oblicuidad)</t>
        </is>
      </c>
      <c r="EZ16" t="n">
        <v>401</v>
      </c>
      <c r="FA16" t="n">
        <v>1338</v>
      </c>
      <c r="FB16" t="n">
        <v>937</v>
      </c>
      <c r="FC16" t="n">
        <v>32.60303510716275</v>
      </c>
      <c r="FD16" t="n">
        <v>617.0649798734905</v>
      </c>
      <c r="FE16" t="n">
        <v>394.6755764089397</v>
      </c>
      <c r="FF16" t="inlineStr">
        <is>
          <t>pequeña (&lt;120 mm)</t>
        </is>
      </c>
      <c r="FG16" t="n">
        <v>6.427672955974843</v>
      </c>
      <c r="FH16" t="inlineStr">
        <is>
          <t>ROM</t>
        </is>
      </c>
      <c r="FI16" t="inlineStr">
        <is>
          <t>dudosa: muestras del acopio de la chancadora secundaria; hojas de Fase A dicen «Material Chancado»</t>
        </is>
      </c>
      <c r="FJ16" t="n">
        <v>0</v>
      </c>
      <c r="FK16" t="inlineStr"/>
      <c r="FL16" t="inlineStr"/>
      <c r="FM16" t="inlineStr">
        <is>
          <t>A</t>
        </is>
      </c>
      <c r="FN16" t="n">
        <v>0.377</v>
      </c>
      <c r="FO16" t="inlineStr"/>
      <c r="FP16" t="n">
        <v>2.791</v>
      </c>
      <c r="FQ16" t="inlineStr">
        <is>
          <t>informe o verificación</t>
        </is>
      </c>
      <c r="FR16" t="inlineStr">
        <is>
          <t>G2010-014</t>
        </is>
      </c>
      <c r="FS16" t="inlineStr">
        <is>
          <t>G2010|G2010-A-HG-4in</t>
        </is>
      </c>
    </row>
    <row r="17">
      <c r="A17" t="inlineStr">
        <is>
          <t>G2010</t>
        </is>
      </c>
      <c r="B17" t="inlineStr">
        <is>
          <t>2010_Golder_Caracterizacion ROM IPCC.pdf</t>
        </is>
      </c>
      <c r="C17" t="n">
        <v>2010</v>
      </c>
      <c r="D17" t="inlineStr">
        <is>
          <t>Golder Associates Perú, Memorando técnico 'Caracterización material de ROM – Proyecto IPCC' (proy. 099-4151017, 25-mar-2010)</t>
        </is>
      </c>
      <c r="E17" t="inlineStr">
        <is>
          <t>Golder Associates Perú – Laboratorio de Mecánica de Suelos (Lima)</t>
        </is>
      </c>
      <c r="F17" t="inlineStr">
        <is>
          <t>G2010-A-INT-4in</t>
        </is>
      </c>
      <c r="G17" t="inlineStr">
        <is>
          <t>GL-483-09 Prueba Nº 1 (σ3c=393 kPa)</t>
        </is>
      </c>
      <c r="H17" t="inlineStr">
        <is>
          <t>Intrusivo</t>
        </is>
      </c>
      <c r="I17" t="inlineStr">
        <is>
          <t>Intrusivo</t>
        </is>
      </c>
      <c r="J17" t="inlineStr"/>
      <c r="K17" t="inlineStr"/>
      <c r="L17" t="inlineStr"/>
      <c r="M17" t="inlineStr">
        <is>
          <t>ROM</t>
        </is>
      </c>
      <c r="N17" t="inlineStr"/>
      <c r="O17" t="inlineStr">
        <is>
          <t>CU</t>
        </is>
      </c>
      <c r="P17" t="inlineStr">
        <is>
          <t>sí</t>
        </is>
      </c>
      <c r="Q17" t="n">
        <v>102.2</v>
      </c>
      <c r="R17" t="n">
        <v>203.5</v>
      </c>
      <c r="S17" t="n">
        <v>15.9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Truncado: se ensayó la fracción &lt; 5/8" de la matriz; TM de terreno 30" (Fase A, Tabla 2)</t>
        </is>
      </c>
      <c r="AD17" t="n">
        <v>2.674</v>
      </c>
      <c r="AE17" t="n">
        <v>18.28</v>
      </c>
      <c r="AF17" t="n">
        <v>0.435</v>
      </c>
      <c r="AG17" t="inlineStr">
        <is>
          <t>informe</t>
        </is>
      </c>
      <c r="AH17" t="inlineStr"/>
      <c r="AI17" t="n">
        <v>9</v>
      </c>
      <c r="AJ17" t="n">
        <v>46.8</v>
      </c>
      <c r="AK17" t="n">
        <v>99</v>
      </c>
      <c r="AL17" t="n">
        <v>367</v>
      </c>
      <c r="AM17" t="n">
        <v>268</v>
      </c>
      <c r="AN17" t="inlineStr">
        <is>
          <t>Esfuerzo desviador máximo (criterio impreso en la hoja Golder)</t>
        </is>
      </c>
      <c r="AO17" t="inlineStr"/>
      <c r="AP17" t="n">
        <v>1.4</v>
      </c>
      <c r="AQ17" t="inlineStr"/>
      <c r="AR17" t="n">
        <v>294</v>
      </c>
      <c r="AS17" t="n">
        <v>188.3</v>
      </c>
      <c r="AT17" t="n">
        <v>268</v>
      </c>
      <c r="AU17" t="inlineStr"/>
      <c r="AV17" t="inlineStr"/>
      <c r="AW17" t="inlineStr"/>
      <c r="AX17" t="inlineStr"/>
      <c r="AY17" t="inlineStr"/>
      <c r="AZ17" t="inlineStr"/>
      <c r="BA17" t="inlineStr">
        <is>
          <t>107;109;8;9;49</t>
        </is>
      </c>
      <c r="BB17" t="inlineStr">
        <is>
          <t>sí</t>
        </is>
      </c>
      <c r="BC17" t="inlineStr">
        <is>
          <t>Fase A (material original del tajo = ROM). Probeta remoldeada a la densidad de campo δ=1.863 g/cm3 y 9 % de humedad (solicitado por el cliente). Diámetro nominal 4". Inicial: S=55.3 %; final (post-consolidación): gd=1.891 g/cm3, e=0.414. Velocidad 0.083 %/min. Hoja da σ1, σ1', σ3, σ3' en la falla; σ3'f=99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80.56 MPa; Los Ángeles 49.8 %; durabilidad (sulfato de magnesio, pérdida corregida) 33.4 %. Envolvente de la hoja Golder (Mohr máximo, pág. 109): total c=0 kPa φ=17°, efectiva c'=0 kPa φ'=36°. Granulometría de la fracción ensayada no informada (solo granulometría de terreno, ver resumen). Saturación final ≈100 %; el parámetro B no figura en la hoja. SUCS informado por el cliente. VERIFICACIÓN 2026-10-06 (imagen p.107): σ'3c=393; en la falla σ1=661, σ1'=367, σ3=393, σ3'=99 kPa (impresos); Δu=294 kPa; q=σ'1−σ'3=268 kPa. Tras consolidar: γd=1.891 g/cm3, e=0.414, S=100.0 %. La hoja Golder no tabula la curva (solo gráficos): máxima oblicuidad no informada; el estado de «máximo desviador» es el impreso. Remoldeado a la densidad de campo δ=1.863 gr/cm3 y 9% de humedad, solicitado por el cliente; material &lt;5/8".</t>
        </is>
      </c>
      <c r="BD17" t="n">
        <v>393</v>
      </c>
      <c r="BE17" t="n">
        <v>99</v>
      </c>
      <c r="BF17" t="n">
        <v>367</v>
      </c>
      <c r="BG17" t="n">
        <v>1.4</v>
      </c>
      <c r="BH17" t="n">
        <v>99</v>
      </c>
      <c r="BI17" t="n">
        <v>367</v>
      </c>
      <c r="BJ17" t="n">
        <v>268</v>
      </c>
      <c r="BK17" t="n">
        <v>294</v>
      </c>
      <c r="BL17" t="inlineStr">
        <is>
          <t>no informado</t>
        </is>
      </c>
      <c r="BM17" t="inlineStr">
        <is>
          <t>no informado</t>
        </is>
      </c>
      <c r="BN17" t="inlineStr">
        <is>
          <t>no informado</t>
        </is>
      </c>
      <c r="BO17" t="inlineStr">
        <is>
          <t>no informado</t>
        </is>
      </c>
      <c r="BP17" t="inlineStr">
        <is>
          <t>no informado</t>
        </is>
      </c>
      <c r="BQ17" t="inlineStr">
        <is>
          <t>no informado</t>
        </is>
      </c>
      <c r="BR17" t="inlineStr">
        <is>
          <t>no informado</t>
        </is>
      </c>
      <c r="BS17" t="inlineStr">
        <is>
          <t>no informado</t>
        </is>
      </c>
      <c r="BT17" t="n">
        <v>0.083</v>
      </c>
      <c r="BU17" t="n">
        <v>18.55</v>
      </c>
      <c r="BV17" t="n">
        <v>0.414</v>
      </c>
      <c r="BW17" t="inlineStr">
        <is>
          <t>100.0</t>
        </is>
      </c>
      <c r="BX17" t="inlineStr">
        <is>
          <t>2.674 (D854, «G. Específica Promedio» de la hoja y p.49); e0 recalculado = 0.435</t>
        </is>
      </c>
      <c r="BY17" t="inlineStr">
        <is>
          <t>verificado en imagen; esfuerzos separados (consolidación / falla)</t>
        </is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Triaxial CU</t>
        </is>
      </c>
      <c r="EY17" t="inlineStr">
        <is>
          <t>CU: máximo desviador (la fuente no permite máxima oblicuidad)</t>
        </is>
      </c>
      <c r="EZ17" t="n">
        <v>99</v>
      </c>
      <c r="FA17" t="n">
        <v>367</v>
      </c>
      <c r="FB17" t="n">
        <v>268</v>
      </c>
      <c r="FC17" t="n">
        <v>35.10714655531054</v>
      </c>
      <c r="FD17" t="n">
        <v>155.9356223175965</v>
      </c>
      <c r="FE17" t="n">
        <v>109.6224506769662</v>
      </c>
      <c r="FF17" t="inlineStr">
        <is>
          <t>pequeña (&lt;120 mm)</t>
        </is>
      </c>
      <c r="FG17" t="n">
        <v>6.427672955974843</v>
      </c>
      <c r="FH17" t="inlineStr">
        <is>
          <t>ROM</t>
        </is>
      </c>
      <c r="FI17" t="inlineStr">
        <is>
          <t>dudosa: muestras del acopio de la chancadora secundaria; hojas de Fase A dicen «Material Chancado»</t>
        </is>
      </c>
      <c r="FJ17" t="n">
        <v>0</v>
      </c>
      <c r="FK17" t="inlineStr"/>
      <c r="FL17" t="inlineStr"/>
      <c r="FM17" t="inlineStr">
        <is>
          <t>A</t>
        </is>
      </c>
      <c r="FN17" t="n">
        <v>0.435</v>
      </c>
      <c r="FO17" t="inlineStr"/>
      <c r="FP17" t="n">
        <v>2.674</v>
      </c>
      <c r="FQ17" t="inlineStr">
        <is>
          <t>informe o verificación</t>
        </is>
      </c>
      <c r="FR17" t="inlineStr">
        <is>
          <t>G2010-015</t>
        </is>
      </c>
      <c r="FS17" t="inlineStr">
        <is>
          <t>G2010|G2010-A-INT-4in</t>
        </is>
      </c>
    </row>
    <row r="18">
      <c r="A18" t="inlineStr">
        <is>
          <t>G2010</t>
        </is>
      </c>
      <c r="B18" t="inlineStr">
        <is>
          <t>2010_Golder_Caracterizacion ROM IPCC.pdf</t>
        </is>
      </c>
      <c r="C18" t="n">
        <v>2010</v>
      </c>
      <c r="D18" t="inlineStr">
        <is>
          <t>Golder Associates Perú, Memorando técnico 'Caracterización material de ROM – Proyecto IPCC' (proy. 099-4151017, 25-mar-2010)</t>
        </is>
      </c>
      <c r="E18" t="inlineStr">
        <is>
          <t>Golder Associates Perú – Laboratorio de Mecánica de Suelos (Lima)</t>
        </is>
      </c>
      <c r="F18" t="inlineStr">
        <is>
          <t>G2010-A-INT-4in</t>
        </is>
      </c>
      <c r="G18" t="inlineStr">
        <is>
          <t>GL-483-09 Prueba Nº 2 (σ3c=590 kPa)</t>
        </is>
      </c>
      <c r="H18" t="inlineStr">
        <is>
          <t>Intrusivo</t>
        </is>
      </c>
      <c r="I18" t="inlineStr">
        <is>
          <t>Intrusivo</t>
        </is>
      </c>
      <c r="J18" t="inlineStr"/>
      <c r="K18" t="inlineStr"/>
      <c r="L18" t="inlineStr"/>
      <c r="M18" t="inlineStr">
        <is>
          <t>ROM</t>
        </is>
      </c>
      <c r="N18" t="inlineStr"/>
      <c r="O18" t="inlineStr">
        <is>
          <t>CU</t>
        </is>
      </c>
      <c r="P18" t="inlineStr">
        <is>
          <t>sí</t>
        </is>
      </c>
      <c r="Q18" t="n">
        <v>102.2</v>
      </c>
      <c r="R18" t="n">
        <v>203.4</v>
      </c>
      <c r="S18" t="n">
        <v>15.9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Truncado: se ensayó la fracción &lt; 5/8" de la matriz; TM de terreno 30" (Fase A, Tabla 2)</t>
        </is>
      </c>
      <c r="AD18" t="n">
        <v>2.674</v>
      </c>
      <c r="AE18" t="n">
        <v>18.28</v>
      </c>
      <c r="AF18" t="n">
        <v>0.435</v>
      </c>
      <c r="AG18" t="inlineStr">
        <is>
          <t>informe</t>
        </is>
      </c>
      <c r="AH18" t="inlineStr"/>
      <c r="AI18" t="n">
        <v>9</v>
      </c>
      <c r="AJ18" t="n">
        <v>46.8</v>
      </c>
      <c r="AK18" t="n">
        <v>167</v>
      </c>
      <c r="AL18" t="n">
        <v>664</v>
      </c>
      <c r="AM18" t="n">
        <v>497</v>
      </c>
      <c r="AN18" t="inlineStr">
        <is>
          <t>Esfuerzo desviador máximo (criterio impreso en la hoja Golder)</t>
        </is>
      </c>
      <c r="AO18" t="inlineStr"/>
      <c r="AP18" t="n">
        <v>2.2</v>
      </c>
      <c r="AQ18" t="inlineStr"/>
      <c r="AR18" t="n">
        <v>423</v>
      </c>
      <c r="AS18" t="n">
        <v>332.7</v>
      </c>
      <c r="AT18" t="n">
        <v>497</v>
      </c>
      <c r="AU18" t="inlineStr"/>
      <c r="AV18" t="inlineStr"/>
      <c r="AW18" t="inlineStr"/>
      <c r="AX18" t="inlineStr"/>
      <c r="AY18" t="inlineStr"/>
      <c r="AZ18" t="inlineStr"/>
      <c r="BA18" t="inlineStr">
        <is>
          <t>107;109;8;9;49</t>
        </is>
      </c>
      <c r="BB18" t="inlineStr">
        <is>
          <t>sí</t>
        </is>
      </c>
      <c r="BC18" t="inlineStr">
        <is>
          <t>Fase A (material original del tajo = ROM). Probeta remoldeada a la densidad de campo δ=1.863 g/cm3 y 9 % de humedad (solicitado por el cliente). Diámetro nominal 4". Inicial: S=55.3 %; final (post-consolidación): gd=1.896 g/cm3, e=0.41. Velocidad 0.083 %/min. Hoja da σ1, σ1', σ3, σ3' en la falla; σ3'f=167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80.56 MPa; Los Ángeles 49.8 %; durabilidad (sulfato de magnesio, pérdida corregida) 33.4 %. Envolvente de la hoja Golder (Mohr máximo, pág. 109): total c=0 kPa φ=17°, efectiva c'=0 kPa φ'=36°. Granulometría de la fracción ensayada no informada (solo granulometría de terreno, ver resumen). Saturación final ≈100 %; el parámetro B no figura en la hoja. SUCS informado por el cliente. VERIFICACIÓN 2026-10-06 (imagen p.107): σ'3c=590; en la falla σ1=1087, σ1'=664, σ3=590, σ3'=167 kPa (impresos); Δu=423 kPa; q=σ'1−σ'3=497 kPa. Tras consolidar: γd=1.896 g/cm3, e=0.41, S=99.9 %. La hoja Golder no tabula la curva (solo gráficos): máxima oblicuidad no informada; el estado de «máximo desviador» es el impreso. Remoldeado a la densidad de campo δ=1.863 gr/cm3 y 9% de humedad, solicitado por el cliente; material &lt;5/8".</t>
        </is>
      </c>
      <c r="BD18" t="n">
        <v>590</v>
      </c>
      <c r="BE18" t="n">
        <v>167</v>
      </c>
      <c r="BF18" t="n">
        <v>664</v>
      </c>
      <c r="BG18" t="n">
        <v>2.2</v>
      </c>
      <c r="BH18" t="n">
        <v>167</v>
      </c>
      <c r="BI18" t="n">
        <v>664</v>
      </c>
      <c r="BJ18" t="n">
        <v>497</v>
      </c>
      <c r="BK18" t="n">
        <v>423</v>
      </c>
      <c r="BL18" t="inlineStr">
        <is>
          <t>no informado</t>
        </is>
      </c>
      <c r="BM18" t="inlineStr">
        <is>
          <t>no informado</t>
        </is>
      </c>
      <c r="BN18" t="inlineStr">
        <is>
          <t>no informado</t>
        </is>
      </c>
      <c r="BO18" t="inlineStr">
        <is>
          <t>no informado</t>
        </is>
      </c>
      <c r="BP18" t="inlineStr">
        <is>
          <t>no informado</t>
        </is>
      </c>
      <c r="BQ18" t="inlineStr">
        <is>
          <t>no informado</t>
        </is>
      </c>
      <c r="BR18" t="inlineStr">
        <is>
          <t>no informado</t>
        </is>
      </c>
      <c r="BS18" t="inlineStr">
        <is>
          <t>no informado</t>
        </is>
      </c>
      <c r="BT18" t="n">
        <v>0.083</v>
      </c>
      <c r="BU18" t="n">
        <v>18.6</v>
      </c>
      <c r="BV18" t="n">
        <v>0.41</v>
      </c>
      <c r="BW18" t="inlineStr">
        <is>
          <t>99.9</t>
        </is>
      </c>
      <c r="BX18" t="inlineStr">
        <is>
          <t>2.674 (D854, «G. Específica Promedio» de la hoja y p.49); e0 recalculado = 0.435</t>
        </is>
      </c>
      <c r="BY18" t="inlineStr">
        <is>
          <t>verificado en imagen; esfuerzos separados (consolidación / falla)</t>
        </is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>
        <is>
          <t>Triaxial CU</t>
        </is>
      </c>
      <c r="EY18" t="inlineStr">
        <is>
          <t>CU: máximo desviador (la fuente no permite máxima oblicuidad)</t>
        </is>
      </c>
      <c r="EZ18" t="n">
        <v>167</v>
      </c>
      <c r="FA18" t="n">
        <v>664</v>
      </c>
      <c r="FB18" t="n">
        <v>497</v>
      </c>
      <c r="FC18" t="n">
        <v>36.73212576439666</v>
      </c>
      <c r="FD18" t="n">
        <v>266.878459687124</v>
      </c>
      <c r="FE18" t="n">
        <v>199.1579467533951</v>
      </c>
      <c r="FF18" t="inlineStr">
        <is>
          <t>pequeña (&lt;120 mm)</t>
        </is>
      </c>
      <c r="FG18" t="n">
        <v>6.427672955974843</v>
      </c>
      <c r="FH18" t="inlineStr">
        <is>
          <t>ROM</t>
        </is>
      </c>
      <c r="FI18" t="inlineStr">
        <is>
          <t>dudosa: muestras del acopio de la chancadora secundaria; hojas de Fase A dicen «Material Chancado»</t>
        </is>
      </c>
      <c r="FJ18" t="n">
        <v>0</v>
      </c>
      <c r="FK18" t="inlineStr"/>
      <c r="FL18" t="inlineStr"/>
      <c r="FM18" t="inlineStr">
        <is>
          <t>A</t>
        </is>
      </c>
      <c r="FN18" t="n">
        <v>0.435</v>
      </c>
      <c r="FO18" t="inlineStr"/>
      <c r="FP18" t="n">
        <v>2.674</v>
      </c>
      <c r="FQ18" t="inlineStr">
        <is>
          <t>informe o verificación</t>
        </is>
      </c>
      <c r="FR18" t="inlineStr">
        <is>
          <t>G2010-016</t>
        </is>
      </c>
      <c r="FS18" t="inlineStr">
        <is>
          <t>G2010|G2010-A-INT-4in</t>
        </is>
      </c>
    </row>
    <row r="19">
      <c r="A19" t="inlineStr">
        <is>
          <t>G2010</t>
        </is>
      </c>
      <c r="B19" t="inlineStr">
        <is>
          <t>2010_Golder_Caracterizacion ROM IPCC.pdf</t>
        </is>
      </c>
      <c r="C19" t="n">
        <v>2010</v>
      </c>
      <c r="D19" t="inlineStr">
        <is>
          <t>Golder Associates Perú, Memorando técnico 'Caracterización material de ROM – Proyecto IPCC' (proy. 099-4151017, 25-mar-2010)</t>
        </is>
      </c>
      <c r="E19" t="inlineStr">
        <is>
          <t>Golder Associates Perú – Laboratorio de Mecánica de Suelos (Lima)</t>
        </is>
      </c>
      <c r="F19" t="inlineStr">
        <is>
          <t>G2010-A-INT-4in</t>
        </is>
      </c>
      <c r="G19" t="inlineStr">
        <is>
          <t>GL-483-09 Prueba Nº 3 (σ3c=786 kPa)</t>
        </is>
      </c>
      <c r="H19" t="inlineStr">
        <is>
          <t>Intrusivo</t>
        </is>
      </c>
      <c r="I19" t="inlineStr">
        <is>
          <t>Intrusivo</t>
        </is>
      </c>
      <c r="J19" t="inlineStr"/>
      <c r="K19" t="inlineStr"/>
      <c r="L19" t="inlineStr"/>
      <c r="M19" t="inlineStr">
        <is>
          <t>ROM</t>
        </is>
      </c>
      <c r="N19" t="inlineStr"/>
      <c r="O19" t="inlineStr">
        <is>
          <t>CU</t>
        </is>
      </c>
      <c r="P19" t="inlineStr">
        <is>
          <t>sí</t>
        </is>
      </c>
      <c r="Q19" t="n">
        <v>102.2</v>
      </c>
      <c r="R19" t="n">
        <v>203.5</v>
      </c>
      <c r="S19" t="n">
        <v>15.9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Truncado: se ensayó la fracción &lt; 5/8" de la matriz; TM de terreno 30" (Fase A, Tabla 2)</t>
        </is>
      </c>
      <c r="AD19" t="n">
        <v>2.674</v>
      </c>
      <c r="AE19" t="n">
        <v>18.28</v>
      </c>
      <c r="AF19" t="n">
        <v>0.435</v>
      </c>
      <c r="AG19" t="inlineStr">
        <is>
          <t>informe</t>
        </is>
      </c>
      <c r="AH19" t="inlineStr"/>
      <c r="AI19" t="n">
        <v>9</v>
      </c>
      <c r="AJ19" t="n">
        <v>46.8</v>
      </c>
      <c r="AK19" t="n">
        <v>183</v>
      </c>
      <c r="AL19" t="n">
        <v>828</v>
      </c>
      <c r="AM19" t="n">
        <v>645</v>
      </c>
      <c r="AN19" t="inlineStr">
        <is>
          <t>Esfuerzo desviador máximo (criterio impreso en la hoja Golder)</t>
        </is>
      </c>
      <c r="AO19" t="inlineStr"/>
      <c r="AP19" t="n">
        <v>14.6</v>
      </c>
      <c r="AQ19" t="inlineStr"/>
      <c r="AR19" t="n">
        <v>603</v>
      </c>
      <c r="AS19" t="n">
        <v>398</v>
      </c>
      <c r="AT19" t="n">
        <v>645</v>
      </c>
      <c r="AU19" t="inlineStr"/>
      <c r="AV19" t="inlineStr"/>
      <c r="AW19" t="inlineStr"/>
      <c r="AX19" t="inlineStr"/>
      <c r="AY19" t="inlineStr"/>
      <c r="AZ19" t="inlineStr"/>
      <c r="BA19" t="inlineStr">
        <is>
          <t>107;109;8;9;49</t>
        </is>
      </c>
      <c r="BB19" t="inlineStr">
        <is>
          <t>sí</t>
        </is>
      </c>
      <c r="BC19" t="inlineStr">
        <is>
          <t>Fase A (material original del tajo = ROM). Probeta remoldeada a la densidad de campo δ=1.863 g/cm3 y 9 % de humedad (solicitado por el cliente). Diámetro nominal 4". Inicial: S=55.3 %; final (post-consolidación): gd=1.899 g/cm3, e=0.408. Velocidad 0.083 %/min. Hoja da σ1, σ1', σ3, σ3' en la falla; σ3'f=183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80.56 MPa; Los Ángeles 49.8 %; durabilidad (sulfato de magnesio, pérdida corregida) 33.4 %. Envolvente de la hoja Golder (Mohr máximo, pág. 109): total c=0 kPa φ=17°, efectiva c'=0 kPa φ'=36°. Granulometría de la fracción ensayada no informada (solo granulometría de terreno, ver resumen). Saturación final ≈100 %; el parámetro B no figura en la hoja. SUCS informado por el cliente. VERIFICACIÓN 2026-10-06 (imagen p.107): σ'3c=786; en la falla σ1=1431, σ1'=828, σ3=786, σ3'=183 kPa (impresos); Δu=603 kPa; q=σ'1−σ'3=645 kPa. Tras consolidar: γd=1.899 g/cm3, e=0.408, S=100.0 %. La hoja Golder no tabula la curva (solo gráficos): máxima oblicuidad no informada; el estado de «máximo desviador» es el impreso. Remoldeado a la densidad de campo δ=1.863 gr/cm3 y 9% de humedad, solicitado por el cliente; material &lt;5/8".</t>
        </is>
      </c>
      <c r="BD19" t="n">
        <v>786</v>
      </c>
      <c r="BE19" t="n">
        <v>183</v>
      </c>
      <c r="BF19" t="n">
        <v>828</v>
      </c>
      <c r="BG19" t="n">
        <v>14.6</v>
      </c>
      <c r="BH19" t="n">
        <v>183</v>
      </c>
      <c r="BI19" t="n">
        <v>828</v>
      </c>
      <c r="BJ19" t="n">
        <v>645</v>
      </c>
      <c r="BK19" t="n">
        <v>603</v>
      </c>
      <c r="BL19" t="inlineStr">
        <is>
          <t>no informado</t>
        </is>
      </c>
      <c r="BM19" t="inlineStr">
        <is>
          <t>no informado</t>
        </is>
      </c>
      <c r="BN19" t="inlineStr">
        <is>
          <t>no informado</t>
        </is>
      </c>
      <c r="BO19" t="inlineStr">
        <is>
          <t>no informado</t>
        </is>
      </c>
      <c r="BP19" t="inlineStr">
        <is>
          <t>no informado</t>
        </is>
      </c>
      <c r="BQ19" t="inlineStr">
        <is>
          <t>no informado</t>
        </is>
      </c>
      <c r="BR19" t="inlineStr">
        <is>
          <t>no informado</t>
        </is>
      </c>
      <c r="BS19" t="inlineStr">
        <is>
          <t>no informado</t>
        </is>
      </c>
      <c r="BT19" t="n">
        <v>0.083</v>
      </c>
      <c r="BU19" t="n">
        <v>18.63</v>
      </c>
      <c r="BV19" t="n">
        <v>0.408</v>
      </c>
      <c r="BW19" t="inlineStr">
        <is>
          <t>100.0</t>
        </is>
      </c>
      <c r="BX19" t="inlineStr">
        <is>
          <t>2.674 (D854, «G. Específica Promedio» de la hoja y p.49); e0 recalculado = 0.435</t>
        </is>
      </c>
      <c r="BY19" t="inlineStr">
        <is>
          <t>verificado en imagen; esfuerzos separados (consolidación / falla)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Triaxial CU</t>
        </is>
      </c>
      <c r="EY19" t="inlineStr">
        <is>
          <t>CU: máximo desviador (la fuente no permite máxima oblicuidad)</t>
        </is>
      </c>
      <c r="EZ19" t="n">
        <v>183</v>
      </c>
      <c r="FA19" t="n">
        <v>828</v>
      </c>
      <c r="FB19" t="n">
        <v>645</v>
      </c>
      <c r="FC19" t="n">
        <v>39.64152095551466</v>
      </c>
      <c r="FD19" t="n">
        <v>299.7507418397626</v>
      </c>
      <c r="FE19" t="n">
        <v>248.3414841835974</v>
      </c>
      <c r="FF19" t="inlineStr">
        <is>
          <t>pequeña (&lt;120 mm)</t>
        </is>
      </c>
      <c r="FG19" t="n">
        <v>6.427672955974843</v>
      </c>
      <c r="FH19" t="inlineStr">
        <is>
          <t>ROM</t>
        </is>
      </c>
      <c r="FI19" t="inlineStr">
        <is>
          <t>dudosa: muestras del acopio de la chancadora secundaria; hojas de Fase A dicen «Material Chancado»</t>
        </is>
      </c>
      <c r="FJ19" t="n">
        <v>0</v>
      </c>
      <c r="FK19" t="inlineStr"/>
      <c r="FL19" t="inlineStr"/>
      <c r="FM19" t="inlineStr">
        <is>
          <t>A</t>
        </is>
      </c>
      <c r="FN19" t="n">
        <v>0.435</v>
      </c>
      <c r="FO19" t="inlineStr"/>
      <c r="FP19" t="n">
        <v>2.674</v>
      </c>
      <c r="FQ19" t="inlineStr">
        <is>
          <t>informe o verificación</t>
        </is>
      </c>
      <c r="FR19" t="inlineStr">
        <is>
          <t>G2010-017</t>
        </is>
      </c>
      <c r="FS19" t="inlineStr">
        <is>
          <t>G2010|G2010-A-INT-4in</t>
        </is>
      </c>
    </row>
    <row r="20">
      <c r="A20" t="inlineStr">
        <is>
          <t>G2010</t>
        </is>
      </c>
      <c r="B20" t="inlineStr">
        <is>
          <t>2010_Golder_Caracterizacion ROM IPCC.pdf</t>
        </is>
      </c>
      <c r="C20" t="n">
        <v>2010</v>
      </c>
      <c r="D20" t="inlineStr">
        <is>
          <t>Golder Associates Perú, Memorando técnico 'Caracterización material de ROM – Proyecto IPCC' (proy. 099-4151017, 25-mar-2010)</t>
        </is>
      </c>
      <c r="E20" t="inlineStr">
        <is>
          <t>Golder Associates Perú – Laboratorio de Mecánica de Suelos (Lima)</t>
        </is>
      </c>
      <c r="F20" t="inlineStr">
        <is>
          <t>G2010-A-EXO-4in</t>
        </is>
      </c>
      <c r="G20" t="inlineStr">
        <is>
          <t>GL-484-09 Prueba Nº 1 (σ3c=392 kPa)</t>
        </is>
      </c>
      <c r="H20" t="inlineStr">
        <is>
          <t>Exoskarn Diopsido</t>
        </is>
      </c>
      <c r="I20" t="inlineStr">
        <is>
          <t>Skarn</t>
        </is>
      </c>
      <c r="J20" t="inlineStr">
        <is>
          <t>exoskarn diópsido</t>
        </is>
      </c>
      <c r="K20" t="inlineStr"/>
      <c r="L20" t="inlineStr"/>
      <c r="M20" t="inlineStr">
        <is>
          <t>ROM</t>
        </is>
      </c>
      <c r="N20" t="inlineStr"/>
      <c r="O20" t="inlineStr">
        <is>
          <t>CU</t>
        </is>
      </c>
      <c r="P20" t="inlineStr">
        <is>
          <t>sí</t>
        </is>
      </c>
      <c r="Q20" t="n">
        <v>100.7</v>
      </c>
      <c r="R20" t="n">
        <v>200.4</v>
      </c>
      <c r="S20" t="n">
        <v>15.9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Truncado: se ensayó la fracción &lt; 5/8" de la matriz; TM de terreno 19" (Fase A, Tabla 2)</t>
        </is>
      </c>
      <c r="AD20" t="n">
        <v>3.484</v>
      </c>
      <c r="AE20" t="n">
        <v>21.39</v>
      </c>
      <c r="AF20" t="n">
        <v>0.598</v>
      </c>
      <c r="AG20" t="inlineStr">
        <is>
          <t>informe</t>
        </is>
      </c>
      <c r="AH20" t="inlineStr"/>
      <c r="AI20" t="n">
        <v>5.6</v>
      </c>
      <c r="AJ20" t="n">
        <v>73.3</v>
      </c>
      <c r="AK20" t="n">
        <v>156</v>
      </c>
      <c r="AL20" t="n">
        <v>512</v>
      </c>
      <c r="AM20" t="n">
        <v>356</v>
      </c>
      <c r="AN20" t="inlineStr">
        <is>
          <t>Esfuerzo desviador máximo (criterio impreso en la hoja Golder)</t>
        </is>
      </c>
      <c r="AO20" t="inlineStr"/>
      <c r="AP20" t="n">
        <v>1.4</v>
      </c>
      <c r="AQ20" t="inlineStr"/>
      <c r="AR20" t="n">
        <v>236</v>
      </c>
      <c r="AS20" t="n">
        <v>274.7</v>
      </c>
      <c r="AT20" t="n">
        <v>356</v>
      </c>
      <c r="AU20" t="inlineStr"/>
      <c r="AV20" t="inlineStr"/>
      <c r="AW20" t="inlineStr"/>
      <c r="AX20" t="inlineStr"/>
      <c r="AY20" t="inlineStr"/>
      <c r="AZ20" t="inlineStr"/>
      <c r="BA20" t="inlineStr">
        <is>
          <t>112;114;8;9;49</t>
        </is>
      </c>
      <c r="BB20" t="inlineStr">
        <is>
          <t>sí</t>
        </is>
      </c>
      <c r="BC20" t="inlineStr">
        <is>
          <t>Fase A (material original del tajo = ROM). Probeta remoldeada a la densidad mínima δ=2.180 g/cm3 y 6 % de humedad (solicitado por el cliente). Diámetro nominal 4". Inicial: S=32.5 %; final (post-consolidación): gd=2.263 g/cm3, e=0.54. Velocidad 0.125 %/min. Hoja da σ1, σ1', σ3, σ3' en la falla; σ3'f=156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67.79 MPa; Los Ángeles 37.0 %; durabilidad (sulfato de magnesio, pérdida corregida) 5.9 %. Envolvente de la hoja Golder (Mohr máximo, pág. 114): total c=4 kPa φ=17°, efectiva c'=29 kPa φ'=26°. Granulometría de la fracción ensayada no informada (solo granulometría de terreno, ver resumen). Saturación final ≈100 %; el parámetro B no figura en la hoja. SUCS informado por el cliente. VERIFICACIÓN 2026-10-06 (imagen p.112): σ'3c=392; en la falla σ1=748, σ1'=512, σ3=392, σ3'=156 kPa (impresos); Δu=236 kPa; q=σ'1−σ'3=356 kPa. Tras consolidar: γd=2.263 g/cm3, e=0.54, S=100.0 %. La hoja Golder no tabula la curva (solo gráficos): máxima oblicuidad no informada; el estado de «máximo desviador» es el impreso. Remoldeado a la densidad mínima δ=2.180 gr/cm3 y 6% de humedad, solicitado por el cliente; material &lt;5/8".</t>
        </is>
      </c>
      <c r="BD20" t="n">
        <v>392</v>
      </c>
      <c r="BE20" t="n">
        <v>156</v>
      </c>
      <c r="BF20" t="n">
        <v>512</v>
      </c>
      <c r="BG20" t="n">
        <v>1.4</v>
      </c>
      <c r="BH20" t="n">
        <v>156</v>
      </c>
      <c r="BI20" t="n">
        <v>512</v>
      </c>
      <c r="BJ20" t="n">
        <v>356</v>
      </c>
      <c r="BK20" t="n">
        <v>236</v>
      </c>
      <c r="BL20" t="inlineStr">
        <is>
          <t>no informado</t>
        </is>
      </c>
      <c r="BM20" t="inlineStr">
        <is>
          <t>no informado</t>
        </is>
      </c>
      <c r="BN20" t="inlineStr">
        <is>
          <t>no informado</t>
        </is>
      </c>
      <c r="BO20" t="inlineStr">
        <is>
          <t>no informado</t>
        </is>
      </c>
      <c r="BP20" t="inlineStr">
        <is>
          <t>no informado</t>
        </is>
      </c>
      <c r="BQ20" t="inlineStr">
        <is>
          <t>no informado</t>
        </is>
      </c>
      <c r="BR20" t="inlineStr">
        <is>
          <t>no informado</t>
        </is>
      </c>
      <c r="BS20" t="inlineStr">
        <is>
          <t>no informado</t>
        </is>
      </c>
      <c r="BT20" t="n">
        <v>0.125</v>
      </c>
      <c r="BU20" t="n">
        <v>22.2</v>
      </c>
      <c r="BV20" t="n">
        <v>0.54</v>
      </c>
      <c r="BW20" t="inlineStr">
        <is>
          <t>100.0</t>
        </is>
      </c>
      <c r="BX20" t="inlineStr">
        <is>
          <t>3.484 (D854, «G. Específica Promedio» de la hoja y p.49); e0 recalculado = 0.598</t>
        </is>
      </c>
      <c r="BY20" t="inlineStr">
        <is>
          <t>verificado en imagen; esfuerzos separados (consolidación / falla)</t>
        </is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Triaxial CU</t>
        </is>
      </c>
      <c r="EY20" t="inlineStr">
        <is>
          <t>CU: máximo desviador (la fuente no permite máxima oblicuidad)</t>
        </is>
      </c>
      <c r="EZ20" t="n">
        <v>156</v>
      </c>
      <c r="FA20" t="n">
        <v>512</v>
      </c>
      <c r="FB20" t="n">
        <v>356</v>
      </c>
      <c r="FC20" t="n">
        <v>32.20391749422262</v>
      </c>
      <c r="FD20" t="n">
        <v>239.1377245508982</v>
      </c>
      <c r="FE20" t="n">
        <v>150.6158978880342</v>
      </c>
      <c r="FF20" t="inlineStr">
        <is>
          <t>pequeña (&lt;120 mm)</t>
        </is>
      </c>
      <c r="FG20" t="n">
        <v>6.333333333333333</v>
      </c>
      <c r="FH20" t="inlineStr">
        <is>
          <t>ROM</t>
        </is>
      </c>
      <c r="FI20" t="inlineStr">
        <is>
          <t>dudosa: muestras del acopio de la chancadora secundaria; hojas de Fase A dicen «Material Chancado»</t>
        </is>
      </c>
      <c r="FJ20" t="n">
        <v>0</v>
      </c>
      <c r="FK20" t="inlineStr"/>
      <c r="FL20" t="inlineStr"/>
      <c r="FM20" t="inlineStr">
        <is>
          <t>A</t>
        </is>
      </c>
      <c r="FN20" t="n">
        <v>0.598</v>
      </c>
      <c r="FO20" t="inlineStr"/>
      <c r="FP20" t="n">
        <v>3.484</v>
      </c>
      <c r="FQ20" t="inlineStr">
        <is>
          <t>informe o verificación</t>
        </is>
      </c>
      <c r="FR20" t="inlineStr">
        <is>
          <t>G2010-018</t>
        </is>
      </c>
      <c r="FS20" t="inlineStr">
        <is>
          <t>G2010|G2010-A-EXO-4in</t>
        </is>
      </c>
    </row>
    <row r="21">
      <c r="A21" t="inlineStr">
        <is>
          <t>G2010</t>
        </is>
      </c>
      <c r="B21" t="inlineStr">
        <is>
          <t>2010_Golder_Caracterizacion ROM IPCC.pdf</t>
        </is>
      </c>
      <c r="C21" t="n">
        <v>2010</v>
      </c>
      <c r="D21" t="inlineStr">
        <is>
          <t>Golder Associates Perú, Memorando técnico 'Caracterización material de ROM – Proyecto IPCC' (proy. 099-4151017, 25-mar-2010)</t>
        </is>
      </c>
      <c r="E21" t="inlineStr">
        <is>
          <t>Golder Associates Perú – Laboratorio de Mecánica de Suelos (Lima)</t>
        </is>
      </c>
      <c r="F21" t="inlineStr">
        <is>
          <t>G2010-A-EXO-4in</t>
        </is>
      </c>
      <c r="G21" t="inlineStr">
        <is>
          <t>GL-484-09 Prueba Nº 2 (σ3c=588 kPa)</t>
        </is>
      </c>
      <c r="H21" t="inlineStr">
        <is>
          <t>Exoskarn Diopsido</t>
        </is>
      </c>
      <c r="I21" t="inlineStr">
        <is>
          <t>Skarn</t>
        </is>
      </c>
      <c r="J21" t="inlineStr">
        <is>
          <t>exoskarn diópsido</t>
        </is>
      </c>
      <c r="K21" t="inlineStr"/>
      <c r="L21" t="inlineStr"/>
      <c r="M21" t="inlineStr">
        <is>
          <t>ROM</t>
        </is>
      </c>
      <c r="N21" t="inlineStr"/>
      <c r="O21" t="inlineStr">
        <is>
          <t>CU</t>
        </is>
      </c>
      <c r="P21" t="inlineStr">
        <is>
          <t>sí</t>
        </is>
      </c>
      <c r="Q21" t="n">
        <v>101.1</v>
      </c>
      <c r="R21" t="n">
        <v>211.1</v>
      </c>
      <c r="S21" t="n">
        <v>15.9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Truncado: se ensayó la fracción &lt; 5/8" de la matriz; TM de terreno 19" (Fase A, Tabla 2)</t>
        </is>
      </c>
      <c r="AD21" t="n">
        <v>3.484</v>
      </c>
      <c r="AE21" t="n">
        <v>20.17</v>
      </c>
      <c r="AF21" t="n">
        <v>0.695</v>
      </c>
      <c r="AG21" t="inlineStr">
        <is>
          <t>informe</t>
        </is>
      </c>
      <c r="AH21" t="inlineStr"/>
      <c r="AI21" t="n">
        <v>5.5</v>
      </c>
      <c r="AJ21" t="n">
        <v>73.3</v>
      </c>
      <c r="AK21" t="n">
        <v>232</v>
      </c>
      <c r="AL21" t="n">
        <v>663</v>
      </c>
      <c r="AM21" t="n">
        <v>431</v>
      </c>
      <c r="AN21" t="inlineStr">
        <is>
          <t>Esfuerzo desviador máximo (criterio impreso en la hoja Golder)</t>
        </is>
      </c>
      <c r="AO21" t="inlineStr"/>
      <c r="AP21" t="n">
        <v>1.7</v>
      </c>
      <c r="AQ21" t="inlineStr"/>
      <c r="AR21" t="n">
        <v>356</v>
      </c>
      <c r="AS21" t="n">
        <v>375.7</v>
      </c>
      <c r="AT21" t="n">
        <v>431</v>
      </c>
      <c r="AU21" t="inlineStr"/>
      <c r="AV21" t="inlineStr"/>
      <c r="AW21" t="inlineStr"/>
      <c r="AX21" t="inlineStr"/>
      <c r="AY21" t="inlineStr"/>
      <c r="AZ21" t="inlineStr"/>
      <c r="BA21" t="inlineStr">
        <is>
          <t>112;114;8;9;49</t>
        </is>
      </c>
      <c r="BB21" t="inlineStr">
        <is>
          <t>sí</t>
        </is>
      </c>
      <c r="BC21" t="inlineStr">
        <is>
          <t>Fase A (material original del tajo = ROM). Probeta remoldeada a la densidad mínima δ=2.180 g/cm3 y 6 % de humedad (solicitado por el cliente). Diámetro nominal 4". Inicial: S=27.6 %; final (post-consolidación): gd=2.146 g/cm3, e=0.624. Velocidad 0.125 %/min. Hoja da σ1, σ1', σ3, σ3' en la falla; σ3'f=232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67.79 MPa; Los Ángeles 37.0 %; durabilidad (sulfato de magnesio, pérdida corregida) 5.9 %. Envolvente de la hoja Golder (Mohr máximo, pág. 114): total c=4 kPa φ=17°, efectiva c'=29 kPa φ'=26°. Granulometría de la fracción ensayada no informada (solo granulometría de terreno, ver resumen). Saturación final ≈100 %; el parámetro B no figura en la hoja. SUCS informado por el cliente. VERIFICACIÓN 2026-10-06 (imagen p.112): σ'3c=588; en la falla σ1=1018, σ1'=663, σ3=588, σ3'=232 kPa (impresos); Δu=356 kPa; q=σ'1−σ'3=431 kPa. En la hoja σ1−σ3 (totales) = 430 kPa y σ1'−σ3' = 431 kPa (diferencia de redondeo de la hoja); se adopta el valor efectivo. Tras consolidar: γd=2.146 g/cm3, e=0.624, S=100.0 %. La hoja Golder no tabula la curva (solo gráficos): máxima oblicuidad no informada; el estado de «máximo desviador» es el impreso. Remoldeado a la densidad mínima δ=2.180 gr/cm3 y 6% de humedad, solicitado por el cliente; material &lt;5/8".</t>
        </is>
      </c>
      <c r="BD21" t="n">
        <v>588</v>
      </c>
      <c r="BE21" t="n">
        <v>232</v>
      </c>
      <c r="BF21" t="n">
        <v>663</v>
      </c>
      <c r="BG21" t="n">
        <v>1.7</v>
      </c>
      <c r="BH21" t="n">
        <v>232</v>
      </c>
      <c r="BI21" t="n">
        <v>663</v>
      </c>
      <c r="BJ21" t="n">
        <v>431</v>
      </c>
      <c r="BK21" t="n">
        <v>356</v>
      </c>
      <c r="BL21" t="inlineStr">
        <is>
          <t>no informado</t>
        </is>
      </c>
      <c r="BM21" t="inlineStr">
        <is>
          <t>no informado</t>
        </is>
      </c>
      <c r="BN21" t="inlineStr">
        <is>
          <t>no informado</t>
        </is>
      </c>
      <c r="BO21" t="inlineStr">
        <is>
          <t>no informado</t>
        </is>
      </c>
      <c r="BP21" t="inlineStr">
        <is>
          <t>no informado</t>
        </is>
      </c>
      <c r="BQ21" t="inlineStr">
        <is>
          <t>no informado</t>
        </is>
      </c>
      <c r="BR21" t="inlineStr">
        <is>
          <t>no informado</t>
        </is>
      </c>
      <c r="BS21" t="inlineStr">
        <is>
          <t>no informado</t>
        </is>
      </c>
      <c r="BT21" t="n">
        <v>0.125</v>
      </c>
      <c r="BU21" t="n">
        <v>21.05</v>
      </c>
      <c r="BV21" t="n">
        <v>0.624</v>
      </c>
      <c r="BW21" t="inlineStr">
        <is>
          <t>100.0</t>
        </is>
      </c>
      <c r="BX21" t="inlineStr">
        <is>
          <t>3.484 (D854, «G. Específica Promedio» de la hoja y p.49); e0 recalculado = 0.695</t>
        </is>
      </c>
      <c r="BY21" t="inlineStr">
        <is>
          <t>verificado en imagen; esfuerzos separados (consolidación / falla)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Triaxial CU</t>
        </is>
      </c>
      <c r="EY21" t="inlineStr">
        <is>
          <t>CU: máximo desviador (la fuente no permite máxima oblicuidad)</t>
        </is>
      </c>
      <c r="EZ21" t="n">
        <v>232</v>
      </c>
      <c r="FA21" t="n">
        <v>663</v>
      </c>
      <c r="FB21" t="n">
        <v>431</v>
      </c>
      <c r="FC21" t="n">
        <v>28.78761529823214</v>
      </c>
      <c r="FD21" t="n">
        <v>343.7229050279329</v>
      </c>
      <c r="FE21" t="n">
        <v>188.8665257772234</v>
      </c>
      <c r="FF21" t="inlineStr">
        <is>
          <t>pequeña (&lt;120 mm)</t>
        </is>
      </c>
      <c r="FG21" t="n">
        <v>6.358490566037736</v>
      </c>
      <c r="FH21" t="inlineStr">
        <is>
          <t>ROM</t>
        </is>
      </c>
      <c r="FI21" t="inlineStr">
        <is>
          <t>dudosa: muestras del acopio de la chancadora secundaria; hojas de Fase A dicen «Material Chancado»</t>
        </is>
      </c>
      <c r="FJ21" t="n">
        <v>0</v>
      </c>
      <c r="FK21" t="inlineStr"/>
      <c r="FL21" t="inlineStr"/>
      <c r="FM21" t="inlineStr">
        <is>
          <t>A</t>
        </is>
      </c>
      <c r="FN21" t="n">
        <v>0.695</v>
      </c>
      <c r="FO21" t="inlineStr"/>
      <c r="FP21" t="n">
        <v>3.484</v>
      </c>
      <c r="FQ21" t="inlineStr">
        <is>
          <t>informe o verificación</t>
        </is>
      </c>
      <c r="FR21" t="inlineStr">
        <is>
          <t>G2010-019</t>
        </is>
      </c>
      <c r="FS21" t="inlineStr">
        <is>
          <t>G2010|G2010-A-EXO-4in</t>
        </is>
      </c>
    </row>
    <row r="22">
      <c r="A22" t="inlineStr">
        <is>
          <t>G2010</t>
        </is>
      </c>
      <c r="B22" t="inlineStr">
        <is>
          <t>2010_Golder_Caracterizacion ROM IPCC.pdf</t>
        </is>
      </c>
      <c r="C22" t="n">
        <v>2010</v>
      </c>
      <c r="D22" t="inlineStr">
        <is>
          <t>Golder Associates Perú, Memorando técnico 'Caracterización material de ROM – Proyecto IPCC' (proy. 099-4151017, 25-mar-2010)</t>
        </is>
      </c>
      <c r="E22" t="inlineStr">
        <is>
          <t>Golder Associates Perú – Laboratorio de Mecánica de Suelos (Lima)</t>
        </is>
      </c>
      <c r="F22" t="inlineStr">
        <is>
          <t>G2010-A-EXO-4in</t>
        </is>
      </c>
      <c r="G22" t="inlineStr">
        <is>
          <t>GL-484-09 Prueba Nº 3 (σ3c=783 kPa)</t>
        </is>
      </c>
      <c r="H22" t="inlineStr">
        <is>
          <t>Exoskarn Diopsido</t>
        </is>
      </c>
      <c r="I22" t="inlineStr">
        <is>
          <t>Skarn</t>
        </is>
      </c>
      <c r="J22" t="inlineStr">
        <is>
          <t>exoskarn diópsido</t>
        </is>
      </c>
      <c r="K22" t="inlineStr"/>
      <c r="L22" t="inlineStr"/>
      <c r="M22" t="inlineStr">
        <is>
          <t>ROM</t>
        </is>
      </c>
      <c r="N22" t="inlineStr"/>
      <c r="O22" t="inlineStr">
        <is>
          <t>CU</t>
        </is>
      </c>
      <c r="P22" t="inlineStr">
        <is>
          <t>sí</t>
        </is>
      </c>
      <c r="Q22" t="n">
        <v>101.1</v>
      </c>
      <c r="R22" t="n">
        <v>211.1</v>
      </c>
      <c r="S22" t="n">
        <v>15.9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Truncado: se ensayó la fracción &lt; 5/8" de la matriz; TM de terreno 19" (Fase A, Tabla 2)</t>
        </is>
      </c>
      <c r="AD22" t="n">
        <v>3.484</v>
      </c>
      <c r="AE22" t="n">
        <v>20.07</v>
      </c>
      <c r="AF22" t="n">
        <v>0.703</v>
      </c>
      <c r="AG22" t="inlineStr">
        <is>
          <t>informe</t>
        </is>
      </c>
      <c r="AH22" t="inlineStr"/>
      <c r="AI22" t="n">
        <v>5.5</v>
      </c>
      <c r="AJ22" t="n">
        <v>73.3</v>
      </c>
      <c r="AK22" t="n">
        <v>358</v>
      </c>
      <c r="AL22" t="n">
        <v>1019</v>
      </c>
      <c r="AM22" t="n">
        <v>661</v>
      </c>
      <c r="AN22" t="inlineStr">
        <is>
          <t>Esfuerzo desviador máximo (criterio impreso en la hoja Golder)</t>
        </is>
      </c>
      <c r="AO22" t="inlineStr"/>
      <c r="AP22" t="n">
        <v>1.2</v>
      </c>
      <c r="AQ22" t="inlineStr"/>
      <c r="AR22" t="n">
        <v>425</v>
      </c>
      <c r="AS22" t="n">
        <v>578.3</v>
      </c>
      <c r="AT22" t="n">
        <v>661</v>
      </c>
      <c r="AU22" t="inlineStr"/>
      <c r="AV22" t="inlineStr"/>
      <c r="AW22" t="inlineStr"/>
      <c r="AX22" t="inlineStr"/>
      <c r="AY22" t="inlineStr"/>
      <c r="AZ22" t="inlineStr"/>
      <c r="BA22" t="inlineStr">
        <is>
          <t>112;114;8;9;49</t>
        </is>
      </c>
      <c r="BB22" t="inlineStr">
        <is>
          <t>sí</t>
        </is>
      </c>
      <c r="BC22" t="inlineStr">
        <is>
          <t>Fase A (material original del tajo = ROM). Probeta remoldeada a la densidad mínima δ=2.180 g/cm3 y 6 % de humedad (solicitado por el cliente). Diámetro nominal 4". Inicial: S=27.3 %; final (post-consolidación): gd=2.203 g/cm3, e=0.582. Velocidad 0.125 %/min. Hoja da σ1, σ1', σ3, σ3' en la falla; σ3'f=358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67.79 MPa; Los Ángeles 37.0 %; durabilidad (sulfato de magnesio, pérdida corregida) 5.9 %. Envolvente de la hoja Golder (Mohr máximo, pág. 114): total c=4 kPa φ=17°, efectiva c'=29 kPa φ'=26°. Granulometría de la fracción ensayada no informada (solo granulometría de terreno, ver resumen). Saturación final ≈100 %; el parámetro B no figura en la hoja. SUCS informado por el cliente. VERIFICACIÓN 2026-10-06 (imagen p.112): σ'3c=783; en la falla σ1=1445, σ1'=1019, σ3=783, σ3'=358 kPa (impresos); Δu=425 kPa; q=σ'1−σ'3=661 kPa. En la hoja σ1−σ3 (totales) = 662 kPa y σ1'−σ3' = 661 kPa (diferencia de redondeo de la hoja); se adopta el valor efectivo. Tras consolidar: γd=2.203 g/cm3, e=0.582, S=100.0 %. La hoja Golder no tabula la curva (solo gráficos): máxima oblicuidad no informada; el estado de «máximo desviador» es el impreso. Remoldeado a la densidad mínima δ=2.180 gr/cm3 y 6% de humedad, solicitado por el cliente; material &lt;5/8".</t>
        </is>
      </c>
      <c r="BD22" t="n">
        <v>783</v>
      </c>
      <c r="BE22" t="n">
        <v>358</v>
      </c>
      <c r="BF22" t="n">
        <v>1019</v>
      </c>
      <c r="BG22" t="n">
        <v>1.2</v>
      </c>
      <c r="BH22" t="n">
        <v>358</v>
      </c>
      <c r="BI22" t="n">
        <v>1019</v>
      </c>
      <c r="BJ22" t="n">
        <v>661</v>
      </c>
      <c r="BK22" t="n">
        <v>425</v>
      </c>
      <c r="BL22" t="inlineStr">
        <is>
          <t>no informado</t>
        </is>
      </c>
      <c r="BM22" t="inlineStr">
        <is>
          <t>no informado</t>
        </is>
      </c>
      <c r="BN22" t="inlineStr">
        <is>
          <t>no informado</t>
        </is>
      </c>
      <c r="BO22" t="inlineStr">
        <is>
          <t>no informado</t>
        </is>
      </c>
      <c r="BP22" t="inlineStr">
        <is>
          <t>no informado</t>
        </is>
      </c>
      <c r="BQ22" t="inlineStr">
        <is>
          <t>no informado</t>
        </is>
      </c>
      <c r="BR22" t="inlineStr">
        <is>
          <t>no informado</t>
        </is>
      </c>
      <c r="BS22" t="inlineStr">
        <is>
          <t>no informado</t>
        </is>
      </c>
      <c r="BT22" t="n">
        <v>0.125</v>
      </c>
      <c r="BU22" t="n">
        <v>21.61</v>
      </c>
      <c r="BV22" t="n">
        <v>0.582</v>
      </c>
      <c r="BW22" t="inlineStr">
        <is>
          <t>100.0</t>
        </is>
      </c>
      <c r="BX22" t="inlineStr">
        <is>
          <t>3.484 (D854, «G. Específica Promedio» de la hoja y p.49); e0 recalculado = 0.703</t>
        </is>
      </c>
      <c r="BY22" t="inlineStr">
        <is>
          <t>verificado en imagen; esfuerzos separados (consolidación / falla)</t>
        </is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Triaxial CU</t>
        </is>
      </c>
      <c r="EY22" t="inlineStr">
        <is>
          <t>CU: máximo desviador (la fuente no permite máxima oblicuidad)</t>
        </is>
      </c>
      <c r="EZ22" t="n">
        <v>358</v>
      </c>
      <c r="FA22" t="n">
        <v>1019</v>
      </c>
      <c r="FB22" t="n">
        <v>661</v>
      </c>
      <c r="FC22" t="n">
        <v>28.6872992445775</v>
      </c>
      <c r="FD22" t="n">
        <v>529.8503994190269</v>
      </c>
      <c r="FE22" t="n">
        <v>289.9319820845877</v>
      </c>
      <c r="FF22" t="inlineStr">
        <is>
          <t>pequeña (&lt;120 mm)</t>
        </is>
      </c>
      <c r="FG22" t="n">
        <v>6.358490566037736</v>
      </c>
      <c r="FH22" t="inlineStr">
        <is>
          <t>ROM</t>
        </is>
      </c>
      <c r="FI22" t="inlineStr">
        <is>
          <t>dudosa: muestras del acopio de la chancadora secundaria; hojas de Fase A dicen «Material Chancado»</t>
        </is>
      </c>
      <c r="FJ22" t="n">
        <v>0</v>
      </c>
      <c r="FK22" t="inlineStr"/>
      <c r="FL22" t="inlineStr"/>
      <c r="FM22" t="inlineStr">
        <is>
          <t>A</t>
        </is>
      </c>
      <c r="FN22" t="n">
        <v>0.703</v>
      </c>
      <c r="FO22" t="inlineStr"/>
      <c r="FP22" t="n">
        <v>3.484</v>
      </c>
      <c r="FQ22" t="inlineStr">
        <is>
          <t>informe o verificación</t>
        </is>
      </c>
      <c r="FR22" t="inlineStr">
        <is>
          <t>G2010-020</t>
        </is>
      </c>
      <c r="FS22" t="inlineStr">
        <is>
          <t>G2010|G2010-A-EXO-4in</t>
        </is>
      </c>
    </row>
    <row r="23">
      <c r="A23" t="inlineStr">
        <is>
          <t>G2010</t>
        </is>
      </c>
      <c r="B23" t="inlineStr">
        <is>
          <t>2010_Golder_Caracterizacion ROM IPCC.pdf</t>
        </is>
      </c>
      <c r="C23" t="n">
        <v>2010</v>
      </c>
      <c r="D23" t="inlineStr">
        <is>
          <t>Golder Associates Perú, Memorando técnico 'Caracterización material de ROM – Proyecto IPCC' (proy. 099-4151017, 25-mar-2010)</t>
        </is>
      </c>
      <c r="E23" t="inlineStr">
        <is>
          <t>Golder Associates Perú – Laboratorio de Mecánica de Suelos (Lima)</t>
        </is>
      </c>
      <c r="F23" t="inlineStr">
        <is>
          <t>G2010-B-MN-2.8in</t>
        </is>
      </c>
      <c r="G23" t="inlineStr">
        <is>
          <t>GL-481-09 Prueba Nº 1 (σ3c=391 kPa)</t>
        </is>
      </c>
      <c r="H23" t="inlineStr">
        <is>
          <t>Mármol Negro</t>
        </is>
      </c>
      <c r="I23" t="inlineStr">
        <is>
          <t>Mármol</t>
        </is>
      </c>
      <c r="J23" t="inlineStr">
        <is>
          <t>mármol negro</t>
        </is>
      </c>
      <c r="K23" t="inlineStr"/>
      <c r="L23" t="inlineStr"/>
      <c r="M23" t="inlineStr">
        <is>
          <t>Chancado</t>
        </is>
      </c>
      <c r="N23" t="inlineStr"/>
      <c r="O23" t="inlineStr">
        <is>
          <t>CU</t>
        </is>
      </c>
      <c r="P23" t="inlineStr">
        <is>
          <t>sí</t>
        </is>
      </c>
      <c r="Q23" t="n">
        <v>71.5</v>
      </c>
      <c r="R23" t="n">
        <v>142.5</v>
      </c>
      <c r="S23" t="n">
        <v>9.5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Truncado: se ensayó la fracción &lt; 3/8" de la matriz; TM de terreno 35" (Fase A, Tabla 2); Fase B chancada, TM 9"–12" según texto pág. 2</t>
        </is>
      </c>
      <c r="AD23" t="n">
        <v>2.747</v>
      </c>
      <c r="AE23" t="n">
        <v>21.09</v>
      </c>
      <c r="AF23" t="n">
        <v>0.278</v>
      </c>
      <c r="AG23" t="inlineStr">
        <is>
          <t>informe</t>
        </is>
      </c>
      <c r="AH23" t="inlineStr"/>
      <c r="AI23" t="n">
        <v>7.6</v>
      </c>
      <c r="AJ23" t="n">
        <v>49.6</v>
      </c>
      <c r="AK23" t="n">
        <v>715</v>
      </c>
      <c r="AL23" t="n">
        <v>3491</v>
      </c>
      <c r="AM23" t="n">
        <v>2776</v>
      </c>
      <c r="AN23" t="inlineStr">
        <is>
          <t>Esfuerzo desviador máximo (criterio impreso en la hoja Golder)</t>
        </is>
      </c>
      <c r="AO23" t="inlineStr"/>
      <c r="AP23" t="n">
        <v>5.8</v>
      </c>
      <c r="AQ23" t="inlineStr"/>
      <c r="AR23" t="n">
        <v>-324</v>
      </c>
      <c r="AS23" t="n">
        <v>1640.3</v>
      </c>
      <c r="AT23" t="n">
        <v>2776</v>
      </c>
      <c r="AU23" t="inlineStr"/>
      <c r="AV23" t="inlineStr"/>
      <c r="AW23" t="inlineStr"/>
      <c r="AX23" t="inlineStr"/>
      <c r="AY23" t="inlineStr"/>
      <c r="AZ23" t="inlineStr"/>
      <c r="BA23" t="inlineStr">
        <is>
          <t>117;119;8;10;49</t>
        </is>
      </c>
      <c r="BB23" t="inlineStr">
        <is>
          <t>sí</t>
        </is>
      </c>
      <c r="BC23" t="inlineStr">
        <is>
          <t>Fase B (material chancado = Chancado). Probeta remoldeada a la densidad de campo δ=2.151 g/cm3 y 8 % de humedad (solicitado por el cliente). Diámetro nominal 2.8". Inicial: S=75.2 %; final (post-consolidación): gd=2.196 g/cm3, e=0.251. Velocidad 0.125 %/min. Hoja da σ1, σ1', σ3, σ3' en la falla; σ3'f=715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24.56 MPa; Los Ángeles 62.4 %; durabilidad (sulfato de magnesio, pérdida corregida) 49.8 %. Envolvente de la hoja Golder (Mohr máximo, pág. 119): total c=927 kPa φ=15°, efectiva c'=188 kPa φ'=35°. Granulometría de la fracción ensayada no informada (solo granulometría de terreno, ver resumen). Saturación final ≈100 %; el parámetro B no figura en la hoja. SUCS informado por el cliente. VERIFICACIÓN 2026-10-06 (imagen p.117): σ'3c=391; en la falla σ1=3166, σ1'=3491, σ3=391, σ3'=715 kPa (impresos); Δu=-324 kPa; q=σ'1−σ'3=2776 kPa. En la hoja σ1−σ3 (totales) = 2775 kPa y σ1'−σ3' = 2776 kPa (diferencia de redondeo de la hoja); se adopta el valor efectivo. Tras consolidar: γd=2.196 g/cm3, e=0.251, S=100.0 %. La hoja Golder no tabula la curva (solo gráficos): máxima oblicuidad no informada; el estado de «máximo desviador» es el impreso. Remoldeado a la densidad de campo δ=2.151 gr/cm3 y 8% de humedad, solicitado por el cliente; material &lt;3/8".</t>
        </is>
      </c>
      <c r="BD23" t="n">
        <v>391</v>
      </c>
      <c r="BE23" t="n">
        <v>715</v>
      </c>
      <c r="BF23" t="n">
        <v>3491</v>
      </c>
      <c r="BG23" t="n">
        <v>5.8</v>
      </c>
      <c r="BH23" t="n">
        <v>715</v>
      </c>
      <c r="BI23" t="n">
        <v>3491</v>
      </c>
      <c r="BJ23" t="n">
        <v>2776</v>
      </c>
      <c r="BK23" t="n">
        <v>-324</v>
      </c>
      <c r="BL23" t="inlineStr">
        <is>
          <t>no informado</t>
        </is>
      </c>
      <c r="BM23" t="inlineStr">
        <is>
          <t>no informado</t>
        </is>
      </c>
      <c r="BN23" t="inlineStr">
        <is>
          <t>no informado</t>
        </is>
      </c>
      <c r="BO23" t="inlineStr">
        <is>
          <t>no informado</t>
        </is>
      </c>
      <c r="BP23" t="inlineStr">
        <is>
          <t>no informado</t>
        </is>
      </c>
      <c r="BQ23" t="inlineStr">
        <is>
          <t>no informado</t>
        </is>
      </c>
      <c r="BR23" t="inlineStr">
        <is>
          <t>no informado</t>
        </is>
      </c>
      <c r="BS23" t="inlineStr">
        <is>
          <t>no informado</t>
        </is>
      </c>
      <c r="BT23" t="n">
        <v>0.125</v>
      </c>
      <c r="BU23" t="n">
        <v>21.54</v>
      </c>
      <c r="BV23" t="n">
        <v>0.251</v>
      </c>
      <c r="BW23" t="inlineStr">
        <is>
          <t>100.0</t>
        </is>
      </c>
      <c r="BX23" t="inlineStr">
        <is>
          <t>2.747 (D854, «G. Específica Promedio» de la hoja y p.49); e0 recalculado = 0.278</t>
        </is>
      </c>
      <c r="BY23" t="inlineStr">
        <is>
          <t>verificado en imagen; esfuerzos separados (consolidación / falla)</t>
        </is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Triaxial CU</t>
        </is>
      </c>
      <c r="EY23" t="inlineStr">
        <is>
          <t>CU: máximo desviador (la fuente no permite máxima oblicuidad)</t>
        </is>
      </c>
      <c r="EZ23" t="n">
        <v>715</v>
      </c>
      <c r="FA23" t="n">
        <v>3491</v>
      </c>
      <c r="FB23" t="n">
        <v>2776</v>
      </c>
      <c r="FC23" t="n">
        <v>41.30059809937207</v>
      </c>
      <c r="FD23" t="n">
        <v>1186.906799809795</v>
      </c>
      <c r="FE23" t="n">
        <v>1042.745054442969</v>
      </c>
      <c r="FF23" t="inlineStr">
        <is>
          <t>pequeña (&lt;120 mm)</t>
        </is>
      </c>
      <c r="FG23" t="n">
        <v>7.526315789473684</v>
      </c>
      <c r="FH23" t="inlineStr">
        <is>
          <t>Chancado</t>
        </is>
      </c>
      <c r="FI23" t="inlineStr">
        <is>
          <t>dudosa: muestras del acopio de la chancadora secundaria; hojas de Fase A dicen «Material Chancado»</t>
        </is>
      </c>
      <c r="FJ23" t="n">
        <v>0</v>
      </c>
      <c r="FK23" t="inlineStr"/>
      <c r="FL23" t="inlineStr"/>
      <c r="FM23" t="inlineStr">
        <is>
          <t>A</t>
        </is>
      </c>
      <c r="FN23" t="n">
        <v>0.278</v>
      </c>
      <c r="FO23" t="inlineStr"/>
      <c r="FP23" t="n">
        <v>2.747</v>
      </c>
      <c r="FQ23" t="inlineStr">
        <is>
          <t>informe o verificación</t>
        </is>
      </c>
      <c r="FR23" t="inlineStr">
        <is>
          <t>G2010-021</t>
        </is>
      </c>
      <c r="FS23" t="inlineStr">
        <is>
          <t>G2010|G2010-B-MN-2.8in</t>
        </is>
      </c>
    </row>
    <row r="24">
      <c r="A24" t="inlineStr">
        <is>
          <t>G2010</t>
        </is>
      </c>
      <c r="B24" t="inlineStr">
        <is>
          <t>2010_Golder_Caracterizacion ROM IPCC.pdf</t>
        </is>
      </c>
      <c r="C24" t="n">
        <v>2010</v>
      </c>
      <c r="D24" t="inlineStr">
        <is>
          <t>Golder Associates Perú, Memorando técnico 'Caracterización material de ROM – Proyecto IPCC' (proy. 099-4151017, 25-mar-2010)</t>
        </is>
      </c>
      <c r="E24" t="inlineStr">
        <is>
          <t>Golder Associates Perú – Laboratorio de Mecánica de Suelos (Lima)</t>
        </is>
      </c>
      <c r="F24" t="inlineStr">
        <is>
          <t>G2010-B-MN-2.8in</t>
        </is>
      </c>
      <c r="G24" t="inlineStr">
        <is>
          <t>GL-481-09 Prueba Nº 2 (σ3c=788 kPa)</t>
        </is>
      </c>
      <c r="H24" t="inlineStr">
        <is>
          <t>Mármol Negro</t>
        </is>
      </c>
      <c r="I24" t="inlineStr">
        <is>
          <t>Mármol</t>
        </is>
      </c>
      <c r="J24" t="inlineStr">
        <is>
          <t>mármol negro</t>
        </is>
      </c>
      <c r="K24" t="inlineStr"/>
      <c r="L24" t="inlineStr"/>
      <c r="M24" t="inlineStr">
        <is>
          <t>Chancado</t>
        </is>
      </c>
      <c r="N24" t="inlineStr"/>
      <c r="O24" t="inlineStr">
        <is>
          <t>CU</t>
        </is>
      </c>
      <c r="P24" t="inlineStr">
        <is>
          <t>sí</t>
        </is>
      </c>
      <c r="Q24" t="n">
        <v>71.40000000000001</v>
      </c>
      <c r="R24" t="n">
        <v>142.5</v>
      </c>
      <c r="S24" t="n">
        <v>9.5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Truncado: se ensayó la fracción &lt; 3/8" de la matriz; TM de terreno 35" (Fase A, Tabla 2); Fase B chancada, TM 9"–12" según texto pág. 2</t>
        </is>
      </c>
      <c r="AD24" t="n">
        <v>2.747</v>
      </c>
      <c r="AE24" t="n">
        <v>21.16</v>
      </c>
      <c r="AF24" t="n">
        <v>0.273</v>
      </c>
      <c r="AG24" t="inlineStr">
        <is>
          <t>informe</t>
        </is>
      </c>
      <c r="AH24" t="inlineStr"/>
      <c r="AI24" t="n">
        <v>7.6</v>
      </c>
      <c r="AJ24" t="n">
        <v>49.6</v>
      </c>
      <c r="AK24" t="n">
        <v>823</v>
      </c>
      <c r="AL24" t="n">
        <v>3727</v>
      </c>
      <c r="AM24" t="n">
        <v>2904</v>
      </c>
      <c r="AN24" t="inlineStr">
        <is>
          <t>Esfuerzo desviador máximo (criterio impreso en la hoja Golder)</t>
        </is>
      </c>
      <c r="AO24" t="inlineStr"/>
      <c r="AP24" t="n">
        <v>5.1</v>
      </c>
      <c r="AQ24" t="inlineStr"/>
      <c r="AR24" t="n">
        <v>-35</v>
      </c>
      <c r="AS24" t="n">
        <v>1791</v>
      </c>
      <c r="AT24" t="n">
        <v>2904</v>
      </c>
      <c r="AU24" t="inlineStr"/>
      <c r="AV24" t="inlineStr"/>
      <c r="AW24" t="inlineStr"/>
      <c r="AX24" t="inlineStr"/>
      <c r="AY24" t="inlineStr"/>
      <c r="AZ24" t="inlineStr"/>
      <c r="BA24" t="inlineStr">
        <is>
          <t>117;119;8;10;49</t>
        </is>
      </c>
      <c r="BB24" t="inlineStr">
        <is>
          <t>sí</t>
        </is>
      </c>
      <c r="BC24" t="inlineStr">
        <is>
          <t>Fase B (material chancado = Chancado). Probeta remoldeada a la densidad de campo δ=2.151 g/cm3 y 8 % de humedad (solicitado por el cliente). Diámetro nominal 2.8". Inicial: S=76.4 %; final (post-consolidación): gd=2.218 g/cm3, e=0.238. Velocidad 0.125 %/min. Hoja da σ1, σ1', σ3, σ3' en la falla; σ3'f=823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24.56 MPa; Los Ángeles 62.4 %; durabilidad (sulfato de magnesio, pérdida corregida) 49.8 %. Envolvente de la hoja Golder (Mohr máximo, pág. 119): total c=927 kPa φ=15°, efectiva c'=188 kPa φ'=35°. Granulometría de la fracción ensayada no informada (solo granulometría de terreno, ver resumen). Saturación final ≈100 %; el parámetro B no figura en la hoja. SUCS informado por el cliente. VERIFICACIÓN 2026-10-06 (imagen p.117): σ'3c=788; en la falla σ1=3692, σ1'=3727, σ3=788, σ3'=823 kPa (impresos); Δu=-35 kPa; q=σ'1−σ'3=2904 kPa. Tras consolidar: γd=2.218 g/cm3, e=0.238, S=100.0 %. La hoja Golder no tabula la curva (solo gráficos): máxima oblicuidad no informada; el estado de «máximo desviador» es el impreso. Remoldeado a la densidad de campo δ=2.151 gr/cm3 y 8% de humedad, solicitado por el cliente; material &lt;3/8".</t>
        </is>
      </c>
      <c r="BD24" t="n">
        <v>788</v>
      </c>
      <c r="BE24" t="n">
        <v>823</v>
      </c>
      <c r="BF24" t="n">
        <v>3727</v>
      </c>
      <c r="BG24" t="n">
        <v>5.1</v>
      </c>
      <c r="BH24" t="n">
        <v>823</v>
      </c>
      <c r="BI24" t="n">
        <v>3727</v>
      </c>
      <c r="BJ24" t="n">
        <v>2904</v>
      </c>
      <c r="BK24" t="n">
        <v>-35</v>
      </c>
      <c r="BL24" t="inlineStr">
        <is>
          <t>no informado</t>
        </is>
      </c>
      <c r="BM24" t="inlineStr">
        <is>
          <t>no informado</t>
        </is>
      </c>
      <c r="BN24" t="inlineStr">
        <is>
          <t>no informado</t>
        </is>
      </c>
      <c r="BO24" t="inlineStr">
        <is>
          <t>no informado</t>
        </is>
      </c>
      <c r="BP24" t="inlineStr">
        <is>
          <t>no informado</t>
        </is>
      </c>
      <c r="BQ24" t="inlineStr">
        <is>
          <t>no informado</t>
        </is>
      </c>
      <c r="BR24" t="inlineStr">
        <is>
          <t>no informado</t>
        </is>
      </c>
      <c r="BS24" t="inlineStr">
        <is>
          <t>no informado</t>
        </is>
      </c>
      <c r="BT24" t="n">
        <v>0.125</v>
      </c>
      <c r="BU24" t="n">
        <v>21.76</v>
      </c>
      <c r="BV24" t="n">
        <v>0.238</v>
      </c>
      <c r="BW24" t="inlineStr">
        <is>
          <t>100.0</t>
        </is>
      </c>
      <c r="BX24" t="inlineStr">
        <is>
          <t>2.747 (D854, «G. Específica Promedio» de la hoja y p.49); e0 recalculado = 0.274</t>
        </is>
      </c>
      <c r="BY24" t="inlineStr">
        <is>
          <t>verificado en imagen; esfuerzos separados (consolidación / falla)</t>
        </is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>
        <is>
          <t>Triaxial CU</t>
        </is>
      </c>
      <c r="EY24" t="inlineStr">
        <is>
          <t>CU: máximo desviador (la fuente no permite máxima oblicuidad)</t>
        </is>
      </c>
      <c r="EZ24" t="n">
        <v>823</v>
      </c>
      <c r="FA24" t="n">
        <v>3727</v>
      </c>
      <c r="FB24" t="n">
        <v>2904</v>
      </c>
      <c r="FC24" t="n">
        <v>39.66083643597624</v>
      </c>
      <c r="FD24" t="n">
        <v>1348.272967032967</v>
      </c>
      <c r="FE24" t="n">
        <v>1117.801863644949</v>
      </c>
      <c r="FF24" t="inlineStr">
        <is>
          <t>pequeña (&lt;120 mm)</t>
        </is>
      </c>
      <c r="FG24" t="n">
        <v>7.515789473684211</v>
      </c>
      <c r="FH24" t="inlineStr">
        <is>
          <t>Chancado</t>
        </is>
      </c>
      <c r="FI24" t="inlineStr">
        <is>
          <t>dudosa: muestras del acopio de la chancadora secundaria; hojas de Fase A dicen «Material Chancado»</t>
        </is>
      </c>
      <c r="FJ24" t="n">
        <v>0</v>
      </c>
      <c r="FK24" t="inlineStr"/>
      <c r="FL24" t="inlineStr"/>
      <c r="FM24" t="inlineStr">
        <is>
          <t>A</t>
        </is>
      </c>
      <c r="FN24" t="n">
        <v>0.273</v>
      </c>
      <c r="FO24" t="inlineStr"/>
      <c r="FP24" t="n">
        <v>2.747</v>
      </c>
      <c r="FQ24" t="inlineStr">
        <is>
          <t>informe o verificación</t>
        </is>
      </c>
      <c r="FR24" t="inlineStr">
        <is>
          <t>G2010-022</t>
        </is>
      </c>
      <c r="FS24" t="inlineStr">
        <is>
          <t>G2010|G2010-B-MN-2.8in</t>
        </is>
      </c>
    </row>
    <row r="25">
      <c r="A25" t="inlineStr">
        <is>
          <t>G2010</t>
        </is>
      </c>
      <c r="B25" t="inlineStr">
        <is>
          <t>2010_Golder_Caracterizacion ROM IPCC.pdf</t>
        </is>
      </c>
      <c r="C25" t="n">
        <v>2010</v>
      </c>
      <c r="D25" t="inlineStr">
        <is>
          <t>Golder Associates Perú, Memorando técnico 'Caracterización material de ROM – Proyecto IPCC' (proy. 099-4151017, 25-mar-2010)</t>
        </is>
      </c>
      <c r="E25" t="inlineStr">
        <is>
          <t>Golder Associates Perú – Laboratorio de Mecánica de Suelos (Lima)</t>
        </is>
      </c>
      <c r="F25" t="inlineStr">
        <is>
          <t>G2010-B-MN-2.8in</t>
        </is>
      </c>
      <c r="G25" t="inlineStr">
        <is>
          <t>GL-481-09 Prueba Nº 3 (σ3c=1577 kPa)</t>
        </is>
      </c>
      <c r="H25" t="inlineStr">
        <is>
          <t>Mármol Negro</t>
        </is>
      </c>
      <c r="I25" t="inlineStr">
        <is>
          <t>Mármol</t>
        </is>
      </c>
      <c r="J25" t="inlineStr">
        <is>
          <t>mármol negro</t>
        </is>
      </c>
      <c r="K25" t="inlineStr"/>
      <c r="L25" t="inlineStr"/>
      <c r="M25" t="inlineStr">
        <is>
          <t>Chancado</t>
        </is>
      </c>
      <c r="N25" t="inlineStr"/>
      <c r="O25" t="inlineStr">
        <is>
          <t>CU</t>
        </is>
      </c>
      <c r="P25" t="inlineStr">
        <is>
          <t>sí</t>
        </is>
      </c>
      <c r="Q25" t="n">
        <v>71.40000000000001</v>
      </c>
      <c r="R25" t="n">
        <v>142.5</v>
      </c>
      <c r="S25" t="n">
        <v>9.5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Truncado: se ensayó la fracción &lt; 3/8" de la matriz; TM de terreno 35" (Fase A, Tabla 2); Fase B chancada, TM 9"–12" según texto pág. 2</t>
        </is>
      </c>
      <c r="AD25" t="n">
        <v>2.747</v>
      </c>
      <c r="AE25" t="n">
        <v>21.16</v>
      </c>
      <c r="AF25" t="n">
        <v>0.273</v>
      </c>
      <c r="AG25" t="inlineStr">
        <is>
          <t>informe</t>
        </is>
      </c>
      <c r="AH25" t="inlineStr"/>
      <c r="AI25" t="n">
        <v>7.6</v>
      </c>
      <c r="AJ25" t="n">
        <v>49.6</v>
      </c>
      <c r="AK25" t="n">
        <v>1028</v>
      </c>
      <c r="AL25" t="n">
        <v>4617</v>
      </c>
      <c r="AM25" t="n">
        <v>3589</v>
      </c>
      <c r="AN25" t="inlineStr">
        <is>
          <t>Esfuerzo desviador máximo (criterio impreso en la hoja Golder)</t>
        </is>
      </c>
      <c r="AO25" t="inlineStr"/>
      <c r="AP25" t="n">
        <v>6.3</v>
      </c>
      <c r="AQ25" t="inlineStr"/>
      <c r="AR25" t="n">
        <v>549</v>
      </c>
      <c r="AS25" t="n">
        <v>2224.3</v>
      </c>
      <c r="AT25" t="n">
        <v>3589</v>
      </c>
      <c r="AU25" t="inlineStr"/>
      <c r="AV25" t="inlineStr"/>
      <c r="AW25" t="inlineStr"/>
      <c r="AX25" t="inlineStr"/>
      <c r="AY25" t="inlineStr"/>
      <c r="AZ25" t="inlineStr"/>
      <c r="BA25" t="inlineStr">
        <is>
          <t>117;119;8;10;49</t>
        </is>
      </c>
      <c r="BB25" t="inlineStr">
        <is>
          <t>sí</t>
        </is>
      </c>
      <c r="BC25" t="inlineStr">
        <is>
          <t>Fase B (material chancado = Chancado). Probeta remoldeada a la densidad de campo δ=2.151 g/cm3 y 8 % de humedad (solicitado por el cliente). Diámetro nominal 2.8". Inicial: S=76.5 %; final (post-consolidación): gd=2.228 g/cm3, e=0.233. Velocidad 0.125 %/min. Hoja da σ1, σ1', σ3, σ3' en la falla; σ3'f=1028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24.56 MPa; Los Ángeles 62.4 %; durabilidad (sulfato de magnesio, pérdida corregida) 49.8 %. Envolvente de la hoja Golder (Mohr máximo, pág. 119): total c=927 kPa φ=15°, efectiva c'=188 kPa φ'=35°. Granulometría de la fracción ensayada no informada (solo granulometría de terreno, ver resumen). Saturación final ≈100 %; el parámetro B no figura en la hoja. SUCS informado por el cliente. VERIFICACIÓN 2026-10-06 (imagen p.117): σ'3c=1577; en la falla σ1=5165, σ1'=4617, σ3=1577, σ3'=1028 kPa (impresos); Δu=549 kPa; q=σ'1−σ'3=3589 kPa. En la hoja σ1−σ3 (totales) = 3588 kPa y σ1'−σ3' = 3589 kPa (diferencia de redondeo de la hoja); se adopta el valor efectivo. Tras consolidar: γd=2.228 g/cm3, e=0.233, S=100.0 %. La hoja Golder no tabula la curva (solo gráficos): máxima oblicuidad no informada; el estado de «máximo desviador» es el impreso. Remoldeado a la densidad de campo δ=2.151 gr/cm3 y 8% de humedad, solicitado por el cliente; material &lt;3/8".</t>
        </is>
      </c>
      <c r="BD25" t="n">
        <v>1577</v>
      </c>
      <c r="BE25" t="n">
        <v>1028</v>
      </c>
      <c r="BF25" t="n">
        <v>4617</v>
      </c>
      <c r="BG25" t="n">
        <v>6.3</v>
      </c>
      <c r="BH25" t="n">
        <v>1028</v>
      </c>
      <c r="BI25" t="n">
        <v>4617</v>
      </c>
      <c r="BJ25" t="n">
        <v>3589</v>
      </c>
      <c r="BK25" t="n">
        <v>549</v>
      </c>
      <c r="BL25" t="inlineStr">
        <is>
          <t>no informado</t>
        </is>
      </c>
      <c r="BM25" t="inlineStr">
        <is>
          <t>no informado</t>
        </is>
      </c>
      <c r="BN25" t="inlineStr">
        <is>
          <t>no informado</t>
        </is>
      </c>
      <c r="BO25" t="inlineStr">
        <is>
          <t>no informado</t>
        </is>
      </c>
      <c r="BP25" t="inlineStr">
        <is>
          <t>no informado</t>
        </is>
      </c>
      <c r="BQ25" t="inlineStr">
        <is>
          <t>no informado</t>
        </is>
      </c>
      <c r="BR25" t="inlineStr">
        <is>
          <t>no informado</t>
        </is>
      </c>
      <c r="BS25" t="inlineStr">
        <is>
          <t>no informado</t>
        </is>
      </c>
      <c r="BT25" t="n">
        <v>0.125</v>
      </c>
      <c r="BU25" t="n">
        <v>21.86</v>
      </c>
      <c r="BV25" t="n">
        <v>0.233</v>
      </c>
      <c r="BW25" t="inlineStr">
        <is>
          <t>100.0</t>
        </is>
      </c>
      <c r="BX25" t="inlineStr">
        <is>
          <t>2.747 (D854, «G. Específica Promedio» de la hoja y p.49); e0 recalculado = 0.274</t>
        </is>
      </c>
      <c r="BY25" t="inlineStr">
        <is>
          <t>verificado en imagen; esfuerzos separados (consolidación / falla)</t>
        </is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Triaxial CU</t>
        </is>
      </c>
      <c r="EY25" t="inlineStr">
        <is>
          <t>CU: máximo desviador (la fuente no permite máxima oblicuidad)</t>
        </is>
      </c>
      <c r="EZ25" t="n">
        <v>1028</v>
      </c>
      <c r="FA25" t="n">
        <v>4617</v>
      </c>
      <c r="FB25" t="n">
        <v>3589</v>
      </c>
      <c r="FC25" t="n">
        <v>39.47814762236683</v>
      </c>
      <c r="FD25" t="n">
        <v>1681.585828166519</v>
      </c>
      <c r="FE25" t="n">
        <v>1385.115555652135</v>
      </c>
      <c r="FF25" t="inlineStr">
        <is>
          <t>pequeña (&lt;120 mm)</t>
        </is>
      </c>
      <c r="FG25" t="n">
        <v>7.515789473684211</v>
      </c>
      <c r="FH25" t="inlineStr">
        <is>
          <t>Chancado</t>
        </is>
      </c>
      <c r="FI25" t="inlineStr">
        <is>
          <t>dudosa: muestras del acopio de la chancadora secundaria; hojas de Fase A dicen «Material Chancado»</t>
        </is>
      </c>
      <c r="FJ25" t="n">
        <v>0</v>
      </c>
      <c r="FK25" t="inlineStr"/>
      <c r="FL25" t="inlineStr"/>
      <c r="FM25" t="inlineStr">
        <is>
          <t>A</t>
        </is>
      </c>
      <c r="FN25" t="n">
        <v>0.273</v>
      </c>
      <c r="FO25" t="inlineStr"/>
      <c r="FP25" t="n">
        <v>2.747</v>
      </c>
      <c r="FQ25" t="inlineStr">
        <is>
          <t>informe o verificación</t>
        </is>
      </c>
      <c r="FR25" t="inlineStr">
        <is>
          <t>G2010-023</t>
        </is>
      </c>
      <c r="FS25" t="inlineStr">
        <is>
          <t>G2010|G2010-B-MN-2.8in</t>
        </is>
      </c>
    </row>
    <row r="26">
      <c r="A26" t="inlineStr">
        <is>
          <t>G2010</t>
        </is>
      </c>
      <c r="B26" t="inlineStr">
        <is>
          <t>2010_Golder_Caracterizacion ROM IPCC.pdf</t>
        </is>
      </c>
      <c r="C26" t="n">
        <v>2010</v>
      </c>
      <c r="D26" t="inlineStr">
        <is>
          <t>Golder Associates Perú, Memorando técnico 'Caracterización material de ROM – Proyecto IPCC' (proy. 099-4151017, 25-mar-2010)</t>
        </is>
      </c>
      <c r="E26" t="inlineStr">
        <is>
          <t>Golder Associates Perú – Laboratorio de Mecánica de Suelos (Lima)</t>
        </is>
      </c>
      <c r="F26" t="inlineStr">
        <is>
          <t>G2010-B-HG-2.8in</t>
        </is>
      </c>
      <c r="G26" t="inlineStr">
        <is>
          <t>GL-482-09 Prueba Nº 1 (σ3c=387 kPa)</t>
        </is>
      </c>
      <c r="H26" t="inlineStr">
        <is>
          <t>Hornfels Gris</t>
        </is>
      </c>
      <c r="I26" t="inlineStr">
        <is>
          <t>Hornfels</t>
        </is>
      </c>
      <c r="J26" t="inlineStr">
        <is>
          <t>hornfels gris</t>
        </is>
      </c>
      <c r="K26" t="inlineStr"/>
      <c r="L26" t="inlineStr"/>
      <c r="M26" t="inlineStr">
        <is>
          <t>Chancado</t>
        </is>
      </c>
      <c r="N26" t="inlineStr"/>
      <c r="O26" t="inlineStr">
        <is>
          <t>CU</t>
        </is>
      </c>
      <c r="P26" t="inlineStr">
        <is>
          <t>sí</t>
        </is>
      </c>
      <c r="Q26" t="n">
        <v>71.5</v>
      </c>
      <c r="R26" t="n">
        <v>142.5</v>
      </c>
      <c r="S26" t="n">
        <v>9.5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Truncado: se ensayó la fracción &lt; 3/8" de la matriz; TM de terreno 35" (Fase A, Tabla 2); Fase B chancada, TM 9"–12" según texto pág. 2</t>
        </is>
      </c>
      <c r="AD26" t="n">
        <v>2.802</v>
      </c>
      <c r="AE26" t="n">
        <v>20.94</v>
      </c>
      <c r="AF26" t="n">
        <v>0.312</v>
      </c>
      <c r="AG26" t="inlineStr">
        <is>
          <t>informe</t>
        </is>
      </c>
      <c r="AH26" t="inlineStr"/>
      <c r="AI26" t="n">
        <v>7.1</v>
      </c>
      <c r="AJ26" t="n">
        <v>65.5</v>
      </c>
      <c r="AK26" t="n">
        <v>95</v>
      </c>
      <c r="AL26" t="n">
        <v>521</v>
      </c>
      <c r="AM26" t="n">
        <v>426</v>
      </c>
      <c r="AN26" t="inlineStr">
        <is>
          <t>Esfuerzo desviador máximo (criterio impreso en la hoja Golder)</t>
        </is>
      </c>
      <c r="AO26" t="inlineStr"/>
      <c r="AP26" t="n">
        <v>1.3</v>
      </c>
      <c r="AQ26" t="inlineStr"/>
      <c r="AR26" t="n">
        <v>292</v>
      </c>
      <c r="AS26" t="n">
        <v>237</v>
      </c>
      <c r="AT26" t="n">
        <v>426</v>
      </c>
      <c r="AU26" t="inlineStr"/>
      <c r="AV26" t="inlineStr"/>
      <c r="AW26" t="inlineStr"/>
      <c r="AX26" t="inlineStr"/>
      <c r="AY26" t="inlineStr"/>
      <c r="AZ26" t="inlineStr"/>
      <c r="BA26" t="inlineStr">
        <is>
          <t>122;124;8;10;49</t>
        </is>
      </c>
      <c r="BB26" t="inlineStr">
        <is>
          <t>sí</t>
        </is>
      </c>
      <c r="BC26" t="inlineStr">
        <is>
          <t>Fase B (material chancado = Chancado). Probeta remoldeada a la densidad de campo δ=2.137 g/cm3 y 7 % de humedad (solicitado por el cliente). Diámetro nominal 2.8". Inicial: S=63.7 %; final (post-consolidación): gd=2.187 g/cm3, e=0.281. Velocidad 0.167 %/min. Hoja da σ1, σ1', σ3, σ3' en la falla; σ3'f=95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100.42 MPa; Los Ángeles 20.3 %; durabilidad (sulfato de magnesio, pérdida corregida) 0.6 %. Envolvente de la hoja Golder (Mohr máximo, pág. 124): total c=23 kPa φ=18°, efectiva c'=0 kPa φ'=40°. Granulometría de la fracción ensayada no informada (solo granulometría de terreno, ver resumen). Saturación final ≈100 %; el parámetro B no figura en la hoja. SUCS informado por el cliente. VERIFICACIÓN 2026-10-06 (imagen p.122): σ'3c=387; en la falla σ1=812, σ1'=521, σ3=387, σ3'=95 kPa (impresos); Δu=292 kPa; q=σ'1−σ'3=426 kPa. En la hoja σ1−σ3 (totales) = 425 kPa y σ1'−σ3' = 426 kPa (diferencia de redondeo de la hoja); se adopta el valor efectivo. Tras consolidar: γd=2.187 g/cm3, e=0.281, S=100.0 %. La hoja Golder no tabula la curva (solo gráficos): máxima oblicuidad no informada; el estado de «máximo desviador» es el impreso. Remoldeado a la densidad de campo δ=2.137 gr/cm3 y 7% de humedad, solicitado por el cliente; material &lt;3/8".</t>
        </is>
      </c>
      <c r="BD26" t="n">
        <v>387</v>
      </c>
      <c r="BE26" t="n">
        <v>95</v>
      </c>
      <c r="BF26" t="n">
        <v>521</v>
      </c>
      <c r="BG26" t="n">
        <v>1.3</v>
      </c>
      <c r="BH26" t="n">
        <v>95</v>
      </c>
      <c r="BI26" t="n">
        <v>521</v>
      </c>
      <c r="BJ26" t="n">
        <v>426</v>
      </c>
      <c r="BK26" t="n">
        <v>292</v>
      </c>
      <c r="BL26" t="inlineStr">
        <is>
          <t>no informado</t>
        </is>
      </c>
      <c r="BM26" t="inlineStr">
        <is>
          <t>no informado</t>
        </is>
      </c>
      <c r="BN26" t="inlineStr">
        <is>
          <t>no informado</t>
        </is>
      </c>
      <c r="BO26" t="inlineStr">
        <is>
          <t>no informado</t>
        </is>
      </c>
      <c r="BP26" t="inlineStr">
        <is>
          <t>no informado</t>
        </is>
      </c>
      <c r="BQ26" t="inlineStr">
        <is>
          <t>no informado</t>
        </is>
      </c>
      <c r="BR26" t="inlineStr">
        <is>
          <t>no informado</t>
        </is>
      </c>
      <c r="BS26" t="inlineStr">
        <is>
          <t>no informado</t>
        </is>
      </c>
      <c r="BT26" t="n">
        <v>0.167</v>
      </c>
      <c r="BU26" t="n">
        <v>21.45</v>
      </c>
      <c r="BV26" t="n">
        <v>0.281</v>
      </c>
      <c r="BW26" t="inlineStr">
        <is>
          <t>100.0</t>
        </is>
      </c>
      <c r="BX26" t="inlineStr">
        <is>
          <t>2.802 (D854, «G. Específica Promedio» de la hoja y p.49); e0 recalculado = 0.312</t>
        </is>
      </c>
      <c r="BY26" t="inlineStr">
        <is>
          <t>verificado en imagen; esfuerzos separados (consolidación / falla)</t>
        </is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Triaxial CU</t>
        </is>
      </c>
      <c r="EY26" t="inlineStr">
        <is>
          <t>CU: máximo desviador (la fuente no permite máxima oblicuidad)</t>
        </is>
      </c>
      <c r="EZ26" t="n">
        <v>95</v>
      </c>
      <c r="FA26" t="n">
        <v>521</v>
      </c>
      <c r="FB26" t="n">
        <v>426</v>
      </c>
      <c r="FC26" t="n">
        <v>43.75359997420976</v>
      </c>
      <c r="FD26" t="n">
        <v>160.6980519480519</v>
      </c>
      <c r="FE26" t="n">
        <v>153.8542690343729</v>
      </c>
      <c r="FF26" t="inlineStr">
        <is>
          <t>pequeña (&lt;120 mm)</t>
        </is>
      </c>
      <c r="FG26" t="n">
        <v>7.526315789473684</v>
      </c>
      <c r="FH26" t="inlineStr">
        <is>
          <t>Chancado</t>
        </is>
      </c>
      <c r="FI26" t="inlineStr">
        <is>
          <t>dudosa: muestras del acopio de la chancadora secundaria; hojas de Fase A dicen «Material Chancado»</t>
        </is>
      </c>
      <c r="FJ26" t="n">
        <v>0</v>
      </c>
      <c r="FK26" t="inlineStr"/>
      <c r="FL26" t="inlineStr"/>
      <c r="FM26" t="inlineStr">
        <is>
          <t>A</t>
        </is>
      </c>
      <c r="FN26" t="n">
        <v>0.312</v>
      </c>
      <c r="FO26" t="inlineStr"/>
      <c r="FP26" t="n">
        <v>2.802</v>
      </c>
      <c r="FQ26" t="inlineStr">
        <is>
          <t>informe o verificación</t>
        </is>
      </c>
      <c r="FR26" t="inlineStr">
        <is>
          <t>G2010-024</t>
        </is>
      </c>
      <c r="FS26" t="inlineStr">
        <is>
          <t>G2010|G2010-B-HG-2.8in</t>
        </is>
      </c>
    </row>
    <row r="27">
      <c r="A27" t="inlineStr">
        <is>
          <t>G2010</t>
        </is>
      </c>
      <c r="B27" t="inlineStr">
        <is>
          <t>2010_Golder_Caracterizacion ROM IPCC.pdf</t>
        </is>
      </c>
      <c r="C27" t="n">
        <v>2010</v>
      </c>
      <c r="D27" t="inlineStr">
        <is>
          <t>Golder Associates Perú, Memorando técnico 'Caracterización material de ROM – Proyecto IPCC' (proy. 099-4151017, 25-mar-2010)</t>
        </is>
      </c>
      <c r="E27" t="inlineStr">
        <is>
          <t>Golder Associates Perú – Laboratorio de Mecánica de Suelos (Lima)</t>
        </is>
      </c>
      <c r="F27" t="inlineStr">
        <is>
          <t>G2010-B-HG-2.8in</t>
        </is>
      </c>
      <c r="G27" t="inlineStr">
        <is>
          <t>GL-482-09 Prueba Nº 2 (σ3c=786 kPa)</t>
        </is>
      </c>
      <c r="H27" t="inlineStr">
        <is>
          <t>Hornfels Gris</t>
        </is>
      </c>
      <c r="I27" t="inlineStr">
        <is>
          <t>Hornfels</t>
        </is>
      </c>
      <c r="J27" t="inlineStr">
        <is>
          <t>hornfels gris</t>
        </is>
      </c>
      <c r="K27" t="inlineStr"/>
      <c r="L27" t="inlineStr"/>
      <c r="M27" t="inlineStr">
        <is>
          <t>Chancado</t>
        </is>
      </c>
      <c r="N27" t="inlineStr"/>
      <c r="O27" t="inlineStr">
        <is>
          <t>CU</t>
        </is>
      </c>
      <c r="P27" t="inlineStr">
        <is>
          <t>sí</t>
        </is>
      </c>
      <c r="Q27" t="n">
        <v>71.5</v>
      </c>
      <c r="R27" t="n">
        <v>142.5</v>
      </c>
      <c r="S27" t="n">
        <v>9.5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Truncado: se ensayó la fracción &lt; 3/8" de la matriz; TM de terreno 35" (Fase A, Tabla 2); Fase B chancada, TM 9"–12" según texto pág. 2</t>
        </is>
      </c>
      <c r="AD27" t="n">
        <v>2.802</v>
      </c>
      <c r="AE27" t="n">
        <v>20.95</v>
      </c>
      <c r="AF27" t="n">
        <v>0.312</v>
      </c>
      <c r="AG27" t="inlineStr">
        <is>
          <t>informe</t>
        </is>
      </c>
      <c r="AH27" t="inlineStr"/>
      <c r="AI27" t="n">
        <v>7.1</v>
      </c>
      <c r="AJ27" t="n">
        <v>65.5</v>
      </c>
      <c r="AK27" t="n">
        <v>269</v>
      </c>
      <c r="AL27" t="n">
        <v>1029</v>
      </c>
      <c r="AM27" t="n">
        <v>760</v>
      </c>
      <c r="AN27" t="inlineStr">
        <is>
          <t>Esfuerzo desviador máximo (criterio impreso en la hoja Golder)</t>
        </is>
      </c>
      <c r="AO27" t="inlineStr"/>
      <c r="AP27" t="n">
        <v>1</v>
      </c>
      <c r="AQ27" t="inlineStr"/>
      <c r="AR27" t="n">
        <v>517</v>
      </c>
      <c r="AS27" t="n">
        <v>522.3</v>
      </c>
      <c r="AT27" t="n">
        <v>760</v>
      </c>
      <c r="AU27" t="inlineStr"/>
      <c r="AV27" t="inlineStr"/>
      <c r="AW27" t="inlineStr"/>
      <c r="AX27" t="inlineStr"/>
      <c r="AY27" t="inlineStr"/>
      <c r="AZ27" t="inlineStr"/>
      <c r="BA27" t="inlineStr">
        <is>
          <t>122;124;8;10;49</t>
        </is>
      </c>
      <c r="BB27" t="inlineStr">
        <is>
          <t>sí</t>
        </is>
      </c>
      <c r="BC27" t="inlineStr">
        <is>
          <t>Fase B (material chancado = Chancado). Probeta remoldeada a la densidad de campo δ=2.137 g/cm3 y 7 % de humedad (solicitado por el cliente). Diámetro nominal 2.8". Inicial: S=64.0 %; final (post-consolidación): gd=2.221 g/cm3, e=0.261. Velocidad 0.167 %/min. Hoja da σ1, σ1', σ3, σ3' en la falla; σ3'f=269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100.42 MPa; Los Ángeles 20.3 %; durabilidad (sulfato de magnesio, pérdida corregida) 0.6 %. Envolvente de la hoja Golder (Mohr máximo, pág. 124): total c=23 kPa φ=18°, efectiva c'=0 kPa φ'=40°. Granulometría de la fracción ensayada no informada (solo granulometría de terreno, ver resumen). Saturación final ≈100 %; el parámetro B no figura en la hoja. SUCS informado por el cliente. VERIFICACIÓN 2026-10-06 (imagen p.122): σ'3c=786; en la falla σ1=1546, σ1'=1029, σ3=786, σ3'=269 kPa (impresos); Δu=517 kPa; q=σ'1−σ'3=760 kPa. Tras consolidar: γd=2.221 g/cm3, e=0.261, S=100.0 %. La hoja Golder no tabula la curva (solo gráficos): máxima oblicuidad no informada; el estado de «máximo desviador» es el impreso. Remoldeado a la densidad de campo δ=2.137 gr/cm3 y 7% de humedad, solicitado por el cliente; material &lt;3/8".</t>
        </is>
      </c>
      <c r="BD27" t="n">
        <v>786</v>
      </c>
      <c r="BE27" t="n">
        <v>269</v>
      </c>
      <c r="BF27" t="n">
        <v>1029</v>
      </c>
      <c r="BG27" t="n">
        <v>1</v>
      </c>
      <c r="BH27" t="n">
        <v>269</v>
      </c>
      <c r="BI27" t="n">
        <v>1029</v>
      </c>
      <c r="BJ27" t="n">
        <v>760</v>
      </c>
      <c r="BK27" t="n">
        <v>517</v>
      </c>
      <c r="BL27" t="inlineStr">
        <is>
          <t>no informado</t>
        </is>
      </c>
      <c r="BM27" t="inlineStr">
        <is>
          <t>no informado</t>
        </is>
      </c>
      <c r="BN27" t="inlineStr">
        <is>
          <t>no informado</t>
        </is>
      </c>
      <c r="BO27" t="inlineStr">
        <is>
          <t>no informado</t>
        </is>
      </c>
      <c r="BP27" t="inlineStr">
        <is>
          <t>no informado</t>
        </is>
      </c>
      <c r="BQ27" t="inlineStr">
        <is>
          <t>no informado</t>
        </is>
      </c>
      <c r="BR27" t="inlineStr">
        <is>
          <t>no informado</t>
        </is>
      </c>
      <c r="BS27" t="inlineStr">
        <is>
          <t>no informado</t>
        </is>
      </c>
      <c r="BT27" t="n">
        <v>0.167</v>
      </c>
      <c r="BU27" t="n">
        <v>21.79</v>
      </c>
      <c r="BV27" t="n">
        <v>0.261</v>
      </c>
      <c r="BW27" t="inlineStr">
        <is>
          <t>100.0</t>
        </is>
      </c>
      <c r="BX27" t="inlineStr">
        <is>
          <t>2.802 (D854, «G. Específica Promedio» de la hoja y p.49); e0 recalculado = 0.312</t>
        </is>
      </c>
      <c r="BY27" t="inlineStr">
        <is>
          <t>verificado en imagen; esfuerzos separados (consolidación / falla)</t>
        </is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>
        <is>
          <t>Triaxial CU</t>
        </is>
      </c>
      <c r="EY27" t="inlineStr">
        <is>
          <t>CU: máximo desviador (la fuente no permite máxima oblicuidad)</t>
        </is>
      </c>
      <c r="EZ27" t="n">
        <v>269</v>
      </c>
      <c r="FA27" t="n">
        <v>1029</v>
      </c>
      <c r="FB27" t="n">
        <v>760</v>
      </c>
      <c r="FC27" t="n">
        <v>35.8394640466056</v>
      </c>
      <c r="FD27" t="n">
        <v>426.5038520801232</v>
      </c>
      <c r="FE27" t="n">
        <v>308.0510739484872</v>
      </c>
      <c r="FF27" t="inlineStr">
        <is>
          <t>pequeña (&lt;120 mm)</t>
        </is>
      </c>
      <c r="FG27" t="n">
        <v>7.526315789473684</v>
      </c>
      <c r="FH27" t="inlineStr">
        <is>
          <t>Chancado</t>
        </is>
      </c>
      <c r="FI27" t="inlineStr">
        <is>
          <t>dudosa: muestras del acopio de la chancadora secundaria; hojas de Fase A dicen «Material Chancado»</t>
        </is>
      </c>
      <c r="FJ27" t="n">
        <v>0</v>
      </c>
      <c r="FK27" t="inlineStr"/>
      <c r="FL27" t="inlineStr"/>
      <c r="FM27" t="inlineStr">
        <is>
          <t>A</t>
        </is>
      </c>
      <c r="FN27" t="n">
        <v>0.312</v>
      </c>
      <c r="FO27" t="inlineStr"/>
      <c r="FP27" t="n">
        <v>2.802</v>
      </c>
      <c r="FQ27" t="inlineStr">
        <is>
          <t>informe o verificación</t>
        </is>
      </c>
      <c r="FR27" t="inlineStr">
        <is>
          <t>G2010-025</t>
        </is>
      </c>
      <c r="FS27" t="inlineStr">
        <is>
          <t>G2010|G2010-B-HG-2.8in</t>
        </is>
      </c>
    </row>
    <row r="28">
      <c r="A28" t="inlineStr">
        <is>
          <t>G2010</t>
        </is>
      </c>
      <c r="B28" t="inlineStr">
        <is>
          <t>2010_Golder_Caracterizacion ROM IPCC.pdf</t>
        </is>
      </c>
      <c r="C28" t="n">
        <v>2010</v>
      </c>
      <c r="D28" t="inlineStr">
        <is>
          <t>Golder Associates Perú, Memorando técnico 'Caracterización material de ROM – Proyecto IPCC' (proy. 099-4151017, 25-mar-2010)</t>
        </is>
      </c>
      <c r="E28" t="inlineStr">
        <is>
          <t>Golder Associates Perú – Laboratorio de Mecánica de Suelos (Lima)</t>
        </is>
      </c>
      <c r="F28" t="inlineStr">
        <is>
          <t>G2010-B-HG-2.8in</t>
        </is>
      </c>
      <c r="G28" t="inlineStr">
        <is>
          <t>GL-482-09 Prueba Nº 3 (σ3c=1576 kPa)</t>
        </is>
      </c>
      <c r="H28" t="inlineStr">
        <is>
          <t>Hornfels Gris</t>
        </is>
      </c>
      <c r="I28" t="inlineStr">
        <is>
          <t>Hornfels</t>
        </is>
      </c>
      <c r="J28" t="inlineStr">
        <is>
          <t>hornfels gris</t>
        </is>
      </c>
      <c r="K28" t="inlineStr"/>
      <c r="L28" t="inlineStr"/>
      <c r="M28" t="inlineStr">
        <is>
          <t>Chancado</t>
        </is>
      </c>
      <c r="N28" t="inlineStr"/>
      <c r="O28" t="inlineStr">
        <is>
          <t>CU</t>
        </is>
      </c>
      <c r="P28" t="inlineStr">
        <is>
          <t>sí</t>
        </is>
      </c>
      <c r="Q28" t="n">
        <v>71.5</v>
      </c>
      <c r="R28" t="n">
        <v>142.5</v>
      </c>
      <c r="S28" t="n">
        <v>9.5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Truncado: se ensayó la fracción &lt; 3/8" de la matriz; TM de terreno 35" (Fase A, Tabla 2); Fase B chancada, TM 9"–12" según texto pág. 2</t>
        </is>
      </c>
      <c r="AD28" t="n">
        <v>2.802</v>
      </c>
      <c r="AE28" t="n">
        <v>20.96</v>
      </c>
      <c r="AF28" t="n">
        <v>0.311</v>
      </c>
      <c r="AG28" t="inlineStr">
        <is>
          <t>informe</t>
        </is>
      </c>
      <c r="AH28" t="inlineStr"/>
      <c r="AI28" t="n">
        <v>7.1</v>
      </c>
      <c r="AJ28" t="n">
        <v>65.5</v>
      </c>
      <c r="AK28" t="n">
        <v>401</v>
      </c>
      <c r="AL28" t="n">
        <v>1899</v>
      </c>
      <c r="AM28" t="n">
        <v>1498</v>
      </c>
      <c r="AN28" t="inlineStr">
        <is>
          <t>Esfuerzo desviador máximo (criterio impreso en la hoja Golder)</t>
        </is>
      </c>
      <c r="AO28" t="inlineStr"/>
      <c r="AP28" t="n">
        <v>15.2</v>
      </c>
      <c r="AQ28" t="inlineStr"/>
      <c r="AR28" t="n">
        <v>1175</v>
      </c>
      <c r="AS28" t="n">
        <v>900.3</v>
      </c>
      <c r="AT28" t="n">
        <v>1498</v>
      </c>
      <c r="AU28" t="inlineStr"/>
      <c r="AV28" t="inlineStr"/>
      <c r="AW28" t="inlineStr"/>
      <c r="AX28" t="inlineStr"/>
      <c r="AY28" t="inlineStr"/>
      <c r="AZ28" t="inlineStr"/>
      <c r="BA28" t="inlineStr">
        <is>
          <t>122;124;8;10;49</t>
        </is>
      </c>
      <c r="BB28" t="inlineStr">
        <is>
          <t>sí</t>
        </is>
      </c>
      <c r="BC28" t="inlineStr">
        <is>
          <t>Fase B (material chancado = Chancado). Probeta remoldeada a la densidad de campo δ=2.137 g/cm3 y 7 % de humedad (solicitado por el cliente). Diámetro nominal 2.8". Inicial: S=63.6 %; final (post-consolidación): gd=2.237 g/cm3, e=0.253. Velocidad 0.125 %/min. Hoja da σ1, σ1', σ3, σ3' en la falla; σ3'f=401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100.42 MPa; Los Ángeles 20.3 %; durabilidad (sulfato de magnesio, pérdida corregida) 0.6 %. Envolvente de la hoja Golder (Mohr máximo, pág. 124): total c=23 kPa φ=18°, efectiva c'=0 kPa φ'=40°. Granulometría de la fracción ensayada no informada (solo granulometría de terreno, ver resumen). Saturación final ≈100 %; el parámetro B no figura en la hoja. SUCS informado por el cliente. VERIFICACIÓN 2026-10-06 (imagen p.122): σ'3c=1576; en la falla σ1=3074, σ1'=1899, σ3=1576, σ3'=401 kPa (impresos); Δu=1175 kPa; q=σ'1−σ'3=1498 kPa. Tras consolidar: γd=2.237 g/cm3, e=0.253, S=100.0 %. La hoja Golder no tabula la curva (solo gráficos): máxima oblicuidad no informada; el estado de «máximo desviador» es el impreso. Remoldeado a la densidad de campo δ=2.137 gr/cm3 y 7% de humedad, solicitado por el cliente; material &lt;3/8".</t>
        </is>
      </c>
      <c r="BD28" t="n">
        <v>1576</v>
      </c>
      <c r="BE28" t="n">
        <v>401</v>
      </c>
      <c r="BF28" t="n">
        <v>1899</v>
      </c>
      <c r="BG28" t="n">
        <v>15.2</v>
      </c>
      <c r="BH28" t="n">
        <v>401</v>
      </c>
      <c r="BI28" t="n">
        <v>1899</v>
      </c>
      <c r="BJ28" t="n">
        <v>1498</v>
      </c>
      <c r="BK28" t="n">
        <v>1175</v>
      </c>
      <c r="BL28" t="inlineStr">
        <is>
          <t>no informado</t>
        </is>
      </c>
      <c r="BM28" t="inlineStr">
        <is>
          <t>no informado</t>
        </is>
      </c>
      <c r="BN28" t="inlineStr">
        <is>
          <t>no informado</t>
        </is>
      </c>
      <c r="BO28" t="inlineStr">
        <is>
          <t>no informado</t>
        </is>
      </c>
      <c r="BP28" t="inlineStr">
        <is>
          <t>no informado</t>
        </is>
      </c>
      <c r="BQ28" t="inlineStr">
        <is>
          <t>no informado</t>
        </is>
      </c>
      <c r="BR28" t="inlineStr">
        <is>
          <t>no informado</t>
        </is>
      </c>
      <c r="BS28" t="inlineStr">
        <is>
          <t>no informado</t>
        </is>
      </c>
      <c r="BT28" t="n">
        <v>0.125</v>
      </c>
      <c r="BU28" t="n">
        <v>21.94</v>
      </c>
      <c r="BV28" t="n">
        <v>0.253</v>
      </c>
      <c r="BW28" t="inlineStr">
        <is>
          <t>100.0</t>
        </is>
      </c>
      <c r="BX28" t="inlineStr">
        <is>
          <t>2.802 (D854, «G. Específica Promedio» de la hoja y p.49); e0 recalculado = 0.311</t>
        </is>
      </c>
      <c r="BY28" t="inlineStr">
        <is>
          <t>verificado en imagen; esfuerzos separados (consolidación / falla)</t>
        </is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Triaxial CU</t>
        </is>
      </c>
      <c r="EY28" t="inlineStr">
        <is>
          <t>CU: máximo desviador (la fuente no permite máxima oblicuidad)</t>
        </is>
      </c>
      <c r="EZ28" t="n">
        <v>401</v>
      </c>
      <c r="FA28" t="n">
        <v>1899</v>
      </c>
      <c r="FB28" t="n">
        <v>1498</v>
      </c>
      <c r="FC28" t="n">
        <v>40.64001644717084</v>
      </c>
      <c r="FD28" t="n">
        <v>662.1730434782609</v>
      </c>
      <c r="FE28" t="n">
        <v>568.3536403426456</v>
      </c>
      <c r="FF28" t="inlineStr">
        <is>
          <t>pequeña (&lt;120 mm)</t>
        </is>
      </c>
      <c r="FG28" t="n">
        <v>7.526315789473684</v>
      </c>
      <c r="FH28" t="inlineStr">
        <is>
          <t>Chancado</t>
        </is>
      </c>
      <c r="FI28" t="inlineStr">
        <is>
          <t>dudosa: muestras del acopio de la chancadora secundaria; hojas de Fase A dicen «Material Chancado»</t>
        </is>
      </c>
      <c r="FJ28" t="n">
        <v>0</v>
      </c>
      <c r="FK28" t="inlineStr"/>
      <c r="FL28" t="inlineStr"/>
      <c r="FM28" t="inlineStr">
        <is>
          <t>A</t>
        </is>
      </c>
      <c r="FN28" t="n">
        <v>0.311</v>
      </c>
      <c r="FO28" t="inlineStr"/>
      <c r="FP28" t="n">
        <v>2.802</v>
      </c>
      <c r="FQ28" t="inlineStr">
        <is>
          <t>informe o verificación</t>
        </is>
      </c>
      <c r="FR28" t="inlineStr">
        <is>
          <t>G2010-026</t>
        </is>
      </c>
      <c r="FS28" t="inlineStr">
        <is>
          <t>G2010|G2010-B-HG-2.8in</t>
        </is>
      </c>
    </row>
    <row r="29">
      <c r="A29" t="inlineStr">
        <is>
          <t>G2010</t>
        </is>
      </c>
      <c r="B29" t="inlineStr">
        <is>
          <t>2010_Golder_Caracterizacion ROM IPCC.pdf</t>
        </is>
      </c>
      <c r="C29" t="n">
        <v>2010</v>
      </c>
      <c r="D29" t="inlineStr">
        <is>
          <t>Golder Associates Perú, Memorando técnico 'Caracterización material de ROM – Proyecto IPCC' (proy. 099-4151017, 25-mar-2010)</t>
        </is>
      </c>
      <c r="E29" t="inlineStr">
        <is>
          <t>Golder Associates Perú – Laboratorio de Mecánica de Suelos (Lima)</t>
        </is>
      </c>
      <c r="F29" t="inlineStr">
        <is>
          <t>G2010-B-INT-2.8in</t>
        </is>
      </c>
      <c r="G29" t="inlineStr">
        <is>
          <t>GL-483-09 Prueba Nº 1 (σ3c=390 kPa)</t>
        </is>
      </c>
      <c r="H29" t="inlineStr">
        <is>
          <t>Intrusivo</t>
        </is>
      </c>
      <c r="I29" t="inlineStr">
        <is>
          <t>Intrusivo</t>
        </is>
      </c>
      <c r="J29" t="inlineStr"/>
      <c r="K29" t="inlineStr"/>
      <c r="L29" t="inlineStr"/>
      <c r="M29" t="inlineStr">
        <is>
          <t>Chancado</t>
        </is>
      </c>
      <c r="N29" t="inlineStr"/>
      <c r="O29" t="inlineStr">
        <is>
          <t>CU</t>
        </is>
      </c>
      <c r="P29" t="inlineStr">
        <is>
          <t>sí</t>
        </is>
      </c>
      <c r="Q29" t="n">
        <v>71.5</v>
      </c>
      <c r="R29" t="n">
        <v>142.4</v>
      </c>
      <c r="S29" t="n">
        <v>9.5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Truncado: se ensayó la fracción &lt; 3/8" de la matriz; TM de terreno 30" (Fase A, Tabla 2); Fase B chancada, TM 9"–12" según texto pág. 2</t>
        </is>
      </c>
      <c r="AD29" t="n">
        <v>2.742</v>
      </c>
      <c r="AE29" t="n">
        <v>19.81</v>
      </c>
      <c r="AF29" t="n">
        <v>0.358</v>
      </c>
      <c r="AG29" t="inlineStr">
        <is>
          <t>informe</t>
        </is>
      </c>
      <c r="AH29" t="inlineStr"/>
      <c r="AI29" t="n">
        <v>7.5</v>
      </c>
      <c r="AJ29" t="n">
        <v>54</v>
      </c>
      <c r="AK29" t="n">
        <v>169</v>
      </c>
      <c r="AL29" t="n">
        <v>752</v>
      </c>
      <c r="AM29" t="n">
        <v>583</v>
      </c>
      <c r="AN29" t="inlineStr">
        <is>
          <t>Esfuerzo desviador máximo (criterio impreso en la hoja Golder)</t>
        </is>
      </c>
      <c r="AO29" t="inlineStr"/>
      <c r="AP29" t="n">
        <v>1</v>
      </c>
      <c r="AQ29" t="inlineStr"/>
      <c r="AR29" t="n">
        <v>221</v>
      </c>
      <c r="AS29" t="n">
        <v>363.3</v>
      </c>
      <c r="AT29" t="n">
        <v>583</v>
      </c>
      <c r="AU29" t="inlineStr"/>
      <c r="AV29" t="inlineStr"/>
      <c r="AW29" t="inlineStr"/>
      <c r="AX29" t="inlineStr"/>
      <c r="AY29" t="inlineStr"/>
      <c r="AZ29" t="inlineStr"/>
      <c r="BA29" t="inlineStr">
        <is>
          <t>127;129;8;10;49</t>
        </is>
      </c>
      <c r="BB29" t="inlineStr">
        <is>
          <t>sí</t>
        </is>
      </c>
      <c r="BC29" t="inlineStr">
        <is>
          <t>Fase B (material chancado = Chancado). Probeta remoldeada a la densidad de campo δ=2.019 g/cm3 y 8 % de humedad (solicitado por el cliente). Diámetro nominal 2.8". Inicial: S=57.4 %; final (post-consolidación): gd=2.067 g/cm3, e=0.326. Velocidad 0.125 %/min. Hoja da σ1, σ1', σ3, σ3' en la falla; σ3'f=169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78.06 MPa; Los Ángeles 32.2 %; durabilidad (sulfato de magnesio, pérdida corregida) 18.6 %. Envolvente de la hoja Golder (Mohr máximo, pág. 129): total c=162 kPa φ=15°, efectiva c'=42 kPa φ'=34°. Granulometría de la fracción ensayada no informada (solo granulometría de terreno, ver resumen). Saturación final ≈100 %; el parámetro B no figura en la hoja. SUCS informado por el cliente. VERIFICACIÓN 2026-10-06 (imagen p.127): σ'3c=390; en la falla σ1=973, σ1'=752, σ3=390, σ3'=169 kPa (impresos); Δu=221 kPa; q=σ'1−σ'3=583 kPa. Tras consolidar: γd=2.067 g/cm3, e=0.326, S=100.0 %. La hoja Golder no tabula la curva (solo gráficos): máxima oblicuidad no informada; el estado de «máximo desviador» es el impreso. Remoldeado a la densidad de campo δ=2.019 gr/cm3 y 8% de humedad, solicitado por el cliente; material &lt;3/8".</t>
        </is>
      </c>
      <c r="BD29" t="n">
        <v>390</v>
      </c>
      <c r="BE29" t="n">
        <v>169</v>
      </c>
      <c r="BF29" t="n">
        <v>752</v>
      </c>
      <c r="BG29" t="n">
        <v>1</v>
      </c>
      <c r="BH29" t="n">
        <v>169</v>
      </c>
      <c r="BI29" t="n">
        <v>752</v>
      </c>
      <c r="BJ29" t="n">
        <v>583</v>
      </c>
      <c r="BK29" t="n">
        <v>221</v>
      </c>
      <c r="BL29" t="inlineStr">
        <is>
          <t>no informado</t>
        </is>
      </c>
      <c r="BM29" t="inlineStr">
        <is>
          <t>no informado</t>
        </is>
      </c>
      <c r="BN29" t="inlineStr">
        <is>
          <t>no informado</t>
        </is>
      </c>
      <c r="BO29" t="inlineStr">
        <is>
          <t>no informado</t>
        </is>
      </c>
      <c r="BP29" t="inlineStr">
        <is>
          <t>no informado</t>
        </is>
      </c>
      <c r="BQ29" t="inlineStr">
        <is>
          <t>no informado</t>
        </is>
      </c>
      <c r="BR29" t="inlineStr">
        <is>
          <t>no informado</t>
        </is>
      </c>
      <c r="BS29" t="inlineStr">
        <is>
          <t>no informado</t>
        </is>
      </c>
      <c r="BT29" t="n">
        <v>0.125</v>
      </c>
      <c r="BU29" t="n">
        <v>20.28</v>
      </c>
      <c r="BV29" t="n">
        <v>0.326</v>
      </c>
      <c r="BW29" t="inlineStr">
        <is>
          <t>100.0</t>
        </is>
      </c>
      <c r="BX29" t="inlineStr">
        <is>
          <t>2.742 (D854, «G. Específica Promedio» de la hoja y p.49); e0 recalculado = 0.358</t>
        </is>
      </c>
      <c r="BY29" t="inlineStr">
        <is>
          <t>verificado en imagen; esfuerzos separados (consolidación / falla)</t>
        </is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Triaxial CU</t>
        </is>
      </c>
      <c r="EY29" t="inlineStr">
        <is>
          <t>CU: máximo desviador (la fuente no permite máxima oblicuidad)</t>
        </is>
      </c>
      <c r="EZ29" t="n">
        <v>169</v>
      </c>
      <c r="FA29" t="n">
        <v>752</v>
      </c>
      <c r="FB29" t="n">
        <v>583</v>
      </c>
      <c r="FC29" t="n">
        <v>39.27236806562344</v>
      </c>
      <c r="FD29" t="n">
        <v>275.9782844733985</v>
      </c>
      <c r="FE29" t="n">
        <v>225.663436336328</v>
      </c>
      <c r="FF29" t="inlineStr">
        <is>
          <t>pequeña (&lt;120 mm)</t>
        </is>
      </c>
      <c r="FG29" t="n">
        <v>7.526315789473684</v>
      </c>
      <c r="FH29" t="inlineStr">
        <is>
          <t>Chancado</t>
        </is>
      </c>
      <c r="FI29" t="inlineStr">
        <is>
          <t>dudosa: muestras del acopio de la chancadora secundaria; hojas de Fase A dicen «Material Chancado»</t>
        </is>
      </c>
      <c r="FJ29" t="n">
        <v>0</v>
      </c>
      <c r="FK29" t="inlineStr"/>
      <c r="FL29" t="inlineStr"/>
      <c r="FM29" t="inlineStr">
        <is>
          <t>A</t>
        </is>
      </c>
      <c r="FN29" t="n">
        <v>0.358</v>
      </c>
      <c r="FO29" t="inlineStr"/>
      <c r="FP29" t="n">
        <v>2.742</v>
      </c>
      <c r="FQ29" t="inlineStr">
        <is>
          <t>informe o verificación</t>
        </is>
      </c>
      <c r="FR29" t="inlineStr">
        <is>
          <t>G2010-027</t>
        </is>
      </c>
      <c r="FS29" t="inlineStr">
        <is>
          <t>G2010|G2010-B-INT-2.8in</t>
        </is>
      </c>
    </row>
    <row r="30">
      <c r="A30" t="inlineStr">
        <is>
          <t>G2010</t>
        </is>
      </c>
      <c r="B30" t="inlineStr">
        <is>
          <t>2010_Golder_Caracterizacion ROM IPCC.pdf</t>
        </is>
      </c>
      <c r="C30" t="n">
        <v>2010</v>
      </c>
      <c r="D30" t="inlineStr">
        <is>
          <t>Golder Associates Perú, Memorando técnico 'Caracterización material de ROM – Proyecto IPCC' (proy. 099-4151017, 25-mar-2010)</t>
        </is>
      </c>
      <c r="E30" t="inlineStr">
        <is>
          <t>Golder Associates Perú – Laboratorio de Mecánica de Suelos (Lima)</t>
        </is>
      </c>
      <c r="F30" t="inlineStr">
        <is>
          <t>G2010-B-INT-2.8in</t>
        </is>
      </c>
      <c r="G30" t="inlineStr">
        <is>
          <t>GL-483-09 Prueba Nº 2 (σ3c=785 kPa)</t>
        </is>
      </c>
      <c r="H30" t="inlineStr">
        <is>
          <t>Intrusivo</t>
        </is>
      </c>
      <c r="I30" t="inlineStr">
        <is>
          <t>Intrusivo</t>
        </is>
      </c>
      <c r="J30" t="inlineStr"/>
      <c r="K30" t="inlineStr"/>
      <c r="L30" t="inlineStr"/>
      <c r="M30" t="inlineStr">
        <is>
          <t>Chancado</t>
        </is>
      </c>
      <c r="N30" t="inlineStr"/>
      <c r="O30" t="inlineStr">
        <is>
          <t>CU</t>
        </is>
      </c>
      <c r="P30" t="inlineStr">
        <is>
          <t>sí</t>
        </is>
      </c>
      <c r="Q30" t="n">
        <v>71.5</v>
      </c>
      <c r="R30" t="n">
        <v>142.5</v>
      </c>
      <c r="S30" t="n">
        <v>9.5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Truncado: se ensayó la fracción &lt; 3/8" de la matriz; TM de terreno 30" (Fase A, Tabla 2); Fase B chancada, TM 9"–12" según texto pág. 2</t>
        </is>
      </c>
      <c r="AD30" t="n">
        <v>2.742</v>
      </c>
      <c r="AE30" t="n">
        <v>19.81</v>
      </c>
      <c r="AF30" t="n">
        <v>0.358</v>
      </c>
      <c r="AG30" t="inlineStr">
        <is>
          <t>informe</t>
        </is>
      </c>
      <c r="AH30" t="inlineStr"/>
      <c r="AI30" t="n">
        <v>7.4</v>
      </c>
      <c r="AJ30" t="n">
        <v>54</v>
      </c>
      <c r="AK30" t="n">
        <v>384</v>
      </c>
      <c r="AL30" t="n">
        <v>1499</v>
      </c>
      <c r="AM30" t="n">
        <v>1115</v>
      </c>
      <c r="AN30" t="inlineStr">
        <is>
          <t>Esfuerzo desviador máximo (criterio impreso en la hoja Golder)</t>
        </is>
      </c>
      <c r="AO30" t="inlineStr"/>
      <c r="AP30" t="n">
        <v>1.6</v>
      </c>
      <c r="AQ30" t="inlineStr"/>
      <c r="AR30" t="n">
        <v>401</v>
      </c>
      <c r="AS30" t="n">
        <v>755.7</v>
      </c>
      <c r="AT30" t="n">
        <v>1115</v>
      </c>
      <c r="AU30" t="inlineStr"/>
      <c r="AV30" t="inlineStr"/>
      <c r="AW30" t="inlineStr"/>
      <c r="AX30" t="inlineStr"/>
      <c r="AY30" t="inlineStr"/>
      <c r="AZ30" t="inlineStr"/>
      <c r="BA30" t="inlineStr">
        <is>
          <t>127;129;8;10;49</t>
        </is>
      </c>
      <c r="BB30" t="inlineStr">
        <is>
          <t>sí</t>
        </is>
      </c>
      <c r="BC30" t="inlineStr">
        <is>
          <t>Fase B (material chancado = Chancado). Probeta remoldeada a la densidad de campo δ=2.019 g/cm3 y 8 % de humedad (solicitado por el cliente). Diámetro nominal 2.8". Inicial: S=56.8 %; final (post-consolidación): gd=2.087 g/cm3, e=0.314. Velocidad 0.125 %/min. Hoja da σ1, σ1', σ3, σ3' en la falla; σ3'f=384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78.06 MPa; Los Ángeles 32.2 %; durabilidad (sulfato de magnesio, pérdida corregida) 18.6 %. Envolvente de la hoja Golder (Mohr máximo, pág. 129): total c=162 kPa φ=15°, efectiva c'=42 kPa φ'=34°. Granulometría de la fracción ensayada no informada (solo granulometría de terreno, ver resumen). Saturación final ≈100 %; el parámetro B no figura en la hoja. SUCS informado por el cliente. VERIFICACIÓN 2026-10-06 (imagen p.127): σ'3c=785; en la falla σ1=1900, σ1'=1499, σ3=785, σ3'=384 kPa (impresos); Δu=401 kPa; q=σ'1−σ'3=1115 kPa. Tras consolidar: γd=2.087 g/cm3, e=0.314, S=99.5 %. La hoja Golder no tabula la curva (solo gráficos): máxima oblicuidad no informada; el estado de «máximo desviador» es el impreso. Remoldeado a la densidad de campo δ=2.019 gr/cm3 y 8% de humedad, solicitado por el cliente; material &lt;3/8".</t>
        </is>
      </c>
      <c r="BD30" t="n">
        <v>785</v>
      </c>
      <c r="BE30" t="n">
        <v>384</v>
      </c>
      <c r="BF30" t="n">
        <v>1499</v>
      </c>
      <c r="BG30" t="n">
        <v>1.6</v>
      </c>
      <c r="BH30" t="n">
        <v>384</v>
      </c>
      <c r="BI30" t="n">
        <v>1499</v>
      </c>
      <c r="BJ30" t="n">
        <v>1115</v>
      </c>
      <c r="BK30" t="n">
        <v>401</v>
      </c>
      <c r="BL30" t="inlineStr">
        <is>
          <t>no informado</t>
        </is>
      </c>
      <c r="BM30" t="inlineStr">
        <is>
          <t>no informado</t>
        </is>
      </c>
      <c r="BN30" t="inlineStr">
        <is>
          <t>no informado</t>
        </is>
      </c>
      <c r="BO30" t="inlineStr">
        <is>
          <t>no informado</t>
        </is>
      </c>
      <c r="BP30" t="inlineStr">
        <is>
          <t>no informado</t>
        </is>
      </c>
      <c r="BQ30" t="inlineStr">
        <is>
          <t>no informado</t>
        </is>
      </c>
      <c r="BR30" t="inlineStr">
        <is>
          <t>no informado</t>
        </is>
      </c>
      <c r="BS30" t="inlineStr">
        <is>
          <t>no informado</t>
        </is>
      </c>
      <c r="BT30" t="n">
        <v>0.125</v>
      </c>
      <c r="BU30" t="n">
        <v>20.47</v>
      </c>
      <c r="BV30" t="n">
        <v>0.314</v>
      </c>
      <c r="BW30" t="inlineStr">
        <is>
          <t>99.5</t>
        </is>
      </c>
      <c r="BX30" t="inlineStr">
        <is>
          <t>2.742 (D854, «G. Específica Promedio» de la hoja y p.49); e0 recalculado = 0.358</t>
        </is>
      </c>
      <c r="BY30" t="inlineStr">
        <is>
          <t>verificado en imagen; esfuerzos separados (consolidación / falla)</t>
        </is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Triaxial CU</t>
        </is>
      </c>
      <c r="EY30" t="inlineStr">
        <is>
          <t>CU: máximo desviador (la fuente no permite máxima oblicuidad)</t>
        </is>
      </c>
      <c r="EZ30" t="n">
        <v>384</v>
      </c>
      <c r="FA30" t="n">
        <v>1499</v>
      </c>
      <c r="FB30" t="n">
        <v>1115</v>
      </c>
      <c r="FC30" t="n">
        <v>36.30903095686301</v>
      </c>
      <c r="FD30" t="n">
        <v>611.3818374933617</v>
      </c>
      <c r="FE30" t="n">
        <v>449.2529897321115</v>
      </c>
      <c r="FF30" t="inlineStr">
        <is>
          <t>pequeña (&lt;120 mm)</t>
        </is>
      </c>
      <c r="FG30" t="n">
        <v>7.526315789473684</v>
      </c>
      <c r="FH30" t="inlineStr">
        <is>
          <t>Chancado</t>
        </is>
      </c>
      <c r="FI30" t="inlineStr">
        <is>
          <t>dudosa: muestras del acopio de la chancadora secundaria; hojas de Fase A dicen «Material Chancado»</t>
        </is>
      </c>
      <c r="FJ30" t="n">
        <v>0</v>
      </c>
      <c r="FK30" t="inlineStr"/>
      <c r="FL30" t="inlineStr"/>
      <c r="FM30" t="inlineStr">
        <is>
          <t>A</t>
        </is>
      </c>
      <c r="FN30" t="n">
        <v>0.358</v>
      </c>
      <c r="FO30" t="inlineStr"/>
      <c r="FP30" t="n">
        <v>2.742</v>
      </c>
      <c r="FQ30" t="inlineStr">
        <is>
          <t>informe o verificación</t>
        </is>
      </c>
      <c r="FR30" t="inlineStr">
        <is>
          <t>G2010-028</t>
        </is>
      </c>
      <c r="FS30" t="inlineStr">
        <is>
          <t>G2010|G2010-B-INT-2.8in</t>
        </is>
      </c>
    </row>
    <row r="31">
      <c r="A31" t="inlineStr">
        <is>
          <t>G2010</t>
        </is>
      </c>
      <c r="B31" t="inlineStr">
        <is>
          <t>2010_Golder_Caracterizacion ROM IPCC.pdf</t>
        </is>
      </c>
      <c r="C31" t="n">
        <v>2010</v>
      </c>
      <c r="D31" t="inlineStr">
        <is>
          <t>Golder Associates Perú, Memorando técnico 'Caracterización material de ROM – Proyecto IPCC' (proy. 099-4151017, 25-mar-2010)</t>
        </is>
      </c>
      <c r="E31" t="inlineStr">
        <is>
          <t>Golder Associates Perú – Laboratorio de Mecánica de Suelos (Lima)</t>
        </is>
      </c>
      <c r="F31" t="inlineStr">
        <is>
          <t>G2010-B-INT-2.8in</t>
        </is>
      </c>
      <c r="G31" t="inlineStr">
        <is>
          <t>GL-483-09 Prueba Nº 3 (σ3c=1568 kPa)</t>
        </is>
      </c>
      <c r="H31" t="inlineStr">
        <is>
          <t>Intrusivo</t>
        </is>
      </c>
      <c r="I31" t="inlineStr">
        <is>
          <t>Intrusivo</t>
        </is>
      </c>
      <c r="J31" t="inlineStr"/>
      <c r="K31" t="inlineStr"/>
      <c r="L31" t="inlineStr"/>
      <c r="M31" t="inlineStr">
        <is>
          <t>Chancado</t>
        </is>
      </c>
      <c r="N31" t="inlineStr"/>
      <c r="O31" t="inlineStr">
        <is>
          <t>CU</t>
        </is>
      </c>
      <c r="P31" t="inlineStr">
        <is>
          <t>sí</t>
        </is>
      </c>
      <c r="Q31" t="n">
        <v>71.5</v>
      </c>
      <c r="R31" t="n">
        <v>142.4</v>
      </c>
      <c r="S31" t="n">
        <v>9.5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Truncado: se ensayó la fracción &lt; 3/8" de la matriz; TM de terreno 30" (Fase A, Tabla 2); Fase B chancada, TM 9"–12" según texto pág. 2</t>
        </is>
      </c>
      <c r="AD31" t="n">
        <v>2.742</v>
      </c>
      <c r="AE31" t="n">
        <v>19.81</v>
      </c>
      <c r="AF31" t="n">
        <v>0.358</v>
      </c>
      <c r="AG31" t="inlineStr">
        <is>
          <t>informe</t>
        </is>
      </c>
      <c r="AH31" t="inlineStr"/>
      <c r="AI31" t="n">
        <v>7.5</v>
      </c>
      <c r="AJ31" t="n">
        <v>54</v>
      </c>
      <c r="AK31" t="n">
        <v>495</v>
      </c>
      <c r="AL31" t="n">
        <v>1898</v>
      </c>
      <c r="AM31" t="n">
        <v>1403</v>
      </c>
      <c r="AN31" t="inlineStr">
        <is>
          <t>Esfuerzo desviador máximo (criterio impreso en la hoja Golder)</t>
        </is>
      </c>
      <c r="AO31" t="inlineStr"/>
      <c r="AP31" t="n">
        <v>1.5</v>
      </c>
      <c r="AQ31" t="inlineStr"/>
      <c r="AR31" t="n">
        <v>1073</v>
      </c>
      <c r="AS31" t="n">
        <v>962.7</v>
      </c>
      <c r="AT31" t="n">
        <v>1403</v>
      </c>
      <c r="AU31" t="inlineStr"/>
      <c r="AV31" t="inlineStr"/>
      <c r="AW31" t="inlineStr"/>
      <c r="AX31" t="inlineStr"/>
      <c r="AY31" t="inlineStr"/>
      <c r="AZ31" t="inlineStr"/>
      <c r="BA31" t="inlineStr">
        <is>
          <t>127;129;8;10;49</t>
        </is>
      </c>
      <c r="BB31" t="inlineStr">
        <is>
          <t>sí</t>
        </is>
      </c>
      <c r="BC31" t="inlineStr">
        <is>
          <t>Fase B (material chancado = Chancado). Probeta remoldeada a la densidad de campo δ=2.019 g/cm3 y 8 % de humedad (solicitado por el cliente). Diámetro nominal 2.8". Inicial: S=57.4 %; final (post-consolidación): gd=2.116 g/cm3, e=0.296. Velocidad 0.125 %/min. Hoja da σ1, σ1', σ3, σ3' en la falla; σ3'f=495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78.06 MPa; Los Ángeles 32.2 %; durabilidad (sulfato de magnesio, pérdida corregida) 18.6 %. Envolvente de la hoja Golder (Mohr máximo, pág. 129): total c=162 kPa φ=15°, efectiva c'=42 kPa φ'=34°. Granulometría de la fracción ensayada no informada (solo granulometría de terreno, ver resumen). Saturación final ≈100 %; el parámetro B no figura en la hoja. SUCS informado por el cliente. VERIFICACIÓN 2026-10-06 (imagen p.127): σ'3c=1568; en la falla σ1=2971, σ1'=1898, σ3=1568, σ3'=495 kPa (impresos); Δu=1073 kPa; q=σ'1−σ'3=1403 kPa. Tras consolidar: γd=2.116 g/cm3, e=0.296, S=100.0 %. La hoja Golder no tabula la curva (solo gráficos): máxima oblicuidad no informada; el estado de «máximo desviador» es el impreso. Remoldeado a la densidad de campo δ=2.019 gr/cm3 y 8% de humedad, solicitado por el cliente; material &lt;3/8".</t>
        </is>
      </c>
      <c r="BD31" t="n">
        <v>1568</v>
      </c>
      <c r="BE31" t="n">
        <v>495</v>
      </c>
      <c r="BF31" t="n">
        <v>1898</v>
      </c>
      <c r="BG31" t="n">
        <v>1.5</v>
      </c>
      <c r="BH31" t="n">
        <v>495</v>
      </c>
      <c r="BI31" t="n">
        <v>1898</v>
      </c>
      <c r="BJ31" t="n">
        <v>1403</v>
      </c>
      <c r="BK31" t="n">
        <v>1073</v>
      </c>
      <c r="BL31" t="inlineStr">
        <is>
          <t>no informado</t>
        </is>
      </c>
      <c r="BM31" t="inlineStr">
        <is>
          <t>no informado</t>
        </is>
      </c>
      <c r="BN31" t="inlineStr">
        <is>
          <t>no informado</t>
        </is>
      </c>
      <c r="BO31" t="inlineStr">
        <is>
          <t>no informado</t>
        </is>
      </c>
      <c r="BP31" t="inlineStr">
        <is>
          <t>no informado</t>
        </is>
      </c>
      <c r="BQ31" t="inlineStr">
        <is>
          <t>no informado</t>
        </is>
      </c>
      <c r="BR31" t="inlineStr">
        <is>
          <t>no informado</t>
        </is>
      </c>
      <c r="BS31" t="inlineStr">
        <is>
          <t>no informado</t>
        </is>
      </c>
      <c r="BT31" t="n">
        <v>0.125</v>
      </c>
      <c r="BU31" t="n">
        <v>20.76</v>
      </c>
      <c r="BV31" t="n">
        <v>0.296</v>
      </c>
      <c r="BW31" t="inlineStr">
        <is>
          <t>100.0</t>
        </is>
      </c>
      <c r="BX31" t="inlineStr">
        <is>
          <t>2.742 (D854, «G. Específica Promedio» de la hoja y p.49); e0 recalculado = 0.358</t>
        </is>
      </c>
      <c r="BY31" t="inlineStr">
        <is>
          <t>verificado en imagen; esfuerzos separados (consolidación / falla)</t>
        </is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Triaxial CU</t>
        </is>
      </c>
      <c r="EY31" t="inlineStr">
        <is>
          <t>CU: máximo desviador (la fuente no permite máxima oblicuidad)</t>
        </is>
      </c>
      <c r="EZ31" t="n">
        <v>495</v>
      </c>
      <c r="FA31" t="n">
        <v>1898</v>
      </c>
      <c r="FB31" t="n">
        <v>1403</v>
      </c>
      <c r="FC31" t="n">
        <v>35.89441229870961</v>
      </c>
      <c r="FD31" t="n">
        <v>785.2152110321772</v>
      </c>
      <c r="FE31" t="n">
        <v>568.2843235244954</v>
      </c>
      <c r="FF31" t="inlineStr">
        <is>
          <t>pequeña (&lt;120 mm)</t>
        </is>
      </c>
      <c r="FG31" t="n">
        <v>7.526315789473684</v>
      </c>
      <c r="FH31" t="inlineStr">
        <is>
          <t>Chancado</t>
        </is>
      </c>
      <c r="FI31" t="inlineStr">
        <is>
          <t>dudosa: muestras del acopio de la chancadora secundaria; hojas de Fase A dicen «Material Chancado»</t>
        </is>
      </c>
      <c r="FJ31" t="n">
        <v>0</v>
      </c>
      <c r="FK31" t="inlineStr"/>
      <c r="FL31" t="inlineStr"/>
      <c r="FM31" t="inlineStr">
        <is>
          <t>A</t>
        </is>
      </c>
      <c r="FN31" t="n">
        <v>0.358</v>
      </c>
      <c r="FO31" t="inlineStr"/>
      <c r="FP31" t="n">
        <v>2.742</v>
      </c>
      <c r="FQ31" t="inlineStr">
        <is>
          <t>informe o verificación</t>
        </is>
      </c>
      <c r="FR31" t="inlineStr">
        <is>
          <t>G2010-029</t>
        </is>
      </c>
      <c r="FS31" t="inlineStr">
        <is>
          <t>G2010|G2010-B-INT-2.8in</t>
        </is>
      </c>
    </row>
    <row r="32">
      <c r="A32" t="inlineStr">
        <is>
          <t>G2010</t>
        </is>
      </c>
      <c r="B32" t="inlineStr">
        <is>
          <t>2010_Golder_Caracterizacion ROM IPCC.pdf</t>
        </is>
      </c>
      <c r="C32" t="n">
        <v>2010</v>
      </c>
      <c r="D32" t="inlineStr">
        <is>
          <t>Golder Associates Perú, Memorando técnico 'Caracterización material de ROM – Proyecto IPCC' (proy. 099-4151017, 25-mar-2010)</t>
        </is>
      </c>
      <c r="E32" t="inlineStr">
        <is>
          <t>Golder Associates Perú – Laboratorio de Mecánica de Suelos (Lima)</t>
        </is>
      </c>
      <c r="F32" t="inlineStr">
        <is>
          <t>G2010-B-EXO-2.8in</t>
        </is>
      </c>
      <c r="G32" t="inlineStr">
        <is>
          <t>GL-484-09 Prueba Nº 1 (σ3c=393 kPa)</t>
        </is>
      </c>
      <c r="H32" t="inlineStr">
        <is>
          <t>Exoskarn Diopsido</t>
        </is>
      </c>
      <c r="I32" t="inlineStr">
        <is>
          <t>Skarn</t>
        </is>
      </c>
      <c r="J32" t="inlineStr">
        <is>
          <t>exoskarn diópsido</t>
        </is>
      </c>
      <c r="K32" t="inlineStr"/>
      <c r="L32" t="inlineStr"/>
      <c r="M32" t="inlineStr">
        <is>
          <t>Chancado</t>
        </is>
      </c>
      <c r="N32" t="inlineStr"/>
      <c r="O32" t="inlineStr">
        <is>
          <t>CU</t>
        </is>
      </c>
      <c r="P32" t="inlineStr">
        <is>
          <t>sí</t>
        </is>
      </c>
      <c r="Q32" t="n">
        <v>71.5</v>
      </c>
      <c r="R32" t="n">
        <v>142.5</v>
      </c>
      <c r="S32" t="n">
        <v>9.5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Truncado: se ensayó la fracción &lt; 3/8" de la matriz; TM de terreno 19" (Fase A, Tabla 2); Fase B chancada, TM 9"–12" según texto pág. 2</t>
        </is>
      </c>
      <c r="AD32" t="n">
        <v>3.338</v>
      </c>
      <c r="AE32" t="n">
        <v>23.11</v>
      </c>
      <c r="AF32" t="n">
        <v>0.417</v>
      </c>
      <c r="AG32" t="inlineStr">
        <is>
          <t>informe</t>
        </is>
      </c>
      <c r="AH32" t="inlineStr"/>
      <c r="AI32" t="n">
        <v>6.2</v>
      </c>
      <c r="AJ32" t="n">
        <v>97.40000000000001</v>
      </c>
      <c r="AK32" t="n">
        <v>191</v>
      </c>
      <c r="AL32" t="n">
        <v>793</v>
      </c>
      <c r="AM32" t="n">
        <v>602</v>
      </c>
      <c r="AN32" t="inlineStr">
        <is>
          <t>Esfuerzo desviador máximo (criterio impreso en la hoja Golder)</t>
        </is>
      </c>
      <c r="AO32" t="inlineStr"/>
      <c r="AP32" t="n">
        <v>0.9</v>
      </c>
      <c r="AQ32" t="inlineStr"/>
      <c r="AR32" t="n">
        <v>202</v>
      </c>
      <c r="AS32" t="n">
        <v>391.7</v>
      </c>
      <c r="AT32" t="n">
        <v>602</v>
      </c>
      <c r="AU32" t="inlineStr"/>
      <c r="AV32" t="inlineStr"/>
      <c r="AW32" t="inlineStr"/>
      <c r="AX32" t="inlineStr"/>
      <c r="AY32" t="inlineStr"/>
      <c r="AZ32" t="inlineStr"/>
      <c r="BA32" t="inlineStr">
        <is>
          <t>132;134;8;10;49</t>
        </is>
      </c>
      <c r="BB32" t="inlineStr">
        <is>
          <t>sí</t>
        </is>
      </c>
      <c r="BC32" t="inlineStr">
        <is>
          <t>Fase B (material chancado = Chancado). Probeta remoldeada a la densidad de campo δ=2.357 g/cm3 y 6 % de humedad (solicitado por el cliente). Diámetro nominal 2.8". Inicial: S=49.2 %; final (post-consolidación): gd=2.42 g/cm3, e=0.379. Velocidad 0.125 %/min. Hoja da σ1, σ1', σ3, σ3' en la falla; σ3'f=191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124.78 MPa; Los Ángeles 27.6 %; durabilidad (sulfato de magnesio, pérdida corregida) 6.7 %. Envolvente de la hoja Golder (Mohr máximo, pág. 134): total c=102 kPa φ=16°, efectiva c'=0 kPa φ'=37°. Granulometría de la fracción ensayada no informada (solo granulometría de terreno, ver resumen). Saturación final ≈100 %; el parámetro B no figura en la hoja. SUCS informado por el cliente. VERIFICACIÓN 2026-10-06 (imagen p.132): σ'3c=393; en la falla σ1=994, σ1'=793, σ3=393, σ3'=191 kPa (impresos); Δu=202 kPa; q=σ'1−σ'3=602 kPa. En la hoja σ1−σ3 (totales) = 601 kPa y σ1'−σ3' = 602 kPa (diferencia de redondeo de la hoja); se adopta el valor efectivo. Tras consolidar: γd=2.42 g/cm3, e=0.379, S=105.2 %. La hoja Golder no tabula la curva (solo gráficos): máxima oblicuidad no informada; el estado de «máximo desviador» es el impreso. Remoldeado a la densidad de campo δ=2.357 gr/cm3 y 6% de humedad, solicitado por el cliente; material &lt;3/8".</t>
        </is>
      </c>
      <c r="BD32" t="n">
        <v>393</v>
      </c>
      <c r="BE32" t="n">
        <v>191</v>
      </c>
      <c r="BF32" t="n">
        <v>793</v>
      </c>
      <c r="BG32" t="n">
        <v>0.9</v>
      </c>
      <c r="BH32" t="n">
        <v>191</v>
      </c>
      <c r="BI32" t="n">
        <v>793</v>
      </c>
      <c r="BJ32" t="n">
        <v>602</v>
      </c>
      <c r="BK32" t="n">
        <v>202</v>
      </c>
      <c r="BL32" t="inlineStr">
        <is>
          <t>no informado</t>
        </is>
      </c>
      <c r="BM32" t="inlineStr">
        <is>
          <t>no informado</t>
        </is>
      </c>
      <c r="BN32" t="inlineStr">
        <is>
          <t>no informado</t>
        </is>
      </c>
      <c r="BO32" t="inlineStr">
        <is>
          <t>no informado</t>
        </is>
      </c>
      <c r="BP32" t="inlineStr">
        <is>
          <t>no informado</t>
        </is>
      </c>
      <c r="BQ32" t="inlineStr">
        <is>
          <t>no informado</t>
        </is>
      </c>
      <c r="BR32" t="inlineStr">
        <is>
          <t>no informado</t>
        </is>
      </c>
      <c r="BS32" t="inlineStr">
        <is>
          <t>no informado</t>
        </is>
      </c>
      <c r="BT32" t="n">
        <v>0.125</v>
      </c>
      <c r="BU32" t="n">
        <v>23.74</v>
      </c>
      <c r="BV32" t="n">
        <v>0.379</v>
      </c>
      <c r="BW32" t="inlineStr">
        <is>
          <t>105.2</t>
        </is>
      </c>
      <c r="BX32" t="inlineStr">
        <is>
          <t>3.338 (D854, «G. Específica Promedio» de la hoja y p.49); e0 recalculado = 0.417</t>
        </is>
      </c>
      <c r="BY32" t="inlineStr">
        <is>
          <t>verificado en imagen; esfuerzos separados (consolidación / falla)</t>
        </is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Triaxial CU</t>
        </is>
      </c>
      <c r="EY32" t="inlineStr">
        <is>
          <t>CU: máximo desviador (la fuente no permite máxima oblicuidad)</t>
        </is>
      </c>
      <c r="EZ32" t="n">
        <v>191</v>
      </c>
      <c r="FA32" t="n">
        <v>793</v>
      </c>
      <c r="FB32" t="n">
        <v>602</v>
      </c>
      <c r="FC32" t="n">
        <v>37.71894434774681</v>
      </c>
      <c r="FD32" t="n">
        <v>307.8516260162602</v>
      </c>
      <c r="FE32" t="n">
        <v>238.0974093919224</v>
      </c>
      <c r="FF32" t="inlineStr">
        <is>
          <t>pequeña (&lt;120 mm)</t>
        </is>
      </c>
      <c r="FG32" t="n">
        <v>7.526315789473684</v>
      </c>
      <c r="FH32" t="inlineStr">
        <is>
          <t>Chancado</t>
        </is>
      </c>
      <c r="FI32" t="inlineStr">
        <is>
          <t>dudosa: muestras del acopio de la chancadora secundaria; hojas de Fase A dicen «Material Chancado»</t>
        </is>
      </c>
      <c r="FJ32" t="n">
        <v>0</v>
      </c>
      <c r="FK32" t="inlineStr"/>
      <c r="FL32" t="inlineStr"/>
      <c r="FM32" t="inlineStr">
        <is>
          <t>A</t>
        </is>
      </c>
      <c r="FN32" t="n">
        <v>0.417</v>
      </c>
      <c r="FO32" t="inlineStr"/>
      <c r="FP32" t="n">
        <v>3.338</v>
      </c>
      <c r="FQ32" t="inlineStr">
        <is>
          <t>informe o verificación</t>
        </is>
      </c>
      <c r="FR32" t="inlineStr">
        <is>
          <t>G2010-030</t>
        </is>
      </c>
      <c r="FS32" t="inlineStr">
        <is>
          <t>G2010|G2010-B-EXO-2.8in</t>
        </is>
      </c>
    </row>
    <row r="33">
      <c r="A33" t="inlineStr">
        <is>
          <t>G2010</t>
        </is>
      </c>
      <c r="B33" t="inlineStr">
        <is>
          <t>2010_Golder_Caracterizacion ROM IPCC.pdf</t>
        </is>
      </c>
      <c r="C33" t="n">
        <v>2010</v>
      </c>
      <c r="D33" t="inlineStr">
        <is>
          <t>Golder Associates Perú, Memorando técnico 'Caracterización material de ROM – Proyecto IPCC' (proy. 099-4151017, 25-mar-2010)</t>
        </is>
      </c>
      <c r="E33" t="inlineStr">
        <is>
          <t>Golder Associates Perú – Laboratorio de Mecánica de Suelos (Lima)</t>
        </is>
      </c>
      <c r="F33" t="inlineStr">
        <is>
          <t>G2010-B-EXO-2.8in</t>
        </is>
      </c>
      <c r="G33" t="inlineStr">
        <is>
          <t>GL-484-09 Prueba Nº 2 (σ3c=784 kPa)</t>
        </is>
      </c>
      <c r="H33" t="inlineStr">
        <is>
          <t>Exoskarn Diopsido</t>
        </is>
      </c>
      <c r="I33" t="inlineStr">
        <is>
          <t>Skarn</t>
        </is>
      </c>
      <c r="J33" t="inlineStr">
        <is>
          <t>exoskarn diópsido</t>
        </is>
      </c>
      <c r="K33" t="inlineStr"/>
      <c r="L33" t="inlineStr"/>
      <c r="M33" t="inlineStr">
        <is>
          <t>Chancado</t>
        </is>
      </c>
      <c r="N33" t="inlineStr"/>
      <c r="O33" t="inlineStr">
        <is>
          <t>CU</t>
        </is>
      </c>
      <c r="P33" t="inlineStr">
        <is>
          <t>sí</t>
        </is>
      </c>
      <c r="Q33" t="n">
        <v>71.5</v>
      </c>
      <c r="R33" t="n">
        <v>142.4</v>
      </c>
      <c r="S33" t="n">
        <v>9.5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Truncado: se ensayó la fracción &lt; 3/8" de la matriz; TM de terreno 19" (Fase A, Tabla 2); Fase B chancada, TM 9"–12" según texto pág. 2</t>
        </is>
      </c>
      <c r="AD33" t="n">
        <v>3.338</v>
      </c>
      <c r="AE33" t="n">
        <v>23.12</v>
      </c>
      <c r="AF33" t="n">
        <v>0.416</v>
      </c>
      <c r="AG33" t="inlineStr">
        <is>
          <t>informe</t>
        </is>
      </c>
      <c r="AH33" t="inlineStr"/>
      <c r="AI33" t="n">
        <v>6.2</v>
      </c>
      <c r="AJ33" t="n">
        <v>97.40000000000001</v>
      </c>
      <c r="AK33" t="n">
        <v>309</v>
      </c>
      <c r="AL33" t="n">
        <v>1168</v>
      </c>
      <c r="AM33" t="n">
        <v>859</v>
      </c>
      <c r="AN33" t="inlineStr">
        <is>
          <t>Esfuerzo desviador máximo (criterio impreso en la hoja Golder)</t>
        </is>
      </c>
      <c r="AO33" t="inlineStr"/>
      <c r="AP33" t="n">
        <v>1</v>
      </c>
      <c r="AQ33" t="inlineStr"/>
      <c r="AR33" t="n">
        <v>475</v>
      </c>
      <c r="AS33" t="n">
        <v>595.3</v>
      </c>
      <c r="AT33" t="n">
        <v>859</v>
      </c>
      <c r="AU33" t="inlineStr"/>
      <c r="AV33" t="inlineStr"/>
      <c r="AW33" t="inlineStr"/>
      <c r="AX33" t="inlineStr"/>
      <c r="AY33" t="inlineStr"/>
      <c r="AZ33" t="inlineStr"/>
      <c r="BA33" t="inlineStr">
        <is>
          <t>132;134;8;10;49</t>
        </is>
      </c>
      <c r="BB33" t="inlineStr">
        <is>
          <t>sí</t>
        </is>
      </c>
      <c r="BC33" t="inlineStr">
        <is>
          <t>Fase B (material chancado = Chancado). Probeta remoldeada a la densidad de campo δ=2.357 g/cm3 y 6 % de humedad (solicitado por el cliente). Diámetro nominal 2.8". Inicial: S=49.3 %; final (post-consolidación): gd=2.442 g/cm3, e=0.367. Velocidad 0.125 %/min. Hoja da σ1, σ1', σ3, σ3' en la falla; σ3'f=309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124.78 MPa; Los Ángeles 27.6 %; durabilidad (sulfato de magnesio, pérdida corregida) 6.7 %. Envolvente de la hoja Golder (Mohr máximo, pág. 134): total c=102 kPa φ=16°, efectiva c'=0 kPa φ'=37°. Granulometría de la fracción ensayada no informada (solo granulometría de terreno, ver resumen). Saturación final ≈100 %; el parámetro B no figura en la hoja. SUCS informado por el cliente. VERIFICACIÓN 2026-10-06 (imagen p.132): σ'3c=784; en la falla σ1=1643, σ1'=1168, σ3=784, σ3'=309 kPa (impresos); Δu=475 kPa; q=σ'1−σ'3=859 kPa. Tras consolidar: γd=2.442 g/cm3, e=0.367, S=101.6 %. La hoja Golder no tabula la curva (solo gráficos): máxima oblicuidad no informada; el estado de «máximo desviador» es el impreso. Remoldeado a la densidad de campo δ=2.357 gr/cm3 y 6% de humedad, solicitado por el cliente; material &lt;3/8".</t>
        </is>
      </c>
      <c r="BD33" t="n">
        <v>784</v>
      </c>
      <c r="BE33" t="n">
        <v>309</v>
      </c>
      <c r="BF33" t="n">
        <v>1168</v>
      </c>
      <c r="BG33" t="n">
        <v>1</v>
      </c>
      <c r="BH33" t="n">
        <v>309</v>
      </c>
      <c r="BI33" t="n">
        <v>1168</v>
      </c>
      <c r="BJ33" t="n">
        <v>859</v>
      </c>
      <c r="BK33" t="n">
        <v>475</v>
      </c>
      <c r="BL33" t="inlineStr">
        <is>
          <t>no informado</t>
        </is>
      </c>
      <c r="BM33" t="inlineStr">
        <is>
          <t>no informado</t>
        </is>
      </c>
      <c r="BN33" t="inlineStr">
        <is>
          <t>no informado</t>
        </is>
      </c>
      <c r="BO33" t="inlineStr">
        <is>
          <t>no informado</t>
        </is>
      </c>
      <c r="BP33" t="inlineStr">
        <is>
          <t>no informado</t>
        </is>
      </c>
      <c r="BQ33" t="inlineStr">
        <is>
          <t>no informado</t>
        </is>
      </c>
      <c r="BR33" t="inlineStr">
        <is>
          <t>no informado</t>
        </is>
      </c>
      <c r="BS33" t="inlineStr">
        <is>
          <t>no informado</t>
        </is>
      </c>
      <c r="BT33" t="n">
        <v>0.125</v>
      </c>
      <c r="BU33" t="n">
        <v>23.96</v>
      </c>
      <c r="BV33" t="n">
        <v>0.367</v>
      </c>
      <c r="BW33" t="inlineStr">
        <is>
          <t>101.6</t>
        </is>
      </c>
      <c r="BX33" t="inlineStr">
        <is>
          <t>3.338 (D854, «G. Específica Promedio» de la hoja y p.49); e0 recalculado = 0.416</t>
        </is>
      </c>
      <c r="BY33" t="inlineStr">
        <is>
          <t>verificado en imagen; esfuerzos separados (consolidación / falla)</t>
        </is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Triaxial CU</t>
        </is>
      </c>
      <c r="EY33" t="inlineStr">
        <is>
          <t>CU: máximo desviador (la fuente no permite máxima oblicuidad)</t>
        </is>
      </c>
      <c r="EZ33" t="n">
        <v>309</v>
      </c>
      <c r="FA33" t="n">
        <v>1168</v>
      </c>
      <c r="FB33" t="n">
        <v>859</v>
      </c>
      <c r="FC33" t="n">
        <v>35.56205065234475</v>
      </c>
      <c r="FD33" t="n">
        <v>488.7095463777928</v>
      </c>
      <c r="FE33" t="n">
        <v>349.3922999712672</v>
      </c>
      <c r="FF33" t="inlineStr">
        <is>
          <t>pequeña (&lt;120 mm)</t>
        </is>
      </c>
      <c r="FG33" t="n">
        <v>7.526315789473684</v>
      </c>
      <c r="FH33" t="inlineStr">
        <is>
          <t>Chancado</t>
        </is>
      </c>
      <c r="FI33" t="inlineStr">
        <is>
          <t>dudosa: muestras del acopio de la chancadora secundaria; hojas de Fase A dicen «Material Chancado»</t>
        </is>
      </c>
      <c r="FJ33" t="n">
        <v>0</v>
      </c>
      <c r="FK33" t="inlineStr"/>
      <c r="FL33" t="inlineStr"/>
      <c r="FM33" t="inlineStr">
        <is>
          <t>A</t>
        </is>
      </c>
      <c r="FN33" t="n">
        <v>0.416</v>
      </c>
      <c r="FO33" t="inlineStr"/>
      <c r="FP33" t="n">
        <v>3.338</v>
      </c>
      <c r="FQ33" t="inlineStr">
        <is>
          <t>informe o verificación</t>
        </is>
      </c>
      <c r="FR33" t="inlineStr">
        <is>
          <t>G2010-031</t>
        </is>
      </c>
      <c r="FS33" t="inlineStr">
        <is>
          <t>G2010|G2010-B-EXO-2.8in</t>
        </is>
      </c>
    </row>
    <row r="34">
      <c r="A34" t="inlineStr">
        <is>
          <t>G2010</t>
        </is>
      </c>
      <c r="B34" t="inlineStr">
        <is>
          <t>2010_Golder_Caracterizacion ROM IPCC.pdf</t>
        </is>
      </c>
      <c r="C34" t="n">
        <v>2010</v>
      </c>
      <c r="D34" t="inlineStr">
        <is>
          <t>Golder Associates Perú, Memorando técnico 'Caracterización material de ROM – Proyecto IPCC' (proy. 099-4151017, 25-mar-2010)</t>
        </is>
      </c>
      <c r="E34" t="inlineStr">
        <is>
          <t>Golder Associates Perú – Laboratorio de Mecánica de Suelos (Lima)</t>
        </is>
      </c>
      <c r="F34" t="inlineStr">
        <is>
          <t>G2010-B-EXO-2.8in</t>
        </is>
      </c>
      <c r="G34" t="inlineStr">
        <is>
          <t>GL-484-09 Prueba Nº 3 (σ3c=1568 kPa)</t>
        </is>
      </c>
      <c r="H34" t="inlineStr">
        <is>
          <t>Exoskarn Diopsido</t>
        </is>
      </c>
      <c r="I34" t="inlineStr">
        <is>
          <t>Skarn</t>
        </is>
      </c>
      <c r="J34" t="inlineStr">
        <is>
          <t>exoskarn diópsido</t>
        </is>
      </c>
      <c r="K34" t="inlineStr"/>
      <c r="L34" t="inlineStr"/>
      <c r="M34" t="inlineStr">
        <is>
          <t>Chancado</t>
        </is>
      </c>
      <c r="N34" t="inlineStr"/>
      <c r="O34" t="inlineStr">
        <is>
          <t>CU</t>
        </is>
      </c>
      <c r="P34" t="inlineStr">
        <is>
          <t>sí</t>
        </is>
      </c>
      <c r="Q34" t="n">
        <v>71.5</v>
      </c>
      <c r="R34" t="n">
        <v>142.4</v>
      </c>
      <c r="S34" t="n">
        <v>9.5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Truncado: se ensayó la fracción &lt; 3/8" de la matriz; TM de terreno 19" (Fase A, Tabla 2); Fase B chancada, TM 9"–12" según texto pág. 2</t>
        </is>
      </c>
      <c r="AD34" t="n">
        <v>3.338</v>
      </c>
      <c r="AE34" t="n">
        <v>23.12</v>
      </c>
      <c r="AF34" t="n">
        <v>0.416</v>
      </c>
      <c r="AG34" t="inlineStr">
        <is>
          <t>informe</t>
        </is>
      </c>
      <c r="AH34" t="inlineStr"/>
      <c r="AI34" t="n">
        <v>6.2</v>
      </c>
      <c r="AJ34" t="n">
        <v>97.40000000000001</v>
      </c>
      <c r="AK34" t="n">
        <v>505</v>
      </c>
      <c r="AL34" t="n">
        <v>2018</v>
      </c>
      <c r="AM34" t="n">
        <v>1513</v>
      </c>
      <c r="AN34" t="inlineStr">
        <is>
          <t>Esfuerzo desviador máximo (criterio impreso en la hoja Golder)</t>
        </is>
      </c>
      <c r="AO34" t="inlineStr"/>
      <c r="AP34" t="n">
        <v>1.5</v>
      </c>
      <c r="AQ34" t="inlineStr"/>
      <c r="AR34" t="n">
        <v>1063</v>
      </c>
      <c r="AS34" t="n">
        <v>1009.3</v>
      </c>
      <c r="AT34" t="n">
        <v>1513</v>
      </c>
      <c r="AU34" t="inlineStr"/>
      <c r="AV34" t="inlineStr"/>
      <c r="AW34" t="inlineStr"/>
      <c r="AX34" t="inlineStr"/>
      <c r="AY34" t="inlineStr"/>
      <c r="AZ34" t="inlineStr"/>
      <c r="BA34" t="inlineStr">
        <is>
          <t>132;134;8;10;49</t>
        </is>
      </c>
      <c r="BB34" t="inlineStr">
        <is>
          <t>sí</t>
        </is>
      </c>
      <c r="BC34" t="inlineStr">
        <is>
          <t>Fase B (material chancado = Chancado). Probeta remoldeada a la densidad de campo δ=2.357 g/cm3 y 6 % de humedad (solicitado por el cliente). Diámetro nominal 2.8". Inicial: S=49.4 %; final (post-consolidación): gd=2.476 g/cm3, e=0.348. Velocidad 0.125 %/min. Hoja da σ1, σ1', σ3, σ3' en la falla; σ3'f=505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124.78 MPa; Los Ángeles 27.6 %; durabilidad (sulfato de magnesio, pérdida corregida) 6.7 %. Envolvente de la hoja Golder (Mohr máximo, pág. 134): total c=102 kPa φ=16°, efectiva c'=0 kPa φ'=37°. Granulometría de la fracción ensayada no informada (solo granulometría de terreno, ver resumen). Saturación final ≈100 %; el parámetro B no figura en la hoja. SUCS informado por el cliente. VERIFICACIÓN 2026-10-06 (imagen p.132): σ'3c=1568; en la falla σ1=3080, σ1'=2018, σ3=1568, σ3'=505 kPa (impresos); Δu=1063 kPa; q=σ'1−σ'3=1513 kPa. En la hoja σ1−σ3 (totales) = 1512 kPa y σ1'−σ3' = 1513 kPa (diferencia de redondeo de la hoja); se adopta el valor efectivo. Tras consolidar: γd=2.476 g/cm3, e=0.348, S=101.8 %. La hoja Golder no tabula la curva (solo gráficos): máxima oblicuidad no informada; el estado de «máximo desviador» es el impreso. Remoldeado a la densidad de campo δ=2.357 gr/cm3 y 6% de humedad, solicitado por el cliente; material &lt;3/8".</t>
        </is>
      </c>
      <c r="BD34" t="n">
        <v>1568</v>
      </c>
      <c r="BE34" t="n">
        <v>505</v>
      </c>
      <c r="BF34" t="n">
        <v>2018</v>
      </c>
      <c r="BG34" t="n">
        <v>1.5</v>
      </c>
      <c r="BH34" t="n">
        <v>505</v>
      </c>
      <c r="BI34" t="n">
        <v>2018</v>
      </c>
      <c r="BJ34" t="n">
        <v>1513</v>
      </c>
      <c r="BK34" t="n">
        <v>1063</v>
      </c>
      <c r="BL34" t="inlineStr">
        <is>
          <t>no informado</t>
        </is>
      </c>
      <c r="BM34" t="inlineStr">
        <is>
          <t>no informado</t>
        </is>
      </c>
      <c r="BN34" t="inlineStr">
        <is>
          <t>no informado</t>
        </is>
      </c>
      <c r="BO34" t="inlineStr">
        <is>
          <t>no informado</t>
        </is>
      </c>
      <c r="BP34" t="inlineStr">
        <is>
          <t>no informado</t>
        </is>
      </c>
      <c r="BQ34" t="inlineStr">
        <is>
          <t>no informado</t>
        </is>
      </c>
      <c r="BR34" t="inlineStr">
        <is>
          <t>no informado</t>
        </is>
      </c>
      <c r="BS34" t="inlineStr">
        <is>
          <t>no informado</t>
        </is>
      </c>
      <c r="BT34" t="n">
        <v>0.125</v>
      </c>
      <c r="BU34" t="n">
        <v>24.29</v>
      </c>
      <c r="BV34" t="n">
        <v>0.348</v>
      </c>
      <c r="BW34" t="inlineStr">
        <is>
          <t>101.8</t>
        </is>
      </c>
      <c r="BX34" t="inlineStr">
        <is>
          <t>3.338 (D854, «G. Específica Promedio» de la hoja y p.49); e0 recalculado = 0.416</t>
        </is>
      </c>
      <c r="BY34" t="inlineStr">
        <is>
          <t>verificado en imagen; esfuerzos separados (consolidación / falla)</t>
        </is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>
        <is>
          <t>Triaxial CU</t>
        </is>
      </c>
      <c r="EY34" t="inlineStr">
        <is>
          <t>CU: máximo desviador (la fuente no permite máxima oblicuidad)</t>
        </is>
      </c>
      <c r="EZ34" t="n">
        <v>505</v>
      </c>
      <c r="FA34" t="n">
        <v>2018</v>
      </c>
      <c r="FB34" t="n">
        <v>1513</v>
      </c>
      <c r="FC34" t="n">
        <v>36.84719163414238</v>
      </c>
      <c r="FD34" t="n">
        <v>807.8398731668649</v>
      </c>
      <c r="FE34" t="n">
        <v>605.3798306202013</v>
      </c>
      <c r="FF34" t="inlineStr">
        <is>
          <t>pequeña (&lt;120 mm)</t>
        </is>
      </c>
      <c r="FG34" t="n">
        <v>7.526315789473684</v>
      </c>
      <c r="FH34" t="inlineStr">
        <is>
          <t>Chancado</t>
        </is>
      </c>
      <c r="FI34" t="inlineStr">
        <is>
          <t>dudosa: muestras del acopio de la chancadora secundaria; hojas de Fase A dicen «Material Chancado»</t>
        </is>
      </c>
      <c r="FJ34" t="n">
        <v>0</v>
      </c>
      <c r="FK34" t="inlineStr"/>
      <c r="FL34" t="inlineStr"/>
      <c r="FM34" t="inlineStr">
        <is>
          <t>A</t>
        </is>
      </c>
      <c r="FN34" t="n">
        <v>0.416</v>
      </c>
      <c r="FO34" t="inlineStr"/>
      <c r="FP34" t="n">
        <v>3.338</v>
      </c>
      <c r="FQ34" t="inlineStr">
        <is>
          <t>informe o verificación</t>
        </is>
      </c>
      <c r="FR34" t="inlineStr">
        <is>
          <t>G2010-032</t>
        </is>
      </c>
      <c r="FS34" t="inlineStr">
        <is>
          <t>G2010|G2010-B-EXO-2.8in</t>
        </is>
      </c>
    </row>
    <row r="35">
      <c r="A35" t="inlineStr">
        <is>
          <t>G2010</t>
        </is>
      </c>
      <c r="B35" t="inlineStr">
        <is>
          <t>2010_Golder_Caracterizacion ROM IPCC.pdf</t>
        </is>
      </c>
      <c r="C35" t="n">
        <v>2010</v>
      </c>
      <c r="D35" t="inlineStr">
        <is>
          <t>Golder Associates Perú, Memorando técnico 'Caracterización material de ROM – Proyecto IPCC' (proy. 099-4151017, 25-mar-2010)</t>
        </is>
      </c>
      <c r="E35" t="inlineStr">
        <is>
          <t>Golder Associates Perú – Laboratorio de Mecánica de Suelos (Lima)</t>
        </is>
      </c>
      <c r="F35" t="inlineStr">
        <is>
          <t>G2010-B-MN-4in</t>
        </is>
      </c>
      <c r="G35" t="inlineStr">
        <is>
          <t>GL-481-09 Prueba Nº 1 (σ3c=392 kPa)</t>
        </is>
      </c>
      <c r="H35" t="inlineStr">
        <is>
          <t>Mármol Negro</t>
        </is>
      </c>
      <c r="I35" t="inlineStr">
        <is>
          <t>Mármol</t>
        </is>
      </c>
      <c r="J35" t="inlineStr">
        <is>
          <t>mármol negro</t>
        </is>
      </c>
      <c r="K35" t="inlineStr"/>
      <c r="L35" t="inlineStr"/>
      <c r="M35" t="inlineStr">
        <is>
          <t>Chancado</t>
        </is>
      </c>
      <c r="N35" t="inlineStr"/>
      <c r="O35" t="inlineStr">
        <is>
          <t>CU</t>
        </is>
      </c>
      <c r="P35" t="inlineStr">
        <is>
          <t>sí</t>
        </is>
      </c>
      <c r="Q35" t="n">
        <v>100.6</v>
      </c>
      <c r="R35" t="n">
        <v>200.9</v>
      </c>
      <c r="S35" t="n">
        <v>15.9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Truncado: se ensayó la fracción &lt; 5/8" de la matriz; TM de terreno 35" (Fase A, Tabla 2); Fase B chancada, TM 9"–12" según texto pág. 2</t>
        </is>
      </c>
      <c r="AD35" t="n">
        <v>2.747</v>
      </c>
      <c r="AE35" t="n">
        <v>17.9</v>
      </c>
      <c r="AF35" t="n">
        <v>0.505</v>
      </c>
      <c r="AG35" t="inlineStr">
        <is>
          <t>informe</t>
        </is>
      </c>
      <c r="AH35" t="inlineStr"/>
      <c r="AI35" t="n">
        <v>5</v>
      </c>
      <c r="AJ35" t="n">
        <v>49.6</v>
      </c>
      <c r="AK35" t="n">
        <v>127</v>
      </c>
      <c r="AL35" t="n">
        <v>424</v>
      </c>
      <c r="AM35" t="n">
        <v>297</v>
      </c>
      <c r="AN35" t="inlineStr">
        <is>
          <t>Esfuerzo desviador máximo (criterio impreso en la hoja Golder)</t>
        </is>
      </c>
      <c r="AO35" t="inlineStr"/>
      <c r="AP35" t="n">
        <v>1.2</v>
      </c>
      <c r="AQ35" t="inlineStr"/>
      <c r="AR35" t="n">
        <v>265</v>
      </c>
      <c r="AS35" t="n">
        <v>226</v>
      </c>
      <c r="AT35" t="n">
        <v>297</v>
      </c>
      <c r="AU35" t="inlineStr"/>
      <c r="AV35" t="inlineStr"/>
      <c r="AW35" t="inlineStr"/>
      <c r="AX35" t="inlineStr"/>
      <c r="AY35" t="inlineStr"/>
      <c r="AZ35" t="inlineStr"/>
      <c r="BA35" t="inlineStr">
        <is>
          <t>137;139;8;10;49</t>
        </is>
      </c>
      <c r="BB35" t="inlineStr">
        <is>
          <t>sí</t>
        </is>
      </c>
      <c r="BC35" t="inlineStr">
        <is>
          <t>Fase B (material chancado = Chancado). Probeta remoldeada a la densidad mínima δ=1.821 g/cm3 y 5 % de humedad (solicitado por el cliente). Diámetro nominal 4". Inicial: S=27.2 %; final (post-consolidación): gd=1.844 g/cm3, e=0.49. Velocidad 0.125 %/min. Hoja da σ1, σ1', σ3, σ3' en la falla; σ3'f=127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24.56 MPa; Los Ángeles 62.4 %; durabilidad (sulfato de magnesio, pérdida corregida) 49.8 %. Envolvente de la hoja Golder (Mohr máximo, pág. 139): total c=47 kPa φ=11°, efectiva c'=67 kPa φ'=16°. Granulometría de la fracción ensayada no informada (solo granulometría de terreno, ver resumen). Saturación final ≈100 %; el parámetro B no figura en la hoja. SUCS informado por el cliente. VERIFICACIÓN 2026-10-06 (imagen p.137): σ'3c=392; en la falla σ1=689, σ1'=424, σ3=392, σ3'=127 kPa (impresos); Δu=265 kPa; q=σ'1−σ'3=297 kPa. Tras consolidar: γd=1.844 g/cm3, e=0.49, S=100.0 %. La hoja Golder no tabula la curva (solo gráficos): máxima oblicuidad no informada; el estado de «máximo desviador» es el impreso. Remoldeado a la densidad mínima δ=1.821 gr/cm3 y 5% de humedad, solicitado por el cliente; material &lt;5/8".</t>
        </is>
      </c>
      <c r="BD35" t="n">
        <v>392</v>
      </c>
      <c r="BE35" t="n">
        <v>127</v>
      </c>
      <c r="BF35" t="n">
        <v>424</v>
      </c>
      <c r="BG35" t="n">
        <v>1.2</v>
      </c>
      <c r="BH35" t="n">
        <v>127</v>
      </c>
      <c r="BI35" t="n">
        <v>424</v>
      </c>
      <c r="BJ35" t="n">
        <v>297</v>
      </c>
      <c r="BK35" t="n">
        <v>265</v>
      </c>
      <c r="BL35" t="inlineStr">
        <is>
          <t>no informado</t>
        </is>
      </c>
      <c r="BM35" t="inlineStr">
        <is>
          <t>no informado</t>
        </is>
      </c>
      <c r="BN35" t="inlineStr">
        <is>
          <t>no informado</t>
        </is>
      </c>
      <c r="BO35" t="inlineStr">
        <is>
          <t>no informado</t>
        </is>
      </c>
      <c r="BP35" t="inlineStr">
        <is>
          <t>no informado</t>
        </is>
      </c>
      <c r="BQ35" t="inlineStr">
        <is>
          <t>no informado</t>
        </is>
      </c>
      <c r="BR35" t="inlineStr">
        <is>
          <t>no informado</t>
        </is>
      </c>
      <c r="BS35" t="inlineStr">
        <is>
          <t>no informado</t>
        </is>
      </c>
      <c r="BT35" t="n">
        <v>0.125</v>
      </c>
      <c r="BU35" t="n">
        <v>18.09</v>
      </c>
      <c r="BV35" t="n">
        <v>0.49</v>
      </c>
      <c r="BW35" t="inlineStr">
        <is>
          <t>100.0</t>
        </is>
      </c>
      <c r="BX35" t="inlineStr">
        <is>
          <t>2.747 (D854, «G. Específica Promedio» de la hoja y p.49); e0 recalculado = 0.505</t>
        </is>
      </c>
      <c r="BY35" t="inlineStr">
        <is>
          <t>verificado en imagen; esfuerzos separados (consolidación / falla)</t>
        </is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Triaxial CU</t>
        </is>
      </c>
      <c r="EY35" t="inlineStr">
        <is>
          <t>CU: máximo desviador (la fuente no permite máxima oblicuidad)</t>
        </is>
      </c>
      <c r="EZ35" t="n">
        <v>127</v>
      </c>
      <c r="FA35" t="n">
        <v>424</v>
      </c>
      <c r="FB35" t="n">
        <v>297</v>
      </c>
      <c r="FC35" t="n">
        <v>32.61694842154067</v>
      </c>
      <c r="FD35" t="n">
        <v>195.4555353901996</v>
      </c>
      <c r="FE35" t="n">
        <v>125.0805088146447</v>
      </c>
      <c r="FF35" t="inlineStr">
        <is>
          <t>pequeña (&lt;120 mm)</t>
        </is>
      </c>
      <c r="FG35" t="n">
        <v>6.327044025157233</v>
      </c>
      <c r="FH35" t="inlineStr">
        <is>
          <t>Chancado</t>
        </is>
      </c>
      <c r="FI35" t="inlineStr">
        <is>
          <t>dudosa: muestras del acopio de la chancadora secundaria; hojas de Fase A dicen «Material Chancado»</t>
        </is>
      </c>
      <c r="FJ35" t="n">
        <v>0</v>
      </c>
      <c r="FK35" t="inlineStr"/>
      <c r="FL35" t="inlineStr"/>
      <c r="FM35" t="inlineStr">
        <is>
          <t>A</t>
        </is>
      </c>
      <c r="FN35" t="n">
        <v>0.505</v>
      </c>
      <c r="FO35" t="inlineStr"/>
      <c r="FP35" t="n">
        <v>2.747</v>
      </c>
      <c r="FQ35" t="inlineStr">
        <is>
          <t>informe o verificación</t>
        </is>
      </c>
      <c r="FR35" t="inlineStr">
        <is>
          <t>G2010-033</t>
        </is>
      </c>
      <c r="FS35" t="inlineStr">
        <is>
          <t>G2010|G2010-B-MN-4in</t>
        </is>
      </c>
    </row>
    <row r="36">
      <c r="A36" t="inlineStr">
        <is>
          <t>G2010</t>
        </is>
      </c>
      <c r="B36" t="inlineStr">
        <is>
          <t>2010_Golder_Caracterizacion ROM IPCC.pdf</t>
        </is>
      </c>
      <c r="C36" t="n">
        <v>2010</v>
      </c>
      <c r="D36" t="inlineStr">
        <is>
          <t>Golder Associates Perú, Memorando técnico 'Caracterización material de ROM – Proyecto IPCC' (proy. 099-4151017, 25-mar-2010)</t>
        </is>
      </c>
      <c r="E36" t="inlineStr">
        <is>
          <t>Golder Associates Perú – Laboratorio de Mecánica de Suelos (Lima)</t>
        </is>
      </c>
      <c r="F36" t="inlineStr">
        <is>
          <t>G2010-B-MN-4in</t>
        </is>
      </c>
      <c r="G36" t="inlineStr">
        <is>
          <t>GL-481-09 Prueba Nº 2 (σ3c=550 kPa)</t>
        </is>
      </c>
      <c r="H36" t="inlineStr">
        <is>
          <t>Mármol Negro</t>
        </is>
      </c>
      <c r="I36" t="inlineStr">
        <is>
          <t>Mármol</t>
        </is>
      </c>
      <c r="J36" t="inlineStr">
        <is>
          <t>mármol negro</t>
        </is>
      </c>
      <c r="K36" t="inlineStr"/>
      <c r="L36" t="inlineStr"/>
      <c r="M36" t="inlineStr">
        <is>
          <t>Chancado</t>
        </is>
      </c>
      <c r="N36" t="inlineStr"/>
      <c r="O36" t="inlineStr">
        <is>
          <t>CU</t>
        </is>
      </c>
      <c r="P36" t="inlineStr">
        <is>
          <t>sí</t>
        </is>
      </c>
      <c r="Q36" t="n">
        <v>100.4</v>
      </c>
      <c r="R36" t="n">
        <v>201.9</v>
      </c>
      <c r="S36" t="n">
        <v>15.9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Truncado: se ensayó la fracción &lt; 5/8" de la matriz; TM de terreno 35" (Fase A, Tabla 2); Fase B chancada, TM 9"–12" según texto pág. 2</t>
        </is>
      </c>
      <c r="AD36" t="n">
        <v>2.747</v>
      </c>
      <c r="AE36" t="n">
        <v>17.89</v>
      </c>
      <c r="AF36" t="n">
        <v>0.506</v>
      </c>
      <c r="AG36" t="inlineStr">
        <is>
          <t>informe</t>
        </is>
      </c>
      <c r="AH36" t="inlineStr"/>
      <c r="AI36" t="n">
        <v>5</v>
      </c>
      <c r="AJ36" t="n">
        <v>49.6</v>
      </c>
      <c r="AK36" t="n">
        <v>254</v>
      </c>
      <c r="AL36" t="n">
        <v>599</v>
      </c>
      <c r="AM36" t="n">
        <v>345</v>
      </c>
      <c r="AN36" t="inlineStr">
        <is>
          <t>Esfuerzo desviador máximo (criterio impreso en la hoja Golder)</t>
        </is>
      </c>
      <c r="AO36" t="inlineStr"/>
      <c r="AP36" t="n">
        <v>0.5</v>
      </c>
      <c r="AQ36" t="inlineStr"/>
      <c r="AR36" t="n">
        <v>296</v>
      </c>
      <c r="AS36" t="n">
        <v>369</v>
      </c>
      <c r="AT36" t="n">
        <v>345</v>
      </c>
      <c r="AU36" t="inlineStr"/>
      <c r="AV36" t="inlineStr"/>
      <c r="AW36" t="inlineStr"/>
      <c r="AX36" t="inlineStr"/>
      <c r="AY36" t="inlineStr"/>
      <c r="AZ36" t="inlineStr"/>
      <c r="BA36" t="inlineStr">
        <is>
          <t>137;139;8;10;49</t>
        </is>
      </c>
      <c r="BB36" t="inlineStr">
        <is>
          <t>sí</t>
        </is>
      </c>
      <c r="BC36" t="inlineStr">
        <is>
          <t>Fase B (material chancado = Chancado). Probeta remoldeada a la densidad mínima δ=1.821 g/cm3 y 5 % de humedad (solicitado por el cliente). Diámetro nominal 4". Inicial: S=27.2 %; final (post-consolidación): gd=1.905 g/cm3, e=0.442. Velocidad 0.125 %/min. Hoja da σ1, σ1', σ3, σ3' en la falla; σ3'f=254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24.56 MPa; Los Ángeles 62.4 %; durabilidad (sulfato de magnesio, pérdida corregida) 49.8 %. Envolvente de la hoja Golder (Mohr máximo, pág. 139): total c=47 kPa φ=11°, efectiva c'=67 kPa φ'=16°. Granulometría de la fracción ensayada no informada (solo granulometría de terreno, ver resumen). Saturación final ≈100 %; el parámetro B no figura en la hoja. SUCS informado por el cliente. VERIFICACIÓN 2026-10-06 (imagen p.137): σ'3c=550; en la falla σ1=895, σ1'=599, σ3=550, σ3'=254 kPa (impresos); Δu=296 kPa; q=σ'1−σ'3=345 kPa. Tras consolidar: γd=1.905 g/cm3, e=0.442, S=100.0 %. La hoja Golder no tabula la curva (solo gráficos): máxima oblicuidad no informada; el estado de «máximo desviador» es el impreso. Remoldeado a la densidad mínima δ=1.821 gr/cm3 y 5% de humedad, solicitado por el cliente; material &lt;5/8".</t>
        </is>
      </c>
      <c r="BD36" t="n">
        <v>550</v>
      </c>
      <c r="BE36" t="n">
        <v>254</v>
      </c>
      <c r="BF36" t="n">
        <v>599</v>
      </c>
      <c r="BG36" t="n">
        <v>0.5</v>
      </c>
      <c r="BH36" t="n">
        <v>254</v>
      </c>
      <c r="BI36" t="n">
        <v>599</v>
      </c>
      <c r="BJ36" t="n">
        <v>345</v>
      </c>
      <c r="BK36" t="n">
        <v>296</v>
      </c>
      <c r="BL36" t="inlineStr">
        <is>
          <t>no informado</t>
        </is>
      </c>
      <c r="BM36" t="inlineStr">
        <is>
          <t>no informado</t>
        </is>
      </c>
      <c r="BN36" t="inlineStr">
        <is>
          <t>no informado</t>
        </is>
      </c>
      <c r="BO36" t="inlineStr">
        <is>
          <t>no informado</t>
        </is>
      </c>
      <c r="BP36" t="inlineStr">
        <is>
          <t>no informado</t>
        </is>
      </c>
      <c r="BQ36" t="inlineStr">
        <is>
          <t>no informado</t>
        </is>
      </c>
      <c r="BR36" t="inlineStr">
        <is>
          <t>no informado</t>
        </is>
      </c>
      <c r="BS36" t="inlineStr">
        <is>
          <t>no informado</t>
        </is>
      </c>
      <c r="BT36" t="n">
        <v>0.125</v>
      </c>
      <c r="BU36" t="n">
        <v>18.69</v>
      </c>
      <c r="BV36" t="n">
        <v>0.442</v>
      </c>
      <c r="BW36" t="inlineStr">
        <is>
          <t>100.0</t>
        </is>
      </c>
      <c r="BX36" t="inlineStr">
        <is>
          <t>2.747 (D854, «G. Específica Promedio» de la hoja y p.49); e0 recalculado = 0.506</t>
        </is>
      </c>
      <c r="BY36" t="inlineStr">
        <is>
          <t>verificado en imagen; esfuerzos separados (consolidación / falla)</t>
        </is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>
        <is>
          <t>Triaxial CU</t>
        </is>
      </c>
      <c r="EY36" t="inlineStr">
        <is>
          <t>CU: máximo desviador (la fuente no permite máxima oblicuidad)</t>
        </is>
      </c>
      <c r="EZ36" t="n">
        <v>254</v>
      </c>
      <c r="FA36" t="n">
        <v>599</v>
      </c>
      <c r="FB36" t="n">
        <v>345</v>
      </c>
      <c r="FC36" t="n">
        <v>23.85697070092396</v>
      </c>
      <c r="FD36" t="n">
        <v>356.7315357561548</v>
      </c>
      <c r="FE36" t="n">
        <v>157.7612480841074</v>
      </c>
      <c r="FF36" t="inlineStr">
        <is>
          <t>pequeña (&lt;120 mm)</t>
        </is>
      </c>
      <c r="FG36" t="n">
        <v>6.314465408805032</v>
      </c>
      <c r="FH36" t="inlineStr">
        <is>
          <t>Chancado</t>
        </is>
      </c>
      <c r="FI36" t="inlineStr">
        <is>
          <t>dudosa: muestras del acopio de la chancadora secundaria; hojas de Fase A dicen «Material Chancado»</t>
        </is>
      </c>
      <c r="FJ36" t="n">
        <v>0</v>
      </c>
      <c r="FK36" t="inlineStr"/>
      <c r="FL36" t="inlineStr"/>
      <c r="FM36" t="inlineStr">
        <is>
          <t>A</t>
        </is>
      </c>
      <c r="FN36" t="n">
        <v>0.506</v>
      </c>
      <c r="FO36" t="inlineStr"/>
      <c r="FP36" t="n">
        <v>2.747</v>
      </c>
      <c r="FQ36" t="inlineStr">
        <is>
          <t>informe o verificación</t>
        </is>
      </c>
      <c r="FR36" t="inlineStr">
        <is>
          <t>G2010-034</t>
        </is>
      </c>
      <c r="FS36" t="inlineStr">
        <is>
          <t>G2010|G2010-B-MN-4in</t>
        </is>
      </c>
    </row>
    <row r="37">
      <c r="A37" t="inlineStr">
        <is>
          <t>G2010</t>
        </is>
      </c>
      <c r="B37" t="inlineStr">
        <is>
          <t>2010_Golder_Caracterizacion ROM IPCC.pdf</t>
        </is>
      </c>
      <c r="C37" t="n">
        <v>2010</v>
      </c>
      <c r="D37" t="inlineStr">
        <is>
          <t>Golder Associates Perú, Memorando técnico 'Caracterización material de ROM – Proyecto IPCC' (proy. 099-4151017, 25-mar-2010)</t>
        </is>
      </c>
      <c r="E37" t="inlineStr">
        <is>
          <t>Golder Associates Perú – Laboratorio de Mecánica de Suelos (Lima)</t>
        </is>
      </c>
      <c r="F37" t="inlineStr">
        <is>
          <t>G2010-B-MN-4in</t>
        </is>
      </c>
      <c r="G37" t="inlineStr">
        <is>
          <t>GL-481-09 Prueba Nº 3 (σ3c=785 kPa)</t>
        </is>
      </c>
      <c r="H37" t="inlineStr">
        <is>
          <t>Mármol Negro</t>
        </is>
      </c>
      <c r="I37" t="inlineStr">
        <is>
          <t>Mármol</t>
        </is>
      </c>
      <c r="J37" t="inlineStr">
        <is>
          <t>mármol negro</t>
        </is>
      </c>
      <c r="K37" t="inlineStr"/>
      <c r="L37" t="inlineStr"/>
      <c r="M37" t="inlineStr">
        <is>
          <t>Chancado</t>
        </is>
      </c>
      <c r="N37" t="inlineStr"/>
      <c r="O37" t="inlineStr">
        <is>
          <t>CU</t>
        </is>
      </c>
      <c r="P37" t="inlineStr">
        <is>
          <t>sí</t>
        </is>
      </c>
      <c r="Q37" t="n">
        <v>100.6</v>
      </c>
      <c r="R37" t="n">
        <v>213.1</v>
      </c>
      <c r="S37" t="n">
        <v>15.9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Truncado: se ensayó la fracción &lt; 5/8" de la matriz; TM de terreno 35" (Fase A, Tabla 2); Fase B chancada, TM 9"–12" según texto pág. 2</t>
        </is>
      </c>
      <c r="AD37" t="n">
        <v>2.747</v>
      </c>
      <c r="AE37" t="n">
        <v>16.89</v>
      </c>
      <c r="AF37" t="n">
        <v>0.595</v>
      </c>
      <c r="AG37" t="inlineStr">
        <is>
          <t>informe</t>
        </is>
      </c>
      <c r="AH37" t="inlineStr"/>
      <c r="AI37" t="n">
        <v>5</v>
      </c>
      <c r="AJ37" t="n">
        <v>49.6</v>
      </c>
      <c r="AK37" t="n">
        <v>348</v>
      </c>
      <c r="AL37" t="n">
        <v>817</v>
      </c>
      <c r="AM37" t="n">
        <v>469</v>
      </c>
      <c r="AN37" t="inlineStr">
        <is>
          <t>Esfuerzo desviador máximo (criterio impreso en la hoja Golder)</t>
        </is>
      </c>
      <c r="AO37" t="inlineStr"/>
      <c r="AP37" t="n">
        <v>0.5</v>
      </c>
      <c r="AQ37" t="inlineStr"/>
      <c r="AR37" t="n">
        <v>437</v>
      </c>
      <c r="AS37" t="n">
        <v>504.3</v>
      </c>
      <c r="AT37" t="n">
        <v>469</v>
      </c>
      <c r="AU37" t="inlineStr"/>
      <c r="AV37" t="inlineStr"/>
      <c r="AW37" t="inlineStr"/>
      <c r="AX37" t="inlineStr"/>
      <c r="AY37" t="inlineStr"/>
      <c r="AZ37" t="inlineStr"/>
      <c r="BA37" t="inlineStr">
        <is>
          <t>137;139;8;10;49</t>
        </is>
      </c>
      <c r="BB37" t="inlineStr">
        <is>
          <t>sí</t>
        </is>
      </c>
      <c r="BC37" t="inlineStr">
        <is>
          <t>Fase B (material chancado = Chancado). Probeta remoldeada a la densidad mínima δ=1.821 g/cm3 y 5 % de humedad (solicitado por el cliente). Diámetro nominal 4". Inicial: S=23.1 %; final (post-consolidación): gd=1.823 g/cm3, e=0.507. Velocidad 0.125 %/min. Hoja da σ1, σ1', σ3, σ3' en la falla; σ3'f=348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24.56 MPa; Los Ángeles 62.4 %; durabilidad (sulfato de magnesio, pérdida corregida) 49.8 %. Envolvente de la hoja Golder (Mohr máximo, pág. 139): total c=47 kPa φ=11°, efectiva c'=67 kPa φ'=16°. Granulometría de la fracción ensayada no informada (solo granulometría de terreno, ver resumen). Saturación final ≈100 %; el parámetro B no figura en la hoja. SUCS informado por el cliente. VERIFICACIÓN 2026-10-06 (imagen p.137): σ'3c=785; en la falla σ1=1254, σ1'=817, σ3=785, σ3'=348 kPa (impresos); Δu=437 kPa; q=σ'1−σ'3=469 kPa. Tras consolidar: γd=1.823 g/cm3, e=0.507, S=100.0 %. La hoja Golder no tabula la curva (solo gráficos): máxima oblicuidad no informada; el estado de «máximo desviador» es el impreso. Remoldeado a la densidad mínima δ=1.821 gr/cm3 y 5% de humedad, solicitado por el cliente; material &lt;5/8".</t>
        </is>
      </c>
      <c r="BD37" t="n">
        <v>785</v>
      </c>
      <c r="BE37" t="n">
        <v>348</v>
      </c>
      <c r="BF37" t="n">
        <v>817</v>
      </c>
      <c r="BG37" t="n">
        <v>0.5</v>
      </c>
      <c r="BH37" t="n">
        <v>348</v>
      </c>
      <c r="BI37" t="n">
        <v>817</v>
      </c>
      <c r="BJ37" t="n">
        <v>469</v>
      </c>
      <c r="BK37" t="n">
        <v>437</v>
      </c>
      <c r="BL37" t="inlineStr">
        <is>
          <t>no informado</t>
        </is>
      </c>
      <c r="BM37" t="inlineStr">
        <is>
          <t>no informado</t>
        </is>
      </c>
      <c r="BN37" t="inlineStr">
        <is>
          <t>no informado</t>
        </is>
      </c>
      <c r="BO37" t="inlineStr">
        <is>
          <t>no informado</t>
        </is>
      </c>
      <c r="BP37" t="inlineStr">
        <is>
          <t>no informado</t>
        </is>
      </c>
      <c r="BQ37" t="inlineStr">
        <is>
          <t>no informado</t>
        </is>
      </c>
      <c r="BR37" t="inlineStr">
        <is>
          <t>no informado</t>
        </is>
      </c>
      <c r="BS37" t="inlineStr">
        <is>
          <t>no informado</t>
        </is>
      </c>
      <c r="BT37" t="n">
        <v>0.125</v>
      </c>
      <c r="BU37" t="n">
        <v>17.88</v>
      </c>
      <c r="BV37" t="n">
        <v>0.507</v>
      </c>
      <c r="BW37" t="inlineStr">
        <is>
          <t>100.0</t>
        </is>
      </c>
      <c r="BX37" t="inlineStr">
        <is>
          <t>2.747 (D854, «G. Específica Promedio» de la hoja y p.49); e0 recalculado = 0.595</t>
        </is>
      </c>
      <c r="BY37" t="inlineStr">
        <is>
          <t>verificado en imagen; esfuerzos separados (consolidación / falla)</t>
        </is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>
        <is>
          <t>Triaxial CU</t>
        </is>
      </c>
      <c r="EY37" t="inlineStr">
        <is>
          <t>CU: máximo desviador (la fuente no permite máxima oblicuidad)</t>
        </is>
      </c>
      <c r="EZ37" t="n">
        <v>348</v>
      </c>
      <c r="FA37" t="n">
        <v>817</v>
      </c>
      <c r="FB37" t="n">
        <v>469</v>
      </c>
      <c r="FC37" t="n">
        <v>23.73925988415506</v>
      </c>
      <c r="FD37" t="n">
        <v>488.0961373390558</v>
      </c>
      <c r="FE37" t="n">
        <v>214.6582416649628</v>
      </c>
      <c r="FF37" t="inlineStr">
        <is>
          <t>pequeña (&lt;120 mm)</t>
        </is>
      </c>
      <c r="FG37" t="n">
        <v>6.327044025157233</v>
      </c>
      <c r="FH37" t="inlineStr">
        <is>
          <t>Chancado</t>
        </is>
      </c>
      <c r="FI37" t="inlineStr">
        <is>
          <t>dudosa: muestras del acopio de la chancadora secundaria; hojas de Fase A dicen «Material Chancado»</t>
        </is>
      </c>
      <c r="FJ37" t="n">
        <v>0</v>
      </c>
      <c r="FK37" t="inlineStr"/>
      <c r="FL37" t="inlineStr"/>
      <c r="FM37" t="inlineStr">
        <is>
          <t>A</t>
        </is>
      </c>
      <c r="FN37" t="n">
        <v>0.595</v>
      </c>
      <c r="FO37" t="inlineStr"/>
      <c r="FP37" t="n">
        <v>2.747</v>
      </c>
      <c r="FQ37" t="inlineStr">
        <is>
          <t>informe o verificación</t>
        </is>
      </c>
      <c r="FR37" t="inlineStr">
        <is>
          <t>G2010-035</t>
        </is>
      </c>
      <c r="FS37" t="inlineStr">
        <is>
          <t>G2010|G2010-B-MN-4in</t>
        </is>
      </c>
    </row>
    <row r="38">
      <c r="A38" t="inlineStr">
        <is>
          <t>G2010</t>
        </is>
      </c>
      <c r="B38" t="inlineStr">
        <is>
          <t>2010_Golder_Caracterizacion ROM IPCC.pdf</t>
        </is>
      </c>
      <c r="C38" t="n">
        <v>2010</v>
      </c>
      <c r="D38" t="inlineStr">
        <is>
          <t>Golder Associates Perú, Memorando técnico 'Caracterización material de ROM – Proyecto IPCC' (proy. 099-4151017, 25-mar-2010)</t>
        </is>
      </c>
      <c r="E38" t="inlineStr">
        <is>
          <t>Golder Associates Perú – Laboratorio de Mecánica de Suelos (Lima)</t>
        </is>
      </c>
      <c r="F38" t="inlineStr">
        <is>
          <t>G2010-B-HG-4in</t>
        </is>
      </c>
      <c r="G38" t="inlineStr">
        <is>
          <t>GL-482-09 Prueba Nº 1 (σ3c=393 kPa)</t>
        </is>
      </c>
      <c r="H38" t="inlineStr">
        <is>
          <t>Hornfels Gris</t>
        </is>
      </c>
      <c r="I38" t="inlineStr">
        <is>
          <t>Hornfels</t>
        </is>
      </c>
      <c r="J38" t="inlineStr">
        <is>
          <t>hornfels gris</t>
        </is>
      </c>
      <c r="K38" t="inlineStr"/>
      <c r="L38" t="inlineStr"/>
      <c r="M38" t="inlineStr">
        <is>
          <t>Chancado</t>
        </is>
      </c>
      <c r="N38" t="inlineStr"/>
      <c r="O38" t="inlineStr">
        <is>
          <t>CU</t>
        </is>
      </c>
      <c r="P38" t="inlineStr">
        <is>
          <t>sí</t>
        </is>
      </c>
      <c r="Q38" t="n">
        <v>100.6</v>
      </c>
      <c r="R38" t="n">
        <v>199.9</v>
      </c>
      <c r="S38" t="n">
        <v>15.9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Truncado: se ensayó la fracción &lt; 5/8" de la matriz; TM de terreno 35" (Fase A, Tabla 2); Fase B chancada, TM 9"–12" según texto pág. 2</t>
        </is>
      </c>
      <c r="AD38" t="n">
        <v>2.802</v>
      </c>
      <c r="AE38" t="n">
        <v>18.3</v>
      </c>
      <c r="AF38" t="n">
        <v>0.502</v>
      </c>
      <c r="AG38" t="inlineStr">
        <is>
          <t>informe</t>
        </is>
      </c>
      <c r="AH38" t="inlineStr"/>
      <c r="AI38" t="n">
        <v>5</v>
      </c>
      <c r="AJ38" t="n">
        <v>65.5</v>
      </c>
      <c r="AK38" t="n">
        <v>173</v>
      </c>
      <c r="AL38" t="n">
        <v>417</v>
      </c>
      <c r="AM38" t="n">
        <v>244</v>
      </c>
      <c r="AN38" t="inlineStr">
        <is>
          <t>Esfuerzo desviador máximo (criterio impreso en la hoja Golder)</t>
        </is>
      </c>
      <c r="AO38" t="inlineStr"/>
      <c r="AP38" t="n">
        <v>0.9</v>
      </c>
      <c r="AQ38" t="inlineStr"/>
      <c r="AR38" t="n">
        <v>220</v>
      </c>
      <c r="AS38" t="n">
        <v>254.3</v>
      </c>
      <c r="AT38" t="n">
        <v>244</v>
      </c>
      <c r="AU38" t="inlineStr"/>
      <c r="AV38" t="inlineStr"/>
      <c r="AW38" t="inlineStr"/>
      <c r="AX38" t="inlineStr"/>
      <c r="AY38" t="inlineStr"/>
      <c r="AZ38" t="inlineStr"/>
      <c r="BA38" t="inlineStr">
        <is>
          <t>142;144;8;10;49</t>
        </is>
      </c>
      <c r="BB38" t="inlineStr">
        <is>
          <t>sí</t>
        </is>
      </c>
      <c r="BC38" t="inlineStr">
        <is>
          <t>Fase B (material chancado = Chancado). Probeta remoldeada a la densidad mínima δ=1.861 g/cm3 y 5 % de humedad (solicitado por el cliente). Diámetro nominal 4". Inicial: S=27.9 %; final (post-consolidación): gd=1.92 g/cm3, e=0.459. Velocidad 0.125 %/min. Hoja da σ1, σ1', σ3, σ3' en la falla; σ3'f=173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100.42 MPa; Los Ángeles 20.3 %; durabilidad (sulfato de magnesio, pérdida corregida) 0.6 %. Envolvente de la hoja Golder (Mohr máximo, pág. 144): total c=0 kPa φ=15°, efectiva c'=22 kPa φ'=21°. Granulometría de la fracción ensayada no informada (solo granulometría de terreno, ver resumen). Saturación final ≈100 %; el parámetro B no figura en la hoja. SUCS informado por el cliente. VERIFICACIÓN 2026-10-06 (imagen p.142): σ'3c=393; en la falla σ1=637, σ1'=417, σ3=393, σ3'=173 kPa (impresos); Δu=220 kPa; q=σ'1−σ'3=244 kPa. Tras consolidar: γd=1.92 g/cm3, e=0.459, S=100.0 %. La hoja Golder no tabula la curva (solo gráficos): máxima oblicuidad no informada; el estado de «máximo desviador» es el impreso. Remoldeado a la densidad mínima δ=1.861 gr/cm3 y 5% de humedad, solicitado por el cliente; material &lt;5/8".</t>
        </is>
      </c>
      <c r="BD38" t="n">
        <v>393</v>
      </c>
      <c r="BE38" t="n">
        <v>173</v>
      </c>
      <c r="BF38" t="n">
        <v>417</v>
      </c>
      <c r="BG38" t="n">
        <v>0.9</v>
      </c>
      <c r="BH38" t="n">
        <v>173</v>
      </c>
      <c r="BI38" t="n">
        <v>417</v>
      </c>
      <c r="BJ38" t="n">
        <v>244</v>
      </c>
      <c r="BK38" t="n">
        <v>220</v>
      </c>
      <c r="BL38" t="inlineStr">
        <is>
          <t>no informado</t>
        </is>
      </c>
      <c r="BM38" t="inlineStr">
        <is>
          <t>no informado</t>
        </is>
      </c>
      <c r="BN38" t="inlineStr">
        <is>
          <t>no informado</t>
        </is>
      </c>
      <c r="BO38" t="inlineStr">
        <is>
          <t>no informado</t>
        </is>
      </c>
      <c r="BP38" t="inlineStr">
        <is>
          <t>no informado</t>
        </is>
      </c>
      <c r="BQ38" t="inlineStr">
        <is>
          <t>no informado</t>
        </is>
      </c>
      <c r="BR38" t="inlineStr">
        <is>
          <t>no informado</t>
        </is>
      </c>
      <c r="BS38" t="inlineStr">
        <is>
          <t>no informado</t>
        </is>
      </c>
      <c r="BT38" t="n">
        <v>0.125</v>
      </c>
      <c r="BU38" t="n">
        <v>18.84</v>
      </c>
      <c r="BV38" t="n">
        <v>0.459</v>
      </c>
      <c r="BW38" t="inlineStr">
        <is>
          <t>100.0</t>
        </is>
      </c>
      <c r="BX38" t="inlineStr">
        <is>
          <t>2.802 (D854, «G. Específica Promedio» de la hoja y p.49); e0 recalculado = 0.502</t>
        </is>
      </c>
      <c r="BY38" t="inlineStr">
        <is>
          <t>verificado en imagen; esfuerzos separados (consolidación / falla)</t>
        </is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>
        <is>
          <t>Triaxial CU</t>
        </is>
      </c>
      <c r="EY38" t="inlineStr">
        <is>
          <t>CU: máximo desviador (la fuente no permite máxima oblicuidad)</t>
        </is>
      </c>
      <c r="EZ38" t="n">
        <v>173</v>
      </c>
      <c r="FA38" t="n">
        <v>417</v>
      </c>
      <c r="FB38" t="n">
        <v>244</v>
      </c>
      <c r="FC38" t="n">
        <v>24.42862284611822</v>
      </c>
      <c r="FD38" t="n">
        <v>244.5457627118644</v>
      </c>
      <c r="FE38" t="n">
        <v>111.078215414511</v>
      </c>
      <c r="FF38" t="inlineStr">
        <is>
          <t>pequeña (&lt;120 mm)</t>
        </is>
      </c>
      <c r="FG38" t="n">
        <v>6.327044025157233</v>
      </c>
      <c r="FH38" t="inlineStr">
        <is>
          <t>Chancado</t>
        </is>
      </c>
      <c r="FI38" t="inlineStr">
        <is>
          <t>dudosa: muestras del acopio de la chancadora secundaria; hojas de Fase A dicen «Material Chancado»</t>
        </is>
      </c>
      <c r="FJ38" t="n">
        <v>0</v>
      </c>
      <c r="FK38" t="inlineStr"/>
      <c r="FL38" t="inlineStr"/>
      <c r="FM38" t="inlineStr">
        <is>
          <t>A</t>
        </is>
      </c>
      <c r="FN38" t="n">
        <v>0.502</v>
      </c>
      <c r="FO38" t="inlineStr"/>
      <c r="FP38" t="n">
        <v>2.802</v>
      </c>
      <c r="FQ38" t="inlineStr">
        <is>
          <t>informe o verificación</t>
        </is>
      </c>
      <c r="FR38" t="inlineStr">
        <is>
          <t>G2010-036</t>
        </is>
      </c>
      <c r="FS38" t="inlineStr">
        <is>
          <t>G2010|G2010-B-HG-4in</t>
        </is>
      </c>
    </row>
    <row r="39">
      <c r="A39" t="inlineStr">
        <is>
          <t>G2010</t>
        </is>
      </c>
      <c r="B39" t="inlineStr">
        <is>
          <t>2010_Golder_Caracterizacion ROM IPCC.pdf</t>
        </is>
      </c>
      <c r="C39" t="n">
        <v>2010</v>
      </c>
      <c r="D39" t="inlineStr">
        <is>
          <t>Golder Associates Perú, Memorando técnico 'Caracterización material de ROM – Proyecto IPCC' (proy. 099-4151017, 25-mar-2010)</t>
        </is>
      </c>
      <c r="E39" t="inlineStr">
        <is>
          <t>Golder Associates Perú – Laboratorio de Mecánica de Suelos (Lima)</t>
        </is>
      </c>
      <c r="F39" t="inlineStr">
        <is>
          <t>G2010-B-HG-4in</t>
        </is>
      </c>
      <c r="G39" t="inlineStr">
        <is>
          <t>GL-482-09 Prueba Nº 2 (σ3c=580 kPa)</t>
        </is>
      </c>
      <c r="H39" t="inlineStr">
        <is>
          <t>Hornfels Gris</t>
        </is>
      </c>
      <c r="I39" t="inlineStr">
        <is>
          <t>Hornfels</t>
        </is>
      </c>
      <c r="J39" t="inlineStr">
        <is>
          <t>hornfels gris</t>
        </is>
      </c>
      <c r="K39" t="inlineStr"/>
      <c r="L39" t="inlineStr"/>
      <c r="M39" t="inlineStr">
        <is>
          <t>Chancado</t>
        </is>
      </c>
      <c r="N39" t="inlineStr"/>
      <c r="O39" t="inlineStr">
        <is>
          <t>CU</t>
        </is>
      </c>
      <c r="P39" t="inlineStr">
        <is>
          <t>sí</t>
        </is>
      </c>
      <c r="Q39" t="n">
        <v>100.6</v>
      </c>
      <c r="R39" t="n">
        <v>199.9</v>
      </c>
      <c r="S39" t="n">
        <v>15.9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Truncado: se ensayó la fracción &lt; 5/8" de la matriz; TM de terreno 35" (Fase A, Tabla 2); Fase B chancada, TM 9"–12" según texto pág. 2</t>
        </is>
      </c>
      <c r="AD39" t="n">
        <v>2.802</v>
      </c>
      <c r="AE39" t="n">
        <v>18.31</v>
      </c>
      <c r="AF39" t="n">
        <v>0.501</v>
      </c>
      <c r="AG39" t="inlineStr">
        <is>
          <t>informe</t>
        </is>
      </c>
      <c r="AH39" t="inlineStr"/>
      <c r="AI39" t="n">
        <v>5</v>
      </c>
      <c r="AJ39" t="n">
        <v>65.5</v>
      </c>
      <c r="AK39" t="n">
        <v>214</v>
      </c>
      <c r="AL39" t="n">
        <v>549</v>
      </c>
      <c r="AM39" t="n">
        <v>335</v>
      </c>
      <c r="AN39" t="inlineStr">
        <is>
          <t>Esfuerzo desviador máximo (criterio impreso en la hoja Golder)</t>
        </is>
      </c>
      <c r="AO39" t="inlineStr"/>
      <c r="AP39" t="n">
        <v>1.3</v>
      </c>
      <c r="AQ39" t="inlineStr"/>
      <c r="AR39" t="n">
        <v>366</v>
      </c>
      <c r="AS39" t="n">
        <v>325.7</v>
      </c>
      <c r="AT39" t="n">
        <v>335</v>
      </c>
      <c r="AU39" t="inlineStr"/>
      <c r="AV39" t="inlineStr"/>
      <c r="AW39" t="inlineStr"/>
      <c r="AX39" t="inlineStr"/>
      <c r="AY39" t="inlineStr"/>
      <c r="AZ39" t="inlineStr"/>
      <c r="BA39" t="inlineStr">
        <is>
          <t>142;144;8;10;49</t>
        </is>
      </c>
      <c r="BB39" t="inlineStr">
        <is>
          <t>sí</t>
        </is>
      </c>
      <c r="BC39" t="inlineStr">
        <is>
          <t>Fase B (material chancado = Chancado). Probeta remoldeada a la densidad mínima δ=1.861 g/cm3 y 5 % de humedad (solicitado por el cliente). Diámetro nominal 4". Inicial: S=27.9 %; final (post-consolidación): gd=1.956 g/cm3, e=0.433. Velocidad 0.125 %/min. Hoja da σ1, σ1', σ3, σ3' en la falla; σ3'f=214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100.42 MPa; Los Ángeles 20.3 %; durabilidad (sulfato de magnesio, pérdida corregida) 0.6 %. Envolvente de la hoja Golder (Mohr máximo, pág. 144): total c=0 kPa φ=15°, efectiva c'=22 kPa φ'=21°. Granulometría de la fracción ensayada no informada (solo granulometría de terreno, ver resumen). Saturación final ≈100 %; el parámetro B no figura en la hoja. SUCS informado por el cliente. VERIFICACIÓN 2026-10-06 (imagen p.142): σ'3c=580; en la falla σ1=915, σ1'=549, σ3=580, σ3'=214 kPa (impresos); Δu=366 kPa; q=σ'1−σ'3=335 kPa. Tras consolidar: γd=1.956 g/cm3, e=0.433, S=100.0 %. La hoja Golder no tabula la curva (solo gráficos): máxima oblicuidad no informada; el estado de «máximo desviador» es el impreso. Remoldeado a la densidad mínima δ=1.861 gr/cm3 y 5% de humedad, solicitado por el cliente; material &lt;5/8".</t>
        </is>
      </c>
      <c r="BD39" t="n">
        <v>580</v>
      </c>
      <c r="BE39" t="n">
        <v>214</v>
      </c>
      <c r="BF39" t="n">
        <v>549</v>
      </c>
      <c r="BG39" t="n">
        <v>1.3</v>
      </c>
      <c r="BH39" t="n">
        <v>214</v>
      </c>
      <c r="BI39" t="n">
        <v>549</v>
      </c>
      <c r="BJ39" t="n">
        <v>335</v>
      </c>
      <c r="BK39" t="n">
        <v>366</v>
      </c>
      <c r="BL39" t="inlineStr">
        <is>
          <t>no informado</t>
        </is>
      </c>
      <c r="BM39" t="inlineStr">
        <is>
          <t>no informado</t>
        </is>
      </c>
      <c r="BN39" t="inlineStr">
        <is>
          <t>no informado</t>
        </is>
      </c>
      <c r="BO39" t="inlineStr">
        <is>
          <t>no informado</t>
        </is>
      </c>
      <c r="BP39" t="inlineStr">
        <is>
          <t>no informado</t>
        </is>
      </c>
      <c r="BQ39" t="inlineStr">
        <is>
          <t>no informado</t>
        </is>
      </c>
      <c r="BR39" t="inlineStr">
        <is>
          <t>no informado</t>
        </is>
      </c>
      <c r="BS39" t="inlineStr">
        <is>
          <t>no informado</t>
        </is>
      </c>
      <c r="BT39" t="n">
        <v>0.125</v>
      </c>
      <c r="BU39" t="n">
        <v>19.19</v>
      </c>
      <c r="BV39" t="n">
        <v>0.433</v>
      </c>
      <c r="BW39" t="inlineStr">
        <is>
          <t>100.0</t>
        </is>
      </c>
      <c r="BX39" t="inlineStr">
        <is>
          <t>2.802 (D854, «G. Específica Promedio» de la hoja y p.49); e0 recalculado = 0.502</t>
        </is>
      </c>
      <c r="BY39" t="inlineStr">
        <is>
          <t>verificado en imagen; esfuerzos separados (consolidación / falla)</t>
        </is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Triaxial CU</t>
        </is>
      </c>
      <c r="EY39" t="inlineStr">
        <is>
          <t>CU: máximo desviador (la fuente no permite máxima oblicuidad)</t>
        </is>
      </c>
      <c r="EZ39" t="n">
        <v>214</v>
      </c>
      <c r="FA39" t="n">
        <v>549</v>
      </c>
      <c r="FB39" t="n">
        <v>335</v>
      </c>
      <c r="FC39" t="n">
        <v>26.04368846172382</v>
      </c>
      <c r="FD39" t="n">
        <v>307.9580602883355</v>
      </c>
      <c r="FE39" t="n">
        <v>150.4919702291319</v>
      </c>
      <c r="FF39" t="inlineStr">
        <is>
          <t>pequeña (&lt;120 mm)</t>
        </is>
      </c>
      <c r="FG39" t="n">
        <v>6.327044025157233</v>
      </c>
      <c r="FH39" t="inlineStr">
        <is>
          <t>Chancado</t>
        </is>
      </c>
      <c r="FI39" t="inlineStr">
        <is>
          <t>dudosa: muestras del acopio de la chancadora secundaria; hojas de Fase A dicen «Material Chancado»</t>
        </is>
      </c>
      <c r="FJ39" t="n">
        <v>0</v>
      </c>
      <c r="FK39" t="inlineStr"/>
      <c r="FL39" t="inlineStr"/>
      <c r="FM39" t="inlineStr">
        <is>
          <t>A</t>
        </is>
      </c>
      <c r="FN39" t="n">
        <v>0.501</v>
      </c>
      <c r="FO39" t="inlineStr"/>
      <c r="FP39" t="n">
        <v>2.802</v>
      </c>
      <c r="FQ39" t="inlineStr">
        <is>
          <t>informe o verificación</t>
        </is>
      </c>
      <c r="FR39" t="inlineStr">
        <is>
          <t>G2010-037</t>
        </is>
      </c>
      <c r="FS39" t="inlineStr">
        <is>
          <t>G2010|G2010-B-HG-4in</t>
        </is>
      </c>
    </row>
    <row r="40">
      <c r="A40" t="inlineStr">
        <is>
          <t>G2010</t>
        </is>
      </c>
      <c r="B40" t="inlineStr">
        <is>
          <t>2010_Golder_Caracterizacion ROM IPCC.pdf</t>
        </is>
      </c>
      <c r="C40" t="n">
        <v>2010</v>
      </c>
      <c r="D40" t="inlineStr">
        <is>
          <t>Golder Associates Perú, Memorando técnico 'Caracterización material de ROM – Proyecto IPCC' (proy. 099-4151017, 25-mar-2010)</t>
        </is>
      </c>
      <c r="E40" t="inlineStr">
        <is>
          <t>Golder Associates Perú – Laboratorio de Mecánica de Suelos (Lima)</t>
        </is>
      </c>
      <c r="F40" t="inlineStr">
        <is>
          <t>G2010-B-HG-4in</t>
        </is>
      </c>
      <c r="G40" t="inlineStr">
        <is>
          <t>GL-482-09 Prueba Nº 3 (σ3c=783 kPa)</t>
        </is>
      </c>
      <c r="H40" t="inlineStr">
        <is>
          <t>Hornfels Gris</t>
        </is>
      </c>
      <c r="I40" t="inlineStr">
        <is>
          <t>Hornfels</t>
        </is>
      </c>
      <c r="J40" t="inlineStr">
        <is>
          <t>hornfels gris</t>
        </is>
      </c>
      <c r="K40" t="inlineStr"/>
      <c r="L40" t="inlineStr"/>
      <c r="M40" t="inlineStr">
        <is>
          <t>Chancado</t>
        </is>
      </c>
      <c r="N40" t="inlineStr"/>
      <c r="O40" t="inlineStr">
        <is>
          <t>CU</t>
        </is>
      </c>
      <c r="P40" t="inlineStr">
        <is>
          <t>sí</t>
        </is>
      </c>
      <c r="Q40" t="n">
        <v>100.5</v>
      </c>
      <c r="R40" t="n">
        <v>200.4</v>
      </c>
      <c r="S40" t="n">
        <v>15.9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Truncado: se ensayó la fracción &lt; 5/8" de la matriz; TM de terreno 35" (Fase A, Tabla 2); Fase B chancada, TM 9"–12" según texto pág. 2</t>
        </is>
      </c>
      <c r="AD40" t="n">
        <v>2.802</v>
      </c>
      <c r="AE40" t="n">
        <v>18.29</v>
      </c>
      <c r="AF40" t="n">
        <v>0.503</v>
      </c>
      <c r="AG40" t="inlineStr">
        <is>
          <t>informe</t>
        </is>
      </c>
      <c r="AH40" t="inlineStr"/>
      <c r="AI40" t="n">
        <v>5</v>
      </c>
      <c r="AJ40" t="n">
        <v>65.5</v>
      </c>
      <c r="AK40" t="n">
        <v>459</v>
      </c>
      <c r="AL40" t="n">
        <v>1049</v>
      </c>
      <c r="AM40" t="n">
        <v>590</v>
      </c>
      <c r="AN40" t="inlineStr">
        <is>
          <t>Esfuerzo desviador máximo (criterio impreso en la hoja Golder)</t>
        </is>
      </c>
      <c r="AO40" t="inlineStr"/>
      <c r="AP40" t="n">
        <v>1</v>
      </c>
      <c r="AQ40" t="inlineStr"/>
      <c r="AR40" t="n">
        <v>324</v>
      </c>
      <c r="AS40" t="n">
        <v>655.7</v>
      </c>
      <c r="AT40" t="n">
        <v>590</v>
      </c>
      <c r="AU40" t="inlineStr"/>
      <c r="AV40" t="inlineStr"/>
      <c r="AW40" t="inlineStr"/>
      <c r="AX40" t="inlineStr"/>
      <c r="AY40" t="inlineStr"/>
      <c r="AZ40" t="inlineStr"/>
      <c r="BA40" t="inlineStr">
        <is>
          <t>142;144;8;10;49</t>
        </is>
      </c>
      <c r="BB40" t="inlineStr">
        <is>
          <t>sí</t>
        </is>
      </c>
      <c r="BC40" t="inlineStr">
        <is>
          <t>Fase B (material chancado = Chancado). Probeta remoldeada a la densidad mínima δ=1.861 g/cm3 y 5 % de humedad (solicitado por el cliente). Diámetro nominal 4". Inicial: S=27.8 %; final (post-consolidación): gd=2.006 g/cm3, e=0.397. Velocidad 0.125 %/min. Hoja da σ1, σ1', σ3, σ3' en la falla; σ3'f=459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100.42 MPa; Los Ángeles 20.3 %; durabilidad (sulfato de magnesio, pérdida corregida) 0.6 %. Envolvente de la hoja Golder (Mohr máximo, pág. 144): total c=0 kPa φ=15°, efectiva c'=22 kPa φ'=21°. Granulometría de la fracción ensayada no informada (solo granulometría de terreno, ver resumen). Saturación final ≈100 %; el parámetro B no figura en la hoja. SUCS informado por el cliente. VERIFICACIÓN 2026-10-06 (imagen p.142): σ'3c=783; en la falla σ1=1373, σ1'=1049, σ3=783, σ3'=459 kPa (impresos); Δu=324 kPa; q=σ'1−σ'3=590 kPa. Tras consolidar: γd=2.006 g/cm3, e=0.397, S=100.0 %. La hoja Golder no tabula la curva (solo gráficos): máxima oblicuidad no informada; el estado de «máximo desviador» es el impreso. Remoldeado a la densidad mínima δ=1.861 gr/cm3 y 5% de humedad, solicitado por el cliente; material &lt;5/8".</t>
        </is>
      </c>
      <c r="BD40" t="n">
        <v>783</v>
      </c>
      <c r="BE40" t="n">
        <v>459</v>
      </c>
      <c r="BF40" t="n">
        <v>1049</v>
      </c>
      <c r="BG40" t="n">
        <v>1</v>
      </c>
      <c r="BH40" t="n">
        <v>459</v>
      </c>
      <c r="BI40" t="n">
        <v>1049</v>
      </c>
      <c r="BJ40" t="n">
        <v>590</v>
      </c>
      <c r="BK40" t="n">
        <v>324</v>
      </c>
      <c r="BL40" t="inlineStr">
        <is>
          <t>no informado</t>
        </is>
      </c>
      <c r="BM40" t="inlineStr">
        <is>
          <t>no informado</t>
        </is>
      </c>
      <c r="BN40" t="inlineStr">
        <is>
          <t>no informado</t>
        </is>
      </c>
      <c r="BO40" t="inlineStr">
        <is>
          <t>no informado</t>
        </is>
      </c>
      <c r="BP40" t="inlineStr">
        <is>
          <t>no informado</t>
        </is>
      </c>
      <c r="BQ40" t="inlineStr">
        <is>
          <t>no informado</t>
        </is>
      </c>
      <c r="BR40" t="inlineStr">
        <is>
          <t>no informado</t>
        </is>
      </c>
      <c r="BS40" t="inlineStr">
        <is>
          <t>no informado</t>
        </is>
      </c>
      <c r="BT40" t="n">
        <v>0.125</v>
      </c>
      <c r="BU40" t="n">
        <v>19.68</v>
      </c>
      <c r="BV40" t="n">
        <v>0.397</v>
      </c>
      <c r="BW40" t="inlineStr">
        <is>
          <t>100.0</t>
        </is>
      </c>
      <c r="BX40" t="inlineStr">
        <is>
          <t>2.802 (D854, «G. Específica Promedio» de la hoja y p.49); e0 recalculado = 0.503</t>
        </is>
      </c>
      <c r="BY40" t="inlineStr">
        <is>
          <t>verificado en imagen; esfuerzos separados (consolidación / falla)</t>
        </is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>
        <is>
          <t>Triaxial CU</t>
        </is>
      </c>
      <c r="EY40" t="inlineStr">
        <is>
          <t>CU: máximo desviador (la fuente no permite máxima oblicuidad)</t>
        </is>
      </c>
      <c r="EZ40" t="n">
        <v>459</v>
      </c>
      <c r="FA40" t="n">
        <v>1049</v>
      </c>
      <c r="FB40" t="n">
        <v>590</v>
      </c>
      <c r="FC40" t="n">
        <v>23.03209400636623</v>
      </c>
      <c r="FD40" t="n">
        <v>638.5822281167109</v>
      </c>
      <c r="FE40" t="n">
        <v>271.4843235501767</v>
      </c>
      <c r="FF40" t="inlineStr">
        <is>
          <t>pequeña (&lt;120 mm)</t>
        </is>
      </c>
      <c r="FG40" t="n">
        <v>6.320754716981132</v>
      </c>
      <c r="FH40" t="inlineStr">
        <is>
          <t>Chancado</t>
        </is>
      </c>
      <c r="FI40" t="inlineStr">
        <is>
          <t>dudosa: muestras del acopio de la chancadora secundaria; hojas de Fase A dicen «Material Chancado»</t>
        </is>
      </c>
      <c r="FJ40" t="n">
        <v>0</v>
      </c>
      <c r="FK40" t="inlineStr"/>
      <c r="FL40" t="inlineStr"/>
      <c r="FM40" t="inlineStr">
        <is>
          <t>A</t>
        </is>
      </c>
      <c r="FN40" t="n">
        <v>0.503</v>
      </c>
      <c r="FO40" t="inlineStr"/>
      <c r="FP40" t="n">
        <v>2.802</v>
      </c>
      <c r="FQ40" t="inlineStr">
        <is>
          <t>informe o verificación</t>
        </is>
      </c>
      <c r="FR40" t="inlineStr">
        <is>
          <t>G2010-038</t>
        </is>
      </c>
      <c r="FS40" t="inlineStr">
        <is>
          <t>G2010|G2010-B-HG-4in</t>
        </is>
      </c>
    </row>
    <row r="41">
      <c r="A41" t="inlineStr">
        <is>
          <t>G2010</t>
        </is>
      </c>
      <c r="B41" t="inlineStr">
        <is>
          <t>2010_Golder_Caracterizacion ROM IPCC.pdf</t>
        </is>
      </c>
      <c r="C41" t="n">
        <v>2010</v>
      </c>
      <c r="D41" t="inlineStr">
        <is>
          <t>Golder Associates Perú, Memorando técnico 'Caracterización material de ROM – Proyecto IPCC' (proy. 099-4151017, 25-mar-2010)</t>
        </is>
      </c>
      <c r="E41" t="inlineStr">
        <is>
          <t>Golder Associates Perú – Laboratorio de Mecánica de Suelos (Lima)</t>
        </is>
      </c>
      <c r="F41" t="inlineStr">
        <is>
          <t>G2010-B-INT-4in</t>
        </is>
      </c>
      <c r="G41" t="inlineStr">
        <is>
          <t>GL-483-09 Prueba Nº 1 (σ3c=392 kPa)</t>
        </is>
      </c>
      <c r="H41" t="inlineStr">
        <is>
          <t>Intrusivo</t>
        </is>
      </c>
      <c r="I41" t="inlineStr">
        <is>
          <t>Intrusivo</t>
        </is>
      </c>
      <c r="J41" t="inlineStr"/>
      <c r="K41" t="inlineStr"/>
      <c r="L41" t="inlineStr"/>
      <c r="M41" t="inlineStr">
        <is>
          <t>Chancado</t>
        </is>
      </c>
      <c r="N41" t="inlineStr"/>
      <c r="O41" t="inlineStr">
        <is>
          <t>CU</t>
        </is>
      </c>
      <c r="P41" t="inlineStr">
        <is>
          <t>sí</t>
        </is>
      </c>
      <c r="Q41" t="n">
        <v>100.4</v>
      </c>
      <c r="R41" t="n">
        <v>199.9</v>
      </c>
      <c r="S41" t="n">
        <v>15.9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Truncado: se ensayó la fracción &lt; 5/8" de la matriz; TM de terreno 30" (Fase A, Tabla 2); Fase B chancada, TM 9"–12" según texto pág. 2</t>
        </is>
      </c>
      <c r="AD41" t="n">
        <v>2.742</v>
      </c>
      <c r="AE41" t="n">
        <v>18.03</v>
      </c>
      <c r="AF41" t="n">
        <v>0.492</v>
      </c>
      <c r="AG41" t="inlineStr">
        <is>
          <t>informe</t>
        </is>
      </c>
      <c r="AH41" t="inlineStr"/>
      <c r="AI41" t="n">
        <v>5</v>
      </c>
      <c r="AJ41" t="n">
        <v>54</v>
      </c>
      <c r="AK41" t="n">
        <v>185</v>
      </c>
      <c r="AL41" t="n">
        <v>430</v>
      </c>
      <c r="AM41" t="n">
        <v>245</v>
      </c>
      <c r="AN41" t="inlineStr">
        <is>
          <t>Esfuerzo desviador máximo (criterio impreso en la hoja Golder)</t>
        </is>
      </c>
      <c r="AO41" t="inlineStr"/>
      <c r="AP41" t="n">
        <v>0.6</v>
      </c>
      <c r="AQ41" t="inlineStr"/>
      <c r="AR41" t="n">
        <v>207</v>
      </c>
      <c r="AS41" t="n">
        <v>266.7</v>
      </c>
      <c r="AT41" t="n">
        <v>245</v>
      </c>
      <c r="AU41" t="inlineStr"/>
      <c r="AV41" t="inlineStr"/>
      <c r="AW41" t="inlineStr"/>
      <c r="AX41" t="inlineStr"/>
      <c r="AY41" t="inlineStr"/>
      <c r="AZ41" t="inlineStr"/>
      <c r="BA41" t="inlineStr">
        <is>
          <t>147;149;8;10;49</t>
        </is>
      </c>
      <c r="BB41" t="inlineStr">
        <is>
          <t>sí</t>
        </is>
      </c>
      <c r="BC41" t="inlineStr">
        <is>
          <t>Fase B (material chancado = Chancado). Probeta remoldeada a la densidad mínima δ=1.833 g/cm3 y 5 % de humedad (solicitado por el cliente). Diámetro nominal 4". Inicial: S=27.9 %; final (post-consolidación): gd=1.898 g/cm3, e=0.444. Velocidad 0.125 %/min. Hoja da σ1, σ1', σ3, σ3' en la falla; σ3'f=185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78.06 MPa; Los Ángeles 32.2 %; durabilidad (sulfato de magnesio, pérdida corregida) 18.6 %. Envolvente de la hoja Golder (Mohr máximo, pág. 149): total c=7 kPa φ=12°, efectiva c'=0 kPa φ'=23°. Granulometría de la fracción ensayada no informada (solo granulometría de terreno, ver resumen). Saturación final ≈100 %; el parámetro B no figura en la hoja. SUCS informado por el cliente. VERIFICACIÓN 2026-10-06 (imagen p.147): σ'3c=392; en la falla σ1=637, σ1'=430, σ3=392, σ3'=185 kPa (impresos); Δu=207 kPa; q=σ'1−σ'3=245 kPa. Tras consolidar: γd=1.898 g/cm3, e=0.444, S=100.0 %. La hoja Golder no tabula la curva (solo gráficos): máxima oblicuidad no informada; el estado de «máximo desviador» es el impreso. Remoldeado a la densidad mínima δ=1.833 gr/cm3 y 5% de humedad, solicitado por el cliente; material &lt;5/8".</t>
        </is>
      </c>
      <c r="BD41" t="n">
        <v>392</v>
      </c>
      <c r="BE41" t="n">
        <v>185</v>
      </c>
      <c r="BF41" t="n">
        <v>430</v>
      </c>
      <c r="BG41" t="n">
        <v>0.6</v>
      </c>
      <c r="BH41" t="n">
        <v>185</v>
      </c>
      <c r="BI41" t="n">
        <v>430</v>
      </c>
      <c r="BJ41" t="n">
        <v>245</v>
      </c>
      <c r="BK41" t="n">
        <v>207</v>
      </c>
      <c r="BL41" t="inlineStr">
        <is>
          <t>no informado</t>
        </is>
      </c>
      <c r="BM41" t="inlineStr">
        <is>
          <t>no informado</t>
        </is>
      </c>
      <c r="BN41" t="inlineStr">
        <is>
          <t>no informado</t>
        </is>
      </c>
      <c r="BO41" t="inlineStr">
        <is>
          <t>no informado</t>
        </is>
      </c>
      <c r="BP41" t="inlineStr">
        <is>
          <t>no informado</t>
        </is>
      </c>
      <c r="BQ41" t="inlineStr">
        <is>
          <t>no informado</t>
        </is>
      </c>
      <c r="BR41" t="inlineStr">
        <is>
          <t>no informado</t>
        </is>
      </c>
      <c r="BS41" t="inlineStr">
        <is>
          <t>no informado</t>
        </is>
      </c>
      <c r="BT41" t="n">
        <v>0.125</v>
      </c>
      <c r="BU41" t="n">
        <v>18.62</v>
      </c>
      <c r="BV41" t="n">
        <v>0.444</v>
      </c>
      <c r="BW41" t="inlineStr">
        <is>
          <t>100.0</t>
        </is>
      </c>
      <c r="BX41" t="inlineStr">
        <is>
          <t>2.742 (D854, «G. Específica Promedio» de la hoja y p.49); e0 recalculado = 0.492</t>
        </is>
      </c>
      <c r="BY41" t="inlineStr">
        <is>
          <t>verificado en imagen; esfuerzos separados (consolidación / falla)</t>
        </is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>
        <is>
          <t>Triaxial CU</t>
        </is>
      </c>
      <c r="EY41" t="inlineStr">
        <is>
          <t>CU: máximo desviador (la fuente no permite máxima oblicuidad)</t>
        </is>
      </c>
      <c r="EZ41" t="n">
        <v>185</v>
      </c>
      <c r="FA41" t="n">
        <v>430</v>
      </c>
      <c r="FB41" t="n">
        <v>245</v>
      </c>
      <c r="FC41" t="n">
        <v>23.47656763320215</v>
      </c>
      <c r="FD41" t="n">
        <v>258.6991869918699</v>
      </c>
      <c r="FE41" t="n">
        <v>112.3598266719272</v>
      </c>
      <c r="FF41" t="inlineStr">
        <is>
          <t>pequeña (&lt;120 mm)</t>
        </is>
      </c>
      <c r="FG41" t="n">
        <v>6.314465408805032</v>
      </c>
      <c r="FH41" t="inlineStr">
        <is>
          <t>Chancado</t>
        </is>
      </c>
      <c r="FI41" t="inlineStr">
        <is>
          <t>dudosa: muestras del acopio de la chancadora secundaria; hojas de Fase A dicen «Material Chancado»</t>
        </is>
      </c>
      <c r="FJ41" t="n">
        <v>0</v>
      </c>
      <c r="FK41" t="inlineStr"/>
      <c r="FL41" t="inlineStr"/>
      <c r="FM41" t="inlineStr">
        <is>
          <t>A</t>
        </is>
      </c>
      <c r="FN41" t="n">
        <v>0.492</v>
      </c>
      <c r="FO41" t="inlineStr"/>
      <c r="FP41" t="n">
        <v>2.742</v>
      </c>
      <c r="FQ41" t="inlineStr">
        <is>
          <t>informe o verificación</t>
        </is>
      </c>
      <c r="FR41" t="inlineStr">
        <is>
          <t>G2010-039</t>
        </is>
      </c>
      <c r="FS41" t="inlineStr">
        <is>
          <t>G2010|G2010-B-INT-4in</t>
        </is>
      </c>
    </row>
    <row r="42">
      <c r="A42" t="inlineStr">
        <is>
          <t>G2010</t>
        </is>
      </c>
      <c r="B42" t="inlineStr">
        <is>
          <t>2010_Golder_Caracterizacion ROM IPCC.pdf</t>
        </is>
      </c>
      <c r="C42" t="n">
        <v>2010</v>
      </c>
      <c r="D42" t="inlineStr">
        <is>
          <t>Golder Associates Perú, Memorando técnico 'Caracterización material de ROM – Proyecto IPCC' (proy. 099-4151017, 25-mar-2010)</t>
        </is>
      </c>
      <c r="E42" t="inlineStr">
        <is>
          <t>Golder Associates Perú – Laboratorio de Mecánica de Suelos (Lima)</t>
        </is>
      </c>
      <c r="F42" t="inlineStr">
        <is>
          <t>G2010-B-INT-4in</t>
        </is>
      </c>
      <c r="G42" t="inlineStr">
        <is>
          <t>GL-483-09 Prueba Nº 2 (σ3c=589 kPa)</t>
        </is>
      </c>
      <c r="H42" t="inlineStr">
        <is>
          <t>Intrusivo</t>
        </is>
      </c>
      <c r="I42" t="inlineStr">
        <is>
          <t>Intrusivo</t>
        </is>
      </c>
      <c r="J42" t="inlineStr"/>
      <c r="K42" t="inlineStr"/>
      <c r="L42" t="inlineStr"/>
      <c r="M42" t="inlineStr">
        <is>
          <t>Chancado</t>
        </is>
      </c>
      <c r="N42" t="inlineStr"/>
      <c r="O42" t="inlineStr">
        <is>
          <t>CU</t>
        </is>
      </c>
      <c r="P42" t="inlineStr">
        <is>
          <t>sí</t>
        </is>
      </c>
      <c r="Q42" t="n">
        <v>100.6</v>
      </c>
      <c r="R42" t="n">
        <v>199.9</v>
      </c>
      <c r="S42" t="n">
        <v>15.9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Truncado: se ensayó la fracción &lt; 5/8" de la matriz; TM de terreno 30" (Fase A, Tabla 2); Fase B chancada, TM 9"–12" según texto pág. 2</t>
        </is>
      </c>
      <c r="AD42" t="n">
        <v>2.742</v>
      </c>
      <c r="AE42" t="n">
        <v>17.96</v>
      </c>
      <c r="AF42" t="n">
        <v>0.498</v>
      </c>
      <c r="AG42" t="inlineStr">
        <is>
          <t>informe</t>
        </is>
      </c>
      <c r="AH42" t="inlineStr"/>
      <c r="AI42" t="n">
        <v>5</v>
      </c>
      <c r="AJ42" t="n">
        <v>54</v>
      </c>
      <c r="AK42" t="n">
        <v>254</v>
      </c>
      <c r="AL42" t="n">
        <v>551</v>
      </c>
      <c r="AM42" t="n">
        <v>297</v>
      </c>
      <c r="AN42" t="inlineStr">
        <is>
          <t>Esfuerzo desviador máximo (criterio impreso en la hoja Golder)</t>
        </is>
      </c>
      <c r="AO42" t="inlineStr"/>
      <c r="AP42" t="n">
        <v>0.6</v>
      </c>
      <c r="AQ42" t="inlineStr"/>
      <c r="AR42" t="n">
        <v>335</v>
      </c>
      <c r="AS42" t="n">
        <v>353</v>
      </c>
      <c r="AT42" t="n">
        <v>297</v>
      </c>
      <c r="AU42" t="inlineStr"/>
      <c r="AV42" t="inlineStr"/>
      <c r="AW42" t="inlineStr"/>
      <c r="AX42" t="inlineStr"/>
      <c r="AY42" t="inlineStr"/>
      <c r="AZ42" t="inlineStr"/>
      <c r="BA42" t="inlineStr">
        <is>
          <t>147;149;8;10;49</t>
        </is>
      </c>
      <c r="BB42" t="inlineStr">
        <is>
          <t>sí</t>
        </is>
      </c>
      <c r="BC42" t="inlineStr">
        <is>
          <t>Fase B (material chancado = Chancado). Probeta remoldeada a la densidad mínima δ=1.833 g/cm3 y 5 % de humedad (solicitado por el cliente). Diámetro nominal 4". Inicial: S=27.5 %; final (post-consolidación): gd=1.912 g/cm3, e=0.434. Velocidad 0.125 %/min. Hoja da σ1, σ1', σ3, σ3' en la falla; σ3'f=254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78.06 MPa; Los Ángeles 32.2 %; durabilidad (sulfato de magnesio, pérdida corregida) 18.6 %. Envolvente de la hoja Golder (Mohr máximo, pág. 149): total c=7 kPa φ=12°, efectiva c'=0 kPa φ'=23°. Granulometría de la fracción ensayada no informada (solo granulometría de terreno, ver resumen). Saturación final ≈100 %; el parámetro B no figura en la hoja. SUCS informado por el cliente. VERIFICACIÓN 2026-10-06 (imagen p.147): σ'3c=589; en la falla σ1=885, σ1'=551, σ3=589, σ3'=254 kPa (impresos); Δu=335 kPa; q=σ'1−σ'3=297 kPa. En la hoja σ1−σ3 (totales) = 296 kPa y σ1'−σ3' = 297 kPa (diferencia de redondeo de la hoja); se adopta el valor efectivo. Tras consolidar: γd=1.912 g/cm3, e=0.434, S=100.0 %. La hoja Golder no tabula la curva (solo gráficos): máxima oblicuidad no informada; el estado de «máximo desviador» es el impreso. Remoldeado a la densidad mínima δ=1.833 gr/cm3 y 5% de humedad, solicitado por el cliente; material &lt;5/8".</t>
        </is>
      </c>
      <c r="BD42" t="n">
        <v>589</v>
      </c>
      <c r="BE42" t="n">
        <v>254</v>
      </c>
      <c r="BF42" t="n">
        <v>551</v>
      </c>
      <c r="BG42" t="n">
        <v>0.6</v>
      </c>
      <c r="BH42" t="n">
        <v>254</v>
      </c>
      <c r="BI42" t="n">
        <v>551</v>
      </c>
      <c r="BJ42" t="n">
        <v>297</v>
      </c>
      <c r="BK42" t="n">
        <v>335</v>
      </c>
      <c r="BL42" t="inlineStr">
        <is>
          <t>no informado</t>
        </is>
      </c>
      <c r="BM42" t="inlineStr">
        <is>
          <t>no informado</t>
        </is>
      </c>
      <c r="BN42" t="inlineStr">
        <is>
          <t>no informado</t>
        </is>
      </c>
      <c r="BO42" t="inlineStr">
        <is>
          <t>no informado</t>
        </is>
      </c>
      <c r="BP42" t="inlineStr">
        <is>
          <t>no informado</t>
        </is>
      </c>
      <c r="BQ42" t="inlineStr">
        <is>
          <t>no informado</t>
        </is>
      </c>
      <c r="BR42" t="inlineStr">
        <is>
          <t>no informado</t>
        </is>
      </c>
      <c r="BS42" t="inlineStr">
        <is>
          <t>no informado</t>
        </is>
      </c>
      <c r="BT42" t="n">
        <v>0.125</v>
      </c>
      <c r="BU42" t="n">
        <v>18.76</v>
      </c>
      <c r="BV42" t="n">
        <v>0.434</v>
      </c>
      <c r="BW42" t="inlineStr">
        <is>
          <t>100.0</t>
        </is>
      </c>
      <c r="BX42" t="inlineStr">
        <is>
          <t>2.742 (D854, «G. Específica Promedio» de la hoja y p.49); e0 recalculado = 0.498</t>
        </is>
      </c>
      <c r="BY42" t="inlineStr">
        <is>
          <t>verificado en imagen; esfuerzos separados (consolidación / falla)</t>
        </is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Triaxial CU</t>
        </is>
      </c>
      <c r="EY42" t="inlineStr">
        <is>
          <t>CU: máximo desviador (la fuente no permite máxima oblicuidad)</t>
        </is>
      </c>
      <c r="EZ42" t="n">
        <v>254</v>
      </c>
      <c r="FA42" t="n">
        <v>551</v>
      </c>
      <c r="FB42" t="n">
        <v>297</v>
      </c>
      <c r="FC42" t="n">
        <v>21.65051189184309</v>
      </c>
      <c r="FD42" t="n">
        <v>347.711801242236</v>
      </c>
      <c r="FE42" t="n">
        <v>138.0235605861541</v>
      </c>
      <c r="FF42" t="inlineStr">
        <is>
          <t>pequeña (&lt;120 mm)</t>
        </is>
      </c>
      <c r="FG42" t="n">
        <v>6.327044025157233</v>
      </c>
      <c r="FH42" t="inlineStr">
        <is>
          <t>Chancado</t>
        </is>
      </c>
      <c r="FI42" t="inlineStr">
        <is>
          <t>dudosa: muestras del acopio de la chancadora secundaria; hojas de Fase A dicen «Material Chancado»</t>
        </is>
      </c>
      <c r="FJ42" t="n">
        <v>0</v>
      </c>
      <c r="FK42" t="inlineStr"/>
      <c r="FL42" t="inlineStr"/>
      <c r="FM42" t="inlineStr">
        <is>
          <t>A</t>
        </is>
      </c>
      <c r="FN42" t="n">
        <v>0.498</v>
      </c>
      <c r="FO42" t="inlineStr"/>
      <c r="FP42" t="n">
        <v>2.742</v>
      </c>
      <c r="FQ42" t="inlineStr">
        <is>
          <t>informe o verificación</t>
        </is>
      </c>
      <c r="FR42" t="inlineStr">
        <is>
          <t>G2010-040</t>
        </is>
      </c>
      <c r="FS42" t="inlineStr">
        <is>
          <t>G2010|G2010-B-INT-4in</t>
        </is>
      </c>
    </row>
    <row r="43">
      <c r="A43" t="inlineStr">
        <is>
          <t>G2010</t>
        </is>
      </c>
      <c r="B43" t="inlineStr">
        <is>
          <t>2010_Golder_Caracterizacion ROM IPCC.pdf</t>
        </is>
      </c>
      <c r="C43" t="n">
        <v>2010</v>
      </c>
      <c r="D43" t="inlineStr">
        <is>
          <t>Golder Associates Perú, Memorando técnico 'Caracterización material de ROM – Proyecto IPCC' (proy. 099-4151017, 25-mar-2010)</t>
        </is>
      </c>
      <c r="E43" t="inlineStr">
        <is>
          <t>Golder Associates Perú – Laboratorio de Mecánica de Suelos (Lima)</t>
        </is>
      </c>
      <c r="F43" t="inlineStr">
        <is>
          <t>G2010-B-INT-4in</t>
        </is>
      </c>
      <c r="G43" t="inlineStr">
        <is>
          <t>GL-483-09 Prueba Nº 3 (σ3c=780 kPa)</t>
        </is>
      </c>
      <c r="H43" t="inlineStr">
        <is>
          <t>Intrusivo</t>
        </is>
      </c>
      <c r="I43" t="inlineStr">
        <is>
          <t>Intrusivo</t>
        </is>
      </c>
      <c r="J43" t="inlineStr"/>
      <c r="K43" t="inlineStr"/>
      <c r="L43" t="inlineStr"/>
      <c r="M43" t="inlineStr">
        <is>
          <t>Chancado</t>
        </is>
      </c>
      <c r="N43" t="inlineStr"/>
      <c r="O43" t="inlineStr">
        <is>
          <t>CU</t>
        </is>
      </c>
      <c r="P43" t="inlineStr">
        <is>
          <t>sí</t>
        </is>
      </c>
      <c r="Q43" t="n">
        <v>100.4</v>
      </c>
      <c r="R43" t="n">
        <v>199.9</v>
      </c>
      <c r="S43" t="n">
        <v>15.9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Truncado: se ensayó la fracción &lt; 5/8" de la matriz; TM de terreno 30" (Fase A, Tabla 2); Fase B chancada, TM 9"–12" según texto pág. 2</t>
        </is>
      </c>
      <c r="AD43" t="n">
        <v>2.742</v>
      </c>
      <c r="AE43" t="n">
        <v>18.03</v>
      </c>
      <c r="AF43" t="n">
        <v>0.492</v>
      </c>
      <c r="AG43" t="inlineStr">
        <is>
          <t>informe</t>
        </is>
      </c>
      <c r="AH43" t="inlineStr"/>
      <c r="AI43" t="n">
        <v>5</v>
      </c>
      <c r="AJ43" t="n">
        <v>54</v>
      </c>
      <c r="AK43" t="n">
        <v>328</v>
      </c>
      <c r="AL43" t="n">
        <v>777</v>
      </c>
      <c r="AM43" t="n">
        <v>449</v>
      </c>
      <c r="AN43" t="inlineStr">
        <is>
          <t>Esfuerzo desviador máximo (criterio impreso en la hoja Golder)</t>
        </is>
      </c>
      <c r="AO43" t="inlineStr"/>
      <c r="AP43" t="n">
        <v>0.6</v>
      </c>
      <c r="AQ43" t="inlineStr"/>
      <c r="AR43" t="n">
        <v>452</v>
      </c>
      <c r="AS43" t="n">
        <v>477.7</v>
      </c>
      <c r="AT43" t="n">
        <v>449</v>
      </c>
      <c r="AU43" t="inlineStr"/>
      <c r="AV43" t="inlineStr"/>
      <c r="AW43" t="inlineStr"/>
      <c r="AX43" t="inlineStr"/>
      <c r="AY43" t="inlineStr"/>
      <c r="AZ43" t="inlineStr"/>
      <c r="BA43" t="inlineStr">
        <is>
          <t>147;149;8;10;49</t>
        </is>
      </c>
      <c r="BB43" t="inlineStr">
        <is>
          <t>sí</t>
        </is>
      </c>
      <c r="BC43" t="inlineStr">
        <is>
          <t>Fase B (material chancado = Chancado). Probeta remoldeada a la densidad mínima δ=1.833 g/cm3 y 5 % de humedad (solicitado por el cliente). Diámetro nominal 4". Inicial: S=27.9 %; final (post-consolidación): gd=1.96 g/cm3, e=0.399. Velocidad 0.125 %/min. Hoja da σ1, σ1', σ3, σ3' en la falla; σ3'f=328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78.06 MPa; Los Ángeles 32.2 %; durabilidad (sulfato de magnesio, pérdida corregida) 18.6 %. Envolvente de la hoja Golder (Mohr máximo, pág. 149): total c=7 kPa φ=12°, efectiva c'=0 kPa φ'=23°. Granulometría de la fracción ensayada no informada (solo granulometría de terreno, ver resumen). Saturación final ≈100 %; el parámetro B no figura en la hoja. SUCS informado por el cliente. VERIFICACIÓN 2026-10-06 (imagen p.147): σ'3c=780; en la falla σ1=1228, σ1'=777, σ3=780, σ3'=328 kPa (impresos); Δu=452 kPa; q=σ'1−σ'3=449 kPa. En la hoja σ1−σ3 (totales) = 448 kPa y σ1'−σ3' = 449 kPa (diferencia de redondeo de la hoja); se adopta el valor efectivo. Tras consolidar: γd=1.96 g/cm3, e=0.399, S=100.0 %. La hoja Golder no tabula la curva (solo gráficos): máxima oblicuidad no informada; el estado de «máximo desviador» es el impreso. Remoldeado a la densidad mínima δ=1.833 gr/cm3 y 5% de humedad, solicitado por el cliente; material &lt;5/8".</t>
        </is>
      </c>
      <c r="BD43" t="n">
        <v>780</v>
      </c>
      <c r="BE43" t="n">
        <v>328</v>
      </c>
      <c r="BF43" t="n">
        <v>777</v>
      </c>
      <c r="BG43" t="n">
        <v>0.6</v>
      </c>
      <c r="BH43" t="n">
        <v>328</v>
      </c>
      <c r="BI43" t="n">
        <v>777</v>
      </c>
      <c r="BJ43" t="n">
        <v>449</v>
      </c>
      <c r="BK43" t="n">
        <v>452</v>
      </c>
      <c r="BL43" t="inlineStr">
        <is>
          <t>no informado</t>
        </is>
      </c>
      <c r="BM43" t="inlineStr">
        <is>
          <t>no informado</t>
        </is>
      </c>
      <c r="BN43" t="inlineStr">
        <is>
          <t>no informado</t>
        </is>
      </c>
      <c r="BO43" t="inlineStr">
        <is>
          <t>no informado</t>
        </is>
      </c>
      <c r="BP43" t="inlineStr">
        <is>
          <t>no informado</t>
        </is>
      </c>
      <c r="BQ43" t="inlineStr">
        <is>
          <t>no informado</t>
        </is>
      </c>
      <c r="BR43" t="inlineStr">
        <is>
          <t>no informado</t>
        </is>
      </c>
      <c r="BS43" t="inlineStr">
        <is>
          <t>no informado</t>
        </is>
      </c>
      <c r="BT43" t="n">
        <v>0.125</v>
      </c>
      <c r="BU43" t="n">
        <v>19.23</v>
      </c>
      <c r="BV43" t="n">
        <v>0.399</v>
      </c>
      <c r="BW43" t="inlineStr">
        <is>
          <t>100.0</t>
        </is>
      </c>
      <c r="BX43" t="inlineStr">
        <is>
          <t>2.742 (D854, «G. Específica Promedio» de la hoja y p.49); e0 recalculado = 0.492</t>
        </is>
      </c>
      <c r="BY43" t="inlineStr">
        <is>
          <t>verificado en imagen; esfuerzos separados (consolidación / falla)</t>
        </is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>
        <is>
          <t>Triaxial CU</t>
        </is>
      </c>
      <c r="EY43" t="inlineStr">
        <is>
          <t>CU: máximo desviador (la fuente no permite máxima oblicuidad)</t>
        </is>
      </c>
      <c r="EZ43" t="n">
        <v>328</v>
      </c>
      <c r="FA43" t="n">
        <v>777</v>
      </c>
      <c r="FB43" t="n">
        <v>449</v>
      </c>
      <c r="FC43" t="n">
        <v>23.97480226734137</v>
      </c>
      <c r="FD43" t="n">
        <v>461.2778280542987</v>
      </c>
      <c r="FE43" t="n">
        <v>205.1310930734512</v>
      </c>
      <c r="FF43" t="inlineStr">
        <is>
          <t>pequeña (&lt;120 mm)</t>
        </is>
      </c>
      <c r="FG43" t="n">
        <v>6.314465408805032</v>
      </c>
      <c r="FH43" t="inlineStr">
        <is>
          <t>Chancado</t>
        </is>
      </c>
      <c r="FI43" t="inlineStr">
        <is>
          <t>dudosa: muestras del acopio de la chancadora secundaria; hojas de Fase A dicen «Material Chancado»</t>
        </is>
      </c>
      <c r="FJ43" t="n">
        <v>0</v>
      </c>
      <c r="FK43" t="inlineStr"/>
      <c r="FL43" t="inlineStr"/>
      <c r="FM43" t="inlineStr">
        <is>
          <t>A</t>
        </is>
      </c>
      <c r="FN43" t="n">
        <v>0.492</v>
      </c>
      <c r="FO43" t="inlineStr"/>
      <c r="FP43" t="n">
        <v>2.742</v>
      </c>
      <c r="FQ43" t="inlineStr">
        <is>
          <t>informe o verificación</t>
        </is>
      </c>
      <c r="FR43" t="inlineStr">
        <is>
          <t>G2010-041</t>
        </is>
      </c>
      <c r="FS43" t="inlineStr">
        <is>
          <t>G2010|G2010-B-INT-4in</t>
        </is>
      </c>
    </row>
    <row r="44">
      <c r="A44" t="inlineStr">
        <is>
          <t>G2010</t>
        </is>
      </c>
      <c r="B44" t="inlineStr">
        <is>
          <t>2010_Golder_Caracterizacion ROM IPCC.pdf</t>
        </is>
      </c>
      <c r="C44" t="n">
        <v>2010</v>
      </c>
      <c r="D44" t="inlineStr">
        <is>
          <t>Golder Associates Perú, Memorando técnico 'Caracterización material de ROM – Proyecto IPCC' (proy. 099-4151017, 25-mar-2010)</t>
        </is>
      </c>
      <c r="E44" t="inlineStr">
        <is>
          <t>Golder Associates Perú – Laboratorio de Mecánica de Suelos (Lima)</t>
        </is>
      </c>
      <c r="F44" t="inlineStr">
        <is>
          <t>G2010-B-EXO-4in</t>
        </is>
      </c>
      <c r="G44" t="inlineStr">
        <is>
          <t>GL-484-09 Prueba Nº 1 (σ3c=391 kPa)</t>
        </is>
      </c>
      <c r="H44" t="inlineStr">
        <is>
          <t>Exoskarn Diopsido</t>
        </is>
      </c>
      <c r="I44" t="inlineStr">
        <is>
          <t>Skarn</t>
        </is>
      </c>
      <c r="J44" t="inlineStr">
        <is>
          <t>exoskarn diópsido</t>
        </is>
      </c>
      <c r="K44" t="inlineStr"/>
      <c r="L44" t="inlineStr"/>
      <c r="M44" t="inlineStr">
        <is>
          <t>Chancado</t>
        </is>
      </c>
      <c r="N44" t="inlineStr"/>
      <c r="O44" t="inlineStr">
        <is>
          <t>CU</t>
        </is>
      </c>
      <c r="P44" t="inlineStr">
        <is>
          <t>sí</t>
        </is>
      </c>
      <c r="Q44" t="n">
        <v>100.4</v>
      </c>
      <c r="R44" t="n">
        <v>199.9</v>
      </c>
      <c r="S44" t="n">
        <v>15.9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Truncado: se ensayó la fracción &lt; 5/8" de la matriz; TM de terreno 19" (Fase A, Tabla 2); Fase B chancada, TM 9"–12" según texto pág. 2</t>
        </is>
      </c>
      <c r="AD44" t="n">
        <v>3.338</v>
      </c>
      <c r="AE44" t="n">
        <v>21.27</v>
      </c>
      <c r="AF44" t="n">
        <v>0.539</v>
      </c>
      <c r="AG44" t="inlineStr">
        <is>
          <t>informe</t>
        </is>
      </c>
      <c r="AH44" t="inlineStr"/>
      <c r="AI44" t="n">
        <v>5</v>
      </c>
      <c r="AJ44" t="n">
        <v>97.40000000000001</v>
      </c>
      <c r="AK44" t="n">
        <v>136</v>
      </c>
      <c r="AL44" t="n">
        <v>380</v>
      </c>
      <c r="AM44" t="n">
        <v>244</v>
      </c>
      <c r="AN44" t="inlineStr">
        <is>
          <t>Esfuerzo desviador máximo (criterio impreso en la hoja Golder)</t>
        </is>
      </c>
      <c r="AO44" t="inlineStr"/>
      <c r="AP44" t="n">
        <v>1.2</v>
      </c>
      <c r="AQ44" t="inlineStr"/>
      <c r="AR44" t="n">
        <v>255</v>
      </c>
      <c r="AS44" t="n">
        <v>217.3</v>
      </c>
      <c r="AT44" t="n">
        <v>244</v>
      </c>
      <c r="AU44" t="inlineStr"/>
      <c r="AV44" t="inlineStr"/>
      <c r="AW44" t="inlineStr"/>
      <c r="AX44" t="inlineStr"/>
      <c r="AY44" t="inlineStr"/>
      <c r="AZ44" t="inlineStr"/>
      <c r="BA44" t="inlineStr">
        <is>
          <t>152;154;8;10;49</t>
        </is>
      </c>
      <c r="BB44" t="inlineStr">
        <is>
          <t>sí</t>
        </is>
      </c>
      <c r="BC44" t="inlineStr">
        <is>
          <t>Fase B (material chancado = Chancado). Probeta remoldeada a la densidad mínima δ=2.161 g/cm3 y 5 % de humedad (solicitado por el cliente). Diámetro nominal 4". Inicial: S=30.9 %; final (post-consolidación): gd=2.284 g/cm3, e=0.461. Velocidad 0.125 %/min. Hoja da σ1, σ1', σ3, σ3' en la falla; σ3'f=136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124.78 MPa; Los Ángeles 27.6 %; durabilidad (sulfato de magnesio, pérdida corregida) 6.7 %. Envolvente de la hoja Golder (Mohr máximo, pág. 154): total c=0 kPa φ=14°, efectiva c'=14 kPa φ'=26°. Granulometría de la fracción ensayada no informada (solo granulometría de terreno, ver resumen). Saturación final ≈100 %; el parámetro B no figura en la hoja. SUCS informado por el cliente. VERIFICACIÓN 2026-10-06 (imagen p.152): σ'3c=391; en la falla σ1=635, σ1'=380, σ3=391, σ3'=136 kPa (impresos); Δu=255 kPa; q=σ'1−σ'3=244 kPa. Tras consolidar: γd=2.284 g/cm3, e=0.461, S=100.2 %. La hoja Golder no tabula la curva (solo gráficos): máxima oblicuidad no informada; el estado de «máximo desviador» es el impreso. Remoldeado a la densidad mínima δ=2.161 gr/cm3 y 5% de humedad, solicitado por el cliente; material &lt;5/8".</t>
        </is>
      </c>
      <c r="BD44" t="n">
        <v>391</v>
      </c>
      <c r="BE44" t="n">
        <v>136</v>
      </c>
      <c r="BF44" t="n">
        <v>380</v>
      </c>
      <c r="BG44" t="n">
        <v>1.2</v>
      </c>
      <c r="BH44" t="n">
        <v>136</v>
      </c>
      <c r="BI44" t="n">
        <v>380</v>
      </c>
      <c r="BJ44" t="n">
        <v>244</v>
      </c>
      <c r="BK44" t="n">
        <v>255</v>
      </c>
      <c r="BL44" t="inlineStr">
        <is>
          <t>no informado</t>
        </is>
      </c>
      <c r="BM44" t="inlineStr">
        <is>
          <t>no informado</t>
        </is>
      </c>
      <c r="BN44" t="inlineStr">
        <is>
          <t>no informado</t>
        </is>
      </c>
      <c r="BO44" t="inlineStr">
        <is>
          <t>no informado</t>
        </is>
      </c>
      <c r="BP44" t="inlineStr">
        <is>
          <t>no informado</t>
        </is>
      </c>
      <c r="BQ44" t="inlineStr">
        <is>
          <t>no informado</t>
        </is>
      </c>
      <c r="BR44" t="inlineStr">
        <is>
          <t>no informado</t>
        </is>
      </c>
      <c r="BS44" t="inlineStr">
        <is>
          <t>no informado</t>
        </is>
      </c>
      <c r="BT44" t="n">
        <v>0.125</v>
      </c>
      <c r="BU44" t="n">
        <v>22.41</v>
      </c>
      <c r="BV44" t="n">
        <v>0.461</v>
      </c>
      <c r="BW44" t="inlineStr">
        <is>
          <t>100.2</t>
        </is>
      </c>
      <c r="BX44" t="inlineStr">
        <is>
          <t>3.338 (D854, «G. Específica Promedio» de la hoja y p.49); e0 recalculado = 0.540</t>
        </is>
      </c>
      <c r="BY44" t="inlineStr">
        <is>
          <t>verificado en imagen; esfuerzos separados (consolidación / falla)</t>
        </is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>
        <is>
          <t>Triaxial CU</t>
        </is>
      </c>
      <c r="EY44" t="inlineStr">
        <is>
          <t>CU: máximo desviador (la fuente no permite máxima oblicuidad)</t>
        </is>
      </c>
      <c r="EZ44" t="n">
        <v>136</v>
      </c>
      <c r="FA44" t="n">
        <v>380</v>
      </c>
      <c r="FB44" t="n">
        <v>244</v>
      </c>
      <c r="FC44" t="n">
        <v>28.2206403680758</v>
      </c>
      <c r="FD44" t="n">
        <v>200.3100775193798</v>
      </c>
      <c r="FE44" t="n">
        <v>107.4982457725708</v>
      </c>
      <c r="FF44" t="inlineStr">
        <is>
          <t>pequeña (&lt;120 mm)</t>
        </is>
      </c>
      <c r="FG44" t="n">
        <v>6.314465408805032</v>
      </c>
      <c r="FH44" t="inlineStr">
        <is>
          <t>Chancado</t>
        </is>
      </c>
      <c r="FI44" t="inlineStr">
        <is>
          <t>dudosa: muestras del acopio de la chancadora secundaria; hojas de Fase A dicen «Material Chancado»</t>
        </is>
      </c>
      <c r="FJ44" t="n">
        <v>0</v>
      </c>
      <c r="FK44" t="inlineStr"/>
      <c r="FL44" t="inlineStr"/>
      <c r="FM44" t="inlineStr">
        <is>
          <t>A</t>
        </is>
      </c>
      <c r="FN44" t="n">
        <v>0.539</v>
      </c>
      <c r="FO44" t="inlineStr"/>
      <c r="FP44" t="n">
        <v>3.338</v>
      </c>
      <c r="FQ44" t="inlineStr">
        <is>
          <t>informe o verificación</t>
        </is>
      </c>
      <c r="FR44" t="inlineStr">
        <is>
          <t>G2010-042</t>
        </is>
      </c>
      <c r="FS44" t="inlineStr">
        <is>
          <t>G2010|G2010-B-EXO-4in</t>
        </is>
      </c>
    </row>
    <row r="45">
      <c r="A45" t="inlineStr">
        <is>
          <t>G2010</t>
        </is>
      </c>
      <c r="B45" t="inlineStr">
        <is>
          <t>2010_Golder_Caracterizacion ROM IPCC.pdf</t>
        </is>
      </c>
      <c r="C45" t="n">
        <v>2010</v>
      </c>
      <c r="D45" t="inlineStr">
        <is>
          <t>Golder Associates Perú, Memorando técnico 'Caracterización material de ROM – Proyecto IPCC' (proy. 099-4151017, 25-mar-2010)</t>
        </is>
      </c>
      <c r="E45" t="inlineStr">
        <is>
          <t>Golder Associates Perú – Laboratorio de Mecánica de Suelos (Lima)</t>
        </is>
      </c>
      <c r="F45" t="inlineStr">
        <is>
          <t>G2010-B-EXO-4in</t>
        </is>
      </c>
      <c r="G45" t="inlineStr">
        <is>
          <t>GL-484-09 Prueba Nº 2 (σ3c=589 kPa)</t>
        </is>
      </c>
      <c r="H45" t="inlineStr">
        <is>
          <t>Exoskarn Diopsido</t>
        </is>
      </c>
      <c r="I45" t="inlineStr">
        <is>
          <t>Skarn</t>
        </is>
      </c>
      <c r="J45" t="inlineStr">
        <is>
          <t>exoskarn diópsido</t>
        </is>
      </c>
      <c r="K45" t="inlineStr"/>
      <c r="L45" t="inlineStr"/>
      <c r="M45" t="inlineStr">
        <is>
          <t>Chancado</t>
        </is>
      </c>
      <c r="N45" t="inlineStr"/>
      <c r="O45" t="inlineStr">
        <is>
          <t>CU</t>
        </is>
      </c>
      <c r="P45" t="inlineStr">
        <is>
          <t>sí</t>
        </is>
      </c>
      <c r="Q45" t="n">
        <v>100.2</v>
      </c>
      <c r="R45" t="n">
        <v>199.9</v>
      </c>
      <c r="S45" t="n">
        <v>15.9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Truncado: se ensayó la fracción &lt; 5/8" de la matriz; TM de terreno 19" (Fase A, Tabla 2); Fase B chancada, TM 9"–12" según texto pág. 2</t>
        </is>
      </c>
      <c r="AD45" t="n">
        <v>3.338</v>
      </c>
      <c r="AE45" t="n">
        <v>21.35</v>
      </c>
      <c r="AF45" t="n">
        <v>0.534</v>
      </c>
      <c r="AG45" t="inlineStr">
        <is>
          <t>informe</t>
        </is>
      </c>
      <c r="AH45" t="inlineStr"/>
      <c r="AI45" t="n">
        <v>5</v>
      </c>
      <c r="AJ45" t="n">
        <v>97.40000000000001</v>
      </c>
      <c r="AK45" t="n">
        <v>205</v>
      </c>
      <c r="AL45" t="n">
        <v>587</v>
      </c>
      <c r="AM45" t="n">
        <v>382</v>
      </c>
      <c r="AN45" t="inlineStr">
        <is>
          <t>Esfuerzo desviador máximo (criterio impreso en la hoja Golder)</t>
        </is>
      </c>
      <c r="AO45" t="inlineStr"/>
      <c r="AP45" t="n">
        <v>1.2</v>
      </c>
      <c r="AQ45" t="inlineStr"/>
      <c r="AR45" t="n">
        <v>384</v>
      </c>
      <c r="AS45" t="n">
        <v>332.3</v>
      </c>
      <c r="AT45" t="n">
        <v>382</v>
      </c>
      <c r="AU45" t="inlineStr"/>
      <c r="AV45" t="inlineStr"/>
      <c r="AW45" t="inlineStr"/>
      <c r="AX45" t="inlineStr"/>
      <c r="AY45" t="inlineStr"/>
      <c r="AZ45" t="inlineStr"/>
      <c r="BA45" t="inlineStr">
        <is>
          <t>152;154;8;10;49</t>
        </is>
      </c>
      <c r="BB45" t="inlineStr">
        <is>
          <t>sí</t>
        </is>
      </c>
      <c r="BC45" t="inlineStr">
        <is>
          <t>Fase B (material chancado = Chancado). Probeta remoldeada a la densidad mínima δ=2.161 g/cm3 y 5 % de humedad (solicitado por el cliente). Diámetro nominal 4". Inicial: S=31.3 %; final (post-consolidación): gd=2.34 g/cm3, e=0.427. Velocidad 0.125 %/min. Hoja da σ1, σ1', σ3, σ3' en la falla; σ3'f=205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124.78 MPa; Los Ángeles 27.6 %; durabilidad (sulfato de magnesio, pérdida corregida) 6.7 %. Envolvente de la hoja Golder (Mohr máximo, pág. 154): total c=0 kPa φ=14°, efectiva c'=14 kPa φ'=26°. Granulometría de la fracción ensayada no informada (solo granulometría de terreno, ver resumen). Saturación final ≈100 %; el parámetro B no figura en la hoja. SUCS informado por el cliente. VERIFICACIÓN 2026-10-06 (imagen p.152): σ'3c=589; en la falla σ1=971, σ1'=587, σ3=589, σ3'=205 kPa (impresos); Δu=384 kPa; q=σ'1−σ'3=382 kPa. Tras consolidar: γd=2.34 g/cm3, e=0.427, S=100.2 %. La hoja Golder no tabula la curva (solo gráficos): máxima oblicuidad no informada; el estado de «máximo desviador» es el impreso. Remoldeado a la densidad mínima δ=2.161 gr/cm3 y 5% de humedad, solicitado por el cliente; material &lt;5/8".</t>
        </is>
      </c>
      <c r="BD45" t="n">
        <v>589</v>
      </c>
      <c r="BE45" t="n">
        <v>205</v>
      </c>
      <c r="BF45" t="n">
        <v>587</v>
      </c>
      <c r="BG45" t="n">
        <v>1.2</v>
      </c>
      <c r="BH45" t="n">
        <v>205</v>
      </c>
      <c r="BI45" t="n">
        <v>587</v>
      </c>
      <c r="BJ45" t="n">
        <v>382</v>
      </c>
      <c r="BK45" t="n">
        <v>384</v>
      </c>
      <c r="BL45" t="inlineStr">
        <is>
          <t>no informado</t>
        </is>
      </c>
      <c r="BM45" t="inlineStr">
        <is>
          <t>no informado</t>
        </is>
      </c>
      <c r="BN45" t="inlineStr">
        <is>
          <t>no informado</t>
        </is>
      </c>
      <c r="BO45" t="inlineStr">
        <is>
          <t>no informado</t>
        </is>
      </c>
      <c r="BP45" t="inlineStr">
        <is>
          <t>no informado</t>
        </is>
      </c>
      <c r="BQ45" t="inlineStr">
        <is>
          <t>no informado</t>
        </is>
      </c>
      <c r="BR45" t="inlineStr">
        <is>
          <t>no informado</t>
        </is>
      </c>
      <c r="BS45" t="inlineStr">
        <is>
          <t>no informado</t>
        </is>
      </c>
      <c r="BT45" t="n">
        <v>0.125</v>
      </c>
      <c r="BU45" t="n">
        <v>22.96</v>
      </c>
      <c r="BV45" t="n">
        <v>0.427</v>
      </c>
      <c r="BW45" t="inlineStr">
        <is>
          <t>100.2</t>
        </is>
      </c>
      <c r="BX45" t="inlineStr">
        <is>
          <t>3.338 (D854, «G. Específica Promedio» de la hoja y p.49); e0 recalculado = 0.534</t>
        </is>
      </c>
      <c r="BY45" t="inlineStr">
        <is>
          <t>verificado en imagen; esfuerzos separados (consolidación / falla)</t>
        </is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>
        <is>
          <t>Triaxial CU</t>
        </is>
      </c>
      <c r="EY45" t="inlineStr">
        <is>
          <t>CU: máximo desviador (la fuente no permite máxima oblicuidad)</t>
        </is>
      </c>
      <c r="EZ45" t="n">
        <v>205</v>
      </c>
      <c r="FA45" t="n">
        <v>587</v>
      </c>
      <c r="FB45" t="n">
        <v>382</v>
      </c>
      <c r="FC45" t="n">
        <v>28.83724622621618</v>
      </c>
      <c r="FD45" t="n">
        <v>303.8762626262626</v>
      </c>
      <c r="FE45" t="n">
        <v>167.3147244336094</v>
      </c>
      <c r="FF45" t="inlineStr">
        <is>
          <t>pequeña (&lt;120 mm)</t>
        </is>
      </c>
      <c r="FG45" t="n">
        <v>6.30188679245283</v>
      </c>
      <c r="FH45" t="inlineStr">
        <is>
          <t>Chancado</t>
        </is>
      </c>
      <c r="FI45" t="inlineStr">
        <is>
          <t>dudosa: muestras del acopio de la chancadora secundaria; hojas de Fase A dicen «Material Chancado»</t>
        </is>
      </c>
      <c r="FJ45" t="n">
        <v>0</v>
      </c>
      <c r="FK45" t="inlineStr"/>
      <c r="FL45" t="inlineStr"/>
      <c r="FM45" t="inlineStr">
        <is>
          <t>A</t>
        </is>
      </c>
      <c r="FN45" t="n">
        <v>0.534</v>
      </c>
      <c r="FO45" t="inlineStr"/>
      <c r="FP45" t="n">
        <v>3.338</v>
      </c>
      <c r="FQ45" t="inlineStr">
        <is>
          <t>informe o verificación</t>
        </is>
      </c>
      <c r="FR45" t="inlineStr">
        <is>
          <t>G2010-043</t>
        </is>
      </c>
      <c r="FS45" t="inlineStr">
        <is>
          <t>G2010|G2010-B-EXO-4in</t>
        </is>
      </c>
    </row>
    <row r="46">
      <c r="A46" t="inlineStr">
        <is>
          <t>G2010</t>
        </is>
      </c>
      <c r="B46" t="inlineStr">
        <is>
          <t>2010_Golder_Caracterizacion ROM IPCC.pdf</t>
        </is>
      </c>
      <c r="C46" t="n">
        <v>2010</v>
      </c>
      <c r="D46" t="inlineStr">
        <is>
          <t>Golder Associates Perú, Memorando técnico 'Caracterización material de ROM – Proyecto IPCC' (proy. 099-4151017, 25-mar-2010)</t>
        </is>
      </c>
      <c r="E46" t="inlineStr">
        <is>
          <t>Golder Associates Perú – Laboratorio de Mecánica de Suelos (Lima)</t>
        </is>
      </c>
      <c r="F46" t="inlineStr">
        <is>
          <t>G2010-B-EXO-4in</t>
        </is>
      </c>
      <c r="G46" t="inlineStr">
        <is>
          <t>GL-484-09 Prueba Nº 3 (σ3c=784 kPa)</t>
        </is>
      </c>
      <c r="H46" t="inlineStr">
        <is>
          <t>Exoskarn Diopsido</t>
        </is>
      </c>
      <c r="I46" t="inlineStr">
        <is>
          <t>Skarn</t>
        </is>
      </c>
      <c r="J46" t="inlineStr">
        <is>
          <t>exoskarn diópsido</t>
        </is>
      </c>
      <c r="K46" t="inlineStr"/>
      <c r="L46" t="inlineStr"/>
      <c r="M46" t="inlineStr">
        <is>
          <t>Chancado</t>
        </is>
      </c>
      <c r="N46" t="inlineStr"/>
      <c r="O46" t="inlineStr">
        <is>
          <t>CU</t>
        </is>
      </c>
      <c r="P46" t="inlineStr">
        <is>
          <t>sí</t>
        </is>
      </c>
      <c r="Q46" t="n">
        <v>100.3</v>
      </c>
      <c r="R46" t="n">
        <v>199.9</v>
      </c>
      <c r="S46" t="n">
        <v>15.9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Truncado: se ensayó la fracción &lt; 5/8" de la matriz; TM de terreno 19" (Fase A, Tabla 2); Fase B chancada, TM 9"–12" según texto pág. 2</t>
        </is>
      </c>
      <c r="AD46" t="n">
        <v>3.338</v>
      </c>
      <c r="AE46" t="n">
        <v>21.3</v>
      </c>
      <c r="AF46" t="n">
        <v>0.538</v>
      </c>
      <c r="AG46" t="inlineStr">
        <is>
          <t>informe</t>
        </is>
      </c>
      <c r="AH46" t="inlineStr"/>
      <c r="AI46" t="n">
        <v>5</v>
      </c>
      <c r="AJ46" t="n">
        <v>97.40000000000001</v>
      </c>
      <c r="AK46" t="n">
        <v>307</v>
      </c>
      <c r="AL46" t="n">
        <v>817</v>
      </c>
      <c r="AM46" t="n">
        <v>510</v>
      </c>
      <c r="AN46" t="inlineStr">
        <is>
          <t>Esfuerzo desviador máximo (criterio impreso en la hoja Golder)</t>
        </is>
      </c>
      <c r="AO46" t="inlineStr"/>
      <c r="AP46" t="n">
        <v>1.2</v>
      </c>
      <c r="AQ46" t="inlineStr"/>
      <c r="AR46" t="n">
        <v>477</v>
      </c>
      <c r="AS46" t="n">
        <v>477</v>
      </c>
      <c r="AT46" t="n">
        <v>510</v>
      </c>
      <c r="AU46" t="inlineStr"/>
      <c r="AV46" t="inlineStr"/>
      <c r="AW46" t="inlineStr"/>
      <c r="AX46" t="inlineStr"/>
      <c r="AY46" t="inlineStr"/>
      <c r="AZ46" t="inlineStr"/>
      <c r="BA46" t="inlineStr">
        <is>
          <t>152;154;8;10;49</t>
        </is>
      </c>
      <c r="BB46" t="inlineStr">
        <is>
          <t>sí</t>
        </is>
      </c>
      <c r="BC46" t="inlineStr">
        <is>
          <t>Fase B (material chancado = Chancado). Probeta remoldeada a la densidad mínima δ=2.161 g/cm3 y 5 % de humedad (solicitado por el cliente). Diámetro nominal 4". Inicial: S=31.0 %; final (post-consolidación): gd=2.418 g/cm3, e=0.38. Velocidad 0.125 %/min. Hoja da σ1, σ1', σ3, σ3' en la falla; σ3'f=307 kPa. [Convención corregida en la verificación: sigma3_kPa y sigma1_kPa son ahora σ'3 y σ'1 en la falla; σ'3 de consolidación en sigma3c_kPa.] u_falla = Δu en la falla = σ3 − σ'3 impresos (negativo = succión/dilatancia). p_falla = (σ'1+2σ'3)/3 (calculado), q_falla_und = σ'1−σ'3. Gs = D854 de finos (hoja CU y pág. 49). UCS_MPa = compresión simple de laboratorio (promedio de 2, Tabla 2); σc por carga puntual = 124.78 MPa; Los Ángeles 27.6 %; durabilidad (sulfato de magnesio, pérdida corregida) 6.7 %. Envolvente de la hoja Golder (Mohr máximo, pág. 154): total c=0 kPa φ=14°, efectiva c'=14 kPa φ'=26°. Granulometría de la fracción ensayada no informada (solo granulometría de terreno, ver resumen). Saturación final ≈100 %; el parámetro B no figura en la hoja. SUCS informado por el cliente. VERIFICACIÓN 2026-10-06 (imagen p.152): σ'3c=784; en la falla σ1=1295, σ1'=817, σ3=784, σ3'=307 kPa (impresos); Δu=477 kPa; q=σ'1−σ'3=510 kPa. En la hoja σ1−σ3 (totales) = 511 kPa y σ1'−σ3' = 510 kPa (diferencia de redondeo de la hoja); se adopta el valor efectivo. Tras consolidar: γd=2.418 g/cm3, e=0.38, S=100.4 %. La hoja Golder no tabula la curva (solo gráficos): máxima oblicuidad no informada; el estado de «máximo desviador» es el impreso. Remoldeado a la densidad mínima δ=2.161 gr/cm3 y 5% de humedad, solicitado por el cliente; material &lt;5/8".</t>
        </is>
      </c>
      <c r="BD46" t="n">
        <v>784</v>
      </c>
      <c r="BE46" t="n">
        <v>307</v>
      </c>
      <c r="BF46" t="n">
        <v>817</v>
      </c>
      <c r="BG46" t="n">
        <v>1.2</v>
      </c>
      <c r="BH46" t="n">
        <v>307</v>
      </c>
      <c r="BI46" t="n">
        <v>817</v>
      </c>
      <c r="BJ46" t="n">
        <v>510</v>
      </c>
      <c r="BK46" t="n">
        <v>477</v>
      </c>
      <c r="BL46" t="inlineStr">
        <is>
          <t>no informado</t>
        </is>
      </c>
      <c r="BM46" t="inlineStr">
        <is>
          <t>no informado</t>
        </is>
      </c>
      <c r="BN46" t="inlineStr">
        <is>
          <t>no informado</t>
        </is>
      </c>
      <c r="BO46" t="inlineStr">
        <is>
          <t>no informado</t>
        </is>
      </c>
      <c r="BP46" t="inlineStr">
        <is>
          <t>no informado</t>
        </is>
      </c>
      <c r="BQ46" t="inlineStr">
        <is>
          <t>no informado</t>
        </is>
      </c>
      <c r="BR46" t="inlineStr">
        <is>
          <t>no informado</t>
        </is>
      </c>
      <c r="BS46" t="inlineStr">
        <is>
          <t>no informado</t>
        </is>
      </c>
      <c r="BT46" t="n">
        <v>0.125</v>
      </c>
      <c r="BU46" t="n">
        <v>23.72</v>
      </c>
      <c r="BV46" t="n">
        <v>0.38</v>
      </c>
      <c r="BW46" t="inlineStr">
        <is>
          <t>100.4</t>
        </is>
      </c>
      <c r="BX46" t="inlineStr">
        <is>
          <t>3.338 (D854, «G. Específica Promedio» de la hoja y p.49); e0 recalculado = 0.538</t>
        </is>
      </c>
      <c r="BY46" t="inlineStr">
        <is>
          <t>verificado en imagen; esfuerzos separados (consolidación / falla)</t>
        </is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>
        <is>
          <t>Triaxial CU</t>
        </is>
      </c>
      <c r="EY46" t="inlineStr">
        <is>
          <t>CU: máximo desviador (la fuente no permite máxima oblicuidad)</t>
        </is>
      </c>
      <c r="EZ46" t="n">
        <v>307</v>
      </c>
      <c r="FA46" t="n">
        <v>817</v>
      </c>
      <c r="FB46" t="n">
        <v>510</v>
      </c>
      <c r="FC46" t="n">
        <v>26.98367779835488</v>
      </c>
      <c r="FD46" t="n">
        <v>446.297153024911</v>
      </c>
      <c r="FE46" t="n">
        <v>227.2396338710727</v>
      </c>
      <c r="FF46" t="inlineStr">
        <is>
          <t>pequeña (&lt;120 mm)</t>
        </is>
      </c>
      <c r="FG46" t="n">
        <v>6.308176100628931</v>
      </c>
      <c r="FH46" t="inlineStr">
        <is>
          <t>Chancado</t>
        </is>
      </c>
      <c r="FI46" t="inlineStr">
        <is>
          <t>dudosa: muestras del acopio de la chancadora secundaria; hojas de Fase A dicen «Material Chancado»</t>
        </is>
      </c>
      <c r="FJ46" t="n">
        <v>0</v>
      </c>
      <c r="FK46" t="inlineStr"/>
      <c r="FL46" t="inlineStr"/>
      <c r="FM46" t="inlineStr">
        <is>
          <t>A</t>
        </is>
      </c>
      <c r="FN46" t="n">
        <v>0.538</v>
      </c>
      <c r="FO46" t="inlineStr"/>
      <c r="FP46" t="n">
        <v>3.338</v>
      </c>
      <c r="FQ46" t="inlineStr">
        <is>
          <t>informe o verificación</t>
        </is>
      </c>
      <c r="FR46" t="inlineStr">
        <is>
          <t>G2010-044</t>
        </is>
      </c>
      <c r="FS46" t="inlineStr">
        <is>
          <t>G2010|G2010-B-EXO-4in</t>
        </is>
      </c>
    </row>
    <row r="47">
      <c r="A47" t="inlineStr">
        <is>
          <t>G2010</t>
        </is>
      </c>
      <c r="B47" t="inlineStr">
        <is>
          <t>2010_Golder_Caracterizacion ROM IPCC.pdf</t>
        </is>
      </c>
      <c r="C47" t="n">
        <v>2010</v>
      </c>
      <c r="D47" t="inlineStr">
        <is>
          <t>Golder Associates Perú, Memorando técnico 'Caracterización material de ROM – Proyecto IPCC' (proy. 099-4151017, 25-mar-2010)</t>
        </is>
      </c>
      <c r="E47" t="inlineStr">
        <is>
          <t>Vector Perú S.A.C. – Laboratorio Geotécnico (Lima), informe VP-209-09E</t>
        </is>
      </c>
      <c r="F47" t="inlineStr">
        <is>
          <t>G2010-B-MN-6in</t>
        </is>
      </c>
      <c r="G47" t="inlineStr">
        <is>
          <t>VP-209-09E σ'c=500 kPa</t>
        </is>
      </c>
      <c r="H47" t="inlineStr">
        <is>
          <t>Mármol Negro</t>
        </is>
      </c>
      <c r="I47" t="inlineStr">
        <is>
          <t>Mármol</t>
        </is>
      </c>
      <c r="J47" t="inlineStr">
        <is>
          <t>mármol negro</t>
        </is>
      </c>
      <c r="K47" t="inlineStr"/>
      <c r="L47" t="inlineStr"/>
      <c r="M47" t="inlineStr">
        <is>
          <t>Chancado</t>
        </is>
      </c>
      <c r="N47" t="inlineStr"/>
      <c r="O47" t="inlineStr">
        <is>
          <t>CU</t>
        </is>
      </c>
      <c r="P47" t="inlineStr">
        <is>
          <t>sí</t>
        </is>
      </c>
      <c r="Q47" t="n">
        <v>151.2</v>
      </c>
      <c r="R47" t="n">
        <v>310</v>
      </c>
      <c r="S47" t="n">
        <v>25.4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Truncado: fracción &lt; 1" (memo pág. 3); Fase B chancada, TM 9"–12" según texto pág. 2</t>
        </is>
      </c>
      <c r="AD47" t="n">
        <v>2.747</v>
      </c>
      <c r="AE47" t="n">
        <v>19.88</v>
      </c>
      <c r="AF47" t="n">
        <v>0.355</v>
      </c>
      <c r="AG47" t="inlineStr">
        <is>
          <t>calculado</t>
        </is>
      </c>
      <c r="AH47" t="inlineStr"/>
      <c r="AI47" t="n">
        <v>4.5</v>
      </c>
      <c r="AJ47" t="n">
        <v>49.6</v>
      </c>
      <c r="AK47" t="n">
        <v>383.42</v>
      </c>
      <c r="AL47" t="n">
        <v>1565.07</v>
      </c>
      <c r="AM47" t="n">
        <v>1181.65</v>
      </c>
      <c r="AN47" t="inlineStr">
        <is>
          <t>Pico de esfuerzo desviador (criterio de Vector; primer máximo)</t>
        </is>
      </c>
      <c r="AO47" t="inlineStr"/>
      <c r="AP47" t="n">
        <v>1.5</v>
      </c>
      <c r="AQ47" t="inlineStr"/>
      <c r="AR47" t="n">
        <v>116.58</v>
      </c>
      <c r="AS47" t="n">
        <v>777.3</v>
      </c>
      <c r="AT47" t="n">
        <v>1181.65</v>
      </c>
      <c r="AU47" t="inlineStr"/>
      <c r="AV47" t="inlineStr"/>
      <c r="AW47" t="inlineStr"/>
      <c r="AX47" t="inlineStr"/>
      <c r="AY47" t="inlineStr"/>
      <c r="AZ47" t="inlineStr"/>
      <c r="BA47" t="inlineStr">
        <is>
          <t>161;165;3;10;49</t>
        </is>
      </c>
      <c r="BB47" t="inlineStr">
        <is>
          <t>sí</t>
        </is>
      </c>
      <c r="BC47" t="inlineStr">
        <is>
          <t xml:space="preserve">Fase B (material chancado). Probeta 6" ensayada por Vector para Golder (Estado: remoldeado). Presión de celda 707 kPa, contrapresión 207 kPa, B=0.88 (&lt;0.95). Velocidad 0.01 pulg/min. Final: H=30.85 cm, D=15.03 cm, w=8.5 %, gd=2.06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165): c=60 kPa φ=29.6° (totales), c'=25 kPa φ'=36.4°; al 12 %: c'=10 kPa φ'=38°. Cabeceras de Mármol e Intrusivo idénticas en altura/diámetro/humedad/densidad inicial (posible copia de plantilla). σc carga puntual 24.56 MPa; Los Ángeles 62.4 %; durabilidad 49.8 %. VERIFICACIÓN 2026-10-06 (imagen p.161): σ'3c=500 kPa, celda 707 kPa, contrapresión 207 kPa, B=0.88, velocidad 0.01 pulg/min. Pico Vector εa=1.5 %: σ'3=383.42, σ'1=1565.07, q=1181.65, Δu=116.58 kPa. Máximo desviador del ensayo: εa=1.5 %, q=1181.65 kPa. Máxima oblicuidad: σ'1/σ'3=4.495 a εa=14.0 %. Final de consolidación (Vector): H=30.85 cm, D=15.03 cm, γd=2.06 g/cm3, w final=8.5 %. Las cabeceras de mármol negro e intrusivo 6" repiten w inicial 4.50 % y w final 8.50/8.84/9.56 % (posible plantilla copiada). </t>
        </is>
      </c>
      <c r="BD47" t="n">
        <v>500</v>
      </c>
      <c r="BE47" t="n">
        <v>383.42</v>
      </c>
      <c r="BF47" t="n">
        <v>1565.07</v>
      </c>
      <c r="BG47" t="n">
        <v>1.5</v>
      </c>
      <c r="BH47" t="n">
        <v>383.42</v>
      </c>
      <c r="BI47" t="n">
        <v>1565.07</v>
      </c>
      <c r="BJ47" t="n">
        <v>1181.65</v>
      </c>
      <c r="BK47" t="n">
        <v>116.58</v>
      </c>
      <c r="BL47" t="inlineStr">
        <is>
          <t>14.0</t>
        </is>
      </c>
      <c r="BM47" t="inlineStr">
        <is>
          <t>210.3</t>
        </is>
      </c>
      <c r="BN47" t="inlineStr">
        <is>
          <t>945.32</t>
        </is>
      </c>
      <c r="BO47" t="inlineStr">
        <is>
          <t>735.02</t>
        </is>
      </c>
      <c r="BP47" t="inlineStr">
        <is>
          <t>289.7</t>
        </is>
      </c>
      <c r="BQ47" t="inlineStr">
        <is>
          <t>4.495</t>
        </is>
      </c>
      <c r="BR47" t="inlineStr">
        <is>
          <t>0.88</t>
        </is>
      </c>
      <c r="BS47" t="inlineStr">
        <is>
          <t>207</t>
        </is>
      </c>
      <c r="BT47" t="n">
        <v>0.082</v>
      </c>
      <c r="BU47" t="n">
        <v>20.21</v>
      </c>
      <c r="BV47" t="n">
        <v>0.333</v>
      </c>
      <c r="BW47" t="inlineStr">
        <is>
          <t>no informado</t>
        </is>
      </c>
      <c r="BX47" t="inlineStr">
        <is>
          <t>2.747 (D854 Golder, p.49; Vector no informa Gs)</t>
        </is>
      </c>
      <c r="BY47" t="inlineStr">
        <is>
          <t>verificado en imagen; esfuerzos separados; estados de máximo desviador y máxima oblicuidad de la tabla Vector</t>
        </is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>
        <is>
          <t>Triaxial CU</t>
        </is>
      </c>
      <c r="EY47" t="inlineStr">
        <is>
          <t>CU: máxima oblicuidad σ′1/σ′3</t>
        </is>
      </c>
      <c r="EZ47" t="n">
        <v>210.3</v>
      </c>
      <c r="FA47" t="n">
        <v>945.3200000000001</v>
      </c>
      <c r="FB47" t="n">
        <v>735.02</v>
      </c>
      <c r="FC47" t="n">
        <v>39.49712706659278</v>
      </c>
      <c r="FD47" t="n">
        <v>344.0591128571677</v>
      </c>
      <c r="FE47" t="n">
        <v>283.5914717687026</v>
      </c>
      <c r="FF47" t="inlineStr">
        <is>
          <t>6 in (≈150 mm)</t>
        </is>
      </c>
      <c r="FG47" t="n">
        <v>5.952755905511811</v>
      </c>
      <c r="FH47" t="inlineStr">
        <is>
          <t>Chancado</t>
        </is>
      </c>
      <c r="FI47" t="inlineStr">
        <is>
          <t>dudosa: muestras del acopio de la chancadora secundaria; hojas de Fase A dicen «Material Chancado»</t>
        </is>
      </c>
      <c r="FJ47" t="n">
        <v>0</v>
      </c>
      <c r="FK47" t="inlineStr"/>
      <c r="FL47" t="inlineStr"/>
      <c r="FM47" t="inlineStr">
        <is>
          <t>A</t>
        </is>
      </c>
      <c r="FN47" t="n">
        <v>0.355</v>
      </c>
      <c r="FO47" t="inlineStr"/>
      <c r="FP47" t="n">
        <v>2.747</v>
      </c>
      <c r="FQ47" t="inlineStr">
        <is>
          <t>informe o verificación</t>
        </is>
      </c>
      <c r="FR47" t="inlineStr">
        <is>
          <t>G2010-045</t>
        </is>
      </c>
      <c r="FS47" t="inlineStr">
        <is>
          <t>G2010|G2010-B-MN-6in</t>
        </is>
      </c>
    </row>
    <row r="48">
      <c r="A48" t="inlineStr">
        <is>
          <t>G2010</t>
        </is>
      </c>
      <c r="B48" t="inlineStr">
        <is>
          <t>2010_Golder_Caracterizacion ROM IPCC.pdf</t>
        </is>
      </c>
      <c r="C48" t="n">
        <v>2010</v>
      </c>
      <c r="D48" t="inlineStr">
        <is>
          <t>Golder Associates Perú, Memorando técnico 'Caracterización material de ROM – Proyecto IPCC' (proy. 099-4151017, 25-mar-2010)</t>
        </is>
      </c>
      <c r="E48" t="inlineStr">
        <is>
          <t>Vector Perú S.A.C. – Laboratorio Geotécnico (Lima), informe VP-209-09E</t>
        </is>
      </c>
      <c r="F48" t="inlineStr">
        <is>
          <t>G2010-B-MN-6in</t>
        </is>
      </c>
      <c r="G48" t="inlineStr">
        <is>
          <t>VP-209-09E σ'c=250 kPa</t>
        </is>
      </c>
      <c r="H48" t="inlineStr">
        <is>
          <t>Mármol Negro</t>
        </is>
      </c>
      <c r="I48" t="inlineStr">
        <is>
          <t>Mármol</t>
        </is>
      </c>
      <c r="J48" t="inlineStr">
        <is>
          <t>mármol negro</t>
        </is>
      </c>
      <c r="K48" t="inlineStr"/>
      <c r="L48" t="inlineStr"/>
      <c r="M48" t="inlineStr">
        <is>
          <t>Chancado</t>
        </is>
      </c>
      <c r="N48" t="inlineStr"/>
      <c r="O48" t="inlineStr">
        <is>
          <t>CU</t>
        </is>
      </c>
      <c r="P48" t="inlineStr">
        <is>
          <t>sí</t>
        </is>
      </c>
      <c r="Q48" t="n">
        <v>151.2</v>
      </c>
      <c r="R48" t="n">
        <v>310</v>
      </c>
      <c r="S48" t="n">
        <v>25.4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Truncado: fracción &lt; 1" (memo pág. 3); Fase B chancada, TM 9"–12" según texto pág. 2</t>
        </is>
      </c>
      <c r="AD48" t="n">
        <v>2.747</v>
      </c>
      <c r="AE48" t="n">
        <v>19.87</v>
      </c>
      <c r="AF48" t="n">
        <v>0.357</v>
      </c>
      <c r="AG48" t="inlineStr">
        <is>
          <t>calculado</t>
        </is>
      </c>
      <c r="AH48" t="inlineStr"/>
      <c r="AI48" t="n">
        <v>4.5</v>
      </c>
      <c r="AJ48" t="n">
        <v>49.6</v>
      </c>
      <c r="AK48" t="n">
        <v>209.23</v>
      </c>
      <c r="AL48" t="n">
        <v>857.74</v>
      </c>
      <c r="AM48" t="n">
        <v>648.52</v>
      </c>
      <c r="AN48" t="inlineStr">
        <is>
          <t>Pico de esfuerzo desviador (criterio de Vector; primer máximo)</t>
        </is>
      </c>
      <c r="AO48" t="inlineStr"/>
      <c r="AP48" t="n">
        <v>1</v>
      </c>
      <c r="AQ48" t="inlineStr"/>
      <c r="AR48" t="n">
        <v>40.77</v>
      </c>
      <c r="AS48" t="n">
        <v>425.4</v>
      </c>
      <c r="AT48" t="n">
        <v>648.52</v>
      </c>
      <c r="AU48" t="inlineStr"/>
      <c r="AV48" t="inlineStr"/>
      <c r="AW48" t="inlineStr"/>
      <c r="AX48" t="inlineStr"/>
      <c r="AY48" t="inlineStr"/>
      <c r="AZ48" t="inlineStr"/>
      <c r="BA48" t="inlineStr">
        <is>
          <t>162;165;3;10;49</t>
        </is>
      </c>
      <c r="BB48" t="inlineStr">
        <is>
          <t>sí</t>
        </is>
      </c>
      <c r="BC48" t="inlineStr">
        <is>
          <t xml:space="preserve">Fase B (material chancado). Probeta 6" ensayada por Vector para Golder (Estado: remoldeado). Presión de celda 455 kPa, contrapresión 205 kPa, B=0.87 (&lt;0.95). Velocidad 0.01 pulg/min. Final: H=30.89 cm, D=15.06 cm, w=8.84 %, gd=2.051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165): c=60 kPa φ=29.6° (totales), c'=25 kPa φ'=36.4°; al 12 %: c'=10 kPa φ'=38°. Cabeceras de Mármol e Intrusivo idénticas en altura/diámetro/humedad/densidad inicial (posible copia de plantilla). σc carga puntual 24.56 MPa; Los Ángeles 62.4 %; durabilidad 49.8 %. VERIFICACIÓN 2026-10-06 (imagen p.162): σ'3c=250 kPa, celda 455 kPa, contrapresión 205 kPa, B=0.87, velocidad 0.01 pulg/min. Pico Vector εa=1.0 %: σ'3=209.23, σ'1=857.74, q=648.52, Δu=40.77 kPa. Máximo desviador del ensayo: εa=1.0 %, q=648.52 kPa. Máxima oblicuidad: σ'1/σ'3=4.130 a εa=1.25 %. Final de consolidación (Vector): H=30.89 cm, D=15.06 cm, γd=2.051 g/cm3, w final=8.84 %. Las cabeceras de mármol negro e intrusivo 6" repiten w inicial 4.50 % y w final 8.50/8.84/9.56 % (posible plantilla copiada). </t>
        </is>
      </c>
      <c r="BD48" t="n">
        <v>250</v>
      </c>
      <c r="BE48" t="n">
        <v>209.23</v>
      </c>
      <c r="BF48" t="n">
        <v>857.74</v>
      </c>
      <c r="BG48" t="n">
        <v>1</v>
      </c>
      <c r="BH48" t="n">
        <v>209.23</v>
      </c>
      <c r="BI48" t="n">
        <v>857.74</v>
      </c>
      <c r="BJ48" t="n">
        <v>648.52</v>
      </c>
      <c r="BK48" t="n">
        <v>40.77</v>
      </c>
      <c r="BL48" t="inlineStr">
        <is>
          <t>1.25</t>
        </is>
      </c>
      <c r="BM48" t="inlineStr">
        <is>
          <t>207.05</t>
        </is>
      </c>
      <c r="BN48" t="inlineStr">
        <is>
          <t>855.09</t>
        </is>
      </c>
      <c r="BO48" t="inlineStr">
        <is>
          <t>648.05</t>
        </is>
      </c>
      <c r="BP48" t="inlineStr">
        <is>
          <t>42.95</t>
        </is>
      </c>
      <c r="BQ48" t="inlineStr">
        <is>
          <t>4.13</t>
        </is>
      </c>
      <c r="BR48" t="inlineStr">
        <is>
          <t>0.87</t>
        </is>
      </c>
      <c r="BS48" t="inlineStr">
        <is>
          <t>205</t>
        </is>
      </c>
      <c r="BT48" t="n">
        <v>0.082</v>
      </c>
      <c r="BU48" t="n">
        <v>20.12</v>
      </c>
      <c r="BV48" t="n">
        <v>0.339</v>
      </c>
      <c r="BW48" t="inlineStr">
        <is>
          <t>no informado</t>
        </is>
      </c>
      <c r="BX48" t="inlineStr">
        <is>
          <t>2.747 (D854 Golder, p.49; Vector no informa Gs)</t>
        </is>
      </c>
      <c r="BY48" t="inlineStr">
        <is>
          <t>verificado en imagen; esfuerzos separados; estados de máximo desviador y máxima oblicuidad de la tabla Vector</t>
        </is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>
        <is>
          <t>Triaxial CU</t>
        </is>
      </c>
      <c r="EY48" t="inlineStr">
        <is>
          <t>CU: máxima oblicuidad σ′1/σ′3</t>
        </is>
      </c>
      <c r="EZ48" t="n">
        <v>207.05</v>
      </c>
      <c r="FA48" t="n">
        <v>855.09</v>
      </c>
      <c r="FB48" t="n">
        <v>648.04</v>
      </c>
      <c r="FC48" t="n">
        <v>37.59866659229748</v>
      </c>
      <c r="FD48" t="n">
        <v>333.376738471388</v>
      </c>
      <c r="FE48" t="n">
        <v>256.7222910971694</v>
      </c>
      <c r="FF48" t="inlineStr">
        <is>
          <t>6 in (≈150 mm)</t>
        </is>
      </c>
      <c r="FG48" t="n">
        <v>5.952755905511811</v>
      </c>
      <c r="FH48" t="inlineStr">
        <is>
          <t>Chancado</t>
        </is>
      </c>
      <c r="FI48" t="inlineStr">
        <is>
          <t>dudosa: muestras del acopio de la chancadora secundaria; hojas de Fase A dicen «Material Chancado»</t>
        </is>
      </c>
      <c r="FJ48" t="n">
        <v>0</v>
      </c>
      <c r="FK48" t="inlineStr"/>
      <c r="FL48" t="inlineStr"/>
      <c r="FM48" t="inlineStr">
        <is>
          <t>A</t>
        </is>
      </c>
      <c r="FN48" t="n">
        <v>0.357</v>
      </c>
      <c r="FO48" t="inlineStr"/>
      <c r="FP48" t="n">
        <v>2.747</v>
      </c>
      <c r="FQ48" t="inlineStr">
        <is>
          <t>informe o verificación</t>
        </is>
      </c>
      <c r="FR48" t="inlineStr">
        <is>
          <t>G2010-046</t>
        </is>
      </c>
      <c r="FS48" t="inlineStr">
        <is>
          <t>G2010|G2010-B-MN-6in</t>
        </is>
      </c>
    </row>
    <row r="49">
      <c r="A49" t="inlineStr">
        <is>
          <t>G2010</t>
        </is>
      </c>
      <c r="B49" t="inlineStr">
        <is>
          <t>2010_Golder_Caracterizacion ROM IPCC.pdf</t>
        </is>
      </c>
      <c r="C49" t="n">
        <v>2010</v>
      </c>
      <c r="D49" t="inlineStr">
        <is>
          <t>Golder Associates Perú, Memorando técnico 'Caracterización material de ROM – Proyecto IPCC' (proy. 099-4151017, 25-mar-2010)</t>
        </is>
      </c>
      <c r="E49" t="inlineStr">
        <is>
          <t>Vector Perú S.A.C. – Laboratorio Geotécnico (Lima), informe VP-209-09E</t>
        </is>
      </c>
      <c r="F49" t="inlineStr">
        <is>
          <t>G2010-B-MN-6in</t>
        </is>
      </c>
      <c r="G49" t="inlineStr">
        <is>
          <t>VP-209-09E σ'c=125 kPa</t>
        </is>
      </c>
      <c r="H49" t="inlineStr">
        <is>
          <t>Mármol Negro</t>
        </is>
      </c>
      <c r="I49" t="inlineStr">
        <is>
          <t>Mármol</t>
        </is>
      </c>
      <c r="J49" t="inlineStr">
        <is>
          <t>mármol negro</t>
        </is>
      </c>
      <c r="K49" t="inlineStr"/>
      <c r="L49" t="inlineStr"/>
      <c r="M49" t="inlineStr">
        <is>
          <t>Chancado</t>
        </is>
      </c>
      <c r="N49" t="inlineStr"/>
      <c r="O49" t="inlineStr">
        <is>
          <t>CU</t>
        </is>
      </c>
      <c r="P49" t="inlineStr">
        <is>
          <t>sí</t>
        </is>
      </c>
      <c r="Q49" t="n">
        <v>151.3</v>
      </c>
      <c r="R49" t="n">
        <v>310</v>
      </c>
      <c r="S49" t="n">
        <v>25.4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Truncado: fracción &lt; 1" (memo pág. 3); Fase B chancada, TM 9"–12" según texto pág. 2</t>
        </is>
      </c>
      <c r="AD49" t="n">
        <v>2.747</v>
      </c>
      <c r="AE49" t="n">
        <v>19.86</v>
      </c>
      <c r="AF49" t="n">
        <v>0.357</v>
      </c>
      <c r="AG49" t="inlineStr">
        <is>
          <t>calculado</t>
        </is>
      </c>
      <c r="AH49" t="inlineStr"/>
      <c r="AI49" t="n">
        <v>4.5</v>
      </c>
      <c r="AJ49" t="n">
        <v>49.6</v>
      </c>
      <c r="AK49" t="n">
        <v>110.37</v>
      </c>
      <c r="AL49" t="n">
        <v>562.72</v>
      </c>
      <c r="AM49" t="n">
        <v>452.36</v>
      </c>
      <c r="AN49" t="inlineStr">
        <is>
          <t>Pico de esfuerzo desviador (criterio de Vector; primer máximo)</t>
        </is>
      </c>
      <c r="AO49" t="inlineStr"/>
      <c r="AP49" t="n">
        <v>1</v>
      </c>
      <c r="AQ49" t="inlineStr"/>
      <c r="AR49" t="n">
        <v>14.63</v>
      </c>
      <c r="AS49" t="n">
        <v>261.2</v>
      </c>
      <c r="AT49" t="n">
        <v>452.36</v>
      </c>
      <c r="AU49" t="inlineStr"/>
      <c r="AV49" t="inlineStr"/>
      <c r="AW49" t="inlineStr"/>
      <c r="AX49" t="inlineStr"/>
      <c r="AY49" t="inlineStr"/>
      <c r="AZ49" t="inlineStr"/>
      <c r="BA49" t="inlineStr">
        <is>
          <t>163;165;3;10;49</t>
        </is>
      </c>
      <c r="BB49" t="inlineStr">
        <is>
          <t>sí</t>
        </is>
      </c>
      <c r="BC49" t="inlineStr">
        <is>
          <t xml:space="preserve">Fase B (material chancado). Probeta 6" ensayada por Vector para Golder (Estado: remoldeado). Presión de celda 330 kPa, contrapresión 205 kPa, B=0.89 (&lt;0.95). Velocidad 0.01 pulg/min. Final: H=30.97 cm, D=15.06 cm, w=9.56 %, gd=2.043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165): c=60 kPa φ=29.6° (totales), c'=25 kPa φ'=36.4°; al 12 %: c'=10 kPa φ'=38°. Cabeceras de Mármol e Intrusivo idénticas en altura/diámetro/humedad/densidad inicial (posible copia de plantilla). σc carga puntual 24.56 MPa; Los Ángeles 62.4 %; durabilidad 49.8 %. VERIFICACIÓN 2026-10-06 (imagen p.163): σ'3c=125 kPa, celda 330 kPa, contrapresión 205 kPa, B=0.89, velocidad 0.01 pulg/min. Pico Vector εa=1.0 %: σ'3=110.37, σ'1=562.72, q=452.36, Δu=14.63 kPa. Máximo desviador del ensayo: εa=1.0 %, q=452.36 kPa. Máxima oblicuidad: σ'1/σ'3=5.427 a εa=6.0 %. Final de consolidación (Vector): H=30.97 cm, D=15.06 cm, γd=2.043 g/cm3, w final=9.56 %. Las cabeceras de mármol negro e intrusivo 6" repiten w inicial 4.50 % y w final 8.50/8.84/9.56 % (posible plantilla copiada). </t>
        </is>
      </c>
      <c r="BD49" t="n">
        <v>125</v>
      </c>
      <c r="BE49" t="n">
        <v>110.37</v>
      </c>
      <c r="BF49" t="n">
        <v>562.72</v>
      </c>
      <c r="BG49" t="n">
        <v>1</v>
      </c>
      <c r="BH49" t="n">
        <v>110.37</v>
      </c>
      <c r="BI49" t="n">
        <v>562.72</v>
      </c>
      <c r="BJ49" t="n">
        <v>452.36</v>
      </c>
      <c r="BK49" t="n">
        <v>14.63</v>
      </c>
      <c r="BL49" t="inlineStr">
        <is>
          <t>6.0</t>
        </is>
      </c>
      <c r="BM49" t="inlineStr">
        <is>
          <t>63.8</t>
        </is>
      </c>
      <c r="BN49" t="inlineStr">
        <is>
          <t>346.25</t>
        </is>
      </c>
      <c r="BO49" t="inlineStr">
        <is>
          <t>282.45</t>
        </is>
      </c>
      <c r="BP49" t="inlineStr">
        <is>
          <t>61.2</t>
        </is>
      </c>
      <c r="BQ49" t="inlineStr">
        <is>
          <t>5.427</t>
        </is>
      </c>
      <c r="BR49" t="inlineStr">
        <is>
          <t>0.89</t>
        </is>
      </c>
      <c r="BS49" t="inlineStr">
        <is>
          <t>205</t>
        </is>
      </c>
      <c r="BT49" t="n">
        <v>0.082</v>
      </c>
      <c r="BU49" t="n">
        <v>20.04</v>
      </c>
      <c r="BV49" t="n">
        <v>0.345</v>
      </c>
      <c r="BW49" t="inlineStr">
        <is>
          <t>no informado</t>
        </is>
      </c>
      <c r="BX49" t="inlineStr">
        <is>
          <t>2.747 (D854 Golder, p.49; Vector no informa Gs)</t>
        </is>
      </c>
      <c r="BY49" t="inlineStr">
        <is>
          <t>verificado en imagen; esfuerzos separados; estados de máximo desviador y máxima oblicuidad de la tabla Vector</t>
        </is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>
        <is>
          <t>Triaxial CU</t>
        </is>
      </c>
      <c r="EY49" t="inlineStr">
        <is>
          <t>CU: máxima oblicuidad σ′1/σ′3</t>
        </is>
      </c>
      <c r="EZ49" t="n">
        <v>63.8</v>
      </c>
      <c r="FA49" t="n">
        <v>346.25</v>
      </c>
      <c r="FB49" t="n">
        <v>282.45</v>
      </c>
      <c r="FC49" t="n">
        <v>43.53665052719563</v>
      </c>
      <c r="FD49" t="n">
        <v>107.746616266309</v>
      </c>
      <c r="FE49" t="n">
        <v>102.3787902016856</v>
      </c>
      <c r="FF49" t="inlineStr">
        <is>
          <t>6 in (≈150 mm)</t>
        </is>
      </c>
      <c r="FG49" t="n">
        <v>5.956692913385828</v>
      </c>
      <c r="FH49" t="inlineStr">
        <is>
          <t>Chancado</t>
        </is>
      </c>
      <c r="FI49" t="inlineStr">
        <is>
          <t>dudosa: muestras del acopio de la chancadora secundaria; hojas de Fase A dicen «Material Chancado»</t>
        </is>
      </c>
      <c r="FJ49" t="n">
        <v>0</v>
      </c>
      <c r="FK49" t="inlineStr"/>
      <c r="FL49" t="inlineStr"/>
      <c r="FM49" t="inlineStr">
        <is>
          <t>A</t>
        </is>
      </c>
      <c r="FN49" t="n">
        <v>0.357</v>
      </c>
      <c r="FO49" t="inlineStr"/>
      <c r="FP49" t="n">
        <v>2.747</v>
      </c>
      <c r="FQ49" t="inlineStr">
        <is>
          <t>informe o verificación</t>
        </is>
      </c>
      <c r="FR49" t="inlineStr">
        <is>
          <t>G2010-047</t>
        </is>
      </c>
      <c r="FS49" t="inlineStr">
        <is>
          <t>G2010|G2010-B-MN-6in</t>
        </is>
      </c>
    </row>
    <row r="50">
      <c r="A50" t="inlineStr">
        <is>
          <t>G2010</t>
        </is>
      </c>
      <c r="B50" t="inlineStr">
        <is>
          <t>2010_Golder_Caracterizacion ROM IPCC.pdf</t>
        </is>
      </c>
      <c r="C50" t="n">
        <v>2010</v>
      </c>
      <c r="D50" t="inlineStr">
        <is>
          <t>Golder Associates Perú, Memorando técnico 'Caracterización material de ROM – Proyecto IPCC' (proy. 099-4151017, 25-mar-2010)</t>
        </is>
      </c>
      <c r="E50" t="inlineStr">
        <is>
          <t>Vector Perú S.A.C. – Laboratorio Geotécnico (Lima), informe VP-209-09E</t>
        </is>
      </c>
      <c r="F50" t="inlineStr">
        <is>
          <t>G2010-B-HG-6in</t>
        </is>
      </c>
      <c r="G50" t="inlineStr">
        <is>
          <t>VP-209-09E σ'c=500 kPa</t>
        </is>
      </c>
      <c r="H50" t="inlineStr">
        <is>
          <t>Hornfels Gris</t>
        </is>
      </c>
      <c r="I50" t="inlineStr">
        <is>
          <t>Hornfels</t>
        </is>
      </c>
      <c r="J50" t="inlineStr">
        <is>
          <t>hornfels gris</t>
        </is>
      </c>
      <c r="K50" t="inlineStr"/>
      <c r="L50" t="inlineStr"/>
      <c r="M50" t="inlineStr">
        <is>
          <t>Chancado</t>
        </is>
      </c>
      <c r="N50" t="inlineStr"/>
      <c r="O50" t="inlineStr">
        <is>
          <t>CU</t>
        </is>
      </c>
      <c r="P50" t="inlineStr">
        <is>
          <t>sí</t>
        </is>
      </c>
      <c r="Q50" t="n">
        <v>151.4</v>
      </c>
      <c r="R50" t="n">
        <v>310</v>
      </c>
      <c r="S50" t="n">
        <v>25.4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Truncado: fracción &lt; 1" (memo pág. 3); Fase B chancada, TM 9"–12" según texto pág. 2</t>
        </is>
      </c>
      <c r="AD50" t="n">
        <v>2.802</v>
      </c>
      <c r="AE50" t="n">
        <v>20.94</v>
      </c>
      <c r="AF50" t="n">
        <v>0.312</v>
      </c>
      <c r="AG50" t="inlineStr">
        <is>
          <t>calculado</t>
        </is>
      </c>
      <c r="AH50" t="inlineStr"/>
      <c r="AI50" t="n">
        <v>3.3</v>
      </c>
      <c r="AJ50" t="n">
        <v>65.5</v>
      </c>
      <c r="AK50" t="n">
        <v>242.13</v>
      </c>
      <c r="AL50" t="n">
        <v>796.54</v>
      </c>
      <c r="AM50" t="n">
        <v>554.4</v>
      </c>
      <c r="AN50" t="inlineStr">
        <is>
          <t>Pico de esfuerzo desviador (criterio de Vector; primer máximo)</t>
        </is>
      </c>
      <c r="AO50" t="inlineStr"/>
      <c r="AP50" t="n">
        <v>1.25</v>
      </c>
      <c r="AQ50" t="inlineStr"/>
      <c r="AR50" t="n">
        <v>257.87</v>
      </c>
      <c r="AS50" t="n">
        <v>426.9</v>
      </c>
      <c r="AT50" t="n">
        <v>554.4</v>
      </c>
      <c r="AU50" t="inlineStr"/>
      <c r="AV50" t="inlineStr"/>
      <c r="AW50" t="inlineStr"/>
      <c r="AX50" t="inlineStr"/>
      <c r="AY50" t="inlineStr"/>
      <c r="AZ50" t="inlineStr"/>
      <c r="BA50" t="inlineStr">
        <is>
          <t>167;171;3;10;49</t>
        </is>
      </c>
      <c r="BB50" t="inlineStr">
        <is>
          <t>sí</t>
        </is>
      </c>
      <c r="BC50" t="inlineStr">
        <is>
          <t xml:space="preserve">Fase B (material chancado). Probeta 6" ensayada por Vector para Golder (Estado: remoldeado). Presión de celda 707 kPa, contrapresión 207 kPa, B=0.9 (&lt;0.95). Velocidad 0.01 pulg/min. Final: H=30.87 cm, D=14.94 cm, w=7.82 %, gd=2.202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171): c'=6 kPa φ'=29.2°; al 12 %: c'=5 kPa φ'=39.2°. σc carga puntual 100.42 MPa; Los Ángeles 20.3 %; durabilidad 0.6 %. VERIFICACIÓN 2026-10-06 (imagen p.167): σ'3c=500 kPa, celda 707 kPa, contrapresión 207 kPa, B=0.9, velocidad 0.01 pulg/min. Pico Vector εa=1.25 %: σ'3=242.13, σ'1=796.54, q=554.4, Δu=257.87 kPa. Máximo desviador del ensayo: εa=1.25 %, q=554.4 kPa. Máxima oblicuidad: σ'1/σ'3=4.567 a εa=14.0 %. Final de consolidación (Vector): H=30.87 cm, D=14.94 cm, γd=2.202 g/cm3, w final=7.82 %. </t>
        </is>
      </c>
      <c r="BD50" t="n">
        <v>500</v>
      </c>
      <c r="BE50" t="n">
        <v>242.13</v>
      </c>
      <c r="BF50" t="n">
        <v>796.54</v>
      </c>
      <c r="BG50" t="n">
        <v>1.25</v>
      </c>
      <c r="BH50" t="n">
        <v>242.13</v>
      </c>
      <c r="BI50" t="n">
        <v>796.54</v>
      </c>
      <c r="BJ50" t="n">
        <v>554.4</v>
      </c>
      <c r="BK50" t="n">
        <v>257.87</v>
      </c>
      <c r="BL50" t="inlineStr">
        <is>
          <t>14.0</t>
        </is>
      </c>
      <c r="BM50" t="inlineStr">
        <is>
          <t>154.32</t>
        </is>
      </c>
      <c r="BN50" t="inlineStr">
        <is>
          <t>704.85</t>
        </is>
      </c>
      <c r="BO50" t="inlineStr">
        <is>
          <t>550.53</t>
        </is>
      </c>
      <c r="BP50" t="inlineStr">
        <is>
          <t>345.68</t>
        </is>
      </c>
      <c r="BQ50" t="inlineStr">
        <is>
          <t>4.567</t>
        </is>
      </c>
      <c r="BR50" t="inlineStr">
        <is>
          <t>0.9</t>
        </is>
      </c>
      <c r="BS50" t="inlineStr">
        <is>
          <t>207</t>
        </is>
      </c>
      <c r="BT50" t="n">
        <v>0.082</v>
      </c>
      <c r="BU50" t="n">
        <v>21.6</v>
      </c>
      <c r="BV50" t="n">
        <v>0.272</v>
      </c>
      <c r="BW50" t="inlineStr">
        <is>
          <t>no informado</t>
        </is>
      </c>
      <c r="BX50" t="inlineStr">
        <is>
          <t>2.802 (D854 Golder, p.49; Vector no informa Gs)</t>
        </is>
      </c>
      <c r="BY50" t="inlineStr">
        <is>
          <t>verificado en imagen; esfuerzos separados; estados de máximo desviador y máxima oblicuidad de la tabla Vector</t>
        </is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>
        <is>
          <t>Triaxial CU</t>
        </is>
      </c>
      <c r="EY50" t="inlineStr">
        <is>
          <t>CU: máxima oblicuidad σ′1/σ′3</t>
        </is>
      </c>
      <c r="EZ50" t="n">
        <v>154.32</v>
      </c>
      <c r="FA50" t="n">
        <v>704.85</v>
      </c>
      <c r="FB50" t="n">
        <v>550.53</v>
      </c>
      <c r="FC50" t="n">
        <v>39.84922910158492</v>
      </c>
      <c r="FD50" t="n">
        <v>253.2035615768708</v>
      </c>
      <c r="FE50" t="n">
        <v>211.33009346704</v>
      </c>
      <c r="FF50" t="inlineStr">
        <is>
          <t>6 in (≈150 mm)</t>
        </is>
      </c>
      <c r="FG50" t="n">
        <v>5.960629921259843</v>
      </c>
      <c r="FH50" t="inlineStr">
        <is>
          <t>Chancado</t>
        </is>
      </c>
      <c r="FI50" t="inlineStr">
        <is>
          <t>dudosa: muestras del acopio de la chancadora secundaria; hojas de Fase A dicen «Material Chancado»</t>
        </is>
      </c>
      <c r="FJ50" t="n">
        <v>0</v>
      </c>
      <c r="FK50" t="inlineStr"/>
      <c r="FL50" t="inlineStr"/>
      <c r="FM50" t="inlineStr">
        <is>
          <t>A</t>
        </is>
      </c>
      <c r="FN50" t="n">
        <v>0.312</v>
      </c>
      <c r="FO50" t="inlineStr"/>
      <c r="FP50" t="n">
        <v>2.802</v>
      </c>
      <c r="FQ50" t="inlineStr">
        <is>
          <t>informe o verificación</t>
        </is>
      </c>
      <c r="FR50" t="inlineStr">
        <is>
          <t>G2010-048</t>
        </is>
      </c>
      <c r="FS50" t="inlineStr">
        <is>
          <t>G2010|G2010-B-HG-6in</t>
        </is>
      </c>
    </row>
    <row r="51">
      <c r="A51" t="inlineStr">
        <is>
          <t>G2010</t>
        </is>
      </c>
      <c r="B51" t="inlineStr">
        <is>
          <t>2010_Golder_Caracterizacion ROM IPCC.pdf</t>
        </is>
      </c>
      <c r="C51" t="n">
        <v>2010</v>
      </c>
      <c r="D51" t="inlineStr">
        <is>
          <t>Golder Associates Perú, Memorando técnico 'Caracterización material de ROM – Proyecto IPCC' (proy. 099-4151017, 25-mar-2010)</t>
        </is>
      </c>
      <c r="E51" t="inlineStr">
        <is>
          <t>Vector Perú S.A.C. – Laboratorio Geotécnico (Lima), informe VP-209-09E</t>
        </is>
      </c>
      <c r="F51" t="inlineStr">
        <is>
          <t>G2010-B-HG-6in</t>
        </is>
      </c>
      <c r="G51" t="inlineStr">
        <is>
          <t>VP-209-09E σ'c=250 kPa</t>
        </is>
      </c>
      <c r="H51" t="inlineStr">
        <is>
          <t>Hornfels Gris</t>
        </is>
      </c>
      <c r="I51" t="inlineStr">
        <is>
          <t>Hornfels</t>
        </is>
      </c>
      <c r="J51" t="inlineStr">
        <is>
          <t>hornfels gris</t>
        </is>
      </c>
      <c r="K51" t="inlineStr"/>
      <c r="L51" t="inlineStr"/>
      <c r="M51" t="inlineStr">
        <is>
          <t>Chancado</t>
        </is>
      </c>
      <c r="N51" t="inlineStr"/>
      <c r="O51" t="inlineStr">
        <is>
          <t>CU</t>
        </is>
      </c>
      <c r="P51" t="inlineStr">
        <is>
          <t>sí</t>
        </is>
      </c>
      <c r="Q51" t="n">
        <v>151.4</v>
      </c>
      <c r="R51" t="n">
        <v>310</v>
      </c>
      <c r="S51" t="n">
        <v>25.4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Truncado: fracción &lt; 1" (memo pág. 3); Fase B chancada, TM 9"–12" según texto pág. 2</t>
        </is>
      </c>
      <c r="AD51" t="n">
        <v>2.802</v>
      </c>
      <c r="AE51" t="n">
        <v>20.98</v>
      </c>
      <c r="AF51" t="n">
        <v>0.31</v>
      </c>
      <c r="AG51" t="inlineStr">
        <is>
          <t>calculado</t>
        </is>
      </c>
      <c r="AH51" t="inlineStr"/>
      <c r="AI51" t="n">
        <v>3.3</v>
      </c>
      <c r="AJ51" t="n">
        <v>65.5</v>
      </c>
      <c r="AK51" t="n">
        <v>137.71</v>
      </c>
      <c r="AL51" t="n">
        <v>518.9400000000001</v>
      </c>
      <c r="AM51" t="n">
        <v>381.23</v>
      </c>
      <c r="AN51" t="inlineStr">
        <is>
          <t>Pico de esfuerzo desviador (criterio de Vector; primer máximo)</t>
        </is>
      </c>
      <c r="AO51" t="inlineStr"/>
      <c r="AP51" t="n">
        <v>1</v>
      </c>
      <c r="AQ51" t="inlineStr"/>
      <c r="AR51" t="n">
        <v>112.29</v>
      </c>
      <c r="AS51" t="n">
        <v>264.8</v>
      </c>
      <c r="AT51" t="n">
        <v>381.23</v>
      </c>
      <c r="AU51" t="inlineStr"/>
      <c r="AV51" t="inlineStr"/>
      <c r="AW51" t="inlineStr"/>
      <c r="AX51" t="inlineStr"/>
      <c r="AY51" t="inlineStr"/>
      <c r="AZ51" t="inlineStr"/>
      <c r="BA51" t="inlineStr">
        <is>
          <t>168;171;3;10;49</t>
        </is>
      </c>
      <c r="BB51" t="inlineStr">
        <is>
          <t>sí</t>
        </is>
      </c>
      <c r="BC51" t="inlineStr">
        <is>
          <t xml:space="preserve">Fase B (material chancado). Probeta 6" ensayada por Vector para Golder (Estado: remoldeado). Presión de celda 455 kPa, contrapresión 205 kPa, B=0.91 (&lt;0.95). Velocidad 0.01 pulg/min. Final: H=30.92 cm, D=14.98 cm, w=8.29 %, gd=2.19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171): c'=6 kPa φ'=29.2°; al 12 %: c'=5 kPa φ'=39.2°. Comportamiento con endurecimiento posterior: a ε=14.0 % (fin del ensayo) desviador=436.11 kPa, u=137.42 kPa, σ'3=112.58 kPa, σ'1=548.68 kPa. σc carga puntual 100.42 MPa; Los Ángeles 20.3 %; durabilidad 0.6 %. VERIFICACIÓN 2026-10-06 (imagen p.168): σ'3c=250 kPa, celda 455 kPa, contrapresión 205 kPa, B=0.91, velocidad 0.01 pulg/min. Pico Vector εa=1.0 %: σ'3=137.71, σ'1=518.94, q=381.23, Δu=112.29 kPa. Máximo desviador del ensayo: εa=14.0 %, q=436.11 kPa. Máxima oblicuidad: σ'1/σ'3=4.874 a εa=14.0 %. Final de consolidación (Vector): H=30.92 cm, D=14.98 cm, γd=2.19 g/cm3, w final=8.29 %. Pico local a εa=1.0 %; después el desviador vuelve a crecer y el máximo absoluto es al 14 %. </t>
        </is>
      </c>
      <c r="BD51" t="n">
        <v>250</v>
      </c>
      <c r="BE51" t="n">
        <v>137.71</v>
      </c>
      <c r="BF51" t="n">
        <v>518.9400000000001</v>
      </c>
      <c r="BG51" t="n">
        <v>14</v>
      </c>
      <c r="BH51" t="n">
        <v>112.58</v>
      </c>
      <c r="BI51" t="n">
        <v>548.6799999999999</v>
      </c>
      <c r="BJ51" t="n">
        <v>436.11</v>
      </c>
      <c r="BK51" t="n">
        <v>137.42</v>
      </c>
      <c r="BL51" t="inlineStr">
        <is>
          <t>14.0</t>
        </is>
      </c>
      <c r="BM51" t="inlineStr">
        <is>
          <t>112.58</t>
        </is>
      </c>
      <c r="BN51" t="inlineStr">
        <is>
          <t>548.68</t>
        </is>
      </c>
      <c r="BO51" t="inlineStr">
        <is>
          <t>436.11</t>
        </is>
      </c>
      <c r="BP51" t="inlineStr">
        <is>
          <t>137.42</t>
        </is>
      </c>
      <c r="BQ51" t="inlineStr">
        <is>
          <t>4.874</t>
        </is>
      </c>
      <c r="BR51" t="inlineStr">
        <is>
          <t>0.91</t>
        </is>
      </c>
      <c r="BS51" t="inlineStr">
        <is>
          <t>205</t>
        </is>
      </c>
      <c r="BT51" t="n">
        <v>0.082</v>
      </c>
      <c r="BU51" t="n">
        <v>21.48</v>
      </c>
      <c r="BV51" t="n">
        <v>0.279</v>
      </c>
      <c r="BW51" t="inlineStr">
        <is>
          <t>no informado</t>
        </is>
      </c>
      <c r="BX51" t="inlineStr">
        <is>
          <t>2.802 (D854 Golder, p.49; Vector no informa Gs)</t>
        </is>
      </c>
      <c r="BY51" t="inlineStr">
        <is>
          <t>verificado en imagen; esfuerzos separados; estados de máximo desviador y máxima oblicuidad de la tabla Vector</t>
        </is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>
        <is>
          <t>Triaxial CU</t>
        </is>
      </c>
      <c r="EY51" t="inlineStr">
        <is>
          <t>CU: máxima oblicuidad σ′1/σ′3</t>
        </is>
      </c>
      <c r="EZ51" t="n">
        <v>112.58</v>
      </c>
      <c r="FA51" t="n">
        <v>548.6799999999999</v>
      </c>
      <c r="FB51" t="n">
        <v>436.1</v>
      </c>
      <c r="FC51" t="n">
        <v>41.26163928341946</v>
      </c>
      <c r="FD51" t="n">
        <v>186.8263448567886</v>
      </c>
      <c r="FE51" t="n">
        <v>163.9094605794684</v>
      </c>
      <c r="FF51" t="inlineStr">
        <is>
          <t>6 in (≈150 mm)</t>
        </is>
      </c>
      <c r="FG51" t="n">
        <v>5.960629921259843</v>
      </c>
      <c r="FH51" t="inlineStr">
        <is>
          <t>Chancado</t>
        </is>
      </c>
      <c r="FI51" t="inlineStr">
        <is>
          <t>dudosa: muestras del acopio de la chancadora secundaria; hojas de Fase A dicen «Material Chancado»</t>
        </is>
      </c>
      <c r="FJ51" t="n">
        <v>0</v>
      </c>
      <c r="FK51" t="inlineStr"/>
      <c r="FL51" t="inlineStr"/>
      <c r="FM51" t="inlineStr">
        <is>
          <t>A</t>
        </is>
      </c>
      <c r="FN51" t="n">
        <v>0.31</v>
      </c>
      <c r="FO51" t="inlineStr"/>
      <c r="FP51" t="n">
        <v>2.802</v>
      </c>
      <c r="FQ51" t="inlineStr">
        <is>
          <t>informe o verificación</t>
        </is>
      </c>
      <c r="FR51" t="inlineStr">
        <is>
          <t>G2010-049</t>
        </is>
      </c>
      <c r="FS51" t="inlineStr">
        <is>
          <t>G2010|G2010-B-HG-6in</t>
        </is>
      </c>
    </row>
    <row r="52">
      <c r="A52" t="inlineStr">
        <is>
          <t>G2010</t>
        </is>
      </c>
      <c r="B52" t="inlineStr">
        <is>
          <t>2010_Golder_Caracterizacion ROM IPCC.pdf</t>
        </is>
      </c>
      <c r="C52" t="n">
        <v>2010</v>
      </c>
      <c r="D52" t="inlineStr">
        <is>
          <t>Golder Associates Perú, Memorando técnico 'Caracterización material de ROM – Proyecto IPCC' (proy. 099-4151017, 25-mar-2010)</t>
        </is>
      </c>
      <c r="E52" t="inlineStr">
        <is>
          <t>Vector Perú S.A.C. – Laboratorio Geotécnico (Lima), informe VP-209-09E</t>
        </is>
      </c>
      <c r="F52" t="inlineStr">
        <is>
          <t>G2010-B-HG-6in</t>
        </is>
      </c>
      <c r="G52" t="inlineStr">
        <is>
          <t>VP-209-09E σ'c=125 kPa</t>
        </is>
      </c>
      <c r="H52" t="inlineStr">
        <is>
          <t>Hornfels Gris</t>
        </is>
      </c>
      <c r="I52" t="inlineStr">
        <is>
          <t>Hornfels</t>
        </is>
      </c>
      <c r="J52" t="inlineStr">
        <is>
          <t>hornfels gris</t>
        </is>
      </c>
      <c r="K52" t="inlineStr"/>
      <c r="L52" t="inlineStr"/>
      <c r="M52" t="inlineStr">
        <is>
          <t>Chancado</t>
        </is>
      </c>
      <c r="N52" t="inlineStr"/>
      <c r="O52" t="inlineStr">
        <is>
          <t>CU</t>
        </is>
      </c>
      <c r="P52" t="inlineStr">
        <is>
          <t>sí</t>
        </is>
      </c>
      <c r="Q52" t="n">
        <v>151.4</v>
      </c>
      <c r="R52" t="n">
        <v>310</v>
      </c>
      <c r="S52" t="n">
        <v>25.4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Truncado: fracción &lt; 1" (memo pág. 3); Fase B chancada, TM 9"–12" según texto pág. 2</t>
        </is>
      </c>
      <c r="AD52" t="n">
        <v>2.802</v>
      </c>
      <c r="AE52" t="n">
        <v>20.98</v>
      </c>
      <c r="AF52" t="n">
        <v>0.31</v>
      </c>
      <c r="AG52" t="inlineStr">
        <is>
          <t>calculado</t>
        </is>
      </c>
      <c r="AH52" t="inlineStr"/>
      <c r="AI52" t="n">
        <v>3.3</v>
      </c>
      <c r="AJ52" t="n">
        <v>65.5</v>
      </c>
      <c r="AK52" t="n">
        <v>66.87</v>
      </c>
      <c r="AL52" t="n">
        <v>161.36</v>
      </c>
      <c r="AM52" t="n">
        <v>94.48999999999999</v>
      </c>
      <c r="AN52" t="inlineStr">
        <is>
          <t>Pico de esfuerzo desviador (criterio de Vector; primer máximo)</t>
        </is>
      </c>
      <c r="AO52" t="inlineStr"/>
      <c r="AP52" t="n">
        <v>0.5</v>
      </c>
      <c r="AQ52" t="inlineStr"/>
      <c r="AR52" t="n">
        <v>58.13</v>
      </c>
      <c r="AS52" t="n">
        <v>98.40000000000001</v>
      </c>
      <c r="AT52" t="n">
        <v>94.48999999999999</v>
      </c>
      <c r="AU52" t="inlineStr"/>
      <c r="AV52" t="inlineStr"/>
      <c r="AW52" t="inlineStr"/>
      <c r="AX52" t="inlineStr"/>
      <c r="AY52" t="inlineStr"/>
      <c r="AZ52" t="inlineStr"/>
      <c r="BA52" t="inlineStr">
        <is>
          <t>169;171;3;10;49</t>
        </is>
      </c>
      <c r="BB52" t="inlineStr">
        <is>
          <t>sí</t>
        </is>
      </c>
      <c r="BC52" t="inlineStr">
        <is>
          <t xml:space="preserve">Fase B (material chancado). Probeta 6" ensayada por Vector para Golder (Estado: remoldeado). Presión de celda 330 kPa, contrapresión 205 kPa, B=0.93 (&lt;0.95). Velocidad 0.01 pulg/min. Final: H=30.91 cm, D=15.0 cm, w=8.68 %, gd=2.185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171): c'=6 kPa φ'=29.2°; al 12 %: c'=5 kPa φ'=39.2°. Comportamiento con endurecimiento posterior: a ε=14.0 % (fin del ensayo) desviador=188.07 kPa, u=75.31 kPa, σ'3=49.69 kPa, σ'1=237.76 kPa. σc carga puntual 100.42 MPa; Los Ángeles 20.3 %; durabilidad 0.6 %. VERIFICACIÓN 2026-10-06 (imagen p.169): σ'3c=125 kPa, celda 330 kPa, contrapresión 205 kPa, B=0.93, velocidad 0.01 pulg/min. Pico Vector εa=0.5 %: σ'3=66.87, σ'1=161.36, q=94.49, Δu=58.13 kPa. Máximo desviador del ensayo: εa=14.0 %, q=188.07 kPa. Máxima oblicuidad: σ'1/σ'3=4.785 a εa=14.0 %. Final de consolidación (Vector): H=30.91 cm, D=15.0 cm, γd=2.185 g/cm3, w final=8.68 %. Pico local a εa=0.5 %; después el desviador vuelve a crecer y el máximo absoluto es al 14 %. </t>
        </is>
      </c>
      <c r="BD52" t="n">
        <v>125</v>
      </c>
      <c r="BE52" t="n">
        <v>66.87</v>
      </c>
      <c r="BF52" t="n">
        <v>161.36</v>
      </c>
      <c r="BG52" t="n">
        <v>14</v>
      </c>
      <c r="BH52" t="n">
        <v>49.69</v>
      </c>
      <c r="BI52" t="n">
        <v>237.76</v>
      </c>
      <c r="BJ52" t="n">
        <v>188.07</v>
      </c>
      <c r="BK52" t="n">
        <v>75.31</v>
      </c>
      <c r="BL52" t="inlineStr">
        <is>
          <t>14.0</t>
        </is>
      </c>
      <c r="BM52" t="inlineStr">
        <is>
          <t>49.69</t>
        </is>
      </c>
      <c r="BN52" t="inlineStr">
        <is>
          <t>237.76</t>
        </is>
      </c>
      <c r="BO52" t="inlineStr">
        <is>
          <t>188.07</t>
        </is>
      </c>
      <c r="BP52" t="inlineStr">
        <is>
          <t>75.31</t>
        </is>
      </c>
      <c r="BQ52" t="inlineStr">
        <is>
          <t>4.785</t>
        </is>
      </c>
      <c r="BR52" t="inlineStr">
        <is>
          <t>0.93</t>
        </is>
      </c>
      <c r="BS52" t="inlineStr">
        <is>
          <t>205</t>
        </is>
      </c>
      <c r="BT52" t="n">
        <v>0.082</v>
      </c>
      <c r="BU52" t="n">
        <v>21.43</v>
      </c>
      <c r="BV52" t="n">
        <v>0.282</v>
      </c>
      <c r="BW52" t="inlineStr">
        <is>
          <t>no informado</t>
        </is>
      </c>
      <c r="BX52" t="inlineStr">
        <is>
          <t>2.802 (D854 Golder, p.49; Vector no informa Gs)</t>
        </is>
      </c>
      <c r="BY52" t="inlineStr">
        <is>
          <t>verificado en imagen; esfuerzos separados; estados de máximo desviador y máxima oblicuidad de la tabla Vector</t>
        </is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>
        <is>
          <t>Triaxial CU</t>
        </is>
      </c>
      <c r="EY52" t="inlineStr">
        <is>
          <t>CU: máxima oblicuidad σ′1/σ′3</t>
        </is>
      </c>
      <c r="EZ52" t="n">
        <v>49.69</v>
      </c>
      <c r="FA52" t="n">
        <v>237.76</v>
      </c>
      <c r="FB52" t="n">
        <v>188.07</v>
      </c>
      <c r="FC52" t="n">
        <v>40.86434396684141</v>
      </c>
      <c r="FD52" t="n">
        <v>82.20069159853887</v>
      </c>
      <c r="FE52" t="n">
        <v>71.11498225213798</v>
      </c>
      <c r="FF52" t="inlineStr">
        <is>
          <t>6 in (≈150 mm)</t>
        </is>
      </c>
      <c r="FG52" t="n">
        <v>5.960629921259843</v>
      </c>
      <c r="FH52" t="inlineStr">
        <is>
          <t>Chancado</t>
        </is>
      </c>
      <c r="FI52" t="inlineStr">
        <is>
          <t>dudosa: muestras del acopio de la chancadora secundaria; hojas de Fase A dicen «Material Chancado»</t>
        </is>
      </c>
      <c r="FJ52" t="n">
        <v>0</v>
      </c>
      <c r="FK52" t="inlineStr"/>
      <c r="FL52" t="inlineStr"/>
      <c r="FM52" t="inlineStr">
        <is>
          <t>A</t>
        </is>
      </c>
      <c r="FN52" t="n">
        <v>0.31</v>
      </c>
      <c r="FO52" t="inlineStr"/>
      <c r="FP52" t="n">
        <v>2.802</v>
      </c>
      <c r="FQ52" t="inlineStr">
        <is>
          <t>informe o verificación</t>
        </is>
      </c>
      <c r="FR52" t="inlineStr">
        <is>
          <t>G2010-050</t>
        </is>
      </c>
      <c r="FS52" t="inlineStr">
        <is>
          <t>G2010|G2010-B-HG-6in</t>
        </is>
      </c>
    </row>
    <row r="53">
      <c r="A53" t="inlineStr">
        <is>
          <t>G2010</t>
        </is>
      </c>
      <c r="B53" t="inlineStr">
        <is>
          <t>2010_Golder_Caracterizacion ROM IPCC.pdf</t>
        </is>
      </c>
      <c r="C53" t="n">
        <v>2010</v>
      </c>
      <c r="D53" t="inlineStr">
        <is>
          <t>Golder Associates Perú, Memorando técnico 'Caracterización material de ROM – Proyecto IPCC' (proy. 099-4151017, 25-mar-2010)</t>
        </is>
      </c>
      <c r="E53" t="inlineStr">
        <is>
          <t>Vector Perú S.A.C. – Laboratorio Geotécnico (Lima), informe VP-209-09E</t>
        </is>
      </c>
      <c r="F53" t="inlineStr">
        <is>
          <t>G2010-B-INT-6in</t>
        </is>
      </c>
      <c r="G53" t="inlineStr">
        <is>
          <t>VP-209-09E σ'c=500 kPa</t>
        </is>
      </c>
      <c r="H53" t="inlineStr">
        <is>
          <t>Intrusivo</t>
        </is>
      </c>
      <c r="I53" t="inlineStr">
        <is>
          <t>Intrusivo</t>
        </is>
      </c>
      <c r="J53" t="inlineStr"/>
      <c r="K53" t="inlineStr"/>
      <c r="L53" t="inlineStr"/>
      <c r="M53" t="inlineStr">
        <is>
          <t>Chancado</t>
        </is>
      </c>
      <c r="N53" t="inlineStr"/>
      <c r="O53" t="inlineStr">
        <is>
          <t>CU</t>
        </is>
      </c>
      <c r="P53" t="inlineStr">
        <is>
          <t>sí</t>
        </is>
      </c>
      <c r="Q53" t="n">
        <v>151.2</v>
      </c>
      <c r="R53" t="n">
        <v>310</v>
      </c>
      <c r="S53" t="n">
        <v>25.4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Truncado: fracción &lt; 1" (memo pág. 3); Fase B chancada, TM 9"–12" según texto pág. 2</t>
        </is>
      </c>
      <c r="AD53" t="n">
        <v>2.742</v>
      </c>
      <c r="AE53" t="n">
        <v>19.88</v>
      </c>
      <c r="AF53" t="n">
        <v>0.353</v>
      </c>
      <c r="AG53" t="inlineStr">
        <is>
          <t>calculado</t>
        </is>
      </c>
      <c r="AH53" t="inlineStr"/>
      <c r="AI53" t="n">
        <v>4.5</v>
      </c>
      <c r="AJ53" t="n">
        <v>54</v>
      </c>
      <c r="AK53" t="n">
        <v>234.86</v>
      </c>
      <c r="AL53" t="n">
        <v>614.47</v>
      </c>
      <c r="AM53" t="n">
        <v>379.61</v>
      </c>
      <c r="AN53" t="inlineStr">
        <is>
          <t>Pico de esfuerzo desviador (criterio de Vector; primer máximo)</t>
        </is>
      </c>
      <c r="AO53" t="inlineStr"/>
      <c r="AP53" t="n">
        <v>1.75</v>
      </c>
      <c r="AQ53" t="inlineStr"/>
      <c r="AR53" t="n">
        <v>265.14</v>
      </c>
      <c r="AS53" t="n">
        <v>361.4</v>
      </c>
      <c r="AT53" t="n">
        <v>379.61</v>
      </c>
      <c r="AU53" t="inlineStr"/>
      <c r="AV53" t="inlineStr"/>
      <c r="AW53" t="inlineStr"/>
      <c r="AX53" t="inlineStr"/>
      <c r="AY53" t="inlineStr"/>
      <c r="AZ53" t="inlineStr"/>
      <c r="BA53" t="inlineStr">
        <is>
          <t>173;177;3;10;49</t>
        </is>
      </c>
      <c r="BB53" t="inlineStr">
        <is>
          <t>sí</t>
        </is>
      </c>
      <c r="BC53" t="inlineStr">
        <is>
          <t xml:space="preserve">Fase B (material chancado). Probeta 6" ensayada por Vector para Golder (Estado: remoldeado). Presión de celda 707 kPa, contrapresión 207 kPa, B=0.87 (&lt;0.95). Velocidad 0.01 pulg/min. Final: H=30.67 cm, D=14.76 cm, w=8.5 %, gd=2.149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177): c'=0 kPa φ'=27.9°; al 12 %: c'=0 kPa φ'=38.1°. El punto marcado por Vector en la trayectoria (pág. 177) parece estar cerca de ε≈2.5 % (p'≈350, t≈178), no en el pico del desviador. Cabeceras de Mármol e Intrusivo idénticas en altura/diámetro/humedad/densidad inicial (posible copia de plantilla). σc carga puntual 78.06 MPa; Los Ángeles 32.2 %; durabilidad 18.6 %. VERIFICACIÓN 2026-10-06 (imagen p.173): σ'3c=500 kPa, celda 707 kPa, contrapresión 207 kPa, B=0.87, velocidad 0.01 pulg/min. Pico Vector εa=1.75 %: σ'3=234.86, σ'1=614.47, q=379.61, Δu=265.14 kPa. Máximo desviador del ensayo: εa=1.75 %, q=379.61 kPa. Máxima oblicuidad: σ'1/σ'3=4.223 a εa=14.0 %. Final de consolidación (Vector): H=30.67 cm, D=14.76 cm, γd=2.149 g/cm3, w final=8.5 %. El máximo numérico del desviador es a εa=1.75 %; el punto marcado como «pico» en la trayectoria de Vector (p.177) parece estar en εa≈2.5 % (q=357.3 kPa). Las cabeceras de mármol negro e intrusivo 6" repiten w inicial 4.50 % y w final 8.50/8.84/9.56 % (posible plantilla copiada). </t>
        </is>
      </c>
      <c r="BD53" t="n">
        <v>500</v>
      </c>
      <c r="BE53" t="n">
        <v>234.86</v>
      </c>
      <c r="BF53" t="n">
        <v>614.47</v>
      </c>
      <c r="BG53" t="n">
        <v>1.75</v>
      </c>
      <c r="BH53" t="n">
        <v>234.86</v>
      </c>
      <c r="BI53" t="n">
        <v>614.47</v>
      </c>
      <c r="BJ53" t="n">
        <v>379.61</v>
      </c>
      <c r="BK53" t="n">
        <v>265.14</v>
      </c>
      <c r="BL53" t="inlineStr">
        <is>
          <t>14.0</t>
        </is>
      </c>
      <c r="BM53" t="inlineStr">
        <is>
          <t>92.94</t>
        </is>
      </c>
      <c r="BN53" t="inlineStr">
        <is>
          <t>392.49</t>
        </is>
      </c>
      <c r="BO53" t="inlineStr">
        <is>
          <t>299.55</t>
        </is>
      </c>
      <c r="BP53" t="inlineStr">
        <is>
          <t>407.06</t>
        </is>
      </c>
      <c r="BQ53" t="inlineStr">
        <is>
          <t>4.223</t>
        </is>
      </c>
      <c r="BR53" t="inlineStr">
        <is>
          <t>0.87</t>
        </is>
      </c>
      <c r="BS53" t="inlineStr">
        <is>
          <t>207</t>
        </is>
      </c>
      <c r="BT53" t="n">
        <v>0.082</v>
      </c>
      <c r="BU53" t="n">
        <v>21.08</v>
      </c>
      <c r="BV53" t="n">
        <v>0.276</v>
      </c>
      <c r="BW53" t="inlineStr">
        <is>
          <t>no informado</t>
        </is>
      </c>
      <c r="BX53" t="inlineStr">
        <is>
          <t>2.742 (D854 Golder, p.49; Vector no informa Gs)</t>
        </is>
      </c>
      <c r="BY53" t="inlineStr">
        <is>
          <t>verificado en imagen; esfuerzos separados; estados de máximo desviador y máxima oblicuidad de la tabla Vector</t>
        </is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>
        <is>
          <t>Triaxial CU</t>
        </is>
      </c>
      <c r="EY53" t="inlineStr">
        <is>
          <t>CU: máxima oblicuidad σ′1/σ′3</t>
        </is>
      </c>
      <c r="EZ53" t="n">
        <v>92.94</v>
      </c>
      <c r="FA53" t="n">
        <v>392.49</v>
      </c>
      <c r="FB53" t="n">
        <v>299.55</v>
      </c>
      <c r="FC53" t="n">
        <v>38.1033410835087</v>
      </c>
      <c r="FD53" t="n">
        <v>150.2915790124219</v>
      </c>
      <c r="FE53" t="n">
        <v>117.8578036362163</v>
      </c>
      <c r="FF53" t="inlineStr">
        <is>
          <t>6 in (≈150 mm)</t>
        </is>
      </c>
      <c r="FG53" t="n">
        <v>5.952755905511811</v>
      </c>
      <c r="FH53" t="inlineStr">
        <is>
          <t>Chancado</t>
        </is>
      </c>
      <c r="FI53" t="inlineStr">
        <is>
          <t>dudosa: muestras del acopio de la chancadora secundaria; hojas de Fase A dicen «Material Chancado»</t>
        </is>
      </c>
      <c r="FJ53" t="n">
        <v>0</v>
      </c>
      <c r="FK53" t="inlineStr"/>
      <c r="FL53" t="inlineStr"/>
      <c r="FM53" t="inlineStr">
        <is>
          <t>A</t>
        </is>
      </c>
      <c r="FN53" t="n">
        <v>0.353</v>
      </c>
      <c r="FO53" t="inlineStr"/>
      <c r="FP53" t="n">
        <v>2.742</v>
      </c>
      <c r="FQ53" t="inlineStr">
        <is>
          <t>informe o verificación</t>
        </is>
      </c>
      <c r="FR53" t="inlineStr">
        <is>
          <t>G2010-051</t>
        </is>
      </c>
      <c r="FS53" t="inlineStr">
        <is>
          <t>G2010|G2010-B-INT-6in</t>
        </is>
      </c>
    </row>
    <row r="54">
      <c r="A54" t="inlineStr">
        <is>
          <t>G2010</t>
        </is>
      </c>
      <c r="B54" t="inlineStr">
        <is>
          <t>2010_Golder_Caracterizacion ROM IPCC.pdf</t>
        </is>
      </c>
      <c r="C54" t="n">
        <v>2010</v>
      </c>
      <c r="D54" t="inlineStr">
        <is>
          <t>Golder Associates Perú, Memorando técnico 'Caracterización material de ROM – Proyecto IPCC' (proy. 099-4151017, 25-mar-2010)</t>
        </is>
      </c>
      <c r="E54" t="inlineStr">
        <is>
          <t>Vector Perú S.A.C. – Laboratorio Geotécnico (Lima), informe VP-209-09E</t>
        </is>
      </c>
      <c r="F54" t="inlineStr">
        <is>
          <t>G2010-B-INT-6in</t>
        </is>
      </c>
      <c r="G54" t="inlineStr">
        <is>
          <t>VP-209-09E σ'c=250 kPa</t>
        </is>
      </c>
      <c r="H54" t="inlineStr">
        <is>
          <t>Intrusivo</t>
        </is>
      </c>
      <c r="I54" t="inlineStr">
        <is>
          <t>Intrusivo</t>
        </is>
      </c>
      <c r="J54" t="inlineStr"/>
      <c r="K54" t="inlineStr"/>
      <c r="L54" t="inlineStr"/>
      <c r="M54" t="inlineStr">
        <is>
          <t>Chancado</t>
        </is>
      </c>
      <c r="N54" t="inlineStr"/>
      <c r="O54" t="inlineStr">
        <is>
          <t>CU</t>
        </is>
      </c>
      <c r="P54" t="inlineStr">
        <is>
          <t>sí</t>
        </is>
      </c>
      <c r="Q54" t="n">
        <v>151.2</v>
      </c>
      <c r="R54" t="n">
        <v>310</v>
      </c>
      <c r="S54" t="n">
        <v>25.4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Truncado: fracción &lt; 1" (memo pág. 3); Fase B chancada, TM 9"–12" según texto pág. 2</t>
        </is>
      </c>
      <c r="AD54" t="n">
        <v>2.742</v>
      </c>
      <c r="AE54" t="n">
        <v>19.87</v>
      </c>
      <c r="AF54" t="n">
        <v>0.354</v>
      </c>
      <c r="AG54" t="inlineStr">
        <is>
          <t>calculado</t>
        </is>
      </c>
      <c r="AH54" t="inlineStr"/>
      <c r="AI54" t="n">
        <v>4.5</v>
      </c>
      <c r="AJ54" t="n">
        <v>54</v>
      </c>
      <c r="AK54" t="n">
        <v>125.7</v>
      </c>
      <c r="AL54" t="n">
        <v>297.15</v>
      </c>
      <c r="AM54" t="n">
        <v>171.46</v>
      </c>
      <c r="AN54" t="inlineStr">
        <is>
          <t>Pico de esfuerzo desviador (criterio de Vector; primer máximo)</t>
        </is>
      </c>
      <c r="AO54" t="inlineStr"/>
      <c r="AP54" t="n">
        <v>1.25</v>
      </c>
      <c r="AQ54" t="inlineStr"/>
      <c r="AR54" t="n">
        <v>124.3</v>
      </c>
      <c r="AS54" t="n">
        <v>182.8</v>
      </c>
      <c r="AT54" t="n">
        <v>171.46</v>
      </c>
      <c r="AU54" t="inlineStr"/>
      <c r="AV54" t="inlineStr"/>
      <c r="AW54" t="inlineStr"/>
      <c r="AX54" t="inlineStr"/>
      <c r="AY54" t="inlineStr"/>
      <c r="AZ54" t="inlineStr"/>
      <c r="BA54" t="inlineStr">
        <is>
          <t>174;177;3;10;49</t>
        </is>
      </c>
      <c r="BB54" t="inlineStr">
        <is>
          <t>sí</t>
        </is>
      </c>
      <c r="BC54" t="inlineStr">
        <is>
          <t xml:space="preserve">Fase B (material chancado). Probeta 6" ensayada por Vector para Golder (Estado: remoldeado). Presión de celda 455 kPa, contrapresión 205 kPa, B=0.88 (&lt;0.95). Velocidad 0.01 pulg/min. Final: H=30.79 cm, D=14.89 cm, w=8.84 %, gd=2.103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177): c'=0 kPa φ'=27.9°; al 12 %: c'=0 kPa φ'=38.1°. Cabeceras de Mármol e Intrusivo idénticas en altura/diámetro/humedad/densidad inicial (posible copia de plantilla). σc carga puntual 78.06 MPa; Los Ángeles 32.2 %; durabilidad 18.6 %. VERIFICACIÓN 2026-10-06 (imagen p.174): σ'3c=250 kPa, celda 455 kPa, contrapresión 205 kPa, B=0.88, velocidad 0.01 pulg/min. Pico Vector εa=1.25 %: σ'3=125.7, σ'1=297.15, q=171.46, Δu=124.3 kPa. Máximo desviador del ensayo: εa=1.25 %, q=171.46 kPa. Máxima oblicuidad: σ'1/σ'3=3.808 a εa=14.0 %. Final de consolidación (Vector): H=30.79 cm, D=14.89 cm, γd=2.103 g/cm3, w final=8.84 %. Las cabeceras de mármol negro e intrusivo 6" repiten w inicial 4.50 % y w final 8.50/8.84/9.56 % (posible plantilla copiada). </t>
        </is>
      </c>
      <c r="BD54" t="n">
        <v>250</v>
      </c>
      <c r="BE54" t="n">
        <v>125.7</v>
      </c>
      <c r="BF54" t="n">
        <v>297.15</v>
      </c>
      <c r="BG54" t="n">
        <v>1.25</v>
      </c>
      <c r="BH54" t="n">
        <v>125.7</v>
      </c>
      <c r="BI54" t="n">
        <v>297.15</v>
      </c>
      <c r="BJ54" t="n">
        <v>171.46</v>
      </c>
      <c r="BK54" t="n">
        <v>124.3</v>
      </c>
      <c r="BL54" t="inlineStr">
        <is>
          <t>14.0</t>
        </is>
      </c>
      <c r="BM54" t="inlineStr">
        <is>
          <t>34.05</t>
        </is>
      </c>
      <c r="BN54" t="inlineStr">
        <is>
          <t>129.67</t>
        </is>
      </c>
      <c r="BO54" t="inlineStr">
        <is>
          <t>95.62</t>
        </is>
      </c>
      <c r="BP54" t="inlineStr">
        <is>
          <t>215.95</t>
        </is>
      </c>
      <c r="BQ54" t="inlineStr">
        <is>
          <t>3.808</t>
        </is>
      </c>
      <c r="BR54" t="inlineStr">
        <is>
          <t>0.88</t>
        </is>
      </c>
      <c r="BS54" t="inlineStr">
        <is>
          <t>205</t>
        </is>
      </c>
      <c r="BT54" t="n">
        <v>0.082</v>
      </c>
      <c r="BU54" t="n">
        <v>20.63</v>
      </c>
      <c r="BV54" t="n">
        <v>0.304</v>
      </c>
      <c r="BW54" t="inlineStr">
        <is>
          <t>no informado</t>
        </is>
      </c>
      <c r="BX54" t="inlineStr">
        <is>
          <t>2.742 (D854 Golder, p.49; Vector no informa Gs)</t>
        </is>
      </c>
      <c r="BY54" t="inlineStr">
        <is>
          <t>verificado en imagen; esfuerzos separados; estados de máximo desviador y máxima oblicuidad de la tabla Vector</t>
        </is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>
        <is>
          <t>Triaxial CU</t>
        </is>
      </c>
      <c r="EY54" t="inlineStr">
        <is>
          <t>CU: máxima oblicuidad σ′1/σ′3</t>
        </is>
      </c>
      <c r="EZ54" t="n">
        <v>34.05</v>
      </c>
      <c r="FA54" t="n">
        <v>129.67</v>
      </c>
      <c r="FB54" t="n">
        <v>95.61999999999999</v>
      </c>
      <c r="FC54" t="n">
        <v>35.73561804736059</v>
      </c>
      <c r="FD54" t="n">
        <v>53.93676398729536</v>
      </c>
      <c r="FE54" t="n">
        <v>38.80836237950264</v>
      </c>
      <c r="FF54" t="inlineStr">
        <is>
          <t>6 in (≈150 mm)</t>
        </is>
      </c>
      <c r="FG54" t="n">
        <v>5.952755905511811</v>
      </c>
      <c r="FH54" t="inlineStr">
        <is>
          <t>Chancado</t>
        </is>
      </c>
      <c r="FI54" t="inlineStr">
        <is>
          <t>dudosa: muestras del acopio de la chancadora secundaria; hojas de Fase A dicen «Material Chancado»</t>
        </is>
      </c>
      <c r="FJ54" t="n">
        <v>0</v>
      </c>
      <c r="FK54" t="inlineStr"/>
      <c r="FL54" t="inlineStr"/>
      <c r="FM54" t="inlineStr">
        <is>
          <t>A</t>
        </is>
      </c>
      <c r="FN54" t="n">
        <v>0.354</v>
      </c>
      <c r="FO54" t="inlineStr"/>
      <c r="FP54" t="n">
        <v>2.742</v>
      </c>
      <c r="FQ54" t="inlineStr">
        <is>
          <t>informe o verificación</t>
        </is>
      </c>
      <c r="FR54" t="inlineStr">
        <is>
          <t>G2010-052</t>
        </is>
      </c>
      <c r="FS54" t="inlineStr">
        <is>
          <t>G2010|G2010-B-INT-6in</t>
        </is>
      </c>
    </row>
    <row r="55">
      <c r="A55" t="inlineStr">
        <is>
          <t>G2010</t>
        </is>
      </c>
      <c r="B55" t="inlineStr">
        <is>
          <t>2010_Golder_Caracterizacion ROM IPCC.pdf</t>
        </is>
      </c>
      <c r="C55" t="n">
        <v>2010</v>
      </c>
      <c r="D55" t="inlineStr">
        <is>
          <t>Golder Associates Perú, Memorando técnico 'Caracterización material de ROM – Proyecto IPCC' (proy. 099-4151017, 25-mar-2010)</t>
        </is>
      </c>
      <c r="E55" t="inlineStr">
        <is>
          <t>Vector Perú S.A.C. – Laboratorio Geotécnico (Lima), informe VP-209-09E</t>
        </is>
      </c>
      <c r="F55" t="inlineStr">
        <is>
          <t>G2010-B-INT-6in</t>
        </is>
      </c>
      <c r="G55" t="inlineStr">
        <is>
          <t>VP-209-09E σ'c=125 kPa</t>
        </is>
      </c>
      <c r="H55" t="inlineStr">
        <is>
          <t>Intrusivo</t>
        </is>
      </c>
      <c r="I55" t="inlineStr">
        <is>
          <t>Intrusivo</t>
        </is>
      </c>
      <c r="J55" t="inlineStr"/>
      <c r="K55" t="inlineStr"/>
      <c r="L55" t="inlineStr"/>
      <c r="M55" t="inlineStr">
        <is>
          <t>Chancado</t>
        </is>
      </c>
      <c r="N55" t="inlineStr"/>
      <c r="O55" t="inlineStr">
        <is>
          <t>CU</t>
        </is>
      </c>
      <c r="P55" t="inlineStr">
        <is>
          <t>sí</t>
        </is>
      </c>
      <c r="Q55" t="n">
        <v>151.3</v>
      </c>
      <c r="R55" t="n">
        <v>310</v>
      </c>
      <c r="S55" t="n">
        <v>25.4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Truncado: fracción &lt; 1" (memo pág. 3); Fase B chancada, TM 9"–12" según texto pág. 2</t>
        </is>
      </c>
      <c r="AD55" t="n">
        <v>2.742</v>
      </c>
      <c r="AE55" t="n">
        <v>19.85</v>
      </c>
      <c r="AF55" t="n">
        <v>0.355</v>
      </c>
      <c r="AG55" t="inlineStr">
        <is>
          <t>calculado</t>
        </is>
      </c>
      <c r="AH55" t="inlineStr"/>
      <c r="AI55" t="n">
        <v>4.5</v>
      </c>
      <c r="AJ55" t="n">
        <v>54</v>
      </c>
      <c r="AK55" t="n">
        <v>61.29</v>
      </c>
      <c r="AL55" t="n">
        <v>121.58</v>
      </c>
      <c r="AM55" t="n">
        <v>60.29</v>
      </c>
      <c r="AN55" t="inlineStr">
        <is>
          <t>Pico de esfuerzo desviador (criterio de Vector; primer máximo)</t>
        </is>
      </c>
      <c r="AO55" t="inlineStr"/>
      <c r="AP55" t="n">
        <v>0.75</v>
      </c>
      <c r="AQ55" t="inlineStr"/>
      <c r="AR55" t="n">
        <v>63.71</v>
      </c>
      <c r="AS55" t="n">
        <v>81.40000000000001</v>
      </c>
      <c r="AT55" t="n">
        <v>60.29</v>
      </c>
      <c r="AU55" t="inlineStr"/>
      <c r="AV55" t="inlineStr"/>
      <c r="AW55" t="inlineStr"/>
      <c r="AX55" t="inlineStr"/>
      <c r="AY55" t="inlineStr"/>
      <c r="AZ55" t="inlineStr"/>
      <c r="BA55" t="inlineStr">
        <is>
          <t>175;177;3;10;49</t>
        </is>
      </c>
      <c r="BB55" t="inlineStr">
        <is>
          <t>sí</t>
        </is>
      </c>
      <c r="BC55" t="inlineStr">
        <is>
          <t xml:space="preserve">Fase B (material chancado). Probeta 6" ensayada por Vector para Golder (Estado: remoldeado). Presión de celda 330 kPa, contrapresión 205 kPa, B=0.86 (&lt;0.95). Velocidad 0.01 pulg/min. Final: H=30.91 cm, D=14.97 cm, w=9.56 %, gd=2.073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177): c'=0 kPa φ'=27.9°; al 12 %: c'=0 kPa φ'=38.1°. Cabeceras de Mármol e Intrusivo idénticas en altura/diámetro/humedad/densidad inicial (posible copia de plantilla). σc carga puntual 78.06 MPa; Los Ángeles 32.2 %; durabilidad 18.6 %. VERIFICACIÓN 2026-10-06 (imagen p.175): σ'3c=125 kPa, celda 330 kPa, contrapresión 205 kPa, B=0.86, velocidad 0.01 pulg/min. Pico Vector εa=0.75 %: σ'3=61.29, σ'1=121.58, q=60.29, Δu=63.71 kPa. Máximo desviador del ensayo: εa=0.75 %, q=60.29 kPa. Máxima oblicuidad: σ'1/σ'3=2.317 a εa=1.75 %. Final de consolidación (Vector): H=30.91 cm, D=14.97 cm, γd=2.073 g/cm3, w final=9.56 %. Las cabeceras de mármol negro e intrusivo 6" repiten w inicial 4.50 % y w final 8.50/8.84/9.56 % (posible plantilla copiada). </t>
        </is>
      </c>
      <c r="BD55" t="n">
        <v>125</v>
      </c>
      <c r="BE55" t="n">
        <v>61.29</v>
      </c>
      <c r="BF55" t="n">
        <v>121.58</v>
      </c>
      <c r="BG55" t="n">
        <v>0.75</v>
      </c>
      <c r="BH55" t="n">
        <v>61.29</v>
      </c>
      <c r="BI55" t="n">
        <v>121.58</v>
      </c>
      <c r="BJ55" t="n">
        <v>60.29</v>
      </c>
      <c r="BK55" t="n">
        <v>63.71</v>
      </c>
      <c r="BL55" t="inlineStr">
        <is>
          <t>1.75</t>
        </is>
      </c>
      <c r="BM55" t="inlineStr">
        <is>
          <t>34.73</t>
        </is>
      </c>
      <c r="BN55" t="inlineStr">
        <is>
          <t>80.46</t>
        </is>
      </c>
      <c r="BO55" t="inlineStr">
        <is>
          <t>45.74</t>
        </is>
      </c>
      <c r="BP55" t="inlineStr">
        <is>
          <t>90.27</t>
        </is>
      </c>
      <c r="BQ55" t="inlineStr">
        <is>
          <t>2.317</t>
        </is>
      </c>
      <c r="BR55" t="inlineStr">
        <is>
          <t>0.86</t>
        </is>
      </c>
      <c r="BS55" t="inlineStr">
        <is>
          <t>205</t>
        </is>
      </c>
      <c r="BT55" t="n">
        <v>0.082</v>
      </c>
      <c r="BU55" t="n">
        <v>20.34</v>
      </c>
      <c r="BV55" t="n">
        <v>0.323</v>
      </c>
      <c r="BW55" t="inlineStr">
        <is>
          <t>no informado</t>
        </is>
      </c>
      <c r="BX55" t="inlineStr">
        <is>
          <t>2.742 (D854 Golder, p.49; Vector no informa Gs)</t>
        </is>
      </c>
      <c r="BY55" t="inlineStr">
        <is>
          <t>verificado en imagen; esfuerzos separados; estados de máximo desviador y máxima oblicuidad de la tabla Vector</t>
        </is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>
        <is>
          <t>Triaxial CU</t>
        </is>
      </c>
      <c r="EY55" t="inlineStr">
        <is>
          <t>CU: máxima oblicuidad σ′1/σ′3</t>
        </is>
      </c>
      <c r="EZ55" t="n">
        <v>34.73</v>
      </c>
      <c r="FA55" t="n">
        <v>80.45999999999999</v>
      </c>
      <c r="FB55" t="n">
        <v>45.73</v>
      </c>
      <c r="FC55" t="n">
        <v>23.39053441791903</v>
      </c>
      <c r="FD55" t="n">
        <v>48.51768035419741</v>
      </c>
      <c r="FE55" t="n">
        <v>20.98595942643382</v>
      </c>
      <c r="FF55" t="inlineStr">
        <is>
          <t>6 in (≈150 mm)</t>
        </is>
      </c>
      <c r="FG55" t="n">
        <v>5.956692913385828</v>
      </c>
      <c r="FH55" t="inlineStr">
        <is>
          <t>Chancado</t>
        </is>
      </c>
      <c r="FI55" t="inlineStr">
        <is>
          <t>dudosa: muestras del acopio de la chancadora secundaria; hojas de Fase A dicen «Material Chancado»</t>
        </is>
      </c>
      <c r="FJ55" t="n">
        <v>0</v>
      </c>
      <c r="FK55" t="inlineStr"/>
      <c r="FL55" t="inlineStr"/>
      <c r="FM55" t="inlineStr">
        <is>
          <t>A</t>
        </is>
      </c>
      <c r="FN55" t="n">
        <v>0.355</v>
      </c>
      <c r="FO55" t="inlineStr"/>
      <c r="FP55" t="n">
        <v>2.742</v>
      </c>
      <c r="FQ55" t="inlineStr">
        <is>
          <t>informe o verificación</t>
        </is>
      </c>
      <c r="FR55" t="inlineStr">
        <is>
          <t>G2010-053</t>
        </is>
      </c>
      <c r="FS55" t="inlineStr">
        <is>
          <t>G2010|G2010-B-INT-6in</t>
        </is>
      </c>
    </row>
    <row r="56">
      <c r="A56" t="inlineStr">
        <is>
          <t>G2010</t>
        </is>
      </c>
      <c r="B56" t="inlineStr">
        <is>
          <t>2010_Golder_Caracterizacion ROM IPCC.pdf</t>
        </is>
      </c>
      <c r="C56" t="n">
        <v>2010</v>
      </c>
      <c r="D56" t="inlineStr">
        <is>
          <t>Golder Associates Perú, Memorando técnico 'Caracterización material de ROM – Proyecto IPCC' (proy. 099-4151017, 25-mar-2010)</t>
        </is>
      </c>
      <c r="E56" t="inlineStr">
        <is>
          <t>Vector Perú S.A.C. – Laboratorio Geotécnico (Lima), informe VP-209-09E</t>
        </is>
      </c>
      <c r="F56" t="inlineStr">
        <is>
          <t>G2010-B-EXO-6in</t>
        </is>
      </c>
      <c r="G56" t="inlineStr">
        <is>
          <t>VP-209-09E σ'c=500 kPa</t>
        </is>
      </c>
      <c r="H56" t="inlineStr">
        <is>
          <t>Exoskarn Diopsido</t>
        </is>
      </c>
      <c r="I56" t="inlineStr">
        <is>
          <t>Skarn</t>
        </is>
      </c>
      <c r="J56" t="inlineStr">
        <is>
          <t>exoskarn diópsido</t>
        </is>
      </c>
      <c r="K56" t="inlineStr"/>
      <c r="L56" t="inlineStr"/>
      <c r="M56" t="inlineStr">
        <is>
          <t>Chancado</t>
        </is>
      </c>
      <c r="N56" t="inlineStr"/>
      <c r="O56" t="inlineStr">
        <is>
          <t>CU</t>
        </is>
      </c>
      <c r="P56" t="inlineStr">
        <is>
          <t>sí</t>
        </is>
      </c>
      <c r="Q56" t="n">
        <v>151.5</v>
      </c>
      <c r="R56" t="n">
        <v>310</v>
      </c>
      <c r="S56" t="n">
        <v>25.4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Truncado: fracción &lt; 1" (memo pág. 3); Fase B chancada, TM 9"–12" según texto pág. 2</t>
        </is>
      </c>
      <c r="AD56" t="n">
        <v>3.338</v>
      </c>
      <c r="AE56" t="n">
        <v>23.08</v>
      </c>
      <c r="AF56" t="n">
        <v>0.419</v>
      </c>
      <c r="AG56" t="inlineStr">
        <is>
          <t>calculado</t>
        </is>
      </c>
      <c r="AH56" t="inlineStr"/>
      <c r="AI56" t="n">
        <v>3.5</v>
      </c>
      <c r="AJ56" t="n">
        <v>97.40000000000001</v>
      </c>
      <c r="AK56" t="n">
        <v>280.05</v>
      </c>
      <c r="AL56" t="n">
        <v>980.8</v>
      </c>
      <c r="AM56" t="n">
        <v>700.75</v>
      </c>
      <c r="AN56" t="inlineStr">
        <is>
          <t>Pico de esfuerzo desviador (criterio de Vector; primer máximo)</t>
        </is>
      </c>
      <c r="AO56" t="inlineStr"/>
      <c r="AP56" t="n">
        <v>1.25</v>
      </c>
      <c r="AQ56" t="inlineStr"/>
      <c r="AR56" t="n">
        <v>219.95</v>
      </c>
      <c r="AS56" t="n">
        <v>513.6</v>
      </c>
      <c r="AT56" t="n">
        <v>700.75</v>
      </c>
      <c r="AU56" t="inlineStr"/>
      <c r="AV56" t="inlineStr"/>
      <c r="AW56" t="inlineStr"/>
      <c r="AX56" t="inlineStr"/>
      <c r="AY56" t="inlineStr"/>
      <c r="AZ56" t="inlineStr"/>
      <c r="BA56" t="inlineStr">
        <is>
          <t>179;183;3;10;49</t>
        </is>
      </c>
      <c r="BB56" t="inlineStr">
        <is>
          <t>sí</t>
        </is>
      </c>
      <c r="BC56" t="inlineStr">
        <is>
          <t xml:space="preserve">Fase B (material chancado). Probeta 6" ensayada por Vector para Golder (Estado: remoldeado). Presión de celda 705 kPa, contrapresión 205 kPa, B=0.89 (&lt;0.95). Velocidad 0.01 pulg/min. Final: H=30.84 cm, D=14.92 cm, w=8.7 %, gd=2.44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183): c=0 kPa φ=24.3° (totales), c'=0 kPa φ'=34.1°; al 12 %: c'=0 kPa φ'=42°. Comportamiento con endurecimiento posterior: a ε=14.0 % (fin del ensayo) desviador=986.22 kPa, u=254.51 kPa, σ'3=245.49 kPa, σ'1=1231.71 kPa. Valores transcritos de la imagen (la página no tiene capa de texto). σc carga puntual 124.78 MPa; Los Ángeles 27.6 %; durabilidad 6.7 %. VERIFICACIÓN 2026-10-06 (imagen p.179): σ'3c=500 kPa, celda 705 kPa, contrapresión 205 kPa, B=0.89, velocidad 0.01 pulg/min. Pico Vector εa=1.25 %: σ'3=280.05, σ'1=980.8, q=700.75, Δu=219.95 kPa. Máximo desviador del ensayo: εa=14.0 %, q=986.22 kPa. Máxima oblicuidad: σ'1/σ'3=5.021 a εa=9.0 %. Final de consolidación (Vector): H=30.84 cm, D=14.92 cm, γd=2.44 g/cm3, w final=8.7 %. Pico local a εa=1.25 %; después el desviador vuelve a crecer y el máximo absoluto es al 14 %. </t>
        </is>
      </c>
      <c r="BD56" t="n">
        <v>500</v>
      </c>
      <c r="BE56" t="n">
        <v>280.05</v>
      </c>
      <c r="BF56" t="n">
        <v>980.8</v>
      </c>
      <c r="BG56" t="n">
        <v>14</v>
      </c>
      <c r="BH56" t="n">
        <v>245.49</v>
      </c>
      <c r="BI56" t="n">
        <v>1231.71</v>
      </c>
      <c r="BJ56" t="n">
        <v>986.22</v>
      </c>
      <c r="BK56" t="n">
        <v>254.51</v>
      </c>
      <c r="BL56" t="inlineStr">
        <is>
          <t>9.0</t>
        </is>
      </c>
      <c r="BM56" t="inlineStr">
        <is>
          <t>218.21</t>
        </is>
      </c>
      <c r="BN56" t="inlineStr">
        <is>
          <t>1095.69</t>
        </is>
      </c>
      <c r="BO56" t="inlineStr">
        <is>
          <t>877.48</t>
        </is>
      </c>
      <c r="BP56" t="inlineStr">
        <is>
          <t>281.79</t>
        </is>
      </c>
      <c r="BQ56" t="inlineStr">
        <is>
          <t>5.021</t>
        </is>
      </c>
      <c r="BR56" t="inlineStr">
        <is>
          <t>0.89</t>
        </is>
      </c>
      <c r="BS56" t="inlineStr">
        <is>
          <t>205</t>
        </is>
      </c>
      <c r="BT56" t="n">
        <v>0.082</v>
      </c>
      <c r="BU56" t="n">
        <v>23.94</v>
      </c>
      <c r="BV56" t="n">
        <v>0.368</v>
      </c>
      <c r="BW56" t="inlineStr">
        <is>
          <t>no informado</t>
        </is>
      </c>
      <c r="BX56" t="inlineStr">
        <is>
          <t>3.338 (D854 Golder, p.49; Vector no informa Gs)</t>
        </is>
      </c>
      <c r="BY56" t="inlineStr">
        <is>
          <t>verificado en imagen; esfuerzos separados; estados de máximo desviador y máxima oblicuidad de la tabla Vector</t>
        </is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Triaxial CU</t>
        </is>
      </c>
      <c r="EY56" t="inlineStr">
        <is>
          <t>CU: máxima oblicuidad σ′1/σ′3</t>
        </is>
      </c>
      <c r="EZ56" t="n">
        <v>218.21</v>
      </c>
      <c r="FA56" t="n">
        <v>1095.69</v>
      </c>
      <c r="FB56" t="n">
        <v>877.48</v>
      </c>
      <c r="FC56" t="n">
        <v>41.90086741649927</v>
      </c>
      <c r="FD56" t="n">
        <v>363.9402007763148</v>
      </c>
      <c r="FE56" t="n">
        <v>326.5548118752742</v>
      </c>
      <c r="FF56" t="inlineStr">
        <is>
          <t>6 in (≈150 mm)</t>
        </is>
      </c>
      <c r="FG56" t="n">
        <v>5.964566929133858</v>
      </c>
      <c r="FH56" t="inlineStr">
        <is>
          <t>Chancado</t>
        </is>
      </c>
      <c r="FI56" t="inlineStr">
        <is>
          <t>dudosa: muestras del acopio de la chancadora secundaria; hojas de Fase A dicen «Material Chancado»</t>
        </is>
      </c>
      <c r="FJ56" t="n">
        <v>0</v>
      </c>
      <c r="FK56" t="inlineStr"/>
      <c r="FL56" t="inlineStr"/>
      <c r="FM56" t="inlineStr">
        <is>
          <t>A</t>
        </is>
      </c>
      <c r="FN56" t="n">
        <v>0.419</v>
      </c>
      <c r="FO56" t="inlineStr"/>
      <c r="FP56" t="n">
        <v>3.338</v>
      </c>
      <c r="FQ56" t="inlineStr">
        <is>
          <t>informe o verificación</t>
        </is>
      </c>
      <c r="FR56" t="inlineStr">
        <is>
          <t>G2010-054</t>
        </is>
      </c>
      <c r="FS56" t="inlineStr">
        <is>
          <t>G2010|G2010-B-EXO-6in</t>
        </is>
      </c>
    </row>
    <row r="57">
      <c r="A57" t="inlineStr">
        <is>
          <t>G2010</t>
        </is>
      </c>
      <c r="B57" t="inlineStr">
        <is>
          <t>2010_Golder_Caracterizacion ROM IPCC.pdf</t>
        </is>
      </c>
      <c r="C57" t="n">
        <v>2010</v>
      </c>
      <c r="D57" t="inlineStr">
        <is>
          <t>Golder Associates Perú, Memorando técnico 'Caracterización material de ROM – Proyecto IPCC' (proy. 099-4151017, 25-mar-2010)</t>
        </is>
      </c>
      <c r="E57" t="inlineStr">
        <is>
          <t>Vector Perú S.A.C. – Laboratorio Geotécnico (Lima), informe VP-209-09E</t>
        </is>
      </c>
      <c r="F57" t="inlineStr">
        <is>
          <t>G2010-B-EXO-6in</t>
        </is>
      </c>
      <c r="G57" t="inlineStr">
        <is>
          <t>VP-209-09E σ'c=250 kPa</t>
        </is>
      </c>
      <c r="H57" t="inlineStr">
        <is>
          <t>Exoskarn Diopsido</t>
        </is>
      </c>
      <c r="I57" t="inlineStr">
        <is>
          <t>Skarn</t>
        </is>
      </c>
      <c r="J57" t="inlineStr">
        <is>
          <t>exoskarn diópsido</t>
        </is>
      </c>
      <c r="K57" t="inlineStr"/>
      <c r="L57" t="inlineStr"/>
      <c r="M57" t="inlineStr">
        <is>
          <t>Chancado</t>
        </is>
      </c>
      <c r="N57" t="inlineStr"/>
      <c r="O57" t="inlineStr">
        <is>
          <t>CU</t>
        </is>
      </c>
      <c r="P57" t="inlineStr">
        <is>
          <t>sí</t>
        </is>
      </c>
      <c r="Q57" t="n">
        <v>151.5</v>
      </c>
      <c r="R57" t="n">
        <v>310</v>
      </c>
      <c r="S57" t="n">
        <v>25.4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Truncado: fracción &lt; 1" (memo pág. 3); Fase B chancada, TM 9"–12" según texto pág. 2</t>
        </is>
      </c>
      <c r="AD57" t="n">
        <v>3.338</v>
      </c>
      <c r="AE57" t="n">
        <v>23.09</v>
      </c>
      <c r="AF57" t="n">
        <v>0.418</v>
      </c>
      <c r="AG57" t="inlineStr">
        <is>
          <t>calculado</t>
        </is>
      </c>
      <c r="AH57" t="inlineStr"/>
      <c r="AI57" t="n">
        <v>3.5</v>
      </c>
      <c r="AJ57" t="n">
        <v>97.40000000000001</v>
      </c>
      <c r="AK57" t="n">
        <v>132.14</v>
      </c>
      <c r="AL57" t="n">
        <v>441.51</v>
      </c>
      <c r="AM57" t="n">
        <v>309.36</v>
      </c>
      <c r="AN57" t="inlineStr">
        <is>
          <t>Pico de esfuerzo desviador (criterio de Vector; primer máximo)</t>
        </is>
      </c>
      <c r="AO57" t="inlineStr"/>
      <c r="AP57" t="n">
        <v>1</v>
      </c>
      <c r="AQ57" t="inlineStr"/>
      <c r="AR57" t="n">
        <v>117.86</v>
      </c>
      <c r="AS57" t="n">
        <v>235.3</v>
      </c>
      <c r="AT57" t="n">
        <v>309.36</v>
      </c>
      <c r="AU57" t="inlineStr"/>
      <c r="AV57" t="inlineStr"/>
      <c r="AW57" t="inlineStr"/>
      <c r="AX57" t="inlineStr"/>
      <c r="AY57" t="inlineStr"/>
      <c r="AZ57" t="inlineStr"/>
      <c r="BA57" t="inlineStr">
        <is>
          <t>180;183;3;10;49</t>
        </is>
      </c>
      <c r="BB57" t="inlineStr">
        <is>
          <t>sí</t>
        </is>
      </c>
      <c r="BC57" t="inlineStr">
        <is>
          <t xml:space="preserve">Fase B (material chancado). Probeta 6" ensayada por Vector para Golder (Estado: remoldeado). Presión de celda 455 kPa, contrapresión 205 kPa, B=0.88 (&lt;0.95). Velocidad 0.01 pulg/min. Final: H=30.87 cm, D=15.01 cm, w=8.76 %, gd=2.409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183): c=0 kPa φ=24.3° (totales), c'=0 kPa φ'=34.1°; al 12 %: c'=0 kPa φ'=42°. Comportamiento con endurecimiento posterior: a ε=14.0 % (fin del ensayo) desviador=486.13 kPa, u=118.02 kPa, σ'3=131.98 kPa, σ'1=618.1 kPa. Valores transcritos de la imagen (la página no tiene capa de texto). σc carga puntual 124.78 MPa; Los Ángeles 27.6 %; durabilidad 6.7 %. VERIFICACIÓN 2026-10-06 (imagen p.180): σ'3c=250 kPa, celda 455 kPa, contrapresión 205 kPa, B=0.88, velocidad 0.01 pulg/min. Pico Vector εa=1.0 %: σ'3=132.14, σ'1=441.51, q=309.36, Δu=117.86 kPa. Máximo desviador del ensayo: εa=14.0 %, q=486.13 kPa. Máxima oblicuidad: σ'1/σ'3=4.683 a εa=14.0 %. Final de consolidación (Vector): H=30.87 cm, D=15.01 cm, γd=2.409 g/cm3, w final=8.76 %. Pico local a εa=1.0 %; después el desviador vuelve a crecer y el máximo absoluto es al 14 %. </t>
        </is>
      </c>
      <c r="BD57" t="n">
        <v>250</v>
      </c>
      <c r="BE57" t="n">
        <v>132.14</v>
      </c>
      <c r="BF57" t="n">
        <v>441.51</v>
      </c>
      <c r="BG57" t="n">
        <v>14</v>
      </c>
      <c r="BH57" t="n">
        <v>131.98</v>
      </c>
      <c r="BI57" t="n">
        <v>618.1</v>
      </c>
      <c r="BJ57" t="n">
        <v>486.13</v>
      </c>
      <c r="BK57" t="n">
        <v>118.02</v>
      </c>
      <c r="BL57" t="inlineStr">
        <is>
          <t>14.0</t>
        </is>
      </c>
      <c r="BM57" t="inlineStr">
        <is>
          <t>131.98</t>
        </is>
      </c>
      <c r="BN57" t="inlineStr">
        <is>
          <t>618.1</t>
        </is>
      </c>
      <c r="BO57" t="inlineStr">
        <is>
          <t>486.13</t>
        </is>
      </c>
      <c r="BP57" t="inlineStr">
        <is>
          <t>118.02</t>
        </is>
      </c>
      <c r="BQ57" t="inlineStr">
        <is>
          <t>4.683</t>
        </is>
      </c>
      <c r="BR57" t="inlineStr">
        <is>
          <t>0.88</t>
        </is>
      </c>
      <c r="BS57" t="inlineStr">
        <is>
          <t>205</t>
        </is>
      </c>
      <c r="BT57" t="n">
        <v>0.082</v>
      </c>
      <c r="BU57" t="n">
        <v>23.63</v>
      </c>
      <c r="BV57" t="n">
        <v>0.386</v>
      </c>
      <c r="BW57" t="inlineStr">
        <is>
          <t>no informado</t>
        </is>
      </c>
      <c r="BX57" t="inlineStr">
        <is>
          <t>3.338 (D854 Golder, p.49; Vector no informa Gs)</t>
        </is>
      </c>
      <c r="BY57" t="inlineStr">
        <is>
          <t>verificado en imagen; esfuerzos separados; estados de máximo desviador y máxima oblicuidad de la tabla Vector</t>
        </is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>
        <is>
          <t>Triaxial CU</t>
        </is>
      </c>
      <c r="EY57" t="inlineStr">
        <is>
          <t>CU: máxima oblicuidad σ′1/σ′3</t>
        </is>
      </c>
      <c r="EZ57" t="n">
        <v>131.98</v>
      </c>
      <c r="FA57" t="n">
        <v>618.1</v>
      </c>
      <c r="FB57" t="n">
        <v>486.12</v>
      </c>
      <c r="FC57" t="n">
        <v>40.39781585142183</v>
      </c>
      <c r="FD57" t="n">
        <v>217.51503306314</v>
      </c>
      <c r="FE57" t="n">
        <v>185.1055061081143</v>
      </c>
      <c r="FF57" t="inlineStr">
        <is>
          <t>6 in (≈150 mm)</t>
        </is>
      </c>
      <c r="FG57" t="n">
        <v>5.964566929133858</v>
      </c>
      <c r="FH57" t="inlineStr">
        <is>
          <t>Chancado</t>
        </is>
      </c>
      <c r="FI57" t="inlineStr">
        <is>
          <t>dudosa: muestras del acopio de la chancadora secundaria; hojas de Fase A dicen «Material Chancado»</t>
        </is>
      </c>
      <c r="FJ57" t="n">
        <v>0</v>
      </c>
      <c r="FK57" t="inlineStr"/>
      <c r="FL57" t="inlineStr"/>
      <c r="FM57" t="inlineStr">
        <is>
          <t>A</t>
        </is>
      </c>
      <c r="FN57" t="n">
        <v>0.418</v>
      </c>
      <c r="FO57" t="inlineStr"/>
      <c r="FP57" t="n">
        <v>3.338</v>
      </c>
      <c r="FQ57" t="inlineStr">
        <is>
          <t>informe o verificación</t>
        </is>
      </c>
      <c r="FR57" t="inlineStr">
        <is>
          <t>G2010-055</t>
        </is>
      </c>
      <c r="FS57" t="inlineStr">
        <is>
          <t>G2010|G2010-B-EXO-6in</t>
        </is>
      </c>
    </row>
    <row r="58">
      <c r="A58" t="inlineStr">
        <is>
          <t>G2010</t>
        </is>
      </c>
      <c r="B58" t="inlineStr">
        <is>
          <t>2010_Golder_Caracterizacion ROM IPCC.pdf</t>
        </is>
      </c>
      <c r="C58" t="n">
        <v>2010</v>
      </c>
      <c r="D58" t="inlineStr">
        <is>
          <t>Golder Associates Perú, Memorando técnico 'Caracterización material de ROM – Proyecto IPCC' (proy. 099-4151017, 25-mar-2010)</t>
        </is>
      </c>
      <c r="E58" t="inlineStr">
        <is>
          <t>Vector Perú S.A.C. – Laboratorio Geotécnico (Lima), informe VP-209-09E</t>
        </is>
      </c>
      <c r="F58" t="inlineStr">
        <is>
          <t>G2010-B-EXO-6in</t>
        </is>
      </c>
      <c r="G58" t="inlineStr">
        <is>
          <t>VP-209-09E σ'c=125 kPa</t>
        </is>
      </c>
      <c r="H58" t="inlineStr">
        <is>
          <t>Exoskarn Diopsido</t>
        </is>
      </c>
      <c r="I58" t="inlineStr">
        <is>
          <t>Skarn</t>
        </is>
      </c>
      <c r="J58" t="inlineStr">
        <is>
          <t>exoskarn diópsido</t>
        </is>
      </c>
      <c r="K58" t="inlineStr"/>
      <c r="L58" t="inlineStr"/>
      <c r="M58" t="inlineStr">
        <is>
          <t>Chancado</t>
        </is>
      </c>
      <c r="N58" t="inlineStr"/>
      <c r="O58" t="inlineStr">
        <is>
          <t>CU</t>
        </is>
      </c>
      <c r="P58" t="inlineStr">
        <is>
          <t>sí</t>
        </is>
      </c>
      <c r="Q58" t="n">
        <v>151.5</v>
      </c>
      <c r="R58" t="n">
        <v>310</v>
      </c>
      <c r="S58" t="n">
        <v>25.4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Truncado: fracción &lt; 1" (memo pág. 3); Fase B chancada, TM 9"–12" según texto pág. 2</t>
        </is>
      </c>
      <c r="AD58" t="n">
        <v>3.338</v>
      </c>
      <c r="AE58" t="n">
        <v>22.88</v>
      </c>
      <c r="AF58" t="n">
        <v>0.431</v>
      </c>
      <c r="AG58" t="inlineStr">
        <is>
          <t>calculado</t>
        </is>
      </c>
      <c r="AH58" t="inlineStr"/>
      <c r="AI58" t="n">
        <v>3.5</v>
      </c>
      <c r="AJ58" t="n">
        <v>97.40000000000001</v>
      </c>
      <c r="AK58" t="n">
        <v>64.56999999999999</v>
      </c>
      <c r="AL58" t="n">
        <v>190.64</v>
      </c>
      <c r="AM58" t="n">
        <v>126.07</v>
      </c>
      <c r="AN58" t="inlineStr">
        <is>
          <t>Punto marcado como «pico» por Vector (la curva no tiene pico)</t>
        </is>
      </c>
      <c r="AO58" t="inlineStr"/>
      <c r="AP58" t="n">
        <v>1</v>
      </c>
      <c r="AQ58" t="inlineStr"/>
      <c r="AR58" t="n">
        <v>60.43</v>
      </c>
      <c r="AS58" t="n">
        <v>106.6</v>
      </c>
      <c r="AT58" t="n">
        <v>126.07</v>
      </c>
      <c r="AU58" t="inlineStr"/>
      <c r="AV58" t="inlineStr"/>
      <c r="AW58" t="inlineStr"/>
      <c r="AX58" t="inlineStr"/>
      <c r="AY58" t="inlineStr"/>
      <c r="AZ58" t="inlineStr"/>
      <c r="BA58" t="inlineStr">
        <is>
          <t>181;183;3;10;49</t>
        </is>
      </c>
      <c r="BB58" t="inlineStr">
        <is>
          <t>sí</t>
        </is>
      </c>
      <c r="BC58" t="inlineStr">
        <is>
          <t xml:space="preserve">Fase B (material chancado). Probeta 6" ensayada por Vector para Golder (Estado: remoldeado). Presión de celda 330 kPa, contrapresión 205 kPa, B=0.9 (&lt;0.95). Velocidad 0.01 pulg/min. Final: H=30.91 cm, D=15.02 cm, w=9.14 %, gd=2.38 g/cm3. e0 calculado con Gs de finos D854 de Golder para el mismo material y fase (pág. 49), Gs no informado por Vector. La hoja Vector da p=(σ'1+σ'3)/2 y q=(σ'1−σ'3)/2; aquí p_falla=(σ'1+2σ'3)/3 y q_falla_und=σ'1−σ'3 (recalculados). u_falla = presión de poros en exceso informada por Vector. Envolvente Vector 'pico' (pág. 183): c=0 kPa φ=24.3° (totales), c'=0 kPa φ'=34.1°; al 12 %: c'=0 kPa φ'=42°. Comportamiento con endurecimiento posterior: a ε=14.0 % (fin del ensayo) desviador=496.79 kPa, u=-10.53 kPa, σ'3=135.53 kPa, σ'1=632.32 kPa. Sin pico definido: el desviador crece hasta el final; se adopta ε=1.0 % porque es el punto marcado por Vector (pág. 183). Valores transcritos de la imagen (la página no tiene capa de texto). σc carga puntual 124.78 MPa; Los Ángeles 27.6 %; durabilidad 6.7 %. VERIFICACIÓN 2026-10-06 (imagen p.181): σ'3c=125 kPa, celda 330 kPa, contrapresión 205 kPa, B=0.9, velocidad 0.01 pulg/min. Pico Vector εa=1.0 %: σ'3=64.57, σ'1=190.64, q=126.07, Δu=60.43 kPa. Máximo desviador del ensayo: εa=14.0 %, q=496.79 kPa. Máxima oblicuidad: σ'1/σ'3=4.837 a εa=10.0 %. Final de consolidación (Vector): H=30.91 cm, D=15.02 cm, γd=2.38 g/cm3, w final=9.14 %. La curva NO tiene pico: el desviador crece hasta el final (496.8 kPa a 14 %). Vector marcó el punto a εa=1.0 % (verificado en la trayectoria p.183); se conserva como «pico Vector» solo por trazabilidad. </t>
        </is>
      </c>
      <c r="BD58" t="n">
        <v>125</v>
      </c>
      <c r="BE58" t="n">
        <v>64.56999999999999</v>
      </c>
      <c r="BF58" t="n">
        <v>190.64</v>
      </c>
      <c r="BG58" t="n">
        <v>14</v>
      </c>
      <c r="BH58" t="n">
        <v>135.53</v>
      </c>
      <c r="BI58" t="n">
        <v>632.3200000000001</v>
      </c>
      <c r="BJ58" t="n">
        <v>496.79</v>
      </c>
      <c r="BK58" t="n">
        <v>-10.53</v>
      </c>
      <c r="BL58" t="inlineStr">
        <is>
          <t>10.0</t>
        </is>
      </c>
      <c r="BM58" t="inlineStr">
        <is>
          <t>113.28</t>
        </is>
      </c>
      <c r="BN58" t="inlineStr">
        <is>
          <t>547.99</t>
        </is>
      </c>
      <c r="BO58" t="inlineStr">
        <is>
          <t>434.71</t>
        </is>
      </c>
      <c r="BP58" t="inlineStr">
        <is>
          <t>11.72</t>
        </is>
      </c>
      <c r="BQ58" t="inlineStr">
        <is>
          <t>4.837</t>
        </is>
      </c>
      <c r="BR58" t="inlineStr">
        <is>
          <t>0.9</t>
        </is>
      </c>
      <c r="BS58" t="inlineStr">
        <is>
          <t>205</t>
        </is>
      </c>
      <c r="BT58" t="n">
        <v>0.082</v>
      </c>
      <c r="BU58" t="n">
        <v>23.35</v>
      </c>
      <c r="BV58" t="n">
        <v>0.403</v>
      </c>
      <c r="BW58" t="inlineStr">
        <is>
          <t>no informado</t>
        </is>
      </c>
      <c r="BX58" t="inlineStr">
        <is>
          <t>3.338 (D854 Golder, p.49; Vector no informa Gs)</t>
        </is>
      </c>
      <c r="BY58" t="inlineStr">
        <is>
          <t>verificado en imagen; esfuerzos separados; estados de máximo desviador y máxima oblicuidad de la tabla Vector</t>
        </is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>
        <is>
          <t>Triaxial CU</t>
        </is>
      </c>
      <c r="EY58" t="inlineStr">
        <is>
          <t>CU: máxima oblicuidad σ′1/σ′3</t>
        </is>
      </c>
      <c r="EZ58" t="n">
        <v>113.28</v>
      </c>
      <c r="FA58" t="n">
        <v>547.99</v>
      </c>
      <c r="FB58" t="n">
        <v>434.71</v>
      </c>
      <c r="FC58" t="n">
        <v>41.10085904916627</v>
      </c>
      <c r="FD58" t="n">
        <v>187.7487477127345</v>
      </c>
      <c r="FE58" t="n">
        <v>163.7886288247751</v>
      </c>
      <c r="FF58" t="inlineStr">
        <is>
          <t>6 in (≈150 mm)</t>
        </is>
      </c>
      <c r="FG58" t="n">
        <v>5.964566929133858</v>
      </c>
      <c r="FH58" t="inlineStr">
        <is>
          <t>Chancado</t>
        </is>
      </c>
      <c r="FI58" t="inlineStr">
        <is>
          <t>dudosa: muestras del acopio de la chancadora secundaria; hojas de Fase A dicen «Material Chancado»</t>
        </is>
      </c>
      <c r="FJ58" t="n">
        <v>0</v>
      </c>
      <c r="FK58" t="inlineStr"/>
      <c r="FL58" t="inlineStr"/>
      <c r="FM58" t="inlineStr">
        <is>
          <t>A</t>
        </is>
      </c>
      <c r="FN58" t="n">
        <v>0.431</v>
      </c>
      <c r="FO58" t="inlineStr"/>
      <c r="FP58" t="n">
        <v>3.338</v>
      </c>
      <c r="FQ58" t="inlineStr">
        <is>
          <t>informe o verificación</t>
        </is>
      </c>
      <c r="FR58" t="inlineStr">
        <is>
          <t>G2010-056</t>
        </is>
      </c>
      <c r="FS58" t="inlineStr">
        <is>
          <t>G2010|G2010-B-EXO-6in</t>
        </is>
      </c>
    </row>
    <row r="59">
      <c r="A59" t="inlineStr">
        <is>
          <t>G2012</t>
        </is>
      </c>
      <c r="B59" t="inlineStr">
        <is>
          <t>2012_Golder_Triaxiales Gran Escala en Marmol Negro.pdf</t>
        </is>
      </c>
      <c r="C59" t="n">
        <v>2012</v>
      </c>
      <c r="D59" t="inlineStr">
        <is>
          <t>Golder Associates Perú, Technical Memorandum Doc. No. 446 (proy. 1014270482C/1194155017P); anexo IDIEM Informe 708.397-A</t>
        </is>
      </c>
      <c r="E59" t="inlineStr">
        <is>
          <t>IDIEM, Universidad de Chile (Santiago)</t>
        </is>
      </c>
      <c r="F59" t="inlineStr">
        <is>
          <t>G2012-MN-C</t>
        </is>
      </c>
      <c r="G59" t="inlineStr">
        <is>
          <t>Test 1 / Probeta 1 (σ'c = 5 kg/cm²)</t>
        </is>
      </c>
      <c r="H59" t="inlineStr">
        <is>
          <t>Black marble rockfill (Mármol negro)</t>
        </is>
      </c>
      <c r="I59" t="inlineStr">
        <is>
          <t>Mármol</t>
        </is>
      </c>
      <c r="J59" t="inlineStr">
        <is>
          <t>mármol negro</t>
        </is>
      </c>
      <c r="K59" t="inlineStr"/>
      <c r="L59" t="inlineStr"/>
      <c r="M59" t="inlineStr">
        <is>
          <t>Enrocado</t>
        </is>
      </c>
      <c r="N59" t="inlineStr">
        <is>
          <t>C</t>
        </is>
      </c>
      <c r="O59" t="inlineStr">
        <is>
          <t>CID</t>
        </is>
      </c>
      <c r="P59" t="inlineStr">
        <is>
          <t>sí</t>
        </is>
      </c>
      <c r="Q59" t="n">
        <v>1000</v>
      </c>
      <c r="R59" t="n">
        <v>1800</v>
      </c>
      <c r="S59" t="n">
        <v>177.8</v>
      </c>
      <c r="T59" t="n">
        <v>1.39</v>
      </c>
      <c r="U59" t="n">
        <v>17.61</v>
      </c>
      <c r="V59" t="n">
        <v>39.48</v>
      </c>
      <c r="W59" t="n">
        <v>51.89</v>
      </c>
      <c r="X59" t="n">
        <v>34.4</v>
      </c>
      <c r="Y59" t="n">
        <v>4.1</v>
      </c>
      <c r="Z59" t="n">
        <v>85.3</v>
      </c>
      <c r="AA59" t="n">
        <v>9.800000000000001</v>
      </c>
      <c r="AB59" t="n">
        <v>4.9</v>
      </c>
      <c r="AC59" t="inlineStr">
        <is>
          <t>Truncado (scalping) a 178 mm; Dmax de terreno 558.8 mm (macro-granulometría)</t>
        </is>
      </c>
      <c r="AD59" t="n">
        <v>2.7</v>
      </c>
      <c r="AE59" t="n">
        <v>20.6</v>
      </c>
      <c r="AF59" t="n">
        <v>0.286</v>
      </c>
      <c r="AG59" t="inlineStr">
        <is>
          <t>informe</t>
        </is>
      </c>
      <c r="AH59" t="inlineStr"/>
      <c r="AI59" t="n">
        <v>0.09</v>
      </c>
      <c r="AJ59" t="n">
        <v>97.3</v>
      </c>
      <c r="AK59" t="n">
        <v>490.3</v>
      </c>
      <c r="AL59" t="n">
        <v>2271.2</v>
      </c>
      <c r="AM59" t="n">
        <v>1780.9</v>
      </c>
      <c r="AN59" t="inlineStr">
        <is>
          <t>Máximo desviador (pico de t) en la tabla IDIEM</t>
        </is>
      </c>
      <c r="AO59" t="n">
        <v>40.2</v>
      </c>
      <c r="AP59" t="n">
        <v>17.27</v>
      </c>
      <c r="AQ59" t="n">
        <v>-5.65</v>
      </c>
      <c r="AR59" t="inlineStr"/>
      <c r="AS59" t="inlineStr"/>
      <c r="AT59" t="inlineStr"/>
      <c r="AU59" t="inlineStr"/>
      <c r="AV59" t="n">
        <v>13.4</v>
      </c>
      <c r="AW59" t="inlineStr"/>
      <c r="AX59" t="n">
        <v>8.199999999999999</v>
      </c>
      <c r="AY59" t="inlineStr"/>
      <c r="AZ59" t="inlineStr"/>
      <c r="BA59" t="inlineStr">
        <is>
          <t>7;29;27;28;17;10</t>
        </is>
      </c>
      <c r="BB59" t="inlineStr">
        <is>
          <t>sí</t>
        </is>
      </c>
      <c r="BC59" t="inlineStr">
        <is>
          <t>Tipo de carga: Monotónico (ESTATICO). Tabla IDIEM en kg/cm2 con p=(σ1+σ3)/2 y q=(σ1−σ3)/2; en la falla p=14.08, t=9.08 kg/cm2. phi_sec = asin(t/p) calculado; coincide con la Fig. 5 (pág. 10, leído de gráfico). Tras consolidación: gd=2.15 t/m3, e=0.256 (Tabla 3, pág. 7); volumen drenado en consolidación 34670 cm3. finos_post = % pasa #200 de la granulometría post-ensayo IDIEM (págs. 27-28). Material: enrocado de mármol negro para la presa de relaves (texto: 'angular run-of-the-mine material', Tipo C, Fase 5, polígono 12022607, cota 4478); clasificado aquí como Enrocado por su uso. Gs=2.7 SUPUESTO por el informe (no medido); e0 del informe con ese Gs. Probeta remoldeada, compactada en 6 capas de 0.3 m con placa vibratoria a gd=2.10 t/m3, saturada con CO2 + agua, contrapresión 2 kg/cm2, B&gt;0.95. Ensayo controlado por carga (incrementos). D10–D60 calculados por interpolación log-lineal de la granulometría inicial IDIEM (pág. 27); Cu=34.4 y Cc=4.1 son los del informe (Fig. 1, pág. 2); con esa interpolación resultan Cu≈37.4 y Cc≈4.3. grava/arena/finos con cortes 4.76 mm y 0.074 mm. UCS_MPa = promedio de 8 compresiones simples del Informe 379 (540–1380 kg/cm2 = 53–135 MPa; Tabla 1, pág. 3). Los Ángeles 44 % y 41 % (pág. 17). Convención εv del informe: negativo = compresión (pág. 8). Conversión 1 kg/cm2 = 98.0665 kPa. [VERIF 2026-10-06] Bg corregido: Tabla 5 (p17) da 26.8 = Σ|ΔW| = 2×Bg Marsal; recalculado 13.4 con p27–28 (coincide con WSP 2022 Tabla 7). Registro PRIMARIO de los ensayos IDIEM 708.397-A; WSP 2022 (Anexo B p252–295) los reproduce idénticos fila a fila. [VERIF 2026-10-06] Forma de la curva (tabla IDIEM): máximo t=9.08 a εa=17.27 %; al final (19.97 %) t=8.66 (−4.6 %): pico leve. Ensayo controlado por carga (velocidad '--' en la hoja).</t>
        </is>
      </c>
      <c r="BD59" t="n">
        <v>490.3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>
        <is>
          <t>Triaxial CD</t>
        </is>
      </c>
      <c r="EY59" t="inlineStr">
        <is>
          <t>CD: máximo desviador</t>
        </is>
      </c>
      <c r="EZ59" t="n">
        <v>490.3</v>
      </c>
      <c r="FA59" t="n">
        <v>2271.2</v>
      </c>
      <c r="FB59" t="n">
        <v>1780.9</v>
      </c>
      <c r="FC59" t="n">
        <v>40.15841305514022</v>
      </c>
      <c r="FD59" t="n">
        <v>806.4960057939526</v>
      </c>
      <c r="FE59" t="n">
        <v>680.5391631922448</v>
      </c>
      <c r="FF59" t="inlineStr">
        <is>
          <t>1.0 m</t>
        </is>
      </c>
      <c r="FG59" t="n">
        <v>5.624296962879639</v>
      </c>
      <c r="FH59" t="inlineStr">
        <is>
          <t>Enrocado</t>
        </is>
      </c>
      <c r="FI59" t="inlineStr">
        <is>
          <t>asignada: material para presa; el texto lo llama run-of-the-mine</t>
        </is>
      </c>
      <c r="FJ59" t="n">
        <v>0</v>
      </c>
      <c r="FK59" t="inlineStr"/>
      <c r="FL59" t="inlineStr"/>
      <c r="FM59" t="inlineStr">
        <is>
          <t>B</t>
        </is>
      </c>
      <c r="FN59" t="n">
        <v>0.3121962962962963</v>
      </c>
      <c r="FO59" t="inlineStr">
        <is>
          <t>recalculado con Gs adoptado</t>
        </is>
      </c>
      <c r="FP59" t="n">
        <v>2.755</v>
      </c>
      <c r="FQ59" t="inlineStr">
        <is>
          <t>Gs de sólidos del mármol negro (Golder 2010, ASTM D854); 2.70 del informe era supuesto</t>
        </is>
      </c>
      <c r="FR59" t="inlineStr">
        <is>
          <t>G2012-057</t>
        </is>
      </c>
      <c r="FS59" t="inlineStr">
        <is>
          <t>G2012|G2012-MN-C</t>
        </is>
      </c>
    </row>
    <row r="60">
      <c r="A60" t="inlineStr">
        <is>
          <t>G2012</t>
        </is>
      </c>
      <c r="B60" t="inlineStr">
        <is>
          <t>2012_Golder_Triaxiales Gran Escala en Marmol Negro.pdf</t>
        </is>
      </c>
      <c r="C60" t="n">
        <v>2012</v>
      </c>
      <c r="D60" t="inlineStr">
        <is>
          <t>Golder Associates Perú, Technical Memorandum Doc. No. 446 (proy. 1014270482C/1194155017P); anexo IDIEM Informe 708.397-A</t>
        </is>
      </c>
      <c r="E60" t="inlineStr">
        <is>
          <t>IDIEM, Universidad de Chile (Santiago)</t>
        </is>
      </c>
      <c r="F60" t="inlineStr">
        <is>
          <t>G2012-MN-C</t>
        </is>
      </c>
      <c r="G60" t="inlineStr">
        <is>
          <t>Test 2 / Probeta 2 (σ'c = 5 kg/cm²)</t>
        </is>
      </c>
      <c r="H60" t="inlineStr">
        <is>
          <t>Black marble rockfill (Mármol negro)</t>
        </is>
      </c>
      <c r="I60" t="inlineStr">
        <is>
          <t>Mármol</t>
        </is>
      </c>
      <c r="J60" t="inlineStr">
        <is>
          <t>mármol negro</t>
        </is>
      </c>
      <c r="K60" t="inlineStr"/>
      <c r="L60" t="inlineStr"/>
      <c r="M60" t="inlineStr">
        <is>
          <t>Enrocado</t>
        </is>
      </c>
      <c r="N60" t="inlineStr">
        <is>
          <t>C</t>
        </is>
      </c>
      <c r="O60" t="inlineStr">
        <is>
          <t>CID</t>
        </is>
      </c>
      <c r="P60" t="inlineStr">
        <is>
          <t>sí</t>
        </is>
      </c>
      <c r="Q60" t="n">
        <v>1000</v>
      </c>
      <c r="R60" t="n">
        <v>1800</v>
      </c>
      <c r="S60" t="n">
        <v>177.8</v>
      </c>
      <c r="T60" t="n">
        <v>1.39</v>
      </c>
      <c r="U60" t="n">
        <v>17.61</v>
      </c>
      <c r="V60" t="n">
        <v>39.48</v>
      </c>
      <c r="W60" t="n">
        <v>51.89</v>
      </c>
      <c r="X60" t="n">
        <v>34.4</v>
      </c>
      <c r="Y60" t="n">
        <v>4.1</v>
      </c>
      <c r="Z60" t="n">
        <v>85.3</v>
      </c>
      <c r="AA60" t="n">
        <v>9.800000000000001</v>
      </c>
      <c r="AB60" t="n">
        <v>4.9</v>
      </c>
      <c r="AC60" t="inlineStr">
        <is>
          <t>Truncado (scalping) a 178 mm; Dmax de terreno 558.8 mm (macro-granulometría)</t>
        </is>
      </c>
      <c r="AD60" t="n">
        <v>2.7</v>
      </c>
      <c r="AE60" t="n">
        <v>20.6</v>
      </c>
      <c r="AF60" t="n">
        <v>0.286</v>
      </c>
      <c r="AG60" t="inlineStr">
        <is>
          <t>informe</t>
        </is>
      </c>
      <c r="AH60" t="inlineStr"/>
      <c r="AI60" t="n">
        <v>0.09</v>
      </c>
      <c r="AJ60" t="n">
        <v>97.3</v>
      </c>
      <c r="AK60" t="n">
        <v>490.3</v>
      </c>
      <c r="AL60" t="n">
        <v>2192.8</v>
      </c>
      <c r="AM60" t="n">
        <v>1702.4</v>
      </c>
      <c r="AN60" t="inlineStr">
        <is>
          <t>Máximo desviador (pico de t) en la tabla IDIEM</t>
        </is>
      </c>
      <c r="AO60" t="n">
        <v>39.4</v>
      </c>
      <c r="AP60" t="n">
        <v>18.26</v>
      </c>
      <c r="AQ60" t="n">
        <v>-6.95</v>
      </c>
      <c r="AR60" t="inlineStr"/>
      <c r="AS60" t="inlineStr"/>
      <c r="AT60" t="inlineStr"/>
      <c r="AU60" t="inlineStr"/>
      <c r="AV60" t="n">
        <v>14.3</v>
      </c>
      <c r="AW60" t="inlineStr"/>
      <c r="AX60" t="n">
        <v>8</v>
      </c>
      <c r="AY60" t="inlineStr"/>
      <c r="AZ60" t="inlineStr"/>
      <c r="BA60" t="inlineStr">
        <is>
          <t>7;40;27;28;17;10</t>
        </is>
      </c>
      <c r="BB60" t="inlineStr">
        <is>
          <t>sí</t>
        </is>
      </c>
      <c r="BC60" t="inlineStr">
        <is>
          <t>Tipo de carga: Carga-descarga (CICLICO). Tabla IDIEM en kg/cm2 con p=(σ1+σ3)/2 y q=(σ1−σ3)/2; en la falla p=13.68, t=8.68 kg/cm2. phi_sec = asin(t/p) calculado; coincide con la Fig. 5 (pág. 10, leído de gráfico). Tras consolidación: gd=2.16 t/m3, e=0.25 (Tabla 3, pág. 7); volumen drenado en consolidación 41604 cm3. finos_post = % pasa #200 de la granulometría post-ensayo IDIEM (págs. 27-28). Material: enrocado de mármol negro para la presa de relaves (texto: 'angular run-of-the-mine material', Tipo C, Fase 5, polígono 12022607, cota 4478); clasificado aquí como Enrocado por su uso. Gs=2.7 SUPUESTO por el informe (no medido); e0 del informe con ese Gs. Probeta remoldeada, compactada en 6 capas de 0.3 m con placa vibratoria a gd=2.10 t/m3, saturada con CO2 + agua, contrapresión 2 kg/cm2, B&gt;0.95. Ensayo controlado por carga (incrementos). D10–D60 calculados por interpolación log-lineal de la granulometría inicial IDIEM (pág. 27); Cu=34.4 y Cc=4.1 son los del informe (Fig. 1, pág. 2); con esa interpolación resultan Cu≈37.4 y Cc≈4.3. grava/arena/finos con cortes 4.76 mm y 0.074 mm. UCS_MPa = promedio de 8 compresiones simples del Informe 379 (540–1380 kg/cm2 = 53–135 MPa; Tabla 1, pág. 3). Los Ángeles 44 % y 41 % (pág. 17). Convención εv del informe: negativo = compresión (pág. 8). Conversión 1 kg/cm2 = 98.0665 kPa. [VERIF 2026-10-06] Bg corregido: Tabla 5 (p17) da 28.6 = Σ|ΔW| = 2×Bg Marsal; recalculado 14.3 con p27–28 (coincide con WSP 2022 Tabla 7). Registro PRIMARIO de los ensayos IDIEM 708.397-A; WSP 2022 (Anexo B p252–295) los reproduce idénticos fila a fila. [VERIF 2026-10-06] Forma de la curva (tabla IDIEM): máximo t=8.68 a 18.26 %; final 20.39 % t=8.53 (−1.7 %): meseta. Ensayo controlado por carga (velocidad '--' en la hoja).</t>
        </is>
      </c>
      <c r="BD60" t="n">
        <v>490.3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>
        <is>
          <t>Triaxial CD</t>
        </is>
      </c>
      <c r="EY60" t="inlineStr">
        <is>
          <t>CD: máximo desviador</t>
        </is>
      </c>
      <c r="EZ60" t="n">
        <v>490.3</v>
      </c>
      <c r="FA60" t="n">
        <v>2192.8</v>
      </c>
      <c r="FB60" t="n">
        <v>1702.5</v>
      </c>
      <c r="FC60" t="n">
        <v>39.3849285151101</v>
      </c>
      <c r="FD60" t="n">
        <v>801.4086988930716</v>
      </c>
      <c r="FE60" t="n">
        <v>657.9315597678184</v>
      </c>
      <c r="FF60" t="inlineStr">
        <is>
          <t>1.0 m</t>
        </is>
      </c>
      <c r="FG60" t="n">
        <v>5.624296962879639</v>
      </c>
      <c r="FH60" t="inlineStr">
        <is>
          <t>Enrocado</t>
        </is>
      </c>
      <c r="FI60" t="inlineStr">
        <is>
          <t>asignada: material para presa; el texto lo llama run-of-the-mine</t>
        </is>
      </c>
      <c r="FJ60" t="n">
        <v>0</v>
      </c>
      <c r="FK60" t="inlineStr"/>
      <c r="FL60" t="inlineStr"/>
      <c r="FM60" t="inlineStr">
        <is>
          <t>B</t>
        </is>
      </c>
      <c r="FN60" t="n">
        <v>0.3121962962962963</v>
      </c>
      <c r="FO60" t="inlineStr">
        <is>
          <t>recalculado con Gs adoptado</t>
        </is>
      </c>
      <c r="FP60" t="n">
        <v>2.755</v>
      </c>
      <c r="FQ60" t="inlineStr">
        <is>
          <t>Gs de sólidos del mármol negro (Golder 2010, ASTM D854); 2.70 del informe era supuesto</t>
        </is>
      </c>
      <c r="FR60" t="inlineStr">
        <is>
          <t>G2012-058</t>
        </is>
      </c>
      <c r="FS60" t="inlineStr">
        <is>
          <t>G2012|G2012-MN-C</t>
        </is>
      </c>
    </row>
    <row r="61">
      <c r="A61" t="inlineStr">
        <is>
          <t>G2012</t>
        </is>
      </c>
      <c r="B61" t="inlineStr">
        <is>
          <t>2012_Golder_Triaxiales Gran Escala en Marmol Negro.pdf</t>
        </is>
      </c>
      <c r="C61" t="n">
        <v>2012</v>
      </c>
      <c r="D61" t="inlineStr">
        <is>
          <t>Golder Associates Perú, Technical Memorandum Doc. No. 446 (proy. 1014270482C/1194155017P); anexo IDIEM Informe 708.397-A</t>
        </is>
      </c>
      <c r="E61" t="inlineStr">
        <is>
          <t>IDIEM, Universidad de Chile (Santiago)</t>
        </is>
      </c>
      <c r="F61" t="inlineStr">
        <is>
          <t>G2012-MN-C</t>
        </is>
      </c>
      <c r="G61" t="inlineStr">
        <is>
          <t>Test 3 / Probeta 3 (σ'c = 10 kg/cm²)</t>
        </is>
      </c>
      <c r="H61" t="inlineStr">
        <is>
          <t>Black marble rockfill (Mármol negro)</t>
        </is>
      </c>
      <c r="I61" t="inlineStr">
        <is>
          <t>Mármol</t>
        </is>
      </c>
      <c r="J61" t="inlineStr">
        <is>
          <t>mármol negro</t>
        </is>
      </c>
      <c r="K61" t="inlineStr"/>
      <c r="L61" t="inlineStr"/>
      <c r="M61" t="inlineStr">
        <is>
          <t>Enrocado</t>
        </is>
      </c>
      <c r="N61" t="inlineStr">
        <is>
          <t>C</t>
        </is>
      </c>
      <c r="O61" t="inlineStr">
        <is>
          <t>CID</t>
        </is>
      </c>
      <c r="P61" t="inlineStr">
        <is>
          <t>sí</t>
        </is>
      </c>
      <c r="Q61" t="n">
        <v>1000</v>
      </c>
      <c r="R61" t="n">
        <v>1800</v>
      </c>
      <c r="S61" t="n">
        <v>177.8</v>
      </c>
      <c r="T61" t="n">
        <v>1.39</v>
      </c>
      <c r="U61" t="n">
        <v>17.61</v>
      </c>
      <c r="V61" t="n">
        <v>39.48</v>
      </c>
      <c r="W61" t="n">
        <v>51.89</v>
      </c>
      <c r="X61" t="n">
        <v>34.4</v>
      </c>
      <c r="Y61" t="n">
        <v>4.1</v>
      </c>
      <c r="Z61" t="n">
        <v>85.3</v>
      </c>
      <c r="AA61" t="n">
        <v>9.800000000000001</v>
      </c>
      <c r="AB61" t="n">
        <v>4.9</v>
      </c>
      <c r="AC61" t="inlineStr">
        <is>
          <t>Truncado (scalping) a 178 mm; Dmax de terreno 558.8 mm (macro-granulometría)</t>
        </is>
      </c>
      <c r="AD61" t="n">
        <v>2.7</v>
      </c>
      <c r="AE61" t="n">
        <v>20.6</v>
      </c>
      <c r="AF61" t="n">
        <v>0.286</v>
      </c>
      <c r="AG61" t="inlineStr">
        <is>
          <t>informe</t>
        </is>
      </c>
      <c r="AH61" t="inlineStr"/>
      <c r="AI61" t="n">
        <v>0.09</v>
      </c>
      <c r="AJ61" t="n">
        <v>97.3</v>
      </c>
      <c r="AK61" t="n">
        <v>980.7</v>
      </c>
      <c r="AL61" t="n">
        <v>3897.2</v>
      </c>
      <c r="AM61" t="n">
        <v>2916.5</v>
      </c>
      <c r="AN61" t="inlineStr">
        <is>
          <t>Máximo desviador (pico de t) en la tabla IDIEM</t>
        </is>
      </c>
      <c r="AO61" t="n">
        <v>36.7</v>
      </c>
      <c r="AP61" t="n">
        <v>18</v>
      </c>
      <c r="AQ61" t="n">
        <v>-8.17</v>
      </c>
      <c r="AR61" t="inlineStr"/>
      <c r="AS61" t="inlineStr"/>
      <c r="AT61" t="inlineStr"/>
      <c r="AU61" t="inlineStr"/>
      <c r="AV61" t="n">
        <v>20.4</v>
      </c>
      <c r="AW61" t="inlineStr"/>
      <c r="AX61" t="n">
        <v>8.5</v>
      </c>
      <c r="AY61" t="inlineStr"/>
      <c r="AZ61" t="inlineStr"/>
      <c r="BA61" t="inlineStr">
        <is>
          <t>7;52;27;28;17;10</t>
        </is>
      </c>
      <c r="BB61" t="inlineStr">
        <is>
          <t>sí</t>
        </is>
      </c>
      <c r="BC61" t="inlineStr">
        <is>
          <t>Tipo de carga: Carga-descarga (CICLICO). Tabla IDIEM en kg/cm2 con p=(σ1+σ3)/2 y q=(σ1−σ3)/2; en la falla p=24.87, t=14.87 kg/cm2. phi_sec = asin(t/p) calculado; coincide con la Fig. 5 (pág. 10, leído de gráfico). Tras consolidación: gd=2.2 t/m3, e=0.227 (Tabla 3, pág. 7); volumen drenado en consolidación 65378 cm3. finos_post = % pasa #200 de la granulometría post-ensayo IDIEM (págs. 27-28). Material: enrocado de mármol negro para la presa de relaves (texto: 'angular run-of-the-mine material', Tipo C, Fase 5, polígono 12022607, cota 4478); clasificado aquí como Enrocado por su uso. Gs=2.7 SUPUESTO por el informe (no medido); e0 del informe con ese Gs. Probeta remoldeada, compactada en 6 capas de 0.3 m con placa vibratoria a gd=2.10 t/m3, saturada con CO2 + agua, contrapresión 2 kg/cm2, B&gt;0.95. Ensayo controlado por carga (incrementos). D10–D60 calculados por interpolación log-lineal de la granulometría inicial IDIEM (pág. 27); Cu=34.4 y Cc=4.1 son los del informe (Fig. 1, pág. 2); con esa interpolación resultan Cu≈37.4 y Cc≈4.3. grava/arena/finos con cortes 4.76 mm y 0.074 mm. UCS_MPa = promedio de 8 compresiones simples del Informe 379 (540–1380 kg/cm2 = 53–135 MPa; Tabla 1, pág. 3). Los Ángeles 44 % y 41 % (pág. 17). Convención εv del informe: negativo = compresión (pág. 8). Conversión 1 kg/cm2 = 98.0665 kPa. [VERIF 2026-10-06] Bg corregido: Tabla 5 (p17) da 40.8 = Σ|ΔW| = 2×Bg Marsal; recalculado 20.4 con p27–28 (coincide con WSP 2022 Tabla 7). Registro PRIMARIO de los ensayos IDIEM 708.397-A; WSP 2022 (Anexo B p252–295) los reproduce idénticos fila a fila. [VERIF 2026-10-06] Forma de la curva (tabla IDIEM): máximo t=14.87 a 18.00 %; final 18.73 % t=14.69 (−1.2 %): meseta. Ensayo controlado por carga (velocidad '--' en la hoja).</t>
        </is>
      </c>
      <c r="BD61" t="n">
        <v>980.7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>
        <is>
          <t>Triaxial CD</t>
        </is>
      </c>
      <c r="EY61" t="inlineStr">
        <is>
          <t>CD: máximo desviador</t>
        </is>
      </c>
      <c r="EZ61" t="n">
        <v>980.7</v>
      </c>
      <c r="FA61" t="n">
        <v>3897.2</v>
      </c>
      <c r="FB61" t="n">
        <v>2916.5</v>
      </c>
      <c r="FC61" t="n">
        <v>36.71969642017003</v>
      </c>
      <c r="FD61" t="n">
        <v>1567.061251768179</v>
      </c>
      <c r="FE61" t="n">
        <v>1168.889675378625</v>
      </c>
      <c r="FF61" t="inlineStr">
        <is>
          <t>1.0 m</t>
        </is>
      </c>
      <c r="FG61" t="n">
        <v>5.624296962879639</v>
      </c>
      <c r="FH61" t="inlineStr">
        <is>
          <t>Enrocado</t>
        </is>
      </c>
      <c r="FI61" t="inlineStr">
        <is>
          <t>asignada: material para presa; el texto lo llama run-of-the-mine</t>
        </is>
      </c>
      <c r="FJ61" t="n">
        <v>0</v>
      </c>
      <c r="FK61" t="inlineStr"/>
      <c r="FL61" t="inlineStr"/>
      <c r="FM61" t="inlineStr">
        <is>
          <t>B</t>
        </is>
      </c>
      <c r="FN61" t="n">
        <v>0.3121962962962963</v>
      </c>
      <c r="FO61" t="inlineStr">
        <is>
          <t>recalculado con Gs adoptado</t>
        </is>
      </c>
      <c r="FP61" t="n">
        <v>2.755</v>
      </c>
      <c r="FQ61" t="inlineStr">
        <is>
          <t>Gs de sólidos del mármol negro (Golder 2010, ASTM D854); 2.70 del informe era supuesto</t>
        </is>
      </c>
      <c r="FR61" t="inlineStr">
        <is>
          <t>G2012-059</t>
        </is>
      </c>
      <c r="FS61" t="inlineStr">
        <is>
          <t>G2012|G2012-MN-C</t>
        </is>
      </c>
    </row>
    <row r="62">
      <c r="A62" t="inlineStr">
        <is>
          <t>G2012</t>
        </is>
      </c>
      <c r="B62" t="inlineStr">
        <is>
          <t>2012_Golder_Triaxiales Gran Escala en Marmol Negro.pdf</t>
        </is>
      </c>
      <c r="C62" t="n">
        <v>2012</v>
      </c>
      <c r="D62" t="inlineStr">
        <is>
          <t>Golder Associates Perú, Technical Memorandum Doc. No. 446 (proy. 1014270482C/1194155017P); anexo IDIEM Informe 708.397-A</t>
        </is>
      </c>
      <c r="E62" t="inlineStr">
        <is>
          <t>IDIEM, Universidad de Chile (Santiago)</t>
        </is>
      </c>
      <c r="F62" t="inlineStr">
        <is>
          <t>G2012-MN-C</t>
        </is>
      </c>
      <c r="G62" t="inlineStr">
        <is>
          <t>Test 4 / Probeta 4 (σ'c = 20 kg/cm²)</t>
        </is>
      </c>
      <c r="H62" t="inlineStr">
        <is>
          <t>Black marble rockfill (Mármol negro)</t>
        </is>
      </c>
      <c r="I62" t="inlineStr">
        <is>
          <t>Mármol</t>
        </is>
      </c>
      <c r="J62" t="inlineStr">
        <is>
          <t>mármol negro</t>
        </is>
      </c>
      <c r="K62" t="inlineStr"/>
      <c r="L62" t="inlineStr"/>
      <c r="M62" t="inlineStr">
        <is>
          <t>Enrocado</t>
        </is>
      </c>
      <c r="N62" t="inlineStr">
        <is>
          <t>C</t>
        </is>
      </c>
      <c r="O62" t="inlineStr">
        <is>
          <t>CID</t>
        </is>
      </c>
      <c r="P62" t="inlineStr">
        <is>
          <t>sí</t>
        </is>
      </c>
      <c r="Q62" t="n">
        <v>1000</v>
      </c>
      <c r="R62" t="n">
        <v>1800</v>
      </c>
      <c r="S62" t="n">
        <v>177.8</v>
      </c>
      <c r="T62" t="n">
        <v>1.39</v>
      </c>
      <c r="U62" t="n">
        <v>17.61</v>
      </c>
      <c r="V62" t="n">
        <v>39.48</v>
      </c>
      <c r="W62" t="n">
        <v>51.89</v>
      </c>
      <c r="X62" t="n">
        <v>34.4</v>
      </c>
      <c r="Y62" t="n">
        <v>4.1</v>
      </c>
      <c r="Z62" t="n">
        <v>85.3</v>
      </c>
      <c r="AA62" t="n">
        <v>9.800000000000001</v>
      </c>
      <c r="AB62" t="n">
        <v>4.9</v>
      </c>
      <c r="AC62" t="inlineStr">
        <is>
          <t>Truncado (scalping) a 178 mm; Dmax de terreno 558.8 mm (macro-granulometría)</t>
        </is>
      </c>
      <c r="AD62" t="n">
        <v>2.7</v>
      </c>
      <c r="AE62" t="n">
        <v>20.6</v>
      </c>
      <c r="AF62" t="n">
        <v>0.286</v>
      </c>
      <c r="AG62" t="inlineStr">
        <is>
          <t>informe</t>
        </is>
      </c>
      <c r="AH62" t="inlineStr"/>
      <c r="AI62" t="n">
        <v>0.09</v>
      </c>
      <c r="AJ62" t="n">
        <v>97.3</v>
      </c>
      <c r="AK62" t="n">
        <v>1961.3</v>
      </c>
      <c r="AL62" t="n">
        <v>7778.6</v>
      </c>
      <c r="AM62" t="n">
        <v>5817.3</v>
      </c>
      <c r="AN62" t="inlineStr">
        <is>
          <t>Máximo desviador (pico de t) en la tabla IDIEM</t>
        </is>
      </c>
      <c r="AO62" t="n">
        <v>36.7</v>
      </c>
      <c r="AP62" t="n">
        <v>19.59</v>
      </c>
      <c r="AQ62" t="n">
        <v>-7.69</v>
      </c>
      <c r="AR62" t="inlineStr"/>
      <c r="AS62" t="inlineStr"/>
      <c r="AT62" t="inlineStr"/>
      <c r="AU62" t="inlineStr"/>
      <c r="AV62" t="n">
        <v>25.1</v>
      </c>
      <c r="AW62" t="inlineStr"/>
      <c r="AX62" t="n">
        <v>10.7</v>
      </c>
      <c r="AY62" t="inlineStr"/>
      <c r="AZ62" t="inlineStr"/>
      <c r="BA62" t="inlineStr">
        <is>
          <t>7;55;27;28;17;10</t>
        </is>
      </c>
      <c r="BB62" t="inlineStr">
        <is>
          <t>sí</t>
        </is>
      </c>
      <c r="BC62" t="inlineStr">
        <is>
          <t>Tipo de carga: Monotónico (ESTATICO). Tabla IDIEM en kg/cm2 con p=(σ1+σ3)/2 y q=(σ1−σ3)/2; en la falla p=49.66, t=29.66 kg/cm2. phi_sec = asin(t/p) calculado; coincide con la Fig. 5 (pág. 10, leído de gráfico). Tras consolidación: gd=2.25 t/m3, e=0.2 (Tabla 3, pág. 7); volumen drenado en consolidación 92453 cm3. finos_post = % pasa #200 de la granulometría post-ensayo IDIEM (págs. 27-28). Material: enrocado de mármol negro para la presa de relaves (texto: 'angular run-of-the-mine material', Tipo C, Fase 5, polígono 12022607, cota 4478); clasificado aquí como Enrocado por su uso. Gs=2.7 SUPUESTO por el informe (no medido); e0 del informe con ese Gs. Probeta remoldeada, compactada en 6 capas de 0.3 m con placa vibratoria a gd=2.10 t/m3, saturada con CO2 + agua, contrapresión 2 kg/cm2, B&gt;0.95. Ensayo controlado por carga (incrementos). D10–D60 calculados por interpolación log-lineal de la granulometría inicial IDIEM (pág. 27); Cu=34.4 y Cc=4.1 son los del informe (Fig. 1, pág. 2); con esa interpolación resultan Cu≈37.4 y Cc≈4.3. grava/arena/finos con cortes 4.76 mm y 0.074 mm. UCS_MPa = promedio de 8 compresiones simples del Informe 379 (540–1380 kg/cm2 = 53–135 MPa; Tabla 1, pág. 3). Los Ángeles 44 % y 41 % (pág. 17). Convención εv del informe: negativo = compresión (pág. 8). Conversión 1 kg/cm2 = 98.0665 kPa. [VERIF 2026-10-06] Bg corregido: Tabla 5 (p17) da 50.2 = Σ|ΔW| = 2×Bg Marsal; recalculado 25.1 con p27–28 (coincide con WSP 2022 Tabla 7). Registro PRIMARIO de los ensayos IDIEM 708.397-A; WSP 2022 (Anexo B p252–295) los reproduce idénticos fila a fila. [VERIF 2026-10-06] Forma de la curva (tabla IDIEM): máximo t=29.66 a 19.59 %; final 19.97 % t=29.50 (−0.5 %): sin pico. Ensayo controlado por carga (velocidad '--' en la hoja).</t>
        </is>
      </c>
      <c r="BD62" t="n">
        <v>1961.3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>
        <is>
          <t>Triaxial CD</t>
        </is>
      </c>
      <c r="EY62" t="inlineStr">
        <is>
          <t>CD: máximo desviador</t>
        </is>
      </c>
      <c r="EZ62" t="n">
        <v>1961.3</v>
      </c>
      <c r="FA62" t="n">
        <v>7778.6</v>
      </c>
      <c r="FB62" t="n">
        <v>5817.3</v>
      </c>
      <c r="FC62" t="n">
        <v>36.67425772870071</v>
      </c>
      <c r="FD62" t="n">
        <v>3132.715567921642</v>
      </c>
      <c r="FE62" t="n">
        <v>2332.865480584207</v>
      </c>
      <c r="FF62" t="inlineStr">
        <is>
          <t>1.0 m</t>
        </is>
      </c>
      <c r="FG62" t="n">
        <v>5.624296962879639</v>
      </c>
      <c r="FH62" t="inlineStr">
        <is>
          <t>Enrocado</t>
        </is>
      </c>
      <c r="FI62" t="inlineStr">
        <is>
          <t>asignada: material para presa; el texto lo llama run-of-the-mine</t>
        </is>
      </c>
      <c r="FJ62" t="n">
        <v>0</v>
      </c>
      <c r="FK62" t="inlineStr"/>
      <c r="FL62" t="inlineStr"/>
      <c r="FM62" t="inlineStr">
        <is>
          <t>B</t>
        </is>
      </c>
      <c r="FN62" t="n">
        <v>0.3121962962962963</v>
      </c>
      <c r="FO62" t="inlineStr">
        <is>
          <t>recalculado con Gs adoptado</t>
        </is>
      </c>
      <c r="FP62" t="n">
        <v>2.755</v>
      </c>
      <c r="FQ62" t="inlineStr">
        <is>
          <t>Gs de sólidos del mármol negro (Golder 2010, ASTM D854); 2.70 del informe era supuesto</t>
        </is>
      </c>
      <c r="FR62" t="inlineStr">
        <is>
          <t>G2012-060</t>
        </is>
      </c>
      <c r="FS62" t="inlineStr">
        <is>
          <t>G2012|G2012-MN-C</t>
        </is>
      </c>
    </row>
    <row r="63">
      <c r="A63" t="inlineStr">
        <is>
          <t>G2012</t>
        </is>
      </c>
      <c r="B63" t="inlineStr">
        <is>
          <t>2012_Golder_Triaxiales Gran Escala en Marmol Negro.pdf</t>
        </is>
      </c>
      <c r="C63" t="n">
        <v>2012</v>
      </c>
      <c r="D63" t="inlineStr">
        <is>
          <t>Golder Associates Perú, Technical Memorandum Doc. No. 446 (proy. 1014270482C/1194155017P); anexo IDIEM Informe 708.397-A</t>
        </is>
      </c>
      <c r="E63" t="inlineStr">
        <is>
          <t>IDIEM, Universidad de Chile (Santiago)</t>
        </is>
      </c>
      <c r="F63" t="inlineStr">
        <is>
          <t>G2012-MN-C</t>
        </is>
      </c>
      <c r="G63" t="inlineStr">
        <is>
          <t>Test 5 / Probeta 5 (σ'c = 20 kg/cm²)</t>
        </is>
      </c>
      <c r="H63" t="inlineStr">
        <is>
          <t>Black marble rockfill (Mármol negro)</t>
        </is>
      </c>
      <c r="I63" t="inlineStr">
        <is>
          <t>Mármol</t>
        </is>
      </c>
      <c r="J63" t="inlineStr">
        <is>
          <t>mármol negro</t>
        </is>
      </c>
      <c r="K63" t="inlineStr"/>
      <c r="L63" t="inlineStr"/>
      <c r="M63" t="inlineStr">
        <is>
          <t>Enrocado</t>
        </is>
      </c>
      <c r="N63" t="inlineStr">
        <is>
          <t>C</t>
        </is>
      </c>
      <c r="O63" t="inlineStr">
        <is>
          <t>CID</t>
        </is>
      </c>
      <c r="P63" t="inlineStr">
        <is>
          <t>sí</t>
        </is>
      </c>
      <c r="Q63" t="n">
        <v>1000</v>
      </c>
      <c r="R63" t="n">
        <v>1800</v>
      </c>
      <c r="S63" t="n">
        <v>177.8</v>
      </c>
      <c r="T63" t="n">
        <v>1.39</v>
      </c>
      <c r="U63" t="n">
        <v>17.61</v>
      </c>
      <c r="V63" t="n">
        <v>39.48</v>
      </c>
      <c r="W63" t="n">
        <v>51.89</v>
      </c>
      <c r="X63" t="n">
        <v>34.4</v>
      </c>
      <c r="Y63" t="n">
        <v>4.1</v>
      </c>
      <c r="Z63" t="n">
        <v>85.3</v>
      </c>
      <c r="AA63" t="n">
        <v>9.800000000000001</v>
      </c>
      <c r="AB63" t="n">
        <v>4.9</v>
      </c>
      <c r="AC63" t="inlineStr">
        <is>
          <t>Truncado (scalping) a 178 mm; Dmax de terreno 558.8 mm (macro-granulometría)</t>
        </is>
      </c>
      <c r="AD63" t="n">
        <v>2.7</v>
      </c>
      <c r="AE63" t="n">
        <v>20.6</v>
      </c>
      <c r="AF63" t="n">
        <v>0.286</v>
      </c>
      <c r="AG63" t="inlineStr">
        <is>
          <t>informe</t>
        </is>
      </c>
      <c r="AH63" t="inlineStr"/>
      <c r="AI63" t="n">
        <v>0.09</v>
      </c>
      <c r="AJ63" t="n">
        <v>97.3</v>
      </c>
      <c r="AK63" t="n">
        <v>1961.3</v>
      </c>
      <c r="AL63" t="n">
        <v>8290.5</v>
      </c>
      <c r="AM63" t="n">
        <v>6329.2</v>
      </c>
      <c r="AN63" t="inlineStr">
        <is>
          <t>Máximo desviador (pico de t) en la tabla IDIEM</t>
        </is>
      </c>
      <c r="AO63" t="n">
        <v>38.1</v>
      </c>
      <c r="AP63" t="n">
        <v>17.78</v>
      </c>
      <c r="AQ63" t="n">
        <v>-9.67</v>
      </c>
      <c r="AR63" t="inlineStr"/>
      <c r="AS63" t="inlineStr"/>
      <c r="AT63" t="inlineStr"/>
      <c r="AU63" t="inlineStr"/>
      <c r="AV63" t="n">
        <v>27.7</v>
      </c>
      <c r="AW63" t="inlineStr"/>
      <c r="AX63" t="n">
        <v>11.4</v>
      </c>
      <c r="AY63" t="inlineStr"/>
      <c r="AZ63" t="inlineStr"/>
      <c r="BA63" t="inlineStr">
        <is>
          <t>7;70;27;28;17;10</t>
        </is>
      </c>
      <c r="BB63" t="inlineStr">
        <is>
          <t>sí</t>
        </is>
      </c>
      <c r="BC63" t="inlineStr">
        <is>
          <t>Tipo de carga: Carga-descarga (CICLICO). Tabla IDIEM en kg/cm2 con p=(σ1+σ3)/2 y q=(σ1−σ3)/2; en la falla p=52.27, t=32.27 kg/cm2. phi_sec = asin(t/p) calculado; coincide con la Fig. 5 (pág. 10, leído de gráfico). Tras consolidación: gd=2.29 t/m3, e=0.179 (Tabla 3, pág. 7); volumen drenado en consolidación 116227 cm3. finos_post = % pasa #200 de la granulometría post-ensayo IDIEM (págs. 27-28). Material: enrocado de mármol negro para la presa de relaves (texto: 'angular run-of-the-mine material', Tipo C, Fase 5, polígono 12022607, cota 4478); clasificado aquí como Enrocado por su uso. Gs=2.7 SUPUESTO por el informe (no medido); e0 del informe con ese Gs. Probeta remoldeada, compactada en 6 capas de 0.3 m con placa vibratoria a gd=2.10 t/m3, saturada con CO2 + agua, contrapresión 2 kg/cm2, B&gt;0.95. Ensayo controlado por carga (incrementos). D10–D60 calculados por interpolación log-lineal de la granulometría inicial IDIEM (pág. 27); Cu=34.4 y Cc=4.1 son los del informe (Fig. 1, pág. 2); con esa interpolación resultan Cu≈37.4 y Cc≈4.3. grava/arena/finos con cortes 4.76 mm y 0.074 mm. UCS_MPa = promedio de 8 compresiones simples del Informe 379 (540–1380 kg/cm2 = 53–135 MPa; Tabla 1, pág. 3). Los Ángeles 44 % y 41 % (pág. 17). Convención εv del informe: negativo = compresión (pág. 8). Conversión 1 kg/cm2 = 98.0665 kPa. [VERIF 2026-10-06] Bg corregido: Tabla 5 (p17) da 55.4 = Σ|ΔW| = 2×Bg Marsal; recalculado 27.7 con p27–28 (coincide con WSP 2022 Tabla 7). Registro PRIMARIO de los ensayos IDIEM 708.397-A; WSP 2022 (Anexo B p252–295) los reproduce idénticos fila a fila. [VERIF 2026-10-06] Forma de la curva (tabla IDIEM): máximo t=32.27 a 17.78 %; final 19.74 % t=31.33 (−2.9 %): pico leve. Ensayo controlado por carga (velocidad '--' en la hoja).</t>
        </is>
      </c>
      <c r="BD63" t="n">
        <v>1961.3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Triaxial CD</t>
        </is>
      </c>
      <c r="EY63" t="inlineStr">
        <is>
          <t>CD: máximo desviador</t>
        </is>
      </c>
      <c r="EZ63" t="n">
        <v>1961.3</v>
      </c>
      <c r="FA63" t="n">
        <v>8290.5</v>
      </c>
      <c r="FB63" t="n">
        <v>6329.2</v>
      </c>
      <c r="FC63" t="n">
        <v>38.12465974148969</v>
      </c>
      <c r="FD63" t="n">
        <v>3172.156626153455</v>
      </c>
      <c r="FE63" t="n">
        <v>2489.493922296402</v>
      </c>
      <c r="FF63" t="inlineStr">
        <is>
          <t>1.0 m</t>
        </is>
      </c>
      <c r="FG63" t="n">
        <v>5.624296962879639</v>
      </c>
      <c r="FH63" t="inlineStr">
        <is>
          <t>Enrocado</t>
        </is>
      </c>
      <c r="FI63" t="inlineStr">
        <is>
          <t>asignada: material para presa; el texto lo llama run-of-the-mine</t>
        </is>
      </c>
      <c r="FJ63" t="n">
        <v>0</v>
      </c>
      <c r="FK63" t="inlineStr"/>
      <c r="FL63" t="inlineStr"/>
      <c r="FM63" t="inlineStr">
        <is>
          <t>B</t>
        </is>
      </c>
      <c r="FN63" t="n">
        <v>0.3121962962962963</v>
      </c>
      <c r="FO63" t="inlineStr">
        <is>
          <t>recalculado con Gs adoptado</t>
        </is>
      </c>
      <c r="FP63" t="n">
        <v>2.755</v>
      </c>
      <c r="FQ63" t="inlineStr">
        <is>
          <t>Gs de sólidos del mármol negro (Golder 2010, ASTM D854); 2.70 del informe era supuesto</t>
        </is>
      </c>
      <c r="FR63" t="inlineStr">
        <is>
          <t>G2012-061</t>
        </is>
      </c>
      <c r="FS63" t="inlineStr">
        <is>
          <t>G2012|G2012-MN-C</t>
        </is>
      </c>
    </row>
    <row r="64">
      <c r="A64" t="inlineStr">
        <is>
          <t>G2012</t>
        </is>
      </c>
      <c r="B64" t="inlineStr">
        <is>
          <t>2012_Golder_Triaxiales Gran Escala en Marmol Negro.pdf</t>
        </is>
      </c>
      <c r="C64" t="n">
        <v>2012</v>
      </c>
      <c r="D64" t="inlineStr">
        <is>
          <t>Golder Associates Perú, Technical Memorandum Doc. No. 446 (proy. 1014270482C/1194155017P); anexo IDIEM Informe 708.397-A</t>
        </is>
      </c>
      <c r="E64" t="inlineStr">
        <is>
          <t>IDIEM, Universidad de Chile (Santiago)</t>
        </is>
      </c>
      <c r="F64" t="inlineStr">
        <is>
          <t>G2012-MN-C</t>
        </is>
      </c>
      <c r="G64" t="inlineStr">
        <is>
          <t>Probeta 6 Odómetro</t>
        </is>
      </c>
      <c r="H64" t="inlineStr">
        <is>
          <t>Black marble rockfill (Mármol negro)</t>
        </is>
      </c>
      <c r="I64" t="inlineStr">
        <is>
          <t>Mármol</t>
        </is>
      </c>
      <c r="J64" t="inlineStr">
        <is>
          <t>mármol negro</t>
        </is>
      </c>
      <c r="K64" t="inlineStr"/>
      <c r="L64" t="inlineStr"/>
      <c r="M64" t="inlineStr">
        <is>
          <t>Enrocado</t>
        </is>
      </c>
      <c r="N64" t="inlineStr">
        <is>
          <t>C</t>
        </is>
      </c>
      <c r="O64" t="inlineStr">
        <is>
          <t>edómetro</t>
        </is>
      </c>
      <c r="P64" t="inlineStr">
        <is>
          <t>sí</t>
        </is>
      </c>
      <c r="Q64" t="n">
        <v>949.7</v>
      </c>
      <c r="R64" t="n">
        <v>900</v>
      </c>
      <c r="S64" t="n">
        <v>177.8</v>
      </c>
      <c r="T64" t="n">
        <v>1.39</v>
      </c>
      <c r="U64" t="n">
        <v>17.61</v>
      </c>
      <c r="V64" t="n">
        <v>39.48</v>
      </c>
      <c r="W64" t="n">
        <v>51.89</v>
      </c>
      <c r="X64" t="n">
        <v>34.4</v>
      </c>
      <c r="Y64" t="n">
        <v>4.1</v>
      </c>
      <c r="Z64" t="n">
        <v>85.3</v>
      </c>
      <c r="AA64" t="n">
        <v>9.800000000000001</v>
      </c>
      <c r="AB64" t="n">
        <v>4.9</v>
      </c>
      <c r="AC64" t="inlineStr">
        <is>
          <t>Truncado (scalping) a 178 mm; Dmax de terreno 558.8 mm (macro-granulometría)</t>
        </is>
      </c>
      <c r="AD64" t="n">
        <v>2.7</v>
      </c>
      <c r="AE64" t="n">
        <v>20.6</v>
      </c>
      <c r="AF64" t="n">
        <v>0.286</v>
      </c>
      <c r="AG64" t="inlineStr">
        <is>
          <t>calculado</t>
        </is>
      </c>
      <c r="AH64" t="inlineStr"/>
      <c r="AI64" t="n">
        <v>0.08799999999999999</v>
      </c>
      <c r="AJ64" t="n">
        <v>97.3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14.4</v>
      </c>
      <c r="AW64" t="inlineStr"/>
      <c r="AX64" t="n">
        <v>9.4</v>
      </c>
      <c r="AY64" t="inlineStr"/>
      <c r="AZ64" t="inlineStr"/>
      <c r="BA64" t="inlineStr">
        <is>
          <t>72;17;28</t>
        </is>
      </c>
      <c r="BB64" t="inlineStr">
        <is>
          <t>sí</t>
        </is>
      </c>
      <c r="BC64" t="inlineStr">
        <is>
          <t>Edómetro de gran escala (diámetro promedio 94.97 cm, altura 90 cm; pág. 72). gd=2.100 g/cm3, w=0.088 %, e0=0.284 en estado seco a 0.18 kg/cm2 (Gs integral 2.700). Carga máxima σ'v=60 kg/cm2 (5884 kPa): e=0.170, gd=2.309 g/cm3. Asentamiento por inundación 0.8 mm (0.09 %). Módulo E≈400 kg/cm2 (σ'v&lt;40) a ≈800 kg/cm2 (40–60). Permeabilidad 1.4E-1 a 8.2E-2 cm/s entre σ'v=6 y 60 kg/cm2 (Tabla 4, pág. 16). Material: enrocado de mármol negro para la presa de relaves (texto: 'angular run-of-the-mine material', Tipo C, Fase 5, polígono 12022607, cota 4478); clasificado aquí como Enrocado por su uso. Gs=2.7 SUPUESTO por el informe (no medido); e0 del informe con ese Gs. Probeta remoldeada, compactada en 6 capas de 0.3 m con placa vibratoria a gd=2.10 t/m3, saturada con CO2 + agua, contrapresión 2 kg/cm2, B&gt;0.95. Ensayo controlado por carga (incrementos). D10–D60 calculados por interpolación log-lineal de la granulometría inicial IDIEM (pág. 27); Cu=34.4 y Cc=4.1 son los del informe (Fig. 1, pág. 2); con esa interpolación resultan Cu≈37.4 y Cc≈4.3. grava/arena/finos con cortes 4.76 mm y 0.074 mm. UCS_MPa = promedio de 8 compresiones simples del Informe 379 (540–1380 kg/cm2 = 53–135 MPa; Tabla 1, pág. 3). Los Ángeles 44 % y 41 % (pág. 17). Convención εv del informe: negativo = compresión (pág. 8). Conversión 1 kg/cm2 = 98.0665 kPa. [VERIF 2026-10-06] Bg corregido: Tabla 5 (p17) da 28.8 = Σ|ΔW| = 2×Bg Marsal; recalculado 14.4 con p27–28 (coincide con WSP 2022 Tabla 7). Registro PRIMARIO de los ensayos IDIEM 708.397-A; WSP 2022 (Anexo B p252–295) los reproduce idénticos fila a fila. [VERIF 2026-10-06] CORRECCIÓN de las notas comunes: el edómetro NO se saturó con CO2 ni tuvo contrapresión; se armó en 3 capas de 0.3 m con pisón vibratorio a 2.1 t/m³, carga de asiento 0.18 kg/cm² e inundación a esa carga (asentamiento 0.8 mm = 0.09 %) (p13). Carga máx. 60 kg/cm² (5884 kPa) en 20 incrementos de 2 y 4 de 5 kg/cm²; cada escalón hasta deformación nula ≥100 min. εv a 60 kg/cm² = (90−81.87)/90 = 9.03 %.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>
        <is>
          <t>Edómetro</t>
        </is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>
        <is>
          <t>1.0 m</t>
        </is>
      </c>
      <c r="FG64" t="n">
        <v>5.341394825646794</v>
      </c>
      <c r="FH64" t="inlineStr">
        <is>
          <t>Enrocado</t>
        </is>
      </c>
      <c r="FI64" t="inlineStr">
        <is>
          <t>asignada: material para presa; el texto lo llama run-of-the-mine</t>
        </is>
      </c>
      <c r="FJ64" t="n">
        <v>0</v>
      </c>
      <c r="FK64" t="inlineStr"/>
      <c r="FL64" t="inlineStr">
        <is>
          <t>no es ensayo de resistencia</t>
        </is>
      </c>
      <c r="FM64" t="inlineStr">
        <is>
          <t>A</t>
        </is>
      </c>
      <c r="FN64" t="n">
        <v>0.3121962962962963</v>
      </c>
      <c r="FO64" t="inlineStr">
        <is>
          <t>recalculado con Gs adoptado</t>
        </is>
      </c>
      <c r="FP64" t="n">
        <v>2.755</v>
      </c>
      <c r="FQ64" t="inlineStr">
        <is>
          <t>Gs de sólidos del mármol negro (Golder 2010, ASTM D854); 2.70 del informe era supuesto</t>
        </is>
      </c>
      <c r="FR64" t="inlineStr">
        <is>
          <t>G2012-062</t>
        </is>
      </c>
      <c r="FS64" t="inlineStr">
        <is>
          <t>G2012|G2012-MN-C</t>
        </is>
      </c>
    </row>
    <row r="65">
      <c r="A65" t="inlineStr">
        <is>
          <t>G2021</t>
        </is>
      </c>
      <c r="B65" t="inlineStr">
        <is>
          <t>2021_Golder_Ensayos de Laboratorio Commingling.pdf</t>
        </is>
      </c>
      <c r="C65" t="n">
        <v>2021</v>
      </c>
      <c r="D65" t="inlineStr">
        <is>
          <t>Golder Associates Perú (miembro de WSP), informe 101-20110-LTE01220-INF-420-G-0013 Rev. 0 (28/04/2021)</t>
        </is>
      </c>
      <c r="E65" t="inlineStr">
        <is>
          <t>Laboratorio de Mecánica de Suelos de Golder Associates Perú, Lima</t>
        </is>
      </c>
      <c r="F65" t="inlineStr">
        <is>
          <t>G21-DESM-COMP</t>
        </is>
      </c>
      <c r="G65" t="inlineStr">
        <is>
          <t>II0471-E1</t>
        </is>
      </c>
      <c r="H65" t="inlineStr">
        <is>
          <t>Desmonte Tipo A (intrusivo), Tipo B (mármol y hornfels), Tipo C (hornfels); compuesto 0.35 A : 0.15 B : 0.50 C (masa seca)</t>
        </is>
      </c>
      <c r="I65" t="inlineStr">
        <is>
          <t>Mezcla</t>
        </is>
      </c>
      <c r="J65" t="inlineStr">
        <is>
          <t>Tipo B = mármol y hornfels (el informe no separa su reparto); sin subtipos (mármol blanco/negro, skarn, etc.) indicados</t>
        </is>
      </c>
      <c r="K65" t="inlineStr">
        <is>
          <t>Intrusivo 35 %; Mármol + Hornfels 15 % (Tipo B, reparto no indicado); Hornfels 50 % (proporciones del desmonte, masa seca)</t>
        </is>
      </c>
      <c r="L65" t="inlineStr"/>
      <c r="M65" t="inlineStr">
        <is>
          <t>No indicada (desmonte compuesto; el informe no dice si es ROM, Chancado o Enrocado)</t>
        </is>
      </c>
      <c r="N65" t="inlineStr">
        <is>
          <t>Compuesto de Tipos A, B y C (tipificación geoquímica por potencial de generación de acidez)</t>
        </is>
      </c>
      <c r="O65" t="inlineStr">
        <is>
          <t>CID (triaxial consolidado isotrópicamente drenado, ASTM D7181)</t>
        </is>
      </c>
      <c r="P65" t="inlineStr">
        <is>
          <t>sí</t>
        </is>
      </c>
      <c r="Q65" t="n">
        <v>152.4</v>
      </c>
      <c r="R65" t="n">
        <v>304.8</v>
      </c>
      <c r="S65" t="n">
        <v>25.4</v>
      </c>
      <c r="T65" t="n">
        <v>0.07779999999999999</v>
      </c>
      <c r="U65" t="n">
        <v>1.5869</v>
      </c>
      <c r="V65" t="n">
        <v>7.3703</v>
      </c>
      <c r="W65" t="n">
        <v>10.1146</v>
      </c>
      <c r="X65" t="n">
        <v>129.97</v>
      </c>
      <c r="Y65" t="n">
        <v>3.2</v>
      </c>
      <c r="Z65" t="n">
        <v>59.5</v>
      </c>
      <c r="AA65" t="n">
        <v>30.8</v>
      </c>
      <c r="AB65" t="n">
        <v>9.699999999999999</v>
      </c>
      <c r="AC65" t="inlineStr">
        <is>
          <t>Truncado (scalping): desmonte limitado a partículas &lt; 1" (100 % pasa 25.4 mm); Dmax de terreno no indicado</t>
        </is>
      </c>
      <c r="AD65" t="n">
        <v>2.762</v>
      </c>
      <c r="AE65" t="n">
        <v>20.49</v>
      </c>
      <c r="AF65" t="n">
        <v>0.32</v>
      </c>
      <c r="AG65" t="inlineStr">
        <is>
          <t>informe</t>
        </is>
      </c>
      <c r="AH65" t="inlineStr"/>
      <c r="AI65" t="n">
        <v>2</v>
      </c>
      <c r="AJ65" t="inlineStr"/>
      <c r="AK65" t="n">
        <v>98</v>
      </c>
      <c r="AL65" t="n">
        <v>381</v>
      </c>
      <c r="AM65" t="n">
        <v>283</v>
      </c>
      <c r="AN65" t="inlineStr">
        <is>
          <t>Máximo esfuerzo desviador (Tabla 8)</t>
        </is>
      </c>
      <c r="AO65" t="inlineStr"/>
      <c r="AP65" t="n">
        <v>3.99</v>
      </c>
      <c r="AQ65" t="n">
        <v>0.32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20;108;46</t>
        </is>
      </c>
      <c r="BB65" t="inlineStr">
        <is>
          <t>sí</t>
        </is>
      </c>
      <c r="BC65" t="inlineStr">
        <is>
          <t>CID (ASTM D7181) en celda de 6"; remoldeado a ρd≈2.089 g/cm³ y w=2.0 %; saturado por contrapresión (B=0.97; celda 363 kPa; contrapresión 264 kPa); t90=0.14 min; 0.111 %/min; corrección por membrana. Tras consolidación (Tabla 8): w=10.1 %, ρd=2.156 g/cm³, e=0.28. Final de corte (Tabla 8): w=9.1 %, ρd=2.204 g/cm³, e=0.25. q_kPa = máximo desviador de la Tabla 8; en la hoja de laboratorio el máximo es 282.5 kPa a εa=3.99 % (σ3'=99.8; σ1'=382.3 kPa); εa y εv salen de esa fila. La hoja dice 'Criterio de falla: Esfuerzo Desv. Máximo' pero da σ1'=368 y σ3=98 kPa a εa=20.03 %, que no es el máximo de su tabla; los círculos de Mohr del laboratorio usan esos valores. εv con la convención del informe: negativo = contracción, positivo = dilatación. φsec calculado (c=0) con q de Tabla 8: 36.2°. Envolvente del set: Tabla 7 (p.19) c=0 kPa, φ=40°; hoja de laboratorio (p.112) c=0 kPa, φ=41°. Gs = 'G. Específica Promedio' de la hoja triaxial; SUCS GP-GM; no plástico. γd y e0 = estado remoldeado inicial (antes de saturar). Clase ROM/Chancado/Enrocado no indicada en el informe; A/B/C es tipificación geoquímica. Alteración no indicada. Los valores de 'Etapa final de corte' de la Tabla 8 no coinciden con la hoja de laboratorio (hoja: e final 0.31 / 0.23 / 0.187). Probeta densa a bajo σ3: pico a εa≈4 % con dilatación (εv=+0.32 % en el pico; +2.03 % al final).</t>
        </is>
      </c>
      <c r="BD65" t="n">
        <v>98</v>
      </c>
      <c r="BE65" t="n">
        <v>98</v>
      </c>
      <c r="BF65" t="n">
        <v>381</v>
      </c>
      <c r="BG65" t="inlineStr"/>
      <c r="BH65" t="inlineStr"/>
      <c r="BI65" t="inlineStr"/>
      <c r="BJ65" t="inlineStr"/>
      <c r="BK65" t="inlineStr"/>
      <c r="BL65" t="n">
        <v>8.210000000000001</v>
      </c>
      <c r="BM65" t="n">
        <v>93.91</v>
      </c>
      <c r="BN65" t="n">
        <v>369.19</v>
      </c>
      <c r="BO65" t="n">
        <v>275.28</v>
      </c>
      <c r="BP65" t="inlineStr"/>
      <c r="BQ65" t="n">
        <v>3.931</v>
      </c>
      <c r="BR65" t="inlineStr">
        <is>
          <t>0.97</t>
        </is>
      </c>
      <c r="BS65" t="n">
        <v>264</v>
      </c>
      <c r="BT65" t="n">
        <v>0.111</v>
      </c>
      <c r="BU65" t="n">
        <v>21.15</v>
      </c>
      <c r="BV65" t="n">
        <v>0.28</v>
      </c>
      <c r="BW65" t="inlineStr"/>
      <c r="BX65" t="inlineStr"/>
      <c r="BY65" t="inlineStr">
        <is>
          <t>Tabla 8 (p.20-22) y hoja p.108 verificadas en imagen. q_kPa = Tabla 8 (283); máximo de la hoja 282.53 kPa a εa=3.99 % (diferencia -0.5 kPa). Máx. oblicuidad 3.931 a εa=8.21 %. B=0.97, celda 363 kPa, contrapresión 264 kPa.</t>
        </is>
      </c>
      <c r="BZ65" t="n">
        <v>3.99</v>
      </c>
      <c r="CA65" t="n">
        <v>282.53</v>
      </c>
      <c r="CB65" t="n">
        <v>99.76000000000001</v>
      </c>
      <c r="CC65" t="n">
        <v>382.29</v>
      </c>
      <c r="CD65" t="n">
        <v>20.23</v>
      </c>
      <c r="CE65" t="n">
        <v>271.6</v>
      </c>
      <c r="CF65" t="inlineStr">
        <is>
          <t>sí (q final 3.9 % menor que el máximo)</t>
        </is>
      </c>
      <c r="CG65" t="n">
        <v>363</v>
      </c>
      <c r="CH65" t="inlineStr">
        <is>
          <t>«G. Específica (Promedio)» impresa en la hoja triaxial p.108; no coincide con la Tabla 5 (finos D854 ni gruesos C127); el informe no explica cómo se obtuvo</t>
        </is>
      </c>
      <c r="CI65" t="n">
        <v>0.322</v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>
        <is>
          <t>Triaxial CD</t>
        </is>
      </c>
      <c r="EY65" t="inlineStr">
        <is>
          <t>CD: máximo desviador</t>
        </is>
      </c>
      <c r="EZ65" t="n">
        <v>98</v>
      </c>
      <c r="FA65" t="n">
        <v>381</v>
      </c>
      <c r="FB65" t="n">
        <v>283</v>
      </c>
      <c r="FC65" t="n">
        <v>36.21480734550397</v>
      </c>
      <c r="FD65" t="n">
        <v>155.8997912317328</v>
      </c>
      <c r="FE65" t="n">
        <v>114.1632825995387</v>
      </c>
      <c r="FF65" t="inlineStr">
        <is>
          <t>6 in (≈150 mm)</t>
        </is>
      </c>
      <c r="FG65" t="n">
        <v>6.000000000000001</v>
      </c>
      <c r="FH65" t="inlineStr">
        <is>
          <t>ROM</t>
        </is>
      </c>
      <c r="FI65" t="inlineStr">
        <is>
          <t>criterio experto: compuesto de desmonte por tipos geoquímicos A/B/C para co-disposición en botadero</t>
        </is>
      </c>
      <c r="FJ65" t="n">
        <v>0</v>
      </c>
      <c r="FK65" t="inlineStr"/>
      <c r="FL65" t="inlineStr"/>
      <c r="FM65" t="inlineStr">
        <is>
          <t>A</t>
        </is>
      </c>
      <c r="FN65" t="n">
        <v>0.32</v>
      </c>
      <c r="FO65" t="inlineStr"/>
      <c r="FP65" t="n">
        <v>2.762</v>
      </c>
      <c r="FQ65" t="inlineStr">
        <is>
          <t>informe o verificación</t>
        </is>
      </c>
      <c r="FR65" t="inlineStr">
        <is>
          <t>G2021-063</t>
        </is>
      </c>
      <c r="FS65" t="inlineStr">
        <is>
          <t>G2021|G21-DESM-COMP</t>
        </is>
      </c>
    </row>
    <row r="66">
      <c r="A66" t="inlineStr">
        <is>
          <t>G2021</t>
        </is>
      </c>
      <c r="B66" t="inlineStr">
        <is>
          <t>2021_Golder_Ensayos de Laboratorio Commingling.pdf</t>
        </is>
      </c>
      <c r="C66" t="n">
        <v>2021</v>
      </c>
      <c r="D66" t="inlineStr">
        <is>
          <t>Golder Associates Perú (miembro de WSP), informe 101-20110-LTE01220-INF-420-G-0013 Rev. 0 (28/04/2021)</t>
        </is>
      </c>
      <c r="E66" t="inlineStr">
        <is>
          <t>Laboratorio de Mecánica de Suelos de Golder Associates Perú, Lima</t>
        </is>
      </c>
      <c r="F66" t="inlineStr">
        <is>
          <t>G21-DESM-COMP</t>
        </is>
      </c>
      <c r="G66" t="inlineStr">
        <is>
          <t>II0471-E2</t>
        </is>
      </c>
      <c r="H66" t="inlineStr">
        <is>
          <t>Desmonte Tipo A (intrusivo), Tipo B (mármol y hornfels), Tipo C (hornfels); compuesto 0.35 A : 0.15 B : 0.50 C (masa seca)</t>
        </is>
      </c>
      <c r="I66" t="inlineStr">
        <is>
          <t>Mezcla</t>
        </is>
      </c>
      <c r="J66" t="inlineStr">
        <is>
          <t>Tipo B = mármol y hornfels (el informe no separa su reparto); sin subtipos (mármol blanco/negro, skarn, etc.) indicados</t>
        </is>
      </c>
      <c r="K66" t="inlineStr">
        <is>
          <t>Intrusivo 35 %; Mármol + Hornfels 15 % (Tipo B, reparto no indicado); Hornfels 50 % (proporciones del desmonte, masa seca)</t>
        </is>
      </c>
      <c r="L66" t="inlineStr"/>
      <c r="M66" t="inlineStr">
        <is>
          <t>No indicada (desmonte compuesto; el informe no dice si es ROM, Chancado o Enrocado)</t>
        </is>
      </c>
      <c r="N66" t="inlineStr">
        <is>
          <t>Compuesto de Tipos A, B y C (tipificación geoquímica por potencial de generación de acidez)</t>
        </is>
      </c>
      <c r="O66" t="inlineStr">
        <is>
          <t>CID (triaxial consolidado isotrópicamente drenado, ASTM D7181)</t>
        </is>
      </c>
      <c r="P66" t="inlineStr">
        <is>
          <t>sí</t>
        </is>
      </c>
      <c r="Q66" t="n">
        <v>152.4</v>
      </c>
      <c r="R66" t="n">
        <v>304.8</v>
      </c>
      <c r="S66" t="n">
        <v>25.4</v>
      </c>
      <c r="T66" t="n">
        <v>0.07779999999999999</v>
      </c>
      <c r="U66" t="n">
        <v>1.5869</v>
      </c>
      <c r="V66" t="n">
        <v>7.3703</v>
      </c>
      <c r="W66" t="n">
        <v>10.1146</v>
      </c>
      <c r="X66" t="n">
        <v>129.97</v>
      </c>
      <c r="Y66" t="n">
        <v>3.2</v>
      </c>
      <c r="Z66" t="n">
        <v>59.5</v>
      </c>
      <c r="AA66" t="n">
        <v>30.8</v>
      </c>
      <c r="AB66" t="n">
        <v>9.699999999999999</v>
      </c>
      <c r="AC66" t="inlineStr">
        <is>
          <t>Truncado (scalping): desmonte limitado a partículas &lt; 1" (100 % pasa 25.4 mm); Dmax de terreno no indicado</t>
        </is>
      </c>
      <c r="AD66" t="n">
        <v>2.762</v>
      </c>
      <c r="AE66" t="n">
        <v>20.49</v>
      </c>
      <c r="AF66" t="n">
        <v>0.32</v>
      </c>
      <c r="AG66" t="inlineStr">
        <is>
          <t>informe</t>
        </is>
      </c>
      <c r="AH66" t="inlineStr"/>
      <c r="AI66" t="n">
        <v>2</v>
      </c>
      <c r="AJ66" t="inlineStr"/>
      <c r="AK66" t="n">
        <v>399</v>
      </c>
      <c r="AL66" t="n">
        <v>1917</v>
      </c>
      <c r="AM66" t="n">
        <v>1518</v>
      </c>
      <c r="AN66" t="inlineStr">
        <is>
          <t>Máximo esfuerzo desviador (Tabla 8)</t>
        </is>
      </c>
      <c r="AO66" t="inlineStr"/>
      <c r="AP66" t="n">
        <v>20.21</v>
      </c>
      <c r="AQ66" t="n">
        <v>-2.07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20;109;46</t>
        </is>
      </c>
      <c r="BB66" t="inlineStr">
        <is>
          <t>sí</t>
        </is>
      </c>
      <c r="BC66" t="inlineStr">
        <is>
          <t>CID (ASTM D7181) en celda de 6"; remoldeado a ρd≈2.089 g/cm³ y w=2.0 %; saturado por contrapresión (B=0.95; celda 662 kPa; contrapresión 263 kPa); t90=0.15 min; 0.111 %/min; corrección por membrana. Tras consolidación (Tabla 8): w=9.0 %, ρd=2.193 g/cm³, e=0.26. Final de corte (Tabla 8): w=7.5 %, ρd=2.267 g/cm³, e=0.22. q_kPa = máximo desviador de la Tabla 8; en la hoja de laboratorio el máximo es 1517.8 kPa a εa=20.21 % (σ3'=398.4; σ1'=1916.2 kPa); εa y εv salen de esa fila. El máximo coincide con la última lectura (εa≈20.21 %): sin pico, sigue endureciendo al terminar el ensayo. La hoja dice 'Criterio de falla: Esfuerzo Desv. Máximo' pero da σ1'=1918 y σ3=399 kPa a εa=20.34 %, que no es el máximo de su tabla; los círculos de Mohr del laboratorio usan esos valores. εv con la convención del informe: negativo = contracción, positivo = dilatación. φsec calculado (c=0) con q de Tabla 8: 41.0°. Envolvente del set: Tabla 7 (p.19) c=0 kPa, φ=40°; hoja de laboratorio (p.112) c=0 kPa, φ=41°. Gs = 'G. Específica Promedio' de la hoja triaxial; SUCS GP-GM; no plástico. γd y e0 = estado remoldeado inicial (antes de saturar). Clase ROM/Chancado/Enrocado no indicada en el informe; A/B/C es tipificación geoquímica. Alteración no indicada. Los valores de 'Etapa final de corte' de la Tabla 8 no coinciden con la hoja de laboratorio (hoja: e final 0.31 / 0.23 / 0.187).</t>
        </is>
      </c>
      <c r="BD66" t="n">
        <v>399</v>
      </c>
      <c r="BE66" t="n">
        <v>399</v>
      </c>
      <c r="BF66" t="n">
        <v>1917</v>
      </c>
      <c r="BG66" t="inlineStr"/>
      <c r="BH66" t="inlineStr"/>
      <c r="BI66" t="inlineStr"/>
      <c r="BJ66" t="inlineStr"/>
      <c r="BK66" t="inlineStr"/>
      <c r="BL66" t="n">
        <v>20.21</v>
      </c>
      <c r="BM66" t="n">
        <v>398.39</v>
      </c>
      <c r="BN66" t="n">
        <v>1916.18</v>
      </c>
      <c r="BO66" t="n">
        <v>1517.79</v>
      </c>
      <c r="BP66" t="inlineStr"/>
      <c r="BQ66" t="n">
        <v>4.81</v>
      </c>
      <c r="BR66" t="inlineStr">
        <is>
          <t>0.95</t>
        </is>
      </c>
      <c r="BS66" t="n">
        <v>263</v>
      </c>
      <c r="BT66" t="n">
        <v>0.111</v>
      </c>
      <c r="BU66" t="n">
        <v>21.51</v>
      </c>
      <c r="BV66" t="n">
        <v>0.26</v>
      </c>
      <c r="BW66" t="inlineStr"/>
      <c r="BX66" t="inlineStr"/>
      <c r="BY66" t="inlineStr">
        <is>
          <t>Tabla 8 (p.20-22) y hoja p.109 verificadas en imagen. q_kPa = Tabla 8 (1518); máximo de la hoja 1517.79 kPa a εa=20.21 % (diferencia -0.2 kPa). Máx. oblicuidad 4.810 a εa=20.21 %. B=0.95, celda 662 kPa, contrapresión 263 kPa.</t>
        </is>
      </c>
      <c r="BZ66" t="n">
        <v>20.21</v>
      </c>
      <c r="CA66" t="n">
        <v>1517.79</v>
      </c>
      <c r="CB66" t="n">
        <v>398.39</v>
      </c>
      <c r="CC66" t="n">
        <v>1916.18</v>
      </c>
      <c r="CD66" t="n">
        <v>20.21</v>
      </c>
      <c r="CE66" t="n">
        <v>1517.79</v>
      </c>
      <c r="CF66" t="inlineStr">
        <is>
          <t>no (máximo en la última lectura o caída &lt; 2 %)</t>
        </is>
      </c>
      <c r="CG66" t="n">
        <v>662</v>
      </c>
      <c r="CH66" t="inlineStr">
        <is>
          <t>«G. Específica (Promedio)» impresa en la hoja triaxial p.109; no coincide con la Tabla 5 (finos D854 ni gruesos C127); el informe no explica cómo se obtuvo</t>
        </is>
      </c>
      <c r="CI66" t="n">
        <v>0.322</v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>
        <is>
          <t>Triaxial CD</t>
        </is>
      </c>
      <c r="EY66" t="inlineStr">
        <is>
          <t>CD: máximo desviador</t>
        </is>
      </c>
      <c r="EZ66" t="n">
        <v>399</v>
      </c>
      <c r="FA66" t="n">
        <v>1917</v>
      </c>
      <c r="FB66" t="n">
        <v>1518</v>
      </c>
      <c r="FC66" t="n">
        <v>40.953052955167</v>
      </c>
      <c r="FD66" t="n">
        <v>660.520725388601</v>
      </c>
      <c r="FE66" t="n">
        <v>573.2323885930699</v>
      </c>
      <c r="FF66" t="inlineStr">
        <is>
          <t>6 in (≈150 mm)</t>
        </is>
      </c>
      <c r="FG66" t="n">
        <v>6.000000000000001</v>
      </c>
      <c r="FH66" t="inlineStr">
        <is>
          <t>ROM</t>
        </is>
      </c>
      <c r="FI66" t="inlineStr">
        <is>
          <t>criterio experto: compuesto de desmonte por tipos geoquímicos A/B/C para co-disposición en botadero</t>
        </is>
      </c>
      <c r="FJ66" t="n">
        <v>0</v>
      </c>
      <c r="FK66" t="inlineStr"/>
      <c r="FL66" t="inlineStr"/>
      <c r="FM66" t="inlineStr">
        <is>
          <t>A</t>
        </is>
      </c>
      <c r="FN66" t="n">
        <v>0.32</v>
      </c>
      <c r="FO66" t="inlineStr"/>
      <c r="FP66" t="n">
        <v>2.762</v>
      </c>
      <c r="FQ66" t="inlineStr">
        <is>
          <t>informe o verificación</t>
        </is>
      </c>
      <c r="FR66" t="inlineStr">
        <is>
          <t>G2021-064</t>
        </is>
      </c>
      <c r="FS66" t="inlineStr">
        <is>
          <t>G2021|G21-DESM-COMP</t>
        </is>
      </c>
    </row>
    <row r="67">
      <c r="A67" t="inlineStr">
        <is>
          <t>G2021</t>
        </is>
      </c>
      <c r="B67" t="inlineStr">
        <is>
          <t>2021_Golder_Ensayos de Laboratorio Commingling.pdf</t>
        </is>
      </c>
      <c r="C67" t="n">
        <v>2021</v>
      </c>
      <c r="D67" t="inlineStr">
        <is>
          <t>Golder Associates Perú (miembro de WSP), informe 101-20110-LTE01220-INF-420-G-0013 Rev. 0 (28/04/2021)</t>
        </is>
      </c>
      <c r="E67" t="inlineStr">
        <is>
          <t>Laboratorio de Mecánica de Suelos de Golder Associates Perú, Lima</t>
        </is>
      </c>
      <c r="F67" t="inlineStr">
        <is>
          <t>G21-DESM-COMP</t>
        </is>
      </c>
      <c r="G67" t="inlineStr">
        <is>
          <t>II0471-E3</t>
        </is>
      </c>
      <c r="H67" t="inlineStr">
        <is>
          <t>Desmonte Tipo A (intrusivo), Tipo B (mármol y hornfels), Tipo C (hornfels); compuesto 0.35 A : 0.15 B : 0.50 C (masa seca)</t>
        </is>
      </c>
      <c r="I67" t="inlineStr">
        <is>
          <t>Mezcla</t>
        </is>
      </c>
      <c r="J67" t="inlineStr">
        <is>
          <t>Tipo B = mármol y hornfels (el informe no separa su reparto); sin subtipos (mármol blanco/negro, skarn, etc.) indicados</t>
        </is>
      </c>
      <c r="K67" t="inlineStr">
        <is>
          <t>Intrusivo 35 %; Mármol + Hornfels 15 % (Tipo B, reparto no indicado); Hornfels 50 % (proporciones del desmonte, masa seca)</t>
        </is>
      </c>
      <c r="L67" t="inlineStr"/>
      <c r="M67" t="inlineStr">
        <is>
          <t>No indicada (desmonte compuesto; el informe no dice si es ROM, Chancado o Enrocado)</t>
        </is>
      </c>
      <c r="N67" t="inlineStr">
        <is>
          <t>Compuesto de Tipos A, B y C (tipificación geoquímica por potencial de generación de acidez)</t>
        </is>
      </c>
      <c r="O67" t="inlineStr">
        <is>
          <t>CID (triaxial consolidado isotrópicamente drenado, ASTM D7181)</t>
        </is>
      </c>
      <c r="P67" t="inlineStr">
        <is>
          <t>sí</t>
        </is>
      </c>
      <c r="Q67" t="n">
        <v>152.4</v>
      </c>
      <c r="R67" t="n">
        <v>305.1</v>
      </c>
      <c r="S67" t="n">
        <v>25.4</v>
      </c>
      <c r="T67" t="n">
        <v>0.07779999999999999</v>
      </c>
      <c r="U67" t="n">
        <v>1.5869</v>
      </c>
      <c r="V67" t="n">
        <v>7.3703</v>
      </c>
      <c r="W67" t="n">
        <v>10.1146</v>
      </c>
      <c r="X67" t="n">
        <v>129.97</v>
      </c>
      <c r="Y67" t="n">
        <v>3.2</v>
      </c>
      <c r="Z67" t="n">
        <v>59.5</v>
      </c>
      <c r="AA67" t="n">
        <v>30.8</v>
      </c>
      <c r="AB67" t="n">
        <v>9.699999999999999</v>
      </c>
      <c r="AC67" t="inlineStr">
        <is>
          <t>Truncado (scalping): desmonte limitado a partículas &lt; 1" (100 % pasa 25.4 mm); Dmax de terreno no indicado</t>
        </is>
      </c>
      <c r="AD67" t="n">
        <v>2.762</v>
      </c>
      <c r="AE67" t="n">
        <v>20.47</v>
      </c>
      <c r="AF67" t="n">
        <v>0.32</v>
      </c>
      <c r="AG67" t="inlineStr">
        <is>
          <t>informe</t>
        </is>
      </c>
      <c r="AH67" t="inlineStr"/>
      <c r="AI67" t="n">
        <v>2</v>
      </c>
      <c r="AJ67" t="inlineStr"/>
      <c r="AK67" t="n">
        <v>1200</v>
      </c>
      <c r="AL67" t="n">
        <v>5847</v>
      </c>
      <c r="AM67" t="n">
        <v>4647</v>
      </c>
      <c r="AN67" t="inlineStr">
        <is>
          <t>Máximo esfuerzo desviador (Tabla 8)</t>
        </is>
      </c>
      <c r="AO67" t="inlineStr"/>
      <c r="AP67" t="n">
        <v>12.09</v>
      </c>
      <c r="AQ67" t="n">
        <v>-3.34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20;110;46</t>
        </is>
      </c>
      <c r="BB67" t="inlineStr">
        <is>
          <t>sí</t>
        </is>
      </c>
      <c r="BC67" t="inlineStr">
        <is>
          <t>CID (ASTM D7181) en celda de 6"; remoldeado a ρd≈2.087 g/cm³ y w=2.0 %; saturado por contrapresión (B=0.95; celda 1466 kPa; contrapresión 266 kPa); t90=2.16 min; 0.111 %/min; corrección por membrana. Tras consolidación (Tabla 8): w=7.7 %, ρd=2.263 g/cm³, e=0.22. Final de corte (Tabla 8): w=5.9 %, ρd=2.361 g/cm³, e=0.17. q_kPa = máximo desviador de la Tabla 8; en la hoja de laboratorio el máximo es 4644.8 kPa a εa=12.09 % (σ3'=1198.1; σ1'=5842.9 kPa); εa y εv salen de esa fila. La hoja dice 'Criterio de falla: Esfuerzo Desv. Máximo' pero da σ1'=5690 y σ3=1200 kPa a εa=20.0 %, que no es el máximo de su tabla; los círculos de Mohr del laboratorio usan esos valores. εv con la convención del informe: negativo = contracción, positivo = dilatación. φsec calculado (c=0) con q de Tabla 8: 41.3°. Envolvente del set: Tabla 7 (p.19) c=0 kPa, φ=40°; hoja de laboratorio (p.112) c=0 kPa, φ=41°. Gs = 'G. Específica Promedio' de la hoja triaxial; SUCS GP-GM; no plástico. γd y e0 = estado remoldeado inicial (antes de saturar). Clase ROM/Chancado/Enrocado no indicada en el informe; A/B/C es tipificación geoquímica. Alteración no indicada. Los valores de 'Etapa final de corte' de la Tabla 8 no coinciden con la hoja de laboratorio (hoja: e final 0.31 / 0.23 / 0.187).</t>
        </is>
      </c>
      <c r="BD67" t="n">
        <v>1200</v>
      </c>
      <c r="BE67" t="n">
        <v>1200</v>
      </c>
      <c r="BF67" t="n">
        <v>5847</v>
      </c>
      <c r="BG67" t="inlineStr"/>
      <c r="BH67" t="inlineStr"/>
      <c r="BI67" t="inlineStr"/>
      <c r="BJ67" t="inlineStr"/>
      <c r="BK67" t="inlineStr"/>
      <c r="BL67" t="n">
        <v>12.09</v>
      </c>
      <c r="BM67" t="n">
        <v>1198.07</v>
      </c>
      <c r="BN67" t="n">
        <v>5842.87</v>
      </c>
      <c r="BO67" t="n">
        <v>4644.8</v>
      </c>
      <c r="BP67" t="inlineStr"/>
      <c r="BQ67" t="n">
        <v>4.877</v>
      </c>
      <c r="BR67" t="inlineStr">
        <is>
          <t>0.95</t>
        </is>
      </c>
      <c r="BS67" t="n">
        <v>266</v>
      </c>
      <c r="BT67" t="n">
        <v>0.111</v>
      </c>
      <c r="BU67" t="n">
        <v>22.2</v>
      </c>
      <c r="BV67" t="n">
        <v>0.22</v>
      </c>
      <c r="BW67" t="inlineStr"/>
      <c r="BX67" t="inlineStr"/>
      <c r="BY67" t="inlineStr">
        <is>
          <t>Tabla 8 (p.20-22) y hoja p.110 verificadas en imagen. q_kPa = Tabla 8 (4647); máximo de la hoja 4644.80 kPa a εa=12.09 % (diferencia -2.2 kPa). Máx. oblicuidad 4.877 a εa=12.09 %. B=0.95, celda 1466 kPa, contrapresión 266 kPa.</t>
        </is>
      </c>
      <c r="BZ67" t="n">
        <v>12.09</v>
      </c>
      <c r="CA67" t="n">
        <v>4644.8</v>
      </c>
      <c r="CB67" t="n">
        <v>1198.07</v>
      </c>
      <c r="CC67" t="n">
        <v>5842.87</v>
      </c>
      <c r="CD67" t="n">
        <v>20.14</v>
      </c>
      <c r="CE67" t="n">
        <v>4481.97</v>
      </c>
      <c r="CF67" t="inlineStr">
        <is>
          <t>sí (q final 3.5 % menor que el máximo)</t>
        </is>
      </c>
      <c r="CG67" t="n">
        <v>1466</v>
      </c>
      <c r="CH67" t="inlineStr">
        <is>
          <t>«G. Específica (Promedio)» impresa en la hoja triaxial p.110; no coincide con la Tabla 5 (finos D854 ni gruesos C127); el informe no explica cómo se obtuvo</t>
        </is>
      </c>
      <c r="CI67" t="n">
        <v>0.323</v>
      </c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>
        <is>
          <t>Triaxial CD</t>
        </is>
      </c>
      <c r="EY67" t="inlineStr">
        <is>
          <t>CD: máximo desviador</t>
        </is>
      </c>
      <c r="EZ67" t="n">
        <v>1200</v>
      </c>
      <c r="FA67" t="n">
        <v>5847</v>
      </c>
      <c r="FB67" t="n">
        <v>4647</v>
      </c>
      <c r="FC67" t="n">
        <v>41.25638111303144</v>
      </c>
      <c r="FD67" t="n">
        <v>1991.315453384419</v>
      </c>
      <c r="FE67" t="n">
        <v>1746.729161923052</v>
      </c>
      <c r="FF67" t="inlineStr">
        <is>
          <t>6 in (≈150 mm)</t>
        </is>
      </c>
      <c r="FG67" t="n">
        <v>6.000000000000001</v>
      </c>
      <c r="FH67" t="inlineStr">
        <is>
          <t>ROM</t>
        </is>
      </c>
      <c r="FI67" t="inlineStr">
        <is>
          <t>criterio experto: compuesto de desmonte por tipos geoquímicos A/B/C para co-disposición en botadero</t>
        </is>
      </c>
      <c r="FJ67" t="n">
        <v>0</v>
      </c>
      <c r="FK67" t="inlineStr"/>
      <c r="FL67" t="inlineStr"/>
      <c r="FM67" t="inlineStr">
        <is>
          <t>A</t>
        </is>
      </c>
      <c r="FN67" t="n">
        <v>0.32</v>
      </c>
      <c r="FO67" t="inlineStr"/>
      <c r="FP67" t="n">
        <v>2.762</v>
      </c>
      <c r="FQ67" t="inlineStr">
        <is>
          <t>informe o verificación</t>
        </is>
      </c>
      <c r="FR67" t="inlineStr">
        <is>
          <t>G2021-065</t>
        </is>
      </c>
      <c r="FS67" t="inlineStr">
        <is>
          <t>G2021|G21-DESM-COMP</t>
        </is>
      </c>
    </row>
    <row r="68">
      <c r="A68" t="inlineStr">
        <is>
          <t>G2021</t>
        </is>
      </c>
      <c r="B68" t="inlineStr">
        <is>
          <t>2021_Golder_Ensayos de Laboratorio Commingling.pdf</t>
        </is>
      </c>
      <c r="C68" t="n">
        <v>2021</v>
      </c>
      <c r="D68" t="inlineStr">
        <is>
          <t>Golder Associates Perú (miembro de WSP), informe 101-20110-LTE01220-INF-420-G-0013 Rev. 0 (28/04/2021)</t>
        </is>
      </c>
      <c r="E68" t="inlineStr">
        <is>
          <t>Laboratorio de Mecánica de Suelos de Golder Associates Perú, Lima</t>
        </is>
      </c>
      <c r="F68" t="inlineStr">
        <is>
          <t>G21-ALT1-9:1</t>
        </is>
      </c>
      <c r="G68" t="inlineStr">
        <is>
          <t>II0520-E1</t>
        </is>
      </c>
      <c r="H68" t="inlineStr">
        <is>
          <t>Desmonte Tipo A (intrusivo), Tipo B (mármol y hornfels), Tipo C (hornfels); compuesto 0.35 A : 0.15 B : 0.50 C (masa seca); relave compuesto 0.33 M1 : 0.33 M2A : 0.33 M4B</t>
        </is>
      </c>
      <c r="I68" t="inlineStr">
        <is>
          <t>Mezcla</t>
        </is>
      </c>
      <c r="J68" t="inlineStr">
        <is>
          <t>Tipo B = mármol y hornfels (el informe no separa su reparto); sin subtipos (mármol blanco/negro, skarn, etc.) indicados</t>
        </is>
      </c>
      <c r="K68" t="inlineStr">
        <is>
          <t>Intrusivo 35 %; Mármol + Hornfels 15 % (Tipo B, reparto no indicado); Hornfels 50 % (proporciones del desmonte, masa seca); la mezcla lleva además 10 % de relave en masa seca</t>
        </is>
      </c>
      <c r="L68" t="inlineStr"/>
      <c r="M68" t="inlineStr">
        <is>
          <t>Mezcla co-disposición: desmonte de clase no indicada + 10 % relave</t>
        </is>
      </c>
      <c r="N68" t="inlineStr">
        <is>
          <t>Compuesto de Tipos A, B y C (tipificación geoquímica por potencial de generación de acidez)</t>
        </is>
      </c>
      <c r="O68" t="inlineStr">
        <is>
          <t>CID (triaxial consolidado isotrópicamente drenado, ASTM D7181)</t>
        </is>
      </c>
      <c r="P68" t="inlineStr">
        <is>
          <t>sí</t>
        </is>
      </c>
      <c r="Q68" t="n">
        <v>152.4</v>
      </c>
      <c r="R68" t="n">
        <v>305.1</v>
      </c>
      <c r="S68" t="n">
        <v>25.4</v>
      </c>
      <c r="T68" t="n">
        <v>0.0507</v>
      </c>
      <c r="U68" t="n">
        <v>0.6621</v>
      </c>
      <c r="V68" t="n">
        <v>5.7715</v>
      </c>
      <c r="W68" t="n">
        <v>8.766500000000001</v>
      </c>
      <c r="X68" t="n">
        <v>172.96</v>
      </c>
      <c r="Y68" t="n">
        <v>0.99</v>
      </c>
      <c r="Z68" t="n">
        <v>53.6</v>
      </c>
      <c r="AA68" t="n">
        <v>33.3</v>
      </c>
      <c r="AB68" t="n">
        <v>13.1</v>
      </c>
      <c r="AC68" t="inlineStr">
        <is>
          <t>Truncado (scalping): desmonte limitado a partículas &lt; 1" (100 % pasa 25.4 mm); Dmax de terreno no indicado</t>
        </is>
      </c>
      <c r="AD68" t="n">
        <v>2.793</v>
      </c>
      <c r="AE68" t="n">
        <v>17.68</v>
      </c>
      <c r="AF68" t="n">
        <v>0.55</v>
      </c>
      <c r="AG68" t="inlineStr">
        <is>
          <t>informe</t>
        </is>
      </c>
      <c r="AH68" t="inlineStr"/>
      <c r="AI68" t="n">
        <v>1.6</v>
      </c>
      <c r="AJ68" t="inlineStr"/>
      <c r="AK68" t="n">
        <v>101</v>
      </c>
      <c r="AL68" t="n">
        <v>697</v>
      </c>
      <c r="AM68" t="n">
        <v>596</v>
      </c>
      <c r="AN68" t="inlineStr">
        <is>
          <t>Máximo esfuerzo desviador (Tabla 8)</t>
        </is>
      </c>
      <c r="AO68" t="inlineStr"/>
      <c r="AP68" t="n">
        <v>18.02</v>
      </c>
      <c r="AQ68" t="n">
        <v>-4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20;115;47</t>
        </is>
      </c>
      <c r="BB68" t="inlineStr">
        <is>
          <t>sí</t>
        </is>
      </c>
      <c r="BC68" t="inlineStr">
        <is>
          <t>CID (ASTM D7181) en celda de 6"; remoldeado a ρd≈1.802 g/cm³ y w=1.6 %; saturado por contrapresión (B=0.98; celda 366 kPa; contrapresión 266 kPa); t90=0.9 min; 0.111 %/min; corrección por membrana. Alternativa 1 (relave filtrado (~86 % sólidos)), desmonte:relave 9:1 en masa seca (10 % relave). Tras consolidación (Tabla 8): w=10.3 %, ρd=2.163 g/cm³, e=0.29. Final de corte (Tabla 8): w=9.1 %, ρd=2.163 g/cm³, e=0.26. q_kPa = máximo desviador de la Tabla 8; en la hoja de laboratorio el máximo es 597.7 kPa a εa=18.02 % (σ3'=99.7; σ1'=697.4 kPa); εa y εv salen de esa fila. La hoja dice 'Criterio de falla: Esfuerzo Desv. Máximo' pero da σ1'=683 y σ3=101 kPa a εa=16.0 %, que no es el máximo de su tabla; los círculos de Mohr del laboratorio usan esos valores. εv con la convención del informe: negativo = contracción, positivo = dilatación. φsec calculado (c=0) con q de Tabla 8: 48.3°. Envolvente del set: Tabla 7 (p.19) c=84 kPa, φ=40°; hoja de laboratorio (p.119) c=83 kPa, φ=40°. Gs = 'G. Específica Promedio' de la hoja triaxial; SUCS GM; no plástico. γd y e0 = estado remoldeado inicial (antes de saturar). Clase ROM/Chancado/Enrocado no indicada en el informe; A/B/C es tipificación geoquímica. Alteración no indicada. Tabla 8 da ρd antes del corte 2.163 g/cm³, igual al final de corte (posible error de transcripción; la hoja p.115 da 2.16 tras consolidación y 2.252 al final del corte).</t>
        </is>
      </c>
      <c r="BD68" t="n">
        <v>101</v>
      </c>
      <c r="BE68" t="n">
        <v>101</v>
      </c>
      <c r="BF68" t="n">
        <v>697</v>
      </c>
      <c r="BG68" t="inlineStr"/>
      <c r="BH68" t="inlineStr"/>
      <c r="BI68" t="inlineStr"/>
      <c r="BJ68" t="inlineStr"/>
      <c r="BK68" t="inlineStr"/>
      <c r="BL68" t="n">
        <v>18.02</v>
      </c>
      <c r="BM68" t="n">
        <v>99.66</v>
      </c>
      <c r="BN68" t="n">
        <v>697.38</v>
      </c>
      <c r="BO68" t="n">
        <v>597.71</v>
      </c>
      <c r="BP68" t="inlineStr"/>
      <c r="BQ68" t="n">
        <v>6.998</v>
      </c>
      <c r="BR68" t="inlineStr">
        <is>
          <t>0.98</t>
        </is>
      </c>
      <c r="BS68" t="n">
        <v>266</v>
      </c>
      <c r="BT68" t="n">
        <v>0.111</v>
      </c>
      <c r="BU68" t="n">
        <v>21.22</v>
      </c>
      <c r="BV68" t="n">
        <v>0.29</v>
      </c>
      <c r="BW68" t="inlineStr"/>
      <c r="BX68" t="inlineStr"/>
      <c r="BY68" t="inlineStr">
        <is>
          <t>Tabla 8 (p.20-22) y hoja p.115 verificadas en imagen. q_kPa = Tabla 8 (596); máximo de la hoja 597.71 kPa a εa=18.02 % (diferencia +1.7 kPa). Máx. oblicuidad 6.998 a εa=18.02 %. B=0.98, celda 366 kPa, contrapresión 266 kPa.</t>
        </is>
      </c>
      <c r="BZ68" t="n">
        <v>18.02</v>
      </c>
      <c r="CA68" t="n">
        <v>597.71</v>
      </c>
      <c r="CB68" t="n">
        <v>99.66</v>
      </c>
      <c r="CC68" t="n">
        <v>697.38</v>
      </c>
      <c r="CD68" t="n">
        <v>20.14</v>
      </c>
      <c r="CE68" t="n">
        <v>593.1</v>
      </c>
      <c r="CF68" t="inlineStr">
        <is>
          <t>no (máximo en la última lectura o caída &lt; 2 %)</t>
        </is>
      </c>
      <c r="CG68" t="n">
        <v>366</v>
      </c>
      <c r="CH68" t="inlineStr">
        <is>
          <t>«G. Específica (Promedio)» impresa en la hoja triaxial p.115; no coincide con la Tabla 5 (finos D854 ni gruesos C127); el informe no explica cómo se obtuvo</t>
        </is>
      </c>
      <c r="CI68" t="n">
        <v>0.55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>
        <is>
          <t>Triaxial CD</t>
        </is>
      </c>
      <c r="EY68" t="inlineStr">
        <is>
          <t>CD: máximo desviador</t>
        </is>
      </c>
      <c r="EZ68" t="n">
        <v>101</v>
      </c>
      <c r="FA68" t="n">
        <v>697</v>
      </c>
      <c r="FB68" t="n">
        <v>596</v>
      </c>
      <c r="FC68" t="n">
        <v>48.31972616848888</v>
      </c>
      <c r="FD68" t="n">
        <v>176.4335839598997</v>
      </c>
      <c r="FE68" t="n">
        <v>198.1620308007188</v>
      </c>
      <c r="FF68" t="inlineStr">
        <is>
          <t>6 in (≈150 mm)</t>
        </is>
      </c>
      <c r="FG68" t="n">
        <v>6.000000000000001</v>
      </c>
      <c r="FH68" t="inlineStr">
        <is>
          <t>Mezcla co-disposición (desmonte ROM + relave)</t>
        </is>
      </c>
      <c r="FI68" t="inlineStr">
        <is>
          <t>criterio experto: compuesto de desmonte por tipos geoquímicos A/B/C para co-disposición en botadero</t>
        </is>
      </c>
      <c r="FJ68" t="n">
        <v>10</v>
      </c>
      <c r="FK68" t="inlineStr"/>
      <c r="FL68" t="inlineStr"/>
      <c r="FM68" t="inlineStr">
        <is>
          <t>A</t>
        </is>
      </c>
      <c r="FN68" t="n">
        <v>0.55</v>
      </c>
      <c r="FO68" t="inlineStr"/>
      <c r="FP68" t="n">
        <v>2.793</v>
      </c>
      <c r="FQ68" t="inlineStr">
        <is>
          <t>informe o verificación</t>
        </is>
      </c>
      <c r="FR68" t="inlineStr">
        <is>
          <t>G2021-066</t>
        </is>
      </c>
      <c r="FS68" t="inlineStr">
        <is>
          <t>G2021|G21-ALT1-9:1</t>
        </is>
      </c>
    </row>
    <row r="69">
      <c r="A69" t="inlineStr">
        <is>
          <t>G2021</t>
        </is>
      </c>
      <c r="B69" t="inlineStr">
        <is>
          <t>2021_Golder_Ensayos de Laboratorio Commingling.pdf</t>
        </is>
      </c>
      <c r="C69" t="n">
        <v>2021</v>
      </c>
      <c r="D69" t="inlineStr">
        <is>
          <t>Golder Associates Perú (miembro de WSP), informe 101-20110-LTE01220-INF-420-G-0013 Rev. 0 (28/04/2021)</t>
        </is>
      </c>
      <c r="E69" t="inlineStr">
        <is>
          <t>Laboratorio de Mecánica de Suelos de Golder Associates Perú, Lima</t>
        </is>
      </c>
      <c r="F69" t="inlineStr">
        <is>
          <t>G21-ALT1-9:1</t>
        </is>
      </c>
      <c r="G69" t="inlineStr">
        <is>
          <t>II0520-E2</t>
        </is>
      </c>
      <c r="H69" t="inlineStr">
        <is>
          <t>Desmonte Tipo A (intrusivo), Tipo B (mármol y hornfels), Tipo C (hornfels); compuesto 0.35 A : 0.15 B : 0.50 C (masa seca); relave compuesto 0.33 M1 : 0.33 M2A : 0.33 M4B</t>
        </is>
      </c>
      <c r="I69" t="inlineStr">
        <is>
          <t>Mezcla</t>
        </is>
      </c>
      <c r="J69" t="inlineStr">
        <is>
          <t>Tipo B = mármol y hornfels (el informe no separa su reparto); sin subtipos (mármol blanco/negro, skarn, etc.) indicados</t>
        </is>
      </c>
      <c r="K69" t="inlineStr">
        <is>
          <t>Intrusivo 35 %; Mármol + Hornfels 15 % (Tipo B, reparto no indicado); Hornfels 50 % (proporciones del desmonte, masa seca); la mezcla lleva además 10 % de relave en masa seca</t>
        </is>
      </c>
      <c r="L69" t="inlineStr"/>
      <c r="M69" t="inlineStr">
        <is>
          <t>Mezcla co-disposición: desmonte de clase no indicada + 10 % relave</t>
        </is>
      </c>
      <c r="N69" t="inlineStr">
        <is>
          <t>Compuesto de Tipos A, B y C (tipificación geoquímica por potencial de generación de acidez)</t>
        </is>
      </c>
      <c r="O69" t="inlineStr">
        <is>
          <t>CID (triaxial consolidado isotrópicamente drenado, ASTM D7181)</t>
        </is>
      </c>
      <c r="P69" t="inlineStr">
        <is>
          <t>sí</t>
        </is>
      </c>
      <c r="Q69" t="n">
        <v>152.4</v>
      </c>
      <c r="R69" t="n">
        <v>305.1</v>
      </c>
      <c r="S69" t="n">
        <v>25.4</v>
      </c>
      <c r="T69" t="n">
        <v>0.0507</v>
      </c>
      <c r="U69" t="n">
        <v>0.6621</v>
      </c>
      <c r="V69" t="n">
        <v>5.7715</v>
      </c>
      <c r="W69" t="n">
        <v>8.766500000000001</v>
      </c>
      <c r="X69" t="n">
        <v>172.96</v>
      </c>
      <c r="Y69" t="n">
        <v>0.99</v>
      </c>
      <c r="Z69" t="n">
        <v>53.6</v>
      </c>
      <c r="AA69" t="n">
        <v>33.3</v>
      </c>
      <c r="AB69" t="n">
        <v>13.1</v>
      </c>
      <c r="AC69" t="inlineStr">
        <is>
          <t>Truncado (scalping): desmonte limitado a partículas &lt; 1" (100 % pasa 25.4 mm); Dmax de terreno no indicado</t>
        </is>
      </c>
      <c r="AD69" t="n">
        <v>2.793</v>
      </c>
      <c r="AE69" t="n">
        <v>17.68</v>
      </c>
      <c r="AF69" t="n">
        <v>0.55</v>
      </c>
      <c r="AG69" t="inlineStr">
        <is>
          <t>informe</t>
        </is>
      </c>
      <c r="AH69" t="inlineStr"/>
      <c r="AI69" t="n">
        <v>1.6</v>
      </c>
      <c r="AJ69" t="inlineStr"/>
      <c r="AK69" t="n">
        <v>400</v>
      </c>
      <c r="AL69" t="n">
        <v>2377</v>
      </c>
      <c r="AM69" t="n">
        <v>1977</v>
      </c>
      <c r="AN69" t="inlineStr">
        <is>
          <t>Máximo esfuerzo desviador (Tabla 8)</t>
        </is>
      </c>
      <c r="AO69" t="inlineStr"/>
      <c r="AP69" t="n">
        <v>20.03</v>
      </c>
      <c r="AQ69" t="n">
        <v>-3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20;116;47</t>
        </is>
      </c>
      <c r="BB69" t="inlineStr">
        <is>
          <t>sí</t>
        </is>
      </c>
      <c r="BC69" t="inlineStr">
        <is>
          <t>CID (ASTM D7181) en celda de 6"; remoldeado a ρd≈1.802 g/cm³ y w=1.6 %; saturado por contrapresión (B=0.99; celda 667 kPa; contrapresión 267 kPa); t90=1.3 min; 0.111 %/min; corrección por membrana. Alternativa 1 (relave filtrado (~86 % sólidos)), desmonte:relave 9:1 en masa seca (10 % relave). Tras consolidación (Tabla 8): w=9.1 %, ρd=2.219 g/cm³, e=0.26. Final de corte (Tabla 8): w=7.8 %, ρd=2.288 g/cm³, e=0.22. q_kPa = máximo desviador de la Tabla 8; en la hoja de laboratorio el máximo es 1984.4 kPa a εa=20.03 % (σ3'=399.8; σ1'=2384.2 kPa); εa y εv salen de esa fila. El máximo coincide con la última lectura (εa≈20.03 %): sin pico, sigue endureciendo al terminar el ensayo. La hoja dice 'Criterio de falla: Esfuerzo Desv. Máximo' pero da σ1'=2348 y σ3=400 kPa a εa=16.0 %, que no es el máximo de su tabla; los círculos de Mohr del laboratorio usan esos valores. εv con la convención del informe: negativo = contracción, positivo = dilatación. φsec calculado (c=0) con q de Tabla 8: 45.4°. Envolvente del set: Tabla 7 (p.19) c=84 kPa, φ=40°; hoja de laboratorio (p.119) c=83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69" t="n">
        <v>400</v>
      </c>
      <c r="BE69" t="n">
        <v>400</v>
      </c>
      <c r="BF69" t="n">
        <v>2377</v>
      </c>
      <c r="BG69" t="inlineStr"/>
      <c r="BH69" t="inlineStr"/>
      <c r="BI69" t="inlineStr"/>
      <c r="BJ69" t="inlineStr"/>
      <c r="BK69" t="inlineStr"/>
      <c r="BL69" t="n">
        <v>20.03</v>
      </c>
      <c r="BM69" t="n">
        <v>399.83</v>
      </c>
      <c r="BN69" t="n">
        <v>2384.25</v>
      </c>
      <c r="BO69" t="n">
        <v>1984.42</v>
      </c>
      <c r="BP69" t="inlineStr"/>
      <c r="BQ69" t="n">
        <v>5.963</v>
      </c>
      <c r="BR69" t="inlineStr">
        <is>
          <t>0.99</t>
        </is>
      </c>
      <c r="BS69" t="n">
        <v>267</v>
      </c>
      <c r="BT69" t="n">
        <v>0.111</v>
      </c>
      <c r="BU69" t="n">
        <v>21.77</v>
      </c>
      <c r="BV69" t="n">
        <v>0.26</v>
      </c>
      <c r="BW69" t="inlineStr"/>
      <c r="BX69" t="inlineStr"/>
      <c r="BY69" t="inlineStr">
        <is>
          <t>Tabla 8 (p.20-22) y hoja p.116 verificadas en imagen. q_kPa = Tabla 8 (1977); máximo de la hoja 1984.42 kPa a εa=20.03 % (diferencia +7.4 kPa). Máx. oblicuidad 5.963 a εa=20.03 %. B=0.99, celda 667 kPa, contrapresión 267 kPa.</t>
        </is>
      </c>
      <c r="BZ69" t="n">
        <v>20.03</v>
      </c>
      <c r="CA69" t="n">
        <v>1984.42</v>
      </c>
      <c r="CB69" t="n">
        <v>399.83</v>
      </c>
      <c r="CC69" t="n">
        <v>2384.25</v>
      </c>
      <c r="CD69" t="n">
        <v>20.03</v>
      </c>
      <c r="CE69" t="n">
        <v>1984.42</v>
      </c>
      <c r="CF69" t="inlineStr">
        <is>
          <t>no (máximo en la última lectura o caída &lt; 2 %)</t>
        </is>
      </c>
      <c r="CG69" t="n">
        <v>667</v>
      </c>
      <c r="CH69" t="inlineStr">
        <is>
          <t>«G. Específica (Promedio)» impresa en la hoja triaxial p.116; no coincide con la Tabla 5 (finos D854 ni gruesos C127); el informe no explica cómo se obtuvo</t>
        </is>
      </c>
      <c r="CI69" t="n">
        <v>0.55</v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>
        <is>
          <t>Triaxial CD</t>
        </is>
      </c>
      <c r="EY69" t="inlineStr">
        <is>
          <t>CD: máximo desviador</t>
        </is>
      </c>
      <c r="EZ69" t="n">
        <v>400</v>
      </c>
      <c r="FA69" t="n">
        <v>2377</v>
      </c>
      <c r="FB69" t="n">
        <v>1977</v>
      </c>
      <c r="FC69" t="n">
        <v>45.39129323723493</v>
      </c>
      <c r="FD69" t="n">
        <v>684.7677349657904</v>
      </c>
      <c r="FE69" t="n">
        <v>694.1852412359549</v>
      </c>
      <c r="FF69" t="inlineStr">
        <is>
          <t>6 in (≈150 mm)</t>
        </is>
      </c>
      <c r="FG69" t="n">
        <v>6.000000000000001</v>
      </c>
      <c r="FH69" t="inlineStr">
        <is>
          <t>Mezcla co-disposición (desmonte ROM + relave)</t>
        </is>
      </c>
      <c r="FI69" t="inlineStr">
        <is>
          <t>criterio experto: compuesto de desmonte por tipos geoquímicos A/B/C para co-disposición en botadero</t>
        </is>
      </c>
      <c r="FJ69" t="n">
        <v>10</v>
      </c>
      <c r="FK69" t="inlineStr"/>
      <c r="FL69" t="inlineStr"/>
      <c r="FM69" t="inlineStr">
        <is>
          <t>A</t>
        </is>
      </c>
      <c r="FN69" t="n">
        <v>0.55</v>
      </c>
      <c r="FO69" t="inlineStr"/>
      <c r="FP69" t="n">
        <v>2.793</v>
      </c>
      <c r="FQ69" t="inlineStr">
        <is>
          <t>informe o verificación</t>
        </is>
      </c>
      <c r="FR69" t="inlineStr">
        <is>
          <t>G2021-067</t>
        </is>
      </c>
      <c r="FS69" t="inlineStr">
        <is>
          <t>G2021|G21-ALT1-9:1</t>
        </is>
      </c>
    </row>
    <row r="70">
      <c r="A70" t="inlineStr">
        <is>
          <t>G2021</t>
        </is>
      </c>
      <c r="B70" t="inlineStr">
        <is>
          <t>2021_Golder_Ensayos de Laboratorio Commingling.pdf</t>
        </is>
      </c>
      <c r="C70" t="n">
        <v>2021</v>
      </c>
      <c r="D70" t="inlineStr">
        <is>
          <t>Golder Associates Perú (miembro de WSP), informe 101-20110-LTE01220-INF-420-G-0013 Rev. 0 (28/04/2021)</t>
        </is>
      </c>
      <c r="E70" t="inlineStr">
        <is>
          <t>Laboratorio de Mecánica de Suelos de Golder Associates Perú, Lima</t>
        </is>
      </c>
      <c r="F70" t="inlineStr">
        <is>
          <t>G21-ALT1-9:1</t>
        </is>
      </c>
      <c r="G70" t="inlineStr">
        <is>
          <t>II0520-E3</t>
        </is>
      </c>
      <c r="H70" t="inlineStr">
        <is>
          <t>Desmonte Tipo A (intrusivo), Tipo B (mármol y hornfels), Tipo C (hornfels); compuesto 0.35 A : 0.15 B : 0.50 C (masa seca); relave compuesto 0.33 M1 : 0.33 M2A : 0.33 M4B</t>
        </is>
      </c>
      <c r="I70" t="inlineStr">
        <is>
          <t>Mezcla</t>
        </is>
      </c>
      <c r="J70" t="inlineStr">
        <is>
          <t>Tipo B = mármol y hornfels (el informe no separa su reparto); sin subtipos (mármol blanco/negro, skarn, etc.) indicados</t>
        </is>
      </c>
      <c r="K70" t="inlineStr">
        <is>
          <t>Intrusivo 35 %; Mármol + Hornfels 15 % (Tipo B, reparto no indicado); Hornfels 50 % (proporciones del desmonte, masa seca); la mezcla lleva además 10 % de relave en masa seca</t>
        </is>
      </c>
      <c r="L70" t="inlineStr"/>
      <c r="M70" t="inlineStr">
        <is>
          <t>Mezcla co-disposición: desmonte de clase no indicada + 10 % relave</t>
        </is>
      </c>
      <c r="N70" t="inlineStr">
        <is>
          <t>Compuesto de Tipos A, B y C (tipificación geoquímica por potencial de generación de acidez)</t>
        </is>
      </c>
      <c r="O70" t="inlineStr">
        <is>
          <t>CID (triaxial consolidado isotrópicamente drenado, ASTM D7181)</t>
        </is>
      </c>
      <c r="P70" t="inlineStr">
        <is>
          <t>sí</t>
        </is>
      </c>
      <c r="Q70" t="n">
        <v>152.4</v>
      </c>
      <c r="R70" t="n">
        <v>305.1</v>
      </c>
      <c r="S70" t="n">
        <v>25.4</v>
      </c>
      <c r="T70" t="n">
        <v>0.0507</v>
      </c>
      <c r="U70" t="n">
        <v>0.6621</v>
      </c>
      <c r="V70" t="n">
        <v>5.7715</v>
      </c>
      <c r="W70" t="n">
        <v>8.766500000000001</v>
      </c>
      <c r="X70" t="n">
        <v>172.96</v>
      </c>
      <c r="Y70" t="n">
        <v>0.99</v>
      </c>
      <c r="Z70" t="n">
        <v>53.6</v>
      </c>
      <c r="AA70" t="n">
        <v>33.3</v>
      </c>
      <c r="AB70" t="n">
        <v>13.1</v>
      </c>
      <c r="AC70" t="inlineStr">
        <is>
          <t>Truncado (scalping): desmonte limitado a partículas &lt; 1" (100 % pasa 25.4 mm); Dmax de terreno no indicado</t>
        </is>
      </c>
      <c r="AD70" t="n">
        <v>2.793</v>
      </c>
      <c r="AE70" t="n">
        <v>17.68</v>
      </c>
      <c r="AF70" t="n">
        <v>0.55</v>
      </c>
      <c r="AG70" t="inlineStr">
        <is>
          <t>informe</t>
        </is>
      </c>
      <c r="AH70" t="inlineStr"/>
      <c r="AI70" t="n">
        <v>1.6</v>
      </c>
      <c r="AJ70" t="inlineStr"/>
      <c r="AK70" t="n">
        <v>1203</v>
      </c>
      <c r="AL70" t="n">
        <v>5861</v>
      </c>
      <c r="AM70" t="n">
        <v>4658</v>
      </c>
      <c r="AN70" t="inlineStr">
        <is>
          <t>Máximo esfuerzo desviador (Tabla 8)</t>
        </is>
      </c>
      <c r="AO70" t="inlineStr"/>
      <c r="AP70" t="n">
        <v>12.11</v>
      </c>
      <c r="AQ70" t="n">
        <v>-3.01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20;117;47</t>
        </is>
      </c>
      <c r="BB70" t="inlineStr">
        <is>
          <t>sí</t>
        </is>
      </c>
      <c r="BC70" t="inlineStr">
        <is>
          <t>CID (ASTM D7181) en celda de 6"; remoldeado a ρd≈1.802 g/cm³ y w=1.6 %; saturado por contrapresión (B=1.0; celda 1466 kPa; contrapresión 262 kPa); t90=3.4 min; 0.111 %/min; corrección por membrana. Alternativa 1 (relave filtrado (~86 % sólidos)), desmonte:relave 9:1 en masa seca (10 % relave). Tras consolidación (Tabla 8): w=8.3 %, ρd=2.269 g/cm³, e=0.23. Final de corte (Tabla 8): w=6.4 %, ρd=2.369 g/cm³, e=0.18. q_kPa = máximo desviador de la Tabla 8; en la hoja de laboratorio el máximo es 4675.7 kPa a εa=12.11 % (σ3'=1202.7; σ1'=5878.4 kPa); εa y εv salen de esa fila. La hoja dice 'Criterio de falla: Esfuerzo Desv. Máximo' pero da σ1'=5757 y σ3=1203 kPa a εa=16.0 %, que no es el máximo de su tabla; los círculos de Mohr del laboratorio usan esos valores. εv con la convención del informe: negativo = contracción, positivo = dilatación. φsec calculado (c=0) con q de Tabla 8: 41.3°. Envolvente del set: Tabla 7 (p.19) c=84 kPa, φ=40°; hoja de laboratorio (p.119) c=83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70" t="n">
        <v>1203</v>
      </c>
      <c r="BE70" t="n">
        <v>1203</v>
      </c>
      <c r="BF70" t="n">
        <v>5861</v>
      </c>
      <c r="BG70" t="inlineStr"/>
      <c r="BH70" t="inlineStr"/>
      <c r="BI70" t="inlineStr"/>
      <c r="BJ70" t="inlineStr"/>
      <c r="BK70" t="inlineStr"/>
      <c r="BL70" t="n">
        <v>12.11</v>
      </c>
      <c r="BM70" t="n">
        <v>1202.72</v>
      </c>
      <c r="BN70" t="n">
        <v>5878.43</v>
      </c>
      <c r="BO70" t="n">
        <v>4675.71</v>
      </c>
      <c r="BP70" t="inlineStr"/>
      <c r="BQ70" t="n">
        <v>4.888</v>
      </c>
      <c r="BR70" t="inlineStr">
        <is>
          <t>1</t>
        </is>
      </c>
      <c r="BS70" t="n">
        <v>262</v>
      </c>
      <c r="BT70" t="n">
        <v>0.111</v>
      </c>
      <c r="BU70" t="n">
        <v>22.26</v>
      </c>
      <c r="BV70" t="n">
        <v>0.23</v>
      </c>
      <c r="BW70" t="inlineStr"/>
      <c r="BX70" t="inlineStr"/>
      <c r="BY70" t="inlineStr">
        <is>
          <t>Tabla 8 (p.20-22) y hoja p.117 verificadas en imagen. q_kPa = Tabla 8 (4658); máximo de la hoja 4675.71 kPa a εa=12.11 % (diferencia +17.7 kPa). Máx. oblicuidad 4.888 a εa=12.11 %. B=1, celda 1466 kPa, contrapresión 262 kPa.</t>
        </is>
      </c>
      <c r="BZ70" t="n">
        <v>12.11</v>
      </c>
      <c r="CA70" t="n">
        <v>4675.71</v>
      </c>
      <c r="CB70" t="n">
        <v>1202.72</v>
      </c>
      <c r="CC70" t="n">
        <v>5878.43</v>
      </c>
      <c r="CD70" t="n">
        <v>20.08</v>
      </c>
      <c r="CE70" t="n">
        <v>4348.3</v>
      </c>
      <c r="CF70" t="inlineStr">
        <is>
          <t>sí (q final 7.0 % menor que el máximo)</t>
        </is>
      </c>
      <c r="CG70" t="n">
        <v>1466</v>
      </c>
      <c r="CH70" t="inlineStr">
        <is>
          <t>«G. Específica (Promedio)» impresa en la hoja triaxial p.117; no coincide con la Tabla 5 (finos D854 ni gruesos C127); el informe no explica cómo se obtuvo</t>
        </is>
      </c>
      <c r="CI70" t="n">
        <v>0.55</v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>
        <is>
          <t>Triaxial CD</t>
        </is>
      </c>
      <c r="EY70" t="inlineStr">
        <is>
          <t>CD: máximo desviador</t>
        </is>
      </c>
      <c r="EZ70" t="n">
        <v>1203</v>
      </c>
      <c r="FA70" t="n">
        <v>5861</v>
      </c>
      <c r="FB70" t="n">
        <v>4658</v>
      </c>
      <c r="FC70" t="n">
        <v>41.25411216035926</v>
      </c>
      <c r="FD70" t="n">
        <v>1996.257927519819</v>
      </c>
      <c r="FE70" t="n">
        <v>1750.924694786808</v>
      </c>
      <c r="FF70" t="inlineStr">
        <is>
          <t>6 in (≈150 mm)</t>
        </is>
      </c>
      <c r="FG70" t="n">
        <v>6.000000000000001</v>
      </c>
      <c r="FH70" t="inlineStr">
        <is>
          <t>Mezcla co-disposición (desmonte ROM + relave)</t>
        </is>
      </c>
      <c r="FI70" t="inlineStr">
        <is>
          <t>criterio experto: compuesto de desmonte por tipos geoquímicos A/B/C para co-disposición en botadero</t>
        </is>
      </c>
      <c r="FJ70" t="n">
        <v>10</v>
      </c>
      <c r="FK70" t="inlineStr"/>
      <c r="FL70" t="inlineStr"/>
      <c r="FM70" t="inlineStr">
        <is>
          <t>A</t>
        </is>
      </c>
      <c r="FN70" t="n">
        <v>0.55</v>
      </c>
      <c r="FO70" t="inlineStr"/>
      <c r="FP70" t="n">
        <v>2.793</v>
      </c>
      <c r="FQ70" t="inlineStr">
        <is>
          <t>informe o verificación</t>
        </is>
      </c>
      <c r="FR70" t="inlineStr">
        <is>
          <t>G2021-068</t>
        </is>
      </c>
      <c r="FS70" t="inlineStr">
        <is>
          <t>G2021|G21-ALT1-9:1</t>
        </is>
      </c>
    </row>
    <row r="71">
      <c r="A71" t="inlineStr">
        <is>
          <t>G2021</t>
        </is>
      </c>
      <c r="B71" t="inlineStr">
        <is>
          <t>2021_Golder_Ensayos de Laboratorio Commingling.pdf</t>
        </is>
      </c>
      <c r="C71" t="n">
        <v>2021</v>
      </c>
      <c r="D71" t="inlineStr">
        <is>
          <t>Golder Associates Perú (miembro de WSP), informe 101-20110-LTE01220-INF-420-G-0013 Rev. 0 (28/04/2021)</t>
        </is>
      </c>
      <c r="E71" t="inlineStr">
        <is>
          <t>Laboratorio de Mecánica de Suelos de Golder Associates Perú, Lima</t>
        </is>
      </c>
      <c r="F71" t="inlineStr">
        <is>
          <t>G21-ALT1-4:1</t>
        </is>
      </c>
      <c r="G71" t="inlineStr">
        <is>
          <t>II0521-E1</t>
        </is>
      </c>
      <c r="H71" t="inlineStr">
        <is>
          <t>Desmonte Tipo A (intrusivo), Tipo B (mármol y hornfels), Tipo C (hornfels); compuesto 0.35 A : 0.15 B : 0.50 C (masa seca); relave compuesto 0.33 M1 : 0.33 M2A : 0.33 M4B</t>
        </is>
      </c>
      <c r="I71" t="inlineStr">
        <is>
          <t>Mezcla</t>
        </is>
      </c>
      <c r="J71" t="inlineStr">
        <is>
          <t>Tipo B = mármol y hornfels (el informe no separa su reparto); sin subtipos (mármol blanco/negro, skarn, etc.) indicados</t>
        </is>
      </c>
      <c r="K71" t="inlineStr">
        <is>
          <t>Intrusivo 35 %; Mármol + Hornfels 15 % (Tipo B, reparto no indicado); Hornfels 50 % (proporciones del desmonte, masa seca); la mezcla lleva además 20 % de relave en masa seca</t>
        </is>
      </c>
      <c r="L71" t="inlineStr"/>
      <c r="M71" t="inlineStr">
        <is>
          <t>Mezcla co-disposición: desmonte de clase no indicada + 20 % relave</t>
        </is>
      </c>
      <c r="N71" t="inlineStr">
        <is>
          <t>Compuesto de Tipos A, B y C (tipificación geoquímica por potencial de generación de acidez)</t>
        </is>
      </c>
      <c r="O71" t="inlineStr">
        <is>
          <t>CID (triaxial consolidado isotrópicamente drenado, ASTM D7181)</t>
        </is>
      </c>
      <c r="P71" t="inlineStr">
        <is>
          <t>sí</t>
        </is>
      </c>
      <c r="Q71" t="n">
        <v>152.4</v>
      </c>
      <c r="R71" t="n">
        <v>305.1</v>
      </c>
      <c r="S71" t="n">
        <v>25.4</v>
      </c>
      <c r="T71" t="n">
        <v>0.0443</v>
      </c>
      <c r="U71" t="n">
        <v>0.2874</v>
      </c>
      <c r="V71" t="n">
        <v>4.0365</v>
      </c>
      <c r="W71" t="n">
        <v>7.4082</v>
      </c>
      <c r="X71" t="n">
        <v>167.06</v>
      </c>
      <c r="Y71" t="n">
        <v>0.25</v>
      </c>
      <c r="Z71" t="n">
        <v>47.7</v>
      </c>
      <c r="AA71" t="n">
        <v>36.4</v>
      </c>
      <c r="AB71" t="n">
        <v>15.9</v>
      </c>
      <c r="AC71" t="inlineStr">
        <is>
          <t>Truncado (scalping): desmonte limitado a partículas &lt; 1" (100 % pasa 25.4 mm); Dmax de terreno no indicado</t>
        </is>
      </c>
      <c r="AD71" t="n">
        <v>2.846</v>
      </c>
      <c r="AE71" t="n">
        <v>17.68</v>
      </c>
      <c r="AF71" t="n">
        <v>0.58</v>
      </c>
      <c r="AG71" t="inlineStr">
        <is>
          <t>informe</t>
        </is>
      </c>
      <c r="AH71" t="inlineStr"/>
      <c r="AI71" t="n">
        <v>3.3</v>
      </c>
      <c r="AJ71" t="inlineStr"/>
      <c r="AK71" t="n">
        <v>100</v>
      </c>
      <c r="AL71" t="n">
        <v>640</v>
      </c>
      <c r="AM71" t="n">
        <v>540</v>
      </c>
      <c r="AN71" t="inlineStr">
        <is>
          <t>Máximo esfuerzo desviador (Tabla 8)</t>
        </is>
      </c>
      <c r="AO71" t="inlineStr"/>
      <c r="AP71" t="n">
        <v>20.16</v>
      </c>
      <c r="AQ71" t="n">
        <v>-3.52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20;122;48</t>
        </is>
      </c>
      <c r="BB71" t="inlineStr">
        <is>
          <t>sí</t>
        </is>
      </c>
      <c r="BC71" t="inlineStr">
        <is>
          <t>CID (ASTM D7181) en celda de 6"; remoldeado a ρd≈1.802 g/cm³ y w=3.3 %; saturado por contrapresión (B=0.98; celda 366 kPa; contrapresión 265 kPa); t90=0.7 min; 0.111 %/min; corrección por membrana. Alternativa 1 (relave filtrado (~86 % sólidos)), desmonte:relave 4:1 en masa seca (20 % relave). Tras consolidación (Tabla 8): w=10.0 %, ρd=2.204 g/cm³, e=0.29. Final de corte (Tabla 8): w=8.9 %, ρd=2.259 g/cm³, e=0.26. q_kPa = máximo desviador de la Tabla 8; en la hoja de laboratorio el máximo es 538.9 kPa a εa=20.16 % (σ3'=99.8; σ1'=638.7 kPa); εa y εv salen de esa fila. El máximo coincide con la última lectura (εa≈20.16 %): sin pico, sigue endureciendo al terminar el ensayo. La hoja dice 'Criterio de falla: Esfuerzo Desv. Máximo' pero da σ1'=623 y σ3=100 kPa a εa=16.0 %, que no es el máximo de su tabla; los círculos de Mohr del laboratorio usan esos valores. εv con la convención del informe: negativo = contracción, positivo = dilatación. φsec calculado (c=0) con q de Tabla 8: 46.9°. Envolvente del set: Tabla 7 (p.19) c=59 kPa, φ=40°; hoja de laboratorio (p.126) c=58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71" t="n">
        <v>100</v>
      </c>
      <c r="BE71" t="n">
        <v>100</v>
      </c>
      <c r="BF71" t="n">
        <v>640</v>
      </c>
      <c r="BG71" t="inlineStr"/>
      <c r="BH71" t="inlineStr"/>
      <c r="BI71" t="inlineStr"/>
      <c r="BJ71" t="inlineStr"/>
      <c r="BK71" t="inlineStr"/>
      <c r="BL71" t="n">
        <v>20.16</v>
      </c>
      <c r="BM71" t="n">
        <v>99.8</v>
      </c>
      <c r="BN71" t="n">
        <v>638.7</v>
      </c>
      <c r="BO71" t="n">
        <v>538.9</v>
      </c>
      <c r="BP71" t="inlineStr"/>
      <c r="BQ71" t="n">
        <v>6.4</v>
      </c>
      <c r="BR71" t="inlineStr">
        <is>
          <t>0.98</t>
        </is>
      </c>
      <c r="BS71" t="n">
        <v>265</v>
      </c>
      <c r="BT71" t="n">
        <v>0.111</v>
      </c>
      <c r="BU71" t="n">
        <v>21.62</v>
      </c>
      <c r="BV71" t="n">
        <v>0.29</v>
      </c>
      <c r="BW71" t="inlineStr"/>
      <c r="BX71" t="inlineStr"/>
      <c r="BY71" t="inlineStr">
        <is>
          <t>Tabla 8 (p.20-22) y hoja p.122 verificadas en imagen. q_kPa = Tabla 8 (540); máximo de la hoja 538.90 kPa a εa=20.16 % (diferencia -1.1 kPa). Máx. oblicuidad 6.400 a εa=20.16 %. B=0.98, celda 366 kPa, contrapresión 265 kPa.</t>
        </is>
      </c>
      <c r="BZ71" t="n">
        <v>20.16</v>
      </c>
      <c r="CA71" t="n">
        <v>538.9</v>
      </c>
      <c r="CB71" t="n">
        <v>99.8</v>
      </c>
      <c r="CC71" t="n">
        <v>638.7</v>
      </c>
      <c r="CD71" t="n">
        <v>20.16</v>
      </c>
      <c r="CE71" t="n">
        <v>538.9</v>
      </c>
      <c r="CF71" t="inlineStr">
        <is>
          <t>no (máximo en la última lectura o caída &lt; 2 %)</t>
        </is>
      </c>
      <c r="CG71" t="n">
        <v>366</v>
      </c>
      <c r="CH71" t="inlineStr">
        <is>
          <t>«G. Específica (Promedio)» impresa en la hoja triaxial p.122; no coincide con la Tabla 5 (finos D854 ni gruesos C127); el informe no explica cómo se obtuvo</t>
        </is>
      </c>
      <c r="CI71" t="n">
        <v>0.579</v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>
        <is>
          <t>Triaxial CD</t>
        </is>
      </c>
      <c r="EY71" t="inlineStr">
        <is>
          <t>CD: máximo desviador</t>
        </is>
      </c>
      <c r="EZ71" t="n">
        <v>100</v>
      </c>
      <c r="FA71" t="n">
        <v>640</v>
      </c>
      <c r="FB71" t="n">
        <v>540</v>
      </c>
      <c r="FC71" t="n">
        <v>46.86374112870423</v>
      </c>
      <c r="FD71" t="n">
        <v>172.972972972973</v>
      </c>
      <c r="FE71" t="n">
        <v>184.6086417828027</v>
      </c>
      <c r="FF71" t="inlineStr">
        <is>
          <t>6 in (≈150 mm)</t>
        </is>
      </c>
      <c r="FG71" t="n">
        <v>6.000000000000001</v>
      </c>
      <c r="FH71" t="inlineStr">
        <is>
          <t>Mezcla co-disposición (desmonte ROM + relave)</t>
        </is>
      </c>
      <c r="FI71" t="inlineStr">
        <is>
          <t>criterio experto: compuesto de desmonte por tipos geoquímicos A/B/C para co-disposición en botadero</t>
        </is>
      </c>
      <c r="FJ71" t="n">
        <v>20</v>
      </c>
      <c r="FK71" t="inlineStr"/>
      <c r="FL71" t="inlineStr"/>
      <c r="FM71" t="inlineStr">
        <is>
          <t>A</t>
        </is>
      </c>
      <c r="FN71" t="n">
        <v>0.58</v>
      </c>
      <c r="FO71" t="inlineStr"/>
      <c r="FP71" t="n">
        <v>2.846</v>
      </c>
      <c r="FQ71" t="inlineStr">
        <is>
          <t>informe o verificación</t>
        </is>
      </c>
      <c r="FR71" t="inlineStr">
        <is>
          <t>G2021-069</t>
        </is>
      </c>
      <c r="FS71" t="inlineStr">
        <is>
          <t>G2021|G21-ALT1-4:1</t>
        </is>
      </c>
    </row>
    <row r="72">
      <c r="A72" t="inlineStr">
        <is>
          <t>G2021</t>
        </is>
      </c>
      <c r="B72" t="inlineStr">
        <is>
          <t>2021_Golder_Ensayos de Laboratorio Commingling.pdf</t>
        </is>
      </c>
      <c r="C72" t="n">
        <v>2021</v>
      </c>
      <c r="D72" t="inlineStr">
        <is>
          <t>Golder Associates Perú (miembro de WSP), informe 101-20110-LTE01220-INF-420-G-0013 Rev. 0 (28/04/2021)</t>
        </is>
      </c>
      <c r="E72" t="inlineStr">
        <is>
          <t>Laboratorio de Mecánica de Suelos de Golder Associates Perú, Lima</t>
        </is>
      </c>
      <c r="F72" t="inlineStr">
        <is>
          <t>G21-ALT1-4:1</t>
        </is>
      </c>
      <c r="G72" t="inlineStr">
        <is>
          <t>II0521-E2</t>
        </is>
      </c>
      <c r="H72" t="inlineStr">
        <is>
          <t>Desmonte Tipo A (intrusivo), Tipo B (mármol y hornfels), Tipo C (hornfels); compuesto 0.35 A : 0.15 B : 0.50 C (masa seca); relave compuesto 0.33 M1 : 0.33 M2A : 0.33 M4B</t>
        </is>
      </c>
      <c r="I72" t="inlineStr">
        <is>
          <t>Mezcla</t>
        </is>
      </c>
      <c r="J72" t="inlineStr">
        <is>
          <t>Tipo B = mármol y hornfels (el informe no separa su reparto); sin subtipos (mármol blanco/negro, skarn, etc.) indicados</t>
        </is>
      </c>
      <c r="K72" t="inlineStr">
        <is>
          <t>Intrusivo 35 %; Mármol + Hornfels 15 % (Tipo B, reparto no indicado); Hornfels 50 % (proporciones del desmonte, masa seca); la mezcla lleva además 20 % de relave en masa seca</t>
        </is>
      </c>
      <c r="L72" t="inlineStr"/>
      <c r="M72" t="inlineStr">
        <is>
          <t>Mezcla co-disposición: desmonte de clase no indicada + 20 % relave</t>
        </is>
      </c>
      <c r="N72" t="inlineStr">
        <is>
          <t>Compuesto de Tipos A, B y C (tipificación geoquímica por potencial de generación de acidez)</t>
        </is>
      </c>
      <c r="O72" t="inlineStr">
        <is>
          <t>CID (triaxial consolidado isotrópicamente drenado, ASTM D7181)</t>
        </is>
      </c>
      <c r="P72" t="inlineStr">
        <is>
          <t>sí</t>
        </is>
      </c>
      <c r="Q72" t="n">
        <v>152.4</v>
      </c>
      <c r="R72" t="n">
        <v>305.1</v>
      </c>
      <c r="S72" t="n">
        <v>25.4</v>
      </c>
      <c r="T72" t="n">
        <v>0.0443</v>
      </c>
      <c r="U72" t="n">
        <v>0.2874</v>
      </c>
      <c r="V72" t="n">
        <v>4.0365</v>
      </c>
      <c r="W72" t="n">
        <v>7.4082</v>
      </c>
      <c r="X72" t="n">
        <v>167.06</v>
      </c>
      <c r="Y72" t="n">
        <v>0.25</v>
      </c>
      <c r="Z72" t="n">
        <v>47.7</v>
      </c>
      <c r="AA72" t="n">
        <v>36.4</v>
      </c>
      <c r="AB72" t="n">
        <v>15.9</v>
      </c>
      <c r="AC72" t="inlineStr">
        <is>
          <t>Truncado (scalping): desmonte limitado a partículas &lt; 1" (100 % pasa 25.4 mm); Dmax de terreno no indicado</t>
        </is>
      </c>
      <c r="AD72" t="n">
        <v>2.846</v>
      </c>
      <c r="AE72" t="n">
        <v>17.68</v>
      </c>
      <c r="AF72" t="n">
        <v>0.58</v>
      </c>
      <c r="AG72" t="inlineStr">
        <is>
          <t>informe</t>
        </is>
      </c>
      <c r="AH72" t="inlineStr"/>
      <c r="AI72" t="n">
        <v>3.3</v>
      </c>
      <c r="AJ72" t="inlineStr"/>
      <c r="AK72" t="n">
        <v>402</v>
      </c>
      <c r="AL72" t="n">
        <v>2182</v>
      </c>
      <c r="AM72" t="n">
        <v>1780</v>
      </c>
      <c r="AN72" t="inlineStr">
        <is>
          <t>Máximo esfuerzo desviador (Tabla 8)</t>
        </is>
      </c>
      <c r="AO72" t="inlineStr"/>
      <c r="AP72" t="n">
        <v>20.11</v>
      </c>
      <c r="AQ72" t="n">
        <v>-2.54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20;123;48</t>
        </is>
      </c>
      <c r="BB72" t="inlineStr">
        <is>
          <t>sí</t>
        </is>
      </c>
      <c r="BC72" t="inlineStr">
        <is>
          <t>CID (ASTM D7181) en celda de 6"; remoldeado a ρd≈1.802 g/cm³ y w=3.3 %; saturado por contrapresión (B=0.99; celda 666 kPa; contrapresión 264 kPa); t90=1.3 min; 0.111 %/min; corrección por membrana. Alternativa 1 (relave filtrado (~86 % sólidos)), desmonte:relave 4:1 en masa seca (20 % relave). Tras consolidación (Tabla 8): w=9.2 %, ρd=2.249 g/cm³, e=0.27. Final de corte (Tabla 8): w=7.7 %, ρd=2.323 g/cm³, e=0.23. q_kPa = máximo desviador de la Tabla 8; en la hoja de laboratorio el máximo es 1788.1 kPa a εa=20.11 % (σ3'=401.8; σ1'=2189.9 kPa); εa y εv salen de esa fila. El máximo coincide con la última lectura (εa≈20.11 %): sin pico, sigue endureciendo al terminar el ensayo. La hoja dice 'Criterio de falla: Esfuerzo Desv. Máximo' pero da σ1'=2168 y σ3=402 kPa a εa=16.0 %, que no es el máximo de su tabla; los círculos de Mohr del laboratorio usan esos valores. εv con la convención del informe: negativo = contracción, positivo = dilatación. φsec calculado (c=0) con q de Tabla 8: 43.5°. Envolvente del set: Tabla 7 (p.19) c=59 kPa, φ=40°; hoja de laboratorio (p.126) c=58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72" t="n">
        <v>402</v>
      </c>
      <c r="BE72" t="n">
        <v>402</v>
      </c>
      <c r="BF72" t="n">
        <v>2182</v>
      </c>
      <c r="BG72" t="inlineStr"/>
      <c r="BH72" t="inlineStr"/>
      <c r="BI72" t="inlineStr"/>
      <c r="BJ72" t="inlineStr"/>
      <c r="BK72" t="inlineStr"/>
      <c r="BL72" t="n">
        <v>20.11</v>
      </c>
      <c r="BM72" t="n">
        <v>401.82</v>
      </c>
      <c r="BN72" t="n">
        <v>2189.9</v>
      </c>
      <c r="BO72" t="n">
        <v>1788.08</v>
      </c>
      <c r="BP72" t="inlineStr"/>
      <c r="BQ72" t="n">
        <v>5.45</v>
      </c>
      <c r="BR72" t="inlineStr">
        <is>
          <t>0.99</t>
        </is>
      </c>
      <c r="BS72" t="n">
        <v>264</v>
      </c>
      <c r="BT72" t="n">
        <v>0.111</v>
      </c>
      <c r="BU72" t="n">
        <v>22.06</v>
      </c>
      <c r="BV72" t="n">
        <v>0.27</v>
      </c>
      <c r="BW72" t="inlineStr"/>
      <c r="BX72" t="inlineStr"/>
      <c r="BY72" t="inlineStr">
        <is>
          <t>Tabla 8 (p.20-22) y hoja p.123 verificadas en imagen. q_kPa = Tabla 8 (1780); máximo de la hoja 1788.08 kPa a εa=20.11 % (diferencia +8.1 kPa). Máx. oblicuidad 5.450 a εa=20.11 %. B=0.99, celda 666 kPa, contrapresión 264 kPa.</t>
        </is>
      </c>
      <c r="BZ72" t="n">
        <v>20.11</v>
      </c>
      <c r="CA72" t="n">
        <v>1788.08</v>
      </c>
      <c r="CB72" t="n">
        <v>401.82</v>
      </c>
      <c r="CC72" t="n">
        <v>2189.9</v>
      </c>
      <c r="CD72" t="n">
        <v>20.11</v>
      </c>
      <c r="CE72" t="n">
        <v>1788.08</v>
      </c>
      <c r="CF72" t="inlineStr">
        <is>
          <t>no (máximo en la última lectura o caída &lt; 2 %)</t>
        </is>
      </c>
      <c r="CG72" t="n">
        <v>666</v>
      </c>
      <c r="CH72" t="inlineStr">
        <is>
          <t>«G. Específica (Promedio)» impresa en la hoja triaxial p.123; no coincide con la Tabla 5 (finos D854 ni gruesos C127); el informe no explica cómo se obtuvo</t>
        </is>
      </c>
      <c r="CI72" t="n">
        <v>0.579</v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>
        <is>
          <t>Triaxial CD</t>
        </is>
      </c>
      <c r="EY72" t="inlineStr">
        <is>
          <t>CD: máximo desviador</t>
        </is>
      </c>
      <c r="EZ72" t="n">
        <v>402</v>
      </c>
      <c r="FA72" t="n">
        <v>2182</v>
      </c>
      <c r="FB72" t="n">
        <v>1780</v>
      </c>
      <c r="FC72" t="n">
        <v>43.53950002627919</v>
      </c>
      <c r="FD72" t="n">
        <v>678.9195046439629</v>
      </c>
      <c r="FE72" t="n">
        <v>645.160682476851</v>
      </c>
      <c r="FF72" t="inlineStr">
        <is>
          <t>6 in (≈150 mm)</t>
        </is>
      </c>
      <c r="FG72" t="n">
        <v>6.000000000000001</v>
      </c>
      <c r="FH72" t="inlineStr">
        <is>
          <t>Mezcla co-disposición (desmonte ROM + relave)</t>
        </is>
      </c>
      <c r="FI72" t="inlineStr">
        <is>
          <t>criterio experto: compuesto de desmonte por tipos geoquímicos A/B/C para co-disposición en botadero</t>
        </is>
      </c>
      <c r="FJ72" t="n">
        <v>20</v>
      </c>
      <c r="FK72" t="inlineStr"/>
      <c r="FL72" t="inlineStr"/>
      <c r="FM72" t="inlineStr">
        <is>
          <t>A</t>
        </is>
      </c>
      <c r="FN72" t="n">
        <v>0.58</v>
      </c>
      <c r="FO72" t="inlineStr"/>
      <c r="FP72" t="n">
        <v>2.846</v>
      </c>
      <c r="FQ72" t="inlineStr">
        <is>
          <t>informe o verificación</t>
        </is>
      </c>
      <c r="FR72" t="inlineStr">
        <is>
          <t>G2021-070</t>
        </is>
      </c>
      <c r="FS72" t="inlineStr">
        <is>
          <t>G2021|G21-ALT1-4:1</t>
        </is>
      </c>
    </row>
    <row r="73">
      <c r="A73" t="inlineStr">
        <is>
          <t>G2021</t>
        </is>
      </c>
      <c r="B73" t="inlineStr">
        <is>
          <t>2021_Golder_Ensayos de Laboratorio Commingling.pdf</t>
        </is>
      </c>
      <c r="C73" t="n">
        <v>2021</v>
      </c>
      <c r="D73" t="inlineStr">
        <is>
          <t>Golder Associates Perú (miembro de WSP), informe 101-20110-LTE01220-INF-420-G-0013 Rev. 0 (28/04/2021)</t>
        </is>
      </c>
      <c r="E73" t="inlineStr">
        <is>
          <t>Laboratorio de Mecánica de Suelos de Golder Associates Perú, Lima</t>
        </is>
      </c>
      <c r="F73" t="inlineStr">
        <is>
          <t>G21-ALT1-4:1</t>
        </is>
      </c>
      <c r="G73" t="inlineStr">
        <is>
          <t>II0521-E3</t>
        </is>
      </c>
      <c r="H73" t="inlineStr">
        <is>
          <t>Desmonte Tipo A (intrusivo), Tipo B (mármol y hornfels), Tipo C (hornfels); compuesto 0.35 A : 0.15 B : 0.50 C (masa seca); relave compuesto 0.33 M1 : 0.33 M2A : 0.33 M4B</t>
        </is>
      </c>
      <c r="I73" t="inlineStr">
        <is>
          <t>Mezcla</t>
        </is>
      </c>
      <c r="J73" t="inlineStr">
        <is>
          <t>Tipo B = mármol y hornfels (el informe no separa su reparto); sin subtipos (mármol blanco/negro, skarn, etc.) indicados</t>
        </is>
      </c>
      <c r="K73" t="inlineStr">
        <is>
          <t>Intrusivo 35 %; Mármol + Hornfels 15 % (Tipo B, reparto no indicado); Hornfels 50 % (proporciones del desmonte, masa seca); la mezcla lleva además 20 % de relave en masa seca</t>
        </is>
      </c>
      <c r="L73" t="inlineStr"/>
      <c r="M73" t="inlineStr">
        <is>
          <t>Mezcla co-disposición: desmonte de clase no indicada + 20 % relave</t>
        </is>
      </c>
      <c r="N73" t="inlineStr">
        <is>
          <t>Compuesto de Tipos A, B y C (tipificación geoquímica por potencial de generación de acidez)</t>
        </is>
      </c>
      <c r="O73" t="inlineStr">
        <is>
          <t>CID (triaxial consolidado isotrópicamente drenado, ASTM D7181)</t>
        </is>
      </c>
      <c r="P73" t="inlineStr">
        <is>
          <t>sí</t>
        </is>
      </c>
      <c r="Q73" t="n">
        <v>152.4</v>
      </c>
      <c r="R73" t="n">
        <v>305.1</v>
      </c>
      <c r="S73" t="n">
        <v>25.4</v>
      </c>
      <c r="T73" t="n">
        <v>0.0443</v>
      </c>
      <c r="U73" t="n">
        <v>0.2874</v>
      </c>
      <c r="V73" t="n">
        <v>4.0365</v>
      </c>
      <c r="W73" t="n">
        <v>7.4082</v>
      </c>
      <c r="X73" t="n">
        <v>167.06</v>
      </c>
      <c r="Y73" t="n">
        <v>0.25</v>
      </c>
      <c r="Z73" t="n">
        <v>47.7</v>
      </c>
      <c r="AA73" t="n">
        <v>36.4</v>
      </c>
      <c r="AB73" t="n">
        <v>15.9</v>
      </c>
      <c r="AC73" t="inlineStr">
        <is>
          <t>Truncado (scalping): desmonte limitado a partículas &lt; 1" (100 % pasa 25.4 mm); Dmax de terreno no indicado</t>
        </is>
      </c>
      <c r="AD73" t="n">
        <v>2.846</v>
      </c>
      <c r="AE73" t="n">
        <v>17.68</v>
      </c>
      <c r="AF73" t="n">
        <v>0.58</v>
      </c>
      <c r="AG73" t="inlineStr">
        <is>
          <t>informe</t>
        </is>
      </c>
      <c r="AH73" t="inlineStr"/>
      <c r="AI73" t="n">
        <v>3.3</v>
      </c>
      <c r="AJ73" t="inlineStr"/>
      <c r="AK73" t="n">
        <v>1202</v>
      </c>
      <c r="AL73" t="n">
        <v>5671</v>
      </c>
      <c r="AM73" t="n">
        <v>4469</v>
      </c>
      <c r="AN73" t="inlineStr">
        <is>
          <t>Máximo esfuerzo desviador (Tabla 8)</t>
        </is>
      </c>
      <c r="AO73" t="inlineStr"/>
      <c r="AP73" t="n">
        <v>12.15</v>
      </c>
      <c r="AQ73" t="n">
        <v>-2.75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20;124;48</t>
        </is>
      </c>
      <c r="BB73" t="inlineStr">
        <is>
          <t>sí</t>
        </is>
      </c>
      <c r="BC73" t="inlineStr">
        <is>
          <t>CID (ASTM D7181) en celda de 6"; remoldeado a ρd≈1.802 g/cm³ y w=3.3 %; saturado por contrapresión (B=0.99; celda 1470 kPa; contrapresión 268 kPa); t90=2.7 min; 0.111 %/min; corrección por membrana. Alternativa 1 (relave filtrado (~86 % sólidos)), desmonte:relave 4:1 en masa seca (20 % relave). Tras consolidación (Tabla 8): w=8.2 %, ρd=2.306 g/cm³, e=0.23. Final de corte (Tabla 8): w=6.5 %, ρd=2.396 g/cm³, e=0.19. q_kPa = máximo desviador de la Tabla 8; en la hoja de laboratorio el máximo es 4489.9 kPa a εa=12.15 % (σ3'=1201.1; σ1'=5690.9 kPa); εa y εv salen de esa fila. La hoja dice 'Criterio de falla: Esfuerzo Desv. Máximo' pero da σ1'=5651 y σ3=1202 kPa a εa=16.0 %, que no es el máximo de su tabla; los círculos de Mohr del laboratorio usan esos valores. εv con la convención del informe: negativo = contracción, positivo = dilatación. φsec calculado (c=0) con q de Tabla 8: 40.6°. Envolvente del set: Tabla 7 (p.19) c=59 kPa, φ=40°; hoja de laboratorio (p.126) c=58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73" t="n">
        <v>1202</v>
      </c>
      <c r="BE73" t="n">
        <v>1202</v>
      </c>
      <c r="BF73" t="n">
        <v>5671</v>
      </c>
      <c r="BG73" t="inlineStr"/>
      <c r="BH73" t="inlineStr"/>
      <c r="BI73" t="inlineStr"/>
      <c r="BJ73" t="inlineStr"/>
      <c r="BK73" t="inlineStr"/>
      <c r="BL73" t="n">
        <v>12.15</v>
      </c>
      <c r="BM73" t="n">
        <v>1201.07</v>
      </c>
      <c r="BN73" t="n">
        <v>5690.95</v>
      </c>
      <c r="BO73" t="n">
        <v>4489.88</v>
      </c>
      <c r="BP73" t="inlineStr"/>
      <c r="BQ73" t="n">
        <v>4.738</v>
      </c>
      <c r="BR73" t="inlineStr">
        <is>
          <t>0.99</t>
        </is>
      </c>
      <c r="BS73" t="n">
        <v>268</v>
      </c>
      <c r="BT73" t="n">
        <v>0.111</v>
      </c>
      <c r="BU73" t="n">
        <v>22.62</v>
      </c>
      <c r="BV73" t="n">
        <v>0.23</v>
      </c>
      <c r="BW73" t="inlineStr"/>
      <c r="BX73" t="inlineStr"/>
      <c r="BY73" t="inlineStr">
        <is>
          <t>Tabla 8 (p.20-22) y hoja p.124 verificadas en imagen. q_kPa = Tabla 8 (4469); máximo de la hoja 4489.88 kPa a εa=12.15 % (diferencia +20.9 kPa). Máx. oblicuidad 4.738 a εa=12.15 %. B=0.99, celda 1470 kPa, contrapresión 268 kPa.</t>
        </is>
      </c>
      <c r="BZ73" t="n">
        <v>12.15</v>
      </c>
      <c r="CA73" t="n">
        <v>4489.88</v>
      </c>
      <c r="CB73" t="n">
        <v>1201.07</v>
      </c>
      <c r="CC73" t="n">
        <v>5690.95</v>
      </c>
      <c r="CD73" t="n">
        <v>20.25</v>
      </c>
      <c r="CE73" t="n">
        <v>4359.32</v>
      </c>
      <c r="CF73" t="inlineStr">
        <is>
          <t>sí (q final 2.9 % menor que el máximo)</t>
        </is>
      </c>
      <c r="CG73" t="n">
        <v>1470</v>
      </c>
      <c r="CH73" t="inlineStr">
        <is>
          <t>«G. Específica (Promedio)» impresa en la hoja triaxial p.124; no coincide con la Tabla 5 (finos D854 ni gruesos C127); el informe no explica cómo se obtuvo</t>
        </is>
      </c>
      <c r="CI73" t="n">
        <v>0.579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>
        <is>
          <t>Triaxial CD</t>
        </is>
      </c>
      <c r="EY73" t="inlineStr">
        <is>
          <t>CD: máximo desviador</t>
        </is>
      </c>
      <c r="EZ73" t="n">
        <v>1202</v>
      </c>
      <c r="FA73" t="n">
        <v>5671</v>
      </c>
      <c r="FB73" t="n">
        <v>4469</v>
      </c>
      <c r="FC73" t="n">
        <v>40.55860728432685</v>
      </c>
      <c r="FD73" t="n">
        <v>1983.571075221883</v>
      </c>
      <c r="FE73" t="n">
        <v>1697.641831937204</v>
      </c>
      <c r="FF73" t="inlineStr">
        <is>
          <t>6 in (≈150 mm)</t>
        </is>
      </c>
      <c r="FG73" t="n">
        <v>6.000000000000001</v>
      </c>
      <c r="FH73" t="inlineStr">
        <is>
          <t>Mezcla co-disposición (desmonte ROM + relave)</t>
        </is>
      </c>
      <c r="FI73" t="inlineStr">
        <is>
          <t>criterio experto: compuesto de desmonte por tipos geoquímicos A/B/C para co-disposición en botadero</t>
        </is>
      </c>
      <c r="FJ73" t="n">
        <v>20</v>
      </c>
      <c r="FK73" t="inlineStr"/>
      <c r="FL73" t="inlineStr"/>
      <c r="FM73" t="inlineStr">
        <is>
          <t>A</t>
        </is>
      </c>
      <c r="FN73" t="n">
        <v>0.58</v>
      </c>
      <c r="FO73" t="inlineStr"/>
      <c r="FP73" t="n">
        <v>2.846</v>
      </c>
      <c r="FQ73" t="inlineStr">
        <is>
          <t>informe o verificación</t>
        </is>
      </c>
      <c r="FR73" t="inlineStr">
        <is>
          <t>G2021-071</t>
        </is>
      </c>
      <c r="FS73" t="inlineStr">
        <is>
          <t>G2021|G21-ALT1-4:1</t>
        </is>
      </c>
    </row>
    <row r="74">
      <c r="A74" t="inlineStr">
        <is>
          <t>G2021</t>
        </is>
      </c>
      <c r="B74" t="inlineStr">
        <is>
          <t>2021_Golder_Ensayos de Laboratorio Commingling.pdf</t>
        </is>
      </c>
      <c r="C74" t="n">
        <v>2021</v>
      </c>
      <c r="D74" t="inlineStr">
        <is>
          <t>Golder Associates Perú (miembro de WSP), informe 101-20110-LTE01220-INF-420-G-0013 Rev. 0 (28/04/2021)</t>
        </is>
      </c>
      <c r="E74" t="inlineStr">
        <is>
          <t>Laboratorio de Mecánica de Suelos de Golder Associates Perú, Lima</t>
        </is>
      </c>
      <c r="F74" t="inlineStr">
        <is>
          <t>G21-ALT1-1:1</t>
        </is>
      </c>
      <c r="G74" t="inlineStr">
        <is>
          <t>II0522-E1</t>
        </is>
      </c>
      <c r="H74" t="inlineStr">
        <is>
          <t>Desmonte Tipo A (intrusivo), Tipo B (mármol y hornfels), Tipo C (hornfels); compuesto 0.35 A : 0.15 B : 0.50 C (masa seca); relave compuesto 0.33 M1 : 0.33 M2A : 0.33 M4B</t>
        </is>
      </c>
      <c r="I74" t="inlineStr">
        <is>
          <t>Mezcla</t>
        </is>
      </c>
      <c r="J74" t="inlineStr">
        <is>
          <t>Tipo B = mármol y hornfels (el informe no separa su reparto); sin subtipos (mármol blanco/negro, skarn, etc.) indicados</t>
        </is>
      </c>
      <c r="K74" t="inlineStr">
        <is>
          <t>Intrusivo 35 %; Mármol + Hornfels 15 % (Tipo B, reparto no indicado); Hornfels 50 % (proporciones del desmonte, masa seca); la mezcla lleva además 50 % de relave en masa seca</t>
        </is>
      </c>
      <c r="L74" t="inlineStr"/>
      <c r="M74" t="inlineStr">
        <is>
          <t>Mezcla co-disposición: desmonte de clase no indicada + 50 % relave</t>
        </is>
      </c>
      <c r="N74" t="inlineStr">
        <is>
          <t>Compuesto de Tipos A, B y C (tipificación geoquímica por potencial de generación de acidez)</t>
        </is>
      </c>
      <c r="O74" t="inlineStr">
        <is>
          <t>CID (triaxial consolidado isotrópicamente drenado, ASTM D7181)</t>
        </is>
      </c>
      <c r="P74" t="inlineStr">
        <is>
          <t>sí</t>
        </is>
      </c>
      <c r="Q74" t="n">
        <v>152.4</v>
      </c>
      <c r="R74" t="n">
        <v>305.1</v>
      </c>
      <c r="S74" t="n">
        <v>25.4</v>
      </c>
      <c r="T74" t="n">
        <v>0.0208</v>
      </c>
      <c r="U74" t="n">
        <v>0.09520000000000001</v>
      </c>
      <c r="V74" t="n">
        <v>0.2833</v>
      </c>
      <c r="W74" t="n">
        <v>0.7395</v>
      </c>
      <c r="X74" t="n">
        <v>35.57</v>
      </c>
      <c r="Y74" t="n">
        <v>0.59</v>
      </c>
      <c r="Z74" t="n">
        <v>29.8</v>
      </c>
      <c r="AA74" t="n">
        <v>44</v>
      </c>
      <c r="AB74" t="n">
        <v>26.2</v>
      </c>
      <c r="AC74" t="inlineStr">
        <is>
          <t>Truncado (scalping): desmonte limitado a partículas &lt; 1" (100 % pasa 25.4 mm); Dmax de terreno no indicado</t>
        </is>
      </c>
      <c r="AD74" t="n">
        <v>3</v>
      </c>
      <c r="AE74" t="n">
        <v>17.68</v>
      </c>
      <c r="AF74" t="n">
        <v>0.66</v>
      </c>
      <c r="AG74" t="inlineStr">
        <is>
          <t>informe</t>
        </is>
      </c>
      <c r="AH74" t="inlineStr"/>
      <c r="AI74" t="n">
        <v>8.1</v>
      </c>
      <c r="AJ74" t="inlineStr"/>
      <c r="AK74" t="n">
        <v>103</v>
      </c>
      <c r="AL74" t="n">
        <v>537</v>
      </c>
      <c r="AM74" t="n">
        <v>434</v>
      </c>
      <c r="AN74" t="inlineStr">
        <is>
          <t>Máximo esfuerzo desviador (Tabla 8)</t>
        </is>
      </c>
      <c r="AO74" t="inlineStr"/>
      <c r="AP74" t="n">
        <v>20.25</v>
      </c>
      <c r="AQ74" t="n">
        <v>-3.62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20;129;49</t>
        </is>
      </c>
      <c r="BB74" t="inlineStr">
        <is>
          <t>sí</t>
        </is>
      </c>
      <c r="BC74" t="inlineStr">
        <is>
          <t>CID (ASTM D7181) en celda de 6"; remoldeado a ρd≈1.802 g/cm³ y w=8.1 %; saturado por contrapresión (B=0.96; celda 367 kPa; contrapresión 264 kPa); t90=1.3 min; 0.111 %/min; corrección por membrana. Alternativa 1 (relave filtrado (~86 % sólidos)), desmonte:relave 1:1 en masa seca (50 % relave). Tras consolidación (Tabla 8): w=11.9 %, ρd=2.197 g/cm³, e=0.37. Final de corte (Tabla 8): w=10.2 %, ρd=2.279 g/cm³, e=0.32. q_kPa = máximo desviador de la Tabla 8; en la hoja de laboratorio el máximo es 437.3 kPa a εa=20.25 % (σ3'=102.0; σ1'=539.3 kPa); εa y εv salen de esa fila. El máximo coincide con la última lectura (εa≈20.25 %): sin pico, sigue endureciendo al terminar el ensayo. La hoja dice 'Criterio de falla: Esfuerzo Desv. Máximo' pero da σ1'=523 y σ3=103 kPa a εa=16.0 %, que no es el máximo de su tabla; los círculos de Mohr del laboratorio usan esos valores. εv con la convención del informe: negativo = contracción, positivo = dilatación. φsec calculado (c=0) con q de Tabla 8: 42.7°. Envolvente del set: Tabla 7 (p.19) c=24 kPa, φ=38°; hoja de laboratorio (p.133) c=22 kPa, φ=38°. Gs = 'G. Específica Promedio' de la hoja triaxial; SUCS SM; no plástico. γd y e0 = estado remoldeado inicial (antes de saturar). Clase ROM/Chancado/Enrocado no indicada en el informe; A/B/C es tipificación geoquímica. Alteración no indicada.</t>
        </is>
      </c>
      <c r="BD74" t="n">
        <v>103</v>
      </c>
      <c r="BE74" t="n">
        <v>103</v>
      </c>
      <c r="BF74" t="n">
        <v>537</v>
      </c>
      <c r="BG74" t="inlineStr"/>
      <c r="BH74" t="inlineStr"/>
      <c r="BI74" t="inlineStr"/>
      <c r="BJ74" t="inlineStr"/>
      <c r="BK74" t="inlineStr"/>
      <c r="BL74" t="n">
        <v>20.25</v>
      </c>
      <c r="BM74" t="n">
        <v>101.99</v>
      </c>
      <c r="BN74" t="n">
        <v>539.3</v>
      </c>
      <c r="BO74" t="n">
        <v>437.31</v>
      </c>
      <c r="BP74" t="inlineStr"/>
      <c r="BQ74" t="n">
        <v>5.288</v>
      </c>
      <c r="BR74" t="inlineStr">
        <is>
          <t>0.96</t>
        </is>
      </c>
      <c r="BS74" t="n">
        <v>264</v>
      </c>
      <c r="BT74" t="n">
        <v>0.111</v>
      </c>
      <c r="BU74" t="n">
        <v>21.55</v>
      </c>
      <c r="BV74" t="n">
        <v>0.37</v>
      </c>
      <c r="BW74" t="inlineStr"/>
      <c r="BX74" t="inlineStr"/>
      <c r="BY74" t="inlineStr">
        <is>
          <t>Tabla 8 (p.20-22) y hoja p.129 verificadas en imagen. q_kPa = Tabla 8 (434); máximo de la hoja 437.31 kPa a εa=20.25 % (diferencia +3.3 kPa). Máx. oblicuidad 5.288 a εa=20.25 %. B=0.96, celda 367 kPa, contrapresión 264 kPa.</t>
        </is>
      </c>
      <c r="BZ74" t="n">
        <v>20.25</v>
      </c>
      <c r="CA74" t="n">
        <v>437.31</v>
      </c>
      <c r="CB74" t="n">
        <v>101.99</v>
      </c>
      <c r="CC74" t="n">
        <v>539.3</v>
      </c>
      <c r="CD74" t="n">
        <v>20.25</v>
      </c>
      <c r="CE74" t="n">
        <v>437.31</v>
      </c>
      <c r="CF74" t="inlineStr">
        <is>
          <t>no (máximo en la última lectura o caída &lt; 2 %)</t>
        </is>
      </c>
      <c r="CG74" t="n">
        <v>367</v>
      </c>
      <c r="CH74" t="inlineStr">
        <is>
          <t>«G. Específica (Promedio)» impresa en la hoja triaxial p.129; no coincide con la Tabla 5 (finos D854 ni gruesos C127); el informe no explica cómo se obtuvo</t>
        </is>
      </c>
      <c r="CI74" t="n">
        <v>0.665</v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>
        <is>
          <t>Triaxial CD</t>
        </is>
      </c>
      <c r="EY74" t="inlineStr">
        <is>
          <t>CD: máximo desviador</t>
        </is>
      </c>
      <c r="EZ74" t="n">
        <v>103</v>
      </c>
      <c r="FA74" t="n">
        <v>537</v>
      </c>
      <c r="FB74" t="n">
        <v>434</v>
      </c>
      <c r="FC74" t="n">
        <v>42.69729710922129</v>
      </c>
      <c r="FD74" t="n">
        <v>172.846875</v>
      </c>
      <c r="FE74" t="n">
        <v>159.4834091770501</v>
      </c>
      <c r="FF74" t="inlineStr">
        <is>
          <t>6 in (≈150 mm)</t>
        </is>
      </c>
      <c r="FG74" t="n">
        <v>6.000000000000001</v>
      </c>
      <c r="FH74" t="inlineStr">
        <is>
          <t>Mezcla co-disposición (desmonte ROM + relave)</t>
        </is>
      </c>
      <c r="FI74" t="inlineStr">
        <is>
          <t>criterio experto: compuesto de desmonte por tipos geoquímicos A/B/C para co-disposición en botadero</t>
        </is>
      </c>
      <c r="FJ74" t="n">
        <v>50</v>
      </c>
      <c r="FK74" t="inlineStr"/>
      <c r="FL74" t="inlineStr"/>
      <c r="FM74" t="inlineStr">
        <is>
          <t>A</t>
        </is>
      </c>
      <c r="FN74" t="n">
        <v>0.66</v>
      </c>
      <c r="FO74" t="inlineStr"/>
      <c r="FP74" t="n">
        <v>3</v>
      </c>
      <c r="FQ74" t="inlineStr">
        <is>
          <t>informe o verificación</t>
        </is>
      </c>
      <c r="FR74" t="inlineStr">
        <is>
          <t>G2021-072</t>
        </is>
      </c>
      <c r="FS74" t="inlineStr">
        <is>
          <t>G2021|G21-ALT1-1:1</t>
        </is>
      </c>
    </row>
    <row r="75">
      <c r="A75" t="inlineStr">
        <is>
          <t>G2021</t>
        </is>
      </c>
      <c r="B75" t="inlineStr">
        <is>
          <t>2021_Golder_Ensayos de Laboratorio Commingling.pdf</t>
        </is>
      </c>
      <c r="C75" t="n">
        <v>2021</v>
      </c>
      <c r="D75" t="inlineStr">
        <is>
          <t>Golder Associates Perú (miembro de WSP), informe 101-20110-LTE01220-INF-420-G-0013 Rev. 0 (28/04/2021)</t>
        </is>
      </c>
      <c r="E75" t="inlineStr">
        <is>
          <t>Laboratorio de Mecánica de Suelos de Golder Associates Perú, Lima</t>
        </is>
      </c>
      <c r="F75" t="inlineStr">
        <is>
          <t>G21-ALT1-1:1</t>
        </is>
      </c>
      <c r="G75" t="inlineStr">
        <is>
          <t>II0522-E2</t>
        </is>
      </c>
      <c r="H75" t="inlineStr">
        <is>
          <t>Desmonte Tipo A (intrusivo), Tipo B (mármol y hornfels), Tipo C (hornfels); compuesto 0.35 A : 0.15 B : 0.50 C (masa seca); relave compuesto 0.33 M1 : 0.33 M2A : 0.33 M4B</t>
        </is>
      </c>
      <c r="I75" t="inlineStr">
        <is>
          <t>Mezcla</t>
        </is>
      </c>
      <c r="J75" t="inlineStr">
        <is>
          <t>Tipo B = mármol y hornfels (el informe no separa su reparto); sin subtipos (mármol blanco/negro, skarn, etc.) indicados</t>
        </is>
      </c>
      <c r="K75" t="inlineStr">
        <is>
          <t>Intrusivo 35 %; Mármol + Hornfels 15 % (Tipo B, reparto no indicado); Hornfels 50 % (proporciones del desmonte, masa seca); la mezcla lleva además 50 % de relave en masa seca</t>
        </is>
      </c>
      <c r="L75" t="inlineStr"/>
      <c r="M75" t="inlineStr">
        <is>
          <t>Mezcla co-disposición: desmonte de clase no indicada + 50 % relave</t>
        </is>
      </c>
      <c r="N75" t="inlineStr">
        <is>
          <t>Compuesto de Tipos A, B y C (tipificación geoquímica por potencial de generación de acidez)</t>
        </is>
      </c>
      <c r="O75" t="inlineStr">
        <is>
          <t>CID (triaxial consolidado isotrópicamente drenado, ASTM D7181)</t>
        </is>
      </c>
      <c r="P75" t="inlineStr">
        <is>
          <t>sí</t>
        </is>
      </c>
      <c r="Q75" t="n">
        <v>152.4</v>
      </c>
      <c r="R75" t="n">
        <v>305.1</v>
      </c>
      <c r="S75" t="n">
        <v>25.4</v>
      </c>
      <c r="T75" t="n">
        <v>0.0208</v>
      </c>
      <c r="U75" t="n">
        <v>0.09520000000000001</v>
      </c>
      <c r="V75" t="n">
        <v>0.2833</v>
      </c>
      <c r="W75" t="n">
        <v>0.7395</v>
      </c>
      <c r="X75" t="n">
        <v>35.57</v>
      </c>
      <c r="Y75" t="n">
        <v>0.59</v>
      </c>
      <c r="Z75" t="n">
        <v>29.8</v>
      </c>
      <c r="AA75" t="n">
        <v>44</v>
      </c>
      <c r="AB75" t="n">
        <v>26.2</v>
      </c>
      <c r="AC75" t="inlineStr">
        <is>
          <t>Truncado (scalping): desmonte limitado a partículas &lt; 1" (100 % pasa 25.4 mm); Dmax de terreno no indicado</t>
        </is>
      </c>
      <c r="AD75" t="n">
        <v>3</v>
      </c>
      <c r="AE75" t="n">
        <v>17.67</v>
      </c>
      <c r="AF75" t="n">
        <v>0.67</v>
      </c>
      <c r="AG75" t="inlineStr">
        <is>
          <t>informe</t>
        </is>
      </c>
      <c r="AH75" t="inlineStr"/>
      <c r="AI75" t="n">
        <v>8.199999999999999</v>
      </c>
      <c r="AJ75" t="inlineStr"/>
      <c r="AK75" t="n">
        <v>404</v>
      </c>
      <c r="AL75" t="n">
        <v>1760</v>
      </c>
      <c r="AM75" t="n">
        <v>1356</v>
      </c>
      <c r="AN75" t="inlineStr">
        <is>
          <t>Máximo esfuerzo desviador (Tabla 8)</t>
        </is>
      </c>
      <c r="AO75" t="inlineStr"/>
      <c r="AP75" t="n">
        <v>18.18</v>
      </c>
      <c r="AQ75" t="n">
        <v>-3.63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20;130;49</t>
        </is>
      </c>
      <c r="BB75" t="inlineStr">
        <is>
          <t>sí</t>
        </is>
      </c>
      <c r="BC75" t="inlineStr">
        <is>
          <t>CID (ASTM D7181) en celda de 6"; remoldeado a ρd≈1.801 g/cm³ y w=8.2 %; saturado por contrapresión (B=0.99; celda 669 kPa; contrapresión 265 kPa); t90=2.1 min; 0.111 %/min; corrección por membrana. Alternativa 1 (relave filtrado (~86 % sólidos)), desmonte:relave 1:1 en masa seca (50 % relave). Tras consolidación (Tabla 8): w=11.0 %, ρd=2.253 g/cm³, e=0.33. Final de corte (Tabla 8): w=9.4 %, ρd=2.34 g/cm³, e=0.28. q_kPa = máximo desviador de la Tabla 8; en la hoja de laboratorio el máximo es 1345.9 kPa a εa=18.18 % (σ3'=402.7; σ1'=1748.6 kPa); εa y εv salen de esa fila. La hoja dice 'Criterio de falla: Esfuerzo Desv. Máximo' pero da σ1'=1742 y σ3=404 kPa a εa=16.0 %, que no es el máximo de su tabla; los círculos de Mohr del laboratorio usan esos valores. εv con la convención del informe: negativo = contracción, positivo = dilatación. φsec calculado (c=0) con q de Tabla 8: 38.8°. Envolvente del set: Tabla 7 (p.19) c=24 kPa, φ=38°; hoja de laboratorio (p.133) c=22 kPa, φ=38°. Gs = 'G. Específica Promedio' de la hoja triaxial; SUCS SM; no plástico. γd y e0 = estado remoldeado inicial (antes de saturar). Clase ROM/Chancado/Enrocado no indicada en el informe; A/B/C es tipificación geoquímica. Alteración no indicada.</t>
        </is>
      </c>
      <c r="BD75" t="n">
        <v>404</v>
      </c>
      <c r="BE75" t="n">
        <v>404</v>
      </c>
      <c r="BF75" t="n">
        <v>1760</v>
      </c>
      <c r="BG75" t="inlineStr"/>
      <c r="BH75" t="inlineStr"/>
      <c r="BI75" t="inlineStr"/>
      <c r="BJ75" t="inlineStr"/>
      <c r="BK75" t="inlineStr"/>
      <c r="BL75" t="n">
        <v>18.18</v>
      </c>
      <c r="BM75" t="n">
        <v>402.71</v>
      </c>
      <c r="BN75" t="n">
        <v>1748.63</v>
      </c>
      <c r="BO75" t="n">
        <v>1345.92</v>
      </c>
      <c r="BP75" t="inlineStr"/>
      <c r="BQ75" t="n">
        <v>4.342</v>
      </c>
      <c r="BR75" t="inlineStr">
        <is>
          <t>0.99</t>
        </is>
      </c>
      <c r="BS75" t="n">
        <v>265</v>
      </c>
      <c r="BT75" t="n">
        <v>0.111</v>
      </c>
      <c r="BU75" t="n">
        <v>22.1</v>
      </c>
      <c r="BV75" t="n">
        <v>0.33</v>
      </c>
      <c r="BW75" t="inlineStr"/>
      <c r="BX75" t="inlineStr"/>
      <c r="BY75" t="inlineStr">
        <is>
          <t>Tabla 8 (p.20-22) y hoja p.130 verificadas en imagen. q_kPa = Tabla 8 (1356); máximo de la hoja 1345.92 kPa a εa=18.18 % (diferencia -10.1 kPa). Máx. oblicuidad 4.342 a εa=18.18 %. B=0.99, celda 669 kPa, contrapresión 265 kPa.</t>
        </is>
      </c>
      <c r="BZ75" t="n">
        <v>18.18</v>
      </c>
      <c r="CA75" t="n">
        <v>1345.92</v>
      </c>
      <c r="CB75" t="n">
        <v>402.71</v>
      </c>
      <c r="CC75" t="n">
        <v>1748.63</v>
      </c>
      <c r="CD75" t="n">
        <v>20.05</v>
      </c>
      <c r="CE75" t="n">
        <v>1345.01</v>
      </c>
      <c r="CF75" t="inlineStr">
        <is>
          <t>no (máximo en la última lectura o caída &lt; 2 %)</t>
        </is>
      </c>
      <c r="CG75" t="n">
        <v>669</v>
      </c>
      <c r="CH75" t="inlineStr">
        <is>
          <t>«G. Específica (Promedio)» impresa en la hoja triaxial p.130; no coincide con la Tabla 5 (finos D854 ni gruesos C127); el informe no explica cómo se obtuvo</t>
        </is>
      </c>
      <c r="CI75" t="n">
        <v>0.666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>
        <is>
          <t>Triaxial CD</t>
        </is>
      </c>
      <c r="EY75" t="inlineStr">
        <is>
          <t>CD: máximo desviador</t>
        </is>
      </c>
      <c r="EZ75" t="n">
        <v>404</v>
      </c>
      <c r="FA75" t="n">
        <v>1760</v>
      </c>
      <c r="FB75" t="n">
        <v>1356</v>
      </c>
      <c r="FC75" t="n">
        <v>38.80099720247476</v>
      </c>
      <c r="FD75" t="n">
        <v>657.1534195933457</v>
      </c>
      <c r="FE75" t="n">
        <v>528.3837460754941</v>
      </c>
      <c r="FF75" t="inlineStr">
        <is>
          <t>6 in (≈150 mm)</t>
        </is>
      </c>
      <c r="FG75" t="n">
        <v>6.000000000000001</v>
      </c>
      <c r="FH75" t="inlineStr">
        <is>
          <t>Mezcla co-disposición (desmonte ROM + relave)</t>
        </is>
      </c>
      <c r="FI75" t="inlineStr">
        <is>
          <t>criterio experto: compuesto de desmonte por tipos geoquímicos A/B/C para co-disposición en botadero</t>
        </is>
      </c>
      <c r="FJ75" t="n">
        <v>50</v>
      </c>
      <c r="FK75" t="inlineStr"/>
      <c r="FL75" t="inlineStr"/>
      <c r="FM75" t="inlineStr">
        <is>
          <t>A</t>
        </is>
      </c>
      <c r="FN75" t="n">
        <v>0.67</v>
      </c>
      <c r="FO75" t="inlineStr"/>
      <c r="FP75" t="n">
        <v>3</v>
      </c>
      <c r="FQ75" t="inlineStr">
        <is>
          <t>informe o verificación</t>
        </is>
      </c>
      <c r="FR75" t="inlineStr">
        <is>
          <t>G2021-073</t>
        </is>
      </c>
      <c r="FS75" t="inlineStr">
        <is>
          <t>G2021|G21-ALT1-1:1</t>
        </is>
      </c>
    </row>
    <row r="76">
      <c r="A76" t="inlineStr">
        <is>
          <t>G2021</t>
        </is>
      </c>
      <c r="B76" t="inlineStr">
        <is>
          <t>2021_Golder_Ensayos de Laboratorio Commingling.pdf</t>
        </is>
      </c>
      <c r="C76" t="n">
        <v>2021</v>
      </c>
      <c r="D76" t="inlineStr">
        <is>
          <t>Golder Associates Perú (miembro de WSP), informe 101-20110-LTE01220-INF-420-G-0013 Rev. 0 (28/04/2021)</t>
        </is>
      </c>
      <c r="E76" t="inlineStr">
        <is>
          <t>Laboratorio de Mecánica de Suelos de Golder Associates Perú, Lima</t>
        </is>
      </c>
      <c r="F76" t="inlineStr">
        <is>
          <t>G21-ALT1-1:1</t>
        </is>
      </c>
      <c r="G76" t="inlineStr">
        <is>
          <t>II0522-E3</t>
        </is>
      </c>
      <c r="H76" t="inlineStr">
        <is>
          <t>Desmonte Tipo A (intrusivo), Tipo B (mármol y hornfels), Tipo C (hornfels); compuesto 0.35 A : 0.15 B : 0.50 C (masa seca); relave compuesto 0.33 M1 : 0.33 M2A : 0.33 M4B</t>
        </is>
      </c>
      <c r="I76" t="inlineStr">
        <is>
          <t>Mezcla</t>
        </is>
      </c>
      <c r="J76" t="inlineStr">
        <is>
          <t>Tipo B = mármol y hornfels (el informe no separa su reparto); sin subtipos (mármol blanco/negro, skarn, etc.) indicados</t>
        </is>
      </c>
      <c r="K76" t="inlineStr">
        <is>
          <t>Intrusivo 35 %; Mármol + Hornfels 15 % (Tipo B, reparto no indicado); Hornfels 50 % (proporciones del desmonte, masa seca); la mezcla lleva además 50 % de relave en masa seca</t>
        </is>
      </c>
      <c r="L76" t="inlineStr"/>
      <c r="M76" t="inlineStr">
        <is>
          <t>Mezcla co-disposición: desmonte de clase no indicada + 50 % relave</t>
        </is>
      </c>
      <c r="N76" t="inlineStr">
        <is>
          <t>Compuesto de Tipos A, B y C (tipificación geoquímica por potencial de generación de acidez)</t>
        </is>
      </c>
      <c r="O76" t="inlineStr">
        <is>
          <t>CID (triaxial consolidado isotrópicamente drenado, ASTM D7181)</t>
        </is>
      </c>
      <c r="P76" t="inlineStr">
        <is>
          <t>sí</t>
        </is>
      </c>
      <c r="Q76" t="n">
        <v>152.4</v>
      </c>
      <c r="R76" t="n">
        <v>305.1</v>
      </c>
      <c r="S76" t="n">
        <v>25.4</v>
      </c>
      <c r="T76" t="n">
        <v>0.0208</v>
      </c>
      <c r="U76" t="n">
        <v>0.09520000000000001</v>
      </c>
      <c r="V76" t="n">
        <v>0.2833</v>
      </c>
      <c r="W76" t="n">
        <v>0.7395</v>
      </c>
      <c r="X76" t="n">
        <v>35.57</v>
      </c>
      <c r="Y76" t="n">
        <v>0.59</v>
      </c>
      <c r="Z76" t="n">
        <v>29.8</v>
      </c>
      <c r="AA76" t="n">
        <v>44</v>
      </c>
      <c r="AB76" t="n">
        <v>26.2</v>
      </c>
      <c r="AC76" t="inlineStr">
        <is>
          <t>Truncado (scalping): desmonte limitado a partículas &lt; 1" (100 % pasa 25.4 mm); Dmax de terreno no indicado</t>
        </is>
      </c>
      <c r="AD76" t="n">
        <v>3</v>
      </c>
      <c r="AE76" t="n">
        <v>17.68</v>
      </c>
      <c r="AF76" t="n">
        <v>0.67</v>
      </c>
      <c r="AG76" t="inlineStr">
        <is>
          <t>informe</t>
        </is>
      </c>
      <c r="AH76" t="inlineStr"/>
      <c r="AI76" t="n">
        <v>8.199999999999999</v>
      </c>
      <c r="AJ76" t="inlineStr"/>
      <c r="AK76" t="n">
        <v>1202</v>
      </c>
      <c r="AL76" t="n">
        <v>5065</v>
      </c>
      <c r="AM76" t="n">
        <v>3863</v>
      </c>
      <c r="AN76" t="inlineStr">
        <is>
          <t>Máximo esfuerzo desviador (Tabla 8)</t>
        </is>
      </c>
      <c r="AO76" t="inlineStr"/>
      <c r="AP76" t="n">
        <v>14.03</v>
      </c>
      <c r="AQ76" t="n">
        <v>-3.68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20;131;49</t>
        </is>
      </c>
      <c r="BB76" t="inlineStr">
        <is>
          <t>sí</t>
        </is>
      </c>
      <c r="BC76" t="inlineStr">
        <is>
          <t>CID (ASTM D7181) en celda de 6"; remoldeado a ρd≈1.802 g/cm³ y w=8.2 %; saturado por contrapresión (B=0.98; celda 1469 kPa; contrapresión 267 kPa); t90=2.3 min; 0.111 %/min; corrección por membrana. Alternativa 1 (relave filtrado (~86 % sólidos)), desmonte:relave 1:1 en masa seca (50 % relave). Tras consolidación (Tabla 8): w=10.0 %, ρd=2.3 g/cm³, e=0.3. Final de corte (Tabla 8): w=8.3 %, ρd=2.396 g/cm³, e=0.25. q_kPa = máximo desviador de la Tabla 8; en la hoja de laboratorio el máximo es 3872.3 kPa a εa=14.03 % (σ3'=1200.6; σ1'=5072.9 kPa); εa y εv salen de esa fila. La hoja dice 'Criterio de falla: Esfuerzo Desv. Máximo' pero da σ1'=5064 y σ3=1202 kPa a εa=16.0 %, que no es el máximo de su tabla; los círculos de Mohr del laboratorio usan esos valores. εv con la convención del informe: negativo = contracción, positivo = dilatación. φsec calculado (c=0) con q de Tabla 8: 38.1°. Envolvente del set: Tabla 7 (p.19) c=24 kPa, φ=38°; hoja de laboratorio (p.133) c=22 kPa, φ=38°. Gs = 'G. Específica Promedio' de la hoja triaxial; SUCS SM; no plástico. γd y e0 = estado remoldeado inicial (antes de saturar). Clase ROM/Chancado/Enrocado no indicada en el informe; A/B/C es tipificación geoquímica. Alteración no indicada.</t>
        </is>
      </c>
      <c r="BD76" t="n">
        <v>1202</v>
      </c>
      <c r="BE76" t="n">
        <v>1202</v>
      </c>
      <c r="BF76" t="n">
        <v>5065</v>
      </c>
      <c r="BG76" t="inlineStr"/>
      <c r="BH76" t="inlineStr"/>
      <c r="BI76" t="inlineStr"/>
      <c r="BJ76" t="inlineStr"/>
      <c r="BK76" t="inlineStr"/>
      <c r="BL76" t="n">
        <v>14.03</v>
      </c>
      <c r="BM76" t="n">
        <v>1200.56</v>
      </c>
      <c r="BN76" t="n">
        <v>5072.85</v>
      </c>
      <c r="BO76" t="n">
        <v>3872.29</v>
      </c>
      <c r="BP76" t="inlineStr"/>
      <c r="BQ76" t="n">
        <v>4.225</v>
      </c>
      <c r="BR76" t="inlineStr">
        <is>
          <t>0.98</t>
        </is>
      </c>
      <c r="BS76" t="n">
        <v>267</v>
      </c>
      <c r="BT76" t="n">
        <v>0.111</v>
      </c>
      <c r="BU76" t="n">
        <v>22.56</v>
      </c>
      <c r="BV76" t="n">
        <v>0.3</v>
      </c>
      <c r="BW76" t="inlineStr"/>
      <c r="BX76" t="inlineStr"/>
      <c r="BY76" t="inlineStr">
        <is>
          <t>Tabla 8 (p.20-22) y hoja p.131 verificadas en imagen. q_kPa = Tabla 8 (3863); máximo de la hoja 3872.29 kPa a εa=14.03 % (diferencia +9.3 kPa). Máx. oblicuidad 4.225 a εa=14.03 %. B=0.98, celda 1469 kPa, contrapresión 267 kPa.</t>
        </is>
      </c>
      <c r="BZ76" t="n">
        <v>14.03</v>
      </c>
      <c r="CA76" t="n">
        <v>3872.29</v>
      </c>
      <c r="CB76" t="n">
        <v>1200.56</v>
      </c>
      <c r="CC76" t="n">
        <v>5072.85</v>
      </c>
      <c r="CD76" t="n">
        <v>20.22</v>
      </c>
      <c r="CE76" t="n">
        <v>3804.34</v>
      </c>
      <c r="CF76" t="inlineStr">
        <is>
          <t>no (máximo en la última lectura o caída &lt; 2 %)</t>
        </is>
      </c>
      <c r="CG76" t="n">
        <v>1469</v>
      </c>
      <c r="CH76" t="inlineStr">
        <is>
          <t>«G. Específica (Promedio)» impresa en la hoja triaxial p.131; no coincide con la Tabla 5 (finos D854 ni gruesos C127); el informe no explica cómo se obtuvo</t>
        </is>
      </c>
      <c r="CI76" t="n">
        <v>0.665</v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>
        <is>
          <t>Triaxial CD</t>
        </is>
      </c>
      <c r="EY76" t="inlineStr">
        <is>
          <t>CD: máximo desviador</t>
        </is>
      </c>
      <c r="EZ76" t="n">
        <v>1202</v>
      </c>
      <c r="FA76" t="n">
        <v>5065</v>
      </c>
      <c r="FB76" t="n">
        <v>3863</v>
      </c>
      <c r="FC76" t="n">
        <v>38.053963500619</v>
      </c>
      <c r="FD76" t="n">
        <v>1942.916866124142</v>
      </c>
      <c r="FE76" t="n">
        <v>1520.922105609075</v>
      </c>
      <c r="FF76" t="inlineStr">
        <is>
          <t>6 in (≈150 mm)</t>
        </is>
      </c>
      <c r="FG76" t="n">
        <v>6.000000000000001</v>
      </c>
      <c r="FH76" t="inlineStr">
        <is>
          <t>Mezcla co-disposición (desmonte ROM + relave)</t>
        </is>
      </c>
      <c r="FI76" t="inlineStr">
        <is>
          <t>criterio experto: compuesto de desmonte por tipos geoquímicos A/B/C para co-disposición en botadero</t>
        </is>
      </c>
      <c r="FJ76" t="n">
        <v>50</v>
      </c>
      <c r="FK76" t="inlineStr"/>
      <c r="FL76" t="inlineStr"/>
      <c r="FM76" t="inlineStr">
        <is>
          <t>A</t>
        </is>
      </c>
      <c r="FN76" t="n">
        <v>0.67</v>
      </c>
      <c r="FO76" t="inlineStr"/>
      <c r="FP76" t="n">
        <v>3</v>
      </c>
      <c r="FQ76" t="inlineStr">
        <is>
          <t>informe o verificación</t>
        </is>
      </c>
      <c r="FR76" t="inlineStr">
        <is>
          <t>G2021-074</t>
        </is>
      </c>
      <c r="FS76" t="inlineStr">
        <is>
          <t>G2021|G21-ALT1-1:1</t>
        </is>
      </c>
    </row>
    <row r="77">
      <c r="A77" t="inlineStr">
        <is>
          <t>G2021</t>
        </is>
      </c>
      <c r="B77" t="inlineStr">
        <is>
          <t>2021_Golder_Ensayos de Laboratorio Commingling.pdf</t>
        </is>
      </c>
      <c r="C77" t="n">
        <v>2021</v>
      </c>
      <c r="D77" t="inlineStr">
        <is>
          <t>Golder Associates Perú (miembro de WSP), informe 101-20110-LTE01220-INF-420-G-0013 Rev. 0 (28/04/2021)</t>
        </is>
      </c>
      <c r="E77" t="inlineStr">
        <is>
          <t>Laboratorio de Mecánica de Suelos de Golder Associates Perú, Lima</t>
        </is>
      </c>
      <c r="F77" t="inlineStr">
        <is>
          <t>G21-ALT2-9:1</t>
        </is>
      </c>
      <c r="G77" t="inlineStr">
        <is>
          <t>II0523-E1</t>
        </is>
      </c>
      <c r="H77" t="inlineStr">
        <is>
          <t>Desmonte Tipo A (intrusivo), Tipo B (mármol y hornfels), Tipo C (hornfels); compuesto 0.35 A : 0.15 B : 0.50 C (masa seca); relave compuesto 0.33 M1 : 0.33 M2A : 0.33 M4B</t>
        </is>
      </c>
      <c r="I77" t="inlineStr">
        <is>
          <t>Mezcla</t>
        </is>
      </c>
      <c r="J77" t="inlineStr">
        <is>
          <t>Tipo B = mármol y hornfels (el informe no separa su reparto); sin subtipos (mármol blanco/negro, skarn, etc.) indicados</t>
        </is>
      </c>
      <c r="K77" t="inlineStr">
        <is>
          <t>Intrusivo 35 %; Mármol + Hornfels 15 % (Tipo B, reparto no indicado); Hornfels 50 % (proporciones del desmonte, masa seca); la mezcla lleva además 10 % de relave en masa seca</t>
        </is>
      </c>
      <c r="L77" t="inlineStr"/>
      <c r="M77" t="inlineStr">
        <is>
          <t>Mezcla co-disposición: desmonte de clase no indicada + 10 % relave</t>
        </is>
      </c>
      <c r="N77" t="inlineStr">
        <is>
          <t>Compuesto de Tipos A, B y C (tipificación geoquímica por potencial de generación de acidez)</t>
        </is>
      </c>
      <c r="O77" t="inlineStr">
        <is>
          <t>CID (triaxial consolidado isotrópicamente drenado, ASTM D7181)</t>
        </is>
      </c>
      <c r="P77" t="inlineStr">
        <is>
          <t>sí</t>
        </is>
      </c>
      <c r="Q77" t="n">
        <v>152.4</v>
      </c>
      <c r="R77" t="n">
        <v>305.1</v>
      </c>
      <c r="S77" t="n">
        <v>25.4</v>
      </c>
      <c r="T77" t="n">
        <v>0.0526</v>
      </c>
      <c r="U77" t="n">
        <v>0.6079</v>
      </c>
      <c r="V77" t="n">
        <v>6.3687</v>
      </c>
      <c r="W77" t="n">
        <v>10.6137</v>
      </c>
      <c r="X77" t="n">
        <v>201.9</v>
      </c>
      <c r="Y77" t="n">
        <v>0.66</v>
      </c>
      <c r="Z77" t="n">
        <v>53.7</v>
      </c>
      <c r="AA77" t="n">
        <v>33.2</v>
      </c>
      <c r="AB77" t="n">
        <v>13.1</v>
      </c>
      <c r="AC77" t="inlineStr">
        <is>
          <t>Truncado (scalping): desmonte limitado a partículas &lt; 1" (100 % pasa 25.4 mm); Dmax de terreno no indicado</t>
        </is>
      </c>
      <c r="AD77" t="n">
        <v>2.789</v>
      </c>
      <c r="AE77" t="n">
        <v>17.68</v>
      </c>
      <c r="AF77" t="n">
        <v>0.55</v>
      </c>
      <c r="AG77" t="inlineStr">
        <is>
          <t>informe</t>
        </is>
      </c>
      <c r="AH77" t="inlineStr"/>
      <c r="AI77" t="n">
        <v>2.5</v>
      </c>
      <c r="AJ77" t="inlineStr"/>
      <c r="AK77" t="n">
        <v>98</v>
      </c>
      <c r="AL77" t="n">
        <v>645</v>
      </c>
      <c r="AM77" t="n">
        <v>547</v>
      </c>
      <c r="AN77" t="inlineStr">
        <is>
          <t>Máximo esfuerzo desviador (Tabla 8)</t>
        </is>
      </c>
      <c r="AO77" t="inlineStr"/>
      <c r="AP77" t="n">
        <v>20.23</v>
      </c>
      <c r="AQ77" t="n">
        <v>-2.46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21;136;50</t>
        </is>
      </c>
      <c r="BB77" t="inlineStr">
        <is>
          <t>sí</t>
        </is>
      </c>
      <c r="BC77" t="inlineStr">
        <is>
          <t>CID (ASTM D7181) en celda de 6"; remoldeado a ρd≈1.802 g/cm³ y w=2.5 %; saturado por contrapresión (B=1.0; celda 366 kPa; contrapresión 268 kPa); t90=0.0 min; 0.111 %/min; corrección por membrana. Alternativa 2 (relave en pasta (~80 % sólidos)), desmonte:relave 9:1 en masa seca (10 % relave). Tras consolidación (Tabla 8): w=10.1 %, ρd=2.174 g/cm³, e=0.28. Final de corte (Tabla 8): w=9.0 %, ρd=2.229 g/cm³, e=0.25. q_kPa = máximo desviador de la Tabla 8; en la hoja de laboratorio el máximo es 547.3 kPa a εa=20.23 % (σ3'=97.0; σ1'=644.4 kPa); εa y εv salen de esa fila. El máximo coincide con la última lectura (εa≈20.23 %): sin pico, sigue endureciendo al terminar el ensayo. La hoja dice 'Criterio de falla: Esfuerzo Desv. Máximo' pero da σ1'=622 y σ3=98 kPa a εa=16.2 %, que no es el máximo de su tabla; los círculos de Mohr del laboratorio usan esos valores. εv con la convención del informe: negativo = contracción, positivo = dilatación. φsec calculado (c=0) con q de Tabla 8: 47.4°. Envolvente del set: Tabla 7 (p.19) c=53 kPa, φ=40°; hoja de laboratorio (p.140) c=53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77" t="n">
        <v>98</v>
      </c>
      <c r="BE77" t="n">
        <v>98</v>
      </c>
      <c r="BF77" t="n">
        <v>645</v>
      </c>
      <c r="BG77" t="inlineStr"/>
      <c r="BH77" t="inlineStr"/>
      <c r="BI77" t="inlineStr"/>
      <c r="BJ77" t="inlineStr"/>
      <c r="BK77" t="inlineStr"/>
      <c r="BL77" t="n">
        <v>20.23</v>
      </c>
      <c r="BM77" t="n">
        <v>97.04000000000001</v>
      </c>
      <c r="BN77" t="n">
        <v>644.38</v>
      </c>
      <c r="BO77" t="n">
        <v>547.34</v>
      </c>
      <c r="BP77" t="inlineStr"/>
      <c r="BQ77" t="n">
        <v>6.64</v>
      </c>
      <c r="BR77" t="inlineStr">
        <is>
          <t>1</t>
        </is>
      </c>
      <c r="BS77" t="n">
        <v>268</v>
      </c>
      <c r="BT77" t="n">
        <v>0.111</v>
      </c>
      <c r="BU77" t="n">
        <v>21.33</v>
      </c>
      <c r="BV77" t="n">
        <v>0.28</v>
      </c>
      <c r="BW77" t="inlineStr"/>
      <c r="BX77" t="inlineStr"/>
      <c r="BY77" t="inlineStr">
        <is>
          <t>Tabla 8 (p.20-22) y hoja p.136 verificadas en imagen. q_kPa = Tabla 8 (547); máximo de la hoja 547.34 kPa a εa=20.23 % (diferencia +0.3 kPa). Máx. oblicuidad 6.640 a εa=20.23 %. B=1, celda 366 kPa, contrapresión 268 kPa.</t>
        </is>
      </c>
      <c r="BZ77" t="n">
        <v>20.23</v>
      </c>
      <c r="CA77" t="n">
        <v>547.34</v>
      </c>
      <c r="CB77" t="n">
        <v>97.04000000000001</v>
      </c>
      <c r="CC77" t="n">
        <v>644.38</v>
      </c>
      <c r="CD77" t="n">
        <v>20.23</v>
      </c>
      <c r="CE77" t="n">
        <v>547.34</v>
      </c>
      <c r="CF77" t="inlineStr">
        <is>
          <t>no (máximo en la última lectura o caída &lt; 2 %)</t>
        </is>
      </c>
      <c r="CG77" t="n">
        <v>366</v>
      </c>
      <c r="CH77" t="inlineStr">
        <is>
          <t>«G. Específica (Promedio)» impresa en la hoja triaxial p.136; no coincide con la Tabla 5 (finos D854 ni gruesos C127); el informe no explica cómo se obtuvo</t>
        </is>
      </c>
      <c r="CI77" t="n">
        <v>0.548</v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Triaxial CD</t>
        </is>
      </c>
      <c r="EY77" t="inlineStr">
        <is>
          <t>CD: máximo desviador</t>
        </is>
      </c>
      <c r="EZ77" t="n">
        <v>98</v>
      </c>
      <c r="FA77" t="n">
        <v>645</v>
      </c>
      <c r="FB77" t="n">
        <v>547</v>
      </c>
      <c r="FC77" t="n">
        <v>47.40909944189359</v>
      </c>
      <c r="FD77" t="n">
        <v>170.1480484522207</v>
      </c>
      <c r="FE77" t="n">
        <v>185.0936022878715</v>
      </c>
      <c r="FF77" t="inlineStr">
        <is>
          <t>6 in (≈150 mm)</t>
        </is>
      </c>
      <c r="FG77" t="n">
        <v>6.000000000000001</v>
      </c>
      <c r="FH77" t="inlineStr">
        <is>
          <t>Mezcla co-disposición (desmonte ROM + relave)</t>
        </is>
      </c>
      <c r="FI77" t="inlineStr">
        <is>
          <t>criterio experto: compuesto de desmonte por tipos geoquímicos A/B/C para co-disposición en botadero</t>
        </is>
      </c>
      <c r="FJ77" t="n">
        <v>10</v>
      </c>
      <c r="FK77" t="inlineStr"/>
      <c r="FL77" t="inlineStr"/>
      <c r="FM77" t="inlineStr">
        <is>
          <t>A</t>
        </is>
      </c>
      <c r="FN77" t="n">
        <v>0.55</v>
      </c>
      <c r="FO77" t="inlineStr"/>
      <c r="FP77" t="n">
        <v>2.789</v>
      </c>
      <c r="FQ77" t="inlineStr">
        <is>
          <t>informe o verificación</t>
        </is>
      </c>
      <c r="FR77" t="inlineStr">
        <is>
          <t>G2021-075</t>
        </is>
      </c>
      <c r="FS77" t="inlineStr">
        <is>
          <t>G2021|G21-ALT2-9:1</t>
        </is>
      </c>
    </row>
    <row r="78">
      <c r="A78" t="inlineStr">
        <is>
          <t>G2021</t>
        </is>
      </c>
      <c r="B78" t="inlineStr">
        <is>
          <t>2021_Golder_Ensayos de Laboratorio Commingling.pdf</t>
        </is>
      </c>
      <c r="C78" t="n">
        <v>2021</v>
      </c>
      <c r="D78" t="inlineStr">
        <is>
          <t>Golder Associates Perú (miembro de WSP), informe 101-20110-LTE01220-INF-420-G-0013 Rev. 0 (28/04/2021)</t>
        </is>
      </c>
      <c r="E78" t="inlineStr">
        <is>
          <t>Laboratorio de Mecánica de Suelos de Golder Associates Perú, Lima</t>
        </is>
      </c>
      <c r="F78" t="inlineStr">
        <is>
          <t>G21-ALT2-9:1</t>
        </is>
      </c>
      <c r="G78" t="inlineStr">
        <is>
          <t>II0523-E2</t>
        </is>
      </c>
      <c r="H78" t="inlineStr">
        <is>
          <t>Desmonte Tipo A (intrusivo), Tipo B (mármol y hornfels), Tipo C (hornfels); compuesto 0.35 A : 0.15 B : 0.50 C (masa seca); relave compuesto 0.33 M1 : 0.33 M2A : 0.33 M4B</t>
        </is>
      </c>
      <c r="I78" t="inlineStr">
        <is>
          <t>Mezcla</t>
        </is>
      </c>
      <c r="J78" t="inlineStr">
        <is>
          <t>Tipo B = mármol y hornfels (el informe no separa su reparto); sin subtipos (mármol blanco/negro, skarn, etc.) indicados</t>
        </is>
      </c>
      <c r="K78" t="inlineStr">
        <is>
          <t>Intrusivo 35 %; Mármol + Hornfels 15 % (Tipo B, reparto no indicado); Hornfels 50 % (proporciones del desmonte, masa seca); la mezcla lleva además 10 % de relave en masa seca</t>
        </is>
      </c>
      <c r="L78" t="inlineStr"/>
      <c r="M78" t="inlineStr">
        <is>
          <t>Mezcla co-disposición: desmonte de clase no indicada + 10 % relave</t>
        </is>
      </c>
      <c r="N78" t="inlineStr">
        <is>
          <t>Compuesto de Tipos A, B y C (tipificación geoquímica por potencial de generación de acidez)</t>
        </is>
      </c>
      <c r="O78" t="inlineStr">
        <is>
          <t>CID (triaxial consolidado isotrópicamente drenado, ASTM D7181)</t>
        </is>
      </c>
      <c r="P78" t="inlineStr">
        <is>
          <t>sí</t>
        </is>
      </c>
      <c r="Q78" t="n">
        <v>152.4</v>
      </c>
      <c r="R78" t="n">
        <v>305.1</v>
      </c>
      <c r="S78" t="n">
        <v>25.4</v>
      </c>
      <c r="T78" t="n">
        <v>0.0526</v>
      </c>
      <c r="U78" t="n">
        <v>0.6079</v>
      </c>
      <c r="V78" t="n">
        <v>6.3687</v>
      </c>
      <c r="W78" t="n">
        <v>10.6137</v>
      </c>
      <c r="X78" t="n">
        <v>201.9</v>
      </c>
      <c r="Y78" t="n">
        <v>0.66</v>
      </c>
      <c r="Z78" t="n">
        <v>53.7</v>
      </c>
      <c r="AA78" t="n">
        <v>33.2</v>
      </c>
      <c r="AB78" t="n">
        <v>13.1</v>
      </c>
      <c r="AC78" t="inlineStr">
        <is>
          <t>Truncado (scalping): desmonte limitado a partículas &lt; 1" (100 % pasa 25.4 mm); Dmax de terreno no indicado</t>
        </is>
      </c>
      <c r="AD78" t="n">
        <v>2.789</v>
      </c>
      <c r="AE78" t="n">
        <v>17.68</v>
      </c>
      <c r="AF78" t="n">
        <v>0.55</v>
      </c>
      <c r="AG78" t="inlineStr">
        <is>
          <t>informe</t>
        </is>
      </c>
      <c r="AH78" t="inlineStr"/>
      <c r="AI78" t="n">
        <v>2.5</v>
      </c>
      <c r="AJ78" t="inlineStr"/>
      <c r="AK78" t="n">
        <v>402</v>
      </c>
      <c r="AL78" t="n">
        <v>2116</v>
      </c>
      <c r="AM78" t="n">
        <v>1714</v>
      </c>
      <c r="AN78" t="inlineStr">
        <is>
          <t>Máximo esfuerzo desviador (Tabla 8)</t>
        </is>
      </c>
      <c r="AO78" t="inlineStr"/>
      <c r="AP78" t="n">
        <v>20.1</v>
      </c>
      <c r="AQ78" t="n">
        <v>-3.76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21;137;50</t>
        </is>
      </c>
      <c r="BB78" t="inlineStr">
        <is>
          <t>sí</t>
        </is>
      </c>
      <c r="BC78" t="inlineStr">
        <is>
          <t>CID (ASTM D7181) en celda de 6"; remoldeado a ρd≈1.802 g/cm³ y w=2.5 %; saturado por contrapresión (B=0.98; celda 668 kPa; contrapresión 266 kPa); t90=0.0 min; 0.111 %/min; corrección por membrana. Alternativa 2 (relave en pasta (~80 % sólidos)), desmonte:relave 9:1 en masa seca (10 % relave). Tras consolidación (Tabla 8): w=9.1 %, ρd=2.222 g/cm³, e=0.26. Final de corte (Tabla 8): w=7.4 %, ρd=2.309 g/cm³, e=0.21. q_kPa = máximo desviador de la Tabla 8; en la hoja de laboratorio el máximo es 1714.3 kPa a εa=20.1 % (σ3'=400.8; σ1'=2115.1 kPa); εa y εv salen de esa fila. El máximo coincide con la última lectura (εa≈20.1 %): sin pico, sigue endureciendo al terminar el ensayo. La hoja dice 'Criterio de falla: Esfuerzo Desv. Máximo' pero da σ1'=2102 y σ3=402 kPa a εa=16.1 %, que no es el máximo de su tabla; los círculos de Mohr del laboratorio usan esos valores. εv con la convención del informe: negativo = contracción, positivo = dilatación. φsec calculado (c=0) con q de Tabla 8: 42.9°. Envolvente del set: Tabla 7 (p.19) c=53 kPa, φ=40°; hoja de laboratorio (p.140) c=53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78" t="n">
        <v>402</v>
      </c>
      <c r="BE78" t="n">
        <v>402</v>
      </c>
      <c r="BF78" t="n">
        <v>2116</v>
      </c>
      <c r="BG78" t="inlineStr"/>
      <c r="BH78" t="inlineStr"/>
      <c r="BI78" t="inlineStr"/>
      <c r="BJ78" t="inlineStr"/>
      <c r="BK78" t="inlineStr"/>
      <c r="BL78" t="n">
        <v>20.1</v>
      </c>
      <c r="BM78" t="n">
        <v>400.77</v>
      </c>
      <c r="BN78" t="n">
        <v>2115.11</v>
      </c>
      <c r="BO78" t="n">
        <v>1714.34</v>
      </c>
      <c r="BP78" t="inlineStr"/>
      <c r="BQ78" t="n">
        <v>5.278</v>
      </c>
      <c r="BR78" t="inlineStr">
        <is>
          <t>0.98</t>
        </is>
      </c>
      <c r="BS78" t="n">
        <v>266</v>
      </c>
      <c r="BT78" t="n">
        <v>0.111</v>
      </c>
      <c r="BU78" t="n">
        <v>21.8</v>
      </c>
      <c r="BV78" t="n">
        <v>0.26</v>
      </c>
      <c r="BW78" t="inlineStr"/>
      <c r="BX78" t="inlineStr"/>
      <c r="BY78" t="inlineStr">
        <is>
          <t>Tabla 8 (p.20-22) y hoja p.137 verificadas en imagen. q_kPa = Tabla 8 (1714); máximo de la hoja 1714.34 kPa a εa=20.1 % (diferencia +0.3 kPa). Máx. oblicuidad 5.278 a εa=20.1 %. B=0.98, celda 668 kPa, contrapresión 266 kPa.</t>
        </is>
      </c>
      <c r="BZ78" t="n">
        <v>20.1</v>
      </c>
      <c r="CA78" t="n">
        <v>1714.34</v>
      </c>
      <c r="CB78" t="n">
        <v>400.77</v>
      </c>
      <c r="CC78" t="n">
        <v>2115.11</v>
      </c>
      <c r="CD78" t="n">
        <v>20.1</v>
      </c>
      <c r="CE78" t="n">
        <v>1714.34</v>
      </c>
      <c r="CF78" t="inlineStr">
        <is>
          <t>no (máximo en la última lectura o caída &lt; 2 %)</t>
        </is>
      </c>
      <c r="CG78" t="n">
        <v>668</v>
      </c>
      <c r="CH78" t="inlineStr">
        <is>
          <t>«G. Específica (Promedio)» impresa en la hoja triaxial p.137; no coincide con la Tabla 5 (finos D854 ni gruesos C127); el informe no explica cómo se obtuvo</t>
        </is>
      </c>
      <c r="CI78" t="n">
        <v>0.548</v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>
        <is>
          <t>Triaxial CD</t>
        </is>
      </c>
      <c r="EY78" t="inlineStr">
        <is>
          <t>CD: máximo desviador</t>
        </is>
      </c>
      <c r="EZ78" t="n">
        <v>402</v>
      </c>
      <c r="FA78" t="n">
        <v>2116</v>
      </c>
      <c r="FB78" t="n">
        <v>1714</v>
      </c>
      <c r="FC78" t="n">
        <v>42.89828699795394</v>
      </c>
      <c r="FD78" t="n">
        <v>675.6409849086576</v>
      </c>
      <c r="FE78" t="n">
        <v>627.8067055325699</v>
      </c>
      <c r="FF78" t="inlineStr">
        <is>
          <t>6 in (≈150 mm)</t>
        </is>
      </c>
      <c r="FG78" t="n">
        <v>6.000000000000001</v>
      </c>
      <c r="FH78" t="inlineStr">
        <is>
          <t>Mezcla co-disposición (desmonte ROM + relave)</t>
        </is>
      </c>
      <c r="FI78" t="inlineStr">
        <is>
          <t>criterio experto: compuesto de desmonte por tipos geoquímicos A/B/C para co-disposición en botadero</t>
        </is>
      </c>
      <c r="FJ78" t="n">
        <v>10</v>
      </c>
      <c r="FK78" t="inlineStr"/>
      <c r="FL78" t="inlineStr"/>
      <c r="FM78" t="inlineStr">
        <is>
          <t>A</t>
        </is>
      </c>
      <c r="FN78" t="n">
        <v>0.55</v>
      </c>
      <c r="FO78" t="inlineStr"/>
      <c r="FP78" t="n">
        <v>2.789</v>
      </c>
      <c r="FQ78" t="inlineStr">
        <is>
          <t>informe o verificación</t>
        </is>
      </c>
      <c r="FR78" t="inlineStr">
        <is>
          <t>G2021-076</t>
        </is>
      </c>
      <c r="FS78" t="inlineStr">
        <is>
          <t>G2021|G21-ALT2-9:1</t>
        </is>
      </c>
    </row>
    <row r="79">
      <c r="A79" t="inlineStr">
        <is>
          <t>G2021</t>
        </is>
      </c>
      <c r="B79" t="inlineStr">
        <is>
          <t>2021_Golder_Ensayos de Laboratorio Commingling.pdf</t>
        </is>
      </c>
      <c r="C79" t="n">
        <v>2021</v>
      </c>
      <c r="D79" t="inlineStr">
        <is>
          <t>Golder Associates Perú (miembro de WSP), informe 101-20110-LTE01220-INF-420-G-0013 Rev. 0 (28/04/2021)</t>
        </is>
      </c>
      <c r="E79" t="inlineStr">
        <is>
          <t>Laboratorio de Mecánica de Suelos de Golder Associates Perú, Lima</t>
        </is>
      </c>
      <c r="F79" t="inlineStr">
        <is>
          <t>G21-ALT2-9:1</t>
        </is>
      </c>
      <c r="G79" t="inlineStr">
        <is>
          <t>II0523-E3</t>
        </is>
      </c>
      <c r="H79" t="inlineStr">
        <is>
          <t>Desmonte Tipo A (intrusivo), Tipo B (mármol y hornfels), Tipo C (hornfels); compuesto 0.35 A : 0.15 B : 0.50 C (masa seca); relave compuesto 0.33 M1 : 0.33 M2A : 0.33 M4B</t>
        </is>
      </c>
      <c r="I79" t="inlineStr">
        <is>
          <t>Mezcla</t>
        </is>
      </c>
      <c r="J79" t="inlineStr">
        <is>
          <t>Tipo B = mármol y hornfels (el informe no separa su reparto); sin subtipos (mármol blanco/negro, skarn, etc.) indicados</t>
        </is>
      </c>
      <c r="K79" t="inlineStr">
        <is>
          <t>Intrusivo 35 %; Mármol + Hornfels 15 % (Tipo B, reparto no indicado); Hornfels 50 % (proporciones del desmonte, masa seca); la mezcla lleva además 10 % de relave en masa seca</t>
        </is>
      </c>
      <c r="L79" t="inlineStr"/>
      <c r="M79" t="inlineStr">
        <is>
          <t>Mezcla co-disposición: desmonte de clase no indicada + 10 % relave</t>
        </is>
      </c>
      <c r="N79" t="inlineStr">
        <is>
          <t>Compuesto de Tipos A, B y C (tipificación geoquímica por potencial de generación de acidez)</t>
        </is>
      </c>
      <c r="O79" t="inlineStr">
        <is>
          <t>CID (triaxial consolidado isotrópicamente drenado, ASTM D7181)</t>
        </is>
      </c>
      <c r="P79" t="inlineStr">
        <is>
          <t>sí</t>
        </is>
      </c>
      <c r="Q79" t="n">
        <v>152.4</v>
      </c>
      <c r="R79" t="n">
        <v>305.1</v>
      </c>
      <c r="S79" t="n">
        <v>25.4</v>
      </c>
      <c r="T79" t="n">
        <v>0.0526</v>
      </c>
      <c r="U79" t="n">
        <v>0.6079</v>
      </c>
      <c r="V79" t="n">
        <v>6.3687</v>
      </c>
      <c r="W79" t="n">
        <v>10.6137</v>
      </c>
      <c r="X79" t="n">
        <v>201.9</v>
      </c>
      <c r="Y79" t="n">
        <v>0.66</v>
      </c>
      <c r="Z79" t="n">
        <v>53.7</v>
      </c>
      <c r="AA79" t="n">
        <v>33.2</v>
      </c>
      <c r="AB79" t="n">
        <v>13.1</v>
      </c>
      <c r="AC79" t="inlineStr">
        <is>
          <t>Truncado (scalping): desmonte limitado a partículas &lt; 1" (100 % pasa 25.4 mm); Dmax de terreno no indicado</t>
        </is>
      </c>
      <c r="AD79" t="n">
        <v>2.789</v>
      </c>
      <c r="AE79" t="n">
        <v>17.68</v>
      </c>
      <c r="AF79" t="n">
        <v>0.55</v>
      </c>
      <c r="AG79" t="inlineStr">
        <is>
          <t>informe</t>
        </is>
      </c>
      <c r="AH79" t="inlineStr"/>
      <c r="AI79" t="n">
        <v>2.5</v>
      </c>
      <c r="AJ79" t="inlineStr"/>
      <c r="AK79" t="n">
        <v>1203</v>
      </c>
      <c r="AL79" t="n">
        <v>5732</v>
      </c>
      <c r="AM79" t="n">
        <v>4529</v>
      </c>
      <c r="AN79" t="inlineStr">
        <is>
          <t>Máximo esfuerzo desviador (Tabla 8)</t>
        </is>
      </c>
      <c r="AO79" t="inlineStr"/>
      <c r="AP79" t="n">
        <v>12.07</v>
      </c>
      <c r="AQ79" t="n">
        <v>-4.44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21;138;50</t>
        </is>
      </c>
      <c r="BB79" t="inlineStr">
        <is>
          <t>sí</t>
        </is>
      </c>
      <c r="BC79" t="inlineStr">
        <is>
          <t>CID (ASTM D7181) en celda de 6"; remoldeado a ρd≈1.802 g/cm³ y w=2.5 %; saturado por contrapresión (B=0.99; celda 1471 kPa; contrapresión 268 kPa); t90=0.0 min; 0.111 %/min; corrección por membrana. Alternativa 2 (relave en pasta (~80 % sólidos)), desmonte:relave 9:1 en masa seca (10 % relave). Tras consolidación (Tabla 8): w=8.5 %, ρd=2.254 g/cm³, e=0.24. Final de corte (Tabla 8): w=6.4 %, ρd=2.365 g/cm³, e=0.18. q_kPa = máximo desviador de la Tabla 8; en la hoja de laboratorio el máximo es 4528.9 kPa a εa=12.07 % (σ3'=1202.3; σ1'=5731.2 kPa); εa y εv salen de esa fila. La hoja dice 'Criterio de falla: Esfuerzo Desv. Máximo' pero da σ1'=5670 y σ3=1203 kPa a εa=16.1 %, que no es el máximo de su tabla; los círculos de Mohr del laboratorio usan esos valores. εv con la convención del informe: negativo = contracción, positivo = dilatación. φsec calculado (c=0) con q de Tabla 8: 40.8°. Envolvente del set: Tabla 7 (p.19) c=53 kPa, φ=40°; hoja de laboratorio (p.140) c=53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79" t="n">
        <v>1203</v>
      </c>
      <c r="BE79" t="n">
        <v>1203</v>
      </c>
      <c r="BF79" t="n">
        <v>5732</v>
      </c>
      <c r="BG79" t="inlineStr"/>
      <c r="BH79" t="inlineStr"/>
      <c r="BI79" t="inlineStr"/>
      <c r="BJ79" t="inlineStr"/>
      <c r="BK79" t="inlineStr"/>
      <c r="BL79" t="n">
        <v>12.07</v>
      </c>
      <c r="BM79" t="n">
        <v>1202.3</v>
      </c>
      <c r="BN79" t="n">
        <v>5731.24</v>
      </c>
      <c r="BO79" t="n">
        <v>4528.94</v>
      </c>
      <c r="BP79" t="inlineStr"/>
      <c r="BQ79" t="n">
        <v>4.767</v>
      </c>
      <c r="BR79" t="inlineStr">
        <is>
          <t>0.99</t>
        </is>
      </c>
      <c r="BS79" t="n">
        <v>268</v>
      </c>
      <c r="BT79" t="n">
        <v>0.111</v>
      </c>
      <c r="BU79" t="n">
        <v>22.11</v>
      </c>
      <c r="BV79" t="n">
        <v>0.24</v>
      </c>
      <c r="BW79" t="inlineStr"/>
      <c r="BX79" t="inlineStr"/>
      <c r="BY79" t="inlineStr">
        <is>
          <t>Tabla 8 (p.20-22) y hoja p.138 verificadas en imagen. q_kPa = Tabla 8 (4529); máximo de la hoja 4528.94 kPa a εa=12.07 % (diferencia -0.1 kPa). Máx. oblicuidad 4.767 a εa=12.07 %. B=0.99, celda 1471 kPa, contrapresión 268 kPa.</t>
        </is>
      </c>
      <c r="BZ79" t="n">
        <v>12.07</v>
      </c>
      <c r="CA79" t="n">
        <v>4528.94</v>
      </c>
      <c r="CB79" t="n">
        <v>1202.3</v>
      </c>
      <c r="CC79" t="n">
        <v>5731.24</v>
      </c>
      <c r="CD79" t="n">
        <v>20.11</v>
      </c>
      <c r="CE79" t="n">
        <v>4377.85</v>
      </c>
      <c r="CF79" t="inlineStr">
        <is>
          <t>sí (q final 3.3 % menor que el máximo)</t>
        </is>
      </c>
      <c r="CG79" t="n">
        <v>1471</v>
      </c>
      <c r="CH79" t="inlineStr">
        <is>
          <t>«G. Específica (Promedio)» impresa en la hoja triaxial p.138; no coincide con la Tabla 5 (finos D854 ni gruesos C127); el informe no explica cómo se obtuvo</t>
        </is>
      </c>
      <c r="CI79" t="n">
        <v>0.548</v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>
        <is>
          <t>Triaxial CD</t>
        </is>
      </c>
      <c r="EY79" t="inlineStr">
        <is>
          <t>CD: máximo desviador</t>
        </is>
      </c>
      <c r="EZ79" t="n">
        <v>1203</v>
      </c>
      <c r="FA79" t="n">
        <v>5732</v>
      </c>
      <c r="FB79" t="n">
        <v>4529</v>
      </c>
      <c r="FC79" t="n">
        <v>40.77302733749362</v>
      </c>
      <c r="FD79" t="n">
        <v>1988.636193222783</v>
      </c>
      <c r="FE79" t="n">
        <v>1714.911686065612</v>
      </c>
      <c r="FF79" t="inlineStr">
        <is>
          <t>6 in (≈150 mm)</t>
        </is>
      </c>
      <c r="FG79" t="n">
        <v>6.000000000000001</v>
      </c>
      <c r="FH79" t="inlineStr">
        <is>
          <t>Mezcla co-disposición (desmonte ROM + relave)</t>
        </is>
      </c>
      <c r="FI79" t="inlineStr">
        <is>
          <t>criterio experto: compuesto de desmonte por tipos geoquímicos A/B/C para co-disposición en botadero</t>
        </is>
      </c>
      <c r="FJ79" t="n">
        <v>10</v>
      </c>
      <c r="FK79" t="inlineStr"/>
      <c r="FL79" t="inlineStr"/>
      <c r="FM79" t="inlineStr">
        <is>
          <t>A</t>
        </is>
      </c>
      <c r="FN79" t="n">
        <v>0.55</v>
      </c>
      <c r="FO79" t="inlineStr"/>
      <c r="FP79" t="n">
        <v>2.789</v>
      </c>
      <c r="FQ79" t="inlineStr">
        <is>
          <t>informe o verificación</t>
        </is>
      </c>
      <c r="FR79" t="inlineStr">
        <is>
          <t>G2021-077</t>
        </is>
      </c>
      <c r="FS79" t="inlineStr">
        <is>
          <t>G2021|G21-ALT2-9:1</t>
        </is>
      </c>
    </row>
    <row r="80">
      <c r="A80" t="inlineStr">
        <is>
          <t>G2021</t>
        </is>
      </c>
      <c r="B80" t="inlineStr">
        <is>
          <t>2021_Golder_Ensayos de Laboratorio Commingling.pdf</t>
        </is>
      </c>
      <c r="C80" t="n">
        <v>2021</v>
      </c>
      <c r="D80" t="inlineStr">
        <is>
          <t>Golder Associates Perú (miembro de WSP), informe 101-20110-LTE01220-INF-420-G-0013 Rev. 0 (28/04/2021)</t>
        </is>
      </c>
      <c r="E80" t="inlineStr">
        <is>
          <t>Laboratorio de Mecánica de Suelos de Golder Associates Perú, Lima</t>
        </is>
      </c>
      <c r="F80" t="inlineStr">
        <is>
          <t>G21-ALT2-4:1</t>
        </is>
      </c>
      <c r="G80" t="inlineStr">
        <is>
          <t>II0524-E1</t>
        </is>
      </c>
      <c r="H80" t="inlineStr">
        <is>
          <t>Desmonte Tipo A (intrusivo), Tipo B (mármol y hornfels), Tipo C (hornfels); compuesto 0.35 A : 0.15 B : 0.50 C (masa seca); relave compuesto 0.33 M1 : 0.33 M2A : 0.33 M4B</t>
        </is>
      </c>
      <c r="I80" t="inlineStr">
        <is>
          <t>Mezcla</t>
        </is>
      </c>
      <c r="J80" t="inlineStr">
        <is>
          <t>Tipo B = mármol y hornfels (el informe no separa su reparto); sin subtipos (mármol blanco/negro, skarn, etc.) indicados</t>
        </is>
      </c>
      <c r="K80" t="inlineStr">
        <is>
          <t>Intrusivo 35 %; Mármol + Hornfels 15 % (Tipo B, reparto no indicado); Hornfels 50 % (proporciones del desmonte, masa seca); la mezcla lleva además 20 % de relave en masa seca</t>
        </is>
      </c>
      <c r="L80" t="inlineStr"/>
      <c r="M80" t="inlineStr">
        <is>
          <t>Mezcla co-disposición: desmonte de clase no indicada + 20 % relave</t>
        </is>
      </c>
      <c r="N80" t="inlineStr">
        <is>
          <t>Compuesto de Tipos A, B y C (tipificación geoquímica por potencial de generación de acidez)</t>
        </is>
      </c>
      <c r="O80" t="inlineStr">
        <is>
          <t>CID (triaxial consolidado isotrópicamente drenado, ASTM D7181)</t>
        </is>
      </c>
      <c r="P80" t="inlineStr">
        <is>
          <t>sí</t>
        </is>
      </c>
      <c r="Q80" t="n">
        <v>152.4</v>
      </c>
      <c r="R80" t="n">
        <v>305.1</v>
      </c>
      <c r="S80" t="n">
        <v>25.4</v>
      </c>
      <c r="T80" t="n">
        <v>0.0394</v>
      </c>
      <c r="U80" t="n">
        <v>0.2431</v>
      </c>
      <c r="V80" t="n">
        <v>3.9094</v>
      </c>
      <c r="W80" t="n">
        <v>7.5292</v>
      </c>
      <c r="X80" t="n">
        <v>191.11</v>
      </c>
      <c r="Y80" t="n">
        <v>0.2</v>
      </c>
      <c r="Z80" t="n">
        <v>47.7</v>
      </c>
      <c r="AA80" t="n">
        <v>35.5</v>
      </c>
      <c r="AB80" t="n">
        <v>16.8</v>
      </c>
      <c r="AC80" t="inlineStr">
        <is>
          <t>Truncado (scalping): desmonte limitado a partículas &lt; 1" (100 % pasa 25.4 mm); Dmax de terreno no indicado</t>
        </is>
      </c>
      <c r="AD80" t="n">
        <v>2.851</v>
      </c>
      <c r="AE80" t="n">
        <v>17.68</v>
      </c>
      <c r="AF80" t="n">
        <v>0.58</v>
      </c>
      <c r="AG80" t="inlineStr">
        <is>
          <t>informe</t>
        </is>
      </c>
      <c r="AH80" t="inlineStr"/>
      <c r="AI80" t="n">
        <v>5</v>
      </c>
      <c r="AJ80" t="inlineStr"/>
      <c r="AK80" t="n">
        <v>98</v>
      </c>
      <c r="AL80" t="n">
        <v>591</v>
      </c>
      <c r="AM80" t="n">
        <v>493</v>
      </c>
      <c r="AN80" t="inlineStr">
        <is>
          <t>Máximo esfuerzo desviador (Tabla 8)</t>
        </is>
      </c>
      <c r="AO80" t="inlineStr"/>
      <c r="AP80" t="n">
        <v>20.06</v>
      </c>
      <c r="AQ80" t="n">
        <v>-2.82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21;143;51</t>
        </is>
      </c>
      <c r="BB80" t="inlineStr">
        <is>
          <t>sí</t>
        </is>
      </c>
      <c r="BC80" t="inlineStr">
        <is>
          <t>CID (ASTM D7181) en celda de 6"; remoldeado a ρd≈1.802 g/cm³ y w=5.0 %; saturado por contrapresión (B=0.98; celda 365 kPa; contrapresión 267 kPa); t90=0.0 min; 0.111 %/min; corrección por membrana. Alternativa 2 (relave en pasta (~80 % sólidos)), desmonte:relave 4:1 en masa seca (20 % relave). Tras consolidación (Tabla 8): w=10.0 %, ρd=2.209 g/cm³, e=0.29. Final de corte (Tabla 8): w=8.7 %, ρd=2.273 g/cm³, e=0.25. q_kPa = máximo desviador de la Tabla 8; en la hoja de laboratorio el máximo es 492.7 kPa a εa=20.06 % (σ3'=98.0; σ1'=590.6 kPa); εa y εv salen de esa fila. El máximo coincide con la última lectura (εa≈20.06 %): sin pico, sigue endureciendo al terminar el ensayo. La hoja dice 'Criterio de falla: Esfuerzo Desv. Máximo' pero da σ1'=582 y σ3=98 kPa a εa=16.0 %, que no es el máximo de su tabla; los círculos de Mohr del laboratorio usan esos valores. εv con la convención del informe: negativo = contracción, positivo = dilatación. φsec calculado (c=0) con q de Tabla 8: 45.7°. Envolvente del set: Tabla 7 (p.19) c=41 kPa, φ=40°; hoja de laboratorio (p.147) c=41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80" t="n">
        <v>98</v>
      </c>
      <c r="BE80" t="n">
        <v>98</v>
      </c>
      <c r="BF80" t="n">
        <v>591</v>
      </c>
      <c r="BG80" t="inlineStr"/>
      <c r="BH80" t="inlineStr"/>
      <c r="BI80" t="inlineStr"/>
      <c r="BJ80" t="inlineStr"/>
      <c r="BK80" t="inlineStr"/>
      <c r="BL80" t="n">
        <v>20.06</v>
      </c>
      <c r="BM80" t="n">
        <v>97.97</v>
      </c>
      <c r="BN80" t="n">
        <v>590.64</v>
      </c>
      <c r="BO80" t="n">
        <v>492.67</v>
      </c>
      <c r="BP80" t="inlineStr"/>
      <c r="BQ80" t="n">
        <v>6.029</v>
      </c>
      <c r="BR80" t="inlineStr">
        <is>
          <t>0.98</t>
        </is>
      </c>
      <c r="BS80" t="n">
        <v>267</v>
      </c>
      <c r="BT80" t="n">
        <v>0.111</v>
      </c>
      <c r="BU80" t="n">
        <v>21.67</v>
      </c>
      <c r="BV80" t="n">
        <v>0.29</v>
      </c>
      <c r="BW80" t="inlineStr"/>
      <c r="BX80" t="inlineStr"/>
      <c r="BY80" t="inlineStr">
        <is>
          <t>Tabla 8 (p.20-22) y hoja p.143 verificadas en imagen. q_kPa = Tabla 8 (493); máximo de la hoja 492.67 kPa a εa=20.06 % (diferencia -0.3 kPa). Máx. oblicuidad 6.029 a εa=20.06 %. B=0.98, celda 365 kPa, contrapresión 267 kPa.</t>
        </is>
      </c>
      <c r="BZ80" t="n">
        <v>20.06</v>
      </c>
      <c r="CA80" t="n">
        <v>492.67</v>
      </c>
      <c r="CB80" t="n">
        <v>97.97</v>
      </c>
      <c r="CC80" t="n">
        <v>590.64</v>
      </c>
      <c r="CD80" t="n">
        <v>20.06</v>
      </c>
      <c r="CE80" t="n">
        <v>492.67</v>
      </c>
      <c r="CF80" t="inlineStr">
        <is>
          <t>no (máximo en la última lectura o caída &lt; 2 %)</t>
        </is>
      </c>
      <c r="CG80" t="n">
        <v>365</v>
      </c>
      <c r="CH80" t="inlineStr">
        <is>
          <t>«G. Específica (Promedio)» impresa en la hoja triaxial p.143; no coincide con la Tabla 5 (finos D854 ni gruesos C127); el informe no explica cómo se obtuvo</t>
        </is>
      </c>
      <c r="CI80" t="n">
        <v>0.582</v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>
        <is>
          <t>Triaxial CD</t>
        </is>
      </c>
      <c r="EY80" t="inlineStr">
        <is>
          <t>CD: máximo desviador</t>
        </is>
      </c>
      <c r="EZ80" t="n">
        <v>98</v>
      </c>
      <c r="FA80" t="n">
        <v>591</v>
      </c>
      <c r="FB80" t="n">
        <v>493</v>
      </c>
      <c r="FC80" t="n">
        <v>45.6866311988235</v>
      </c>
      <c r="FD80" t="n">
        <v>168.121915820029</v>
      </c>
      <c r="FE80" t="n">
        <v>172.2005267733031</v>
      </c>
      <c r="FF80" t="inlineStr">
        <is>
          <t>6 in (≈150 mm)</t>
        </is>
      </c>
      <c r="FG80" t="n">
        <v>6.000000000000001</v>
      </c>
      <c r="FH80" t="inlineStr">
        <is>
          <t>Mezcla co-disposición (desmonte ROM + relave)</t>
        </is>
      </c>
      <c r="FI80" t="inlineStr">
        <is>
          <t>criterio experto: compuesto de desmonte por tipos geoquímicos A/B/C para co-disposición en botadero</t>
        </is>
      </c>
      <c r="FJ80" t="n">
        <v>20</v>
      </c>
      <c r="FK80" t="inlineStr"/>
      <c r="FL80" t="inlineStr"/>
      <c r="FM80" t="inlineStr">
        <is>
          <t>A</t>
        </is>
      </c>
      <c r="FN80" t="n">
        <v>0.58</v>
      </c>
      <c r="FO80" t="inlineStr"/>
      <c r="FP80" t="n">
        <v>2.851</v>
      </c>
      <c r="FQ80" t="inlineStr">
        <is>
          <t>informe o verificación</t>
        </is>
      </c>
      <c r="FR80" t="inlineStr">
        <is>
          <t>G2021-078</t>
        </is>
      </c>
      <c r="FS80" t="inlineStr">
        <is>
          <t>G2021|G21-ALT2-4:1</t>
        </is>
      </c>
    </row>
    <row r="81">
      <c r="A81" t="inlineStr">
        <is>
          <t>G2021</t>
        </is>
      </c>
      <c r="B81" t="inlineStr">
        <is>
          <t>2021_Golder_Ensayos de Laboratorio Commingling.pdf</t>
        </is>
      </c>
      <c r="C81" t="n">
        <v>2021</v>
      </c>
      <c r="D81" t="inlineStr">
        <is>
          <t>Golder Associates Perú (miembro de WSP), informe 101-20110-LTE01220-INF-420-G-0013 Rev. 0 (28/04/2021)</t>
        </is>
      </c>
      <c r="E81" t="inlineStr">
        <is>
          <t>Laboratorio de Mecánica de Suelos de Golder Associates Perú, Lima</t>
        </is>
      </c>
      <c r="F81" t="inlineStr">
        <is>
          <t>G21-ALT2-4:1</t>
        </is>
      </c>
      <c r="G81" t="inlineStr">
        <is>
          <t>II0524-E2</t>
        </is>
      </c>
      <c r="H81" t="inlineStr">
        <is>
          <t>Desmonte Tipo A (intrusivo), Tipo B (mármol y hornfels), Tipo C (hornfels); compuesto 0.35 A : 0.15 B : 0.50 C (masa seca); relave compuesto 0.33 M1 : 0.33 M2A : 0.33 M4B</t>
        </is>
      </c>
      <c r="I81" t="inlineStr">
        <is>
          <t>Mezcla</t>
        </is>
      </c>
      <c r="J81" t="inlineStr">
        <is>
          <t>Tipo B = mármol y hornfels (el informe no separa su reparto); sin subtipos (mármol blanco/negro, skarn, etc.) indicados</t>
        </is>
      </c>
      <c r="K81" t="inlineStr">
        <is>
          <t>Intrusivo 35 %; Mármol + Hornfels 15 % (Tipo B, reparto no indicado); Hornfels 50 % (proporciones del desmonte, masa seca); la mezcla lleva además 20 % de relave en masa seca</t>
        </is>
      </c>
      <c r="L81" t="inlineStr"/>
      <c r="M81" t="inlineStr">
        <is>
          <t>Mezcla co-disposición: desmonte de clase no indicada + 20 % relave</t>
        </is>
      </c>
      <c r="N81" t="inlineStr">
        <is>
          <t>Compuesto de Tipos A, B y C (tipificación geoquímica por potencial de generación de acidez)</t>
        </is>
      </c>
      <c r="O81" t="inlineStr">
        <is>
          <t>CID (triaxial consolidado isotrópicamente drenado, ASTM D7181)</t>
        </is>
      </c>
      <c r="P81" t="inlineStr">
        <is>
          <t>sí</t>
        </is>
      </c>
      <c r="Q81" t="n">
        <v>152.4</v>
      </c>
      <c r="R81" t="n">
        <v>305.1</v>
      </c>
      <c r="S81" t="n">
        <v>25.4</v>
      </c>
      <c r="T81" t="n">
        <v>0.0394</v>
      </c>
      <c r="U81" t="n">
        <v>0.2431</v>
      </c>
      <c r="V81" t="n">
        <v>3.9094</v>
      </c>
      <c r="W81" t="n">
        <v>7.5292</v>
      </c>
      <c r="X81" t="n">
        <v>191.11</v>
      </c>
      <c r="Y81" t="n">
        <v>0.2</v>
      </c>
      <c r="Z81" t="n">
        <v>47.7</v>
      </c>
      <c r="AA81" t="n">
        <v>35.5</v>
      </c>
      <c r="AB81" t="n">
        <v>16.8</v>
      </c>
      <c r="AC81" t="inlineStr">
        <is>
          <t>Truncado (scalping): desmonte limitado a partículas &lt; 1" (100 % pasa 25.4 mm); Dmax de terreno no indicado</t>
        </is>
      </c>
      <c r="AD81" t="n">
        <v>2.851</v>
      </c>
      <c r="AE81" t="n">
        <v>17.68</v>
      </c>
      <c r="AF81" t="n">
        <v>0.58</v>
      </c>
      <c r="AG81" t="inlineStr">
        <is>
          <t>informe</t>
        </is>
      </c>
      <c r="AH81" t="inlineStr"/>
      <c r="AI81" t="n">
        <v>5</v>
      </c>
      <c r="AJ81" t="inlineStr"/>
      <c r="AK81" t="n">
        <v>402</v>
      </c>
      <c r="AL81" t="n">
        <v>2102</v>
      </c>
      <c r="AM81" t="n">
        <v>1700</v>
      </c>
      <c r="AN81" t="inlineStr">
        <is>
          <t>Máximo esfuerzo desviador (Tabla 8)</t>
        </is>
      </c>
      <c r="AO81" t="inlineStr"/>
      <c r="AP81" t="n">
        <v>20.25</v>
      </c>
      <c r="AQ81" t="n">
        <v>-3.72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21;144;51</t>
        </is>
      </c>
      <c r="BB81" t="inlineStr">
        <is>
          <t>sí</t>
        </is>
      </c>
      <c r="BC81" t="inlineStr">
        <is>
          <t>CID (ASTM D7181) en celda de 6"; remoldeado a ρd≈1.802 g/cm³ y w=5.0 %; saturado por contrapresión (B=0.97; celda 668 kPa; contrapresión 266 kPa); t90=0.0 min; 0.111 %/min; corrección por membrana. Alternativa 2 (relave en pasta (~80 % sólidos)), desmonte:relave 4:1 en masa seca (20 % relave). Tras consolidación (Tabla 8): w=9.3 %, ρd=2.244 g/cm³, e=0.27. Final de corte (Tabla 8): w=7.6 %, ρd=2.331 g/cm³, e=0.22. q_kPa = máximo desviador de la Tabla 8; en la hoja de laboratorio el máximo es 1699.7 kPa a εa=20.25 % (σ3'=402.5; σ1'=2102.2 kPa); εa y εv salen de esa fila. El máximo coincide con la última lectura (εa≈20.25 %): sin pico, sigue endureciendo al terminar el ensayo. La hoja dice 'Criterio de falla: Esfuerzo Desv. Máximo' pero da σ1'=2080 y σ3=402 kPa a εa=16.0 %, que no es el máximo de su tabla; los círculos de Mohr del laboratorio usan esos valores. εv con la convención del informe: negativo = contracción, positivo = dilatación. φsec calculado (c=0) con q de Tabla 8: 42.8°. Envolvente del set: Tabla 7 (p.19) c=41 kPa, φ=40°; hoja de laboratorio (p.147) c=41 kPa, φ=40°.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81" t="n">
        <v>402</v>
      </c>
      <c r="BE81" t="n">
        <v>402</v>
      </c>
      <c r="BF81" t="n">
        <v>2102</v>
      </c>
      <c r="BG81" t="inlineStr"/>
      <c r="BH81" t="inlineStr"/>
      <c r="BI81" t="inlineStr"/>
      <c r="BJ81" t="inlineStr"/>
      <c r="BK81" t="inlineStr"/>
      <c r="BL81" t="n">
        <v>20.25</v>
      </c>
      <c r="BM81" t="n">
        <v>402.52</v>
      </c>
      <c r="BN81" t="n">
        <v>2102.22</v>
      </c>
      <c r="BO81" t="n">
        <v>1699.7</v>
      </c>
      <c r="BP81" t="inlineStr"/>
      <c r="BQ81" t="n">
        <v>5.223</v>
      </c>
      <c r="BR81" t="inlineStr">
        <is>
          <t>0.97</t>
        </is>
      </c>
      <c r="BS81" t="n">
        <v>266</v>
      </c>
      <c r="BT81" t="n">
        <v>0.111</v>
      </c>
      <c r="BU81" t="n">
        <v>22.01</v>
      </c>
      <c r="BV81" t="n">
        <v>0.27</v>
      </c>
      <c r="BW81" t="inlineStr"/>
      <c r="BX81" t="inlineStr"/>
      <c r="BY81" t="inlineStr">
        <is>
          <t>Tabla 8 (p.20-22) y hoja p.144 verificadas en imagen. q_kPa = Tabla 8 (1700); máximo de la hoja 1699.70 kPa a εa=20.25 % (diferencia -0.3 kPa). Máx. oblicuidad 5.223 a εa=20.25 %. B=0.97, celda 668 kPa, contrapresión 266 kPa.</t>
        </is>
      </c>
      <c r="BZ81" t="n">
        <v>20.25</v>
      </c>
      <c r="CA81" t="n">
        <v>1699.7</v>
      </c>
      <c r="CB81" t="n">
        <v>402.52</v>
      </c>
      <c r="CC81" t="n">
        <v>2102.22</v>
      </c>
      <c r="CD81" t="n">
        <v>20.25</v>
      </c>
      <c r="CE81" t="n">
        <v>1699.7</v>
      </c>
      <c r="CF81" t="inlineStr">
        <is>
          <t>no (máximo en la última lectura o caída &lt; 2 %)</t>
        </is>
      </c>
      <c r="CG81" t="n">
        <v>668</v>
      </c>
      <c r="CH81" t="inlineStr">
        <is>
          <t>«G. Específica (Promedio)» impresa en la hoja triaxial p.144; no coincide con la Tabla 5 (finos D854 ni gruesos C127); el informe no explica cómo se obtuvo</t>
        </is>
      </c>
      <c r="CI81" t="n">
        <v>0.582</v>
      </c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>
        <is>
          <t>Triaxial CD</t>
        </is>
      </c>
      <c r="EY81" t="inlineStr">
        <is>
          <t>CD: máximo desviador</t>
        </is>
      </c>
      <c r="EZ81" t="n">
        <v>402</v>
      </c>
      <c r="FA81" t="n">
        <v>2102</v>
      </c>
      <c r="FB81" t="n">
        <v>1700</v>
      </c>
      <c r="FC81" t="n">
        <v>42.75881690675688</v>
      </c>
      <c r="FD81" t="n">
        <v>674.923322683706</v>
      </c>
      <c r="FE81" t="n">
        <v>624.0853375120954</v>
      </c>
      <c r="FF81" t="inlineStr">
        <is>
          <t>6 in (≈150 mm)</t>
        </is>
      </c>
      <c r="FG81" t="n">
        <v>6.000000000000001</v>
      </c>
      <c r="FH81" t="inlineStr">
        <is>
          <t>Mezcla co-disposición (desmonte ROM + relave)</t>
        </is>
      </c>
      <c r="FI81" t="inlineStr">
        <is>
          <t>criterio experto: compuesto de desmonte por tipos geoquímicos A/B/C para co-disposición en botadero</t>
        </is>
      </c>
      <c r="FJ81" t="n">
        <v>20</v>
      </c>
      <c r="FK81" t="inlineStr"/>
      <c r="FL81" t="inlineStr"/>
      <c r="FM81" t="inlineStr">
        <is>
          <t>A</t>
        </is>
      </c>
      <c r="FN81" t="n">
        <v>0.58</v>
      </c>
      <c r="FO81" t="inlineStr"/>
      <c r="FP81" t="n">
        <v>2.851</v>
      </c>
      <c r="FQ81" t="inlineStr">
        <is>
          <t>informe o verificación</t>
        </is>
      </c>
      <c r="FR81" t="inlineStr">
        <is>
          <t>G2021-079</t>
        </is>
      </c>
      <c r="FS81" t="inlineStr">
        <is>
          <t>G2021|G21-ALT2-4:1</t>
        </is>
      </c>
    </row>
    <row r="82">
      <c r="A82" t="inlineStr">
        <is>
          <t>G2021</t>
        </is>
      </c>
      <c r="B82" t="inlineStr">
        <is>
          <t>2021_Golder_Ensayos de Laboratorio Commingling.pdf</t>
        </is>
      </c>
      <c r="C82" t="n">
        <v>2021</v>
      </c>
      <c r="D82" t="inlineStr">
        <is>
          <t>Golder Associates Perú (miembro de WSP), informe 101-20110-LTE01220-INF-420-G-0013 Rev. 0 (28/04/2021)</t>
        </is>
      </c>
      <c r="E82" t="inlineStr">
        <is>
          <t>Laboratorio de Mecánica de Suelos de Golder Associates Perú, Lima</t>
        </is>
      </c>
      <c r="F82" t="inlineStr">
        <is>
          <t>G21-ALT2-4:1</t>
        </is>
      </c>
      <c r="G82" t="inlineStr">
        <is>
          <t>II0524-E3</t>
        </is>
      </c>
      <c r="H82" t="inlineStr">
        <is>
          <t>Desmonte Tipo A (intrusivo), Tipo B (mármol y hornfels), Tipo C (hornfels); compuesto 0.35 A : 0.15 B : 0.50 C (masa seca); relave compuesto 0.33 M1 : 0.33 M2A : 0.33 M4B</t>
        </is>
      </c>
      <c r="I82" t="inlineStr">
        <is>
          <t>Mezcla</t>
        </is>
      </c>
      <c r="J82" t="inlineStr">
        <is>
          <t>Tipo B = mármol y hornfels (el informe no separa su reparto); sin subtipos (mármol blanco/negro, skarn, etc.) indicados</t>
        </is>
      </c>
      <c r="K82" t="inlineStr">
        <is>
          <t>Intrusivo 35 %; Mármol + Hornfels 15 % (Tipo B, reparto no indicado); Hornfels 50 % (proporciones del desmonte, masa seca); la mezcla lleva además 20 % de relave en masa seca</t>
        </is>
      </c>
      <c r="L82" t="inlineStr"/>
      <c r="M82" t="inlineStr">
        <is>
          <t>Mezcla co-disposición: desmonte de clase no indicada + 20 % relave</t>
        </is>
      </c>
      <c r="N82" t="inlineStr">
        <is>
          <t>Compuesto de Tipos A, B y C (tipificación geoquímica por potencial de generación de acidez)</t>
        </is>
      </c>
      <c r="O82" t="inlineStr">
        <is>
          <t>CID (triaxial consolidado isotrópicamente drenado, ASTM D7181)</t>
        </is>
      </c>
      <c r="P82" t="inlineStr">
        <is>
          <t>sí</t>
        </is>
      </c>
      <c r="Q82" t="n">
        <v>152.4</v>
      </c>
      <c r="R82" t="n">
        <v>305.1</v>
      </c>
      <c r="S82" t="n">
        <v>25.4</v>
      </c>
      <c r="T82" t="n">
        <v>0.0394</v>
      </c>
      <c r="U82" t="n">
        <v>0.2431</v>
      </c>
      <c r="V82" t="n">
        <v>3.9094</v>
      </c>
      <c r="W82" t="n">
        <v>7.5292</v>
      </c>
      <c r="X82" t="n">
        <v>191.11</v>
      </c>
      <c r="Y82" t="n">
        <v>0.2</v>
      </c>
      <c r="Z82" t="n">
        <v>47.7</v>
      </c>
      <c r="AA82" t="n">
        <v>35.5</v>
      </c>
      <c r="AB82" t="n">
        <v>16.8</v>
      </c>
      <c r="AC82" t="inlineStr">
        <is>
          <t>Truncado (scalping): desmonte limitado a partículas &lt; 1" (100 % pasa 25.4 mm); Dmax de terreno no indicado</t>
        </is>
      </c>
      <c r="AD82" t="n">
        <v>2.851</v>
      </c>
      <c r="AE82" t="n">
        <v>17.68</v>
      </c>
      <c r="AF82" t="n">
        <v>0.58</v>
      </c>
      <c r="AG82" t="inlineStr">
        <is>
          <t>informe</t>
        </is>
      </c>
      <c r="AH82" t="inlineStr"/>
      <c r="AI82" t="n">
        <v>5</v>
      </c>
      <c r="AJ82" t="inlineStr"/>
      <c r="AK82" t="n">
        <v>1200</v>
      </c>
      <c r="AL82" t="n">
        <v>5661</v>
      </c>
      <c r="AM82" t="n">
        <v>4461</v>
      </c>
      <c r="AN82" t="inlineStr">
        <is>
          <t>Máximo esfuerzo desviador (Tabla 8)</t>
        </is>
      </c>
      <c r="AO82" t="inlineStr"/>
      <c r="AP82" t="n">
        <v>13.85</v>
      </c>
      <c r="AQ82" t="n">
        <v>-4.67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21;145;51</t>
        </is>
      </c>
      <c r="BB82" t="inlineStr">
        <is>
          <t>sí</t>
        </is>
      </c>
      <c r="BC82" t="inlineStr">
        <is>
          <t>CID (ASTM D7181) en celda de 6"; remoldeado a ρd≈1.802 g/cm³ y w=5.0 %; saturado por contrapresión (B=1.0; celda 1467 kPa; contrapresión 267 kPa); t90=0.0 min; 0.111 %/min; corrección por membrana. Alternativa 2 (relave en pasta (~80 % sólidos)), desmonte:relave 4:1 en masa seca (20 % relave). Tras consolidación (Tabla 8): w=8.0 %, ρd=2.318 g/cm³, e=0.23. Final de corte (Tabla 8): w=6.0 %, ρd=2.432 g/cm³, e=0.17. q_kPa = máximo desviador de la Tabla 8; en la hoja de laboratorio el máximo es 4461.1 kPa a εa=13.85 % (σ3'=1199.1; σ1'=5660.2 kPa); εa y εv salen de esa fila. El máximo coincide con la última lectura (εa≈13.85 %): sin pico, sigue endureciendo al terminar el ensayo. La hoja dice 'Criterio de falla: Esfuerzo Desv. Máximo' pero da σ1'=5653 y σ3=1200 kPa a εa=12.0 %, que no es el máximo de su tabla; los círculos de Mohr del laboratorio usan esos valores. εv con la convención del informe: negativo = contracción, positivo = dilatación. φsec calculado (c=0) con q de Tabla 8: 40.6°. Envolvente del set: Tabla 7 (p.19) c=41 kPa, φ=40°; hoja de laboratorio (p.147) c=41 kPa, φ=40°. Gs = 'G. Específica Promedio' de la hoja triaxial; SUCS GM; no plástico. γd y e0 = estado remoldeado inicial (antes de saturar). Clase ROM/Chancado/Enrocado no indicada en el informe; A/B/C es tipificación geoquímica. Alteración no indicada. Ensayo terminado a εa=13.85 % (las 4 últimas filas de la hoja repiten esa lectura en rojo).</t>
        </is>
      </c>
      <c r="BD82" t="n">
        <v>1200</v>
      </c>
      <c r="BE82" t="n">
        <v>1200</v>
      </c>
      <c r="BF82" t="n">
        <v>5661</v>
      </c>
      <c r="BG82" t="inlineStr"/>
      <c r="BH82" t="inlineStr"/>
      <c r="BI82" t="inlineStr"/>
      <c r="BJ82" t="inlineStr"/>
      <c r="BK82" t="inlineStr"/>
      <c r="BL82" t="n">
        <v>13.85</v>
      </c>
      <c r="BM82" t="n">
        <v>1199.14</v>
      </c>
      <c r="BN82" t="n">
        <v>5660.25</v>
      </c>
      <c r="BO82" t="n">
        <v>4461.11</v>
      </c>
      <c r="BP82" t="inlineStr"/>
      <c r="BQ82" t="n">
        <v>4.72</v>
      </c>
      <c r="BR82" t="inlineStr">
        <is>
          <t>1</t>
        </is>
      </c>
      <c r="BS82" t="n">
        <v>267</v>
      </c>
      <c r="BT82" t="n">
        <v>0.111</v>
      </c>
      <c r="BU82" t="n">
        <v>22.74</v>
      </c>
      <c r="BV82" t="n">
        <v>0.23</v>
      </c>
      <c r="BW82" t="inlineStr"/>
      <c r="BX82" t="inlineStr"/>
      <c r="BY82" t="inlineStr">
        <is>
          <t>Tabla 8 (p.20-22) y hoja p.145 verificadas en imagen. q_kPa = Tabla 8 (4461); máximo de la hoja 4461.11 kPa a εa=13.85 % (diferencia +0.1 kPa). Máx. oblicuidad 4.720 a εa=13.85 %. B=1, celda 1467 kPa, contrapresión 267 kPa.</t>
        </is>
      </c>
      <c r="BZ82" t="n">
        <v>13.85</v>
      </c>
      <c r="CA82" t="n">
        <v>4461.11</v>
      </c>
      <c r="CB82" t="n">
        <v>1199.14</v>
      </c>
      <c r="CC82" t="n">
        <v>5660.25</v>
      </c>
      <c r="CD82" t="n">
        <v>13.85</v>
      </c>
      <c r="CE82" t="n">
        <v>4461.11</v>
      </c>
      <c r="CF82" t="inlineStr">
        <is>
          <t>no (máximo en la última lectura o caída &lt; 2 %)</t>
        </is>
      </c>
      <c r="CG82" t="n">
        <v>1467</v>
      </c>
      <c r="CH82" t="inlineStr">
        <is>
          <t>«G. Específica (Promedio)» impresa en la hoja triaxial p.145; no coincide con la Tabla 5 (finos D854 ni gruesos C127); el informe no explica cómo se obtuvo</t>
        </is>
      </c>
      <c r="CI82" t="n">
        <v>0.582</v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Triaxial CD</t>
        </is>
      </c>
      <c r="EY82" t="inlineStr">
        <is>
          <t>CD: máximo desviador</t>
        </is>
      </c>
      <c r="EZ82" t="n">
        <v>1200</v>
      </c>
      <c r="FA82" t="n">
        <v>5661</v>
      </c>
      <c r="FB82" t="n">
        <v>4461</v>
      </c>
      <c r="FC82" t="n">
        <v>40.55643870249201</v>
      </c>
      <c r="FD82" t="n">
        <v>1980.236117184084</v>
      </c>
      <c r="FE82" t="n">
        <v>1694.657759017939</v>
      </c>
      <c r="FF82" t="inlineStr">
        <is>
          <t>6 in (≈150 mm)</t>
        </is>
      </c>
      <c r="FG82" t="n">
        <v>6.000000000000001</v>
      </c>
      <c r="FH82" t="inlineStr">
        <is>
          <t>Mezcla co-disposición (desmonte ROM + relave)</t>
        </is>
      </c>
      <c r="FI82" t="inlineStr">
        <is>
          <t>criterio experto: compuesto de desmonte por tipos geoquímicos A/B/C para co-disposición en botadero</t>
        </is>
      </c>
      <c r="FJ82" t="n">
        <v>20</v>
      </c>
      <c r="FK82" t="inlineStr"/>
      <c r="FL82" t="inlineStr"/>
      <c r="FM82" t="inlineStr">
        <is>
          <t>A</t>
        </is>
      </c>
      <c r="FN82" t="n">
        <v>0.58</v>
      </c>
      <c r="FO82" t="inlineStr"/>
      <c r="FP82" t="n">
        <v>2.851</v>
      </c>
      <c r="FQ82" t="inlineStr">
        <is>
          <t>informe o verificación</t>
        </is>
      </c>
      <c r="FR82" t="inlineStr">
        <is>
          <t>G2021-080</t>
        </is>
      </c>
      <c r="FS82" t="inlineStr">
        <is>
          <t>G2021|G21-ALT2-4:1</t>
        </is>
      </c>
    </row>
    <row r="83">
      <c r="A83" t="inlineStr">
        <is>
          <t>G2021</t>
        </is>
      </c>
      <c r="B83" t="inlineStr">
        <is>
          <t>2021_Golder_Ensayos de Laboratorio Commingling.pdf</t>
        </is>
      </c>
      <c r="C83" t="n">
        <v>2021</v>
      </c>
      <c r="D83" t="inlineStr">
        <is>
          <t>Golder Associates Perú (miembro de WSP), informe 101-20110-LTE01220-INF-420-G-0013 Rev. 0 (28/04/2021)</t>
        </is>
      </c>
      <c r="E83" t="inlineStr">
        <is>
          <t>Laboratorio de Mecánica de Suelos de Golder Associates Perú, Lima</t>
        </is>
      </c>
      <c r="F83" t="inlineStr">
        <is>
          <t>G21-ALT2-1:1</t>
        </is>
      </c>
      <c r="G83" t="inlineStr">
        <is>
          <t>II0525-E1</t>
        </is>
      </c>
      <c r="H83" t="inlineStr">
        <is>
          <t>Desmonte Tipo A (intrusivo), Tipo B (mármol y hornfels), Tipo C (hornfels); compuesto 0.35 A : 0.15 B : 0.50 C (masa seca); relave compuesto 0.33 M1 : 0.33 M2A : 0.33 M4B</t>
        </is>
      </c>
      <c r="I83" t="inlineStr">
        <is>
          <t>Mezcla</t>
        </is>
      </c>
      <c r="J83" t="inlineStr">
        <is>
          <t>Tipo B = mármol y hornfels (el informe no separa su reparto); sin subtipos (mármol blanco/negro, skarn, etc.) indicados</t>
        </is>
      </c>
      <c r="K83" t="inlineStr">
        <is>
          <t>Intrusivo 35 %; Mármol + Hornfels 15 % (Tipo B, reparto no indicado); Hornfels 50 % (proporciones del desmonte, masa seca); la mezcla lleva además 50 % de relave en masa seca</t>
        </is>
      </c>
      <c r="L83" t="inlineStr"/>
      <c r="M83" t="inlineStr">
        <is>
          <t>Mezcla co-disposición: desmonte de clase no indicada + 50 % relave</t>
        </is>
      </c>
      <c r="N83" t="inlineStr">
        <is>
          <t>Compuesto de Tipos A, B y C (tipificación geoquímica por potencial de generación de acidez)</t>
        </is>
      </c>
      <c r="O83" t="inlineStr">
        <is>
          <t>CID (triaxial consolidado isotrópicamente drenado, ASTM D7181)</t>
        </is>
      </c>
      <c r="P83" t="inlineStr">
        <is>
          <t>sí</t>
        </is>
      </c>
      <c r="Q83" t="n">
        <v>152.4</v>
      </c>
      <c r="R83" t="n">
        <v>305.1</v>
      </c>
      <c r="S83" t="n">
        <v>25.4</v>
      </c>
      <c r="T83" t="n">
        <v>0.0215</v>
      </c>
      <c r="U83" t="n">
        <v>0.102</v>
      </c>
      <c r="V83" t="n">
        <v>0.3191</v>
      </c>
      <c r="W83" t="n">
        <v>1.0164</v>
      </c>
      <c r="X83" t="n">
        <v>47.36</v>
      </c>
      <c r="Y83" t="n">
        <v>0.48</v>
      </c>
      <c r="Z83" t="n">
        <v>29.9</v>
      </c>
      <c r="AA83" t="n">
        <v>44.8</v>
      </c>
      <c r="AB83" t="n">
        <v>25.3</v>
      </c>
      <c r="AC83" t="inlineStr">
        <is>
          <t>Truncado (scalping): desmonte limitado a partículas &lt; 1" (100 % pasa 25.4 mm); Dmax de terreno no indicado</t>
        </is>
      </c>
      <c r="AD83" t="n">
        <v>3.006</v>
      </c>
      <c r="AE83" t="n">
        <v>17.68</v>
      </c>
      <c r="AF83" t="n">
        <v>0.67</v>
      </c>
      <c r="AG83" t="inlineStr">
        <is>
          <t>informe</t>
        </is>
      </c>
      <c r="AH83" t="inlineStr"/>
      <c r="AI83" t="n">
        <v>8.5</v>
      </c>
      <c r="AJ83" t="inlineStr"/>
      <c r="AK83" t="n">
        <v>100</v>
      </c>
      <c r="AL83" t="n">
        <v>545</v>
      </c>
      <c r="AM83" t="n">
        <v>445</v>
      </c>
      <c r="AN83" t="inlineStr">
        <is>
          <t>Máximo esfuerzo desviador (Tabla 8)</t>
        </is>
      </c>
      <c r="AO83" t="inlineStr"/>
      <c r="AP83" t="n">
        <v>18.21</v>
      </c>
      <c r="AQ83" t="n">
        <v>-3.06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21;150;52</t>
        </is>
      </c>
      <c r="BB83" t="inlineStr">
        <is>
          <t>sí</t>
        </is>
      </c>
      <c r="BC83" t="inlineStr">
        <is>
          <t>CID (ASTM D7181) en celda de 6"; remoldeado a ρd≈1.802 g/cm³ y w=8.5 %; saturado por contrapresión (B=1.0; celda 362 kPa; contrapresión 262 kPa); t90=0.0 min; 0.111 %/min; corrección por membrana. Alternativa 2 (relave en pasta (~80 % sólidos)), desmonte:relave 1:1 en masa seca (50 % relave). Tras consolidación (Tabla 8): w=11.8 %, ρd=2.217 g/cm³, e=0.36. Final de corte (Tabla 8): w=10.4 %, ρd=2.288 g/cm³, e=0.31. q_kPa = máximo desviador de la Tabla 8; en la hoja de laboratorio el máximo es 444.6 kPa a εa=18.21 % (σ3'=98.0; σ1'=542.6 kPa); εa y εv salen de esa fila. La hoja dice 'Criterio de falla: Esfuerzo Desv. Máximo' pero da σ1'=540 y σ3=100 kPa a εa=16.2 %, que no es el máximo de su tabla; los círculos de Mohr del laboratorio usan esos valores. εv con la convención del informe: negativo = contracción, positivo = dilatación. φsec calculado (c=0) con q de Tabla 8: 43.6°. Envolvente del set: Tabla 7 (p.19) c=29 kPa, φ=39°; hoja de laboratorio (p.154) c=29 kPa, φ=39°. Gs = 'G. Específica Promedio' de la hoja triaxial; SUCS SM; no plástico. γd y e0 = estado remoldeado inicial (antes de saturar). Clase ROM/Chancado/Enrocado no indicada en el informe; A/B/C es tipificación geoquímica. Alteración no indicada.</t>
        </is>
      </c>
      <c r="BD83" t="n">
        <v>100</v>
      </c>
      <c r="BE83" t="n">
        <v>100</v>
      </c>
      <c r="BF83" t="n">
        <v>545</v>
      </c>
      <c r="BG83" t="inlineStr"/>
      <c r="BH83" t="inlineStr"/>
      <c r="BI83" t="inlineStr"/>
      <c r="BJ83" t="inlineStr"/>
      <c r="BK83" t="inlineStr"/>
      <c r="BL83" t="n">
        <v>18.21</v>
      </c>
      <c r="BM83" t="n">
        <v>98.04000000000001</v>
      </c>
      <c r="BN83" t="n">
        <v>542.59</v>
      </c>
      <c r="BO83" t="n">
        <v>444.55</v>
      </c>
      <c r="BP83" t="inlineStr"/>
      <c r="BQ83" t="n">
        <v>5.534</v>
      </c>
      <c r="BR83" t="inlineStr">
        <is>
          <t>1</t>
        </is>
      </c>
      <c r="BS83" t="n">
        <v>262</v>
      </c>
      <c r="BT83" t="n">
        <v>0.111</v>
      </c>
      <c r="BU83" t="n">
        <v>21.75</v>
      </c>
      <c r="BV83" t="n">
        <v>0.36</v>
      </c>
      <c r="BW83" t="inlineStr"/>
      <c r="BX83" t="inlineStr"/>
      <c r="BY83" t="inlineStr">
        <is>
          <t>Tabla 8 (p.20-22) y hoja p.150 verificadas en imagen. q_kPa = Tabla 8 (445); máximo de la hoja 444.55 kPa a εa=18.21 % (diferencia -0.4 kPa). Máx. oblicuidad 5.534 a εa=18.21 %. B=1, celda 362 kPa, contrapresión 262 kPa.</t>
        </is>
      </c>
      <c r="BZ83" t="n">
        <v>18.21</v>
      </c>
      <c r="CA83" t="n">
        <v>444.55</v>
      </c>
      <c r="CB83" t="n">
        <v>98.04000000000001</v>
      </c>
      <c r="CC83" t="n">
        <v>542.59</v>
      </c>
      <c r="CD83" t="n">
        <v>20.09</v>
      </c>
      <c r="CE83" t="n">
        <v>442.48</v>
      </c>
      <c r="CF83" t="inlineStr">
        <is>
          <t>no (máximo en la última lectura o caída &lt; 2 %)</t>
        </is>
      </c>
      <c r="CG83" t="n">
        <v>362</v>
      </c>
      <c r="CH83" t="inlineStr">
        <is>
          <t>«G. Específica (Promedio)» impresa en la hoja triaxial p.150; no coincide con la Tabla 5 (finos D854 ni gruesos C127); el informe no explica cómo se obtuvo</t>
        </is>
      </c>
      <c r="CI83" t="n">
        <v>0.668</v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>
        <is>
          <t>Triaxial CD</t>
        </is>
      </c>
      <c r="EY83" t="inlineStr">
        <is>
          <t>CD: máximo desviador</t>
        </is>
      </c>
      <c r="EZ83" t="n">
        <v>100</v>
      </c>
      <c r="FA83" t="n">
        <v>545</v>
      </c>
      <c r="FB83" t="n">
        <v>445</v>
      </c>
      <c r="FC83" t="n">
        <v>43.62397285083641</v>
      </c>
      <c r="FD83" t="n">
        <v>168.9922480620155</v>
      </c>
      <c r="FE83" t="n">
        <v>161.064024831575</v>
      </c>
      <c r="FF83" t="inlineStr">
        <is>
          <t>6 in (≈150 mm)</t>
        </is>
      </c>
      <c r="FG83" t="n">
        <v>6.000000000000001</v>
      </c>
      <c r="FH83" t="inlineStr">
        <is>
          <t>Mezcla co-disposición (desmonte ROM + relave)</t>
        </is>
      </c>
      <c r="FI83" t="inlineStr">
        <is>
          <t>criterio experto: compuesto de desmonte por tipos geoquímicos A/B/C para co-disposición en botadero</t>
        </is>
      </c>
      <c r="FJ83" t="n">
        <v>50</v>
      </c>
      <c r="FK83" t="inlineStr"/>
      <c r="FL83" t="inlineStr"/>
      <c r="FM83" t="inlineStr">
        <is>
          <t>A</t>
        </is>
      </c>
      <c r="FN83" t="n">
        <v>0.67</v>
      </c>
      <c r="FO83" t="inlineStr"/>
      <c r="FP83" t="n">
        <v>3.006</v>
      </c>
      <c r="FQ83" t="inlineStr">
        <is>
          <t>informe o verificación</t>
        </is>
      </c>
      <c r="FR83" t="inlineStr">
        <is>
          <t>G2021-081</t>
        </is>
      </c>
      <c r="FS83" t="inlineStr">
        <is>
          <t>G2021|G21-ALT2-1:1</t>
        </is>
      </c>
    </row>
    <row r="84">
      <c r="A84" t="inlineStr">
        <is>
          <t>G2021</t>
        </is>
      </c>
      <c r="B84" t="inlineStr">
        <is>
          <t>2021_Golder_Ensayos de Laboratorio Commingling.pdf</t>
        </is>
      </c>
      <c r="C84" t="n">
        <v>2021</v>
      </c>
      <c r="D84" t="inlineStr">
        <is>
          <t>Golder Associates Perú (miembro de WSP), informe 101-20110-LTE01220-INF-420-G-0013 Rev. 0 (28/04/2021)</t>
        </is>
      </c>
      <c r="E84" t="inlineStr">
        <is>
          <t>Laboratorio de Mecánica de Suelos de Golder Associates Perú, Lima</t>
        </is>
      </c>
      <c r="F84" t="inlineStr">
        <is>
          <t>G21-ALT2-1:1</t>
        </is>
      </c>
      <c r="G84" t="inlineStr">
        <is>
          <t>II0525-E2</t>
        </is>
      </c>
      <c r="H84" t="inlineStr">
        <is>
          <t>Desmonte Tipo A (intrusivo), Tipo B (mármol y hornfels), Tipo C (hornfels); compuesto 0.35 A : 0.15 B : 0.50 C (masa seca); relave compuesto 0.33 M1 : 0.33 M2A : 0.33 M4B</t>
        </is>
      </c>
      <c r="I84" t="inlineStr">
        <is>
          <t>Mezcla</t>
        </is>
      </c>
      <c r="J84" t="inlineStr">
        <is>
          <t>Tipo B = mármol y hornfels (el informe no separa su reparto); sin subtipos (mármol blanco/negro, skarn, etc.) indicados</t>
        </is>
      </c>
      <c r="K84" t="inlineStr">
        <is>
          <t>Intrusivo 35 %; Mármol + Hornfels 15 % (Tipo B, reparto no indicado); Hornfels 50 % (proporciones del desmonte, masa seca); la mezcla lleva además 50 % de relave en masa seca</t>
        </is>
      </c>
      <c r="L84" t="inlineStr"/>
      <c r="M84" t="inlineStr">
        <is>
          <t>Mezcla co-disposición: desmonte de clase no indicada + 50 % relave</t>
        </is>
      </c>
      <c r="N84" t="inlineStr">
        <is>
          <t>Compuesto de Tipos A, B y C (tipificación geoquímica por potencial de generación de acidez)</t>
        </is>
      </c>
      <c r="O84" t="inlineStr">
        <is>
          <t>CID (triaxial consolidado isotrópicamente drenado, ASTM D7181)</t>
        </is>
      </c>
      <c r="P84" t="inlineStr">
        <is>
          <t>sí</t>
        </is>
      </c>
      <c r="Q84" t="n">
        <v>152.4</v>
      </c>
      <c r="R84" t="n">
        <v>305.1</v>
      </c>
      <c r="S84" t="n">
        <v>25.4</v>
      </c>
      <c r="T84" t="n">
        <v>0.0215</v>
      </c>
      <c r="U84" t="n">
        <v>0.102</v>
      </c>
      <c r="V84" t="n">
        <v>0.3191</v>
      </c>
      <c r="W84" t="n">
        <v>1.0164</v>
      </c>
      <c r="X84" t="n">
        <v>47.36</v>
      </c>
      <c r="Y84" t="n">
        <v>0.48</v>
      </c>
      <c r="Z84" t="n">
        <v>29.9</v>
      </c>
      <c r="AA84" t="n">
        <v>44.8</v>
      </c>
      <c r="AB84" t="n">
        <v>25.3</v>
      </c>
      <c r="AC84" t="inlineStr">
        <is>
          <t>Truncado (scalping): desmonte limitado a partículas &lt; 1" (100 % pasa 25.4 mm); Dmax de terreno no indicado</t>
        </is>
      </c>
      <c r="AD84" t="n">
        <v>3.006</v>
      </c>
      <c r="AE84" t="n">
        <v>17.68</v>
      </c>
      <c r="AF84" t="n">
        <v>0.67</v>
      </c>
      <c r="AG84" t="inlineStr">
        <is>
          <t>informe</t>
        </is>
      </c>
      <c r="AH84" t="inlineStr"/>
      <c r="AI84" t="n">
        <v>8.5</v>
      </c>
      <c r="AJ84" t="inlineStr"/>
      <c r="AK84" t="n">
        <v>401</v>
      </c>
      <c r="AL84" t="n">
        <v>1871</v>
      </c>
      <c r="AM84" t="n">
        <v>1470</v>
      </c>
      <c r="AN84" t="inlineStr">
        <is>
          <t>Máximo esfuerzo desviador (Tabla 8)</t>
        </is>
      </c>
      <c r="AO84" t="inlineStr"/>
      <c r="AP84" t="n">
        <v>20.23</v>
      </c>
      <c r="AQ84" t="n">
        <v>-3.48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21;151;52</t>
        </is>
      </c>
      <c r="BB84" t="inlineStr">
        <is>
          <t>sí</t>
        </is>
      </c>
      <c r="BC84" t="inlineStr">
        <is>
          <t>CID (ASTM D7181) en celda de 6"; remoldeado a ρd≈1.802 g/cm³ y w=8.5 %; saturado por contrapresión (B=0.98; celda 664 kPa; contrapresión 263 kPa); t90=0.0 min; 0.111 %/min; corrección por membrana. Alternativa 2 (relave en pasta (~80 % sólidos)), desmonte:relave 1:1 en masa seca (50 % relave). Tras consolidación (Tabla 8): w=10.8 %, ρd=2.264 g/cm³, e=0.33. Final de corte (Tabla 8): w=9.2 %, ρd=2.345 g/cm³, e=0.28. q_kPa = máximo desviador de la Tabla 8; en la hoja de laboratorio el máximo es 1469.5 kPa a εa=20.23 % (σ3'=400.6; σ1'=1870.1 kPa); εa y εv salen de esa fila. El máximo coincide con la última lectura (εa≈20.23 %): sin pico, sigue endureciendo al terminar el ensayo. La hoja dice 'Criterio de falla: Esfuerzo Desv. Máximo' pero da σ1'=1853 y σ3=401 kPa a εa=16.1 %, que no es el máximo de su tabla; los círculos de Mohr del laboratorio usan esos valores. εv con la convención del informe: negativo = contracción, positivo = dilatación. φsec calculado (c=0) con q de Tabla 8: 40.3°. Envolvente del set: Tabla 7 (p.19) c=29 kPa, φ=39°; hoja de laboratorio (p.154) c=29 kPa, φ=39°. Gs = 'G. Específica Promedio' de la hoja triaxial; SUCS SM; no plástico. γd y e0 = estado remoldeado inicial (antes de saturar). Clase ROM/Chancado/Enrocado no indicada en el informe; A/B/C es tipificación geoquímica. Alteración no indicada.</t>
        </is>
      </c>
      <c r="BD84" t="n">
        <v>401</v>
      </c>
      <c r="BE84" t="n">
        <v>401</v>
      </c>
      <c r="BF84" t="n">
        <v>1871</v>
      </c>
      <c r="BG84" t="inlineStr"/>
      <c r="BH84" t="inlineStr"/>
      <c r="BI84" t="inlineStr"/>
      <c r="BJ84" t="inlineStr"/>
      <c r="BK84" t="inlineStr"/>
      <c r="BL84" t="n">
        <v>20.23</v>
      </c>
      <c r="BM84" t="n">
        <v>400.64</v>
      </c>
      <c r="BN84" t="n">
        <v>1870.14</v>
      </c>
      <c r="BO84" t="n">
        <v>1469.5</v>
      </c>
      <c r="BP84" t="inlineStr"/>
      <c r="BQ84" t="n">
        <v>4.668</v>
      </c>
      <c r="BR84" t="inlineStr">
        <is>
          <t>0.98</t>
        </is>
      </c>
      <c r="BS84" t="n">
        <v>263</v>
      </c>
      <c r="BT84" t="n">
        <v>0.111</v>
      </c>
      <c r="BU84" t="n">
        <v>22.21</v>
      </c>
      <c r="BV84" t="n">
        <v>0.33</v>
      </c>
      <c r="BW84" t="inlineStr"/>
      <c r="BX84" t="inlineStr"/>
      <c r="BY84" t="inlineStr">
        <is>
          <t>Tabla 8 (p.20-22) y hoja p.151 verificadas en imagen. q_kPa = Tabla 8 (1470); máximo de la hoja 1469.50 kPa a εa=20.23 % (diferencia -0.5 kPa). Máx. oblicuidad 4.668 a εa=20.23 %. B=0.98, celda 664 kPa, contrapresión 263 kPa.</t>
        </is>
      </c>
      <c r="BZ84" t="n">
        <v>20.23</v>
      </c>
      <c r="CA84" t="n">
        <v>1469.5</v>
      </c>
      <c r="CB84" t="n">
        <v>400.64</v>
      </c>
      <c r="CC84" t="n">
        <v>1870.14</v>
      </c>
      <c r="CD84" t="n">
        <v>20.23</v>
      </c>
      <c r="CE84" t="n">
        <v>1469.5</v>
      </c>
      <c r="CF84" t="inlineStr">
        <is>
          <t>no (máximo en la última lectura o caída &lt; 2 %)</t>
        </is>
      </c>
      <c r="CG84" t="n">
        <v>664</v>
      </c>
      <c r="CH84" t="inlineStr">
        <is>
          <t>«G. Específica (Promedio)» impresa en la hoja triaxial p.151; no coincide con la Tabla 5 (finos D854 ni gruesos C127); el informe no explica cómo se obtuvo</t>
        </is>
      </c>
      <c r="CI84" t="n">
        <v>0.668</v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>
        <is>
          <t>Triaxial CD</t>
        </is>
      </c>
      <c r="EY84" t="inlineStr">
        <is>
          <t>CD: máximo desviador</t>
        </is>
      </c>
      <c r="EZ84" t="n">
        <v>401</v>
      </c>
      <c r="FA84" t="n">
        <v>1871</v>
      </c>
      <c r="FB84" t="n">
        <v>1470</v>
      </c>
      <c r="FC84" t="n">
        <v>40.31632392738503</v>
      </c>
      <c r="FD84" t="n">
        <v>660.449823943662</v>
      </c>
      <c r="FE84" t="n">
        <v>560.4257578420053</v>
      </c>
      <c r="FF84" t="inlineStr">
        <is>
          <t>6 in (≈150 mm)</t>
        </is>
      </c>
      <c r="FG84" t="n">
        <v>6.000000000000001</v>
      </c>
      <c r="FH84" t="inlineStr">
        <is>
          <t>Mezcla co-disposición (desmonte ROM + relave)</t>
        </is>
      </c>
      <c r="FI84" t="inlineStr">
        <is>
          <t>criterio experto: compuesto de desmonte por tipos geoquímicos A/B/C para co-disposición en botadero</t>
        </is>
      </c>
      <c r="FJ84" t="n">
        <v>50</v>
      </c>
      <c r="FK84" t="inlineStr"/>
      <c r="FL84" t="inlineStr"/>
      <c r="FM84" t="inlineStr">
        <is>
          <t>A</t>
        </is>
      </c>
      <c r="FN84" t="n">
        <v>0.67</v>
      </c>
      <c r="FO84" t="inlineStr"/>
      <c r="FP84" t="n">
        <v>3.006</v>
      </c>
      <c r="FQ84" t="inlineStr">
        <is>
          <t>informe o verificación</t>
        </is>
      </c>
      <c r="FR84" t="inlineStr">
        <is>
          <t>G2021-082</t>
        </is>
      </c>
      <c r="FS84" t="inlineStr">
        <is>
          <t>G2021|G21-ALT2-1:1</t>
        </is>
      </c>
    </row>
    <row r="85">
      <c r="A85" t="inlineStr">
        <is>
          <t>G2021</t>
        </is>
      </c>
      <c r="B85" t="inlineStr">
        <is>
          <t>2021_Golder_Ensayos de Laboratorio Commingling.pdf</t>
        </is>
      </c>
      <c r="C85" t="n">
        <v>2021</v>
      </c>
      <c r="D85" t="inlineStr">
        <is>
          <t>Golder Associates Perú (miembro de WSP), informe 101-20110-LTE01220-INF-420-G-0013 Rev. 0 (28/04/2021)</t>
        </is>
      </c>
      <c r="E85" t="inlineStr">
        <is>
          <t>Laboratorio de Mecánica de Suelos de Golder Associates Perú, Lima</t>
        </is>
      </c>
      <c r="F85" t="inlineStr">
        <is>
          <t>G21-ALT2-1:1</t>
        </is>
      </c>
      <c r="G85" t="inlineStr">
        <is>
          <t>II0525-E3</t>
        </is>
      </c>
      <c r="H85" t="inlineStr">
        <is>
          <t>Desmonte Tipo A (intrusivo), Tipo B (mármol y hornfels), Tipo C (hornfels); compuesto 0.35 A : 0.15 B : 0.50 C (masa seca); relave compuesto 0.33 M1 : 0.33 M2A : 0.33 M4B</t>
        </is>
      </c>
      <c r="I85" t="inlineStr">
        <is>
          <t>Mezcla</t>
        </is>
      </c>
      <c r="J85" t="inlineStr">
        <is>
          <t>Tipo B = mármol y hornfels (el informe no separa su reparto); sin subtipos (mármol blanco/negro, skarn, etc.) indicados</t>
        </is>
      </c>
      <c r="K85" t="inlineStr">
        <is>
          <t>Intrusivo 35 %; Mármol + Hornfels 15 % (Tipo B, reparto no indicado); Hornfels 50 % (proporciones del desmonte, masa seca); la mezcla lleva además 50 % de relave en masa seca</t>
        </is>
      </c>
      <c r="L85" t="inlineStr"/>
      <c r="M85" t="inlineStr">
        <is>
          <t>Mezcla co-disposición: desmonte de clase no indicada + 50 % relave</t>
        </is>
      </c>
      <c r="N85" t="inlineStr">
        <is>
          <t>Compuesto de Tipos A, B y C (tipificación geoquímica por potencial de generación de acidez)</t>
        </is>
      </c>
      <c r="O85" t="inlineStr">
        <is>
          <t>CID (triaxial consolidado isotrópicamente drenado, ASTM D7181)</t>
        </is>
      </c>
      <c r="P85" t="inlineStr">
        <is>
          <t>sí</t>
        </is>
      </c>
      <c r="Q85" t="n">
        <v>152.4</v>
      </c>
      <c r="R85" t="n">
        <v>305.1</v>
      </c>
      <c r="S85" t="n">
        <v>25.4</v>
      </c>
      <c r="T85" t="n">
        <v>0.0215</v>
      </c>
      <c r="U85" t="n">
        <v>0.102</v>
      </c>
      <c r="V85" t="n">
        <v>0.3191</v>
      </c>
      <c r="W85" t="n">
        <v>1.0164</v>
      </c>
      <c r="X85" t="n">
        <v>47.36</v>
      </c>
      <c r="Y85" t="n">
        <v>0.48</v>
      </c>
      <c r="Z85" t="n">
        <v>29.9</v>
      </c>
      <c r="AA85" t="n">
        <v>44.8</v>
      </c>
      <c r="AB85" t="n">
        <v>25.3</v>
      </c>
      <c r="AC85" t="inlineStr">
        <is>
          <t>Truncado (scalping): desmonte limitado a partículas &lt; 1" (100 % pasa 25.4 mm); Dmax de terreno no indicado</t>
        </is>
      </c>
      <c r="AD85" t="n">
        <v>3.006</v>
      </c>
      <c r="AE85" t="n">
        <v>17.68</v>
      </c>
      <c r="AF85" t="n">
        <v>0.67</v>
      </c>
      <c r="AG85" t="inlineStr">
        <is>
          <t>informe</t>
        </is>
      </c>
      <c r="AH85" t="inlineStr"/>
      <c r="AI85" t="n">
        <v>8.5</v>
      </c>
      <c r="AJ85" t="inlineStr"/>
      <c r="AK85" t="n">
        <v>1204</v>
      </c>
      <c r="AL85" t="n">
        <v>5374</v>
      </c>
      <c r="AM85" t="n">
        <v>4170</v>
      </c>
      <c r="AN85" t="inlineStr">
        <is>
          <t>Máximo esfuerzo desviador (Tabla 8)</t>
        </is>
      </c>
      <c r="AO85" t="inlineStr"/>
      <c r="AP85" t="n">
        <v>20.23</v>
      </c>
      <c r="AQ85" t="n">
        <v>-4.32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21;152;52</t>
        </is>
      </c>
      <c r="BB85" t="inlineStr">
        <is>
          <t>sí</t>
        </is>
      </c>
      <c r="BC85" t="inlineStr">
        <is>
          <t>CID (ASTM D7181) en celda de 6"; remoldeado a ρd≈1.802 g/cm³ y w=8.5 %; saturado por contrapresión (B=0.99; celda 1468 kPa; contrapresión 263 kPa); t90=0.0 min; 0.111 %/min; corrección por membrana. Alternativa 2 (relave en pasta (~80 % sólidos)), desmonte:relave 1:1 en masa seca (50 % relave). Tras consolidación (Tabla 8): w=9.7 %, ρd=2.321 g/cm³, e=0.3. Final de corte (Tabla 8): w=7.8 %, ρd=2.425 g/cm³, e=0.24. q_kPa = máximo desviador de la Tabla 8; en la hoja de laboratorio el máximo es 4170.4 kPa a εa=20.23 % (σ3'=1203.0; σ1'=5373.4 kPa); εa y εv salen de esa fila. El máximo coincide con la última lectura (εa≈20.23 %): sin pico, sigue endureciendo al terminar el ensayo. La hoja dice 'Criterio de falla: Esfuerzo Desv. Máximo' pero da σ1'=5316 y σ3=1204 kPa a εa=16.3 %, que no es el máximo de su tabla; los círculos de Mohr del laboratorio usan esos valores. εv con la convención del informe: negativo = contracción, positivo = dilatación. φsec calculado (c=0) con q de Tabla 8: 39.3°. Envolvente del set: Tabla 7 (p.19) c=29 kPa, φ=39°; hoja de laboratorio (p.154) c=29 kPa, φ=39°. Gs = 'G. Específica Promedio' de la hoja triaxial; SUCS SM; no plástico. γd y e0 = estado remoldeado inicial (antes de saturar). Clase ROM/Chancado/Enrocado no indicada en el informe; A/B/C es tipificación geoquímica. Alteración no indicada.</t>
        </is>
      </c>
      <c r="BD85" t="n">
        <v>1204</v>
      </c>
      <c r="BE85" t="n">
        <v>1204</v>
      </c>
      <c r="BF85" t="n">
        <v>5374</v>
      </c>
      <c r="BG85" t="inlineStr"/>
      <c r="BH85" t="inlineStr"/>
      <c r="BI85" t="inlineStr"/>
      <c r="BJ85" t="inlineStr"/>
      <c r="BK85" t="inlineStr"/>
      <c r="BL85" t="n">
        <v>20.23</v>
      </c>
      <c r="BM85" t="n">
        <v>1203.02</v>
      </c>
      <c r="BN85" t="n">
        <v>5373.36</v>
      </c>
      <c r="BO85" t="n">
        <v>4170.35</v>
      </c>
      <c r="BP85" t="inlineStr"/>
      <c r="BQ85" t="n">
        <v>4.467</v>
      </c>
      <c r="BR85" t="inlineStr">
        <is>
          <t>0.99</t>
        </is>
      </c>
      <c r="BS85" t="n">
        <v>263</v>
      </c>
      <c r="BT85" t="n">
        <v>0.111</v>
      </c>
      <c r="BU85" t="n">
        <v>22.77</v>
      </c>
      <c r="BV85" t="n">
        <v>0.3</v>
      </c>
      <c r="BW85" t="inlineStr"/>
      <c r="BX85" t="inlineStr"/>
      <c r="BY85" t="inlineStr">
        <is>
          <t>Tabla 8 (p.20-22) y hoja p.152 verificadas en imagen. q_kPa = Tabla 8 (4170); máximo de la hoja 4170.35 kPa a εa=20.23 % (diferencia +0.4 kPa). Máx. oblicuidad 4.467 a εa=20.23 %. B=0.99, celda 1468 kPa, contrapresión 263 kPa.</t>
        </is>
      </c>
      <c r="BZ85" t="n">
        <v>20.23</v>
      </c>
      <c r="CA85" t="n">
        <v>4170.35</v>
      </c>
      <c r="CB85" t="n">
        <v>1203.02</v>
      </c>
      <c r="CC85" t="n">
        <v>5373.36</v>
      </c>
      <c r="CD85" t="n">
        <v>20.23</v>
      </c>
      <c r="CE85" t="n">
        <v>4170.35</v>
      </c>
      <c r="CF85" t="inlineStr">
        <is>
          <t>no (máximo en la última lectura o caída &lt; 2 %)</t>
        </is>
      </c>
      <c r="CG85" t="n">
        <v>1468</v>
      </c>
      <c r="CH85" t="inlineStr">
        <is>
          <t>«G. Específica (Promedio)» impresa en la hoja triaxial p.152; no coincide con la Tabla 5 (finos D854 ni gruesos C127); el informe no explica cómo se obtuvo</t>
        </is>
      </c>
      <c r="CI85" t="n">
        <v>0.668</v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>
        <is>
          <t>Triaxial CD</t>
        </is>
      </c>
      <c r="EY85" t="inlineStr">
        <is>
          <t>CD: máximo desviador</t>
        </is>
      </c>
      <c r="EZ85" t="n">
        <v>1204</v>
      </c>
      <c r="FA85" t="n">
        <v>5374</v>
      </c>
      <c r="FB85" t="n">
        <v>4170</v>
      </c>
      <c r="FC85" t="n">
        <v>39.34076494949269</v>
      </c>
      <c r="FD85" t="n">
        <v>1967.25326847066</v>
      </c>
      <c r="FE85" t="n">
        <v>1612.516845707823</v>
      </c>
      <c r="FF85" t="inlineStr">
        <is>
          <t>6 in (≈150 mm)</t>
        </is>
      </c>
      <c r="FG85" t="n">
        <v>6.000000000000001</v>
      </c>
      <c r="FH85" t="inlineStr">
        <is>
          <t>Mezcla co-disposición (desmonte ROM + relave)</t>
        </is>
      </c>
      <c r="FI85" t="inlineStr">
        <is>
          <t>criterio experto: compuesto de desmonte por tipos geoquímicos A/B/C para co-disposición en botadero</t>
        </is>
      </c>
      <c r="FJ85" t="n">
        <v>50</v>
      </c>
      <c r="FK85" t="inlineStr"/>
      <c r="FL85" t="inlineStr"/>
      <c r="FM85" t="inlineStr">
        <is>
          <t>A</t>
        </is>
      </c>
      <c r="FN85" t="n">
        <v>0.67</v>
      </c>
      <c r="FO85" t="inlineStr"/>
      <c r="FP85" t="n">
        <v>3.006</v>
      </c>
      <c r="FQ85" t="inlineStr">
        <is>
          <t>informe o verificación</t>
        </is>
      </c>
      <c r="FR85" t="inlineStr">
        <is>
          <t>G2021-083</t>
        </is>
      </c>
      <c r="FS85" t="inlineStr">
        <is>
          <t>G2021|G21-ALT2-1:1</t>
        </is>
      </c>
    </row>
    <row r="86">
      <c r="A86" t="inlineStr">
        <is>
          <t>G2021</t>
        </is>
      </c>
      <c r="B86" t="inlineStr">
        <is>
          <t>2021_Golder_Ensayos de Laboratorio Commingling.pdf</t>
        </is>
      </c>
      <c r="C86" t="n">
        <v>2021</v>
      </c>
      <c r="D86" t="inlineStr">
        <is>
          <t>Golder Associates Perú (miembro de WSP), informe 101-20110-LTE01220-INF-420-G-0013 Rev. 0 (28/04/2021)</t>
        </is>
      </c>
      <c r="E86" t="inlineStr">
        <is>
          <t>Laboratorio de Mecánica de Suelos de Golder Associates Perú, Lima</t>
        </is>
      </c>
      <c r="F86" t="inlineStr">
        <is>
          <t>G21-ALT4-9:1</t>
        </is>
      </c>
      <c r="G86" t="inlineStr">
        <is>
          <t>II0526-E1</t>
        </is>
      </c>
      <c r="H86" t="inlineStr">
        <is>
          <t>Desmonte Tipo A (intrusivo), Tipo B (mármol y hornfels), Tipo C (hornfels); compuesto 0.35 A : 0.15 B : 0.50 C (masa seca); relave compuesto 0.33 M1 : 0.33 M2A : 0.33 M4B</t>
        </is>
      </c>
      <c r="I86" t="inlineStr">
        <is>
          <t>Mezcla</t>
        </is>
      </c>
      <c r="J86" t="inlineStr">
        <is>
          <t>Tipo B = mármol y hornfels (el informe no separa su reparto); sin subtipos (mármol blanco/negro, skarn, etc.) indicados</t>
        </is>
      </c>
      <c r="K86" t="inlineStr">
        <is>
          <t>Intrusivo 35 %; Mármol + Hornfels 15 % (Tipo B, reparto no indicado); Hornfels 50 % (proporciones del desmonte, masa seca); la mezcla lleva además 10 % de relave en masa seca</t>
        </is>
      </c>
      <c r="L86" t="inlineStr"/>
      <c r="M86" t="inlineStr">
        <is>
          <t>Mezcla co-disposición: desmonte de clase no indicada + 10 % relave</t>
        </is>
      </c>
      <c r="N86" t="inlineStr">
        <is>
          <t>Compuesto de Tipos A, B y C (tipificación geoquímica por potencial de generación de acidez)</t>
        </is>
      </c>
      <c r="O86" t="inlineStr">
        <is>
          <t>CID (triaxial consolidado isotrópicamente drenado, ASTM D7181)</t>
        </is>
      </c>
      <c r="P86" t="inlineStr">
        <is>
          <t>sí</t>
        </is>
      </c>
      <c r="Q86" t="n">
        <v>152.4</v>
      </c>
      <c r="R86" t="n">
        <v>305.1</v>
      </c>
      <c r="S86" t="n">
        <v>25.4</v>
      </c>
      <c r="T86" t="n">
        <v>0.0654</v>
      </c>
      <c r="U86" t="n">
        <v>0.7774</v>
      </c>
      <c r="V86" t="n">
        <v>5.717</v>
      </c>
      <c r="W86" t="n">
        <v>8.5892</v>
      </c>
      <c r="X86" t="n">
        <v>131.25</v>
      </c>
      <c r="Y86" t="n">
        <v>1.08</v>
      </c>
      <c r="Z86" t="n">
        <v>53.7</v>
      </c>
      <c r="AA86" t="n">
        <v>34.9</v>
      </c>
      <c r="AB86" t="n">
        <v>11.4</v>
      </c>
      <c r="AC86" t="inlineStr">
        <is>
          <t>Truncado (scalping): desmonte limitado a partículas &lt; 1" (100 % pasa 25.4 mm); Dmax de terreno no indicado</t>
        </is>
      </c>
      <c r="AD86" t="n">
        <v>2.793</v>
      </c>
      <c r="AE86" t="n">
        <v>17.68</v>
      </c>
      <c r="AF86" t="n">
        <v>0.55</v>
      </c>
      <c r="AG86" t="inlineStr">
        <is>
          <t>informe</t>
        </is>
      </c>
      <c r="AH86" t="inlineStr"/>
      <c r="AI86" t="n">
        <v>1.6</v>
      </c>
      <c r="AJ86" t="inlineStr"/>
      <c r="AK86" t="n">
        <v>102</v>
      </c>
      <c r="AL86" t="n">
        <v>716</v>
      </c>
      <c r="AM86" t="n">
        <v>614</v>
      </c>
      <c r="AN86" t="inlineStr">
        <is>
          <t>Máximo esfuerzo desviador (Tabla 8)</t>
        </is>
      </c>
      <c r="AO86" t="inlineStr"/>
      <c r="AP86" t="n">
        <v>20.22</v>
      </c>
      <c r="AQ86" t="n">
        <v>-2.54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21;157;53</t>
        </is>
      </c>
      <c r="BB86" t="inlineStr">
        <is>
          <t>sí</t>
        </is>
      </c>
      <c r="BC86" t="inlineStr">
        <is>
          <t>CID (ASTM D7181) en celda de 6"; remoldeado a ρd≈1.802 g/cm³ y w=1.6 %; saturado por contrapresión (B=1.0; celda 364 kPa; contrapresión 262 kPa); t90=0.0 min; 0.111 %/min; corrección por membrana. Alternativa 4 (relave cicloneado (~86 % sólidos; 80 % gruesos / 20 % finos)), desmonte:relave 9:1 en masa seca (10 % relave). Tras consolidación (Tabla 8): w=10.1 %, ρd=2.171 g/cm³, e=0.29. Final de corte (Tabla 8): w=9.8 %, ρd=2.228 g/cm³, e=0.25. q_kPa = máximo desviador de la Tabla 8; en la hoja de laboratorio el máximo es 614.5 kPa a εa=20.22 % (σ3'=100.4; σ1'=714.9 kPa); εa y εv salen de esa fila. El máximo coincide con la última lectura (εa≈20.22 %): sin pico, sigue endureciendo al terminar el ensayo. La hoja dice 'Criterio de falla: Esfuerzo Desv. Máximo' pero da σ1'=704 y σ3=102 kPa a εa=16.2 %, que no es el máximo de su tabla; los círculos de Mohr del laboratorio usan esos valores. εv con la convención del informe: negativo = contracción, positivo = dilatación. φsec calculado (c=0) con q de Tabla 8: 48.6°. Envolvente del set: Tabla 7 (p.19) c=62 kPa, φ=40°; hoja de laboratorio (p.161) c=62 kPa, φ=40°. Gs = 'G. Específica Promedio' de la hoja triaxial; SUCS GW-GM; no plástico. γd y e0 = estado remoldeado inicial (antes de saturar). Clase ROM/Chancado/Enrocado no indicada en el informe; A/B/C es tipificación geoquímica. Alteración no indicada.</t>
        </is>
      </c>
      <c r="BD86" t="n">
        <v>102</v>
      </c>
      <c r="BE86" t="n">
        <v>102</v>
      </c>
      <c r="BF86" t="n">
        <v>716</v>
      </c>
      <c r="BG86" t="inlineStr"/>
      <c r="BH86" t="inlineStr"/>
      <c r="BI86" t="inlineStr"/>
      <c r="BJ86" t="inlineStr"/>
      <c r="BK86" t="inlineStr"/>
      <c r="BL86" t="n">
        <v>20.22</v>
      </c>
      <c r="BM86" t="n">
        <v>100.41</v>
      </c>
      <c r="BN86" t="n">
        <v>714.86</v>
      </c>
      <c r="BO86" t="n">
        <v>614.45</v>
      </c>
      <c r="BP86" t="inlineStr"/>
      <c r="BQ86" t="n">
        <v>7.119</v>
      </c>
      <c r="BR86" t="inlineStr">
        <is>
          <t>1</t>
        </is>
      </c>
      <c r="BS86" t="n">
        <v>262</v>
      </c>
      <c r="BT86" t="n">
        <v>0.111</v>
      </c>
      <c r="BU86" t="n">
        <v>21.3</v>
      </c>
      <c r="BV86" t="n">
        <v>0.29</v>
      </c>
      <c r="BW86" t="inlineStr"/>
      <c r="BX86" t="inlineStr"/>
      <c r="BY86" t="inlineStr">
        <is>
          <t>Tabla 8 (p.20-22) y hoja p.157 verificadas en imagen. q_kPa = Tabla 8 (614); máximo de la hoja 614.45 kPa a εa=20.22 % (diferencia +0.5 kPa). Máx. oblicuidad 7.119 a εa=20.22 %. B=1, celda 364 kPa, contrapresión 262 kPa.</t>
        </is>
      </c>
      <c r="BZ86" t="n">
        <v>20.22</v>
      </c>
      <c r="CA86" t="n">
        <v>614.45</v>
      </c>
      <c r="CB86" t="n">
        <v>100.41</v>
      </c>
      <c r="CC86" t="n">
        <v>714.86</v>
      </c>
      <c r="CD86" t="n">
        <v>20.22</v>
      </c>
      <c r="CE86" t="n">
        <v>614.45</v>
      </c>
      <c r="CF86" t="inlineStr">
        <is>
          <t>no (máximo en la última lectura o caída &lt; 2 %)</t>
        </is>
      </c>
      <c r="CG86" t="n">
        <v>364</v>
      </c>
      <c r="CH86" t="inlineStr">
        <is>
          <t>«G. Específica (Promedio)» impresa en la hoja triaxial p.157; no coincide con la Tabla 5 (finos D854 ni gruesos C127); el informe no explica cómo se obtuvo</t>
        </is>
      </c>
      <c r="CI86" t="n">
        <v>0.55</v>
      </c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Triaxial CD</t>
        </is>
      </c>
      <c r="EY86" t="inlineStr">
        <is>
          <t>CD: máximo desviador</t>
        </is>
      </c>
      <c r="EZ86" t="n">
        <v>102</v>
      </c>
      <c r="FA86" t="n">
        <v>716</v>
      </c>
      <c r="FB86" t="n">
        <v>614</v>
      </c>
      <c r="FC86" t="n">
        <v>48.6433537590003</v>
      </c>
      <c r="FD86" t="n">
        <v>178.5623471882641</v>
      </c>
      <c r="FE86" t="n">
        <v>202.8484364411465</v>
      </c>
      <c r="FF86" t="inlineStr">
        <is>
          <t>6 in (≈150 mm)</t>
        </is>
      </c>
      <c r="FG86" t="n">
        <v>6.000000000000001</v>
      </c>
      <c r="FH86" t="inlineStr">
        <is>
          <t>Mezcla co-disposición (desmonte ROM + relave)</t>
        </is>
      </c>
      <c r="FI86" t="inlineStr">
        <is>
          <t>criterio experto: compuesto de desmonte por tipos geoquímicos A/B/C para co-disposición en botadero</t>
        </is>
      </c>
      <c r="FJ86" t="n">
        <v>10</v>
      </c>
      <c r="FK86" t="inlineStr"/>
      <c r="FL86" t="inlineStr"/>
      <c r="FM86" t="inlineStr">
        <is>
          <t>A</t>
        </is>
      </c>
      <c r="FN86" t="n">
        <v>0.55</v>
      </c>
      <c r="FO86" t="inlineStr"/>
      <c r="FP86" t="n">
        <v>2.793</v>
      </c>
      <c r="FQ86" t="inlineStr">
        <is>
          <t>informe o verificación</t>
        </is>
      </c>
      <c r="FR86" t="inlineStr">
        <is>
          <t>G2021-084</t>
        </is>
      </c>
      <c r="FS86" t="inlineStr">
        <is>
          <t>G2021|G21-ALT4-9:1</t>
        </is>
      </c>
    </row>
    <row r="87">
      <c r="A87" t="inlineStr">
        <is>
          <t>G2021</t>
        </is>
      </c>
      <c r="B87" t="inlineStr">
        <is>
          <t>2021_Golder_Ensayos de Laboratorio Commingling.pdf</t>
        </is>
      </c>
      <c r="C87" t="n">
        <v>2021</v>
      </c>
      <c r="D87" t="inlineStr">
        <is>
          <t>Golder Associates Perú (miembro de WSP), informe 101-20110-LTE01220-INF-420-G-0013 Rev. 0 (28/04/2021)</t>
        </is>
      </c>
      <c r="E87" t="inlineStr">
        <is>
          <t>Laboratorio de Mecánica de Suelos de Golder Associates Perú, Lima</t>
        </is>
      </c>
      <c r="F87" t="inlineStr">
        <is>
          <t>G21-ALT4-9:1</t>
        </is>
      </c>
      <c r="G87" t="inlineStr">
        <is>
          <t>II0526-E2</t>
        </is>
      </c>
      <c r="H87" t="inlineStr">
        <is>
          <t>Desmonte Tipo A (intrusivo), Tipo B (mármol y hornfels), Tipo C (hornfels); compuesto 0.35 A : 0.15 B : 0.50 C (masa seca); relave compuesto 0.33 M1 : 0.33 M2A : 0.33 M4B</t>
        </is>
      </c>
      <c r="I87" t="inlineStr">
        <is>
          <t>Mezcla</t>
        </is>
      </c>
      <c r="J87" t="inlineStr">
        <is>
          <t>Tipo B = mármol y hornfels (el informe no separa su reparto); sin subtipos (mármol blanco/negro, skarn, etc.) indicados</t>
        </is>
      </c>
      <c r="K87" t="inlineStr">
        <is>
          <t>Intrusivo 35 %; Mármol + Hornfels 15 % (Tipo B, reparto no indicado); Hornfels 50 % (proporciones del desmonte, masa seca); la mezcla lleva además 10 % de relave en masa seca</t>
        </is>
      </c>
      <c r="L87" t="inlineStr"/>
      <c r="M87" t="inlineStr">
        <is>
          <t>Mezcla co-disposición: desmonte de clase no indicada + 10 % relave</t>
        </is>
      </c>
      <c r="N87" t="inlineStr">
        <is>
          <t>Compuesto de Tipos A, B y C (tipificación geoquímica por potencial de generación de acidez)</t>
        </is>
      </c>
      <c r="O87" t="inlineStr">
        <is>
          <t>CID (triaxial consolidado isotrópicamente drenado, ASTM D7181)</t>
        </is>
      </c>
      <c r="P87" t="inlineStr">
        <is>
          <t>sí</t>
        </is>
      </c>
      <c r="Q87" t="n">
        <v>152.4</v>
      </c>
      <c r="R87" t="n">
        <v>305.1</v>
      </c>
      <c r="S87" t="n">
        <v>25.4</v>
      </c>
      <c r="T87" t="n">
        <v>0.0654</v>
      </c>
      <c r="U87" t="n">
        <v>0.7774</v>
      </c>
      <c r="V87" t="n">
        <v>5.717</v>
      </c>
      <c r="W87" t="n">
        <v>8.5892</v>
      </c>
      <c r="X87" t="n">
        <v>131.25</v>
      </c>
      <c r="Y87" t="n">
        <v>1.08</v>
      </c>
      <c r="Z87" t="n">
        <v>53.7</v>
      </c>
      <c r="AA87" t="n">
        <v>34.9</v>
      </c>
      <c r="AB87" t="n">
        <v>11.4</v>
      </c>
      <c r="AC87" t="inlineStr">
        <is>
          <t>Truncado (scalping): desmonte limitado a partículas &lt; 1" (100 % pasa 25.4 mm); Dmax de terreno no indicado</t>
        </is>
      </c>
      <c r="AD87" t="n">
        <v>2.793</v>
      </c>
      <c r="AE87" t="n">
        <v>17.68</v>
      </c>
      <c r="AF87" t="n">
        <v>0.55</v>
      </c>
      <c r="AG87" t="inlineStr">
        <is>
          <t>informe</t>
        </is>
      </c>
      <c r="AH87" t="inlineStr"/>
      <c r="AI87" t="n">
        <v>1.6</v>
      </c>
      <c r="AJ87" t="inlineStr"/>
      <c r="AK87" t="n">
        <v>409</v>
      </c>
      <c r="AL87" t="n">
        <v>2227</v>
      </c>
      <c r="AM87" t="n">
        <v>1818</v>
      </c>
      <c r="AN87" t="inlineStr">
        <is>
          <t>Máximo esfuerzo desviador (Tabla 8)</t>
        </is>
      </c>
      <c r="AO87" t="inlineStr"/>
      <c r="AP87" t="n">
        <v>20.23</v>
      </c>
      <c r="AQ87" t="n">
        <v>-3.31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21;158;53</t>
        </is>
      </c>
      <c r="BB87" t="inlineStr">
        <is>
          <t>sí</t>
        </is>
      </c>
      <c r="BC87" t="inlineStr">
        <is>
          <t>CID (ASTM D7181) en celda de 6"; remoldeado a ρd≈1.802 g/cm³ y w=1.6 %; saturado por contrapresión (B=0.99; celda 673 kPa; contrapresión 264 kPa); t90=0.0 min; 0.111 %/min; corrección por membrana. Alternativa 4 (relave cicloneado (~86 % sólidos; 80 % gruesos / 20 % finos)), desmonte:relave 9:1 en masa seca (10 % relave). Tras consolidación (Tabla 8): w=9.2 %, ρd=2.218 g/cm³, e=0.26. Final de corte (Tabla 8): w=7.7 %, ρd=2.294 g/cm³, e=0.22. q_kPa = máximo desviador de la Tabla 8; en la hoja de laboratorio el máximo es 1818.4 kPa a εa=20.23 % (σ3'=407.8; σ1'=2226.2 kPa); εa y εv salen de esa fila. El máximo coincide con la última lectura (εa≈20.23 %): sin pico, sigue endureciendo al terminar el ensayo. La hoja dice 'Criterio de falla: Esfuerzo Desv. Máximo' pero da σ1'=2210 y σ3=409 kPa a εa=16.2 %, que no es el máximo de su tabla; los círculos de Mohr del laboratorio usan esos valores. εv con la convención del informe: negativo = contracción, positivo = dilatación. φsec calculado (c=0) con q de Tabla 8: 43.6°. Envolvente del set: Tabla 7 (p.19) c=62 kPa, φ=40°; hoja de laboratorio (p.161) c=62 kPa, φ=40°. Gs = 'G. Específica Promedio' de la hoja triaxial; SUCS GW-GM; no plástico. γd y e0 = estado remoldeado inicial (antes de saturar). Clase ROM/Chancado/Enrocado no indicada en el informe; A/B/C es tipificación geoquímica. Alteración no indicada.</t>
        </is>
      </c>
      <c r="BD87" t="n">
        <v>409</v>
      </c>
      <c r="BE87" t="n">
        <v>409</v>
      </c>
      <c r="BF87" t="n">
        <v>2227</v>
      </c>
      <c r="BG87" t="inlineStr"/>
      <c r="BH87" t="inlineStr"/>
      <c r="BI87" t="inlineStr"/>
      <c r="BJ87" t="inlineStr"/>
      <c r="BK87" t="inlineStr"/>
      <c r="BL87" t="n">
        <v>20.23</v>
      </c>
      <c r="BM87" t="n">
        <v>407.78</v>
      </c>
      <c r="BN87" t="n">
        <v>2226.17</v>
      </c>
      <c r="BO87" t="n">
        <v>1818.39</v>
      </c>
      <c r="BP87" t="inlineStr"/>
      <c r="BQ87" t="n">
        <v>5.459</v>
      </c>
      <c r="BR87" t="inlineStr">
        <is>
          <t>0.99</t>
        </is>
      </c>
      <c r="BS87" t="n">
        <v>264</v>
      </c>
      <c r="BT87" t="n">
        <v>0.111</v>
      </c>
      <c r="BU87" t="n">
        <v>21.76</v>
      </c>
      <c r="BV87" t="n">
        <v>0.26</v>
      </c>
      <c r="BW87" t="inlineStr"/>
      <c r="BX87" t="inlineStr"/>
      <c r="BY87" t="inlineStr">
        <is>
          <t>Tabla 8 (p.20-22) y hoja p.158 verificadas en imagen. q_kPa = Tabla 8 (1818); máximo de la hoja 1818.39 kPa a εa=20.23 % (diferencia +0.4 kPa). Máx. oblicuidad 5.459 a εa=20.23 %. B=0.99, celda 673 kPa, contrapresión 264 kPa.</t>
        </is>
      </c>
      <c r="BZ87" t="n">
        <v>20.23</v>
      </c>
      <c r="CA87" t="n">
        <v>1818.39</v>
      </c>
      <c r="CB87" t="n">
        <v>407.78</v>
      </c>
      <c r="CC87" t="n">
        <v>2226.17</v>
      </c>
      <c r="CD87" t="n">
        <v>20.23</v>
      </c>
      <c r="CE87" t="n">
        <v>1818.39</v>
      </c>
      <c r="CF87" t="inlineStr">
        <is>
          <t>no (máximo en la última lectura o caída &lt; 2 %)</t>
        </is>
      </c>
      <c r="CG87" t="n">
        <v>673</v>
      </c>
      <c r="CH87" t="inlineStr">
        <is>
          <t>«G. Específica (Promedio)» impresa en la hoja triaxial p.158; no coincide con la Tabla 5 (finos D854 ni gruesos C127); el informe no explica cómo se obtuvo</t>
        </is>
      </c>
      <c r="CI87" t="n">
        <v>0.55</v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>
        <is>
          <t>Triaxial CD</t>
        </is>
      </c>
      <c r="EY87" t="inlineStr">
        <is>
          <t>CD: máximo desviador</t>
        </is>
      </c>
      <c r="EZ87" t="n">
        <v>409</v>
      </c>
      <c r="FA87" t="n">
        <v>2227</v>
      </c>
      <c r="FB87" t="n">
        <v>1818</v>
      </c>
      <c r="FC87" t="n">
        <v>43.60488909212388</v>
      </c>
      <c r="FD87" t="n">
        <v>691.0796661608498</v>
      </c>
      <c r="FE87" t="n">
        <v>658.2187288576712</v>
      </c>
      <c r="FF87" t="inlineStr">
        <is>
          <t>6 in (≈150 mm)</t>
        </is>
      </c>
      <c r="FG87" t="n">
        <v>6.000000000000001</v>
      </c>
      <c r="FH87" t="inlineStr">
        <is>
          <t>Mezcla co-disposición (desmonte ROM + relave)</t>
        </is>
      </c>
      <c r="FI87" t="inlineStr">
        <is>
          <t>criterio experto: compuesto de desmonte por tipos geoquímicos A/B/C para co-disposición en botadero</t>
        </is>
      </c>
      <c r="FJ87" t="n">
        <v>10</v>
      </c>
      <c r="FK87" t="inlineStr"/>
      <c r="FL87" t="inlineStr"/>
      <c r="FM87" t="inlineStr">
        <is>
          <t>A</t>
        </is>
      </c>
      <c r="FN87" t="n">
        <v>0.55</v>
      </c>
      <c r="FO87" t="inlineStr"/>
      <c r="FP87" t="n">
        <v>2.793</v>
      </c>
      <c r="FQ87" t="inlineStr">
        <is>
          <t>informe o verificación</t>
        </is>
      </c>
      <c r="FR87" t="inlineStr">
        <is>
          <t>G2021-085</t>
        </is>
      </c>
      <c r="FS87" t="inlineStr">
        <is>
          <t>G2021|G21-ALT4-9:1</t>
        </is>
      </c>
    </row>
    <row r="88">
      <c r="A88" t="inlineStr">
        <is>
          <t>G2021</t>
        </is>
      </c>
      <c r="B88" t="inlineStr">
        <is>
          <t>2021_Golder_Ensayos de Laboratorio Commingling.pdf</t>
        </is>
      </c>
      <c r="C88" t="n">
        <v>2021</v>
      </c>
      <c r="D88" t="inlineStr">
        <is>
          <t>Golder Associates Perú (miembro de WSP), informe 101-20110-LTE01220-INF-420-G-0013 Rev. 0 (28/04/2021)</t>
        </is>
      </c>
      <c r="E88" t="inlineStr">
        <is>
          <t>Laboratorio de Mecánica de Suelos de Golder Associates Perú, Lima</t>
        </is>
      </c>
      <c r="F88" t="inlineStr">
        <is>
          <t>G21-ALT4-9:1</t>
        </is>
      </c>
      <c r="G88" t="inlineStr">
        <is>
          <t>II0526-E3</t>
        </is>
      </c>
      <c r="H88" t="inlineStr">
        <is>
          <t>Desmonte Tipo A (intrusivo), Tipo B (mármol y hornfels), Tipo C (hornfels); compuesto 0.35 A : 0.15 B : 0.50 C (masa seca); relave compuesto 0.33 M1 : 0.33 M2A : 0.33 M4B</t>
        </is>
      </c>
      <c r="I88" t="inlineStr">
        <is>
          <t>Mezcla</t>
        </is>
      </c>
      <c r="J88" t="inlineStr">
        <is>
          <t>Tipo B = mármol y hornfels (el informe no separa su reparto); sin subtipos (mármol blanco/negro, skarn, etc.) indicados</t>
        </is>
      </c>
      <c r="K88" t="inlineStr">
        <is>
          <t>Intrusivo 35 %; Mármol + Hornfels 15 % (Tipo B, reparto no indicado); Hornfels 50 % (proporciones del desmonte, masa seca); la mezcla lleva además 10 % de relave en masa seca</t>
        </is>
      </c>
      <c r="L88" t="inlineStr"/>
      <c r="M88" t="inlineStr">
        <is>
          <t>Mezcla co-disposición: desmonte de clase no indicada + 10 % relave</t>
        </is>
      </c>
      <c r="N88" t="inlineStr">
        <is>
          <t>Compuesto de Tipos A, B y C (tipificación geoquímica por potencial de generación de acidez)</t>
        </is>
      </c>
      <c r="O88" t="inlineStr">
        <is>
          <t>CID (triaxial consolidado isotrópicamente drenado, ASTM D7181)</t>
        </is>
      </c>
      <c r="P88" t="inlineStr">
        <is>
          <t>sí</t>
        </is>
      </c>
      <c r="Q88" t="n">
        <v>152.4</v>
      </c>
      <c r="R88" t="n">
        <v>305.1</v>
      </c>
      <c r="S88" t="n">
        <v>25.4</v>
      </c>
      <c r="T88" t="n">
        <v>0.0654</v>
      </c>
      <c r="U88" t="n">
        <v>0.7774</v>
      </c>
      <c r="V88" t="n">
        <v>5.717</v>
      </c>
      <c r="W88" t="n">
        <v>8.5892</v>
      </c>
      <c r="X88" t="n">
        <v>131.25</v>
      </c>
      <c r="Y88" t="n">
        <v>1.08</v>
      </c>
      <c r="Z88" t="n">
        <v>53.7</v>
      </c>
      <c r="AA88" t="n">
        <v>34.9</v>
      </c>
      <c r="AB88" t="n">
        <v>11.4</v>
      </c>
      <c r="AC88" t="inlineStr">
        <is>
          <t>Truncado (scalping): desmonte limitado a partículas &lt; 1" (100 % pasa 25.4 mm); Dmax de terreno no indicado</t>
        </is>
      </c>
      <c r="AD88" t="n">
        <v>2.793</v>
      </c>
      <c r="AE88" t="n">
        <v>17.68</v>
      </c>
      <c r="AF88" t="n">
        <v>0.55</v>
      </c>
      <c r="AG88" t="inlineStr">
        <is>
          <t>informe</t>
        </is>
      </c>
      <c r="AH88" t="inlineStr"/>
      <c r="AI88" t="n">
        <v>1.6</v>
      </c>
      <c r="AJ88" t="inlineStr"/>
      <c r="AK88" t="n">
        <v>1202</v>
      </c>
      <c r="AL88" t="n">
        <v>5872</v>
      </c>
      <c r="AM88" t="n">
        <v>4670</v>
      </c>
      <c r="AN88" t="inlineStr">
        <is>
          <t>Máximo esfuerzo desviador (Tabla 8)</t>
        </is>
      </c>
      <c r="AO88" t="inlineStr"/>
      <c r="AP88" t="n">
        <v>14.12</v>
      </c>
      <c r="AQ88" t="n">
        <v>-4.17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21;159;53</t>
        </is>
      </c>
      <c r="BB88" t="inlineStr">
        <is>
          <t>sí</t>
        </is>
      </c>
      <c r="BC88" t="inlineStr">
        <is>
          <t>CID (ASTM D7181) en celda de 6"; remoldeado a ρd≈1.802 g/cm³ y w=1.6 %; saturado por contrapresión (B=1.0; celda 1470 kPa; contrapresión 268 kPa); t90=0.0 min; 0.111 %/min; corrección por membrana. Alternativa 4 (relave cicloneado (~86 % sólidos; 80 % gruesos / 20 % finos)), desmonte:relave 9:1 en masa seca (10 % relave). Tras consolidación (Tabla 8): w=8.6 %, ρd=2.247 g/cm³, e=0.24. Final de corte (Tabla 8): w=6.7 %, ρd=2.348 g/cm³, e=0.19. q_kPa = máximo desviador de la Tabla 8; en la hoja de laboratorio el máximo es 4670.1 kPa a εa=14.12 % (σ3'=1200.9; σ1'=5870.9 kPa); εa y εv salen de esa fila. La hoja dice 'Criterio de falla: Esfuerzo Desv. Máximo' pero da σ1'=5853 y σ3=1202 kPa a εa=16.3 %, que no es el máximo de su tabla; los círculos de Mohr del laboratorio usan esos valores. εv con la convención del informe: negativo = contracción, positivo = dilatación. φsec calculado (c=0) con q de Tabla 8: 41.3°. Envolvente del set: Tabla 7 (p.19) c=62 kPa, φ=40°; hoja de laboratorio (p.161) c=62 kPa, φ=40°. Gs = 'G. Específica Promedio' de la hoja triaxial; SUCS GW-GM; no plástico. γd y e0 = estado remoldeado inicial (antes de saturar). Clase ROM/Chancado/Enrocado no indicada en el informe; A/B/C es tipificación geoquímica. Alteración no indicada.</t>
        </is>
      </c>
      <c r="BD88" t="n">
        <v>1202</v>
      </c>
      <c r="BE88" t="n">
        <v>1202</v>
      </c>
      <c r="BF88" t="n">
        <v>5872</v>
      </c>
      <c r="BG88" t="inlineStr"/>
      <c r="BH88" t="inlineStr"/>
      <c r="BI88" t="inlineStr"/>
      <c r="BJ88" t="inlineStr"/>
      <c r="BK88" t="inlineStr"/>
      <c r="BL88" t="n">
        <v>14.12</v>
      </c>
      <c r="BM88" t="n">
        <v>1200.87</v>
      </c>
      <c r="BN88" t="n">
        <v>5870.95</v>
      </c>
      <c r="BO88" t="n">
        <v>4670.07</v>
      </c>
      <c r="BP88" t="inlineStr"/>
      <c r="BQ88" t="n">
        <v>4.889</v>
      </c>
      <c r="BR88" t="inlineStr">
        <is>
          <t>1</t>
        </is>
      </c>
      <c r="BS88" t="n">
        <v>268</v>
      </c>
      <c r="BT88" t="n">
        <v>0.111</v>
      </c>
      <c r="BU88" t="n">
        <v>22.04</v>
      </c>
      <c r="BV88" t="n">
        <v>0.24</v>
      </c>
      <c r="BW88" t="inlineStr"/>
      <c r="BX88" t="inlineStr"/>
      <c r="BY88" t="inlineStr">
        <is>
          <t>Tabla 8 (p.20-22) y hoja p.159 verificadas en imagen. q_kPa = Tabla 8 (4670); máximo de la hoja 4670.07 kPa a εa=14.12 % (diferencia +0.1 kPa). Máx. oblicuidad 4.889 a εa=14.12 %. B=1, celda 1470 kPa, contrapresión 268 kPa.</t>
        </is>
      </c>
      <c r="BZ88" t="n">
        <v>14.12</v>
      </c>
      <c r="CA88" t="n">
        <v>4670.07</v>
      </c>
      <c r="CB88" t="n">
        <v>1200.87</v>
      </c>
      <c r="CC88" t="n">
        <v>5870.95</v>
      </c>
      <c r="CD88" t="n">
        <v>20.04</v>
      </c>
      <c r="CE88" t="n">
        <v>4649.05</v>
      </c>
      <c r="CF88" t="inlineStr">
        <is>
          <t>no (máximo en la última lectura o caída &lt; 2 %)</t>
        </is>
      </c>
      <c r="CG88" t="n">
        <v>1470</v>
      </c>
      <c r="CH88" t="inlineStr">
        <is>
          <t>«G. Específica (Promedio)» impresa en la hoja triaxial p.159; no coincide con la Tabla 5 (finos D854 ni gruesos C127); el informe no explica cómo se obtuvo</t>
        </is>
      </c>
      <c r="CI88" t="n">
        <v>0.55</v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>
        <is>
          <t>Triaxial CD</t>
        </is>
      </c>
      <c r="EY88" t="inlineStr">
        <is>
          <t>CD: máximo desviador</t>
        </is>
      </c>
      <c r="EZ88" t="n">
        <v>1202</v>
      </c>
      <c r="FA88" t="n">
        <v>5872</v>
      </c>
      <c r="FB88" t="n">
        <v>4670</v>
      </c>
      <c r="FC88" t="n">
        <v>41.31238009589537</v>
      </c>
      <c r="FD88" t="n">
        <v>1995.517104891151</v>
      </c>
      <c r="FE88" t="n">
        <v>1753.86871917109</v>
      </c>
      <c r="FF88" t="inlineStr">
        <is>
          <t>6 in (≈150 mm)</t>
        </is>
      </c>
      <c r="FG88" t="n">
        <v>6.000000000000001</v>
      </c>
      <c r="FH88" t="inlineStr">
        <is>
          <t>Mezcla co-disposición (desmonte ROM + relave)</t>
        </is>
      </c>
      <c r="FI88" t="inlineStr">
        <is>
          <t>criterio experto: compuesto de desmonte por tipos geoquímicos A/B/C para co-disposición en botadero</t>
        </is>
      </c>
      <c r="FJ88" t="n">
        <v>10</v>
      </c>
      <c r="FK88" t="inlineStr"/>
      <c r="FL88" t="inlineStr"/>
      <c r="FM88" t="inlineStr">
        <is>
          <t>A</t>
        </is>
      </c>
      <c r="FN88" t="n">
        <v>0.55</v>
      </c>
      <c r="FO88" t="inlineStr"/>
      <c r="FP88" t="n">
        <v>2.793</v>
      </c>
      <c r="FQ88" t="inlineStr">
        <is>
          <t>informe o verificación</t>
        </is>
      </c>
      <c r="FR88" t="inlineStr">
        <is>
          <t>G2021-086</t>
        </is>
      </c>
      <c r="FS88" t="inlineStr">
        <is>
          <t>G2021|G21-ALT4-9:1</t>
        </is>
      </c>
    </row>
    <row r="89">
      <c r="A89" t="inlineStr">
        <is>
          <t>G2021</t>
        </is>
      </c>
      <c r="B89" t="inlineStr">
        <is>
          <t>2021_Golder_Ensayos de Laboratorio Commingling.pdf</t>
        </is>
      </c>
      <c r="C89" t="n">
        <v>2021</v>
      </c>
      <c r="D89" t="inlineStr">
        <is>
          <t>Golder Associates Perú (miembro de WSP), informe 101-20110-LTE01220-INF-420-G-0013 Rev. 0 (28/04/2021)</t>
        </is>
      </c>
      <c r="E89" t="inlineStr">
        <is>
          <t>Laboratorio de Mecánica de Suelos de Golder Associates Perú, Lima</t>
        </is>
      </c>
      <c r="F89" t="inlineStr">
        <is>
          <t>G21-ALT4-4:1</t>
        </is>
      </c>
      <c r="G89" t="inlineStr">
        <is>
          <t>II0527-E1</t>
        </is>
      </c>
      <c r="H89" t="inlineStr">
        <is>
          <t>Desmonte Tipo A (intrusivo), Tipo B (mármol y hornfels), Tipo C (hornfels); compuesto 0.35 A : 0.15 B : 0.50 C (masa seca); relave compuesto 0.33 M1 : 0.33 M2A : 0.33 M4B</t>
        </is>
      </c>
      <c r="I89" t="inlineStr">
        <is>
          <t>Mezcla</t>
        </is>
      </c>
      <c r="J89" t="inlineStr">
        <is>
          <t>Tipo B = mármol y hornfels (el informe no separa su reparto); sin subtipos (mármol blanco/negro, skarn, etc.) indicados</t>
        </is>
      </c>
      <c r="K89" t="inlineStr">
        <is>
          <t>Intrusivo 35 %; Mármol + Hornfels 15 % (Tipo B, reparto no indicado); Hornfels 50 % (proporciones del desmonte, masa seca); la mezcla lleva además 20 % de relave en masa seca</t>
        </is>
      </c>
      <c r="L89" t="inlineStr"/>
      <c r="M89" t="inlineStr">
        <is>
          <t>Mezcla co-disposición: desmonte de clase no indicada + 20 % relave</t>
        </is>
      </c>
      <c r="N89" t="inlineStr">
        <is>
          <t>Compuesto de Tipos A, B y C (tipificación geoquímica por potencial de generación de acidez)</t>
        </is>
      </c>
      <c r="O89" t="inlineStr">
        <is>
          <t>CID (triaxial consolidado isotrópicamente drenado, ASTM D7181)</t>
        </is>
      </c>
      <c r="P89" t="inlineStr">
        <is>
          <t>sí</t>
        </is>
      </c>
      <c r="Q89" t="n">
        <v>152.4</v>
      </c>
      <c r="R89" t="n">
        <v>305.1</v>
      </c>
      <c r="S89" t="n">
        <v>25.4</v>
      </c>
      <c r="T89" t="n">
        <v>0.0593</v>
      </c>
      <c r="U89" t="n">
        <v>0.314</v>
      </c>
      <c r="V89" t="n">
        <v>4.0732</v>
      </c>
      <c r="W89" t="n">
        <v>7.1259</v>
      </c>
      <c r="X89" t="n">
        <v>120.18</v>
      </c>
      <c r="Y89" t="n">
        <v>0.23</v>
      </c>
      <c r="Z89" t="n">
        <v>47.7</v>
      </c>
      <c r="AA89" t="n">
        <v>39.6</v>
      </c>
      <c r="AB89" t="n">
        <v>12.7</v>
      </c>
      <c r="AC89" t="inlineStr">
        <is>
          <t>Truncado (scalping): desmonte limitado a partículas &lt; 1" (100 % pasa 25.4 mm); Dmax de terreno no indicado</t>
        </is>
      </c>
      <c r="AD89" t="n">
        <v>2.846</v>
      </c>
      <c r="AE89" t="n">
        <v>17.68</v>
      </c>
      <c r="AF89" t="n">
        <v>0.58</v>
      </c>
      <c r="AG89" t="inlineStr">
        <is>
          <t>informe</t>
        </is>
      </c>
      <c r="AH89" t="inlineStr"/>
      <c r="AI89" t="n">
        <v>3.3</v>
      </c>
      <c r="AJ89" t="inlineStr"/>
      <c r="AK89" t="n">
        <v>98</v>
      </c>
      <c r="AL89" t="n">
        <v>700</v>
      </c>
      <c r="AM89" t="n">
        <v>602</v>
      </c>
      <c r="AN89" t="inlineStr">
        <is>
          <t>Máximo esfuerzo desviador (Tabla 8)</t>
        </is>
      </c>
      <c r="AO89" t="inlineStr"/>
      <c r="AP89" t="n">
        <v>20.05</v>
      </c>
      <c r="AQ89" t="n">
        <v>-2.63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21;164;54</t>
        </is>
      </c>
      <c r="BB89" t="inlineStr">
        <is>
          <t>sí</t>
        </is>
      </c>
      <c r="BC89" t="inlineStr">
        <is>
          <t>CID (ASTM D7181) en celda de 6"; remoldeado a ρd≈1.802 g/cm³ y w=3.3 %; saturado por contrapresión (B=0.98; celda 366 kPa; contrapresión 268 kPa); t90=0.7 min; 0.111 %/min; corrección por membrana. Alternativa 4 (relave cicloneado (~86 % sólidos; 80 % gruesos / 20 % finos)), desmonte:relave 4:1 en masa seca (20 % relave). Tras consolidación (Tabla 8): w=10.1 %, ρd=2.207 g/cm³, e=0.29. Final de corte (Tabla 8): w=8.9 %, ρd=2.266 g/cm³, e=0.26. q_kPa = máximo desviador de la Tabla 8; en la hoja de laboratorio el máximo es 602.4 kPa a εa=20.05 % (σ3'=98.4; σ1'=700.8 kPa); εa y εv salen de esa fila. El máximo coincide con la última lectura (εa≈20.05 %): sin pico, sigue endureciendo al terminar el ensayo. La hoja dice 'Criterio de falla: Esfuerzo Desv. Máximo' pero da σ1'=667 y σ3=98 kPa a εa=16.2 %, que no es el máximo de su tabla; los círculos de Mohr del laboratorio usan esos valores. εv con la convención del informe: negativo = contracción, positivo = dilatación. φsec calculado (c=0) con q de Tabla 8: 49.0°. Envolvente del set: Tabla 7 (p.19) c=66 kPa, φ=39°; hoja de laboratorio (p.168) c=66 kPa, φ=39°.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89" t="n">
        <v>98</v>
      </c>
      <c r="BE89" t="n">
        <v>98</v>
      </c>
      <c r="BF89" t="n">
        <v>700</v>
      </c>
      <c r="BG89" t="inlineStr"/>
      <c r="BH89" t="inlineStr"/>
      <c r="BI89" t="inlineStr"/>
      <c r="BJ89" t="inlineStr"/>
      <c r="BK89" t="inlineStr"/>
      <c r="BL89" t="n">
        <v>20.05</v>
      </c>
      <c r="BM89" t="n">
        <v>98.44</v>
      </c>
      <c r="BN89" t="n">
        <v>700.83</v>
      </c>
      <c r="BO89" t="n">
        <v>602.39</v>
      </c>
      <c r="BP89" t="inlineStr"/>
      <c r="BQ89" t="n">
        <v>7.119</v>
      </c>
      <c r="BR89" t="inlineStr">
        <is>
          <t>0.98</t>
        </is>
      </c>
      <c r="BS89" t="n">
        <v>268</v>
      </c>
      <c r="BT89" t="n">
        <v>0.111</v>
      </c>
      <c r="BU89" t="n">
        <v>21.65</v>
      </c>
      <c r="BV89" t="n">
        <v>0.29</v>
      </c>
      <c r="BW89" t="inlineStr"/>
      <c r="BX89" t="inlineStr"/>
      <c r="BY89" t="inlineStr">
        <is>
          <t>Tabla 8 (p.20-22) y hoja p.164 verificadas en imagen. q_kPa = Tabla 8 (602); máximo de la hoja 602.39 kPa a εa=20.05 % (diferencia +0.4 kPa). Máx. oblicuidad 7.119 a εa=20.05 %. B=0.98, celda 366 kPa, contrapresión 268 kPa.</t>
        </is>
      </c>
      <c r="BZ89" t="n">
        <v>20.05</v>
      </c>
      <c r="CA89" t="n">
        <v>602.39</v>
      </c>
      <c r="CB89" t="n">
        <v>98.44</v>
      </c>
      <c r="CC89" t="n">
        <v>700.83</v>
      </c>
      <c r="CD89" t="n">
        <v>20.05</v>
      </c>
      <c r="CE89" t="n">
        <v>602.39</v>
      </c>
      <c r="CF89" t="inlineStr">
        <is>
          <t>no (máximo en la última lectura o caída &lt; 2 %)</t>
        </is>
      </c>
      <c r="CG89" t="n">
        <v>366</v>
      </c>
      <c r="CH89" t="inlineStr">
        <is>
          <t>«G. Específica (Promedio)» impresa en la hoja triaxial p.164; no coincide con la Tabla 5 (finos D854 ni gruesos C127); el informe no explica cómo se obtuvo</t>
        </is>
      </c>
      <c r="CI89" t="n">
        <v>0.579</v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>
        <is>
          <t>Triaxial CD</t>
        </is>
      </c>
      <c r="EY89" t="inlineStr">
        <is>
          <t>CD: máximo desviador</t>
        </is>
      </c>
      <c r="EZ89" t="n">
        <v>98</v>
      </c>
      <c r="FA89" t="n">
        <v>700</v>
      </c>
      <c r="FB89" t="n">
        <v>602</v>
      </c>
      <c r="FC89" t="n">
        <v>48.9717456300779</v>
      </c>
      <c r="FD89" t="n">
        <v>171.9298245614035</v>
      </c>
      <c r="FE89" t="n">
        <v>197.5857672664835</v>
      </c>
      <c r="FF89" t="inlineStr">
        <is>
          <t>6 in (≈150 mm)</t>
        </is>
      </c>
      <c r="FG89" t="n">
        <v>6.000000000000001</v>
      </c>
      <c r="FH89" t="inlineStr">
        <is>
          <t>Mezcla co-disposición (desmonte ROM + relave)</t>
        </is>
      </c>
      <c r="FI89" t="inlineStr">
        <is>
          <t>criterio experto: compuesto de desmonte por tipos geoquímicos A/B/C para co-disposición en botadero</t>
        </is>
      </c>
      <c r="FJ89" t="n">
        <v>20</v>
      </c>
      <c r="FK89" t="inlineStr"/>
      <c r="FL89" t="inlineStr"/>
      <c r="FM89" t="inlineStr">
        <is>
          <t>A</t>
        </is>
      </c>
      <c r="FN89" t="n">
        <v>0.58</v>
      </c>
      <c r="FO89" t="inlineStr"/>
      <c r="FP89" t="n">
        <v>2.846</v>
      </c>
      <c r="FQ89" t="inlineStr">
        <is>
          <t>informe o verificación</t>
        </is>
      </c>
      <c r="FR89" t="inlineStr">
        <is>
          <t>G2021-087</t>
        </is>
      </c>
      <c r="FS89" t="inlineStr">
        <is>
          <t>G2021|G21-ALT4-4:1</t>
        </is>
      </c>
    </row>
    <row r="90">
      <c r="A90" t="inlineStr">
        <is>
          <t>G2021</t>
        </is>
      </c>
      <c r="B90" t="inlineStr">
        <is>
          <t>2021_Golder_Ensayos de Laboratorio Commingling.pdf</t>
        </is>
      </c>
      <c r="C90" t="n">
        <v>2021</v>
      </c>
      <c r="D90" t="inlineStr">
        <is>
          <t>Golder Associates Perú (miembro de WSP), informe 101-20110-LTE01220-INF-420-G-0013 Rev. 0 (28/04/2021)</t>
        </is>
      </c>
      <c r="E90" t="inlineStr">
        <is>
          <t>Laboratorio de Mecánica de Suelos de Golder Associates Perú, Lima</t>
        </is>
      </c>
      <c r="F90" t="inlineStr">
        <is>
          <t>G21-ALT4-4:1</t>
        </is>
      </c>
      <c r="G90" t="inlineStr">
        <is>
          <t>II0527-E2</t>
        </is>
      </c>
      <c r="H90" t="inlineStr">
        <is>
          <t>Desmonte Tipo A (intrusivo), Tipo B (mármol y hornfels), Tipo C (hornfels); compuesto 0.35 A : 0.15 B : 0.50 C (masa seca); relave compuesto 0.33 M1 : 0.33 M2A : 0.33 M4B</t>
        </is>
      </c>
      <c r="I90" t="inlineStr">
        <is>
          <t>Mezcla</t>
        </is>
      </c>
      <c r="J90" t="inlineStr">
        <is>
          <t>Tipo B = mármol y hornfels (el informe no separa su reparto); sin subtipos (mármol blanco/negro, skarn, etc.) indicados</t>
        </is>
      </c>
      <c r="K90" t="inlineStr">
        <is>
          <t>Intrusivo 35 %; Mármol + Hornfels 15 % (Tipo B, reparto no indicado); Hornfels 50 % (proporciones del desmonte, masa seca); la mezcla lleva además 20 % de relave en masa seca</t>
        </is>
      </c>
      <c r="L90" t="inlineStr"/>
      <c r="M90" t="inlineStr">
        <is>
          <t>Mezcla co-disposición: desmonte de clase no indicada + 20 % relave</t>
        </is>
      </c>
      <c r="N90" t="inlineStr">
        <is>
          <t>Compuesto de Tipos A, B y C (tipificación geoquímica por potencial de generación de acidez)</t>
        </is>
      </c>
      <c r="O90" t="inlineStr">
        <is>
          <t>CID (triaxial consolidado isotrópicamente drenado, ASTM D7181)</t>
        </is>
      </c>
      <c r="P90" t="inlineStr">
        <is>
          <t>sí</t>
        </is>
      </c>
      <c r="Q90" t="n">
        <v>152.4</v>
      </c>
      <c r="R90" t="n">
        <v>305.1</v>
      </c>
      <c r="S90" t="n">
        <v>25.4</v>
      </c>
      <c r="T90" t="n">
        <v>0.0593</v>
      </c>
      <c r="U90" t="n">
        <v>0.314</v>
      </c>
      <c r="V90" t="n">
        <v>4.0732</v>
      </c>
      <c r="W90" t="n">
        <v>7.1259</v>
      </c>
      <c r="X90" t="n">
        <v>120.18</v>
      </c>
      <c r="Y90" t="n">
        <v>0.23</v>
      </c>
      <c r="Z90" t="n">
        <v>47.7</v>
      </c>
      <c r="AA90" t="n">
        <v>39.6</v>
      </c>
      <c r="AB90" t="n">
        <v>12.7</v>
      </c>
      <c r="AC90" t="inlineStr">
        <is>
          <t>Truncado (scalping): desmonte limitado a partículas &lt; 1" (100 % pasa 25.4 mm); Dmax de terreno no indicado</t>
        </is>
      </c>
      <c r="AD90" t="n">
        <v>2.846</v>
      </c>
      <c r="AE90" t="n">
        <v>17.68</v>
      </c>
      <c r="AF90" t="n">
        <v>0.58</v>
      </c>
      <c r="AG90" t="inlineStr">
        <is>
          <t>informe</t>
        </is>
      </c>
      <c r="AH90" t="inlineStr"/>
      <c r="AI90" t="n">
        <v>3.3</v>
      </c>
      <c r="AJ90" t="inlineStr"/>
      <c r="AK90" t="n">
        <v>409</v>
      </c>
      <c r="AL90" t="n">
        <v>2145</v>
      </c>
      <c r="AM90" t="n">
        <v>1736</v>
      </c>
      <c r="AN90" t="inlineStr">
        <is>
          <t>Máximo esfuerzo desviador (Tabla 8)</t>
        </is>
      </c>
      <c r="AO90" t="inlineStr"/>
      <c r="AP90" t="n">
        <v>20.19</v>
      </c>
      <c r="AQ90" t="n">
        <v>-3.4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22;165;54</t>
        </is>
      </c>
      <c r="BB90" t="inlineStr">
        <is>
          <t>sí</t>
        </is>
      </c>
      <c r="BC90" t="inlineStr">
        <is>
          <t>CID (ASTM D7181) en celda de 6"; remoldeado a ρd≈1.802 g/cm³ y w=3.3 %; saturado por contrapresión (B=0.98; celda 674 kPa; contrapresión 265 kPa); t90=1.3 min; 0.111 %/min; corrección por membrana. Alternativa 4 (relave cicloneado (~86 % sólidos; 80 % gruesos / 20 % finos)), desmonte:relave 4:1 en masa seca (20 % relave). Tras consolidación (Tabla 8): w=9.1 %, ρd=2.252 g/cm³, e=0.26. Final de corte (Tabla 8): w=7.6 %, ρd=2.331 g/cm³, e=0.22. q_kPa = máximo desviador de la Tabla 8; en la hoja de laboratorio el máximo es 1736.1 kPa a εa=20.19 % (σ3'=409.4; σ1'=2145.5 kPa); εa y εv salen de esa fila. El máximo coincide con la última lectura (εa≈20.19 %): sin pico, sigue endureciendo al terminar el ensayo. La hoja dice 'Criterio de falla: Esfuerzo Desv. Máximo' pero da σ1'=2137 y σ3=409 kPa a εa=16.1 %, que no es el máximo de su tabla; los círculos de Mohr del laboratorio usan esos valores. εv con la convención del informe: negativo = contracción, positivo = dilatación. φsec calculado (c=0) con q de Tabla 8: 42.8°. Envolvente del set: Tabla 7 (p.19) c=66 kPa, φ=39°; hoja de laboratorio (p.168) c=66 kPa, φ=39°. Gs = 'G. Específica Promedio' de la hoja triaxial; SUCS GM; no plástico. γd y e0 = estado remoldeado inicial (antes de saturar). Clase ROM/Chancado/Enrocado no indicada en el informe; A/B/C es tipificación geoquímica. Alteración no indicada.</t>
        </is>
      </c>
      <c r="BD90" t="n">
        <v>409</v>
      </c>
      <c r="BE90" t="n">
        <v>409</v>
      </c>
      <c r="BF90" t="n">
        <v>2145</v>
      </c>
      <c r="BG90" t="inlineStr"/>
      <c r="BH90" t="inlineStr"/>
      <c r="BI90" t="inlineStr"/>
      <c r="BJ90" t="inlineStr"/>
      <c r="BK90" t="inlineStr"/>
      <c r="BL90" t="n">
        <v>20.19</v>
      </c>
      <c r="BM90" t="n">
        <v>409.41</v>
      </c>
      <c r="BN90" t="n">
        <v>2145.47</v>
      </c>
      <c r="BO90" t="n">
        <v>1736.06</v>
      </c>
      <c r="BP90" t="inlineStr"/>
      <c r="BQ90" t="n">
        <v>5.24</v>
      </c>
      <c r="BR90" t="inlineStr">
        <is>
          <t>0.98</t>
        </is>
      </c>
      <c r="BS90" t="n">
        <v>265</v>
      </c>
      <c r="BT90" t="n">
        <v>0.111</v>
      </c>
      <c r="BU90" t="n">
        <v>22.09</v>
      </c>
      <c r="BV90" t="n">
        <v>0.26</v>
      </c>
      <c r="BW90" t="inlineStr"/>
      <c r="BX90" t="inlineStr"/>
      <c r="BY90" t="inlineStr">
        <is>
          <t>Tabla 8 (p.20-22) y hoja p.165 verificadas en imagen. q_kPa = Tabla 8 (1736); máximo de la hoja 1736.06 kPa a εa=20.19 % (diferencia +0.1 kPa). Máx. oblicuidad 5.240 a εa=20.19 %. B=0.98, celda 674 kPa, contrapresión 265 kPa.</t>
        </is>
      </c>
      <c r="BZ90" t="n">
        <v>20.19</v>
      </c>
      <c r="CA90" t="n">
        <v>1736.06</v>
      </c>
      <c r="CB90" t="n">
        <v>409.41</v>
      </c>
      <c r="CC90" t="n">
        <v>2145.47</v>
      </c>
      <c r="CD90" t="n">
        <v>20.19</v>
      </c>
      <c r="CE90" t="n">
        <v>1736.06</v>
      </c>
      <c r="CF90" t="inlineStr">
        <is>
          <t>no (máximo en la última lectura o caída &lt; 2 %)</t>
        </is>
      </c>
      <c r="CG90" t="n">
        <v>674</v>
      </c>
      <c r="CH90" t="inlineStr">
        <is>
          <t>«G. Específica (Promedio)» impresa en la hoja triaxial p.165; no coincide con la Tabla 5 (finos D854 ni gruesos C127); el informe no explica cómo se obtuvo</t>
        </is>
      </c>
      <c r="CI90" t="n">
        <v>0.579</v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>
        <is>
          <t>Triaxial CD</t>
        </is>
      </c>
      <c r="EY90" t="inlineStr">
        <is>
          <t>CD: máximo desviador</t>
        </is>
      </c>
      <c r="EZ90" t="n">
        <v>409</v>
      </c>
      <c r="FA90" t="n">
        <v>2145</v>
      </c>
      <c r="FB90" t="n">
        <v>1736</v>
      </c>
      <c r="FC90" t="n">
        <v>42.82161747106986</v>
      </c>
      <c r="FD90" t="n">
        <v>687.0046985121378</v>
      </c>
      <c r="FE90" t="n">
        <v>636.6549648139459</v>
      </c>
      <c r="FF90" t="inlineStr">
        <is>
          <t>6 in (≈150 mm)</t>
        </is>
      </c>
      <c r="FG90" t="n">
        <v>6.000000000000001</v>
      </c>
      <c r="FH90" t="inlineStr">
        <is>
          <t>Mezcla co-disposición (desmonte ROM + relave)</t>
        </is>
      </c>
      <c r="FI90" t="inlineStr">
        <is>
          <t>criterio experto: compuesto de desmonte por tipos geoquímicos A/B/C para co-disposición en botadero</t>
        </is>
      </c>
      <c r="FJ90" t="n">
        <v>20</v>
      </c>
      <c r="FK90" t="inlineStr"/>
      <c r="FL90" t="inlineStr"/>
      <c r="FM90" t="inlineStr">
        <is>
          <t>A</t>
        </is>
      </c>
      <c r="FN90" t="n">
        <v>0.58</v>
      </c>
      <c r="FO90" t="inlineStr"/>
      <c r="FP90" t="n">
        <v>2.846</v>
      </c>
      <c r="FQ90" t="inlineStr">
        <is>
          <t>informe o verificación</t>
        </is>
      </c>
      <c r="FR90" t="inlineStr">
        <is>
          <t>G2021-088</t>
        </is>
      </c>
      <c r="FS90" t="inlineStr">
        <is>
          <t>G2021|G21-ALT4-4:1</t>
        </is>
      </c>
    </row>
    <row r="91">
      <c r="A91" t="inlineStr">
        <is>
          <t>G2021</t>
        </is>
      </c>
      <c r="B91" t="inlineStr">
        <is>
          <t>2021_Golder_Ensayos de Laboratorio Commingling.pdf</t>
        </is>
      </c>
      <c r="C91" t="n">
        <v>2021</v>
      </c>
      <c r="D91" t="inlineStr">
        <is>
          <t>Golder Associates Perú (miembro de WSP), informe 101-20110-LTE01220-INF-420-G-0013 Rev. 0 (28/04/2021)</t>
        </is>
      </c>
      <c r="E91" t="inlineStr">
        <is>
          <t>Laboratorio de Mecánica de Suelos de Golder Associates Perú, Lima</t>
        </is>
      </c>
      <c r="F91" t="inlineStr">
        <is>
          <t>G21-ALT4-4:1</t>
        </is>
      </c>
      <c r="G91" t="inlineStr">
        <is>
          <t>II0527-E3</t>
        </is>
      </c>
      <c r="H91" t="inlineStr">
        <is>
          <t>Desmonte Tipo A (intrusivo), Tipo B (mármol y hornfels), Tipo C (hornfels); compuesto 0.35 A : 0.15 B : 0.50 C (masa seca); relave compuesto 0.33 M1 : 0.33 M2A : 0.33 M4B</t>
        </is>
      </c>
      <c r="I91" t="inlineStr">
        <is>
          <t>Mezcla</t>
        </is>
      </c>
      <c r="J91" t="inlineStr">
        <is>
          <t>Tipo B = mármol y hornfels (el informe no separa su reparto); sin subtipos (mármol blanco/negro, skarn, etc.) indicados</t>
        </is>
      </c>
      <c r="K91" t="inlineStr">
        <is>
          <t>Intrusivo 35 %; Mármol + Hornfels 15 % (Tipo B, reparto no indicado); Hornfels 50 % (proporciones del desmonte, masa seca); la mezcla lleva además 20 % de relave en masa seca</t>
        </is>
      </c>
      <c r="L91" t="inlineStr"/>
      <c r="M91" t="inlineStr">
        <is>
          <t>Mezcla co-disposición: desmonte de clase no indicada + 20 % relave</t>
        </is>
      </c>
      <c r="N91" t="inlineStr">
        <is>
          <t>Compuesto de Tipos A, B y C (tipificación geoquímica por potencial de generación de acidez)</t>
        </is>
      </c>
      <c r="O91" t="inlineStr">
        <is>
          <t>CID (triaxial consolidado isotrópicamente drenado, ASTM D7181)</t>
        </is>
      </c>
      <c r="P91" t="inlineStr">
        <is>
          <t>sí</t>
        </is>
      </c>
      <c r="Q91" t="n">
        <v>152.4</v>
      </c>
      <c r="R91" t="n">
        <v>305.1</v>
      </c>
      <c r="S91" t="n">
        <v>25.4</v>
      </c>
      <c r="T91" t="n">
        <v>0.0593</v>
      </c>
      <c r="U91" t="n">
        <v>0.314</v>
      </c>
      <c r="V91" t="n">
        <v>4.0732</v>
      </c>
      <c r="W91" t="n">
        <v>7.1259</v>
      </c>
      <c r="X91" t="n">
        <v>120.18</v>
      </c>
      <c r="Y91" t="n">
        <v>0.23</v>
      </c>
      <c r="Z91" t="n">
        <v>47.7</v>
      </c>
      <c r="AA91" t="n">
        <v>39.6</v>
      </c>
      <c r="AB91" t="n">
        <v>12.7</v>
      </c>
      <c r="AC91" t="inlineStr">
        <is>
          <t>Truncado (scalping): desmonte limitado a partículas &lt; 1" (100 % pasa 25.4 mm); Dmax de terreno no indicado</t>
        </is>
      </c>
      <c r="AD91" t="n">
        <v>2.846</v>
      </c>
      <c r="AE91" t="n">
        <v>17.68</v>
      </c>
      <c r="AF91" t="n">
        <v>0.58</v>
      </c>
      <c r="AG91" t="inlineStr">
        <is>
          <t>informe</t>
        </is>
      </c>
      <c r="AH91" t="inlineStr"/>
      <c r="AI91" t="n">
        <v>3.3</v>
      </c>
      <c r="AJ91" t="inlineStr"/>
      <c r="AK91" t="n">
        <v>1204</v>
      </c>
      <c r="AL91" t="n">
        <v>5611</v>
      </c>
      <c r="AM91" t="n">
        <v>4407</v>
      </c>
      <c r="AN91" t="inlineStr">
        <is>
          <t>Máximo esfuerzo desviador (Tabla 8)</t>
        </is>
      </c>
      <c r="AO91" t="inlineStr"/>
      <c r="AP91" t="n">
        <v>10.05</v>
      </c>
      <c r="AQ91" t="n">
        <v>-4.34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22;166;54</t>
        </is>
      </c>
      <c r="BB91" t="inlineStr">
        <is>
          <t>sí</t>
        </is>
      </c>
      <c r="BC91" t="inlineStr">
        <is>
          <t>CID (ASTM D7181) en celda de 6"; remoldeado a ρd≈1.802 g/cm³ y w=3.3 %; saturado por contrapresión (B=1.0; celda 1469 kPa; contrapresión 265 kPa); t90=2.7 min; 0.111 %/min; corrección por membrana. Alternativa 4 (relave cicloneado (~86 % sólidos; 80 % gruesos / 20 % finos)), desmonte:relave 4:1 en masa seca (20 % relave). Tras consolidación (Tabla 8): w=8.0 %, ρd=2.316 g/cm³, e=0.23. Final de corte (Tabla 8): w=6.0 %, ρd=2.428 g/cm³, e=0.17. q_kPa = máximo desviador de la Tabla 8; en la hoja de laboratorio el máximo es 4406.6 kPa a εa=10.05 % (σ3'=1204.2; σ1'=5610.8 kPa); εa y εv salen de esa fila. La hoja dice 'Criterio de falla: Esfuerzo Desv. Máximo' pero da σ1'=5563 y σ3=1204 kPa a εa=16.3 %, que no es el máximo de su tabla; los círculos de Mohr del laboratorio usan esos valores. εv con la convención del informe: negativo = contracción, positivo = dilatación. φsec calculado (c=0) con q de Tabla 8: 40.3°. Envolvente del set: Tabla 7 (p.19) c=66 kPa, φ=39°; hoja de laboratorio (p.168) c=66 kPa, φ=39°. Gs = 'G. Específica Promedio' de la hoja triaxial; SUCS GM; no plástico. γd y e0 = estado remoldeado inicial (antes de saturar). Clase ROM/Chancado/Enrocado no indicada en el informe; A/B/C es tipificación geoquímica. Alteración no indicada. e0: la Tabla 8 (p.22) dice 0.23 (error tipográfico); la hoja p.166 da 0.58 y Gs/ρd−1 = 2.846/1.802−1 = 0.58; se adopta 0.58.</t>
        </is>
      </c>
      <c r="BD91" t="n">
        <v>1204</v>
      </c>
      <c r="BE91" t="n">
        <v>1204</v>
      </c>
      <c r="BF91" t="n">
        <v>5611</v>
      </c>
      <c r="BG91" t="inlineStr"/>
      <c r="BH91" t="inlineStr"/>
      <c r="BI91" t="inlineStr"/>
      <c r="BJ91" t="inlineStr"/>
      <c r="BK91" t="inlineStr"/>
      <c r="BL91" t="n">
        <v>10.05</v>
      </c>
      <c r="BM91" t="n">
        <v>1204.15</v>
      </c>
      <c r="BN91" t="n">
        <v>5610.79</v>
      </c>
      <c r="BO91" t="n">
        <v>4406.64</v>
      </c>
      <c r="BP91" t="inlineStr"/>
      <c r="BQ91" t="n">
        <v>4.66</v>
      </c>
      <c r="BR91" t="inlineStr">
        <is>
          <t>1</t>
        </is>
      </c>
      <c r="BS91" t="n">
        <v>265</v>
      </c>
      <c r="BT91" t="n">
        <v>0.111</v>
      </c>
      <c r="BU91" t="n">
        <v>22.72</v>
      </c>
      <c r="BV91" t="n">
        <v>0.23</v>
      </c>
      <c r="BW91" t="inlineStr"/>
      <c r="BX91" t="inlineStr"/>
      <c r="BY91" t="inlineStr">
        <is>
          <t>Tabla 8 (p.20-22) y hoja p.166 verificadas en imagen. q_kPa = Tabla 8 (4407); máximo de la hoja 4406.64 kPa a εa=10.05 % (diferencia -0.4 kPa). Máx. oblicuidad 4.660 a εa=10.05 %. B=1, celda 1469 kPa, contrapresión 265 kPa.</t>
        </is>
      </c>
      <c r="BZ91" t="n">
        <v>10.05</v>
      </c>
      <c r="CA91" t="n">
        <v>4406.64</v>
      </c>
      <c r="CB91" t="n">
        <v>1204.15</v>
      </c>
      <c r="CC91" t="n">
        <v>5610.79</v>
      </c>
      <c r="CD91" t="n">
        <v>20.09</v>
      </c>
      <c r="CE91" t="n">
        <v>4332.47</v>
      </c>
      <c r="CF91" t="inlineStr">
        <is>
          <t>no (máximo en la última lectura o caída &lt; 2 %)</t>
        </is>
      </c>
      <c r="CG91" t="n">
        <v>1469</v>
      </c>
      <c r="CH91" t="inlineStr">
        <is>
          <t>«G. Específica (Promedio)» impresa en la hoja triaxial p.166; no coincide con la Tabla 5 (finos D854 ni gruesos C127); el informe no explica cómo se obtuvo</t>
        </is>
      </c>
      <c r="CI91" t="n">
        <v>0.579</v>
      </c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>
        <is>
          <t>Triaxial CD</t>
        </is>
      </c>
      <c r="EY91" t="inlineStr">
        <is>
          <t>CD: máximo desviador</t>
        </is>
      </c>
      <c r="EZ91" t="n">
        <v>1204</v>
      </c>
      <c r="FA91" t="n">
        <v>5611</v>
      </c>
      <c r="FB91" t="n">
        <v>4407</v>
      </c>
      <c r="FC91" t="n">
        <v>40.29038432867434</v>
      </c>
      <c r="FD91" t="n">
        <v>1982.580777696258</v>
      </c>
      <c r="FE91" t="n">
        <v>1680.778825398898</v>
      </c>
      <c r="FF91" t="inlineStr">
        <is>
          <t>6 in (≈150 mm)</t>
        </is>
      </c>
      <c r="FG91" t="n">
        <v>6.000000000000001</v>
      </c>
      <c r="FH91" t="inlineStr">
        <is>
          <t>Mezcla co-disposición (desmonte ROM + relave)</t>
        </is>
      </c>
      <c r="FI91" t="inlineStr">
        <is>
          <t>criterio experto: compuesto de desmonte por tipos geoquímicos A/B/C para co-disposición en botadero</t>
        </is>
      </c>
      <c r="FJ91" t="n">
        <v>20</v>
      </c>
      <c r="FK91" t="inlineStr"/>
      <c r="FL91" t="inlineStr"/>
      <c r="FM91" t="inlineStr">
        <is>
          <t>A</t>
        </is>
      </c>
      <c r="FN91" t="n">
        <v>0.58</v>
      </c>
      <c r="FO91" t="inlineStr"/>
      <c r="FP91" t="n">
        <v>2.846</v>
      </c>
      <c r="FQ91" t="inlineStr">
        <is>
          <t>informe o verificación</t>
        </is>
      </c>
      <c r="FR91" t="inlineStr">
        <is>
          <t>G2021-089</t>
        </is>
      </c>
      <c r="FS91" t="inlineStr">
        <is>
          <t>G2021|G21-ALT4-4:1</t>
        </is>
      </c>
    </row>
    <row r="92">
      <c r="A92" t="inlineStr">
        <is>
          <t>G2021</t>
        </is>
      </c>
      <c r="B92" t="inlineStr">
        <is>
          <t>2021_Golder_Ensayos de Laboratorio Commingling.pdf</t>
        </is>
      </c>
      <c r="C92" t="n">
        <v>2021</v>
      </c>
      <c r="D92" t="inlineStr">
        <is>
          <t>Golder Associates Perú (miembro de WSP), informe 101-20110-LTE01220-INF-420-G-0013 Rev. 0 (28/04/2021)</t>
        </is>
      </c>
      <c r="E92" t="inlineStr">
        <is>
          <t>Laboratorio de Mecánica de Suelos de Golder Associates Perú, Lima</t>
        </is>
      </c>
      <c r="F92" t="inlineStr">
        <is>
          <t>G21-ALT4-1:1</t>
        </is>
      </c>
      <c r="G92" t="inlineStr">
        <is>
          <t>II0528-E1</t>
        </is>
      </c>
      <c r="H92" t="inlineStr">
        <is>
          <t>Desmonte Tipo A (intrusivo), Tipo B (mármol y hornfels), Tipo C (hornfels); compuesto 0.35 A : 0.15 B : 0.50 C (masa seca); relave compuesto 0.33 M1 : 0.33 M2A : 0.33 M4B</t>
        </is>
      </c>
      <c r="I92" t="inlineStr">
        <is>
          <t>Mezcla</t>
        </is>
      </c>
      <c r="J92" t="inlineStr">
        <is>
          <t>Tipo B = mármol y hornfels (el informe no separa su reparto); sin subtipos (mármol blanco/negro, skarn, etc.) indicados</t>
        </is>
      </c>
      <c r="K92" t="inlineStr">
        <is>
          <t>Intrusivo 35 %; Mármol + Hornfels 15 % (Tipo B, reparto no indicado); Hornfels 50 % (proporciones del desmonte, masa seca); la mezcla lleva además 50 % de relave en masa seca</t>
        </is>
      </c>
      <c r="L92" t="inlineStr"/>
      <c r="M92" t="inlineStr">
        <is>
          <t>Mezcla co-disposición: desmonte de clase no indicada + 50 % relave</t>
        </is>
      </c>
      <c r="N92" t="inlineStr">
        <is>
          <t>Compuesto de Tipos A, B y C (tipificación geoquímica por potencial de generación de acidez)</t>
        </is>
      </c>
      <c r="O92" t="inlineStr">
        <is>
          <t>CID (triaxial consolidado isotrópicamente drenado, ASTM D7181)</t>
        </is>
      </c>
      <c r="P92" t="inlineStr">
        <is>
          <t>sí</t>
        </is>
      </c>
      <c r="Q92" t="n">
        <v>152.4</v>
      </c>
      <c r="R92" t="n">
        <v>305.1</v>
      </c>
      <c r="S92" t="n">
        <v>25.4</v>
      </c>
      <c r="T92" t="n">
        <v>0.0449</v>
      </c>
      <c r="U92" t="n">
        <v>0.125</v>
      </c>
      <c r="V92" t="n">
        <v>0.3076</v>
      </c>
      <c r="W92" t="n">
        <v>0.6814</v>
      </c>
      <c r="X92" t="n">
        <v>15.19</v>
      </c>
      <c r="Y92" t="n">
        <v>0.51</v>
      </c>
      <c r="Z92" t="n">
        <v>29.8</v>
      </c>
      <c r="AA92" t="n">
        <v>51.5</v>
      </c>
      <c r="AB92" t="n">
        <v>18.7</v>
      </c>
      <c r="AC92" t="inlineStr">
        <is>
          <t>Truncado (scalping): desmonte limitado a partículas &lt; 1" (100 % pasa 25.4 mm); Dmax de terreno no indicado</t>
        </is>
      </c>
      <c r="AD92" t="n">
        <v>3.003</v>
      </c>
      <c r="AE92" t="n">
        <v>17.68</v>
      </c>
      <c r="AF92" t="n">
        <v>0.67</v>
      </c>
      <c r="AG92" t="inlineStr">
        <is>
          <t>informe</t>
        </is>
      </c>
      <c r="AH92" t="inlineStr"/>
      <c r="AI92" t="n">
        <v>8.1</v>
      </c>
      <c r="AJ92" t="inlineStr"/>
      <c r="AK92" t="n">
        <v>96</v>
      </c>
      <c r="AL92" t="n">
        <v>533</v>
      </c>
      <c r="AM92" t="n">
        <v>437</v>
      </c>
      <c r="AN92" t="inlineStr">
        <is>
          <t>Máximo esfuerzo desviador (Tabla 8)</t>
        </is>
      </c>
      <c r="AO92" t="inlineStr"/>
      <c r="AP92" t="n">
        <v>20.03</v>
      </c>
      <c r="AQ92" t="n">
        <v>-3.7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22;171;55</t>
        </is>
      </c>
      <c r="BB92" t="inlineStr">
        <is>
          <t>sí</t>
        </is>
      </c>
      <c r="BC92" t="inlineStr">
        <is>
          <t>CID (ASTM D7181) en celda de 6"; remoldeado a ρd≈1.802 g/cm³ y w=8.1 %; saturado por contrapresión (B=1.0; celda 358 kPa; contrapresión 262 kPa); t90=0.5 min; 0.111 %/min; corrección por membrana. Alternativa 4 (relave cicloneado (~86 % sólidos; 80 % gruesos / 20 % finos)), desmonte:relave 1:1 en masa seca (50 % relave). Tras consolidación (Tabla 8): w=12.1 %, ρd=2.197 g/cm³, e=0.37. Final de corte (Tabla 8): w=10.4 %, ρd=2.281 g/cm³, e=0.32. q_kPa = máximo desviador de la Tabla 8; en la hoja de laboratorio el máximo es 437.0 kPa a εa=20.03 % (σ3'=96.9; σ1'=533.9 kPa); εa y εv salen de esa fila. El máximo coincide con la última lectura (εa≈20.03 %): sin pico, sigue endureciendo al terminar el ensayo. La hoja dice 'Criterio de falla: Esfuerzo Desv. Máximo' pero da σ1'=519 y σ3=96 kPa a εa=16.2 %, que no es el máximo de su tabla; los círculos de Mohr del laboratorio usan esos valores. εv con la convención del informe: negativo = contracción, positivo = dilatación. φsec calculado (c=0) con q de Tabla 8: 44.0°. Envolvente del set: Tabla 7 (p.19) c=51 kPa, φ=37°; hoja de laboratorio (p.175) c=51 kPa, φ=37°. Gs = 'G. Específica Promedio' de la hoja triaxial; SUCS SM; no plástico. γd y e0 = estado remoldeado inicial (antes de saturar). Clase ROM/Chancado/Enrocado no indicada en el informe; A/B/C es tipificación geoquímica. Alteración no indicada.</t>
        </is>
      </c>
      <c r="BD92" t="n">
        <v>96</v>
      </c>
      <c r="BE92" t="n">
        <v>96</v>
      </c>
      <c r="BF92" t="n">
        <v>533</v>
      </c>
      <c r="BG92" t="inlineStr"/>
      <c r="BH92" t="inlineStr"/>
      <c r="BI92" t="inlineStr"/>
      <c r="BJ92" t="inlineStr"/>
      <c r="BK92" t="inlineStr"/>
      <c r="BL92" t="n">
        <v>18.16</v>
      </c>
      <c r="BM92" t="n">
        <v>94.95999999999999</v>
      </c>
      <c r="BN92" t="n">
        <v>525.6</v>
      </c>
      <c r="BO92" t="n">
        <v>430.64</v>
      </c>
      <c r="BP92" t="inlineStr"/>
      <c r="BQ92" t="n">
        <v>5.535</v>
      </c>
      <c r="BR92" t="inlineStr">
        <is>
          <t>1</t>
        </is>
      </c>
      <c r="BS92" t="n">
        <v>262</v>
      </c>
      <c r="BT92" t="n">
        <v>0.111</v>
      </c>
      <c r="BU92" t="n">
        <v>21.55</v>
      </c>
      <c r="BV92" t="n">
        <v>0.37</v>
      </c>
      <c r="BW92" t="inlineStr"/>
      <c r="BX92" t="inlineStr"/>
      <c r="BY92" t="inlineStr">
        <is>
          <t>Tabla 8 (p.20-22) y hoja p.171 verificadas en imagen. q_kPa = Tabla 8 (437); máximo de la hoja 436.99 kPa a εa=20.03 % (diferencia -0.0 kPa). Máx. oblicuidad 5.535 a εa=18.16 %. B=1, celda 358 kPa, contrapresión 262 kPa.</t>
        </is>
      </c>
      <c r="BZ92" t="n">
        <v>20.03</v>
      </c>
      <c r="CA92" t="n">
        <v>436.99</v>
      </c>
      <c r="CB92" t="n">
        <v>96.90000000000001</v>
      </c>
      <c r="CC92" t="n">
        <v>533.89</v>
      </c>
      <c r="CD92" t="n">
        <v>20.03</v>
      </c>
      <c r="CE92" t="n">
        <v>436.99</v>
      </c>
      <c r="CF92" t="inlineStr">
        <is>
          <t>no (máximo en la última lectura o caída &lt; 2 %)</t>
        </is>
      </c>
      <c r="CG92" t="n">
        <v>358</v>
      </c>
      <c r="CH92" t="inlineStr">
        <is>
          <t>«G. Específica (Promedio)» impresa en la hoja triaxial p.171; no coincide con la Tabla 5 (finos D854 ni gruesos C127); el informe no explica cómo se obtuvo</t>
        </is>
      </c>
      <c r="CI92" t="n">
        <v>0.666</v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>
        <is>
          <t>Triaxial CD</t>
        </is>
      </c>
      <c r="EY92" t="inlineStr">
        <is>
          <t>CD: máximo desviador</t>
        </is>
      </c>
      <c r="EZ92" t="n">
        <v>96</v>
      </c>
      <c r="FA92" t="n">
        <v>533</v>
      </c>
      <c r="FB92" t="n">
        <v>437</v>
      </c>
      <c r="FC92" t="n">
        <v>44.0075837424049</v>
      </c>
      <c r="FD92" t="n">
        <v>162.6963434022258</v>
      </c>
      <c r="FE92" t="n">
        <v>157.1556548252242</v>
      </c>
      <c r="FF92" t="inlineStr">
        <is>
          <t>6 in (≈150 mm)</t>
        </is>
      </c>
      <c r="FG92" t="n">
        <v>6.000000000000001</v>
      </c>
      <c r="FH92" t="inlineStr">
        <is>
          <t>Mezcla co-disposición (desmonte ROM + relave)</t>
        </is>
      </c>
      <c r="FI92" t="inlineStr">
        <is>
          <t>criterio experto: compuesto de desmonte por tipos geoquímicos A/B/C para co-disposición en botadero</t>
        </is>
      </c>
      <c r="FJ92" t="n">
        <v>50</v>
      </c>
      <c r="FK92" t="inlineStr"/>
      <c r="FL92" t="inlineStr"/>
      <c r="FM92" t="inlineStr">
        <is>
          <t>A</t>
        </is>
      </c>
      <c r="FN92" t="n">
        <v>0.67</v>
      </c>
      <c r="FO92" t="inlineStr"/>
      <c r="FP92" t="n">
        <v>3.003</v>
      </c>
      <c r="FQ92" t="inlineStr">
        <is>
          <t>informe o verificación</t>
        </is>
      </c>
      <c r="FR92" t="inlineStr">
        <is>
          <t>G2021-090</t>
        </is>
      </c>
      <c r="FS92" t="inlineStr">
        <is>
          <t>G2021|G21-ALT4-1:1</t>
        </is>
      </c>
    </row>
    <row r="93">
      <c r="A93" t="inlineStr">
        <is>
          <t>G2021</t>
        </is>
      </c>
      <c r="B93" t="inlineStr">
        <is>
          <t>2021_Golder_Ensayos de Laboratorio Commingling.pdf</t>
        </is>
      </c>
      <c r="C93" t="n">
        <v>2021</v>
      </c>
      <c r="D93" t="inlineStr">
        <is>
          <t>Golder Associates Perú (miembro de WSP), informe 101-20110-LTE01220-INF-420-G-0013 Rev. 0 (28/04/2021)</t>
        </is>
      </c>
      <c r="E93" t="inlineStr">
        <is>
          <t>Laboratorio de Mecánica de Suelos de Golder Associates Perú, Lima</t>
        </is>
      </c>
      <c r="F93" t="inlineStr">
        <is>
          <t>G21-ALT4-1:1</t>
        </is>
      </c>
      <c r="G93" t="inlineStr">
        <is>
          <t>II0528-E2</t>
        </is>
      </c>
      <c r="H93" t="inlineStr">
        <is>
          <t>Desmonte Tipo A (intrusivo), Tipo B (mármol y hornfels), Tipo C (hornfels); compuesto 0.35 A : 0.15 B : 0.50 C (masa seca); relave compuesto 0.33 M1 : 0.33 M2A : 0.33 M4B</t>
        </is>
      </c>
      <c r="I93" t="inlineStr">
        <is>
          <t>Mezcla</t>
        </is>
      </c>
      <c r="J93" t="inlineStr">
        <is>
          <t>Tipo B = mármol y hornfels (el informe no separa su reparto); sin subtipos (mármol blanco/negro, skarn, etc.) indicados</t>
        </is>
      </c>
      <c r="K93" t="inlineStr">
        <is>
          <t>Intrusivo 35 %; Mármol + Hornfels 15 % (Tipo B, reparto no indicado); Hornfels 50 % (proporciones del desmonte, masa seca); la mezcla lleva además 50 % de relave en masa seca</t>
        </is>
      </c>
      <c r="L93" t="inlineStr"/>
      <c r="M93" t="inlineStr">
        <is>
          <t>Mezcla co-disposición: desmonte de clase no indicada + 50 % relave</t>
        </is>
      </c>
      <c r="N93" t="inlineStr">
        <is>
          <t>Compuesto de Tipos A, B y C (tipificación geoquímica por potencial de generación de acidez)</t>
        </is>
      </c>
      <c r="O93" t="inlineStr">
        <is>
          <t>CID (triaxial consolidado isotrópicamente drenado, ASTM D7181)</t>
        </is>
      </c>
      <c r="P93" t="inlineStr">
        <is>
          <t>sí</t>
        </is>
      </c>
      <c r="Q93" t="n">
        <v>152.4</v>
      </c>
      <c r="R93" t="n">
        <v>305.1</v>
      </c>
      <c r="S93" t="n">
        <v>25.4</v>
      </c>
      <c r="T93" t="n">
        <v>0.0449</v>
      </c>
      <c r="U93" t="n">
        <v>0.125</v>
      </c>
      <c r="V93" t="n">
        <v>0.3076</v>
      </c>
      <c r="W93" t="n">
        <v>0.6814</v>
      </c>
      <c r="X93" t="n">
        <v>15.19</v>
      </c>
      <c r="Y93" t="n">
        <v>0.51</v>
      </c>
      <c r="Z93" t="n">
        <v>29.8</v>
      </c>
      <c r="AA93" t="n">
        <v>51.5</v>
      </c>
      <c r="AB93" t="n">
        <v>18.7</v>
      </c>
      <c r="AC93" t="inlineStr">
        <is>
          <t>Truncado (scalping): desmonte limitado a partículas &lt; 1" (100 % pasa 25.4 mm); Dmax de terreno no indicado</t>
        </is>
      </c>
      <c r="AD93" t="n">
        <v>3.003</v>
      </c>
      <c r="AE93" t="n">
        <v>17.68</v>
      </c>
      <c r="AF93" t="n">
        <v>0.67</v>
      </c>
      <c r="AG93" t="inlineStr">
        <is>
          <t>informe</t>
        </is>
      </c>
      <c r="AH93" t="inlineStr"/>
      <c r="AI93" t="n">
        <v>8.1</v>
      </c>
      <c r="AJ93" t="inlineStr"/>
      <c r="AK93" t="n">
        <v>400</v>
      </c>
      <c r="AL93" t="n">
        <v>1815</v>
      </c>
      <c r="AM93" t="n">
        <v>1415</v>
      </c>
      <c r="AN93" t="inlineStr">
        <is>
          <t>Máximo esfuerzo desviador (Tabla 8)</t>
        </is>
      </c>
      <c r="AO93" t="inlineStr"/>
      <c r="AP93" t="n">
        <v>20.17</v>
      </c>
      <c r="AQ93" t="n">
        <v>-4.21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22;172;55</t>
        </is>
      </c>
      <c r="BB93" t="inlineStr">
        <is>
          <t>sí</t>
        </is>
      </c>
      <c r="BC93" t="inlineStr">
        <is>
          <t>CID (ASTM D7181) en celda de 6"; remoldeado a ρd≈1.802 g/cm³ y w=8.1 %; saturado por contrapresión (B=0.99; celda 669 kPa; contrapresión 268 kPa); t90=0.6 min; 0.111 %/min; corrección por membrana. Alternativa 4 (relave cicloneado (~86 % sólidos; 80 % gruesos / 20 % finos)), desmonte:relave 1:1 en masa seca (50 % relave). Tras consolidación (Tabla 8): w=11.1 %, ρd=2.245 g/cm³, e=0.34. Final de corte (Tabla 8): w=9.2 %, ρd=2.343 g/cm³, e=0.28. q_kPa = máximo desviador de la Tabla 8; en la hoja de laboratorio el máximo es 1415.2 kPa a εa=20.17 % (σ3'=396.0; σ1'=1811.1 kPa); εa y εv salen de esa fila. El máximo coincide con la última lectura (εa≈20.17 %): sin pico, sigue endureciendo al terminar el ensayo. La hoja dice 'Criterio de falla: Esfuerzo Desv. Máximo' pero da σ1'=1780 y σ3=400 kPa a εa=16.1 %, que no es el máximo de su tabla; los círculos de Mohr del laboratorio usan esos valores. εv con la convención del informe: negativo = contracción, positivo = dilatación. φsec calculado (c=0) con q de Tabla 8: 39.7°. Envolvente del set: Tabla 7 (p.19) c=51 kPa, φ=37°; hoja de laboratorio (p.175) c=51 kPa, φ=37°. Gs = 'G. Específica Promedio' de la hoja triaxial; SUCS SM; no plástico. γd y e0 = estado remoldeado inicial (antes de saturar). Clase ROM/Chancado/Enrocado no indicada en el informe; A/B/C es tipificación geoquímica. Alteración no indicada. σ3' bajó a 383–396 kPa al final del corte (p.172); σ3' de 'falla' en la hoja = 379 kPa.</t>
        </is>
      </c>
      <c r="BD93" t="n">
        <v>400</v>
      </c>
      <c r="BE93" t="n">
        <v>400</v>
      </c>
      <c r="BF93" t="n">
        <v>1815</v>
      </c>
      <c r="BG93" t="inlineStr"/>
      <c r="BH93" t="inlineStr"/>
      <c r="BI93" t="inlineStr"/>
      <c r="BJ93" t="inlineStr"/>
      <c r="BK93" t="inlineStr"/>
      <c r="BL93" t="n">
        <v>16.13</v>
      </c>
      <c r="BM93" t="n">
        <v>383.45</v>
      </c>
      <c r="BN93" t="n">
        <v>1786.58</v>
      </c>
      <c r="BO93" t="n">
        <v>1403.13</v>
      </c>
      <c r="BP93" t="inlineStr"/>
      <c r="BQ93" t="n">
        <v>4.659</v>
      </c>
      <c r="BR93" t="inlineStr">
        <is>
          <t>0.99</t>
        </is>
      </c>
      <c r="BS93" t="n">
        <v>268</v>
      </c>
      <c r="BT93" t="n">
        <v>0.111</v>
      </c>
      <c r="BU93" t="n">
        <v>22.02</v>
      </c>
      <c r="BV93" t="n">
        <v>0.34</v>
      </c>
      <c r="BW93" t="inlineStr"/>
      <c r="BX93" t="inlineStr"/>
      <c r="BY93" t="inlineStr">
        <is>
          <t>Tabla 8 (p.20-22) y hoja p.172 verificadas en imagen. q_kPa = Tabla 8 (1415); máximo de la hoja 1415.16 kPa a εa=20.17 % (diferencia +0.2 kPa). Máx. oblicuidad 4.659 a εa=16.13 %. B=0.99, celda 669 kPa, contrapresión 268 kPa.</t>
        </is>
      </c>
      <c r="BZ93" t="n">
        <v>20.17</v>
      </c>
      <c r="CA93" t="n">
        <v>1415.16</v>
      </c>
      <c r="CB93" t="n">
        <v>395.96</v>
      </c>
      <c r="CC93" t="n">
        <v>1811.13</v>
      </c>
      <c r="CD93" t="n">
        <v>20.17</v>
      </c>
      <c r="CE93" t="n">
        <v>1415.16</v>
      </c>
      <c r="CF93" t="inlineStr">
        <is>
          <t>no (máximo en la última lectura o caída &lt; 2 %)</t>
        </is>
      </c>
      <c r="CG93" t="n">
        <v>669</v>
      </c>
      <c r="CH93" t="inlineStr">
        <is>
          <t>«G. Específica (Promedio)» impresa en la hoja triaxial p.172; no coincide con la Tabla 5 (finos D854 ni gruesos C127); el informe no explica cómo se obtuvo</t>
        </is>
      </c>
      <c r="CI93" t="n">
        <v>0.666</v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>
        <is>
          <t>Triaxial CD</t>
        </is>
      </c>
      <c r="EY93" t="inlineStr">
        <is>
          <t>CD: máximo desviador</t>
        </is>
      </c>
      <c r="EZ93" t="n">
        <v>400</v>
      </c>
      <c r="FA93" t="n">
        <v>1815</v>
      </c>
      <c r="FB93" t="n">
        <v>1415</v>
      </c>
      <c r="FC93" t="n">
        <v>39.704346664404</v>
      </c>
      <c r="FD93" t="n">
        <v>655.530474040632</v>
      </c>
      <c r="FE93" t="n">
        <v>544.3158987243199</v>
      </c>
      <c r="FF93" t="inlineStr">
        <is>
          <t>6 in (≈150 mm)</t>
        </is>
      </c>
      <c r="FG93" t="n">
        <v>6.000000000000001</v>
      </c>
      <c r="FH93" t="inlineStr">
        <is>
          <t>Mezcla co-disposición (desmonte ROM + relave)</t>
        </is>
      </c>
      <c r="FI93" t="inlineStr">
        <is>
          <t>criterio experto: compuesto de desmonte por tipos geoquímicos A/B/C para co-disposición en botadero</t>
        </is>
      </c>
      <c r="FJ93" t="n">
        <v>50</v>
      </c>
      <c r="FK93" t="inlineStr"/>
      <c r="FL93" t="inlineStr"/>
      <c r="FM93" t="inlineStr">
        <is>
          <t>A</t>
        </is>
      </c>
      <c r="FN93" t="n">
        <v>0.67</v>
      </c>
      <c r="FO93" t="inlineStr"/>
      <c r="FP93" t="n">
        <v>3.003</v>
      </c>
      <c r="FQ93" t="inlineStr">
        <is>
          <t>informe o verificación</t>
        </is>
      </c>
      <c r="FR93" t="inlineStr">
        <is>
          <t>G2021-091</t>
        </is>
      </c>
      <c r="FS93" t="inlineStr">
        <is>
          <t>G2021|G21-ALT4-1:1</t>
        </is>
      </c>
    </row>
    <row r="94">
      <c r="A94" t="inlineStr">
        <is>
          <t>G2021</t>
        </is>
      </c>
      <c r="B94" t="inlineStr">
        <is>
          <t>2021_Golder_Ensayos de Laboratorio Commingling.pdf</t>
        </is>
      </c>
      <c r="C94" t="n">
        <v>2021</v>
      </c>
      <c r="D94" t="inlineStr">
        <is>
          <t>Golder Associates Perú (miembro de WSP), informe 101-20110-LTE01220-INF-420-G-0013 Rev. 0 (28/04/2021)</t>
        </is>
      </c>
      <c r="E94" t="inlineStr">
        <is>
          <t>Laboratorio de Mecánica de Suelos de Golder Associates Perú, Lima</t>
        </is>
      </c>
      <c r="F94" t="inlineStr">
        <is>
          <t>G21-ALT4-1:1</t>
        </is>
      </c>
      <c r="G94" t="inlineStr">
        <is>
          <t>II0528-E3</t>
        </is>
      </c>
      <c r="H94" t="inlineStr">
        <is>
          <t>Desmonte Tipo A (intrusivo), Tipo B (mármol y hornfels), Tipo C (hornfels); compuesto 0.35 A : 0.15 B : 0.50 C (masa seca); relave compuesto 0.33 M1 : 0.33 M2A : 0.33 M4B</t>
        </is>
      </c>
      <c r="I94" t="inlineStr">
        <is>
          <t>Mezcla</t>
        </is>
      </c>
      <c r="J94" t="inlineStr">
        <is>
          <t>Tipo B = mármol y hornfels (el informe no separa su reparto); sin subtipos (mármol blanco/negro, skarn, etc.) indicados</t>
        </is>
      </c>
      <c r="K94" t="inlineStr">
        <is>
          <t>Intrusivo 35 %; Mármol + Hornfels 15 % (Tipo B, reparto no indicado); Hornfels 50 % (proporciones del desmonte, masa seca); la mezcla lleva además 50 % de relave en masa seca</t>
        </is>
      </c>
      <c r="L94" t="inlineStr"/>
      <c r="M94" t="inlineStr">
        <is>
          <t>Mezcla co-disposición: desmonte de clase no indicada + 50 % relave</t>
        </is>
      </c>
      <c r="N94" t="inlineStr">
        <is>
          <t>Compuesto de Tipos A, B y C (tipificación geoquímica por potencial de generación de acidez)</t>
        </is>
      </c>
      <c r="O94" t="inlineStr">
        <is>
          <t>CID (triaxial consolidado isotrópicamente drenado, ASTM D7181)</t>
        </is>
      </c>
      <c r="P94" t="inlineStr">
        <is>
          <t>sí</t>
        </is>
      </c>
      <c r="Q94" t="n">
        <v>152.4</v>
      </c>
      <c r="R94" t="n">
        <v>305.1</v>
      </c>
      <c r="S94" t="n">
        <v>25.4</v>
      </c>
      <c r="T94" t="n">
        <v>0.0449</v>
      </c>
      <c r="U94" t="n">
        <v>0.125</v>
      </c>
      <c r="V94" t="n">
        <v>0.3076</v>
      </c>
      <c r="W94" t="n">
        <v>0.6814</v>
      </c>
      <c r="X94" t="n">
        <v>15.19</v>
      </c>
      <c r="Y94" t="n">
        <v>0.51</v>
      </c>
      <c r="Z94" t="n">
        <v>29.8</v>
      </c>
      <c r="AA94" t="n">
        <v>51.5</v>
      </c>
      <c r="AB94" t="n">
        <v>18.7</v>
      </c>
      <c r="AC94" t="inlineStr">
        <is>
          <t>Truncado (scalping): desmonte limitado a partículas &lt; 1" (100 % pasa 25.4 mm); Dmax de terreno no indicado</t>
        </is>
      </c>
      <c r="AD94" t="n">
        <v>3.003</v>
      </c>
      <c r="AE94" t="n">
        <v>17.68</v>
      </c>
      <c r="AF94" t="n">
        <v>0.67</v>
      </c>
      <c r="AG94" t="inlineStr">
        <is>
          <t>informe</t>
        </is>
      </c>
      <c r="AH94" t="inlineStr"/>
      <c r="AI94" t="n">
        <v>8.1</v>
      </c>
      <c r="AJ94" t="inlineStr"/>
      <c r="AK94" t="n">
        <v>1206</v>
      </c>
      <c r="AL94" t="n">
        <v>4957</v>
      </c>
      <c r="AM94" t="n">
        <v>3751</v>
      </c>
      <c r="AN94" t="inlineStr">
        <is>
          <t>Máximo esfuerzo desviador (Tabla 8)</t>
        </is>
      </c>
      <c r="AO94" t="inlineStr"/>
      <c r="AP94" t="n">
        <v>18.21</v>
      </c>
      <c r="AQ94" t="n">
        <v>-4.99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22;173;55</t>
        </is>
      </c>
      <c r="BB94" t="inlineStr">
        <is>
          <t>sí</t>
        </is>
      </c>
      <c r="BC94" t="inlineStr">
        <is>
          <t>CID (ASTM D7181) en celda de 6"; remoldeado a ρd≈1.802 g/cm³ y w=8.1 %; saturado por contrapresión (B=0.99; celda 1467 kPa; contrapresión 260 kPa); t90=0.8 min; 0.111 %/min; corrección por membrana. Alternativa 4 (relave cicloneado (~86 % sólidos; 80 % gruesos / 20 % finos)), desmonte:relave 1:1 en masa seca (50 % relave). Tras consolidación (Tabla 8): w=10.0 %, ρd=2.31 g/cm³, e=0.3. Final de corte (Tabla 8): w=7.8 %, ρd=2.433 g/cm³, e=0.23. q_kPa = máximo desviador de la Tabla 8; en la hoja de laboratorio el máximo es 3750.7 kPa a εa=18.21 % (σ3'=1204.3; σ1'=4955.0 kPa); εa y εv salen de esa fila. La hoja dice 'Criterio de falla: Esfuerzo Desv. Máximo' pero da σ1'=4936 y σ3=1206 kPa a εa=16.3 %, que no es el máximo de su tabla; los círculos de Mohr del laboratorio usan esos valores. εv con la convención del informe: negativo = contracción, positivo = dilatación. φsec calculado (c=0) con q de Tabla 8: 37.5°. Envolvente del set: Tabla 7 (p.19) c=51 kPa, φ=37°; hoja de laboratorio (p.175) c=51 kPa, φ=37°. Gs = 'G. Específica Promedio' de la hoja triaxial; SUCS SM; no plástico. γd y e0 = estado remoldeado inicial (antes de saturar). Clase ROM/Chancado/Enrocado no indicada en el informe; A/B/C es tipificación geoquímica. Alteración no indicada.</t>
        </is>
      </c>
      <c r="BD94" t="n">
        <v>1206</v>
      </c>
      <c r="BE94" t="n">
        <v>1206</v>
      </c>
      <c r="BF94" t="n">
        <v>4957</v>
      </c>
      <c r="BG94" t="inlineStr"/>
      <c r="BH94" t="inlineStr"/>
      <c r="BI94" t="inlineStr"/>
      <c r="BJ94" t="inlineStr"/>
      <c r="BK94" t="inlineStr"/>
      <c r="BL94" t="n">
        <v>18.21</v>
      </c>
      <c r="BM94" t="n">
        <v>1204.31</v>
      </c>
      <c r="BN94" t="n">
        <v>4955.03</v>
      </c>
      <c r="BO94" t="n">
        <v>3750.72</v>
      </c>
      <c r="BP94" t="inlineStr"/>
      <c r="BQ94" t="n">
        <v>4.114</v>
      </c>
      <c r="BR94" t="inlineStr">
        <is>
          <t>0.99</t>
        </is>
      </c>
      <c r="BS94" t="n">
        <v>260</v>
      </c>
      <c r="BT94" t="n">
        <v>0.111</v>
      </c>
      <c r="BU94" t="n">
        <v>22.66</v>
      </c>
      <c r="BV94" t="n">
        <v>0.3</v>
      </c>
      <c r="BW94" t="inlineStr"/>
      <c r="BX94" t="inlineStr"/>
      <c r="BY94" t="inlineStr">
        <is>
          <t>Tabla 8 (p.20-22) y hoja p.173 verificadas en imagen. q_kPa = Tabla 8 (3751); máximo de la hoja 3750.72 kPa a εa=18.21 % (diferencia -0.3 kPa). Máx. oblicuidad 4.114 a εa=18.21 %. B=0.99, celda 1467 kPa, contrapresión 260 kPa.</t>
        </is>
      </c>
      <c r="BZ94" t="n">
        <v>18.21</v>
      </c>
      <c r="CA94" t="n">
        <v>3750.72</v>
      </c>
      <c r="CB94" t="n">
        <v>1204.31</v>
      </c>
      <c r="CC94" t="n">
        <v>4955.03</v>
      </c>
      <c r="CD94" t="n">
        <v>20.11</v>
      </c>
      <c r="CE94" t="n">
        <v>3749.19</v>
      </c>
      <c r="CF94" t="inlineStr">
        <is>
          <t>no (máximo en la última lectura o caída &lt; 2 %)</t>
        </is>
      </c>
      <c r="CG94" t="n">
        <v>1467</v>
      </c>
      <c r="CH94" t="inlineStr">
        <is>
          <t>«G. Específica (Promedio)» impresa en la hoja triaxial p.173; no coincide con la Tabla 5 (finos D854 ni gruesos C127); el informe no explica cómo se obtuvo</t>
        </is>
      </c>
      <c r="CI94" t="n">
        <v>0.666</v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>
        <is>
          <t>Triaxial CD</t>
        </is>
      </c>
      <c r="EY94" t="inlineStr">
        <is>
          <t>CD: máximo desviador</t>
        </is>
      </c>
      <c r="EZ94" t="n">
        <v>1206</v>
      </c>
      <c r="FA94" t="n">
        <v>4957</v>
      </c>
      <c r="FB94" t="n">
        <v>3751</v>
      </c>
      <c r="FC94" t="n">
        <v>37.49066478370281</v>
      </c>
      <c r="FD94" t="n">
        <v>1940.010384552977</v>
      </c>
      <c r="FE94" t="n">
        <v>1488.120192668122</v>
      </c>
      <c r="FF94" t="inlineStr">
        <is>
          <t>6 in (≈150 mm)</t>
        </is>
      </c>
      <c r="FG94" t="n">
        <v>6.000000000000001</v>
      </c>
      <c r="FH94" t="inlineStr">
        <is>
          <t>Mezcla co-disposición (desmonte ROM + relave)</t>
        </is>
      </c>
      <c r="FI94" t="inlineStr">
        <is>
          <t>criterio experto: compuesto de desmonte por tipos geoquímicos A/B/C para co-disposición en botadero</t>
        </is>
      </c>
      <c r="FJ94" t="n">
        <v>50</v>
      </c>
      <c r="FK94" t="inlineStr"/>
      <c r="FL94" t="inlineStr"/>
      <c r="FM94" t="inlineStr">
        <is>
          <t>A</t>
        </is>
      </c>
      <c r="FN94" t="n">
        <v>0.67</v>
      </c>
      <c r="FO94" t="inlineStr"/>
      <c r="FP94" t="n">
        <v>3.003</v>
      </c>
      <c r="FQ94" t="inlineStr">
        <is>
          <t>informe o verificación</t>
        </is>
      </c>
      <c r="FR94" t="inlineStr">
        <is>
          <t>G2021-092</t>
        </is>
      </c>
      <c r="FS94" t="inlineStr">
        <is>
          <t>G2021|G21-ALT4-1:1</t>
        </is>
      </c>
    </row>
    <row r="95">
      <c r="A95" t="inlineStr">
        <is>
          <t>G2021</t>
        </is>
      </c>
      <c r="B95" t="inlineStr">
        <is>
          <t>2021_Golder_Ensayos de Laboratorio Commingling.pdf</t>
        </is>
      </c>
      <c r="C95" t="n">
        <v>2021</v>
      </c>
      <c r="D95" t="inlineStr">
        <is>
          <t>Golder Associates Perú (miembro de WSP), informe 101-20110-LTE01220-INF-420-G-0013 Rev. 0 (28/04/2021)</t>
        </is>
      </c>
      <c r="E95" t="inlineStr">
        <is>
          <t>Laboratorio de Mecánica de Suelos de Golder Associates Perú, Lima</t>
        </is>
      </c>
      <c r="F95" t="inlineStr">
        <is>
          <t>G21-ALT1-9:1</t>
        </is>
      </c>
      <c r="G95" t="inlineStr">
        <is>
          <t>II0520-K</t>
        </is>
      </c>
      <c r="H95" t="inlineStr">
        <is>
          <t>Desmonte Tipo A (intrusivo), Tipo B (mármol y hornfels), Tipo C (hornfels); compuesto 0.35 A : 0.15 B : 0.50 C (masa seca); relave compuesto 0.33 M1 : 0.33 M2A : 0.33 M4B</t>
        </is>
      </c>
      <c r="I95" t="inlineStr">
        <is>
          <t>Mezcla</t>
        </is>
      </c>
      <c r="J95" t="inlineStr">
        <is>
          <t>Tipo B = mármol y hornfels (el informe no separa su reparto); sin subtipos (mármol blanco/negro, skarn, etc.) indicados</t>
        </is>
      </c>
      <c r="K95" t="inlineStr">
        <is>
          <t>Intrusivo 35 %; Mármol + Hornfels 15 % (Tipo B, reparto no indicado); Hornfels 50 % (proporciones del desmonte, masa seca); la mezcla lleva además 10 % de relave en masa seca</t>
        </is>
      </c>
      <c r="L95" t="inlineStr"/>
      <c r="M95" t="inlineStr">
        <is>
          <t>Mezcla co-disposición: desmonte de clase no indicada + 10 % relave</t>
        </is>
      </c>
      <c r="N95" t="inlineStr">
        <is>
          <t>Compuesto de Tipos A, B y C (tipificación geoquímica por potencial de generación de acidez)</t>
        </is>
      </c>
      <c r="O95" t="inlineStr">
        <is>
          <t>Permeabilidad (pared flexible, ASTM D5084)</t>
        </is>
      </c>
      <c r="P95" t="inlineStr">
        <is>
          <t>sí</t>
        </is>
      </c>
      <c r="Q95" t="n">
        <v>152</v>
      </c>
      <c r="R95" t="n">
        <v>305</v>
      </c>
      <c r="S95" t="n">
        <v>25.4</v>
      </c>
      <c r="T95" t="n">
        <v>0.0507</v>
      </c>
      <c r="U95" t="n">
        <v>0.6621</v>
      </c>
      <c r="V95" t="n">
        <v>5.7715</v>
      </c>
      <c r="W95" t="n">
        <v>8.766500000000001</v>
      </c>
      <c r="X95" t="n">
        <v>172.96</v>
      </c>
      <c r="Y95" t="n">
        <v>0.99</v>
      </c>
      <c r="Z95" t="n">
        <v>53.6</v>
      </c>
      <c r="AA95" t="n">
        <v>33.3</v>
      </c>
      <c r="AB95" t="n">
        <v>13.1</v>
      </c>
      <c r="AC95" t="inlineStr">
        <is>
          <t>Truncado (scalping): desmonte limitado a partículas &lt; 1" (100 % pasa 25.4 mm); Dmax de terreno no indicado</t>
        </is>
      </c>
      <c r="AD95" t="n">
        <v>2.793</v>
      </c>
      <c r="AE95" t="n">
        <v>17.68</v>
      </c>
      <c r="AF95" t="n">
        <v>0.55</v>
      </c>
      <c r="AG95" t="inlineStr">
        <is>
          <t>calculado</t>
        </is>
      </c>
      <c r="AH95" t="inlineStr"/>
      <c r="AI95" t="n">
        <v>1.65</v>
      </c>
      <c r="AJ95" t="inlineStr"/>
      <c r="AK95" t="n">
        <v>399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23;179;47</t>
        </is>
      </c>
      <c r="BB95" t="inlineStr">
        <is>
          <t>sí</t>
        </is>
      </c>
      <c r="BC95" t="inlineStr">
        <is>
          <t>Permeabilidad en pared flexible, ASTM D5084-16a Método C, a σ' = 399 kPa (celda 661 kPa, contrapresión 262 kPa), gradiente 1–2; B ≥0.99. k20 = 5.6E-06 m/s (promedio de las 5 últimas lecturas, hoja p.179). Alternativa 1 (relave filtrado (~86 % sólidos)), desmonte:relave 9:1 (10 % relave). Final: w=9.11 %, ρd=2.219 g/cm³ (igual a la probeta triaxial de ~400 kPa tras consolidar; el informe dice que se midió como parte de los triaxiales). e0 calculado con el Gs de la hoja triaxial del mismo material. Clase ROM/Chancado/Enrocado no indicada; alteración no indicada. Tabla 9 (p.23): 5.60E-06 m/s, concuerda.</t>
        </is>
      </c>
      <c r="BD95" t="n">
        <v>399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≥0.99</t>
        </is>
      </c>
      <c r="BS95" t="n">
        <v>262</v>
      </c>
      <c r="BT95" t="inlineStr"/>
      <c r="BU95" t="n">
        <v>21.77</v>
      </c>
      <c r="BV95" t="inlineStr"/>
      <c r="BW95" t="inlineStr"/>
      <c r="BX95" t="inlineStr"/>
      <c r="BY95" t="inlineStr">
        <is>
          <t>Hoja p.179 verificada en imagen: k20 = 5.6E-06 m/s; Tabla 9 (p.23) = 5.60E-06 m/s.</t>
        </is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661</v>
      </c>
      <c r="CH95" t="inlineStr">
        <is>
          <t>Gs de la hoja triaxial del mismo material (la hoja de permeabilidad no da Gs)</t>
        </is>
      </c>
      <c r="CI95" t="n">
        <v>0.55</v>
      </c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>
        <is>
          <t>Permeabilidad</t>
        </is>
      </c>
      <c r="EY95" t="inlineStr"/>
      <c r="EZ95" t="n">
        <v>399</v>
      </c>
      <c r="FA95" t="inlineStr"/>
      <c r="FB95" t="inlineStr"/>
      <c r="FC95" t="inlineStr"/>
      <c r="FD95" t="inlineStr"/>
      <c r="FE95" t="inlineStr"/>
      <c r="FF95" t="inlineStr">
        <is>
          <t>6 in (≈150 mm)</t>
        </is>
      </c>
      <c r="FG95" t="n">
        <v>5.984251968503937</v>
      </c>
      <c r="FH95" t="inlineStr">
        <is>
          <t>Mezcla co-disposición (desmonte ROM + relave)</t>
        </is>
      </c>
      <c r="FI95" t="inlineStr">
        <is>
          <t>criterio experto: compuesto de desmonte por tipos geoquímicos A/B/C para co-disposición en botadero</t>
        </is>
      </c>
      <c r="FJ95" t="n">
        <v>10</v>
      </c>
      <c r="FK95" t="inlineStr"/>
      <c r="FL95" t="inlineStr">
        <is>
          <t>no es ensayo de resistencia</t>
        </is>
      </c>
      <c r="FM95" t="inlineStr">
        <is>
          <t>A</t>
        </is>
      </c>
      <c r="FN95" t="n">
        <v>0.55</v>
      </c>
      <c r="FO95" t="inlineStr"/>
      <c r="FP95" t="n">
        <v>2.793</v>
      </c>
      <c r="FQ95" t="inlineStr">
        <is>
          <t>informe o verificación</t>
        </is>
      </c>
      <c r="FR95" t="inlineStr">
        <is>
          <t>G2021-093</t>
        </is>
      </c>
      <c r="FS95" t="inlineStr">
        <is>
          <t>G2021|G21-ALT1-9:1</t>
        </is>
      </c>
    </row>
    <row r="96">
      <c r="A96" t="inlineStr">
        <is>
          <t>G2021</t>
        </is>
      </c>
      <c r="B96" t="inlineStr">
        <is>
          <t>2021_Golder_Ensayos de Laboratorio Commingling.pdf</t>
        </is>
      </c>
      <c r="C96" t="n">
        <v>2021</v>
      </c>
      <c r="D96" t="inlineStr">
        <is>
          <t>Golder Associates Perú (miembro de WSP), informe 101-20110-LTE01220-INF-420-G-0013 Rev. 0 (28/04/2021)</t>
        </is>
      </c>
      <c r="E96" t="inlineStr">
        <is>
          <t>Laboratorio de Mecánica de Suelos de Golder Associates Perú, Lima</t>
        </is>
      </c>
      <c r="F96" t="inlineStr">
        <is>
          <t>G21-ALT1-1:1</t>
        </is>
      </c>
      <c r="G96" t="inlineStr">
        <is>
          <t>II0522-K</t>
        </is>
      </c>
      <c r="H96" t="inlineStr">
        <is>
          <t>Desmonte Tipo A (intrusivo), Tipo B (mármol y hornfels), Tipo C (hornfels); compuesto 0.35 A : 0.15 B : 0.50 C (masa seca); relave compuesto 0.33 M1 : 0.33 M2A : 0.33 M4B</t>
        </is>
      </c>
      <c r="I96" t="inlineStr">
        <is>
          <t>Mezcla</t>
        </is>
      </c>
      <c r="J96" t="inlineStr">
        <is>
          <t>Tipo B = mármol y hornfels (el informe no separa su reparto); sin subtipos (mármol blanco/negro, skarn, etc.) indicados</t>
        </is>
      </c>
      <c r="K96" t="inlineStr">
        <is>
          <t>Intrusivo 35 %; Mármol + Hornfels 15 % (Tipo B, reparto no indicado); Hornfels 50 % (proporciones del desmonte, masa seca); la mezcla lleva además 50 % de relave en masa seca</t>
        </is>
      </c>
      <c r="L96" t="inlineStr"/>
      <c r="M96" t="inlineStr">
        <is>
          <t>Mezcla co-disposición: desmonte de clase no indicada + 50 % relave</t>
        </is>
      </c>
      <c r="N96" t="inlineStr">
        <is>
          <t>Compuesto de Tipos A, B y C (tipificación geoquímica por potencial de generación de acidez)</t>
        </is>
      </c>
      <c r="O96" t="inlineStr">
        <is>
          <t>Permeabilidad (pared flexible, ASTM D5084)</t>
        </is>
      </c>
      <c r="P96" t="inlineStr">
        <is>
          <t>sí</t>
        </is>
      </c>
      <c r="Q96" t="n">
        <v>152</v>
      </c>
      <c r="R96" t="n">
        <v>305</v>
      </c>
      <c r="S96" t="n">
        <v>25.4</v>
      </c>
      <c r="T96" t="n">
        <v>0.0208</v>
      </c>
      <c r="U96" t="n">
        <v>0.09520000000000001</v>
      </c>
      <c r="V96" t="n">
        <v>0.2833</v>
      </c>
      <c r="W96" t="n">
        <v>0.7395</v>
      </c>
      <c r="X96" t="n">
        <v>35.57</v>
      </c>
      <c r="Y96" t="n">
        <v>0.59</v>
      </c>
      <c r="Z96" t="n">
        <v>29.8</v>
      </c>
      <c r="AA96" t="n">
        <v>44</v>
      </c>
      <c r="AB96" t="n">
        <v>26.2</v>
      </c>
      <c r="AC96" t="inlineStr">
        <is>
          <t>Truncado (scalping): desmonte limitado a partículas &lt; 1" (100 % pasa 25.4 mm); Dmax de terreno no indicado</t>
        </is>
      </c>
      <c r="AD96" t="n">
        <v>3</v>
      </c>
      <c r="AE96" t="n">
        <v>17.67</v>
      </c>
      <c r="AF96" t="n">
        <v>0.666</v>
      </c>
      <c r="AG96" t="inlineStr">
        <is>
          <t>calculado</t>
        </is>
      </c>
      <c r="AH96" t="inlineStr"/>
      <c r="AI96" t="n">
        <v>8.199999999999999</v>
      </c>
      <c r="AJ96" t="inlineStr"/>
      <c r="AK96" t="n">
        <v>399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23;180;49</t>
        </is>
      </c>
      <c r="BB96" t="inlineStr">
        <is>
          <t>sí</t>
        </is>
      </c>
      <c r="BC96" t="inlineStr">
        <is>
          <t>Permeabilidad en pared flexible, ASTM D5084-16a Método C, a σ' = 399 kPa (celda 661 kPa, contrapresión 262 kPa), gradiente 1–2; B ≥0.99. k20 = 8.9E-07 m/s (promedio de las 5 últimas lecturas, hoja p.180). Alternativa 1 (relave filtrado (~86 % sólidos)), desmonte:relave 1:1 (50 % relave). Final: w=11.0 %, ρd=2.253 g/cm³ (igual a la probeta triaxial de ~400 kPa tras consolidar; el informe dice que se midió como parte de los triaxiales). e0 calculado con el Gs de la hoja triaxial del mismo material. Clase ROM/Chancado/Enrocado no indicada; alteración no indicada. DISCREPANCIA: la Tabla 9 (p.23) y la Figura 11 dan 8.90E-06 m/s; la hoja de laboratorio (verificada en imagen) da 8.9E-07 m/s. Se adopta la hoja. La conclusión del informe de que en la Alt. 1 la k aumenta con el relave se apoya en el valor de la Tabla 9.</t>
        </is>
      </c>
      <c r="BD96" t="n">
        <v>399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≥0.99</t>
        </is>
      </c>
      <c r="BS96" t="n">
        <v>262</v>
      </c>
      <c r="BT96" t="inlineStr"/>
      <c r="BU96" t="n">
        <v>22.1</v>
      </c>
      <c r="BV96" t="inlineStr"/>
      <c r="BW96" t="inlineStr"/>
      <c r="BX96" t="inlineStr"/>
      <c r="BY96" t="inlineStr">
        <is>
          <t>Hoja p.180 verificada en imagen: k20 = 8.9E-07 m/s; Tabla 9 (p.23) = 8.90E-06 m/s. DISCREPANCIA: se adopta la hoja.</t>
        </is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661</v>
      </c>
      <c r="CH96" t="inlineStr">
        <is>
          <t>Gs de la hoja triaxial del mismo material (la hoja de permeabilidad no da Gs)</t>
        </is>
      </c>
      <c r="CI96" t="n">
        <v>0.666</v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>
        <is>
          <t>Permeabilidad</t>
        </is>
      </c>
      <c r="EY96" t="inlineStr"/>
      <c r="EZ96" t="n">
        <v>399</v>
      </c>
      <c r="FA96" t="inlineStr"/>
      <c r="FB96" t="inlineStr"/>
      <c r="FC96" t="inlineStr"/>
      <c r="FD96" t="inlineStr"/>
      <c r="FE96" t="inlineStr"/>
      <c r="FF96" t="inlineStr">
        <is>
          <t>6 in (≈150 mm)</t>
        </is>
      </c>
      <c r="FG96" t="n">
        <v>5.984251968503937</v>
      </c>
      <c r="FH96" t="inlineStr">
        <is>
          <t>Mezcla co-disposición (desmonte ROM + relave)</t>
        </is>
      </c>
      <c r="FI96" t="inlineStr">
        <is>
          <t>criterio experto: compuesto de desmonte por tipos geoquímicos A/B/C para co-disposición en botadero</t>
        </is>
      </c>
      <c r="FJ96" t="n">
        <v>50</v>
      </c>
      <c r="FK96" t="inlineStr"/>
      <c r="FL96" t="inlineStr">
        <is>
          <t>no es ensayo de resistencia</t>
        </is>
      </c>
      <c r="FM96" t="inlineStr">
        <is>
          <t>A</t>
        </is>
      </c>
      <c r="FN96" t="n">
        <v>0.666</v>
      </c>
      <c r="FO96" t="inlineStr"/>
      <c r="FP96" t="n">
        <v>3</v>
      </c>
      <c r="FQ96" t="inlineStr">
        <is>
          <t>informe o verificación</t>
        </is>
      </c>
      <c r="FR96" t="inlineStr">
        <is>
          <t>G2021-094</t>
        </is>
      </c>
      <c r="FS96" t="inlineStr">
        <is>
          <t>G2021|G21-ALT1-1:1</t>
        </is>
      </c>
    </row>
    <row r="97">
      <c r="A97" t="inlineStr">
        <is>
          <t>G2021</t>
        </is>
      </c>
      <c r="B97" t="inlineStr">
        <is>
          <t>2021_Golder_Ensayos de Laboratorio Commingling.pdf</t>
        </is>
      </c>
      <c r="C97" t="n">
        <v>2021</v>
      </c>
      <c r="D97" t="inlineStr">
        <is>
          <t>Golder Associates Perú (miembro de WSP), informe 101-20110-LTE01220-INF-420-G-0013 Rev. 0 (28/04/2021)</t>
        </is>
      </c>
      <c r="E97" t="inlineStr">
        <is>
          <t>Laboratorio de Mecánica de Suelos de Golder Associates Perú, Lima</t>
        </is>
      </c>
      <c r="F97" t="inlineStr">
        <is>
          <t>G21-ALT2-9:1</t>
        </is>
      </c>
      <c r="G97" t="inlineStr">
        <is>
          <t>II0523-K</t>
        </is>
      </c>
      <c r="H97" t="inlineStr">
        <is>
          <t>Desmonte Tipo A (intrusivo), Tipo B (mármol y hornfels), Tipo C (hornfels); compuesto 0.35 A : 0.15 B : 0.50 C (masa seca); relave compuesto 0.33 M1 : 0.33 M2A : 0.33 M4B</t>
        </is>
      </c>
      <c r="I97" t="inlineStr">
        <is>
          <t>Mezcla</t>
        </is>
      </c>
      <c r="J97" t="inlineStr">
        <is>
          <t>Tipo B = mármol y hornfels (el informe no separa su reparto); sin subtipos (mármol blanco/negro, skarn, etc.) indicados</t>
        </is>
      </c>
      <c r="K97" t="inlineStr">
        <is>
          <t>Intrusivo 35 %; Mármol + Hornfels 15 % (Tipo B, reparto no indicado); Hornfels 50 % (proporciones del desmonte, masa seca); la mezcla lleva además 10 % de relave en masa seca</t>
        </is>
      </c>
      <c r="L97" t="inlineStr"/>
      <c r="M97" t="inlineStr">
        <is>
          <t>Mezcla co-disposición: desmonte de clase no indicada + 10 % relave</t>
        </is>
      </c>
      <c r="N97" t="inlineStr">
        <is>
          <t>Compuesto de Tipos A, B y C (tipificación geoquímica por potencial de generación de acidez)</t>
        </is>
      </c>
      <c r="O97" t="inlineStr">
        <is>
          <t>Permeabilidad (pared flexible, ASTM D5084)</t>
        </is>
      </c>
      <c r="P97" t="inlineStr">
        <is>
          <t>sí</t>
        </is>
      </c>
      <c r="Q97" t="n">
        <v>152</v>
      </c>
      <c r="R97" t="n">
        <v>305</v>
      </c>
      <c r="S97" t="n">
        <v>25.4</v>
      </c>
      <c r="T97" t="n">
        <v>0.0526</v>
      </c>
      <c r="U97" t="n">
        <v>0.6079</v>
      </c>
      <c r="V97" t="n">
        <v>6.3687</v>
      </c>
      <c r="W97" t="n">
        <v>10.6137</v>
      </c>
      <c r="X97" t="n">
        <v>201.9</v>
      </c>
      <c r="Y97" t="n">
        <v>0.66</v>
      </c>
      <c r="Z97" t="n">
        <v>53.7</v>
      </c>
      <c r="AA97" t="n">
        <v>33.2</v>
      </c>
      <c r="AB97" t="n">
        <v>13.1</v>
      </c>
      <c r="AC97" t="inlineStr">
        <is>
          <t>Truncado (scalping): desmonte limitado a partículas &lt; 1" (100 % pasa 25.4 mm); Dmax de terreno no indicado</t>
        </is>
      </c>
      <c r="AD97" t="n">
        <v>2.789</v>
      </c>
      <c r="AE97" t="n">
        <v>17.68</v>
      </c>
      <c r="AF97" t="n">
        <v>0.548</v>
      </c>
      <c r="AG97" t="inlineStr">
        <is>
          <t>calculado</t>
        </is>
      </c>
      <c r="AH97" t="inlineStr"/>
      <c r="AI97" t="n">
        <v>2.5</v>
      </c>
      <c r="AJ97" t="inlineStr"/>
      <c r="AK97" t="n">
        <v>399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23;181;50</t>
        </is>
      </c>
      <c r="BB97" t="inlineStr">
        <is>
          <t>sí</t>
        </is>
      </c>
      <c r="BC97" t="inlineStr">
        <is>
          <t>Permeabilidad en pared flexible, ASTM D5084-16a Método C, a σ' = 399 kPa (celda 661 kPa, contrapresión 262 kPa), gradiente 1–2; B ≥0.98. k20 = 8.1E-06 m/s (promedio de las 5 últimas lecturas, hoja p.181). Alternativa 2 (relave en pasta (~80 % sólidos)), desmonte:relave 9:1 (10 % relave). Final: w=9.1 %, ρd=2.222 g/cm³ (igual a la probeta triaxial de ~400 kPa tras consolidar; el informe dice que se midió como parte de los triaxiales). e0 calculado con el Gs de la hoja triaxial del mismo material. Clase ROM/Chancado/Enrocado no indicada; alteración no indicada. Tabla 9 (p.23): 8.10E-06 m/s, concuerda.</t>
        </is>
      </c>
      <c r="BD97" t="n">
        <v>399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≥0.98</t>
        </is>
      </c>
      <c r="BS97" t="n">
        <v>262</v>
      </c>
      <c r="BT97" t="inlineStr"/>
      <c r="BU97" t="n">
        <v>21.8</v>
      </c>
      <c r="BV97" t="inlineStr"/>
      <c r="BW97" t="inlineStr"/>
      <c r="BX97" t="inlineStr"/>
      <c r="BY97" t="inlineStr">
        <is>
          <t>Hoja p.181 verificada en imagen: k20 = 8.1E-06 m/s; Tabla 9 (p.23) = 8.10E-06 m/s.</t>
        </is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661</v>
      </c>
      <c r="CH97" t="inlineStr">
        <is>
          <t>Gs de la hoja triaxial del mismo material (la hoja de permeabilidad no da Gs)</t>
        </is>
      </c>
      <c r="CI97" t="n">
        <v>0.548</v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>
        <is>
          <t>Permeabilidad</t>
        </is>
      </c>
      <c r="EY97" t="inlineStr"/>
      <c r="EZ97" t="n">
        <v>399</v>
      </c>
      <c r="FA97" t="inlineStr"/>
      <c r="FB97" t="inlineStr"/>
      <c r="FC97" t="inlineStr"/>
      <c r="FD97" t="inlineStr"/>
      <c r="FE97" t="inlineStr"/>
      <c r="FF97" t="inlineStr">
        <is>
          <t>6 in (≈150 mm)</t>
        </is>
      </c>
      <c r="FG97" t="n">
        <v>5.984251968503937</v>
      </c>
      <c r="FH97" t="inlineStr">
        <is>
          <t>Mezcla co-disposición (desmonte ROM + relave)</t>
        </is>
      </c>
      <c r="FI97" t="inlineStr">
        <is>
          <t>criterio experto: compuesto de desmonte por tipos geoquímicos A/B/C para co-disposición en botadero</t>
        </is>
      </c>
      <c r="FJ97" t="n">
        <v>10</v>
      </c>
      <c r="FK97" t="inlineStr"/>
      <c r="FL97" t="inlineStr">
        <is>
          <t>no es ensayo de resistencia</t>
        </is>
      </c>
      <c r="FM97" t="inlineStr">
        <is>
          <t>A</t>
        </is>
      </c>
      <c r="FN97" t="n">
        <v>0.548</v>
      </c>
      <c r="FO97" t="inlineStr"/>
      <c r="FP97" t="n">
        <v>2.789</v>
      </c>
      <c r="FQ97" t="inlineStr">
        <is>
          <t>informe o verificación</t>
        </is>
      </c>
      <c r="FR97" t="inlineStr">
        <is>
          <t>G2021-095</t>
        </is>
      </c>
      <c r="FS97" t="inlineStr">
        <is>
          <t>G2021|G21-ALT2-9:1</t>
        </is>
      </c>
    </row>
    <row r="98">
      <c r="A98" t="inlineStr">
        <is>
          <t>G2021</t>
        </is>
      </c>
      <c r="B98" t="inlineStr">
        <is>
          <t>2021_Golder_Ensayos de Laboratorio Commingling.pdf</t>
        </is>
      </c>
      <c r="C98" t="n">
        <v>2021</v>
      </c>
      <c r="D98" t="inlineStr">
        <is>
          <t>Golder Associates Perú (miembro de WSP), informe 101-20110-LTE01220-INF-420-G-0013 Rev. 0 (28/04/2021)</t>
        </is>
      </c>
      <c r="E98" t="inlineStr">
        <is>
          <t>Laboratorio de Mecánica de Suelos de Golder Associates Perú, Lima</t>
        </is>
      </c>
      <c r="F98" t="inlineStr">
        <is>
          <t>G21-ALT2-1:1</t>
        </is>
      </c>
      <c r="G98" t="inlineStr">
        <is>
          <t>II0525-K</t>
        </is>
      </c>
      <c r="H98" t="inlineStr">
        <is>
          <t>Desmonte Tipo A (intrusivo), Tipo B (mármol y hornfels), Tipo C (hornfels); compuesto 0.35 A : 0.15 B : 0.50 C (masa seca); relave compuesto 0.33 M1 : 0.33 M2A : 0.33 M4B</t>
        </is>
      </c>
      <c r="I98" t="inlineStr">
        <is>
          <t>Mezcla</t>
        </is>
      </c>
      <c r="J98" t="inlineStr">
        <is>
          <t>Tipo B = mármol y hornfels (el informe no separa su reparto); sin subtipos (mármol blanco/negro, skarn, etc.) indicados</t>
        </is>
      </c>
      <c r="K98" t="inlineStr">
        <is>
          <t>Intrusivo 35 %; Mármol + Hornfels 15 % (Tipo B, reparto no indicado); Hornfels 50 % (proporciones del desmonte, masa seca); la mezcla lleva además 50 % de relave en masa seca</t>
        </is>
      </c>
      <c r="L98" t="inlineStr"/>
      <c r="M98" t="inlineStr">
        <is>
          <t>Mezcla co-disposición: desmonte de clase no indicada + 50 % relave</t>
        </is>
      </c>
      <c r="N98" t="inlineStr">
        <is>
          <t>Compuesto de Tipos A, B y C (tipificación geoquímica por potencial de generación de acidez)</t>
        </is>
      </c>
      <c r="O98" t="inlineStr">
        <is>
          <t>Permeabilidad (pared flexible, ASTM D5084)</t>
        </is>
      </c>
      <c r="P98" t="inlineStr">
        <is>
          <t>sí</t>
        </is>
      </c>
      <c r="Q98" t="n">
        <v>152</v>
      </c>
      <c r="R98" t="n">
        <v>305</v>
      </c>
      <c r="S98" t="n">
        <v>25.4</v>
      </c>
      <c r="T98" t="n">
        <v>0.0215</v>
      </c>
      <c r="U98" t="n">
        <v>0.102</v>
      </c>
      <c r="V98" t="n">
        <v>0.3191</v>
      </c>
      <c r="W98" t="n">
        <v>1.0164</v>
      </c>
      <c r="X98" t="n">
        <v>47.36</v>
      </c>
      <c r="Y98" t="n">
        <v>0.48</v>
      </c>
      <c r="Z98" t="n">
        <v>29.9</v>
      </c>
      <c r="AA98" t="n">
        <v>44.8</v>
      </c>
      <c r="AB98" t="n">
        <v>25.3</v>
      </c>
      <c r="AC98" t="inlineStr">
        <is>
          <t>Truncado (scalping): desmonte limitado a partículas &lt; 1" (100 % pasa 25.4 mm); Dmax de terreno no indicado</t>
        </is>
      </c>
      <c r="AD98" t="n">
        <v>3.006</v>
      </c>
      <c r="AE98" t="n">
        <v>17.68</v>
      </c>
      <c r="AF98" t="n">
        <v>0.668</v>
      </c>
      <c r="AG98" t="inlineStr">
        <is>
          <t>calculado</t>
        </is>
      </c>
      <c r="AH98" t="inlineStr"/>
      <c r="AI98" t="n">
        <v>8.5</v>
      </c>
      <c r="AJ98" t="inlineStr"/>
      <c r="AK98" t="n">
        <v>399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23;182;52</t>
        </is>
      </c>
      <c r="BB98" t="inlineStr">
        <is>
          <t>sí</t>
        </is>
      </c>
      <c r="BC98" t="inlineStr">
        <is>
          <t>Permeabilidad en pared flexible, ASTM D5084-16a Método C, a σ' = 399 kPa (celda 661 kPa, contrapresión 262 kPa), gradiente 1–2; B ≥0.98. k20 = 1.4E-06 m/s (promedio de las 5 últimas lecturas, hoja p.182). Alternativa 2 (relave en pasta (~80 % sólidos)), desmonte:relave 1:1 (50 % relave). Final: w=10.8 %, ρd=2.264 g/cm³ (igual a la probeta triaxial de ~400 kPa tras consolidar; el informe dice que se midió como parte de los triaxiales). e0 calculado con el Gs de la hoja triaxial del mismo material. Clase ROM/Chancado/Enrocado no indicada; alteración no indicada. Tabla 9 (p.23): 1.40E-06 m/s, concuerda.</t>
        </is>
      </c>
      <c r="BD98" t="n">
        <v>399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>
        <is>
          <t>≥0.98</t>
        </is>
      </c>
      <c r="BS98" t="n">
        <v>262</v>
      </c>
      <c r="BT98" t="inlineStr"/>
      <c r="BU98" t="n">
        <v>22.21</v>
      </c>
      <c r="BV98" t="inlineStr"/>
      <c r="BW98" t="inlineStr"/>
      <c r="BX98" t="inlineStr"/>
      <c r="BY98" t="inlineStr">
        <is>
          <t>Hoja p.182 verificada en imagen: k20 = 1.4E-06 m/s; Tabla 9 (p.23) = 1.40E-06 m/s.</t>
        </is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661</v>
      </c>
      <c r="CH98" t="inlineStr">
        <is>
          <t>Gs de la hoja triaxial del mismo material (la hoja de permeabilidad no da Gs)</t>
        </is>
      </c>
      <c r="CI98" t="n">
        <v>0.668</v>
      </c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>
        <is>
          <t>Permeabilidad</t>
        </is>
      </c>
      <c r="EY98" t="inlineStr"/>
      <c r="EZ98" t="n">
        <v>399</v>
      </c>
      <c r="FA98" t="inlineStr"/>
      <c r="FB98" t="inlineStr"/>
      <c r="FC98" t="inlineStr"/>
      <c r="FD98" t="inlineStr"/>
      <c r="FE98" t="inlineStr"/>
      <c r="FF98" t="inlineStr">
        <is>
          <t>6 in (≈150 mm)</t>
        </is>
      </c>
      <c r="FG98" t="n">
        <v>5.984251968503937</v>
      </c>
      <c r="FH98" t="inlineStr">
        <is>
          <t>Mezcla co-disposición (desmonte ROM + relave)</t>
        </is>
      </c>
      <c r="FI98" t="inlineStr">
        <is>
          <t>criterio experto: compuesto de desmonte por tipos geoquímicos A/B/C para co-disposición en botadero</t>
        </is>
      </c>
      <c r="FJ98" t="n">
        <v>50</v>
      </c>
      <c r="FK98" t="inlineStr"/>
      <c r="FL98" t="inlineStr">
        <is>
          <t>no es ensayo de resistencia</t>
        </is>
      </c>
      <c r="FM98" t="inlineStr">
        <is>
          <t>A</t>
        </is>
      </c>
      <c r="FN98" t="n">
        <v>0.668</v>
      </c>
      <c r="FO98" t="inlineStr"/>
      <c r="FP98" t="n">
        <v>3.006</v>
      </c>
      <c r="FQ98" t="inlineStr">
        <is>
          <t>informe o verificación</t>
        </is>
      </c>
      <c r="FR98" t="inlineStr">
        <is>
          <t>G2021-096</t>
        </is>
      </c>
      <c r="FS98" t="inlineStr">
        <is>
          <t>G2021|G21-ALT2-1:1</t>
        </is>
      </c>
    </row>
    <row r="99">
      <c r="A99" t="inlineStr">
        <is>
          <t>G2021</t>
        </is>
      </c>
      <c r="B99" t="inlineStr">
        <is>
          <t>2021_Golder_Ensayos de Laboratorio Commingling.pdf</t>
        </is>
      </c>
      <c r="C99" t="n">
        <v>2021</v>
      </c>
      <c r="D99" t="inlineStr">
        <is>
          <t>Golder Associates Perú (miembro de WSP), informe 101-20110-LTE01220-INF-420-G-0013 Rev. 0 (28/04/2021)</t>
        </is>
      </c>
      <c r="E99" t="inlineStr">
        <is>
          <t>Laboratorio de Mecánica de Suelos de Golder Associates Perú, Lima</t>
        </is>
      </c>
      <c r="F99" t="inlineStr">
        <is>
          <t>G21-ALT4-9:1</t>
        </is>
      </c>
      <c r="G99" t="inlineStr">
        <is>
          <t>II0526-K</t>
        </is>
      </c>
      <c r="H99" t="inlineStr">
        <is>
          <t>Desmonte Tipo A (intrusivo), Tipo B (mármol y hornfels), Tipo C (hornfels); compuesto 0.35 A : 0.15 B : 0.50 C (masa seca); relave compuesto 0.33 M1 : 0.33 M2A : 0.33 M4B</t>
        </is>
      </c>
      <c r="I99" t="inlineStr">
        <is>
          <t>Mezcla</t>
        </is>
      </c>
      <c r="J99" t="inlineStr">
        <is>
          <t>Tipo B = mármol y hornfels (el informe no separa su reparto); sin subtipos (mármol blanco/negro, skarn, etc.) indicados</t>
        </is>
      </c>
      <c r="K99" t="inlineStr">
        <is>
          <t>Intrusivo 35 %; Mármol + Hornfels 15 % (Tipo B, reparto no indicado); Hornfels 50 % (proporciones del desmonte, masa seca); la mezcla lleva además 10 % de relave en masa seca</t>
        </is>
      </c>
      <c r="L99" t="inlineStr"/>
      <c r="M99" t="inlineStr">
        <is>
          <t>Mezcla co-disposición: desmonte de clase no indicada + 10 % relave</t>
        </is>
      </c>
      <c r="N99" t="inlineStr">
        <is>
          <t>Compuesto de Tipos A, B y C (tipificación geoquímica por potencial de generación de acidez)</t>
        </is>
      </c>
      <c r="O99" t="inlineStr">
        <is>
          <t>Permeabilidad (pared flexible, ASTM D5084)</t>
        </is>
      </c>
      <c r="P99" t="inlineStr">
        <is>
          <t>sí</t>
        </is>
      </c>
      <c r="Q99" t="n">
        <v>152</v>
      </c>
      <c r="R99" t="n">
        <v>305</v>
      </c>
      <c r="S99" t="n">
        <v>25.4</v>
      </c>
      <c r="T99" t="n">
        <v>0.0654</v>
      </c>
      <c r="U99" t="n">
        <v>0.7774</v>
      </c>
      <c r="V99" t="n">
        <v>5.717</v>
      </c>
      <c r="W99" t="n">
        <v>8.5892</v>
      </c>
      <c r="X99" t="n">
        <v>131.25</v>
      </c>
      <c r="Y99" t="n">
        <v>1.08</v>
      </c>
      <c r="Z99" t="n">
        <v>53.7</v>
      </c>
      <c r="AA99" t="n">
        <v>34.9</v>
      </c>
      <c r="AB99" t="n">
        <v>11.4</v>
      </c>
      <c r="AC99" t="inlineStr">
        <is>
          <t>Truncado (scalping): desmonte limitado a partículas &lt; 1" (100 % pasa 25.4 mm); Dmax de terreno no indicado</t>
        </is>
      </c>
      <c r="AD99" t="n">
        <v>2.793</v>
      </c>
      <c r="AE99" t="n">
        <v>17.68</v>
      </c>
      <c r="AF99" t="n">
        <v>0.55</v>
      </c>
      <c r="AG99" t="inlineStr">
        <is>
          <t>calculado</t>
        </is>
      </c>
      <c r="AH99" t="inlineStr"/>
      <c r="AI99" t="n">
        <v>1.63</v>
      </c>
      <c r="AJ99" t="inlineStr"/>
      <c r="AK99" t="n">
        <v>399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23;183;53</t>
        </is>
      </c>
      <c r="BB99" t="inlineStr">
        <is>
          <t>sí</t>
        </is>
      </c>
      <c r="BC99" t="inlineStr">
        <is>
          <t>Permeabilidad en pared flexible, ASTM D5084-16a Método C, a σ' = 399 kPa (celda 661 kPa, contrapresión 262 kPa), gradiente 1–2; B ≥0.99. k20 = 6.7E-06 m/s (promedio de las 5 últimas lecturas, hoja p.183). Alternativa 4 (relave cicloneado (~86 % sólidos; 80 % gruesos / 20 % finos)), desmonte:relave 9:1 (10 % relave). Final: w=9.24 %, ρd=2.218 g/cm³ (igual a la probeta triaxial de ~400 kPa tras consolidar; el informe dice que se midió como parte de los triaxiales). e0 calculado con el Gs de la hoja triaxial del mismo material. Clase ROM/Chancado/Enrocado no indicada; alteración no indicada. Tabla 9 (p.23): 6.70E-06 m/s, concuerda.</t>
        </is>
      </c>
      <c r="BD99" t="n">
        <v>399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≥0.99</t>
        </is>
      </c>
      <c r="BS99" t="n">
        <v>262</v>
      </c>
      <c r="BT99" t="inlineStr"/>
      <c r="BU99" t="n">
        <v>21.76</v>
      </c>
      <c r="BV99" t="inlineStr"/>
      <c r="BW99" t="inlineStr"/>
      <c r="BX99" t="inlineStr"/>
      <c r="BY99" t="inlineStr">
        <is>
          <t>Hoja p.183 verificada en imagen: k20 = 6.7E-06 m/s; Tabla 9 (p.23) = 6.70E-06 m/s.</t>
        </is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661</v>
      </c>
      <c r="CH99" t="inlineStr">
        <is>
          <t>Gs de la hoja triaxial del mismo material (la hoja de permeabilidad no da Gs)</t>
        </is>
      </c>
      <c r="CI99" t="n">
        <v>0.55</v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>
        <is>
          <t>Permeabilidad</t>
        </is>
      </c>
      <c r="EY99" t="inlineStr"/>
      <c r="EZ99" t="n">
        <v>399</v>
      </c>
      <c r="FA99" t="inlineStr"/>
      <c r="FB99" t="inlineStr"/>
      <c r="FC99" t="inlineStr"/>
      <c r="FD99" t="inlineStr"/>
      <c r="FE99" t="inlineStr"/>
      <c r="FF99" t="inlineStr">
        <is>
          <t>6 in (≈150 mm)</t>
        </is>
      </c>
      <c r="FG99" t="n">
        <v>5.984251968503937</v>
      </c>
      <c r="FH99" t="inlineStr">
        <is>
          <t>Mezcla co-disposición (desmonte ROM + relave)</t>
        </is>
      </c>
      <c r="FI99" t="inlineStr">
        <is>
          <t>criterio experto: compuesto de desmonte por tipos geoquímicos A/B/C para co-disposición en botadero</t>
        </is>
      </c>
      <c r="FJ99" t="n">
        <v>10</v>
      </c>
      <c r="FK99" t="inlineStr"/>
      <c r="FL99" t="inlineStr">
        <is>
          <t>no es ensayo de resistencia</t>
        </is>
      </c>
      <c r="FM99" t="inlineStr">
        <is>
          <t>A</t>
        </is>
      </c>
      <c r="FN99" t="n">
        <v>0.55</v>
      </c>
      <c r="FO99" t="inlineStr"/>
      <c r="FP99" t="n">
        <v>2.793</v>
      </c>
      <c r="FQ99" t="inlineStr">
        <is>
          <t>informe o verificación</t>
        </is>
      </c>
      <c r="FR99" t="inlineStr">
        <is>
          <t>G2021-097</t>
        </is>
      </c>
      <c r="FS99" t="inlineStr">
        <is>
          <t>G2021|G21-ALT4-9:1</t>
        </is>
      </c>
    </row>
    <row r="100">
      <c r="A100" t="inlineStr">
        <is>
          <t>G2021</t>
        </is>
      </c>
      <c r="B100" t="inlineStr">
        <is>
          <t>2021_Golder_Ensayos de Laboratorio Commingling.pdf</t>
        </is>
      </c>
      <c r="C100" t="n">
        <v>2021</v>
      </c>
      <c r="D100" t="inlineStr">
        <is>
          <t>Golder Associates Perú (miembro de WSP), informe 101-20110-LTE01220-INF-420-G-0013 Rev. 0 (28/04/2021)</t>
        </is>
      </c>
      <c r="E100" t="inlineStr">
        <is>
          <t>Laboratorio de Mecánica de Suelos de Golder Associates Perú, Lima</t>
        </is>
      </c>
      <c r="F100" t="inlineStr">
        <is>
          <t>G21-ALT4-1:1</t>
        </is>
      </c>
      <c r="G100" t="inlineStr">
        <is>
          <t>II0528-K</t>
        </is>
      </c>
      <c r="H100" t="inlineStr">
        <is>
          <t>Desmonte Tipo A (intrusivo), Tipo B (mármol y hornfels), Tipo C (hornfels); compuesto 0.35 A : 0.15 B : 0.50 C (masa seca); relave compuesto 0.33 M1 : 0.33 M2A : 0.33 M4B</t>
        </is>
      </c>
      <c r="I100" t="inlineStr">
        <is>
          <t>Mezcla</t>
        </is>
      </c>
      <c r="J100" t="inlineStr">
        <is>
          <t>Tipo B = mármol y hornfels (el informe no separa su reparto); sin subtipos (mármol blanco/negro, skarn, etc.) indicados</t>
        </is>
      </c>
      <c r="K100" t="inlineStr">
        <is>
          <t>Intrusivo 35 %; Mármol + Hornfels 15 % (Tipo B, reparto no indicado); Hornfels 50 % (proporciones del desmonte, masa seca); la mezcla lleva además 50 % de relave en masa seca</t>
        </is>
      </c>
      <c r="L100" t="inlineStr"/>
      <c r="M100" t="inlineStr">
        <is>
          <t>Mezcla co-disposición: desmonte de clase no indicada + 50 % relave</t>
        </is>
      </c>
      <c r="N100" t="inlineStr">
        <is>
          <t>Compuesto de Tipos A, B y C (tipificación geoquímica por potencial de generación de acidez)</t>
        </is>
      </c>
      <c r="O100" t="inlineStr">
        <is>
          <t>Permeabilidad (pared flexible, ASTM D5084)</t>
        </is>
      </c>
      <c r="P100" t="inlineStr">
        <is>
          <t>sí</t>
        </is>
      </c>
      <c r="Q100" t="n">
        <v>152</v>
      </c>
      <c r="R100" t="n">
        <v>305</v>
      </c>
      <c r="S100" t="n">
        <v>25.4</v>
      </c>
      <c r="T100" t="n">
        <v>0.0449</v>
      </c>
      <c r="U100" t="n">
        <v>0.125</v>
      </c>
      <c r="V100" t="n">
        <v>0.3076</v>
      </c>
      <c r="W100" t="n">
        <v>0.6814</v>
      </c>
      <c r="X100" t="n">
        <v>15.19</v>
      </c>
      <c r="Y100" t="n">
        <v>0.51</v>
      </c>
      <c r="Z100" t="n">
        <v>29.8</v>
      </c>
      <c r="AA100" t="n">
        <v>51.5</v>
      </c>
      <c r="AB100" t="n">
        <v>18.7</v>
      </c>
      <c r="AC100" t="inlineStr">
        <is>
          <t>Truncado (scalping): desmonte limitado a partículas &lt; 1" (100 % pasa 25.4 mm); Dmax de terreno no indicado</t>
        </is>
      </c>
      <c r="AD100" t="n">
        <v>3.003</v>
      </c>
      <c r="AE100" t="n">
        <v>17.68</v>
      </c>
      <c r="AF100" t="n">
        <v>0.666</v>
      </c>
      <c r="AG100" t="inlineStr">
        <is>
          <t>calculado</t>
        </is>
      </c>
      <c r="AH100" t="inlineStr"/>
      <c r="AI100" t="n">
        <v>8.140000000000001</v>
      </c>
      <c r="AJ100" t="inlineStr"/>
      <c r="AK100" t="n">
        <v>399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23;184;55</t>
        </is>
      </c>
      <c r="BB100" t="inlineStr">
        <is>
          <t>sí</t>
        </is>
      </c>
      <c r="BC100" t="inlineStr">
        <is>
          <t>Permeabilidad en pared flexible, ASTM D5084-16a Método C, a σ' = 399 kPa (celda 661 kPa, contrapresión 262 kPa), gradiente 1–2; B ≥0.99. k20 = 2.5E-06 m/s (promedio de las 5 últimas lecturas, hoja p.184). Alternativa 4 (relave cicloneado (~86 % sólidos; 80 % gruesos / 20 % finos)), desmonte:relave 1:1 (50 % relave). Final: w=11.11 %, ρd=2.245 g/cm³ (igual a la probeta triaxial de ~400 kPa tras consolidar; el informe dice que se midió como parte de los triaxiales). e0 calculado con el Gs de la hoja triaxial del mismo material. Clase ROM/Chancado/Enrocado no indicada; alteración no indicada. Tabla 9 (p.23): 2.50E-06 m/s, concuerda.</t>
        </is>
      </c>
      <c r="BD100" t="n">
        <v>399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>
        <is>
          <t>≥0.99</t>
        </is>
      </c>
      <c r="BS100" t="n">
        <v>262</v>
      </c>
      <c r="BT100" t="inlineStr"/>
      <c r="BU100" t="n">
        <v>22.02</v>
      </c>
      <c r="BV100" t="inlineStr"/>
      <c r="BW100" t="inlineStr"/>
      <c r="BX100" t="inlineStr"/>
      <c r="BY100" t="inlineStr">
        <is>
          <t>Hoja p.184 verificada en imagen: k20 = 2.5E-06 m/s; Tabla 9 (p.23) = 2.50E-06 m/s.</t>
        </is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661</v>
      </c>
      <c r="CH100" t="inlineStr">
        <is>
          <t>Gs de la hoja triaxial del mismo material (la hoja de permeabilidad no da Gs)</t>
        </is>
      </c>
      <c r="CI100" t="n">
        <v>0.666</v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>
        <is>
          <t>Permeabilidad</t>
        </is>
      </c>
      <c r="EY100" t="inlineStr"/>
      <c r="EZ100" t="n">
        <v>399</v>
      </c>
      <c r="FA100" t="inlineStr"/>
      <c r="FB100" t="inlineStr"/>
      <c r="FC100" t="inlineStr"/>
      <c r="FD100" t="inlineStr"/>
      <c r="FE100" t="inlineStr"/>
      <c r="FF100" t="inlineStr">
        <is>
          <t>6 in (≈150 mm)</t>
        </is>
      </c>
      <c r="FG100" t="n">
        <v>5.984251968503937</v>
      </c>
      <c r="FH100" t="inlineStr">
        <is>
          <t>Mezcla co-disposición (desmonte ROM + relave)</t>
        </is>
      </c>
      <c r="FI100" t="inlineStr">
        <is>
          <t>criterio experto: compuesto de desmonte por tipos geoquímicos A/B/C para co-disposición en botadero</t>
        </is>
      </c>
      <c r="FJ100" t="n">
        <v>50</v>
      </c>
      <c r="FK100" t="inlineStr"/>
      <c r="FL100" t="inlineStr">
        <is>
          <t>no es ensayo de resistencia</t>
        </is>
      </c>
      <c r="FM100" t="inlineStr">
        <is>
          <t>A</t>
        </is>
      </c>
      <c r="FN100" t="n">
        <v>0.666</v>
      </c>
      <c r="FO100" t="inlineStr"/>
      <c r="FP100" t="n">
        <v>3.003</v>
      </c>
      <c r="FQ100" t="inlineStr">
        <is>
          <t>informe o verificación</t>
        </is>
      </c>
      <c r="FR100" t="inlineStr">
        <is>
          <t>G2021-098</t>
        </is>
      </c>
      <c r="FS100" t="inlineStr">
        <is>
          <t>G2021|G21-ALT4-1:1</t>
        </is>
      </c>
    </row>
    <row r="101">
      <c r="A101" t="inlineStr">
        <is>
          <t>W2022</t>
        </is>
      </c>
      <c r="B101" t="inlineStr">
        <is>
          <t>2022_WSP_Pruebas de enrocado 3B a Gran Escala Hornfels para Deformacion.pdf</t>
        </is>
      </c>
      <c r="C101" t="n">
        <v>2022</v>
      </c>
      <c r="D101" t="inlineStr">
        <is>
          <t>WSP Golder (Golder Associates Ltd./Perú) - Memo 20377053-001-TM-Rev1-401001; Doc 105-18028-MTE00420-MEM-430-G-0007 Rev1</t>
        </is>
      </c>
      <c r="E101" t="inlineStr">
        <is>
          <t>IDIEM (Universidad de Chile), Informe 1.555.677-B.2</t>
        </is>
      </c>
      <c r="F101" t="inlineStr">
        <is>
          <t>HF-1.0m-IDIEM-mono</t>
        </is>
      </c>
      <c r="G101" t="inlineStr">
        <is>
          <t>Tabla 3 Hornfels Probeta 1 = IDIEM 1.555.677-B.2 PROBETA 1</t>
        </is>
      </c>
      <c r="H101" t="inlineStr">
        <is>
          <t>H6 Hornfel Gris / Hornfels (HR)</t>
        </is>
      </c>
      <c r="I101" t="inlineStr">
        <is>
          <t>Hornfels</t>
        </is>
      </c>
      <c r="J101" t="inlineStr">
        <is>
          <t>hornfels gris (H6), Tajo Fase 8; vetillas de calcita en núcleos UCS</t>
        </is>
      </c>
      <c r="K101" t="inlineStr"/>
      <c r="L101" t="inlineStr">
        <is>
          <t>No presenta (descripción IDIEM de núcleos UCS, p72-76)</t>
        </is>
      </c>
      <c r="M101" t="inlineStr">
        <is>
          <t>Enrocado</t>
        </is>
      </c>
      <c r="N101" t="inlineStr">
        <is>
          <t>C (rótulo 'Material tipo C' en fotos de muestras Golder 2021a; no indicado para el lote IDIEM)</t>
        </is>
      </c>
      <c r="O101" t="inlineStr">
        <is>
          <t>CID monótono</t>
        </is>
      </c>
      <c r="P101" t="inlineStr">
        <is>
          <t>sí (CO2 + agua desaireada, B&gt;0.95)</t>
        </is>
      </c>
      <c r="Q101" t="n">
        <v>1000</v>
      </c>
      <c r="R101" t="n">
        <v>1800</v>
      </c>
      <c r="S101" t="n">
        <v>177.8</v>
      </c>
      <c r="T101" t="n">
        <v>2.61</v>
      </c>
      <c r="U101" t="n">
        <v>13.3</v>
      </c>
      <c r="V101" t="n">
        <v>28</v>
      </c>
      <c r="W101" t="n">
        <v>35</v>
      </c>
      <c r="X101" t="n">
        <v>13.4</v>
      </c>
      <c r="Y101" t="n">
        <v>1.93</v>
      </c>
      <c r="Z101" t="n">
        <v>87.3</v>
      </c>
      <c r="AA101" t="n">
        <v>10.1</v>
      </c>
      <c r="AB101" t="n">
        <v>2.6</v>
      </c>
      <c r="AC101" t="inlineStr">
        <is>
          <t>Ajustada a &lt;178 mm (7") para IDIEM; método de ajuste no declarado (p4). Terreno (M-001, p47): 100 % pasa 36" (914 mm) y 11.8 % queda retenido en 16" (406 mm); Dmax real entre 406 y 914 mm, no informado</t>
        </is>
      </c>
      <c r="AD101" t="n">
        <v>2.75</v>
      </c>
      <c r="AE101" t="n">
        <v>20.6</v>
      </c>
      <c r="AF101" t="n">
        <v>0.31</v>
      </c>
      <c r="AG101" t="inlineStr">
        <is>
          <t>calculado</t>
        </is>
      </c>
      <c r="AH101" t="inlineStr"/>
      <c r="AI101" t="n">
        <v>3</v>
      </c>
      <c r="AJ101" t="n">
        <v>64.5</v>
      </c>
      <c r="AK101" t="n">
        <v>981</v>
      </c>
      <c r="AL101" t="n">
        <v>4878</v>
      </c>
      <c r="AM101" t="n">
        <v>3897</v>
      </c>
      <c r="AN101" t="inlineStr">
        <is>
          <t>máximo desviador registrado (ensayo hasta εa≈20 %)</t>
        </is>
      </c>
      <c r="AO101" t="inlineStr"/>
      <c r="AP101" t="n">
        <v>13.13</v>
      </c>
      <c r="AQ101" t="n">
        <v>-5.05</v>
      </c>
      <c r="AR101" t="inlineStr"/>
      <c r="AS101" t="inlineStr"/>
      <c r="AT101" t="inlineStr"/>
      <c r="AU101" t="inlineStr"/>
      <c r="AV101" t="n">
        <v>20</v>
      </c>
      <c r="AW101" t="inlineStr"/>
      <c r="AX101" t="n">
        <v>5.6</v>
      </c>
      <c r="AY101" t="inlineStr"/>
      <c r="AZ101" t="inlineStr"/>
      <c r="BA101" t="inlineStr">
        <is>
          <t>10;233-236;62-63;41</t>
        </is>
      </c>
      <c r="BB101" t="inlineStr">
        <is>
          <t>sí</t>
        </is>
      </c>
      <c r="BC101" t="inlineStr">
        <is>
          <t>σ'c=10 kg/cm² (cámara−contrapresión). Tablas IDIEM en kg/cm² con q=(σ1−σ3)/2; aquí ×98.0665 y desviador=2q. t_max=19.87 kg/cm²; máximo a εa=13.13 %; al final (19.05 %) t=18.81 kg/cm². Fecha en hoja '17-12-2022' (probable errata de 2021). φsec calculado (no informado por probeta) = 41.7°; el informe da rango 42–46° (Fig. 16, p19-20). εv negativa = compresión (convención del informe). ΔV drenado en consolidación = 28921 cm³ (≈2.0 % de V0) → e al inicio del corte ≈0.283. Gs no informado en hojas IDIEM: se adoptó Gs=2.75 ('calculated' por Golder para el mismo HR, p353); IDIEM usó Gs=2.60 'estimado' en el edómetro (con 2.60, e0=0.238). UCS 64.5 MPa = media de M-1 (65) y M-2 (64), Tabla 1 p7; IDIEM 2022 obtuvo 24.5–40.8 MPa en núcleos con vetillas de calcita (p72-76). Granulometría inicial = 'H6 Hornfel Gris (Inicial)' 1.0 m, p62 (D interpolados log-lineal). Bg de Tabla 7 (p41), reproducido desde las granulometrías p62-63. Muestra remoldeada; compactada en 6 capas de 0.3 m con pisón vibrador, densidad objetivo 2.1 t/m³. [VERIF 2026-10-06] Contrapresión en la hoja: 2.00 kg/cm² (196 kPa) (p233). máximo t=19.87 a 13.13 %, final 19.05 % t=18.81 (−5.3 %): pico leve. Gs NO figura en las hojas IDIEM; 2.75 es el Gs 'calculated' de Golder Burnaby sobre el mismo lote (&lt;1"). UCS: Tabla 1 (Golder 2021a, ASTM D7012 C, núcleos ~74 mm de muestras M-001/M-002, Acopio punto F, 31/10/2020) da 65 y 64 MPa; IDIEM 1.555.677-D (ASTM D7012-14e1, núcleos 54 mm del MISMO lote enviado a IDIEM 'H6 HORNFEL GRIS') da 26.3, 40.8 y 24.5 MPa (D50) — ver verificacion_WSP2022_Golder2012.md.</t>
        </is>
      </c>
      <c r="BD101" t="n">
        <v>981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>
        <is>
          <t>Triaxial CD</t>
        </is>
      </c>
      <c r="EY101" t="inlineStr">
        <is>
          <t>CD: máximo desviador</t>
        </is>
      </c>
      <c r="EZ101" t="n">
        <v>981</v>
      </c>
      <c r="FA101" t="n">
        <v>4878</v>
      </c>
      <c r="FB101" t="n">
        <v>3897</v>
      </c>
      <c r="FC101" t="n">
        <v>41.6923430203227</v>
      </c>
      <c r="FD101" t="n">
        <v>1633.493087557604</v>
      </c>
      <c r="FE101" t="n">
        <v>1454.997708899064</v>
      </c>
      <c r="FF101" t="inlineStr">
        <is>
          <t>1.0 m</t>
        </is>
      </c>
      <c r="FG101" t="n">
        <v>5.624296962879639</v>
      </c>
      <c r="FH101" t="inlineStr">
        <is>
          <t>Enrocado</t>
        </is>
      </c>
      <c r="FI101" t="inlineStr">
        <is>
          <t>textual</t>
        </is>
      </c>
      <c r="FJ101" t="n">
        <v>0</v>
      </c>
      <c r="FK101" t="inlineStr"/>
      <c r="FL101" t="inlineStr"/>
      <c r="FM101" t="inlineStr">
        <is>
          <t>A</t>
        </is>
      </c>
      <c r="FN101" t="n">
        <v>0.31</v>
      </c>
      <c r="FO101" t="inlineStr"/>
      <c r="FP101" t="n">
        <v>2.75</v>
      </c>
      <c r="FQ101" t="inlineStr">
        <is>
          <t>informe o verificación</t>
        </is>
      </c>
      <c r="FR101" t="inlineStr">
        <is>
          <t>W2022-099</t>
        </is>
      </c>
      <c r="FS101" t="inlineStr">
        <is>
          <t>W2022|HF-1.0m-IDIEM-mono</t>
        </is>
      </c>
    </row>
    <row r="102">
      <c r="A102" t="inlineStr">
        <is>
          <t>W2022</t>
        </is>
      </c>
      <c r="B102" t="inlineStr">
        <is>
          <t>2022_WSP_Pruebas de enrocado 3B a Gran Escala Hornfels para Deformacion.pdf</t>
        </is>
      </c>
      <c r="C102" t="n">
        <v>2022</v>
      </c>
      <c r="D102" t="inlineStr">
        <is>
          <t>WSP Golder (Golder Associates Ltd./Perú) - Memo 20377053-001-TM-Rev1-401001; Doc 105-18028-MTE00420-MEM-430-G-0007 Rev1</t>
        </is>
      </c>
      <c r="E102" t="inlineStr">
        <is>
          <t>IDIEM (Universidad de Chile), Informe 1.555.677-B.2</t>
        </is>
      </c>
      <c r="F102" t="inlineStr">
        <is>
          <t>HF-1.0m-IDIEM-mono</t>
        </is>
      </c>
      <c r="G102" t="inlineStr">
        <is>
          <t>Tabla 3 Hornfels Probeta 2 = IDIEM 1.555.677-B.2 PROBETA 2</t>
        </is>
      </c>
      <c r="H102" t="inlineStr">
        <is>
          <t>H6 Hornfel Gris / Hornfels (HR)</t>
        </is>
      </c>
      <c r="I102" t="inlineStr">
        <is>
          <t>Hornfels</t>
        </is>
      </c>
      <c r="J102" t="inlineStr">
        <is>
          <t>hornfels gris (H6), Tajo Fase 8; vetillas de calcita en núcleos UCS</t>
        </is>
      </c>
      <c r="K102" t="inlineStr"/>
      <c r="L102" t="inlineStr">
        <is>
          <t>No presenta (descripción IDIEM de núcleos UCS, p72-76)</t>
        </is>
      </c>
      <c r="M102" t="inlineStr">
        <is>
          <t>Enrocado</t>
        </is>
      </c>
      <c r="N102" t="inlineStr">
        <is>
          <t>C (rótulo 'Material tipo C' en fotos de muestras Golder 2021a; no indicado para el lote IDIEM)</t>
        </is>
      </c>
      <c r="O102" t="inlineStr">
        <is>
          <t>CID monótono</t>
        </is>
      </c>
      <c r="P102" t="inlineStr">
        <is>
          <t>sí (CO2 + agua desaireada, B&gt;0.95)</t>
        </is>
      </c>
      <c r="Q102" t="n">
        <v>1000</v>
      </c>
      <c r="R102" t="n">
        <v>1800</v>
      </c>
      <c r="S102" t="n">
        <v>177.8</v>
      </c>
      <c r="T102" t="n">
        <v>2.61</v>
      </c>
      <c r="U102" t="n">
        <v>13.3</v>
      </c>
      <c r="V102" t="n">
        <v>28</v>
      </c>
      <c r="W102" t="n">
        <v>35</v>
      </c>
      <c r="X102" t="n">
        <v>13.4</v>
      </c>
      <c r="Y102" t="n">
        <v>1.93</v>
      </c>
      <c r="Z102" t="n">
        <v>87.3</v>
      </c>
      <c r="AA102" t="n">
        <v>10.1</v>
      </c>
      <c r="AB102" t="n">
        <v>2.6</v>
      </c>
      <c r="AC102" t="inlineStr">
        <is>
          <t>Ajustada a &lt;178 mm (7") para IDIEM; método de ajuste no declarado (p4). Terreno (M-001, p47): 100 % pasa 36" (914 mm) y 11.8 % queda retenido en 16" (406 mm); Dmax real entre 406 y 914 mm, no informado</t>
        </is>
      </c>
      <c r="AD102" t="n">
        <v>2.75</v>
      </c>
      <c r="AE102" t="n">
        <v>20.6</v>
      </c>
      <c r="AF102" t="n">
        <v>0.31</v>
      </c>
      <c r="AG102" t="inlineStr">
        <is>
          <t>calculado</t>
        </is>
      </c>
      <c r="AH102" t="inlineStr"/>
      <c r="AI102" t="n">
        <v>3</v>
      </c>
      <c r="AJ102" t="n">
        <v>64.5</v>
      </c>
      <c r="AK102" t="n">
        <v>1961</v>
      </c>
      <c r="AL102" t="n">
        <v>11021</v>
      </c>
      <c r="AM102" t="n">
        <v>9059</v>
      </c>
      <c r="AN102" t="inlineStr">
        <is>
          <t>máximo desviador registrado (ensayo hasta εa≈20 %)</t>
        </is>
      </c>
      <c r="AO102" t="inlineStr"/>
      <c r="AP102" t="n">
        <v>19.04</v>
      </c>
      <c r="AQ102" t="n">
        <v>-7.14</v>
      </c>
      <c r="AR102" t="inlineStr"/>
      <c r="AS102" t="inlineStr"/>
      <c r="AT102" t="inlineStr"/>
      <c r="AU102" t="inlineStr"/>
      <c r="AV102" t="n">
        <v>29</v>
      </c>
      <c r="AW102" t="inlineStr"/>
      <c r="AX102" t="n">
        <v>8</v>
      </c>
      <c r="AY102" t="inlineStr"/>
      <c r="AZ102" t="inlineStr"/>
      <c r="BA102" t="inlineStr">
        <is>
          <t>10;238-243;62-63;41</t>
        </is>
      </c>
      <c r="BB102" t="inlineStr">
        <is>
          <t>sí</t>
        </is>
      </c>
      <c r="BC102" t="inlineStr">
        <is>
          <t>σ'c=20 kg/cm² (cámara−contrapresión). Tablas IDIEM en kg/cm² con q=(σ1−σ3)/2; aquí ×98.0665 y desviador=2q. t_max=46.19 kg/cm²; máximo coincide con el último registro (εa=19.04 %); curva aún ascendente, sin pico. φsec calculado (no informado por probeta) = 44.3°; el informe da rango 42–46° (Fig. 16, p19-20). εv negativa = compresión (convención del informe). ΔV drenado en consolidación = 68762 cm³ (≈4.9 % de V0) → e al inicio del corte ≈0.246. Gs no informado en hojas IDIEM: se adoptó Gs=2.75 ('calculated' por Golder para el mismo HR, p353); IDIEM usó Gs=2.60 'estimado' en el edómetro (con 2.60, e0=0.238). UCS 64.5 MPa = media de M-1 (65) y M-2 (64), Tabla 1 p7; IDIEM 2022 obtuvo 24.5–40.8 MPa en núcleos con vetillas de calcita (p72-76). Granulometría inicial = 'H6 Hornfel Gris (Inicial)' 1.0 m, p62 (D interpolados log-lineal). Bg de Tabla 7 (p41), reproducido desde las granulometrías p62-63. Muestra remoldeada; compactada en 6 capas de 0.3 m con pisón vibrador, densidad objetivo 2.1 t/m³. [VERIF 2026-10-06] Contrapresión en la hoja: 1.00 kg/cm² (98 kPa) (p238). máximo = último punto (19.04 %): sin pico, curva aún creciente. Gs NO figura en las hojas IDIEM; 2.75 es el Gs 'calculated' de Golder Burnaby sobre el mismo lote (&lt;1"). UCS: Tabla 1 (Golder 2021a, ASTM D7012 C, núcleos ~74 mm de muestras M-001/M-002, Acopio punto F, 31/10/2020) da 65 y 64 MPa; IDIEM 1.555.677-D (ASTM D7012-14e1, núcleos 54 mm del MISMO lote enviado a IDIEM 'H6 HORNFEL GRIS') da 26.3, 40.8 y 24.5 MPa (D50) — ver verificacion_WSP2022_Golder2012.md.</t>
        </is>
      </c>
      <c r="BD102" t="n">
        <v>1961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>
        <is>
          <t>Triaxial CD</t>
        </is>
      </c>
      <c r="EY102" t="inlineStr">
        <is>
          <t>CD: máximo desviador</t>
        </is>
      </c>
      <c r="EZ102" t="n">
        <v>1961</v>
      </c>
      <c r="FA102" t="n">
        <v>11021</v>
      </c>
      <c r="FB102" t="n">
        <v>9060</v>
      </c>
      <c r="FC102" t="n">
        <v>44.25791341249813</v>
      </c>
      <c r="FD102" t="n">
        <v>3329.561084578647</v>
      </c>
      <c r="FE102" t="n">
        <v>3244.411192197972</v>
      </c>
      <c r="FF102" t="inlineStr">
        <is>
          <t>1.0 m</t>
        </is>
      </c>
      <c r="FG102" t="n">
        <v>5.624296962879639</v>
      </c>
      <c r="FH102" t="inlineStr">
        <is>
          <t>Enrocado</t>
        </is>
      </c>
      <c r="FI102" t="inlineStr">
        <is>
          <t>textual</t>
        </is>
      </c>
      <c r="FJ102" t="n">
        <v>0</v>
      </c>
      <c r="FK102" t="inlineStr"/>
      <c r="FL102" t="inlineStr"/>
      <c r="FM102" t="inlineStr">
        <is>
          <t>A</t>
        </is>
      </c>
      <c r="FN102" t="n">
        <v>0.31</v>
      </c>
      <c r="FO102" t="inlineStr"/>
      <c r="FP102" t="n">
        <v>2.75</v>
      </c>
      <c r="FQ102" t="inlineStr">
        <is>
          <t>informe o verificación</t>
        </is>
      </c>
      <c r="FR102" t="inlineStr">
        <is>
          <t>W2022-100</t>
        </is>
      </c>
      <c r="FS102" t="inlineStr">
        <is>
          <t>W2022|HF-1.0m-IDIEM-mono</t>
        </is>
      </c>
    </row>
    <row r="103">
      <c r="A103" t="inlineStr">
        <is>
          <t>W2022</t>
        </is>
      </c>
      <c r="B103" t="inlineStr">
        <is>
          <t>2022_WSP_Pruebas de enrocado 3B a Gran Escala Hornfels para Deformacion.pdf</t>
        </is>
      </c>
      <c r="C103" t="n">
        <v>2022</v>
      </c>
      <c r="D103" t="inlineStr">
        <is>
          <t>WSP Golder (Golder Associates Ltd./Perú) - Memo 20377053-001-TM-Rev1-401001; Doc 105-18028-MTE00420-MEM-430-G-0007 Rev1</t>
        </is>
      </c>
      <c r="E103" t="inlineStr">
        <is>
          <t>IDIEM (Universidad de Chile), Informe 1.555.677-B.2</t>
        </is>
      </c>
      <c r="F103" t="inlineStr">
        <is>
          <t>HF-1.0m-IDIEM-mono</t>
        </is>
      </c>
      <c r="G103" t="inlineStr">
        <is>
          <t>Tabla 3 Hornfels Probeta 3 = IDIEM 1.555.677-B.2 PROBETA 3</t>
        </is>
      </c>
      <c r="H103" t="inlineStr">
        <is>
          <t>H6 Hornfel Gris / Hornfels (HR)</t>
        </is>
      </c>
      <c r="I103" t="inlineStr">
        <is>
          <t>Hornfels</t>
        </is>
      </c>
      <c r="J103" t="inlineStr">
        <is>
          <t>hornfels gris (H6), Tajo Fase 8; vetillas de calcita en núcleos UCS</t>
        </is>
      </c>
      <c r="K103" t="inlineStr"/>
      <c r="L103" t="inlineStr">
        <is>
          <t>No presenta (descripción IDIEM de núcleos UCS, p72-76)</t>
        </is>
      </c>
      <c r="M103" t="inlineStr">
        <is>
          <t>Enrocado</t>
        </is>
      </c>
      <c r="N103" t="inlineStr">
        <is>
          <t>C (rótulo 'Material tipo C' en fotos de muestras Golder 2021a; no indicado para el lote IDIEM)</t>
        </is>
      </c>
      <c r="O103" t="inlineStr">
        <is>
          <t>CID monótono</t>
        </is>
      </c>
      <c r="P103" t="inlineStr">
        <is>
          <t>sí (CO2 + agua desaireada, B&gt;0.95)</t>
        </is>
      </c>
      <c r="Q103" t="n">
        <v>1000</v>
      </c>
      <c r="R103" t="n">
        <v>1800</v>
      </c>
      <c r="S103" t="n">
        <v>177.8</v>
      </c>
      <c r="T103" t="n">
        <v>2.61</v>
      </c>
      <c r="U103" t="n">
        <v>13.3</v>
      </c>
      <c r="V103" t="n">
        <v>28</v>
      </c>
      <c r="W103" t="n">
        <v>35</v>
      </c>
      <c r="X103" t="n">
        <v>13.4</v>
      </c>
      <c r="Y103" t="n">
        <v>1.93</v>
      </c>
      <c r="Z103" t="n">
        <v>87.3</v>
      </c>
      <c r="AA103" t="n">
        <v>10.1</v>
      </c>
      <c r="AB103" t="n">
        <v>2.6</v>
      </c>
      <c r="AC103" t="inlineStr">
        <is>
          <t>Ajustada a &lt;178 mm (7") para IDIEM; método de ajuste no declarado (p4). Terreno (M-001, p47): 100 % pasa 36" (914 mm) y 11.8 % queda retenido en 16" (406 mm); Dmax real entre 406 y 914 mm, no informado</t>
        </is>
      </c>
      <c r="AD103" t="n">
        <v>2.75</v>
      </c>
      <c r="AE103" t="n">
        <v>20.6</v>
      </c>
      <c r="AF103" t="n">
        <v>0.31</v>
      </c>
      <c r="AG103" t="inlineStr">
        <is>
          <t>calculado</t>
        </is>
      </c>
      <c r="AH103" t="inlineStr"/>
      <c r="AI103" t="n">
        <v>3</v>
      </c>
      <c r="AJ103" t="n">
        <v>64.5</v>
      </c>
      <c r="AK103" t="n">
        <v>2452</v>
      </c>
      <c r="AL103" t="n">
        <v>14382</v>
      </c>
      <c r="AM103" t="n">
        <v>11931</v>
      </c>
      <c r="AN103" t="inlineStr">
        <is>
          <t>máximo desviador registrado (ensayo hasta εa≈20 %)</t>
        </is>
      </c>
      <c r="AO103" t="inlineStr"/>
      <c r="AP103" t="n">
        <v>17.83</v>
      </c>
      <c r="AQ103" t="n">
        <v>-8.640000000000001</v>
      </c>
      <c r="AR103" t="inlineStr"/>
      <c r="AS103" t="inlineStr"/>
      <c r="AT103" t="inlineStr"/>
      <c r="AU103" t="inlineStr"/>
      <c r="AV103" t="n">
        <v>37</v>
      </c>
      <c r="AW103" t="inlineStr"/>
      <c r="AX103" t="n">
        <v>10.4</v>
      </c>
      <c r="AY103" t="inlineStr"/>
      <c r="AZ103" t="inlineStr"/>
      <c r="BA103" t="inlineStr">
        <is>
          <t>10;245-250;62-63;41</t>
        </is>
      </c>
      <c r="BB103" t="inlineStr">
        <is>
          <t>sí</t>
        </is>
      </c>
      <c r="BC103" t="inlineStr">
        <is>
          <t>σ'c=25 kg/cm² (cámara−contrapresión). Tablas IDIEM en kg/cm² con q=(σ1−σ3)/2; aquí ×98.0665 y desviador=2q. t_max=60.83 kg/cm²; máximo a εa=17.83 %; al final (19.63 %) t=60.49 kg/cm². φsec calculado (no informado por probeta) = 45.1°; el informe da rango 42–46° (Fig. 16, p19-20). εv negativa = compresión (convención del informe). ΔV drenado en consolidación = 92728 cm³ (≈6.6 % de V0) → e al inicio del corte ≈0.224. Gs no informado en hojas IDIEM: se adoptó Gs=2.75 ('calculated' por Golder para el mismo HR, p353); IDIEM usó Gs=2.60 'estimado' en el edómetro (con 2.60, e0=0.238). UCS 64.5 MPa = media de M-1 (65) y M-2 (64), Tabla 1 p7; IDIEM 2022 obtuvo 24.5–40.8 MPa en núcleos con vetillas de calcita (p72-76). Granulometría inicial = 'H6 Hornfel Gris (Inicial)' 1.0 m, p62 (D interpolados log-lineal). Bg de Tabla 7 (p41), reproducido desde las granulometrías p62-63. Muestra remoldeada; compactada en 6 capas de 0.3 m con pisón vibrador, densidad objetivo 2.1 t/m³. [VERIF 2026-10-06] Contrapresión en la hoja: 2.00 kg/cm² (196 kPa) (p245). máximo t=60.83 a 17.83 %, final 19.63 % t=60.49: meseta. Gs NO figura en las hojas IDIEM; 2.75 es el Gs 'calculated' de Golder Burnaby sobre el mismo lote (&lt;1"). UCS: Tabla 1 (Golder 2021a, ASTM D7012 C, núcleos ~74 mm de muestras M-001/M-002, Acopio punto F, 31/10/2020) da 65 y 64 MPa; IDIEM 1.555.677-D (ASTM D7012-14e1, núcleos 54 mm del MISMO lote enviado a IDIEM 'H6 HORNFEL GRIS') da 26.3, 40.8 y 24.5 MPa (D50) — ver verificacion_WSP2022_Golder2012.md.</t>
        </is>
      </c>
      <c r="BD103" t="n">
        <v>2452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>
        <is>
          <t>Triaxial CD</t>
        </is>
      </c>
      <c r="EY103" t="inlineStr">
        <is>
          <t>CD: máximo desviador</t>
        </is>
      </c>
      <c r="EZ103" t="n">
        <v>2452</v>
      </c>
      <c r="FA103" t="n">
        <v>14382</v>
      </c>
      <c r="FB103" t="n">
        <v>11930</v>
      </c>
      <c r="FC103" t="n">
        <v>45.12800791880901</v>
      </c>
      <c r="FD103" t="n">
        <v>4189.695140786504</v>
      </c>
      <c r="FE103" t="n">
        <v>4208.457986872384</v>
      </c>
      <c r="FF103" t="inlineStr">
        <is>
          <t>1.0 m</t>
        </is>
      </c>
      <c r="FG103" t="n">
        <v>5.624296962879639</v>
      </c>
      <c r="FH103" t="inlineStr">
        <is>
          <t>Enrocado</t>
        </is>
      </c>
      <c r="FI103" t="inlineStr">
        <is>
          <t>textual</t>
        </is>
      </c>
      <c r="FJ103" t="n">
        <v>0</v>
      </c>
      <c r="FK103" t="inlineStr"/>
      <c r="FL103" t="inlineStr"/>
      <c r="FM103" t="inlineStr">
        <is>
          <t>A</t>
        </is>
      </c>
      <c r="FN103" t="n">
        <v>0.31</v>
      </c>
      <c r="FO103" t="inlineStr"/>
      <c r="FP103" t="n">
        <v>2.75</v>
      </c>
      <c r="FQ103" t="inlineStr">
        <is>
          <t>informe o verificación</t>
        </is>
      </c>
      <c r="FR103" t="inlineStr">
        <is>
          <t>W2022-101</t>
        </is>
      </c>
      <c r="FS103" t="inlineStr">
        <is>
          <t>W2022|HF-1.0m-IDIEM-mono</t>
        </is>
      </c>
    </row>
    <row r="104">
      <c r="A104" t="inlineStr">
        <is>
          <t>W2022</t>
        </is>
      </c>
      <c r="B104" t="inlineStr">
        <is>
          <t>2022_WSP_Pruebas de enrocado 3B a Gran Escala Hornfels para Deformacion.pdf</t>
        </is>
      </c>
      <c r="C104" t="n">
        <v>2022</v>
      </c>
      <c r="D104" t="inlineStr">
        <is>
          <t>WSP Golder (Golder Associates Ltd./Perú) - Memo 20377053-001-TM-Rev1-401001; Doc 105-18028-MTE00420-MEM-430-G-0007 Rev1</t>
        </is>
      </c>
      <c r="E104" t="inlineStr">
        <is>
          <t>IDIEM (Universidad de Chile), Informe 1.555.677-E</t>
        </is>
      </c>
      <c r="F104" t="inlineStr">
        <is>
          <t>HF-1.0m-IDIEM-cd</t>
        </is>
      </c>
      <c r="G104" t="inlineStr">
        <is>
          <t>Tabla 3 Hornfels Probeta 4 = IDIEM 1.555.677-E PROBETA 1</t>
        </is>
      </c>
      <c r="H104" t="inlineStr">
        <is>
          <t>H6 Hornfel Gris / Hornfels (HR)</t>
        </is>
      </c>
      <c r="I104" t="inlineStr">
        <is>
          <t>Hornfels</t>
        </is>
      </c>
      <c r="J104" t="inlineStr">
        <is>
          <t>hornfels gris (H6), Tajo Fase 8; vetillas de calcita en núcleos UCS</t>
        </is>
      </c>
      <c r="K104" t="inlineStr"/>
      <c r="L104" t="inlineStr">
        <is>
          <t>No presenta (descripción IDIEM de núcleos UCS, p72-76)</t>
        </is>
      </c>
      <c r="M104" t="inlineStr">
        <is>
          <t>Enrocado</t>
        </is>
      </c>
      <c r="N104" t="inlineStr">
        <is>
          <t>C (rótulo 'Material tipo C' en fotos de muestras Golder 2021a; no indicado para el lote IDIEM)</t>
        </is>
      </c>
      <c r="O104" t="inlineStr">
        <is>
          <t>CID carga-descarga (4 etapas: ciclos de carga-descarga hasta 50 % τu y luego carga monótona)</t>
        </is>
      </c>
      <c r="P104" t="inlineStr">
        <is>
          <t>sí (CO2 + agua desaireada, B&gt;0.95)</t>
        </is>
      </c>
      <c r="Q104" t="n">
        <v>1000</v>
      </c>
      <c r="R104" t="n">
        <v>1800</v>
      </c>
      <c r="S104" t="n">
        <v>177.8</v>
      </c>
      <c r="T104" t="n">
        <v>2.61</v>
      </c>
      <c r="U104" t="n">
        <v>13.3</v>
      </c>
      <c r="V104" t="n">
        <v>28</v>
      </c>
      <c r="W104" t="n">
        <v>35</v>
      </c>
      <c r="X104" t="n">
        <v>13.4</v>
      </c>
      <c r="Y104" t="n">
        <v>1.93</v>
      </c>
      <c r="Z104" t="n">
        <v>87.3</v>
      </c>
      <c r="AA104" t="n">
        <v>10.1</v>
      </c>
      <c r="AB104" t="n">
        <v>2.6</v>
      </c>
      <c r="AC104" t="inlineStr">
        <is>
          <t>Ajustada a &lt;178 mm (7") para IDIEM; método de ajuste no declarado (p4). Terreno (M-001, p47): 100 % pasa 36" (914 mm) y 11.8 % queda retenido en 16" (406 mm); Dmax real entre 406 y 914 mm, no informado</t>
        </is>
      </c>
      <c r="AD104" t="n">
        <v>2.75</v>
      </c>
      <c r="AE104" t="n">
        <v>20.21</v>
      </c>
      <c r="AF104" t="n">
        <v>0.335</v>
      </c>
      <c r="AG104" t="inlineStr">
        <is>
          <t>calculado</t>
        </is>
      </c>
      <c r="AH104" t="inlineStr"/>
      <c r="AI104" t="n">
        <v>5</v>
      </c>
      <c r="AJ104" t="n">
        <v>64.5</v>
      </c>
      <c r="AK104" t="n">
        <v>981</v>
      </c>
      <c r="AL104" t="n">
        <v>4801</v>
      </c>
      <c r="AM104" t="n">
        <v>3821</v>
      </c>
      <c r="AN104" t="inlineStr">
        <is>
          <t>máximo desviador registrado (ensayo hasta εa≈20 %)</t>
        </is>
      </c>
      <c r="AO104" t="inlineStr"/>
      <c r="AP104" t="n">
        <v>19.15</v>
      </c>
      <c r="AQ104" t="n">
        <v>-6.35</v>
      </c>
      <c r="AR104" t="inlineStr"/>
      <c r="AS104" t="inlineStr"/>
      <c r="AT104" t="inlineStr"/>
      <c r="AU104" t="inlineStr"/>
      <c r="AV104" t="n">
        <v>24</v>
      </c>
      <c r="AW104" t="inlineStr"/>
      <c r="AX104" t="n">
        <v>6.8</v>
      </c>
      <c r="AY104" t="inlineStr"/>
      <c r="AZ104" t="inlineStr"/>
      <c r="BA104" t="inlineStr">
        <is>
          <t>10;106-117;62-63;41</t>
        </is>
      </c>
      <c r="BB104" t="inlineStr">
        <is>
          <t>sí</t>
        </is>
      </c>
      <c r="BC104" t="inlineStr">
        <is>
          <t>σ'c=10 kg/cm² (cámara−contrapresión). Tablas IDIEM en kg/cm² con q=(σ1−σ3)/2; aquí ×98.0665 y desviador=2q. t_max=19.48 kg/cm²; máximo coincide con el último registro (εa=19.15 %). φsec calculado (no informado por probeta) = 41.4°; el informe da rango 42–46° (Fig. 16, p19-20). εv negativa = compresión (convención del informe). ΔV drenado en consolidación = 29390 cm³ (≈2.1 % de V0) → e al inicio del corte ≈0.307. Gs no informado en hojas IDIEM: se adoptó Gs=2.75 ('calculated' por Golder para el mismo HR, p353); IDIEM usó Gs=2.60 'estimado' en el edómetro (con 2.60, e0=0.262). UCS 64.5 MPa = media de M-1 (65) y M-2 (64), Tabla 1 p7; IDIEM 2022 obtuvo 24.5–40.8 MPa en núcleos con vetillas de calcita (p72-76). Granulometría inicial = 'H6 Hornfel Gris (Inicial)' 1.0 m, p62 (D interpolados log-lineal). Bg de Tabla 7 (p41), reproducido desde las granulometrías p62-63. Muestra remoldeada; compactada en 6 capas de 0.3 m con pisón vibrador, densidad objetivo 2.1 t/m³. [VERIF 2026-10-06] Contrapresión en la hoja: 1.00 kg/cm² (98 kPa) (p106). máximo = último punto (19.15 %): sin pico. Gs NO figura en las hojas IDIEM; 2.75 es el Gs 'calculated' de Golder Burnaby sobre el mismo lote (&lt;1"). UCS: Tabla 1 (Golder 2021a, ASTM D7012 C, núcleos ~74 mm de muestras M-001/M-002, Acopio punto F, 31/10/2020) da 65 y 64 MPa; IDIEM 1.555.677-D (ASTM D7012-14e1, núcleos 54 mm del MISMO lote enviado a IDIEM 'H6 HORNFEL GRIS') da 26.3, 40.8 y 24.5 MPa (D50) — ver verificacion_WSP2022_Golder2012.md.</t>
        </is>
      </c>
      <c r="BD104" t="n">
        <v>981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>
        <is>
          <t>Triaxial CD carga-descarga</t>
        </is>
      </c>
      <c r="EY104" t="inlineStr">
        <is>
          <t>CD: máximo desviador</t>
        </is>
      </c>
      <c r="EZ104" t="n">
        <v>981</v>
      </c>
      <c r="FA104" t="n">
        <v>4801</v>
      </c>
      <c r="FB104" t="n">
        <v>3820</v>
      </c>
      <c r="FC104" t="n">
        <v>41.35107083042814</v>
      </c>
      <c r="FD104" t="n">
        <v>1629.118298166724</v>
      </c>
      <c r="FE104" t="n">
        <v>1433.790281240027</v>
      </c>
      <c r="FF104" t="inlineStr">
        <is>
          <t>1.0 m</t>
        </is>
      </c>
      <c r="FG104" t="n">
        <v>5.624296962879639</v>
      </c>
      <c r="FH104" t="inlineStr">
        <is>
          <t>Enrocado</t>
        </is>
      </c>
      <c r="FI104" t="inlineStr">
        <is>
          <t>textual</t>
        </is>
      </c>
      <c r="FJ104" t="n">
        <v>0</v>
      </c>
      <c r="FK104" t="inlineStr"/>
      <c r="FL104" t="inlineStr"/>
      <c r="FM104" t="inlineStr">
        <is>
          <t>A</t>
        </is>
      </c>
      <c r="FN104" t="n">
        <v>0.335</v>
      </c>
      <c r="FO104" t="inlineStr"/>
      <c r="FP104" t="n">
        <v>2.75</v>
      </c>
      <c r="FQ104" t="inlineStr">
        <is>
          <t>informe o verificación</t>
        </is>
      </c>
      <c r="FR104" t="inlineStr">
        <is>
          <t>W2022-102</t>
        </is>
      </c>
      <c r="FS104" t="inlineStr">
        <is>
          <t>W2022|HF-1.0m-IDIEM-cd</t>
        </is>
      </c>
    </row>
    <row r="105">
      <c r="A105" t="inlineStr">
        <is>
          <t>W2022</t>
        </is>
      </c>
      <c r="B105" t="inlineStr">
        <is>
          <t>2022_WSP_Pruebas de enrocado 3B a Gran Escala Hornfels para Deformacion.pdf</t>
        </is>
      </c>
      <c r="C105" t="n">
        <v>2022</v>
      </c>
      <c r="D105" t="inlineStr">
        <is>
          <t>WSP Golder (Golder Associates Ltd./Perú) - Memo 20377053-001-TM-Rev1-401001; Doc 105-18028-MTE00420-MEM-430-G-0007 Rev1</t>
        </is>
      </c>
      <c r="E105" t="inlineStr">
        <is>
          <t>IDIEM (Universidad de Chile), Informe 1.555.677-E</t>
        </is>
      </c>
      <c r="F105" t="inlineStr">
        <is>
          <t>HF-1.0m-IDIEM-cd</t>
        </is>
      </c>
      <c r="G105" t="inlineStr">
        <is>
          <t>Tabla 3 Hornfels Probeta 5 = IDIEM 1.555.677-E PROBETA 2</t>
        </is>
      </c>
      <c r="H105" t="inlineStr">
        <is>
          <t>H6 Hornfel Gris / Hornfels (HR)</t>
        </is>
      </c>
      <c r="I105" t="inlineStr">
        <is>
          <t>Hornfels</t>
        </is>
      </c>
      <c r="J105" t="inlineStr">
        <is>
          <t>hornfels gris (H6), Tajo Fase 8; vetillas de calcita en núcleos UCS</t>
        </is>
      </c>
      <c r="K105" t="inlineStr"/>
      <c r="L105" t="inlineStr">
        <is>
          <t>No presenta (descripción IDIEM de núcleos UCS, p72-76)</t>
        </is>
      </c>
      <c r="M105" t="inlineStr">
        <is>
          <t>Enrocado</t>
        </is>
      </c>
      <c r="N105" t="inlineStr">
        <is>
          <t>C (rótulo 'Material tipo C' en fotos de muestras Golder 2021a; no indicado para el lote IDIEM)</t>
        </is>
      </c>
      <c r="O105" t="inlineStr">
        <is>
          <t>CID carga-descarga (4 etapas: ciclos de carga-descarga hasta 50 % τu y luego carga monótona)</t>
        </is>
      </c>
      <c r="P105" t="inlineStr">
        <is>
          <t>sí (CO2 + agua desaireada, B&gt;0.95)</t>
        </is>
      </c>
      <c r="Q105" t="n">
        <v>1000</v>
      </c>
      <c r="R105" t="n">
        <v>1800</v>
      </c>
      <c r="S105" t="n">
        <v>177.8</v>
      </c>
      <c r="T105" t="n">
        <v>2.61</v>
      </c>
      <c r="U105" t="n">
        <v>13.3</v>
      </c>
      <c r="V105" t="n">
        <v>28</v>
      </c>
      <c r="W105" t="n">
        <v>35</v>
      </c>
      <c r="X105" t="n">
        <v>13.4</v>
      </c>
      <c r="Y105" t="n">
        <v>1.93</v>
      </c>
      <c r="Z105" t="n">
        <v>87.3</v>
      </c>
      <c r="AA105" t="n">
        <v>10.1</v>
      </c>
      <c r="AB105" t="n">
        <v>2.6</v>
      </c>
      <c r="AC105" t="inlineStr">
        <is>
          <t>Ajustada a &lt;178 mm (7") para IDIEM; método de ajuste no declarado (p4). Terreno (M-001, p47): 100 % pasa 36" (914 mm) y 11.8 % queda retenido en 16" (406 mm); Dmax real entre 406 y 914 mm, no informado</t>
        </is>
      </c>
      <c r="AD105" t="n">
        <v>2.75</v>
      </c>
      <c r="AE105" t="n">
        <v>20.21</v>
      </c>
      <c r="AF105" t="n">
        <v>0.335</v>
      </c>
      <c r="AG105" t="inlineStr">
        <is>
          <t>calculado</t>
        </is>
      </c>
      <c r="AH105" t="inlineStr"/>
      <c r="AI105" t="n">
        <v>5</v>
      </c>
      <c r="AJ105" t="n">
        <v>64.5</v>
      </c>
      <c r="AK105" t="n">
        <v>1961</v>
      </c>
      <c r="AL105" t="n">
        <v>11664</v>
      </c>
      <c r="AM105" t="n">
        <v>9703</v>
      </c>
      <c r="AN105" t="inlineStr">
        <is>
          <t>máximo desviador registrado (ensayo hasta εa≈20 %)</t>
        </is>
      </c>
      <c r="AO105" t="inlineStr"/>
      <c r="AP105" t="n">
        <v>18.8</v>
      </c>
      <c r="AQ105" t="n">
        <v>-7.03</v>
      </c>
      <c r="AR105" t="inlineStr"/>
      <c r="AS105" t="inlineStr"/>
      <c r="AT105" t="inlineStr"/>
      <c r="AU105" t="inlineStr"/>
      <c r="AV105" t="n">
        <v>36</v>
      </c>
      <c r="AW105" t="inlineStr"/>
      <c r="AX105" t="n">
        <v>9.800000000000001</v>
      </c>
      <c r="AY105" t="inlineStr"/>
      <c r="AZ105" t="inlineStr"/>
      <c r="BA105" t="inlineStr">
        <is>
          <t>10;119-167;62-63;41</t>
        </is>
      </c>
      <c r="BB105" t="inlineStr">
        <is>
          <t>sí</t>
        </is>
      </c>
      <c r="BC105" t="inlineStr">
        <is>
          <t>σ'c=20 kg/cm² (cámara−contrapresión). Tablas IDIEM en kg/cm² con q=(σ1−σ3)/2; aquí ×98.0665 y desviador=2q. t_max=49.47 kg/cm²; máximo a εa=18.80 %; último registro 19.33 % con t=48.76 kg/cm². φsec calculado (no informado por probeta) = 45.4°; el informe da rango 42–46° (Fig. 16, p19-20). εv negativa = compresión (convención del informe). ΔV drenado en consolidación = 73737 cm³ (≈5.2 % de V0) → e al inicio del corte ≈0.265. Gs no informado en hojas IDIEM: se adoptó Gs=2.75 ('calculated' por Golder para el mismo HR, p353); IDIEM usó Gs=2.60 'estimado' en el edómetro (con 2.60, e0=0.262). UCS 64.5 MPa = media de M-1 (65) y M-2 (64), Tabla 1 p7; IDIEM 2022 obtuvo 24.5–40.8 MPa en núcleos con vetillas de calcita (p72-76). Granulometría inicial = 'H6 Hornfel Gris (Inicial)' 1.0 m, p62 (D interpolados log-lineal). Bg de Tabla 7 (p41), reproducido desde las granulometrías p62-63. Muestra remoldeada; compactada en 6 capas de 0.3 m con pisón vibrador, densidad objetivo 2.1 t/m³. [VERIF 2026-10-06] Contrapresión en la hoja: 1.00 kg/cm² (98 kPa) (p119). máximo t=49.47 a 18.80 %, final 19.33 % t=48.76: meseta. Gs NO figura en las hojas IDIEM; 2.75 es el Gs 'calculated' de Golder Burnaby sobre el mismo lote (&lt;1"). UCS: Tabla 1 (Golder 2021a, ASTM D7012 C, núcleos ~74 mm de muestras M-001/M-002, Acopio punto F, 31/10/2020) da 65 y 64 MPa; IDIEM 1.555.677-D (ASTM D7012-14e1, núcleos 54 mm del MISMO lote enviado a IDIEM 'H6 HORNFEL GRIS') da 26.3, 40.8 y 24.5 MPa (D50) — ver verificacion_WSP2022_Golder2012.md.</t>
        </is>
      </c>
      <c r="BD105" t="n">
        <v>1961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>
        <is>
          <t>Triaxial CD carga-descarga</t>
        </is>
      </c>
      <c r="EY105" t="inlineStr">
        <is>
          <t>CD: máximo desviador</t>
        </is>
      </c>
      <c r="EZ105" t="n">
        <v>1961</v>
      </c>
      <c r="FA105" t="n">
        <v>11664</v>
      </c>
      <c r="FB105" t="n">
        <v>9703</v>
      </c>
      <c r="FC105" t="n">
        <v>45.40985350357511</v>
      </c>
      <c r="FD105" t="n">
        <v>3357.519853211009</v>
      </c>
      <c r="FE105" t="n">
        <v>3405.90141303208</v>
      </c>
      <c r="FF105" t="inlineStr">
        <is>
          <t>1.0 m</t>
        </is>
      </c>
      <c r="FG105" t="n">
        <v>5.624296962879639</v>
      </c>
      <c r="FH105" t="inlineStr">
        <is>
          <t>Enrocado</t>
        </is>
      </c>
      <c r="FI105" t="inlineStr">
        <is>
          <t>textual</t>
        </is>
      </c>
      <c r="FJ105" t="n">
        <v>0</v>
      </c>
      <c r="FK105" t="inlineStr"/>
      <c r="FL105" t="inlineStr"/>
      <c r="FM105" t="inlineStr">
        <is>
          <t>A</t>
        </is>
      </c>
      <c r="FN105" t="n">
        <v>0.335</v>
      </c>
      <c r="FO105" t="inlineStr"/>
      <c r="FP105" t="n">
        <v>2.75</v>
      </c>
      <c r="FQ105" t="inlineStr">
        <is>
          <t>informe o verificación</t>
        </is>
      </c>
      <c r="FR105" t="inlineStr">
        <is>
          <t>W2022-103</t>
        </is>
      </c>
      <c r="FS105" t="inlineStr">
        <is>
          <t>W2022|HF-1.0m-IDIEM-cd</t>
        </is>
      </c>
    </row>
    <row r="106">
      <c r="A106" t="inlineStr">
        <is>
          <t>W2022</t>
        </is>
      </c>
      <c r="B106" t="inlineStr">
        <is>
          <t>2022_WSP_Pruebas de enrocado 3B a Gran Escala Hornfels para Deformacion.pdf</t>
        </is>
      </c>
      <c r="C106" t="n">
        <v>2022</v>
      </c>
      <c r="D106" t="inlineStr">
        <is>
          <t>WSP Golder (Golder Associates Ltd./Perú) - Memo 20377053-001-TM-Rev1-401001; Doc 105-18028-MTE00420-MEM-430-G-0007 Rev1</t>
        </is>
      </c>
      <c r="E106" t="inlineStr">
        <is>
          <t>IDIEM (Universidad de Chile), Informe 1.555.677-E</t>
        </is>
      </c>
      <c r="F106" t="inlineStr">
        <is>
          <t>HF-1.0m-IDIEM-cd</t>
        </is>
      </c>
      <c r="G106" t="inlineStr">
        <is>
          <t>Tabla 3 Hornfels Probeta 6 = IDIEM 1.555.677-E PROBETA 3</t>
        </is>
      </c>
      <c r="H106" t="inlineStr">
        <is>
          <t>H6 Hornfel Gris / Hornfels (HR)</t>
        </is>
      </c>
      <c r="I106" t="inlineStr">
        <is>
          <t>Hornfels</t>
        </is>
      </c>
      <c r="J106" t="inlineStr">
        <is>
          <t>hornfels gris (H6), Tajo Fase 8; vetillas de calcita en núcleos UCS</t>
        </is>
      </c>
      <c r="K106" t="inlineStr"/>
      <c r="L106" t="inlineStr">
        <is>
          <t>No presenta (descripción IDIEM de núcleos UCS, p72-76)</t>
        </is>
      </c>
      <c r="M106" t="inlineStr">
        <is>
          <t>Enrocado</t>
        </is>
      </c>
      <c r="N106" t="inlineStr">
        <is>
          <t>C (rótulo 'Material tipo C' en fotos de muestras Golder 2021a; no indicado para el lote IDIEM)</t>
        </is>
      </c>
      <c r="O106" t="inlineStr">
        <is>
          <t>CID carga-descarga (4 etapas: ciclos de carga-descarga hasta 50 % τu y luego carga monótona)</t>
        </is>
      </c>
      <c r="P106" t="inlineStr">
        <is>
          <t>sí (CO2 + agua desaireada, B&gt;0.95)</t>
        </is>
      </c>
      <c r="Q106" t="n">
        <v>1000</v>
      </c>
      <c r="R106" t="n">
        <v>1800</v>
      </c>
      <c r="S106" t="n">
        <v>177.8</v>
      </c>
      <c r="T106" t="n">
        <v>2.61</v>
      </c>
      <c r="U106" t="n">
        <v>13.3</v>
      </c>
      <c r="V106" t="n">
        <v>28</v>
      </c>
      <c r="W106" t="n">
        <v>35</v>
      </c>
      <c r="X106" t="n">
        <v>13.4</v>
      </c>
      <c r="Y106" t="n">
        <v>1.93</v>
      </c>
      <c r="Z106" t="n">
        <v>87.3</v>
      </c>
      <c r="AA106" t="n">
        <v>10.1</v>
      </c>
      <c r="AB106" t="n">
        <v>2.6</v>
      </c>
      <c r="AC106" t="inlineStr">
        <is>
          <t>Ajustada a &lt;178 mm (7") para IDIEM; método de ajuste no declarado (p4). Terreno (M-001, p47): 100 % pasa 36" (914 mm) y 11.8 % queda retenido en 16" (406 mm); Dmax real entre 406 y 914 mm, no informado</t>
        </is>
      </c>
      <c r="AD106" t="n">
        <v>2.75</v>
      </c>
      <c r="AE106" t="n">
        <v>20.21</v>
      </c>
      <c r="AF106" t="n">
        <v>0.335</v>
      </c>
      <c r="AG106" t="inlineStr">
        <is>
          <t>calculado</t>
        </is>
      </c>
      <c r="AH106" t="inlineStr"/>
      <c r="AI106" t="n">
        <v>5</v>
      </c>
      <c r="AJ106" t="n">
        <v>64.5</v>
      </c>
      <c r="AK106" t="n">
        <v>2452</v>
      </c>
      <c r="AL106" t="n">
        <v>15381</v>
      </c>
      <c r="AM106" t="n">
        <v>12929</v>
      </c>
      <c r="AN106" t="inlineStr">
        <is>
          <t>máximo desviador registrado (ensayo hasta εa≈20 %)</t>
        </is>
      </c>
      <c r="AO106" t="inlineStr"/>
      <c r="AP106" t="n">
        <v>18.98</v>
      </c>
      <c r="AQ106" t="n">
        <v>-8.34</v>
      </c>
      <c r="AR106" t="inlineStr"/>
      <c r="AS106" t="inlineStr"/>
      <c r="AT106" t="inlineStr"/>
      <c r="AU106" t="inlineStr"/>
      <c r="AV106" t="n">
        <v>39</v>
      </c>
      <c r="AW106" t="inlineStr"/>
      <c r="AX106" t="n">
        <v>13.5</v>
      </c>
      <c r="AY106" t="inlineStr"/>
      <c r="AZ106" t="inlineStr"/>
      <c r="BA106" t="inlineStr">
        <is>
          <t>10;169-227;62-63;41</t>
        </is>
      </c>
      <c r="BB106" t="inlineStr">
        <is>
          <t>sí</t>
        </is>
      </c>
      <c r="BC106" t="inlineStr">
        <is>
          <t>σ'c=25 kg/cm² (cámara−contrapresión). Tablas IDIEM en kg/cm² con q=(σ1−σ3)/2; aquí ×98.0665 y desviador=2q. t_max=65.92 kg/cm²; máximo a εa=18.98 %; último registro 19.52 % con t=65.47 kg/cm². Probeta con geotextil adicional. φsec calculado (no informado por probeta) = 46.5°; el informe da rango 42–46° (Fig. 16, p19-20). εv negativa = compresión (convención del informe). ΔV drenado en consolidación = 87571 cm³ (≈6.2 % de V0) → e al inicio del corte ≈0.252. Gs no informado en hojas IDIEM: se adoptó Gs=2.75 ('calculated' por Golder para el mismo HR, p353); IDIEM usó Gs=2.60 'estimado' en el edómetro (con 2.60, e0=0.262). UCS 64.5 MPa = media de M-1 (65) y M-2 (64), Tabla 1 p7; IDIEM 2022 obtuvo 24.5–40.8 MPa en núcleos con vetillas de calcita (p72-76). Granulometría inicial = 'H6 Hornfel Gris (Inicial)' 1.0 m, p62 (D interpolados log-lineal). Bg de Tabla 7 (p41), reproducido desde las granulometrías p62-63. Muestra remoldeada; compactada en 6 capas de 0.3 m con pisón vibrador, densidad objetivo 2.1 t/m³. [VERIF 2026-10-06] Contrapresión en la hoja: 1.00 kg/cm² (98 kPa) (p169). máximo t=65.92 a 18.98 %, final 19.52 % t=65.47: meseta. Gs NO figura en las hojas IDIEM; 2.75 es el Gs 'calculated' de Golder Burnaby sobre el mismo lote (&lt;1"). UCS: Tabla 1 (Golder 2021a, ASTM D7012 C, núcleos ~74 mm de muestras M-001/M-002, Acopio punto F, 31/10/2020) da 65 y 64 MPa; IDIEM 1.555.677-D (ASTM D7012-14e1, núcleos 54 mm del MISMO lote enviado a IDIEM 'H6 HORNFEL GRIS') da 26.3, 40.8 y 24.5 MPa (D50) — ver verificacion_WSP2022_Golder2012.md.</t>
        </is>
      </c>
      <c r="BD106" t="n">
        <v>2452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>
        <is>
          <t>Triaxial CD carga-descarga</t>
        </is>
      </c>
      <c r="EY106" t="inlineStr">
        <is>
          <t>CD: máximo desviador</t>
        </is>
      </c>
      <c r="EZ106" t="n">
        <v>2452</v>
      </c>
      <c r="FA106" t="n">
        <v>15381</v>
      </c>
      <c r="FB106" t="n">
        <v>12929</v>
      </c>
      <c r="FC106" t="n">
        <v>46.46919769721421</v>
      </c>
      <c r="FD106" t="n">
        <v>4229.710312342286</v>
      </c>
      <c r="FE106" t="n">
        <v>4452.388423494216</v>
      </c>
      <c r="FF106" t="inlineStr">
        <is>
          <t>1.0 m</t>
        </is>
      </c>
      <c r="FG106" t="n">
        <v>5.624296962879639</v>
      </c>
      <c r="FH106" t="inlineStr">
        <is>
          <t>Enrocado</t>
        </is>
      </c>
      <c r="FI106" t="inlineStr">
        <is>
          <t>textual</t>
        </is>
      </c>
      <c r="FJ106" t="n">
        <v>0</v>
      </c>
      <c r="FK106" t="inlineStr"/>
      <c r="FL106" t="inlineStr"/>
      <c r="FM106" t="inlineStr">
        <is>
          <t>A</t>
        </is>
      </c>
      <c r="FN106" t="n">
        <v>0.335</v>
      </c>
      <c r="FO106" t="inlineStr"/>
      <c r="FP106" t="n">
        <v>2.75</v>
      </c>
      <c r="FQ106" t="inlineStr">
        <is>
          <t>informe o verificación</t>
        </is>
      </c>
      <c r="FR106" t="inlineStr">
        <is>
          <t>W2022-104</t>
        </is>
      </c>
      <c r="FS106" t="inlineStr">
        <is>
          <t>W2022|HF-1.0m-IDIEM-cd</t>
        </is>
      </c>
    </row>
    <row r="107">
      <c r="A107" t="inlineStr">
        <is>
          <t>W2022</t>
        </is>
      </c>
      <c r="B107" t="inlineStr">
        <is>
          <t>2022_WSP_Pruebas de enrocado 3B a Gran Escala Hornfels para Deformacion.pdf</t>
        </is>
      </c>
      <c r="C107" t="n">
        <v>2022</v>
      </c>
      <c r="D107" t="inlineStr">
        <is>
          <t>WSP Golder (Golder Associates Ltd./Perú) - Memo 20377053-001-TM-Rev1-401001; Doc 105-18028-MTE00420-MEM-430-G-0007 Rev1</t>
        </is>
      </c>
      <c r="E107" t="inlineStr">
        <is>
          <t>Golder Associates Ltd., Burnaby (Lab ID B21-132)</t>
        </is>
      </c>
      <c r="F107" t="inlineStr">
        <is>
          <t>HF-0.15m-Golder</t>
        </is>
      </c>
      <c r="G107" t="inlineStr">
        <is>
          <t>Tabla 3 Hornfels Probeta 7 = CID 6" HR (Golder B21-132)</t>
        </is>
      </c>
      <c r="H107" t="inlineStr">
        <is>
          <t>H6 Hornfel Gris / Hornfels (HR)</t>
        </is>
      </c>
      <c r="I107" t="inlineStr">
        <is>
          <t>Hornfels</t>
        </is>
      </c>
      <c r="J107" t="inlineStr">
        <is>
          <t>hornfels gris (H6), Tajo Fase 8; vetillas de calcita en núcleos UCS</t>
        </is>
      </c>
      <c r="K107" t="inlineStr"/>
      <c r="L107" t="inlineStr">
        <is>
          <t>No presenta (descripción IDIEM de núcleos UCS, p72-76)</t>
        </is>
      </c>
      <c r="M107" t="inlineStr">
        <is>
          <t>Enrocado</t>
        </is>
      </c>
      <c r="N107" t="inlineStr">
        <is>
          <t>C (rótulo 'Material tipo C' en fotos de muestras Golder 2021a)</t>
        </is>
      </c>
      <c r="O107" t="inlineStr">
        <is>
          <t>CID carga-descarga (misma trayectoria de 4 etapas que IDIEM)</t>
        </is>
      </c>
      <c r="P107" t="inlineStr">
        <is>
          <t>sí (B=0.99; Sat 99 % tras consolidación)</t>
        </is>
      </c>
      <c r="Q107" t="n">
        <v>152</v>
      </c>
      <c r="R107" t="n">
        <v>327</v>
      </c>
      <c r="S107" t="n">
        <v>25.4</v>
      </c>
      <c r="T107" t="n">
        <v>0.19</v>
      </c>
      <c r="U107" t="n">
        <v>1.73</v>
      </c>
      <c r="V107" t="n">
        <v>4.55</v>
      </c>
      <c r="W107" t="n">
        <v>6.4</v>
      </c>
      <c r="X107" t="n">
        <v>34</v>
      </c>
      <c r="Y107" t="n">
        <v>2.5</v>
      </c>
      <c r="Z107" t="n">
        <v>49</v>
      </c>
      <c r="AA107" t="inlineStr"/>
      <c r="AB107" t="inlineStr"/>
      <c r="AC107" t="inlineStr">
        <is>
          <t>Dmax 25.4 mm (1"); curva aprox. paralela (factor ≈7) a la de 1.0 m según Fig. 3; método no declarado</t>
        </is>
      </c>
      <c r="AD107" t="n">
        <v>2.75</v>
      </c>
      <c r="AE107" t="n">
        <v>20.58</v>
      </c>
      <c r="AF107" t="n">
        <v>0.31</v>
      </c>
      <c r="AG107" t="inlineStr">
        <is>
          <t>informe</t>
        </is>
      </c>
      <c r="AH107" t="inlineStr"/>
      <c r="AI107" t="n">
        <v>3.4</v>
      </c>
      <c r="AJ107" t="n">
        <v>64.5</v>
      </c>
      <c r="AK107" t="n">
        <v>977</v>
      </c>
      <c r="AL107" t="n">
        <v>5076</v>
      </c>
      <c r="AM107" t="n">
        <v>4100</v>
      </c>
      <c r="AN107" t="inlineStr">
        <is>
          <t>máximo desviador según hoja Golder ('Failure at maximum deviator stress')</t>
        </is>
      </c>
      <c r="AO107" t="inlineStr"/>
      <c r="AP107" t="n">
        <v>11.44</v>
      </c>
      <c r="AQ107" t="n">
        <v>-5.31</v>
      </c>
      <c r="AR107" t="inlineStr"/>
      <c r="AS107" t="inlineStr"/>
      <c r="AT107" t="inlineStr"/>
      <c r="AU107" t="inlineStr"/>
      <c r="AV107" t="n">
        <v>15</v>
      </c>
      <c r="AW107" t="inlineStr"/>
      <c r="AX107" t="inlineStr"/>
      <c r="AY107" t="inlineStr"/>
      <c r="AZ107" t="inlineStr"/>
      <c r="BA107" t="inlineStr">
        <is>
          <t>10;350;353;351;6;41</t>
        </is>
      </c>
      <c r="BB107" t="inlineStr">
        <is>
          <t>sí</t>
        </is>
      </c>
      <c r="BC107" t="inlineStr">
        <is>
          <t>σ'3c en consolidación = 992 kPa; σ'3 en falla 977 kPa. Tras consolidación: γd 21.62 kN/m³, ec 0.25, Dc 14.90 cm, Hc 32.39 cm. φsec calculado con la hoja = 42.6°. INCONSISTENCIA: la curva desviador–εa (p351) sigue subiendo hasta ≈4,600 kPa a εa≈17.5 % (leído de gráfico); con ese valor φ≈44.6°, coherente con los 45° que cita el informe (p19). La leyenda de la hoja dice '-ve = dilation, +ve = contraction', pero la curva y el texto del informe indican compresión negativa; se conserva el signo de la hoja (−5.31 % = compresión). Granulometría inicial NO tabulada: D leídos de gráfico (Fig. 3, p6, marcadores vectoriales); ≈8.9 % pasa 0.15 mm; finos &lt;0.075 mm no legibles. Texto: densidad objetivo 2.2 t/m³ (corrección Dorador 2018), pero la hoja da 20.58 kN/m³ (2.10 t/m³). ρmáx/ρmín índice HR (ASTM D4253/4254, p85): 2232 (seco)/2308 (húmedo)/1852 kg/m³; Dr no informado. [VERIF 2026-10-06] Hoja p350 rotula 'Sample: MR' y la curva p351 'CID 6" MR' aunque es Hornfels (HR): errata de rótulo. La curva p351 llega a ≈4600 kPa a ≈17.5 %; la hoja (p350/p353) informa σ1−σ3 máx = 4100 kPa a 11.44 %: inconsistencia interna, se mantiene el valor tabulado. Velocidad 1.00 %/h (0.0167 %/min). Contrapresión (σpwp) 688 kPa; σ'3c 992 kPa. γd post-consolidación 21.62 kN/m³, ec 0.25.</t>
        </is>
      </c>
      <c r="BD107" t="n">
        <v>977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>
        <is>
          <t>Triaxial CD carga-descarga</t>
        </is>
      </c>
      <c r="EY107" t="inlineStr">
        <is>
          <t>CD: máximo desviador</t>
        </is>
      </c>
      <c r="EZ107" t="n">
        <v>977</v>
      </c>
      <c r="FA107" t="n">
        <v>5076</v>
      </c>
      <c r="FB107" t="n">
        <v>4099</v>
      </c>
      <c r="FC107" t="n">
        <v>42.62404836258078</v>
      </c>
      <c r="FD107" t="n">
        <v>1638.609615066909</v>
      </c>
      <c r="FE107" t="n">
        <v>1508.048583239372</v>
      </c>
      <c r="FF107" t="inlineStr">
        <is>
          <t>6 in (≈150 mm)</t>
        </is>
      </c>
      <c r="FG107" t="n">
        <v>5.984251968503937</v>
      </c>
      <c r="FH107" t="inlineStr">
        <is>
          <t>Enrocado</t>
        </is>
      </c>
      <c r="FI107" t="inlineStr">
        <is>
          <t>textual</t>
        </is>
      </c>
      <c r="FJ107" t="n">
        <v>0</v>
      </c>
      <c r="FK107" t="inlineStr"/>
      <c r="FL107" t="inlineStr"/>
      <c r="FM107" t="inlineStr">
        <is>
          <t>B</t>
        </is>
      </c>
      <c r="FN107" t="n">
        <v>0.31</v>
      </c>
      <c r="FO107" t="inlineStr"/>
      <c r="FP107" t="n">
        <v>2.75</v>
      </c>
      <c r="FQ107" t="inlineStr">
        <is>
          <t>informe o verificación</t>
        </is>
      </c>
      <c r="FR107" t="inlineStr">
        <is>
          <t>W2022-105</t>
        </is>
      </c>
      <c r="FS107" t="inlineStr">
        <is>
          <t>W2022|HF-0.15m-Golder</t>
        </is>
      </c>
    </row>
    <row r="108">
      <c r="A108" t="inlineStr">
        <is>
          <t>W2022</t>
        </is>
      </c>
      <c r="B108" t="inlineStr">
        <is>
          <t>2022_WSP_Pruebas de enrocado 3B a Gran Escala Hornfels para Deformacion.pdf</t>
        </is>
      </c>
      <c r="C108" t="n">
        <v>2022</v>
      </c>
      <c r="D108" t="inlineStr">
        <is>
          <t>WSP Golder (Golder Associates Ltd./Perú) - Memo 20377053-001-TM-Rev1-401001; Doc 105-18028-MTE00420-MEM-430-G-0007 Rev1</t>
        </is>
      </c>
      <c r="E108" t="inlineStr">
        <is>
          <t>University of South Carolina (USC), GDS ELDyn</t>
        </is>
      </c>
      <c r="F108" t="inlineStr">
        <is>
          <t>HF-USC-ciclico-350</t>
        </is>
      </c>
      <c r="G108" t="inlineStr">
        <is>
          <t>USC HR-LCTX2 (6", CSR=0.38)</t>
        </is>
      </c>
      <c r="H108" t="inlineStr">
        <is>
          <t>H6 Hornfel Gris / Hornfels (HR)</t>
        </is>
      </c>
      <c r="I108" t="inlineStr">
        <is>
          <t>Hornfels</t>
        </is>
      </c>
      <c r="J108" t="inlineStr">
        <is>
          <t>hornfels gris (H6), Tajo Fase 8; vetillas de calcita en núcleos UCS</t>
        </is>
      </c>
      <c r="K108" t="inlineStr"/>
      <c r="L108" t="inlineStr">
        <is>
          <t>No presenta (descripción IDIEM de núcleos UCS, p72-76)</t>
        </is>
      </c>
      <c r="M108" t="inlineStr">
        <is>
          <t>Enrocado</t>
        </is>
      </c>
      <c r="N108" t="inlineStr">
        <is>
          <t>C (rótulo 'Material tipo C' en fotos de muestras Golder 2021a)</t>
        </is>
      </c>
      <c r="O108" t="inlineStr">
        <is>
          <t>Triaxial cíclico drenado (compresión-extensión) + carga monótona drenada post-cíclica</t>
        </is>
      </c>
      <c r="P108" t="inlineStr">
        <is>
          <t>sí (B=0.95–0.97)</t>
        </is>
      </c>
      <c r="Q108" t="n">
        <v>146.5</v>
      </c>
      <c r="R108" t="n">
        <v>266.7</v>
      </c>
      <c r="S108" t="n">
        <v>25.4</v>
      </c>
      <c r="T108" t="n">
        <v>0.19</v>
      </c>
      <c r="U108" t="n">
        <v>1.73</v>
      </c>
      <c r="V108" t="n">
        <v>4.55</v>
      </c>
      <c r="W108" t="n">
        <v>6.4</v>
      </c>
      <c r="X108" t="n">
        <v>34</v>
      </c>
      <c r="Y108" t="n">
        <v>2.5</v>
      </c>
      <c r="Z108" t="n">
        <v>49</v>
      </c>
      <c r="AA108" t="inlineStr"/>
      <c r="AB108" t="inlineStr"/>
      <c r="AC108" t="inlineStr">
        <is>
          <t>Dmax 25.4 mm (1"); curva aprox. paralela (factor ≈7) a la de 1.0 m según Fig. 3; método no declarado</t>
        </is>
      </c>
      <c r="AD108" t="n">
        <v>2.71</v>
      </c>
      <c r="AE108" t="n">
        <v>21.46</v>
      </c>
      <c r="AF108" t="n">
        <v>0.239</v>
      </c>
      <c r="AG108" t="inlineStr">
        <is>
          <t>calculado</t>
        </is>
      </c>
      <c r="AH108" t="inlineStr"/>
      <c r="AI108" t="n">
        <v>5</v>
      </c>
      <c r="AJ108" t="n">
        <v>64.5</v>
      </c>
      <c r="AK108" t="n">
        <v>350</v>
      </c>
      <c r="AL108" t="n">
        <v>1770.4</v>
      </c>
      <c r="AM108" t="n">
        <v>1420.4</v>
      </c>
      <c r="AN108" t="inlineStr">
        <is>
          <t>máximo desviador en la carga monótona post-cíclica (hoja USC 'Max. Principal Stress Difference')</t>
        </is>
      </c>
      <c r="AO108" t="inlineStr"/>
      <c r="AP108" t="n">
        <v>20</v>
      </c>
      <c r="AQ108" t="inlineStr"/>
      <c r="AR108" t="inlineStr"/>
      <c r="AS108" t="inlineStr"/>
      <c r="AT108" t="inlineStr"/>
      <c r="AU108" t="inlineStr"/>
      <c r="AV108" t="n">
        <v>8</v>
      </c>
      <c r="AW108" t="inlineStr"/>
      <c r="AX108" t="inlineStr"/>
      <c r="AY108" t="inlineStr"/>
      <c r="AZ108" t="inlineStr"/>
      <c r="BA108" t="inlineStr">
        <is>
          <t>10;373;41</t>
        </is>
      </c>
      <c r="BB108" t="inlineStr">
        <is>
          <t>sí</t>
        </is>
      </c>
      <c r="BC108" t="inlineStr">
        <is>
          <t>Hoja USC marcada DRAFT. Velocidad 5 %/h; 'Max. Axial Strain'=20.0 %, desviador a esa deformación=1420.40 kPa. φsec calculado (post-cíclico) = 42.1°. e después de consolidación (hoja) = 0.19. e0 calculado con Gs=2.71 (Gs estimado USC). Bg de Tabla 7 es un valor único (celda combinada) para el conjunto de probetas cíclicas del material. Correspondencia con Tabla 3 ambigua: Tabla 3 asigna Hornfels 6"-0.50, 4"-0.40, 4"-0.33 y Mármol 6"-0.25, 6"-0.20, 4"-0.40; el anexo USC da HR 6"-0.38, 4"-0.33, 4"-0.20 y MN 4"-0.25, 6"-0.19, 6"-0.38. Granulometría = curva objetivo 0.15 m leída de Fig. 3/4 (no hay granulometría por probeta). σ'3=350 kPa: bajo confinamiento. [VERIF 2026-10-06] Preparación según hoja USC: 'Moist Tamping' con w=5.00 % (el texto p15 dice 'estado seco'). Velocidad post-cíclica 5.00 %/h (0.083 %/min).</t>
        </is>
      </c>
      <c r="BD108" t="n">
        <v>350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>
        <is>
          <t>Triaxial cíclico + monótono post-cíclico</t>
        </is>
      </c>
      <c r="EY108" t="inlineStr">
        <is>
          <t>CD: máximo desviador</t>
        </is>
      </c>
      <c r="EZ108" t="n">
        <v>350</v>
      </c>
      <c r="FA108" t="n">
        <v>1770.4</v>
      </c>
      <c r="FB108" t="n">
        <v>1420.4</v>
      </c>
      <c r="FC108" t="n">
        <v>42.05731061578447</v>
      </c>
      <c r="FD108" t="n">
        <v>584.4557630635729</v>
      </c>
      <c r="FE108" t="n">
        <v>527.3058514958627</v>
      </c>
      <c r="FF108" t="inlineStr">
        <is>
          <t>6 in (≈150 mm)</t>
        </is>
      </c>
      <c r="FG108" t="n">
        <v>5.767716535433071</v>
      </c>
      <c r="FH108" t="inlineStr">
        <is>
          <t>Enrocado</t>
        </is>
      </c>
      <c r="FI108" t="inlineStr">
        <is>
          <t>textual</t>
        </is>
      </c>
      <c r="FJ108" t="n">
        <v>0</v>
      </c>
      <c r="FK108" t="inlineStr"/>
      <c r="FL108" t="inlineStr"/>
      <c r="FM108" t="inlineStr">
        <is>
          <t>A</t>
        </is>
      </c>
      <c r="FN108" t="n">
        <v>0.239</v>
      </c>
      <c r="FO108" t="inlineStr"/>
      <c r="FP108" t="n">
        <v>2.71</v>
      </c>
      <c r="FQ108" t="inlineStr">
        <is>
          <t>informe o verificación</t>
        </is>
      </c>
      <c r="FR108" t="inlineStr">
        <is>
          <t>W2022-106</t>
        </is>
      </c>
      <c r="FS108" t="inlineStr">
        <is>
          <t>W2022|HF-USC-ciclico-350</t>
        </is>
      </c>
    </row>
    <row r="109">
      <c r="A109" t="inlineStr">
        <is>
          <t>W2022</t>
        </is>
      </c>
      <c r="B109" t="inlineStr">
        <is>
          <t>2022_WSP_Pruebas de enrocado 3B a Gran Escala Hornfels para Deformacion.pdf</t>
        </is>
      </c>
      <c r="C109" t="n">
        <v>2022</v>
      </c>
      <c r="D109" t="inlineStr">
        <is>
          <t>WSP Golder (Golder Associates Ltd./Perú) - Memo 20377053-001-TM-Rev1-401001; Doc 105-18028-MTE00420-MEM-430-G-0007 Rev1</t>
        </is>
      </c>
      <c r="E109" t="inlineStr">
        <is>
          <t>University of South Carolina (USC), GDS ELDyn</t>
        </is>
      </c>
      <c r="F109" t="inlineStr">
        <is>
          <t>HF-USC-ciclico-350</t>
        </is>
      </c>
      <c r="G109" t="inlineStr">
        <is>
          <t>USC HR-CTX1 (4", CSR=0.33)</t>
        </is>
      </c>
      <c r="H109" t="inlineStr">
        <is>
          <t>H6 Hornfel Gris / Hornfels (HR)</t>
        </is>
      </c>
      <c r="I109" t="inlineStr">
        <is>
          <t>Hornfels</t>
        </is>
      </c>
      <c r="J109" t="inlineStr">
        <is>
          <t>hornfels gris (H6), Tajo Fase 8; vetillas de calcita en núcleos UCS</t>
        </is>
      </c>
      <c r="K109" t="inlineStr"/>
      <c r="L109" t="inlineStr">
        <is>
          <t>No presenta (descripción IDIEM de núcleos UCS, p72-76)</t>
        </is>
      </c>
      <c r="M109" t="inlineStr">
        <is>
          <t>Enrocado</t>
        </is>
      </c>
      <c r="N109" t="inlineStr">
        <is>
          <t>C (rótulo 'Material tipo C' en fotos de muestras Golder 2021a)</t>
        </is>
      </c>
      <c r="O109" t="inlineStr">
        <is>
          <t>Triaxial cíclico drenado (compresión-extensión) + carga monótona drenada post-cíclica</t>
        </is>
      </c>
      <c r="P109" t="inlineStr">
        <is>
          <t>sí (B=0.95–0.97)</t>
        </is>
      </c>
      <c r="Q109" t="n">
        <v>100</v>
      </c>
      <c r="R109" t="n">
        <v>203.2</v>
      </c>
      <c r="S109" t="n">
        <v>25.4</v>
      </c>
      <c r="T109" t="n">
        <v>0.19</v>
      </c>
      <c r="U109" t="n">
        <v>1.73</v>
      </c>
      <c r="V109" t="n">
        <v>4.55</v>
      </c>
      <c r="W109" t="n">
        <v>6.4</v>
      </c>
      <c r="X109" t="n">
        <v>34</v>
      </c>
      <c r="Y109" t="n">
        <v>2.5</v>
      </c>
      <c r="Z109" t="n">
        <v>49</v>
      </c>
      <c r="AA109" t="inlineStr"/>
      <c r="AB109" t="inlineStr"/>
      <c r="AC109" t="inlineStr">
        <is>
          <t>Dmax 25.4 mm (1"); curva aprox. paralela (factor ≈7) a la de 1.0 m según Fig. 3; método no declarado</t>
        </is>
      </c>
      <c r="AD109" t="n">
        <v>2.71</v>
      </c>
      <c r="AE109" t="n">
        <v>21.46</v>
      </c>
      <c r="AF109" t="n">
        <v>0.239</v>
      </c>
      <c r="AG109" t="inlineStr">
        <is>
          <t>calculado</t>
        </is>
      </c>
      <c r="AH109" t="inlineStr"/>
      <c r="AI109" t="n">
        <v>5</v>
      </c>
      <c r="AJ109" t="n">
        <v>64.5</v>
      </c>
      <c r="AK109" t="n">
        <v>350</v>
      </c>
      <c r="AL109" t="n">
        <v>1630</v>
      </c>
      <c r="AM109" t="n">
        <v>1280</v>
      </c>
      <c r="AN109" t="inlineStr">
        <is>
          <t>máximo desviador alcanzado en la carga monótona post-cíclica; la hoja da 'Max. Axial Strain' = 1.68 % y el desviador a esa deformación es igual al máximo: ensayo detenido antes de la falla, el valor es una cota inferior de la resistencia</t>
        </is>
      </c>
      <c r="AO109" t="inlineStr"/>
      <c r="AP109" t="n">
        <v>1.68</v>
      </c>
      <c r="AQ109" t="inlineStr"/>
      <c r="AR109" t="inlineStr"/>
      <c r="AS109" t="inlineStr"/>
      <c r="AT109" t="inlineStr"/>
      <c r="AU109" t="inlineStr"/>
      <c r="AV109" t="n">
        <v>8</v>
      </c>
      <c r="AW109" t="inlineStr"/>
      <c r="AX109" t="inlineStr"/>
      <c r="AY109" t="inlineStr"/>
      <c r="AZ109" t="inlineStr"/>
      <c r="BA109" t="inlineStr">
        <is>
          <t>10;361;41</t>
        </is>
      </c>
      <c r="BB109" t="inlineStr">
        <is>
          <t>sí</t>
        </is>
      </c>
      <c r="BC109" t="inlineStr">
        <is>
          <t>Hoja USC marcada DRAFT. Velocidad 5 %/h; 'Max. Axial Strain'=1.68 %, desviador a esa deformación=1280 kPa. φsec calculado (post-cíclico) = 40.3°. e después de consolidación (hoja) = no informado. e0 calculado con Gs=2.71 (Gs no informado para probetas 4"; se adoptó 2.71 de las probetas 6" USC). Bg de Tabla 7 es un valor único (celda combinada) para el conjunto de probetas cíclicas del material. Correspondencia con Tabla 3 ambigua: Tabla 3 asigna Hornfels 6"-0.50, 4"-0.40, 4"-0.33 y Mármol 6"-0.25, 6"-0.20, 4"-0.40; el anexo USC da HR 6"-0.38, 4"-0.33, 4"-0.20 y MN 4"-0.25, 6"-0.19, 6"-0.38. Granulometría = curva objetivo 0.15 m leída de Fig. 3/4 (no hay granulometría por probeta). σ'3=350 kPa: bajo confinamiento. [VERIF 2026-10-06] Preparación según hoja USC: 'Moist Tamping' con w=5.00 % (el texto p15 dice 'estado seco'). Velocidad post-cíclica 5.00 %/h (0.083 %/min). [VERIF 2026-10-06] HR-CTX1 y HR-CTX4 tienen masas idénticas (3665.03 g húmeda; 3490.50 g seca): no son mediciones independientes (probables valores objetivo).</t>
        </is>
      </c>
      <c r="BD109" t="n">
        <v>350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>
        <is>
          <t>Triaxial cíclico + monótono post-cíclico</t>
        </is>
      </c>
      <c r="EY109" t="inlineStr">
        <is>
          <t>CD: máximo desviador</t>
        </is>
      </c>
      <c r="EZ109" t="n">
        <v>350</v>
      </c>
      <c r="FA109" t="n">
        <v>1630</v>
      </c>
      <c r="FB109" t="n">
        <v>1280</v>
      </c>
      <c r="FC109" t="n">
        <v>40.27557865605698</v>
      </c>
      <c r="FD109" t="n">
        <v>576.2626262626262</v>
      </c>
      <c r="FE109" t="n">
        <v>488.2841238181933</v>
      </c>
      <c r="FF109" t="inlineStr">
        <is>
          <t>pequeña (&lt;120 mm)</t>
        </is>
      </c>
      <c r="FG109" t="n">
        <v>3.937007874015748</v>
      </c>
      <c r="FH109" t="inlineStr">
        <is>
          <t>Enrocado</t>
        </is>
      </c>
      <c r="FI109" t="inlineStr">
        <is>
          <t>textual</t>
        </is>
      </c>
      <c r="FJ109" t="n">
        <v>0</v>
      </c>
      <c r="FK109" t="inlineStr"/>
      <c r="FL109" t="inlineStr">
        <is>
          <t>detenido antes de la falla (εa 1.68 %): q es cota inferior</t>
        </is>
      </c>
      <c r="FM109" t="inlineStr">
        <is>
          <t>A</t>
        </is>
      </c>
      <c r="FN109" t="n">
        <v>0.239</v>
      </c>
      <c r="FO109" t="inlineStr"/>
      <c r="FP109" t="n">
        <v>2.71</v>
      </c>
      <c r="FQ109" t="inlineStr">
        <is>
          <t>informe o verificación</t>
        </is>
      </c>
      <c r="FR109" t="inlineStr">
        <is>
          <t>W2022-107</t>
        </is>
      </c>
      <c r="FS109" t="inlineStr">
        <is>
          <t>W2022|HF-USC-ciclico-350</t>
        </is>
      </c>
    </row>
    <row r="110">
      <c r="A110" t="inlineStr">
        <is>
          <t>W2022</t>
        </is>
      </c>
      <c r="B110" t="inlineStr">
        <is>
          <t>2022_WSP_Pruebas de enrocado 3B a Gran Escala Hornfels para Deformacion.pdf</t>
        </is>
      </c>
      <c r="C110" t="n">
        <v>2022</v>
      </c>
      <c r="D110" t="inlineStr">
        <is>
          <t>WSP Golder (Golder Associates Ltd./Perú) - Memo 20377053-001-TM-Rev1-401001; Doc 105-18028-MTE00420-MEM-430-G-0007 Rev1</t>
        </is>
      </c>
      <c r="E110" t="inlineStr">
        <is>
          <t>University of South Carolina (USC), GDS ELDyn</t>
        </is>
      </c>
      <c r="F110" t="inlineStr">
        <is>
          <t>HF-USC-ciclico-350</t>
        </is>
      </c>
      <c r="G110" t="inlineStr">
        <is>
          <t>USC HR-CTX4 (4", CSR=0.2)</t>
        </is>
      </c>
      <c r="H110" t="inlineStr">
        <is>
          <t>H6 Hornfel Gris / Hornfels (HR)</t>
        </is>
      </c>
      <c r="I110" t="inlineStr">
        <is>
          <t>Hornfels</t>
        </is>
      </c>
      <c r="J110" t="inlineStr">
        <is>
          <t>hornfels gris (H6), Tajo Fase 8; vetillas de calcita en núcleos UCS</t>
        </is>
      </c>
      <c r="K110" t="inlineStr"/>
      <c r="L110" t="inlineStr">
        <is>
          <t>No presenta (descripción IDIEM de núcleos UCS, p72-76)</t>
        </is>
      </c>
      <c r="M110" t="inlineStr">
        <is>
          <t>Enrocado</t>
        </is>
      </c>
      <c r="N110" t="inlineStr">
        <is>
          <t>C (rótulo 'Material tipo C' en fotos de muestras Golder 2021a)</t>
        </is>
      </c>
      <c r="O110" t="inlineStr">
        <is>
          <t>Triaxial cíclico drenado (compresión-extensión) + carga monótona drenada post-cíclica</t>
        </is>
      </c>
      <c r="P110" t="inlineStr">
        <is>
          <t>sí (B=0.95–0.97)</t>
        </is>
      </c>
      <c r="Q110" t="n">
        <v>100</v>
      </c>
      <c r="R110" t="n">
        <v>203.2</v>
      </c>
      <c r="S110" t="n">
        <v>25.4</v>
      </c>
      <c r="T110" t="n">
        <v>0.19</v>
      </c>
      <c r="U110" t="n">
        <v>1.73</v>
      </c>
      <c r="V110" t="n">
        <v>4.55</v>
      </c>
      <c r="W110" t="n">
        <v>6.4</v>
      </c>
      <c r="X110" t="n">
        <v>34</v>
      </c>
      <c r="Y110" t="n">
        <v>2.5</v>
      </c>
      <c r="Z110" t="n">
        <v>49</v>
      </c>
      <c r="AA110" t="inlineStr"/>
      <c r="AB110" t="inlineStr"/>
      <c r="AC110" t="inlineStr">
        <is>
          <t>Dmax 25.4 mm (1"); curva aprox. paralela (factor ≈7) a la de 1.0 m según Fig. 3; método no declarado</t>
        </is>
      </c>
      <c r="AD110" t="n">
        <v>2.71</v>
      </c>
      <c r="AE110" t="n">
        <v>21.46</v>
      </c>
      <c r="AF110" t="n">
        <v>0.239</v>
      </c>
      <c r="AG110" t="inlineStr">
        <is>
          <t>calculado</t>
        </is>
      </c>
      <c r="AH110" t="inlineStr"/>
      <c r="AI110" t="n">
        <v>5</v>
      </c>
      <c r="AJ110" t="n">
        <v>64.5</v>
      </c>
      <c r="AK110" t="n">
        <v>350</v>
      </c>
      <c r="AL110" t="n">
        <v>1560.5</v>
      </c>
      <c r="AM110" t="n">
        <v>1210.54</v>
      </c>
      <c r="AN110" t="inlineStr">
        <is>
          <t>máximo desviador alcanzado en la carga monótona post-cíclica; la hoja da 'Max. Axial Strain' = 7.37 % y el desviador a esa deformación es igual al máximo: ensayo detenido antes de la falla, el valor es una cota inferior de la resistencia</t>
        </is>
      </c>
      <c r="AO110" t="inlineStr"/>
      <c r="AP110" t="n">
        <v>7.37</v>
      </c>
      <c r="AQ110" t="inlineStr"/>
      <c r="AR110" t="inlineStr"/>
      <c r="AS110" t="inlineStr"/>
      <c r="AT110" t="inlineStr"/>
      <c r="AU110" t="inlineStr"/>
      <c r="AV110" t="n">
        <v>8</v>
      </c>
      <c r="AW110" t="inlineStr"/>
      <c r="AX110" t="inlineStr"/>
      <c r="AY110" t="inlineStr"/>
      <c r="AZ110" t="inlineStr"/>
      <c r="BA110" t="inlineStr">
        <is>
          <t>10;367;41</t>
        </is>
      </c>
      <c r="BB110" t="inlineStr">
        <is>
          <t>sí</t>
        </is>
      </c>
      <c r="BC110" t="inlineStr">
        <is>
          <t>Hoja USC marcada DRAFT. Velocidad 5 %/h; 'Max. Axial Strain'=7.37 %, desviador a esa deformación=1210.54 kPa. φsec calculado (post-cíclico) = 39.3°. e después de consolidación (hoja) = no informado. e0 calculado con Gs=2.71 (Gs no informado para probetas 4"; se adoptó 2.71 de las probetas 6" USC). Bg de Tabla 7 es un valor único (celda combinada) para el conjunto de probetas cíclicas del material. Correspondencia con Tabla 3 ambigua: Tabla 3 asigna Hornfels 6"-0.50, 4"-0.40, 4"-0.33 y Mármol 6"-0.25, 6"-0.20, 4"-0.40; el anexo USC da HR 6"-0.38, 4"-0.33, 4"-0.20 y MN 4"-0.25, 6"-0.19, 6"-0.38. Granulometría = curva objetivo 0.15 m leída de Fig. 3/4 (no hay granulometría por probeta). σ'3=350 kPa: bajo confinamiento. [VERIF 2026-10-06] Preparación según hoja USC: 'Moist Tamping' con w=5.00 % (el texto p15 dice 'estado seco'). Velocidad post-cíclica 5.00 %/h (0.083 %/min). [VERIF 2026-10-06] HR-CTX1 y HR-CTX4 tienen masas idénticas (3665.03 g húmeda; 3490.50 g seca): no son mediciones independientes (probables valores objetivo).</t>
        </is>
      </c>
      <c r="BD110" t="n">
        <v>350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>
        <is>
          <t>Triaxial cíclico + monótono post-cíclico</t>
        </is>
      </c>
      <c r="EY110" t="inlineStr">
        <is>
          <t>CD: máximo desviador</t>
        </is>
      </c>
      <c r="EZ110" t="n">
        <v>350</v>
      </c>
      <c r="FA110" t="n">
        <v>1560.5</v>
      </c>
      <c r="FB110" t="n">
        <v>1210.5</v>
      </c>
      <c r="FC110" t="n">
        <v>39.31650535469705</v>
      </c>
      <c r="FD110" t="n">
        <v>571.7613190264328</v>
      </c>
      <c r="FE110" t="n">
        <v>468.2563337160039</v>
      </c>
      <c r="FF110" t="inlineStr">
        <is>
          <t>pequeña (&lt;120 mm)</t>
        </is>
      </c>
      <c r="FG110" t="n">
        <v>3.937007874015748</v>
      </c>
      <c r="FH110" t="inlineStr">
        <is>
          <t>Enrocado</t>
        </is>
      </c>
      <c r="FI110" t="inlineStr">
        <is>
          <t>textual</t>
        </is>
      </c>
      <c r="FJ110" t="n">
        <v>0</v>
      </c>
      <c r="FK110" t="inlineStr"/>
      <c r="FL110" t="inlineStr">
        <is>
          <t>detenido antes de la falla (εa 7.37 %): q es cota inferior</t>
        </is>
      </c>
      <c r="FM110" t="inlineStr">
        <is>
          <t>A</t>
        </is>
      </c>
      <c r="FN110" t="n">
        <v>0.239</v>
      </c>
      <c r="FO110" t="inlineStr"/>
      <c r="FP110" t="n">
        <v>2.71</v>
      </c>
      <c r="FQ110" t="inlineStr">
        <is>
          <t>informe o verificación</t>
        </is>
      </c>
      <c r="FR110" t="inlineStr">
        <is>
          <t>W2022-108</t>
        </is>
      </c>
      <c r="FS110" t="inlineStr">
        <is>
          <t>W2022|HF-USC-ciclico-350</t>
        </is>
      </c>
    </row>
    <row r="111">
      <c r="A111" t="inlineStr">
        <is>
          <t>W2022</t>
        </is>
      </c>
      <c r="B111" t="inlineStr">
        <is>
          <t>2022_WSP_Pruebas de enrocado 3B a Gran Escala Hornfels para Deformacion.pdf</t>
        </is>
      </c>
      <c r="C111" t="n">
        <v>2022</v>
      </c>
      <c r="D111" t="inlineStr">
        <is>
          <t>WSP Golder (Golder Associates Ltd./Perú) - Memo 20377053-001-TM-Rev1-401001; Doc 105-18028-MTE00420-MEM-430-G-0007 Rev1</t>
        </is>
      </c>
      <c r="E111" t="inlineStr">
        <is>
          <t>University of South Carolina (USC), GDS ELDyn</t>
        </is>
      </c>
      <c r="F111" t="inlineStr">
        <is>
          <t>MN-USC-ciclico-350</t>
        </is>
      </c>
      <c r="G111" t="inlineStr">
        <is>
          <t>USC MN-CTX3 (4", CSR=0.25)</t>
        </is>
      </c>
      <c r="H111" t="inlineStr">
        <is>
          <t>Mármol Negro (MN/MR)</t>
        </is>
      </c>
      <c r="I111" t="inlineStr">
        <is>
          <t>Mármol</t>
        </is>
      </c>
      <c r="J111" t="inlineStr">
        <is>
          <t>mármol negro</t>
        </is>
      </c>
      <c r="K111" t="inlineStr"/>
      <c r="L111" t="inlineStr"/>
      <c r="M111" t="inlineStr">
        <is>
          <t>Enrocado</t>
        </is>
      </c>
      <c r="N111" t="inlineStr">
        <is>
          <t>C (rótulo 'Material tipo C' en fotos de muestras M-001/M-002 de mármol 2020, Golder 2021a)</t>
        </is>
      </c>
      <c r="O111" t="inlineStr">
        <is>
          <t>Triaxial cíclico drenado (compresión-extensión) + carga monótona drenada post-cíclica</t>
        </is>
      </c>
      <c r="P111" t="inlineStr">
        <is>
          <t>sí (B=0.95–0.97)</t>
        </is>
      </c>
      <c r="Q111" t="n">
        <v>100</v>
      </c>
      <c r="R111" t="n">
        <v>203.2</v>
      </c>
      <c r="S111" t="n">
        <v>25.4</v>
      </c>
      <c r="T111" t="n">
        <v>0.19</v>
      </c>
      <c r="U111" t="n">
        <v>1.73</v>
      </c>
      <c r="V111" t="n">
        <v>4.55</v>
      </c>
      <c r="W111" t="n">
        <v>6.4</v>
      </c>
      <c r="X111" t="n">
        <v>34</v>
      </c>
      <c r="Y111" t="n">
        <v>2.5</v>
      </c>
      <c r="Z111" t="n">
        <v>49</v>
      </c>
      <c r="AA111" t="inlineStr"/>
      <c r="AB111" t="inlineStr"/>
      <c r="AC111" t="inlineStr">
        <is>
          <t>Dmax 25.4 mm (1"); curva aprox. paralela (factor ≈7) a la de 1.0 m según Fig. 3; método no declarado</t>
        </is>
      </c>
      <c r="AD111" t="n">
        <v>2.71</v>
      </c>
      <c r="AE111" t="n">
        <v>22.07</v>
      </c>
      <c r="AF111" t="n">
        <v>0.205</v>
      </c>
      <c r="AG111" t="inlineStr">
        <is>
          <t>calculado</t>
        </is>
      </c>
      <c r="AH111" t="inlineStr"/>
      <c r="AI111" t="n">
        <v>5</v>
      </c>
      <c r="AJ111" t="inlineStr"/>
      <c r="AK111" t="n">
        <v>350</v>
      </c>
      <c r="AL111" t="n">
        <v>1595.3</v>
      </c>
      <c r="AM111" t="n">
        <v>1245.3</v>
      </c>
      <c r="AN111" t="inlineStr">
        <is>
          <t>máximo desviador alcanzado en la carga monótona post-cíclica; la hoja da 'Max. Axial Strain' = 4.89 % y el desviador a esa deformación es igual al máximo: ensayo detenido antes de la falla, el valor es una cota inferior de la resistencia</t>
        </is>
      </c>
      <c r="AO111" t="inlineStr"/>
      <c r="AP111" t="n">
        <v>4.89</v>
      </c>
      <c r="AQ111" t="inlineStr"/>
      <c r="AR111" t="inlineStr"/>
      <c r="AS111" t="inlineStr"/>
      <c r="AT111" t="inlineStr"/>
      <c r="AU111" t="inlineStr"/>
      <c r="AV111" t="n">
        <v>6</v>
      </c>
      <c r="AW111" t="inlineStr"/>
      <c r="AX111" t="inlineStr"/>
      <c r="AY111" t="inlineStr"/>
      <c r="AZ111" t="inlineStr"/>
      <c r="BA111" t="inlineStr">
        <is>
          <t>10;379;41</t>
        </is>
      </c>
      <c r="BB111" t="inlineStr">
        <is>
          <t>sí</t>
        </is>
      </c>
      <c r="BC111" t="inlineStr">
        <is>
          <t>Hoja USC marcada DRAFT. Velocidad 5 %/h; 'Max. Axial Strain'=4.89 %, desviador a esa deformación=1245.3 kPa. φsec calculado (post-cíclico) = 39.8°. e después de consolidación (hoja) = no informado. e0 calculado con Gs=2.71 (Gs no informado para probetas 4"; se adoptó 2.71 de las probetas 6" USC). Bg de Tabla 7 es un valor único (celda combinada) para el conjunto de probetas cíclicas del material. Correspondencia con Tabla 3 ambigua: Tabla 3 asigna Hornfels 6"-0.50, 4"-0.40, 4"-0.33 y Mármol 6"-0.25, 6"-0.20, 4"-0.40; el anexo USC da HR 6"-0.38, 4"-0.33, 4"-0.20 y MN 4"-0.25, 6"-0.19, 6"-0.38. Granulometría = curva objetivo 0.15 m leída de Fig. 3/4 (no hay granulometría por probeta). σ'3=350 kPa: bajo confinamiento. [VERIF 2026-10-06] Preparación según hoja USC: 'Moist Tamping' con w=5.00 % (el texto p15 dice 'estado seco'). Velocidad post-cíclica 5.00 %/h (0.083 %/min). [VERIF 2026-10-06] Origen mármol 2021: Tajo Mina Fase 8 Sur (Pala 10), polígono 8-NP-4133-25-04, Acopio punto G, muestreado 23–24/11/2020 (p52–p56). Densidad seca de núcleos IDIEM del mismo lote (REG 41061) 2.74–2.75 g/cm³ (p78, p80, p82): un Gs de 2.60, 2.70 o 2.71 es físicamente incompatible (Gs ≥ 2.75).</t>
        </is>
      </c>
      <c r="BD111" t="n">
        <v>350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>
        <is>
          <t>Triaxial cíclico + monótono post-cíclico</t>
        </is>
      </c>
      <c r="EY111" t="inlineStr">
        <is>
          <t>CD: máximo desviador</t>
        </is>
      </c>
      <c r="EZ111" t="n">
        <v>350</v>
      </c>
      <c r="FA111" t="n">
        <v>1595.3</v>
      </c>
      <c r="FB111" t="n">
        <v>1245.3</v>
      </c>
      <c r="FC111" t="n">
        <v>39.80362680681669</v>
      </c>
      <c r="FD111" t="n">
        <v>574.0554156171285</v>
      </c>
      <c r="FE111" t="n">
        <v>478.3465059981581</v>
      </c>
      <c r="FF111" t="inlineStr">
        <is>
          <t>pequeña (&lt;120 mm)</t>
        </is>
      </c>
      <c r="FG111" t="n">
        <v>3.937007874015748</v>
      </c>
      <c r="FH111" t="inlineStr">
        <is>
          <t>Enrocado</t>
        </is>
      </c>
      <c r="FI111" t="inlineStr">
        <is>
          <t>textual</t>
        </is>
      </c>
      <c r="FJ111" t="n">
        <v>0</v>
      </c>
      <c r="FK111" t="inlineStr"/>
      <c r="FL111" t="inlineStr">
        <is>
          <t>detenido antes de la falla (εa 4.89 %): q es cota inferior</t>
        </is>
      </c>
      <c r="FM111" t="inlineStr">
        <is>
          <t>A</t>
        </is>
      </c>
      <c r="FN111" t="n">
        <v>0.205</v>
      </c>
      <c r="FO111" t="inlineStr"/>
      <c r="FP111" t="n">
        <v>2.71</v>
      </c>
      <c r="FQ111" t="inlineStr">
        <is>
          <t>informe o verificación</t>
        </is>
      </c>
      <c r="FR111" t="inlineStr">
        <is>
          <t>W2022-109</t>
        </is>
      </c>
      <c r="FS111" t="inlineStr">
        <is>
          <t>W2022|MN-USC-ciclico-350</t>
        </is>
      </c>
    </row>
    <row r="112">
      <c r="A112" t="inlineStr">
        <is>
          <t>W2022</t>
        </is>
      </c>
      <c r="B112" t="inlineStr">
        <is>
          <t>2022_WSP_Pruebas de enrocado 3B a Gran Escala Hornfels para Deformacion.pdf</t>
        </is>
      </c>
      <c r="C112" t="n">
        <v>2022</v>
      </c>
      <c r="D112" t="inlineStr">
        <is>
          <t>WSP Golder (Golder Associates Ltd./Perú) - Memo 20377053-001-TM-Rev1-401001; Doc 105-18028-MTE00420-MEM-430-G-0007 Rev1</t>
        </is>
      </c>
      <c r="E112" t="inlineStr">
        <is>
          <t>University of South Carolina (USC), GDS ELDyn</t>
        </is>
      </c>
      <c r="F112" t="inlineStr">
        <is>
          <t>MN-USC-ciclico-350</t>
        </is>
      </c>
      <c r="G112" t="inlineStr">
        <is>
          <t>USC MN-LCTX1 (6", CSR=0.19)</t>
        </is>
      </c>
      <c r="H112" t="inlineStr">
        <is>
          <t>Mármol Negro (MN/MR)</t>
        </is>
      </c>
      <c r="I112" t="inlineStr">
        <is>
          <t>Mármol</t>
        </is>
      </c>
      <c r="J112" t="inlineStr">
        <is>
          <t>mármol negro</t>
        </is>
      </c>
      <c r="K112" t="inlineStr"/>
      <c r="L112" t="inlineStr"/>
      <c r="M112" t="inlineStr">
        <is>
          <t>Enrocado</t>
        </is>
      </c>
      <c r="N112" t="inlineStr">
        <is>
          <t>C (rótulo 'Material tipo C' en fotos de muestras M-001/M-002 de mármol 2020, Golder 2021a)</t>
        </is>
      </c>
      <c r="O112" t="inlineStr">
        <is>
          <t>Triaxial cíclico drenado (compresión-extensión) + carga monótona drenada post-cíclica</t>
        </is>
      </c>
      <c r="P112" t="inlineStr">
        <is>
          <t>sí (B=0.95–0.97)</t>
        </is>
      </c>
      <c r="Q112" t="n">
        <v>146.5</v>
      </c>
      <c r="R112" t="n">
        <v>266.7</v>
      </c>
      <c r="S112" t="n">
        <v>25.4</v>
      </c>
      <c r="T112" t="n">
        <v>0.19</v>
      </c>
      <c r="U112" t="n">
        <v>1.73</v>
      </c>
      <c r="V112" t="n">
        <v>4.55</v>
      </c>
      <c r="W112" t="n">
        <v>6.4</v>
      </c>
      <c r="X112" t="n">
        <v>34</v>
      </c>
      <c r="Y112" t="n">
        <v>2.5</v>
      </c>
      <c r="Z112" t="n">
        <v>49</v>
      </c>
      <c r="AA112" t="inlineStr"/>
      <c r="AB112" t="inlineStr"/>
      <c r="AC112" t="inlineStr">
        <is>
          <t>Dmax 25.4 mm (1"); curva aprox. paralela (factor ≈7) a la de 1.0 m según Fig. 3; método no declarado</t>
        </is>
      </c>
      <c r="AD112" t="n">
        <v>2.71</v>
      </c>
      <c r="AE112" t="n">
        <v>22.07</v>
      </c>
      <c r="AF112" t="n">
        <v>0.205</v>
      </c>
      <c r="AG112" t="inlineStr">
        <is>
          <t>calculado</t>
        </is>
      </c>
      <c r="AH112" t="inlineStr"/>
      <c r="AI112" t="n">
        <v>5</v>
      </c>
      <c r="AJ112" t="inlineStr"/>
      <c r="AK112" t="n">
        <v>350</v>
      </c>
      <c r="AL112" t="n">
        <v>1925.9</v>
      </c>
      <c r="AM112" t="n">
        <v>1575.9</v>
      </c>
      <c r="AN112" t="inlineStr">
        <is>
          <t>máximo desviador en la carga monótona post-cíclica (hoja USC 'Max. Principal Stress Difference')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6</v>
      </c>
      <c r="AW112" t="inlineStr"/>
      <c r="AX112" t="inlineStr"/>
      <c r="AY112" t="inlineStr"/>
      <c r="AZ112" t="inlineStr"/>
      <c r="BA112" t="inlineStr">
        <is>
          <t>10;385;41</t>
        </is>
      </c>
      <c r="BB112" t="inlineStr">
        <is>
          <t>sí</t>
        </is>
      </c>
      <c r="BC112" t="inlineStr">
        <is>
          <t>Hoja USC marcada DRAFT. Velocidad 5 %/h; 'Max. Axial Strain'=20.0 %, desviador a esa deformación=1392.7 kPa (el máximo ocurrió antes; εa del máximo no informada). φsec calculado (post-cíclico) = 43.8°. e después de consolidación (hoja) = 0.21. e0 calculado con Gs=2.71 (Gs estimado USC). Bg de Tabla 7 es un valor único (celda combinada) para el conjunto de probetas cíclicas del material. Correspondencia con Tabla 3 ambigua: Tabla 3 asigna Hornfels 6"-0.50, 4"-0.40, 4"-0.33 y Mármol 6"-0.25, 6"-0.20, 4"-0.40; el anexo USC da HR 6"-0.38, 4"-0.33, 4"-0.20 y MN 4"-0.25, 6"-0.19, 6"-0.38. Granulometría = curva objetivo 0.15 m leída de Fig. 3/4 (no hay granulometría por probeta). σ'3=350 kPa: bajo confinamiento. e0 calculado (0.205) &lt; e tras consolidación (0.21): inconsistencia de Gs/γd en la hoja. [VERIF 2026-10-06] Preparación según hoja USC: 'Moist Tamping' con w=5.00 % (el texto p15 dice 'estado seco'). Velocidad post-cíclica 5.00 %/h (0.083 %/min). [VERIF 2026-10-06] MN-LCTX1 y MN-LCTX2 tienen masas idénticas (10620.87/10115.11 g). La hoja da e tras consolidación 0.21 (LCTX1) y 0.25 (LCTX2), MAYORES que e0=0.205 calculado con su propio γd=22.07 y Gs=2.71: inconsistencia interna de la hoja USC. [VERIF 2026-10-06] Origen mármol 2021: Tajo Mina Fase 8 Sur (Pala 10), polígono 8-NP-4133-25-04, Acopio punto G, muestreado 23–24/11/2020 (p52–p56). Densidad seca de núcleos IDIEM del mismo lote (REG 41061) 2.74–2.75 g/cm³ (p78, p80, p82): un Gs de 2.60, 2.70 o 2.71 es físicamente incompatible (Gs ≥ 2.75).</t>
        </is>
      </c>
      <c r="BD112" t="n">
        <v>350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>
        <is>
          <t>Triaxial cíclico + monótono post-cíclico</t>
        </is>
      </c>
      <c r="EY112" t="inlineStr">
        <is>
          <t>CD: máximo desviador</t>
        </is>
      </c>
      <c r="EZ112" t="n">
        <v>350</v>
      </c>
      <c r="FA112" t="n">
        <v>1925.9</v>
      </c>
      <c r="FB112" t="n">
        <v>1575.9</v>
      </c>
      <c r="FC112" t="n">
        <v>43.82272343199886</v>
      </c>
      <c r="FD112" t="n">
        <v>592.3502790105014</v>
      </c>
      <c r="FE112" t="n">
        <v>568.4946323019957</v>
      </c>
      <c r="FF112" t="inlineStr">
        <is>
          <t>6 in (≈150 mm)</t>
        </is>
      </c>
      <c r="FG112" t="n">
        <v>5.767716535433071</v>
      </c>
      <c r="FH112" t="inlineStr">
        <is>
          <t>Enrocado</t>
        </is>
      </c>
      <c r="FI112" t="inlineStr">
        <is>
          <t>textual</t>
        </is>
      </c>
      <c r="FJ112" t="n">
        <v>0</v>
      </c>
      <c r="FK112" t="inlineStr"/>
      <c r="FL112" t="inlineStr"/>
      <c r="FM112" t="inlineStr">
        <is>
          <t>A</t>
        </is>
      </c>
      <c r="FN112" t="n">
        <v>0.205</v>
      </c>
      <c r="FO112" t="inlineStr"/>
      <c r="FP112" t="n">
        <v>2.71</v>
      </c>
      <c r="FQ112" t="inlineStr">
        <is>
          <t>informe o verificación</t>
        </is>
      </c>
      <c r="FR112" t="inlineStr">
        <is>
          <t>W2022-110</t>
        </is>
      </c>
      <c r="FS112" t="inlineStr">
        <is>
          <t>W2022|MN-USC-ciclico-350</t>
        </is>
      </c>
    </row>
    <row r="113">
      <c r="A113" t="inlineStr">
        <is>
          <t>W2022</t>
        </is>
      </c>
      <c r="B113" t="inlineStr">
        <is>
          <t>2022_WSP_Pruebas de enrocado 3B a Gran Escala Hornfels para Deformacion.pdf</t>
        </is>
      </c>
      <c r="C113" t="n">
        <v>2022</v>
      </c>
      <c r="D113" t="inlineStr">
        <is>
          <t>WSP Golder (Golder Associates Ltd./Perú) - Memo 20377053-001-TM-Rev1-401001; Doc 105-18028-MTE00420-MEM-430-G-0007 Rev1</t>
        </is>
      </c>
      <c r="E113" t="inlineStr">
        <is>
          <t>University of South Carolina (USC), GDS ELDyn</t>
        </is>
      </c>
      <c r="F113" t="inlineStr">
        <is>
          <t>MN-USC-ciclico-350</t>
        </is>
      </c>
      <c r="G113" t="inlineStr">
        <is>
          <t>USC MN-LCTX2 (6", CSR=0.38)</t>
        </is>
      </c>
      <c r="H113" t="inlineStr">
        <is>
          <t>Mármol Negro (MN/MR)</t>
        </is>
      </c>
      <c r="I113" t="inlineStr">
        <is>
          <t>Mármol</t>
        </is>
      </c>
      <c r="J113" t="inlineStr">
        <is>
          <t>mármol negro</t>
        </is>
      </c>
      <c r="K113" t="inlineStr"/>
      <c r="L113" t="inlineStr"/>
      <c r="M113" t="inlineStr">
        <is>
          <t>Enrocado</t>
        </is>
      </c>
      <c r="N113" t="inlineStr">
        <is>
          <t>C (rótulo 'Material tipo C' en fotos de muestras M-001/M-002 de mármol 2020, Golder 2021a)</t>
        </is>
      </c>
      <c r="O113" t="inlineStr">
        <is>
          <t>Triaxial cíclico drenado (compresión-extensión) + carga monótona drenada post-cíclica</t>
        </is>
      </c>
      <c r="P113" t="inlineStr">
        <is>
          <t>sí (B=0.95–0.97)</t>
        </is>
      </c>
      <c r="Q113" t="n">
        <v>146.5</v>
      </c>
      <c r="R113" t="n">
        <v>266.7</v>
      </c>
      <c r="S113" t="n">
        <v>25.4</v>
      </c>
      <c r="T113" t="n">
        <v>0.19</v>
      </c>
      <c r="U113" t="n">
        <v>1.73</v>
      </c>
      <c r="V113" t="n">
        <v>4.55</v>
      </c>
      <c r="W113" t="n">
        <v>6.4</v>
      </c>
      <c r="X113" t="n">
        <v>34</v>
      </c>
      <c r="Y113" t="n">
        <v>2.5</v>
      </c>
      <c r="Z113" t="n">
        <v>49</v>
      </c>
      <c r="AA113" t="inlineStr"/>
      <c r="AB113" t="inlineStr"/>
      <c r="AC113" t="inlineStr">
        <is>
          <t>Dmax 25.4 mm (1"); curva aprox. paralela (factor ≈7) a la de 1.0 m según Fig. 3; método no declarado</t>
        </is>
      </c>
      <c r="AD113" t="n">
        <v>2.71</v>
      </c>
      <c r="AE113" t="n">
        <v>22.07</v>
      </c>
      <c r="AF113" t="n">
        <v>0.205</v>
      </c>
      <c r="AG113" t="inlineStr">
        <is>
          <t>calculado</t>
        </is>
      </c>
      <c r="AH113" t="inlineStr"/>
      <c r="AI113" t="n">
        <v>5</v>
      </c>
      <c r="AJ113" t="inlineStr"/>
      <c r="AK113" t="n">
        <v>350</v>
      </c>
      <c r="AL113" t="n">
        <v>1900.5</v>
      </c>
      <c r="AM113" t="n">
        <v>1550.5</v>
      </c>
      <c r="AN113" t="inlineStr">
        <is>
          <t>máximo desviador en la carga monótona post-cíclica (hoja USC 'Max. Principal Stress Difference')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6</v>
      </c>
      <c r="AW113" t="inlineStr"/>
      <c r="AX113" t="inlineStr"/>
      <c r="AY113" t="inlineStr"/>
      <c r="AZ113" t="inlineStr"/>
      <c r="BA113" t="inlineStr">
        <is>
          <t>10;391;41</t>
        </is>
      </c>
      <c r="BB113" t="inlineStr">
        <is>
          <t>sí</t>
        </is>
      </c>
      <c r="BC113" t="inlineStr">
        <is>
          <t>Hoja USC marcada DRAFT. Velocidad 5 %/h; 'Max. Axial Strain'=20.0 %, desviador a esa deformación=1414.80 kPa (el máximo ocurrió antes; εa del máximo no informada). φsec calculado (post-cíclico) = 43.5°. e después de consolidación (hoja) = 0.25. e0 calculado con Gs=2.71 (Gs estimado USC). Bg de Tabla 7 es un valor único (celda combinada) para el conjunto de probetas cíclicas del material. Correspondencia con Tabla 3 ambigua: Tabla 3 asigna Hornfels 6"-0.50, 4"-0.40, 4"-0.33 y Mármol 6"-0.25, 6"-0.20, 4"-0.40; el anexo USC da HR 6"-0.38, 4"-0.33, 4"-0.20 y MN 4"-0.25, 6"-0.19, 6"-0.38. Granulometría = curva objetivo 0.15 m leída de Fig. 3/4 (no hay granulometría por probeta). σ'3=350 kPa: bajo confinamiento. [VERIF 2026-10-06] Preparación según hoja USC: 'Moist Tamping' con w=5.00 % (el texto p15 dice 'estado seco'). Velocidad post-cíclica 5.00 %/h (0.083 %/min). [VERIF 2026-10-06] MN-LCTX1 y MN-LCTX2 tienen masas idénticas (10620.87/10115.11 g). La hoja da e tras consolidación 0.21 (LCTX1) y 0.25 (LCTX2), MAYORES que e0=0.205 calculado con su propio γd=22.07 y Gs=2.71: inconsistencia interna de la hoja USC. [VERIF 2026-10-06] Origen mármol 2021: Tajo Mina Fase 8 Sur (Pala 10), polígono 8-NP-4133-25-04, Acopio punto G, muestreado 23–24/11/2020 (p52–p56). Densidad seca de núcleos IDIEM del mismo lote (REG 41061) 2.74–2.75 g/cm³ (p78, p80, p82): un Gs de 2.60, 2.70 o 2.71 es físicamente incompatible (Gs ≥ 2.75).</t>
        </is>
      </c>
      <c r="BD113" t="n">
        <v>350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>
        <is>
          <t>Triaxial cíclico + monótono post-cíclico</t>
        </is>
      </c>
      <c r="EY113" t="inlineStr">
        <is>
          <t>CD: máximo desviador</t>
        </is>
      </c>
      <c r="EZ113" t="n">
        <v>350</v>
      </c>
      <c r="FA113" t="n">
        <v>1900.5</v>
      </c>
      <c r="FB113" t="n">
        <v>1550.5</v>
      </c>
      <c r="FC113" t="n">
        <v>43.54768277440972</v>
      </c>
      <c r="FD113" t="n">
        <v>591.1353032659409</v>
      </c>
      <c r="FE113" t="n">
        <v>561.9021740772001</v>
      </c>
      <c r="FF113" t="inlineStr">
        <is>
          <t>6 in (≈150 mm)</t>
        </is>
      </c>
      <c r="FG113" t="n">
        <v>5.767716535433071</v>
      </c>
      <c r="FH113" t="inlineStr">
        <is>
          <t>Enrocado</t>
        </is>
      </c>
      <c r="FI113" t="inlineStr">
        <is>
          <t>textual</t>
        </is>
      </c>
      <c r="FJ113" t="n">
        <v>0</v>
      </c>
      <c r="FK113" t="inlineStr"/>
      <c r="FL113" t="inlineStr"/>
      <c r="FM113" t="inlineStr">
        <is>
          <t>A</t>
        </is>
      </c>
      <c r="FN113" t="n">
        <v>0.205</v>
      </c>
      <c r="FO113" t="inlineStr"/>
      <c r="FP113" t="n">
        <v>2.71</v>
      </c>
      <c r="FQ113" t="inlineStr">
        <is>
          <t>informe o verificación</t>
        </is>
      </c>
      <c r="FR113" t="inlineStr">
        <is>
          <t>W2022-111</t>
        </is>
      </c>
      <c r="FS113" t="inlineStr">
        <is>
          <t>W2022|MN-USC-ciclico-350</t>
        </is>
      </c>
    </row>
    <row r="114">
      <c r="A114" t="inlineStr">
        <is>
          <t>W2022</t>
        </is>
      </c>
      <c r="B114" t="inlineStr">
        <is>
          <t>2022_WSP_Pruebas de enrocado 3B a Gran Escala Hornfels para Deformacion.pdf</t>
        </is>
      </c>
      <c r="C114" t="n">
        <v>2022</v>
      </c>
      <c r="D114" t="inlineStr">
        <is>
          <t>WSP Golder (Golder Associates Ltd./Perú) - Memo 20377053-001-TM-Rev1-401001; Doc 105-18028-MTE00420-MEM-430-G-0007 Rev1</t>
        </is>
      </c>
      <c r="E114" t="inlineStr">
        <is>
          <t>Golder Associates Ltd., Burnaby (Lab ID B21-132)</t>
        </is>
      </c>
      <c r="F114" t="inlineStr">
        <is>
          <t>MN-0.15m-Golder</t>
        </is>
      </c>
      <c r="G114" t="inlineStr">
        <is>
          <t>Tabla 3 Mármol Negro Probeta 6 = CID 6" MR (Golder B21-132)</t>
        </is>
      </c>
      <c r="H114" t="inlineStr">
        <is>
          <t>Mármol Negro (MN/MR)</t>
        </is>
      </c>
      <c r="I114" t="inlineStr">
        <is>
          <t>Mármol</t>
        </is>
      </c>
      <c r="J114" t="inlineStr">
        <is>
          <t>mármol negro</t>
        </is>
      </c>
      <c r="K114" t="inlineStr"/>
      <c r="L114" t="inlineStr"/>
      <c r="M114" t="inlineStr">
        <is>
          <t>Enrocado</t>
        </is>
      </c>
      <c r="N114" t="inlineStr">
        <is>
          <t>C (rótulo 'Material tipo C' en fotos de muestras M-001/M-002 de mármol 2020, Golder 2021a)</t>
        </is>
      </c>
      <c r="O114" t="inlineStr">
        <is>
          <t>CID carga-descarga</t>
        </is>
      </c>
      <c r="P114" t="inlineStr">
        <is>
          <t>sí (B=0.99)</t>
        </is>
      </c>
      <c r="Q114" t="n">
        <v>151.9</v>
      </c>
      <c r="R114" t="n">
        <v>330</v>
      </c>
      <c r="S114" t="n">
        <v>25.4</v>
      </c>
      <c r="T114" t="n">
        <v>0.19</v>
      </c>
      <c r="U114" t="n">
        <v>1.73</v>
      </c>
      <c r="V114" t="n">
        <v>4.55</v>
      </c>
      <c r="W114" t="n">
        <v>6.4</v>
      </c>
      <c r="X114" t="n">
        <v>34</v>
      </c>
      <c r="Y114" t="n">
        <v>2.5</v>
      </c>
      <c r="Z114" t="n">
        <v>49</v>
      </c>
      <c r="AA114" t="inlineStr"/>
      <c r="AB114" t="inlineStr"/>
      <c r="AC114" t="inlineStr">
        <is>
          <t>Dmax 25.4 mm (1"); curva aprox. paralela (factor ≈7) a la de 1.0 m según Fig. 3; método no declarado</t>
        </is>
      </c>
      <c r="AD114" t="n">
        <v>2.7</v>
      </c>
      <c r="AE114" t="n">
        <v>20.37</v>
      </c>
      <c r="AF114" t="n">
        <v>0.3</v>
      </c>
      <c r="AG114" t="inlineStr">
        <is>
          <t>informe</t>
        </is>
      </c>
      <c r="AH114" t="inlineStr"/>
      <c r="AI114" t="n">
        <v>3.5</v>
      </c>
      <c r="AJ114" t="inlineStr"/>
      <c r="AK114" t="n">
        <v>982</v>
      </c>
      <c r="AL114" t="n">
        <v>4805</v>
      </c>
      <c r="AM114" t="n">
        <v>3823</v>
      </c>
      <c r="AN114" t="inlineStr">
        <is>
          <t>máximo desviador (hoja Golder)</t>
        </is>
      </c>
      <c r="AO114" t="inlineStr"/>
      <c r="AP114" t="n">
        <v>18.51</v>
      </c>
      <c r="AQ114" t="n">
        <v>-6.51</v>
      </c>
      <c r="AR114" t="inlineStr"/>
      <c r="AS114" t="inlineStr"/>
      <c r="AT114" t="inlineStr"/>
      <c r="AU114" t="inlineStr"/>
      <c r="AV114" t="n">
        <v>30</v>
      </c>
      <c r="AW114" t="inlineStr"/>
      <c r="AX114" t="inlineStr"/>
      <c r="AY114" t="inlineStr"/>
      <c r="AZ114" t="inlineStr"/>
      <c r="BA114" t="inlineStr">
        <is>
          <t>10;357;355;7;41</t>
        </is>
      </c>
      <c r="BB114" t="inlineStr">
        <is>
          <t>sí</t>
        </is>
      </c>
      <c r="BC114" t="inlineStr">
        <is>
          <t>σ'3c consolidación 976 kPa; tras consolidación γd 21.50 kN/m³, ec 0.23. φsec calculado = 41.3°; el texto (p24) dice 45° para esta probeta (inconsistente). Errata en hoja: w post 27.4 % y saturación 319 %. Convención de εv como en Hornfels 6". Mármol de la campaña 2021. UCS mármol 2021: 42–44 MPa (Tabla 2) vs 66.9–103.5 MPa (IDIEM 2022, REG 41061, p78-82). ρmáx/ρmín índice MR (p86): 2297 (seco)/2398 (húmedo)/1905 kg/m³. Granulometría leída de Fig. 4 (p7). [VERIF 2026-10-06] Origen mármol 2021: Tajo Mina Fase 8 Sur (Pala 10), polígono 8-NP-4133-25-04, Acopio punto G, muestreado 23–24/11/2020 (p52–p56). Densidad seca de núcleos IDIEM del mismo lote (REG 41061) 2.74–2.75 g/cm³ (p78, p80, p82): un Gs de 2.60, 2.70 o 2.71 es físicamente incompatible (Gs ≥ 2.75). [VERIF 2026-10-06] Velocidad 1.00 %/h. σpwp 1104 kPa; σ'3c 976 kPa. La hoja trae w post 27.4 % y Sat 319 % (erratas). Curva p355 coherente con 3823 kPa a 18.51 %.</t>
        </is>
      </c>
      <c r="BD114" t="n">
        <v>982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>
        <is>
          <t>Triaxial CD carga-descarga</t>
        </is>
      </c>
      <c r="EY114" t="inlineStr">
        <is>
          <t>CD: máximo desviador</t>
        </is>
      </c>
      <c r="EZ114" t="n">
        <v>982</v>
      </c>
      <c r="FA114" t="n">
        <v>4805</v>
      </c>
      <c r="FB114" t="n">
        <v>3823</v>
      </c>
      <c r="FC114" t="n">
        <v>41.34706995488089</v>
      </c>
      <c r="FD114" t="n">
        <v>1630.727492655953</v>
      </c>
      <c r="FE114" t="n">
        <v>1435.004475496864</v>
      </c>
      <c r="FF114" t="inlineStr">
        <is>
          <t>6 in (≈150 mm)</t>
        </is>
      </c>
      <c r="FG114" t="n">
        <v>5.980314960629922</v>
      </c>
      <c r="FH114" t="inlineStr">
        <is>
          <t>Enrocado</t>
        </is>
      </c>
      <c r="FI114" t="inlineStr">
        <is>
          <t>textual</t>
        </is>
      </c>
      <c r="FJ114" t="n">
        <v>0</v>
      </c>
      <c r="FK114" t="inlineStr"/>
      <c r="FL114" t="inlineStr"/>
      <c r="FM114" t="inlineStr">
        <is>
          <t>A</t>
        </is>
      </c>
      <c r="FN114" t="n">
        <v>0.3</v>
      </c>
      <c r="FO114" t="inlineStr"/>
      <c r="FP114" t="n">
        <v>2.7</v>
      </c>
      <c r="FQ114" t="inlineStr">
        <is>
          <t>informe o verificación</t>
        </is>
      </c>
      <c r="FR114" t="inlineStr">
        <is>
          <t>W2022-112</t>
        </is>
      </c>
      <c r="FS114" t="inlineStr">
        <is>
          <t>W2022|MN-0.15m-Golder</t>
        </is>
      </c>
    </row>
    <row r="115">
      <c r="A115" t="inlineStr">
        <is>
          <t>W2022</t>
        </is>
      </c>
      <c r="B115" t="inlineStr">
        <is>
          <t>2022_WSP_Pruebas de enrocado 3B a Gran Escala Hornfels para Deformacion.pdf</t>
        </is>
      </c>
      <c r="C115" t="n">
        <v>2022</v>
      </c>
      <c r="D115" t="inlineStr">
        <is>
          <t>WSP Golder (Golder Associates Ltd./Perú) - Memo 20377053-001-TM-Rev1-401001; Doc 105-18028-MTE00420-MEM-430-G-0007 Rev1</t>
        </is>
      </c>
      <c r="E115" t="inlineStr">
        <is>
          <t>IDIEM (2011), Informe 708.397-A</t>
        </is>
      </c>
      <c r="F115" t="inlineStr">
        <is>
          <t>MN-1.0m-IDIEM-2011</t>
        </is>
      </c>
      <c r="G115" t="inlineStr">
        <is>
          <t>Tabla 3 Mármol Negro Probeta 1 = IDIEM 708.397-A Probeta 1 (σ'c = 5 kg/cm²) ESTATICO</t>
        </is>
      </c>
      <c r="H115" t="inlineStr">
        <is>
          <t>Mármol Negro (MN/MR)</t>
        </is>
      </c>
      <c r="I115" t="inlineStr">
        <is>
          <t>Mármol</t>
        </is>
      </c>
      <c r="J115" t="inlineStr">
        <is>
          <t>mármol negro</t>
        </is>
      </c>
      <c r="K115" t="inlineStr"/>
      <c r="L115" t="inlineStr"/>
      <c r="M115" t="inlineStr">
        <is>
          <t>Enrocado</t>
        </is>
      </c>
      <c r="N115" t="inlineStr">
        <is>
          <t>C ('Type C rockfill', Golder 2012 p1)</t>
        </is>
      </c>
      <c r="O115" t="inlineStr">
        <is>
          <t>CID monótono</t>
        </is>
      </c>
      <c r="P115" t="inlineStr">
        <is>
          <t>sí (CO2 24 h + agua desaireada; B&gt;0.95; contrapresión 2 kg/cm²)</t>
        </is>
      </c>
      <c r="Q115" t="n">
        <v>1000</v>
      </c>
      <c r="R115" t="n">
        <v>1800</v>
      </c>
      <c r="S115" t="n">
        <v>177.8</v>
      </c>
      <c r="T115" t="n">
        <v>1.39</v>
      </c>
      <c r="U115" t="n">
        <v>17.6</v>
      </c>
      <c r="V115" t="n">
        <v>39.5</v>
      </c>
      <c r="W115" t="n">
        <v>51.9</v>
      </c>
      <c r="X115" t="n">
        <v>34.4</v>
      </c>
      <c r="Y115" t="n">
        <v>4.1</v>
      </c>
      <c r="Z115" t="n">
        <v>85.3</v>
      </c>
      <c r="AA115" t="n">
        <v>9.800000000000001</v>
      </c>
      <c r="AB115" t="n">
        <v>4.9</v>
      </c>
      <c r="AC115" t="inlineStr">
        <is>
          <t>Truncado (scalping) a 178 mm; Dmax de terreno 558.8 mm (macro-granulometría) — Golder 2012 p2</t>
        </is>
      </c>
      <c r="AD115" t="n">
        <v>2.7</v>
      </c>
      <c r="AE115" t="n">
        <v>20.6</v>
      </c>
      <c r="AF115" t="n">
        <v>0.286</v>
      </c>
      <c r="AG115" t="inlineStr">
        <is>
          <t>informe (Golder 2012 Tabla 3, p7; Gs 2.70 supuesto)</t>
        </is>
      </c>
      <c r="AH115" t="inlineStr"/>
      <c r="AI115" t="n">
        <v>0.09</v>
      </c>
      <c r="AJ115" t="n">
        <v>97.3</v>
      </c>
      <c r="AK115" t="n">
        <v>490.3</v>
      </c>
      <c r="AL115" t="n">
        <v>2271.2</v>
      </c>
      <c r="AM115" t="n">
        <v>1780.9</v>
      </c>
      <c r="AN115" t="inlineStr">
        <is>
          <t>máximo desviador registrado (ensayo hasta εa≈20 %)</t>
        </is>
      </c>
      <c r="AO115" t="inlineStr"/>
      <c r="AP115" t="n">
        <v>17.27</v>
      </c>
      <c r="AQ115" t="n">
        <v>-5.65</v>
      </c>
      <c r="AR115" t="inlineStr"/>
      <c r="AS115" t="inlineStr"/>
      <c r="AT115" t="inlineStr"/>
      <c r="AU115" t="inlineStr"/>
      <c r="AV115" t="n">
        <v>13.4</v>
      </c>
      <c r="AW115" t="inlineStr"/>
      <c r="AX115" t="n">
        <v>8.199999999999999</v>
      </c>
      <c r="AY115" t="inlineStr"/>
      <c r="AZ115" t="inlineStr"/>
      <c r="BA115" t="inlineStr">
        <is>
          <t>10;252;66-67;41</t>
        </is>
      </c>
      <c r="BB115" t="inlineStr">
        <is>
          <t>sí</t>
        </is>
      </c>
      <c r="BC115" t="inlineStr">
        <is>
          <t>DUPLICADO: ensayo de 2011 ya reportado en Golder (2012) — no sumar dos veces. t_max=9.08 kg/cm²; φsec calculado = 40.2° (informe: 40° a 0.5 MPa → 36° a 2.0 MPa, p24). ΔV consolidación 34670 cm³ (≈2.5 %). Gs=2.70 'peso específico integral' de la hoja del odómetro 2011 (p295). UCS mármol 2011: 53–136 MPa (Tabla 2). Granulometría inicial 'Muestra Inicial' 2011 (p66); finos post = columna de la probeta (p66-67). εv negativa = compresión. [VERIF 2026-10-06] DUPLICADO de Golder_2012_marmol.csv (registro primario: Golder 2012 Doc. 446 + IDIEM 708.397-A). Tablas q–εa–εv idénticas fila a fila entre ambos PDF (comparación automática, 16/346/402/54/504 filas). No contar dos veces. Origen: Fase 5, polígono 12022607, cota 4478 (Golder 2012 p1), NO Acopio G.</t>
        </is>
      </c>
      <c r="BD115" t="n">
        <v>490.3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>
        <is>
          <t>Triaxial CD</t>
        </is>
      </c>
      <c r="EY115" t="inlineStr">
        <is>
          <t>CD: máximo desviador</t>
        </is>
      </c>
      <c r="EZ115" t="n">
        <v>490.3</v>
      </c>
      <c r="FA115" t="n">
        <v>2271.2</v>
      </c>
      <c r="FB115" t="n">
        <v>1780.9</v>
      </c>
      <c r="FC115" t="n">
        <v>40.15841305514022</v>
      </c>
      <c r="FD115" t="n">
        <v>806.4960057939526</v>
      </c>
      <c r="FE115" t="n">
        <v>680.5391631922448</v>
      </c>
      <c r="FF115" t="inlineStr">
        <is>
          <t>1.0 m</t>
        </is>
      </c>
      <c r="FG115" t="n">
        <v>5.624296962879639</v>
      </c>
      <c r="FH115" t="inlineStr">
        <is>
          <t>Enrocado</t>
        </is>
      </c>
      <c r="FI115" t="inlineStr">
        <is>
          <t>textual</t>
        </is>
      </c>
      <c r="FJ115" t="n">
        <v>0</v>
      </c>
      <c r="FK115" t="inlineStr">
        <is>
          <t>G2012 (registro primario)</t>
        </is>
      </c>
      <c r="FL115" t="inlineStr">
        <is>
          <t>duplicado (usar registro primario G2012)</t>
        </is>
      </c>
      <c r="FM115" t="inlineStr">
        <is>
          <t>A</t>
        </is>
      </c>
      <c r="FN115" t="n">
        <v>0.3121962962962963</v>
      </c>
      <c r="FO115" t="inlineStr">
        <is>
          <t>recalculado con Gs adoptado</t>
        </is>
      </c>
      <c r="FP115" t="n">
        <v>2.755</v>
      </c>
      <c r="FQ115" t="inlineStr">
        <is>
          <t>Gs de sólidos del mármol negro (Golder 2010, ASTM D854); 2.70 del informe era supuesto</t>
        </is>
      </c>
      <c r="FR115" t="inlineStr">
        <is>
          <t>W2022-113</t>
        </is>
      </c>
      <c r="FS115" t="inlineStr">
        <is>
          <t>W2022|MN-1.0m-IDIEM-2011</t>
        </is>
      </c>
    </row>
    <row r="116">
      <c r="A116" t="inlineStr">
        <is>
          <t>W2022</t>
        </is>
      </c>
      <c r="B116" t="inlineStr">
        <is>
          <t>2022_WSP_Pruebas de enrocado 3B a Gran Escala Hornfels para Deformacion.pdf</t>
        </is>
      </c>
      <c r="C116" t="n">
        <v>2022</v>
      </c>
      <c r="D116" t="inlineStr">
        <is>
          <t>WSP Golder (Golder Associates Ltd./Perú) - Memo 20377053-001-TM-Rev1-401001; Doc 105-18028-MTE00420-MEM-430-G-0007 Rev1</t>
        </is>
      </c>
      <c r="E116" t="inlineStr">
        <is>
          <t>IDIEM (2011), Informe 708.397-A</t>
        </is>
      </c>
      <c r="F116" t="inlineStr">
        <is>
          <t>MN-1.0m-IDIEM-2011</t>
        </is>
      </c>
      <c r="G116" t="inlineStr">
        <is>
          <t>Tabla 3 Mármol Negro Probeta 3 = IDIEM 708.397-A Probeta 2 (σ'c = 5 kg/cm²) CICLICO</t>
        </is>
      </c>
      <c r="H116" t="inlineStr">
        <is>
          <t>Mármol Negro (MN/MR)</t>
        </is>
      </c>
      <c r="I116" t="inlineStr">
        <is>
          <t>Mármol</t>
        </is>
      </c>
      <c r="J116" t="inlineStr">
        <is>
          <t>mármol negro</t>
        </is>
      </c>
      <c r="K116" t="inlineStr"/>
      <c r="L116" t="inlineStr"/>
      <c r="M116" t="inlineStr">
        <is>
          <t>Enrocado</t>
        </is>
      </c>
      <c r="N116" t="inlineStr">
        <is>
          <t>C ('Type C rockfill', Golder 2012 p1)</t>
        </is>
      </c>
      <c r="O116" t="inlineStr">
        <is>
          <t>CID carga-descarga</t>
        </is>
      </c>
      <c r="P116" t="inlineStr">
        <is>
          <t>sí (CO2 24 h + agua desaireada; B&gt;0.95; contrapresión 2 kg/cm²)</t>
        </is>
      </c>
      <c r="Q116" t="n">
        <v>1000</v>
      </c>
      <c r="R116" t="n">
        <v>1800</v>
      </c>
      <c r="S116" t="n">
        <v>177.8</v>
      </c>
      <c r="T116" t="n">
        <v>1.39</v>
      </c>
      <c r="U116" t="n">
        <v>17.6</v>
      </c>
      <c r="V116" t="n">
        <v>39.5</v>
      </c>
      <c r="W116" t="n">
        <v>51.9</v>
      </c>
      <c r="X116" t="n">
        <v>34.4</v>
      </c>
      <c r="Y116" t="n">
        <v>4.1</v>
      </c>
      <c r="Z116" t="n">
        <v>85.3</v>
      </c>
      <c r="AA116" t="n">
        <v>9.800000000000001</v>
      </c>
      <c r="AB116" t="n">
        <v>4.9</v>
      </c>
      <c r="AC116" t="inlineStr">
        <is>
          <t>Truncado (scalping) a 178 mm; Dmax de terreno 558.8 mm (macro-granulometría) — Golder 2012 p2</t>
        </is>
      </c>
      <c r="AD116" t="n">
        <v>2.7</v>
      </c>
      <c r="AE116" t="n">
        <v>20.6</v>
      </c>
      <c r="AF116" t="n">
        <v>0.286</v>
      </c>
      <c r="AG116" t="inlineStr">
        <is>
          <t>informe (Golder 2012 Tabla 3, p7; Gs 2.70 supuesto)</t>
        </is>
      </c>
      <c r="AH116" t="inlineStr"/>
      <c r="AI116" t="n">
        <v>0.09</v>
      </c>
      <c r="AJ116" t="n">
        <v>97.3</v>
      </c>
      <c r="AK116" t="n">
        <v>490.3</v>
      </c>
      <c r="AL116" t="n">
        <v>2192.8</v>
      </c>
      <c r="AM116" t="n">
        <v>1702.4</v>
      </c>
      <c r="AN116" t="inlineStr">
        <is>
          <t>máximo desviador registrado (ensayo hasta εa≈20 %)</t>
        </is>
      </c>
      <c r="AO116" t="inlineStr"/>
      <c r="AP116" t="n">
        <v>18.26</v>
      </c>
      <c r="AQ116" t="n">
        <v>-6.95</v>
      </c>
      <c r="AR116" t="inlineStr"/>
      <c r="AS116" t="inlineStr"/>
      <c r="AT116" t="inlineStr"/>
      <c r="AU116" t="inlineStr"/>
      <c r="AV116" t="n">
        <v>14.3</v>
      </c>
      <c r="AW116" t="inlineStr"/>
      <c r="AX116" t="n">
        <v>8</v>
      </c>
      <c r="AY116" t="inlineStr"/>
      <c r="AZ116" t="inlineStr"/>
      <c r="BA116" t="inlineStr">
        <is>
          <t>10;254-263;66-67;41</t>
        </is>
      </c>
      <c r="BB116" t="inlineStr">
        <is>
          <t>sí</t>
        </is>
      </c>
      <c r="BC116" t="inlineStr">
        <is>
          <t>DUPLICADO: ensayo de 2011 ya reportado en Golder (2012) — no sumar dos veces. t_max=8.68 kg/cm²; φsec calculado = 39.4° (informe: 40° a 0.5 MPa → 36° a 2.0 MPa, p24). ΔV consolidación 41604 cm³ (≈2.9 %). Gs=2.70 'peso específico integral' de la hoja del odómetro 2011 (p295). UCS mármol 2011: 53–136 MPa (Tabla 2). Granulometría inicial 'Muestra Inicial' 2011 (p66); finos post = columna de la probeta (p66-67). εv negativa = compresión. [VERIF 2026-10-06] DUPLICADO de Golder_2012_marmol.csv (registro primario: Golder 2012 Doc. 446 + IDIEM 708.397-A). Tablas q–εa–εv idénticas fila a fila entre ambos PDF (comparación automática, 16/346/402/54/504 filas). No contar dos veces. Origen: Fase 5, polígono 12022607, cota 4478 (Golder 2012 p1), NO Acopio G.</t>
        </is>
      </c>
      <c r="BD116" t="n">
        <v>490.3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>
        <is>
          <t>Triaxial CD carga-descarga</t>
        </is>
      </c>
      <c r="EY116" t="inlineStr">
        <is>
          <t>CD: máximo desviador</t>
        </is>
      </c>
      <c r="EZ116" t="n">
        <v>490.3</v>
      </c>
      <c r="FA116" t="n">
        <v>2192.8</v>
      </c>
      <c r="FB116" t="n">
        <v>1702.5</v>
      </c>
      <c r="FC116" t="n">
        <v>39.3849285151101</v>
      </c>
      <c r="FD116" t="n">
        <v>801.4086988930716</v>
      </c>
      <c r="FE116" t="n">
        <v>657.9315597678184</v>
      </c>
      <c r="FF116" t="inlineStr">
        <is>
          <t>1.0 m</t>
        </is>
      </c>
      <c r="FG116" t="n">
        <v>5.624296962879639</v>
      </c>
      <c r="FH116" t="inlineStr">
        <is>
          <t>Enrocado</t>
        </is>
      </c>
      <c r="FI116" t="inlineStr">
        <is>
          <t>textual</t>
        </is>
      </c>
      <c r="FJ116" t="n">
        <v>0</v>
      </c>
      <c r="FK116" t="inlineStr">
        <is>
          <t>G2012 (registro primario)</t>
        </is>
      </c>
      <c r="FL116" t="inlineStr">
        <is>
          <t>duplicado (usar registro primario G2012)</t>
        </is>
      </c>
      <c r="FM116" t="inlineStr">
        <is>
          <t>A</t>
        </is>
      </c>
      <c r="FN116" t="n">
        <v>0.3121962962962963</v>
      </c>
      <c r="FO116" t="inlineStr">
        <is>
          <t>recalculado con Gs adoptado</t>
        </is>
      </c>
      <c r="FP116" t="n">
        <v>2.755</v>
      </c>
      <c r="FQ116" t="inlineStr">
        <is>
          <t>Gs de sólidos del mármol negro (Golder 2010, ASTM D854); 2.70 del informe era supuesto</t>
        </is>
      </c>
      <c r="FR116" t="inlineStr">
        <is>
          <t>W2022-114</t>
        </is>
      </c>
      <c r="FS116" t="inlineStr">
        <is>
          <t>W2022|MN-1.0m-IDIEM-2011</t>
        </is>
      </c>
    </row>
    <row r="117">
      <c r="A117" t="inlineStr">
        <is>
          <t>W2022</t>
        </is>
      </c>
      <c r="B117" t="inlineStr">
        <is>
          <t>2022_WSP_Pruebas de enrocado 3B a Gran Escala Hornfels para Deformacion.pdf</t>
        </is>
      </c>
      <c r="C117" t="n">
        <v>2022</v>
      </c>
      <c r="D117" t="inlineStr">
        <is>
          <t>WSP Golder (Golder Associates Ltd./Perú) - Memo 20377053-001-TM-Rev1-401001; Doc 105-18028-MTE00420-MEM-430-G-0007 Rev1</t>
        </is>
      </c>
      <c r="E117" t="inlineStr">
        <is>
          <t>IDIEM (2011), Informe 708.397-A</t>
        </is>
      </c>
      <c r="F117" t="inlineStr">
        <is>
          <t>MN-1.0m-IDIEM-2011</t>
        </is>
      </c>
      <c r="G117" t="inlineStr">
        <is>
          <t>Tabla 3 Mármol Negro Probeta 4 = IDIEM 708.397-A Probeta 3 (σ'c = 10 kg/cm²) CICLICO</t>
        </is>
      </c>
      <c r="H117" t="inlineStr">
        <is>
          <t>Mármol Negro (MN/MR)</t>
        </is>
      </c>
      <c r="I117" t="inlineStr">
        <is>
          <t>Mármol</t>
        </is>
      </c>
      <c r="J117" t="inlineStr">
        <is>
          <t>mármol negro</t>
        </is>
      </c>
      <c r="K117" t="inlineStr"/>
      <c r="L117" t="inlineStr"/>
      <c r="M117" t="inlineStr">
        <is>
          <t>Enrocado</t>
        </is>
      </c>
      <c r="N117" t="inlineStr">
        <is>
          <t>C ('Type C rockfill', Golder 2012 p1)</t>
        </is>
      </c>
      <c r="O117" t="inlineStr">
        <is>
          <t>CID carga-descarga</t>
        </is>
      </c>
      <c r="P117" t="inlineStr">
        <is>
          <t>sí (CO2 24 h + agua desaireada; B&gt;0.95; contrapresión 2 kg/cm²)</t>
        </is>
      </c>
      <c r="Q117" t="n">
        <v>1000</v>
      </c>
      <c r="R117" t="n">
        <v>1800</v>
      </c>
      <c r="S117" t="n">
        <v>177.8</v>
      </c>
      <c r="T117" t="n">
        <v>1.39</v>
      </c>
      <c r="U117" t="n">
        <v>17.6</v>
      </c>
      <c r="V117" t="n">
        <v>39.5</v>
      </c>
      <c r="W117" t="n">
        <v>51.9</v>
      </c>
      <c r="X117" t="n">
        <v>34.4</v>
      </c>
      <c r="Y117" t="n">
        <v>4.1</v>
      </c>
      <c r="Z117" t="n">
        <v>85.3</v>
      </c>
      <c r="AA117" t="n">
        <v>9.800000000000001</v>
      </c>
      <c r="AB117" t="n">
        <v>4.9</v>
      </c>
      <c r="AC117" t="inlineStr">
        <is>
          <t>Truncado (scalping) a 178 mm; Dmax de terreno 558.8 mm (macro-granulometría) — Golder 2012 p2</t>
        </is>
      </c>
      <c r="AD117" t="n">
        <v>2.7</v>
      </c>
      <c r="AE117" t="n">
        <v>20.6</v>
      </c>
      <c r="AF117" t="n">
        <v>0.286</v>
      </c>
      <c r="AG117" t="inlineStr">
        <is>
          <t>informe (Golder 2012 Tabla 3, p7; Gs 2.70 supuesto)</t>
        </is>
      </c>
      <c r="AH117" t="inlineStr"/>
      <c r="AI117" t="n">
        <v>0.09</v>
      </c>
      <c r="AJ117" t="n">
        <v>97.3</v>
      </c>
      <c r="AK117" t="n">
        <v>980.7</v>
      </c>
      <c r="AL117" t="n">
        <v>3897.2</v>
      </c>
      <c r="AM117" t="n">
        <v>2916.5</v>
      </c>
      <c r="AN117" t="inlineStr">
        <is>
          <t>máximo desviador registrado (ensayo hasta εa≈20 %)</t>
        </is>
      </c>
      <c r="AO117" t="inlineStr"/>
      <c r="AP117" t="n">
        <v>18</v>
      </c>
      <c r="AQ117" t="n">
        <v>-8.17</v>
      </c>
      <c r="AR117" t="inlineStr"/>
      <c r="AS117" t="inlineStr"/>
      <c r="AT117" t="inlineStr"/>
      <c r="AU117" t="inlineStr"/>
      <c r="AV117" t="n">
        <v>20.4</v>
      </c>
      <c r="AW117" t="inlineStr"/>
      <c r="AX117" t="n">
        <v>8.5</v>
      </c>
      <c r="AY117" t="inlineStr"/>
      <c r="AZ117" t="inlineStr"/>
      <c r="BA117" t="inlineStr">
        <is>
          <t>10;265-275;66-67;41</t>
        </is>
      </c>
      <c r="BB117" t="inlineStr">
        <is>
          <t>sí</t>
        </is>
      </c>
      <c r="BC117" t="inlineStr">
        <is>
          <t>DUPLICADO: ensayo de 2011 ya reportado en Golder (2012) — no sumar dos veces. t_max=14.87 kg/cm²; φsec calculado = 36.7° (informe: 40° a 0.5 MPa → 36° a 2.0 MPa, p24). ΔV consolidación 65378 cm³ (≈4.6 %). Gs=2.70 'peso específico integral' de la hoja del odómetro 2011 (p295). UCS mármol 2011: 53–136 MPa (Tabla 2). Granulometría inicial 'Muestra Inicial' 2011 (p66); finos post = columna de la probeta (p66-67). εv negativa = compresión. [VERIF 2026-10-06] DUPLICADO de Golder_2012_marmol.csv (registro primario: Golder 2012 Doc. 446 + IDIEM 708.397-A). Tablas q–εa–εv idénticas fila a fila entre ambos PDF (comparación automática, 16/346/402/54/504 filas). No contar dos veces. Origen: Fase 5, polígono 12022607, cota 4478 (Golder 2012 p1), NO Acopio G.</t>
        </is>
      </c>
      <c r="BD117" t="n">
        <v>980.7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>
        <is>
          <t>Triaxial CD carga-descarga</t>
        </is>
      </c>
      <c r="EY117" t="inlineStr">
        <is>
          <t>CD: máximo desviador</t>
        </is>
      </c>
      <c r="EZ117" t="n">
        <v>980.7</v>
      </c>
      <c r="FA117" t="n">
        <v>3897.2</v>
      </c>
      <c r="FB117" t="n">
        <v>2916.5</v>
      </c>
      <c r="FC117" t="n">
        <v>36.71969642017003</v>
      </c>
      <c r="FD117" t="n">
        <v>1567.061251768179</v>
      </c>
      <c r="FE117" t="n">
        <v>1168.889675378625</v>
      </c>
      <c r="FF117" t="inlineStr">
        <is>
          <t>1.0 m</t>
        </is>
      </c>
      <c r="FG117" t="n">
        <v>5.624296962879639</v>
      </c>
      <c r="FH117" t="inlineStr">
        <is>
          <t>Enrocado</t>
        </is>
      </c>
      <c r="FI117" t="inlineStr">
        <is>
          <t>textual</t>
        </is>
      </c>
      <c r="FJ117" t="n">
        <v>0</v>
      </c>
      <c r="FK117" t="inlineStr">
        <is>
          <t>G2012 (registro primario)</t>
        </is>
      </c>
      <c r="FL117" t="inlineStr">
        <is>
          <t>duplicado (usar registro primario G2012)</t>
        </is>
      </c>
      <c r="FM117" t="inlineStr">
        <is>
          <t>A</t>
        </is>
      </c>
      <c r="FN117" t="n">
        <v>0.3121962962962963</v>
      </c>
      <c r="FO117" t="inlineStr">
        <is>
          <t>recalculado con Gs adoptado</t>
        </is>
      </c>
      <c r="FP117" t="n">
        <v>2.755</v>
      </c>
      <c r="FQ117" t="inlineStr">
        <is>
          <t>Gs de sólidos del mármol negro (Golder 2010, ASTM D854); 2.70 del informe era supuesto</t>
        </is>
      </c>
      <c r="FR117" t="inlineStr">
        <is>
          <t>W2022-115</t>
        </is>
      </c>
      <c r="FS117" t="inlineStr">
        <is>
          <t>W2022|MN-1.0m-IDIEM-2011</t>
        </is>
      </c>
    </row>
    <row r="118">
      <c r="A118" t="inlineStr">
        <is>
          <t>W2022</t>
        </is>
      </c>
      <c r="B118" t="inlineStr">
        <is>
          <t>2022_WSP_Pruebas de enrocado 3B a Gran Escala Hornfels para Deformacion.pdf</t>
        </is>
      </c>
      <c r="C118" t="n">
        <v>2022</v>
      </c>
      <c r="D118" t="inlineStr">
        <is>
          <t>WSP Golder (Golder Associates Ltd./Perú) - Memo 20377053-001-TM-Rev1-401001; Doc 105-18028-MTE00420-MEM-430-G-0007 Rev1</t>
        </is>
      </c>
      <c r="E118" t="inlineStr">
        <is>
          <t>IDIEM (2011), Informe 708.397-A</t>
        </is>
      </c>
      <c r="F118" t="inlineStr">
        <is>
          <t>MN-1.0m-IDIEM-2011</t>
        </is>
      </c>
      <c r="G118" t="inlineStr">
        <is>
          <t>Tabla 3 Mármol Negro Probeta 2 = IDIEM 708.397-A Probeta 4 (σ'c = 20 kg/cm²) ESTATICO</t>
        </is>
      </c>
      <c r="H118" t="inlineStr">
        <is>
          <t>Mármol Negro (MN/MR)</t>
        </is>
      </c>
      <c r="I118" t="inlineStr">
        <is>
          <t>Mármol</t>
        </is>
      </c>
      <c r="J118" t="inlineStr">
        <is>
          <t>mármol negro</t>
        </is>
      </c>
      <c r="K118" t="inlineStr"/>
      <c r="L118" t="inlineStr"/>
      <c r="M118" t="inlineStr">
        <is>
          <t>Enrocado</t>
        </is>
      </c>
      <c r="N118" t="inlineStr">
        <is>
          <t>C ('Type C rockfill', Golder 2012 p1)</t>
        </is>
      </c>
      <c r="O118" t="inlineStr">
        <is>
          <t>CID monótono</t>
        </is>
      </c>
      <c r="P118" t="inlineStr">
        <is>
          <t>sí (CO2 24 h + agua desaireada; B&gt;0.95; contrapresión 2 kg/cm²)</t>
        </is>
      </c>
      <c r="Q118" t="n">
        <v>1000</v>
      </c>
      <c r="R118" t="n">
        <v>1800</v>
      </c>
      <c r="S118" t="n">
        <v>177.8</v>
      </c>
      <c r="T118" t="n">
        <v>1.39</v>
      </c>
      <c r="U118" t="n">
        <v>17.6</v>
      </c>
      <c r="V118" t="n">
        <v>39.5</v>
      </c>
      <c r="W118" t="n">
        <v>51.9</v>
      </c>
      <c r="X118" t="n">
        <v>34.4</v>
      </c>
      <c r="Y118" t="n">
        <v>4.1</v>
      </c>
      <c r="Z118" t="n">
        <v>85.3</v>
      </c>
      <c r="AA118" t="n">
        <v>9.800000000000001</v>
      </c>
      <c r="AB118" t="n">
        <v>4.9</v>
      </c>
      <c r="AC118" t="inlineStr">
        <is>
          <t>Truncado (scalping) a 178 mm; Dmax de terreno 558.8 mm (macro-granulometría) — Golder 2012 p2</t>
        </is>
      </c>
      <c r="AD118" t="n">
        <v>2.7</v>
      </c>
      <c r="AE118" t="n">
        <v>20.6</v>
      </c>
      <c r="AF118" t="n">
        <v>0.286</v>
      </c>
      <c r="AG118" t="inlineStr">
        <is>
          <t>informe (Golder 2012 Tabla 3, p7; Gs 2.70 supuesto)</t>
        </is>
      </c>
      <c r="AH118" t="inlineStr"/>
      <c r="AI118" t="n">
        <v>0.09</v>
      </c>
      <c r="AJ118" t="n">
        <v>97.3</v>
      </c>
      <c r="AK118" t="n">
        <v>1961.3</v>
      </c>
      <c r="AL118" t="n">
        <v>7778.6</v>
      </c>
      <c r="AM118" t="n">
        <v>5817.3</v>
      </c>
      <c r="AN118" t="inlineStr">
        <is>
          <t>máximo desviador registrado (ensayo hasta εa≈20 %)</t>
        </is>
      </c>
      <c r="AO118" t="inlineStr"/>
      <c r="AP118" t="n">
        <v>19.59</v>
      </c>
      <c r="AQ118" t="n">
        <v>-7.69</v>
      </c>
      <c r="AR118" t="inlineStr"/>
      <c r="AS118" t="inlineStr"/>
      <c r="AT118" t="inlineStr"/>
      <c r="AU118" t="inlineStr"/>
      <c r="AV118" t="n">
        <v>25.1</v>
      </c>
      <c r="AW118" t="inlineStr"/>
      <c r="AX118" t="n">
        <v>10.7</v>
      </c>
      <c r="AY118" t="inlineStr"/>
      <c r="AZ118" t="inlineStr"/>
      <c r="BA118" t="inlineStr">
        <is>
          <t>10;277-278;66-67;41</t>
        </is>
      </c>
      <c r="BB118" t="inlineStr">
        <is>
          <t>sí</t>
        </is>
      </c>
      <c r="BC118" t="inlineStr">
        <is>
          <t>DUPLICADO: ensayo de 2011 ya reportado en Golder (2012) — no sumar dos veces. t_max=29.66 kg/cm²; φsec calculado = 36.7° (informe: 40° a 0.5 MPa → 36° a 2.0 MPa, p24). ΔV consolidación 92453 cm³ (≈6.5 %). Gs=2.70 'peso específico integral' de la hoja del odómetro 2011 (p295). UCS mármol 2011: 53–136 MPa (Tabla 2). Granulometría inicial 'Muestra Inicial' 2011 (p66); finos post = columna de la probeta (p66-67). εv negativa = compresión. [VERIF 2026-10-06] DUPLICADO de Golder_2012_marmol.csv (registro primario: Golder 2012 Doc. 446 + IDIEM 708.397-A). Tablas q–εa–εv idénticas fila a fila entre ambos PDF (comparación automática, 16/346/402/54/504 filas). No contar dos veces. Origen: Fase 5, polígono 12022607, cota 4478 (Golder 2012 p1), NO Acopio G.</t>
        </is>
      </c>
      <c r="BD118" t="n">
        <v>1961.3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>
        <is>
          <t>Triaxial CD</t>
        </is>
      </c>
      <c r="EY118" t="inlineStr">
        <is>
          <t>CD: máximo desviador</t>
        </is>
      </c>
      <c r="EZ118" t="n">
        <v>1961.3</v>
      </c>
      <c r="FA118" t="n">
        <v>7778.6</v>
      </c>
      <c r="FB118" t="n">
        <v>5817.3</v>
      </c>
      <c r="FC118" t="n">
        <v>36.67425772870071</v>
      </c>
      <c r="FD118" t="n">
        <v>3132.715567921642</v>
      </c>
      <c r="FE118" t="n">
        <v>2332.865480584207</v>
      </c>
      <c r="FF118" t="inlineStr">
        <is>
          <t>1.0 m</t>
        </is>
      </c>
      <c r="FG118" t="n">
        <v>5.624296962879639</v>
      </c>
      <c r="FH118" t="inlineStr">
        <is>
          <t>Enrocado</t>
        </is>
      </c>
      <c r="FI118" t="inlineStr">
        <is>
          <t>textual</t>
        </is>
      </c>
      <c r="FJ118" t="n">
        <v>0</v>
      </c>
      <c r="FK118" t="inlineStr">
        <is>
          <t>G2012 (registro primario)</t>
        </is>
      </c>
      <c r="FL118" t="inlineStr">
        <is>
          <t>duplicado (usar registro primario G2012)</t>
        </is>
      </c>
      <c r="FM118" t="inlineStr">
        <is>
          <t>A</t>
        </is>
      </c>
      <c r="FN118" t="n">
        <v>0.3121962962962963</v>
      </c>
      <c r="FO118" t="inlineStr">
        <is>
          <t>recalculado con Gs adoptado</t>
        </is>
      </c>
      <c r="FP118" t="n">
        <v>2.755</v>
      </c>
      <c r="FQ118" t="inlineStr">
        <is>
          <t>Gs de sólidos del mármol negro (Golder 2010, ASTM D854); 2.70 del informe era supuesto</t>
        </is>
      </c>
      <c r="FR118" t="inlineStr">
        <is>
          <t>W2022-116</t>
        </is>
      </c>
      <c r="FS118" t="inlineStr">
        <is>
          <t>W2022|MN-1.0m-IDIEM-2011</t>
        </is>
      </c>
    </row>
    <row r="119">
      <c r="A119" t="inlineStr">
        <is>
          <t>W2022</t>
        </is>
      </c>
      <c r="B119" t="inlineStr">
        <is>
          <t>2022_WSP_Pruebas de enrocado 3B a Gran Escala Hornfels para Deformacion.pdf</t>
        </is>
      </c>
      <c r="C119" t="n">
        <v>2022</v>
      </c>
      <c r="D119" t="inlineStr">
        <is>
          <t>WSP Golder (Golder Associates Ltd./Perú) - Memo 20377053-001-TM-Rev1-401001; Doc 105-18028-MTE00420-MEM-430-G-0007 Rev1</t>
        </is>
      </c>
      <c r="E119" t="inlineStr">
        <is>
          <t>IDIEM (2011), Informe 708.397-A</t>
        </is>
      </c>
      <c r="F119" t="inlineStr">
        <is>
          <t>MN-1.0m-IDIEM-2011</t>
        </is>
      </c>
      <c r="G119" t="inlineStr">
        <is>
          <t>Tabla 3 Mármol Negro Probeta 5 = IDIEM 708.397-A Probeta 5 (σ'c = 20 kg/cm²) CICLICO</t>
        </is>
      </c>
      <c r="H119" t="inlineStr">
        <is>
          <t>Mármol Negro (MN/MR)</t>
        </is>
      </c>
      <c r="I119" t="inlineStr">
        <is>
          <t>Mármol</t>
        </is>
      </c>
      <c r="J119" t="inlineStr">
        <is>
          <t>mármol negro</t>
        </is>
      </c>
      <c r="K119" t="inlineStr"/>
      <c r="L119" t="inlineStr"/>
      <c r="M119" t="inlineStr">
        <is>
          <t>Enrocado</t>
        </is>
      </c>
      <c r="N119" t="inlineStr">
        <is>
          <t>C ('Type C rockfill', Golder 2012 p1)</t>
        </is>
      </c>
      <c r="O119" t="inlineStr">
        <is>
          <t>CID carga-descarga</t>
        </is>
      </c>
      <c r="P119" t="inlineStr">
        <is>
          <t>sí (CO2 24 h + agua desaireada; B&gt;0.95; contrapresión 2 kg/cm²)</t>
        </is>
      </c>
      <c r="Q119" t="n">
        <v>1000</v>
      </c>
      <c r="R119" t="n">
        <v>1800</v>
      </c>
      <c r="S119" t="n">
        <v>177.8</v>
      </c>
      <c r="T119" t="n">
        <v>1.39</v>
      </c>
      <c r="U119" t="n">
        <v>17.6</v>
      </c>
      <c r="V119" t="n">
        <v>39.5</v>
      </c>
      <c r="W119" t="n">
        <v>51.9</v>
      </c>
      <c r="X119" t="n">
        <v>34.4</v>
      </c>
      <c r="Y119" t="n">
        <v>4.1</v>
      </c>
      <c r="Z119" t="n">
        <v>85.3</v>
      </c>
      <c r="AA119" t="n">
        <v>9.800000000000001</v>
      </c>
      <c r="AB119" t="n">
        <v>4.9</v>
      </c>
      <c r="AC119" t="inlineStr">
        <is>
          <t>Truncado (scalping) a 178 mm; Dmax de terreno 558.8 mm (macro-granulometría) — Golder 2012 p2</t>
        </is>
      </c>
      <c r="AD119" t="n">
        <v>2.7</v>
      </c>
      <c r="AE119" t="n">
        <v>20.6</v>
      </c>
      <c r="AF119" t="n">
        <v>0.286</v>
      </c>
      <c r="AG119" t="inlineStr">
        <is>
          <t>informe (Golder 2012 Tabla 3, p7; Gs 2.70 supuesto)</t>
        </is>
      </c>
      <c r="AH119" t="inlineStr"/>
      <c r="AI119" t="n">
        <v>0.09</v>
      </c>
      <c r="AJ119" t="n">
        <v>97.3</v>
      </c>
      <c r="AK119" t="n">
        <v>1961.3</v>
      </c>
      <c r="AL119" t="n">
        <v>8290.5</v>
      </c>
      <c r="AM119" t="n">
        <v>6329.2</v>
      </c>
      <c r="AN119" t="inlineStr">
        <is>
          <t>máximo desviador registrado (ensayo hasta εa≈20 %)</t>
        </is>
      </c>
      <c r="AO119" t="inlineStr"/>
      <c r="AP119" t="n">
        <v>17.78</v>
      </c>
      <c r="AQ119" t="n">
        <v>-9.67</v>
      </c>
      <c r="AR119" t="inlineStr"/>
      <c r="AS119" t="inlineStr"/>
      <c r="AT119" t="inlineStr"/>
      <c r="AU119" t="inlineStr"/>
      <c r="AV119" t="n">
        <v>27.7</v>
      </c>
      <c r="AW119" t="inlineStr"/>
      <c r="AX119" t="n">
        <v>11.4</v>
      </c>
      <c r="AY119" t="inlineStr"/>
      <c r="AZ119" t="inlineStr"/>
      <c r="BA119" t="inlineStr">
        <is>
          <t>10;280-293;66-67;41</t>
        </is>
      </c>
      <c r="BB119" t="inlineStr">
        <is>
          <t>sí</t>
        </is>
      </c>
      <c r="BC119" t="inlineStr">
        <is>
          <t>DUPLICADO: ensayo de 2011 ya reportado en Golder (2012) — no sumar dos veces. t_max=32.27 kg/cm²; φsec calculado = 38.1° (informe: 40° a 0.5 MPa → 36° a 2.0 MPa, p24). ΔV consolidación 116227 cm³ (≈8.2 %). Gs=2.70 'peso específico integral' de la hoja del odómetro 2011 (p295). UCS mármol 2011: 53–136 MPa (Tabla 2). Granulometría inicial 'Muestra Inicial' 2011 (p66); finos post = columna de la probeta (p66-67). εv negativa = compresión. [VERIF 2026-10-06] DUPLICADO de Golder_2012_marmol.csv (registro primario: Golder 2012 Doc. 446 + IDIEM 708.397-A). Tablas q–εa–εv idénticas fila a fila entre ambos PDF (comparación automática, 16/346/402/54/504 filas). No contar dos veces. Origen: Fase 5, polígono 12022607, cota 4478 (Golder 2012 p1), NO Acopio G.</t>
        </is>
      </c>
      <c r="BD119" t="n">
        <v>1961.3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>
        <is>
          <t>Triaxial CD carga-descarga</t>
        </is>
      </c>
      <c r="EY119" t="inlineStr">
        <is>
          <t>CD: máximo desviador</t>
        </is>
      </c>
      <c r="EZ119" t="n">
        <v>1961.3</v>
      </c>
      <c r="FA119" t="n">
        <v>8290.5</v>
      </c>
      <c r="FB119" t="n">
        <v>6329.2</v>
      </c>
      <c r="FC119" t="n">
        <v>38.12465974148969</v>
      </c>
      <c r="FD119" t="n">
        <v>3172.156626153455</v>
      </c>
      <c r="FE119" t="n">
        <v>2489.493922296402</v>
      </c>
      <c r="FF119" t="inlineStr">
        <is>
          <t>1.0 m</t>
        </is>
      </c>
      <c r="FG119" t="n">
        <v>5.624296962879639</v>
      </c>
      <c r="FH119" t="inlineStr">
        <is>
          <t>Enrocado</t>
        </is>
      </c>
      <c r="FI119" t="inlineStr">
        <is>
          <t>textual</t>
        </is>
      </c>
      <c r="FJ119" t="n">
        <v>0</v>
      </c>
      <c r="FK119" t="inlineStr">
        <is>
          <t>G2012 (registro primario)</t>
        </is>
      </c>
      <c r="FL119" t="inlineStr">
        <is>
          <t>duplicado (usar registro primario G2012)</t>
        </is>
      </c>
      <c r="FM119" t="inlineStr">
        <is>
          <t>A</t>
        </is>
      </c>
      <c r="FN119" t="n">
        <v>0.3121962962962963</v>
      </c>
      <c r="FO119" t="inlineStr">
        <is>
          <t>recalculado con Gs adoptado</t>
        </is>
      </c>
      <c r="FP119" t="n">
        <v>2.755</v>
      </c>
      <c r="FQ119" t="inlineStr">
        <is>
          <t>Gs de sólidos del mármol negro (Golder 2010, ASTM D854); 2.70 del informe era supuesto</t>
        </is>
      </c>
      <c r="FR119" t="inlineStr">
        <is>
          <t>W2022-117</t>
        </is>
      </c>
      <c r="FS119" t="inlineStr">
        <is>
          <t>W2022|MN-1.0m-IDIEM-2011</t>
        </is>
      </c>
    </row>
    <row r="120">
      <c r="A120" t="inlineStr">
        <is>
          <t>W2022</t>
        </is>
      </c>
      <c r="B120" t="inlineStr">
        <is>
          <t>2022_WSP_Pruebas de enrocado 3B a Gran Escala Hornfels para Deformacion.pdf</t>
        </is>
      </c>
      <c r="C120" t="n">
        <v>2022</v>
      </c>
      <c r="D120" t="inlineStr">
        <is>
          <t>WSP Golder (Golder Associates Ltd./Perú) - Memo 20377053-001-TM-Rev1-401001; Doc 105-18028-MTE00420-MEM-430-G-0007 Rev1</t>
        </is>
      </c>
      <c r="E120" t="inlineStr">
        <is>
          <t>IDIEM, Informe 1.555.677-B.1 (encabezado de hoja 1.555.677-A)</t>
        </is>
      </c>
      <c r="F120" t="inlineStr">
        <is>
          <t>HF-edo-1.0m</t>
        </is>
      </c>
      <c r="G120" t="inlineStr">
        <is>
          <t>Tabla 4 Hornfels Probeta 1 = IDIEM 1.555.677-B.1 (H6 Hornfel Gris)</t>
        </is>
      </c>
      <c r="H120" t="inlineStr">
        <is>
          <t>H6 Hornfel Gris / Hornfels (HR)</t>
        </is>
      </c>
      <c r="I120" t="inlineStr">
        <is>
          <t>Hornfels</t>
        </is>
      </c>
      <c r="J120" t="inlineStr">
        <is>
          <t>hornfels gris (H6), Tajo Fase 8; vetillas de calcita en núcleos UCS</t>
        </is>
      </c>
      <c r="K120" t="inlineStr"/>
      <c r="L120" t="inlineStr">
        <is>
          <t>No presenta (descripción IDIEM de núcleos UCS, p72-76)</t>
        </is>
      </c>
      <c r="M120" t="inlineStr">
        <is>
          <t>Enrocado</t>
        </is>
      </c>
      <c r="N120" t="inlineStr"/>
      <c r="O120" t="inlineStr">
        <is>
          <t>edómetro (compresión unidimensional)</t>
        </is>
      </c>
      <c r="P120" t="inlineStr">
        <is>
          <t>sí (inundado a carga inicial)</t>
        </is>
      </c>
      <c r="Q120" t="n">
        <v>1000</v>
      </c>
      <c r="R120" t="n">
        <v>700</v>
      </c>
      <c r="S120" t="n">
        <v>177.8</v>
      </c>
      <c r="T120" t="n">
        <v>2.61</v>
      </c>
      <c r="U120" t="n">
        <v>13.3</v>
      </c>
      <c r="V120" t="n">
        <v>28</v>
      </c>
      <c r="W120" t="n">
        <v>35</v>
      </c>
      <c r="X120" t="n">
        <v>13.4</v>
      </c>
      <c r="Y120" t="n">
        <v>1.93</v>
      </c>
      <c r="Z120" t="n">
        <v>87.3</v>
      </c>
      <c r="AA120" t="n">
        <v>10.1</v>
      </c>
      <c r="AB120" t="n">
        <v>2.6</v>
      </c>
      <c r="AC120" t="inlineStr">
        <is>
          <t>Ajustada a Dmax 178 mm (7") para IDIEM; método de ajuste no declarado. Dmax de terreno ≈914 mm (36", macro-granulometría M-001, p47)</t>
        </is>
      </c>
      <c r="AD120" t="n">
        <v>2.6</v>
      </c>
      <c r="AE120" t="n">
        <v>20.6</v>
      </c>
      <c r="AF120" t="n">
        <v>0.238</v>
      </c>
      <c r="AG120" t="inlineStr">
        <is>
          <t>informe</t>
        </is>
      </c>
      <c r="AH120" t="inlineStr"/>
      <c r="AI120" t="n">
        <v>1.69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23</v>
      </c>
      <c r="AW120" t="inlineStr"/>
      <c r="AX120" t="n">
        <v>9.5</v>
      </c>
      <c r="AY120" t="inlineStr"/>
      <c r="AZ120" t="inlineStr"/>
      <c r="BA120" t="inlineStr">
        <is>
          <t>31;300-302;62;41</t>
        </is>
      </c>
      <c r="BB120" t="inlineStr">
        <is>
          <t>sí</t>
        </is>
      </c>
      <c r="BC120" t="inlineStr">
        <is>
          <t>σv máx = 6865 kPa; εv a σv máx = 5.01 %. Curva completa en WSP_2022_edometro.csv. Gs 2.60 'estimado' por IDIEM. Permeabilidad 3.5e-2 → 3.5e-3 cm/s (588–6865 kPa, Tabla 5). Fecha inicio '05-11-2022' (errata; término 20-01-2022). Altura 0.70 m (Tabla en p4 dice 0.9 m). [VERIF 2026-10-06] Gs 2.60 'estimado' por IDIEM (p300, nota 3) es incompatible con la densidad seca de núcleos del mismo lote (2.66–2.71 g/cm³, p72–p76). Con Gs=2.75 (Golder), e0=0.310.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>
        <is>
          <t>Edómetro</t>
        </is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>
        <is>
          <t>1.0 m</t>
        </is>
      </c>
      <c r="FG120" t="n">
        <v>5.624296962879639</v>
      </c>
      <c r="FH120" t="inlineStr">
        <is>
          <t>Enrocado</t>
        </is>
      </c>
      <c r="FI120" t="inlineStr">
        <is>
          <t>textual</t>
        </is>
      </c>
      <c r="FJ120" t="n">
        <v>0</v>
      </c>
      <c r="FK120" t="inlineStr"/>
      <c r="FL120" t="inlineStr">
        <is>
          <t>no es ensayo de resistencia</t>
        </is>
      </c>
      <c r="FM120" t="inlineStr">
        <is>
          <t>A</t>
        </is>
      </c>
      <c r="FN120" t="n">
        <v>0.3094230769230768</v>
      </c>
      <c r="FO120" t="inlineStr">
        <is>
          <t>recalculado con Gs adoptado</t>
        </is>
      </c>
      <c r="FP120" t="n">
        <v>2.75</v>
      </c>
      <c r="FQ120" t="inlineStr">
        <is>
          <t>Gs del lote (Golder Burnaby); 2.60 del informe es incompatible</t>
        </is>
      </c>
      <c r="FR120" t="inlineStr">
        <is>
          <t>W2022-118</t>
        </is>
      </c>
      <c r="FS120" t="inlineStr">
        <is>
          <t>W2022|HF-edo-1.0m</t>
        </is>
      </c>
    </row>
    <row r="121">
      <c r="A121" t="inlineStr">
        <is>
          <t>W2022</t>
        </is>
      </c>
      <c r="B121" t="inlineStr">
        <is>
          <t>2022_WSP_Pruebas de enrocado 3B a Gran Escala Hornfels para Deformacion.pdf</t>
        </is>
      </c>
      <c r="C121" t="n">
        <v>2022</v>
      </c>
      <c r="D121" t="inlineStr">
        <is>
          <t>WSP Golder (Golder Associates Ltd./Perú) - Memo 20377053-001-TM-Rev1-401001; Doc 105-18028-MTE00420-MEM-430-G-0007 Rev1</t>
        </is>
      </c>
      <c r="E121" t="inlineStr">
        <is>
          <t>Golder Associates Ltd., Burnaby</t>
        </is>
      </c>
      <c r="F121" t="inlineStr">
        <is>
          <t>HF-edo-0.24m-2.1</t>
        </is>
      </c>
      <c r="G121" t="inlineStr">
        <is>
          <t>Tabla 4 Hornfels Probeta 2 (Golder 0.24 m)</t>
        </is>
      </c>
      <c r="H121" t="inlineStr">
        <is>
          <t>H6 Hornfel Gris / Hornfels (HR)</t>
        </is>
      </c>
      <c r="I121" t="inlineStr">
        <is>
          <t>Hornfels</t>
        </is>
      </c>
      <c r="J121" t="inlineStr">
        <is>
          <t>hornfels gris (H6), Tajo Fase 8; vetillas de calcita en núcleos UCS</t>
        </is>
      </c>
      <c r="K121" t="inlineStr"/>
      <c r="L121" t="inlineStr">
        <is>
          <t>No presenta (descripción IDIEM de núcleos UCS, p72-76)</t>
        </is>
      </c>
      <c r="M121" t="inlineStr">
        <is>
          <t>Enrocado</t>
        </is>
      </c>
      <c r="N121" t="inlineStr"/>
      <c r="O121" t="inlineStr">
        <is>
          <t>edómetro (compresión unidimensional)</t>
        </is>
      </c>
      <c r="P121" t="inlineStr">
        <is>
          <t>sí (inundado a carga inicial)</t>
        </is>
      </c>
      <c r="Q121" t="n">
        <v>240</v>
      </c>
      <c r="R121" t="inlineStr"/>
      <c r="S121" t="n">
        <v>25.4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20.6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12</v>
      </c>
      <c r="AW121" t="inlineStr"/>
      <c r="AX121" t="inlineStr"/>
      <c r="AY121" t="inlineStr"/>
      <c r="AZ121" t="inlineStr"/>
      <c r="BA121" t="inlineStr">
        <is>
          <t>31;35;41</t>
        </is>
      </c>
      <c r="BB121" t="inlineStr">
        <is>
          <t>sí</t>
        </is>
      </c>
      <c r="BC121" t="inlineStr">
        <is>
          <t>σv máx = 4799 kPa; εv a σv máx = 6.1 %. Curva SOLO en gráfico (Fig. 33c, p35): leída de marcadores vectoriales. Tabla 4 y texto: se compactó a 2.1 t/m³ (no se logró 2.3); Tabla 7 la rotula 2.3 t/m³. Altura ≈0.20 m (texto). Sin hoja de laboratorio en anexo C.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>
        <is>
          <t>Edómetro</t>
        </is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>
        <is>
          <t>media (240–305 mm)</t>
        </is>
      </c>
      <c r="FG121" t="n">
        <v>9.448818897637796</v>
      </c>
      <c r="FH121" t="inlineStr">
        <is>
          <t>Enrocado</t>
        </is>
      </c>
      <c r="FI121" t="inlineStr">
        <is>
          <t>textual</t>
        </is>
      </c>
      <c r="FJ121" t="n">
        <v>0</v>
      </c>
      <c r="FK121" t="inlineStr"/>
      <c r="FL121" t="inlineStr">
        <is>
          <t>no es ensayo de resistencia</t>
        </is>
      </c>
      <c r="FM121" t="inlineStr">
        <is>
          <t>A</t>
        </is>
      </c>
      <c r="FN121" t="inlineStr"/>
      <c r="FO121" t="inlineStr"/>
      <c r="FP121" t="inlineStr"/>
      <c r="FQ121" t="inlineStr">
        <is>
          <t>informe o verificación</t>
        </is>
      </c>
      <c r="FR121" t="inlineStr">
        <is>
          <t>W2022-119</t>
        </is>
      </c>
      <c r="FS121" t="inlineStr">
        <is>
          <t>W2022|HF-edo-0.24m-2.1</t>
        </is>
      </c>
    </row>
    <row r="122">
      <c r="A122" t="inlineStr">
        <is>
          <t>W2022</t>
        </is>
      </c>
      <c r="B122" t="inlineStr">
        <is>
          <t>2022_WSP_Pruebas de enrocado 3B a Gran Escala Hornfels para Deformacion.pdf</t>
        </is>
      </c>
      <c r="C122" t="n">
        <v>2022</v>
      </c>
      <c r="D122" t="inlineStr">
        <is>
          <t>WSP Golder (Golder Associates Ltd./Perú) - Memo 20377053-001-TM-Rev1-401001; Doc 105-18028-MTE00420-MEM-430-G-0007 Rev1</t>
        </is>
      </c>
      <c r="E122" t="inlineStr">
        <is>
          <t>Golder Associates Ltd., Burnaby</t>
        </is>
      </c>
      <c r="F122" t="inlineStr">
        <is>
          <t>HF-edo-0.24m-1.8</t>
        </is>
      </c>
      <c r="G122" t="inlineStr">
        <is>
          <t>Tabla 4 Hornfels Probeta 3 (Golder 0.24 m)</t>
        </is>
      </c>
      <c r="H122" t="inlineStr">
        <is>
          <t>H6 Hornfel Gris / Hornfels (HR)</t>
        </is>
      </c>
      <c r="I122" t="inlineStr">
        <is>
          <t>Hornfels</t>
        </is>
      </c>
      <c r="J122" t="inlineStr">
        <is>
          <t>hornfels gris (H6), Tajo Fase 8; vetillas de calcita en núcleos UCS</t>
        </is>
      </c>
      <c r="K122" t="inlineStr"/>
      <c r="L122" t="inlineStr">
        <is>
          <t>No presenta (descripción IDIEM de núcleos UCS, p72-76)</t>
        </is>
      </c>
      <c r="M122" t="inlineStr">
        <is>
          <t>Enrocado</t>
        </is>
      </c>
      <c r="N122" t="inlineStr"/>
      <c r="O122" t="inlineStr">
        <is>
          <t>edómetro (compresión unidimensional)</t>
        </is>
      </c>
      <c r="P122" t="inlineStr">
        <is>
          <t>sí (inundado a carga inicial)</t>
        </is>
      </c>
      <c r="Q122" t="n">
        <v>240</v>
      </c>
      <c r="R122" t="inlineStr"/>
      <c r="S122" t="n">
        <v>25.4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17.66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8</v>
      </c>
      <c r="AW122" t="inlineStr"/>
      <c r="AX122" t="inlineStr"/>
      <c r="AY122" t="inlineStr"/>
      <c r="AZ122" t="inlineStr"/>
      <c r="BA122" t="inlineStr">
        <is>
          <t>31;35;41</t>
        </is>
      </c>
      <c r="BB122" t="inlineStr">
        <is>
          <t>sí</t>
        </is>
      </c>
      <c r="BC122" t="inlineStr">
        <is>
          <t>σv máx = 4799 kPa; εv a σv máx = 17.5 %. Curva SOLO en gráfico (Fig. 33d, p35), leída de marcadores vectoriales; texto: 17 % a 4.8 MPa. Densidad ≈92 % Proctor estándar.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>
        <is>
          <t>Edómetro</t>
        </is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>
        <is>
          <t>media (240–305 mm)</t>
        </is>
      </c>
      <c r="FG122" t="n">
        <v>9.448818897637796</v>
      </c>
      <c r="FH122" t="inlineStr">
        <is>
          <t>Enrocado</t>
        </is>
      </c>
      <c r="FI122" t="inlineStr">
        <is>
          <t>textual</t>
        </is>
      </c>
      <c r="FJ122" t="n">
        <v>0</v>
      </c>
      <c r="FK122" t="inlineStr"/>
      <c r="FL122" t="inlineStr">
        <is>
          <t>no es ensayo de resistencia</t>
        </is>
      </c>
      <c r="FM122" t="inlineStr">
        <is>
          <t>A</t>
        </is>
      </c>
      <c r="FN122" t="inlineStr"/>
      <c r="FO122" t="inlineStr"/>
      <c r="FP122" t="inlineStr"/>
      <c r="FQ122" t="inlineStr">
        <is>
          <t>informe o verificación</t>
        </is>
      </c>
      <c r="FR122" t="inlineStr">
        <is>
          <t>W2022-120</t>
        </is>
      </c>
      <c r="FS122" t="inlineStr">
        <is>
          <t>W2022|HF-edo-0.24m-1.8</t>
        </is>
      </c>
    </row>
    <row r="123">
      <c r="A123" t="inlineStr">
        <is>
          <t>W2022</t>
        </is>
      </c>
      <c r="B123" t="inlineStr">
        <is>
          <t>2022_WSP_Pruebas de enrocado 3B a Gran Escala Hornfels para Deformacion.pdf</t>
        </is>
      </c>
      <c r="C123" t="n">
        <v>2022</v>
      </c>
      <c r="D123" t="inlineStr">
        <is>
          <t>WSP Golder (Golder Associates Ltd./Perú) - Memo 20377053-001-TM-Rev1-401001; Doc 105-18028-MTE00420-MEM-430-G-0007 Rev1</t>
        </is>
      </c>
      <c r="E123" t="inlineStr">
        <is>
          <t>IDIEM, Informe 1.555.677-A REV2</t>
        </is>
      </c>
      <c r="F123" t="inlineStr">
        <is>
          <t>MN-edo-1.0m-2021</t>
        </is>
      </c>
      <c r="G123" t="inlineStr">
        <is>
          <t>Tabla 4 Mármol Negro Probeta 2 = IDIEM 1.555.677-A REV2 MARMOL (REG 41061)</t>
        </is>
      </c>
      <c r="H123" t="inlineStr">
        <is>
          <t>Mármol Negro (MN/MR)</t>
        </is>
      </c>
      <c r="I123" t="inlineStr">
        <is>
          <t>Mármol</t>
        </is>
      </c>
      <c r="J123" t="inlineStr">
        <is>
          <t>mármol negro</t>
        </is>
      </c>
      <c r="K123" t="inlineStr"/>
      <c r="L123" t="inlineStr"/>
      <c r="M123" t="inlineStr">
        <is>
          <t>Enrocado</t>
        </is>
      </c>
      <c r="N123" t="inlineStr">
        <is>
          <t>C (rótulo 'Material tipo C' en fotos de muestras M-001/M-002 de mármol 2020, Golder 2021a)</t>
        </is>
      </c>
      <c r="O123" t="inlineStr">
        <is>
          <t>edómetro (compresión unidimensional)</t>
        </is>
      </c>
      <c r="P123" t="inlineStr">
        <is>
          <t>sí (inundado a carga inicial)</t>
        </is>
      </c>
      <c r="Q123" t="n">
        <v>1000</v>
      </c>
      <c r="R123" t="n">
        <v>700</v>
      </c>
      <c r="S123" t="n">
        <v>177.8</v>
      </c>
      <c r="T123" t="inlineStr"/>
      <c r="U123" t="n">
        <v>7.68</v>
      </c>
      <c r="V123" t="n">
        <v>23.4</v>
      </c>
      <c r="W123" t="n">
        <v>33.6</v>
      </c>
      <c r="X123" t="inlineStr"/>
      <c r="Y123" t="inlineStr"/>
      <c r="Z123" t="n">
        <v>75.8</v>
      </c>
      <c r="AA123" t="n">
        <v>13.3</v>
      </c>
      <c r="AB123" t="n">
        <v>10.9</v>
      </c>
      <c r="AC123" t="inlineStr"/>
      <c r="AD123" t="n">
        <v>2.6</v>
      </c>
      <c r="AE123" t="n">
        <v>20.6</v>
      </c>
      <c r="AF123" t="n">
        <v>0.238</v>
      </c>
      <c r="AG123" t="inlineStr">
        <is>
          <t>informe</t>
        </is>
      </c>
      <c r="AH123" t="inlineStr"/>
      <c r="AI123" t="n">
        <v>1.5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37.8</v>
      </c>
      <c r="AW123" t="inlineStr"/>
      <c r="AX123" t="n">
        <v>25.7</v>
      </c>
      <c r="AY123" t="inlineStr"/>
      <c r="AZ123" t="inlineStr"/>
      <c r="BA123" t="inlineStr">
        <is>
          <t>31;324;41</t>
        </is>
      </c>
      <c r="BB123" t="inlineStr">
        <is>
          <t>sí</t>
        </is>
      </c>
      <c r="BC123" t="inlineStr">
        <is>
          <t>σv máx = 6865 kPa; εv a σv máx = 6.39 %. Curva completa en WSP_2022_edometro.csv. Permeabilidad 1.2e-2 → 2.7e-3 cm/s (Tabla 6). [VERIF 2026-10-06] Origen mármol 2021: Tajo Mina Fase 8 Sur (Pala 10), polígono 8-NP-4133-25-04, Acopio punto G, muestreado 23–24/11/2020 (p52–p56). Densidad seca de núcleos IDIEM del mismo lote (REG 41061) 2.74–2.75 g/cm³ (p78, p80, p82): un Gs de 2.60, 2.70 o 2.71 es físicamente incompatible (Gs ≥ 2.75). [VERIF 2026-10-06] D10 &lt; 0.074 mm (10.9 % pasa #200): no determinable, por eso no hay Cu ni Cc.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>
        <is>
          <t>Edómetro</t>
        </is>
      </c>
      <c r="EY123" t="inlineStr"/>
      <c r="EZ123" t="inlineStr"/>
      <c r="FA123" t="inlineStr"/>
      <c r="FB123" t="inlineStr"/>
      <c r="FC123" t="inlineStr"/>
      <c r="FD123" t="inlineStr"/>
      <c r="FE123" t="inlineStr"/>
      <c r="FF123" t="inlineStr">
        <is>
          <t>1.0 m</t>
        </is>
      </c>
      <c r="FG123" t="n">
        <v>5.624296962879639</v>
      </c>
      <c r="FH123" t="inlineStr">
        <is>
          <t>Enrocado</t>
        </is>
      </c>
      <c r="FI123" t="inlineStr">
        <is>
          <t>textual</t>
        </is>
      </c>
      <c r="FJ123" t="n">
        <v>0</v>
      </c>
      <c r="FK123" t="inlineStr"/>
      <c r="FL123" t="inlineStr">
        <is>
          <t>no es ensayo de resistencia</t>
        </is>
      </c>
      <c r="FM123" t="inlineStr">
        <is>
          <t>A</t>
        </is>
      </c>
      <c r="FN123" t="n">
        <v>0.3118038461538459</v>
      </c>
      <c r="FO123" t="inlineStr">
        <is>
          <t>recalculado con Gs adoptado</t>
        </is>
      </c>
      <c r="FP123" t="n">
        <v>2.755</v>
      </c>
      <c r="FQ123" t="inlineStr">
        <is>
          <t>Gs de sólidos del mármol (Golder 2010); 2.60 del informe es incompatible</t>
        </is>
      </c>
      <c r="FR123" t="inlineStr">
        <is>
          <t>W2022-121</t>
        </is>
      </c>
      <c r="FS123" t="inlineStr">
        <is>
          <t>W2022|MN-edo-1.0m-2021</t>
        </is>
      </c>
    </row>
    <row r="124">
      <c r="A124" t="inlineStr">
        <is>
          <t>W2022</t>
        </is>
      </c>
      <c r="B124" t="inlineStr">
        <is>
          <t>2022_WSP_Pruebas de enrocado 3B a Gran Escala Hornfels para Deformacion.pdf</t>
        </is>
      </c>
      <c r="C124" t="n">
        <v>2022</v>
      </c>
      <c r="D124" t="inlineStr">
        <is>
          <t>WSP Golder (Golder Associates Ltd./Perú) - Memo 20377053-001-TM-Rev1-401001; Doc 105-18028-MTE00420-MEM-430-G-0007 Rev1</t>
        </is>
      </c>
      <c r="E124" t="inlineStr">
        <is>
          <t>IDIEM (2011), Informe 708.397-A</t>
        </is>
      </c>
      <c r="F124" t="inlineStr">
        <is>
          <t>MN-edo-1.0m-2011</t>
        </is>
      </c>
      <c r="G124" t="inlineStr">
        <is>
          <t>Tabla 4 Mármol Negro Probeta 1 = IDIEM 708.397-A Probeta 6 Odómetro</t>
        </is>
      </c>
      <c r="H124" t="inlineStr">
        <is>
          <t>Mármol Negro (MN/MR)</t>
        </is>
      </c>
      <c r="I124" t="inlineStr">
        <is>
          <t>Mármol</t>
        </is>
      </c>
      <c r="J124" t="inlineStr">
        <is>
          <t>mármol negro</t>
        </is>
      </c>
      <c r="K124" t="inlineStr"/>
      <c r="L124" t="inlineStr"/>
      <c r="M124" t="inlineStr">
        <is>
          <t>Enrocado</t>
        </is>
      </c>
      <c r="N124" t="inlineStr"/>
      <c r="O124" t="inlineStr">
        <is>
          <t>edómetro (compresión unidimensional)</t>
        </is>
      </c>
      <c r="P124" t="inlineStr">
        <is>
          <t>sí (inundado a carga inicial)</t>
        </is>
      </c>
      <c r="Q124" t="n">
        <v>949.7</v>
      </c>
      <c r="R124" t="n">
        <v>900</v>
      </c>
      <c r="S124" t="n">
        <v>177.8</v>
      </c>
      <c r="T124" t="n">
        <v>1.39</v>
      </c>
      <c r="U124" t="n">
        <v>17.61</v>
      </c>
      <c r="V124" t="n">
        <v>39.48</v>
      </c>
      <c r="W124" t="n">
        <v>51.89</v>
      </c>
      <c r="X124" t="n">
        <v>34.4</v>
      </c>
      <c r="Y124" t="n">
        <v>4.1</v>
      </c>
      <c r="Z124" t="n">
        <v>85.3</v>
      </c>
      <c r="AA124" t="n">
        <v>9.800000000000001</v>
      </c>
      <c r="AB124" t="n">
        <v>4.9</v>
      </c>
      <c r="AC124" t="inlineStr"/>
      <c r="AD124" t="n">
        <v>2.7</v>
      </c>
      <c r="AE124" t="n">
        <v>20.6</v>
      </c>
      <c r="AF124" t="n">
        <v>0.284</v>
      </c>
      <c r="AG124" t="inlineStr">
        <is>
          <t>informe</t>
        </is>
      </c>
      <c r="AH124" t="inlineStr"/>
      <c r="AI124" t="n">
        <v>0.08799999999999999</v>
      </c>
      <c r="AJ124" t="n">
        <v>97.3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14.4</v>
      </c>
      <c r="AW124" t="inlineStr"/>
      <c r="AX124" t="n">
        <v>9.4</v>
      </c>
      <c r="AY124" t="inlineStr"/>
      <c r="AZ124" t="inlineStr"/>
      <c r="BA124" t="inlineStr">
        <is>
          <t>31;295;67;41</t>
        </is>
      </c>
      <c r="BB124" t="inlineStr">
        <is>
          <t>sí</t>
        </is>
      </c>
      <c r="BC124" t="inlineStr">
        <is>
          <t>σv máx = 5884 kPa; εv a σv máx = 9.03 %. DUPLICADO de Golder (2012). e=0.284 a 0.18 kg/cm² en estado seco. Tabla 7 indica 6,800 kPa pero la hoja llega a 60 kg/cm² (5,884 kPa). εv=(90−81.87)/90. [VERIF 2026-10-06] DUPLICADO de Golder_2012_marmol.csv (Probeta 6 Odómetro); hoja p295 idéntica a Golder 2012 p72. e0=0.284 es el valor a 0.18 kg/cm² (estado seco); en confección 2.70/2.100−1=0.286.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>
        <is>
          <t>Edómetro</t>
        </is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>
        <is>
          <t>1.0 m</t>
        </is>
      </c>
      <c r="FG124" t="n">
        <v>5.341394825646794</v>
      </c>
      <c r="FH124" t="inlineStr">
        <is>
          <t>Enrocado</t>
        </is>
      </c>
      <c r="FI124" t="inlineStr">
        <is>
          <t>textual</t>
        </is>
      </c>
      <c r="FJ124" t="n">
        <v>0</v>
      </c>
      <c r="FK124" t="inlineStr">
        <is>
          <t>G2012 (registro primario)</t>
        </is>
      </c>
      <c r="FL124" t="inlineStr">
        <is>
          <t>no es ensayo de resistencia</t>
        </is>
      </c>
      <c r="FM124" t="inlineStr">
        <is>
          <t>A</t>
        </is>
      </c>
      <c r="FN124" t="n">
        <v>0.3101555555555555</v>
      </c>
      <c r="FO124" t="inlineStr">
        <is>
          <t>recalculado con Gs adoptado</t>
        </is>
      </c>
      <c r="FP124" t="n">
        <v>2.755</v>
      </c>
      <c r="FQ124" t="inlineStr">
        <is>
          <t>Gs de sólidos del mármol negro (Golder 2010, ASTM D854); 2.70 del informe era supuesto</t>
        </is>
      </c>
      <c r="FR124" t="inlineStr">
        <is>
          <t>W2022-122</t>
        </is>
      </c>
      <c r="FS124" t="inlineStr">
        <is>
          <t>W2022|MN-edo-1.0m-2011</t>
        </is>
      </c>
    </row>
    <row r="125">
      <c r="A125" t="inlineStr">
        <is>
          <t>W2022</t>
        </is>
      </c>
      <c r="B125" t="inlineStr">
        <is>
          <t>2022_WSP_Pruebas de enrocado 3B a Gran Escala Hornfels para Deformacion.pdf</t>
        </is>
      </c>
      <c r="C125" t="n">
        <v>2022</v>
      </c>
      <c r="D125" t="inlineStr">
        <is>
          <t>WSP Golder (Golder Associates Ltd./Perú) - Memo 20377053-001-TM-Rev1-401001; Doc 105-18028-MTE00420-MEM-430-G-0007 Rev1</t>
        </is>
      </c>
      <c r="E125" t="inlineStr">
        <is>
          <t>Golder Associates Ltd., Burnaby</t>
        </is>
      </c>
      <c r="F125" t="inlineStr">
        <is>
          <t>MN-edo-0.24m-1.86</t>
        </is>
      </c>
      <c r="G125" t="inlineStr">
        <is>
          <t>Tabla 4 Mármol Negro Probeta 4 = Golder 'Test 1' MR (B21-132)</t>
        </is>
      </c>
      <c r="H125" t="inlineStr">
        <is>
          <t>Mármol Negro (MN/MR)</t>
        </is>
      </c>
      <c r="I125" t="inlineStr">
        <is>
          <t>Mármol</t>
        </is>
      </c>
      <c r="J125" t="inlineStr">
        <is>
          <t>mármol negro</t>
        </is>
      </c>
      <c r="K125" t="inlineStr"/>
      <c r="L125" t="inlineStr"/>
      <c r="M125" t="inlineStr">
        <is>
          <t>Enrocado</t>
        </is>
      </c>
      <c r="N125" t="inlineStr">
        <is>
          <t>C (rótulo 'Material tipo C' en fotos de muestras M-001/M-002 de mármol 2020, Golder 2021a)</t>
        </is>
      </c>
      <c r="O125" t="inlineStr">
        <is>
          <t>edómetro (compresión unidimensional)</t>
        </is>
      </c>
      <c r="P125" t="inlineStr">
        <is>
          <t>sí (inundado a carga inicial)</t>
        </is>
      </c>
      <c r="Q125" t="n">
        <v>241</v>
      </c>
      <c r="R125" t="n">
        <v>202</v>
      </c>
      <c r="S125" t="n">
        <v>25.4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2.7</v>
      </c>
      <c r="AE125" t="n">
        <v>18.21</v>
      </c>
      <c r="AF125" t="n">
        <v>0.455</v>
      </c>
      <c r="AG125" t="inlineStr">
        <is>
          <t>informe</t>
        </is>
      </c>
      <c r="AH125" t="inlineStr"/>
      <c r="AI125" t="n">
        <v>1.2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21</v>
      </c>
      <c r="AW125" t="inlineStr"/>
      <c r="AX125" t="inlineStr"/>
      <c r="AY125" t="inlineStr"/>
      <c r="AZ125" t="inlineStr"/>
      <c r="BA125" t="inlineStr">
        <is>
          <t>31;359;41</t>
        </is>
      </c>
      <c r="BB125" t="inlineStr">
        <is>
          <t>sí</t>
        </is>
      </c>
      <c r="BC125" t="inlineStr">
        <is>
          <t>σv máx = 4799 kPa; εv a σv máx = 15.63 %. Gs 2.70 'assumed'. Primer escalón (0→200 kPa) produce 6.86 %. El texto (p31) invierte la numeración de las probetas 3/4 de mármol respecto de Tabla 4 y cita 17 % (la hoja da 15.63 % a 4,799 kPa). [VERIF 2026-10-06] Origen mármol 2021: Tajo Mina Fase 8 Sur (Pala 10), polígono 8-NP-4133-25-04, Acopio punto G, muestreado 23–24/11/2020 (p52–p56). Densidad seca de núcleos IDIEM del mismo lote (REG 41061) 2.74–2.75 g/cm³ (p78, p80, p82): un Gs de 2.60, 2.70 o 2.71 es físicamente incompatible (Gs ≥ 2.75).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>
        <is>
          <t>Edómetro</t>
        </is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>
        <is>
          <t>media (240–305 mm)</t>
        </is>
      </c>
      <c r="FG125" t="n">
        <v>9.488188976377954</v>
      </c>
      <c r="FH125" t="inlineStr">
        <is>
          <t>Enrocado</t>
        </is>
      </c>
      <c r="FI125" t="inlineStr">
        <is>
          <t>textual</t>
        </is>
      </c>
      <c r="FJ125" t="n">
        <v>0</v>
      </c>
      <c r="FK125" t="inlineStr"/>
      <c r="FL125" t="inlineStr">
        <is>
          <t>no es ensayo de resistencia</t>
        </is>
      </c>
      <c r="FM125" t="inlineStr">
        <is>
          <t>A</t>
        </is>
      </c>
      <c r="FN125" t="n">
        <v>0.455</v>
      </c>
      <c r="FO125" t="inlineStr"/>
      <c r="FP125" t="n">
        <v>2.7</v>
      </c>
      <c r="FQ125" t="inlineStr">
        <is>
          <t>informe o verificación</t>
        </is>
      </c>
      <c r="FR125" t="inlineStr">
        <is>
          <t>W2022-123</t>
        </is>
      </c>
      <c r="FS125" t="inlineStr">
        <is>
          <t>W2022|MN-edo-0.24m-1.86</t>
        </is>
      </c>
    </row>
    <row r="126">
      <c r="A126" t="inlineStr">
        <is>
          <t>W2024</t>
        </is>
      </c>
      <c r="B126" t="inlineStr">
        <is>
          <t>2024_WSP_Ensayos gran escala mezcla co-disposicion.pdf</t>
        </is>
      </c>
      <c r="C126" t="n">
        <v>2024</v>
      </c>
      <c r="D126" t="inlineStr">
        <is>
          <t>WSP Perú – 101-20110-LTE01220-IFF-420-G-0003 Rev.0 (proyecto 2094151472); anexos IDIEM 1.914.482-A a F</t>
        </is>
      </c>
      <c r="E126" t="inlineStr">
        <is>
          <t>IDIEM (Universidad de Chile)</t>
        </is>
      </c>
      <c r="F126" t="inlineStr">
        <is>
          <t>WSP24_C1_CD</t>
        </is>
      </c>
      <c r="G126" t="inlineStr">
        <is>
          <t>IDIEM 1.914.482-E Codisposal 1 Probeta 1 (TX C/D) Pc 5 kgf/cm2</t>
        </is>
      </c>
      <c r="H126" t="inlineStr">
        <is>
          <t>Desmonte de Mina (Intrusivo) + Relave</t>
        </is>
      </c>
      <c r="I126" t="inlineStr">
        <is>
          <t>Intrusivo</t>
        </is>
      </c>
      <c r="J126" t="inlineStr">
        <is>
          <t>tonalita (31 de 38 fragmentos de carga puntual, IDIEM-F pp.356-362); incluye fragmentos de caliza (7 de 38)</t>
        </is>
      </c>
      <c r="K126" t="inlineStr">
        <is>
          <t>Nominal (informe): intrusivo 78 % / relave 22 %, aplicado a la fracción &lt; 3/4" (59.7 % de la masa); efectivo en masa seca total: desmonte intrusivo 86.9 %, relave 13.1 % (intrusivo:relave ≈ 6.6:1). Dentro del desmonte, por conteo de 38 fragmentos de carga puntual (no por masa): tonalita 31 (82 %), caliza 7 (18 %)</t>
        </is>
      </c>
      <c r="L126" t="inlineStr">
        <is>
          <t>tonalita: sericitización, cloritización, epidotización, oxidación, arcillas/zeolitización locales; caliza sin alteración (carga puntual IDIEM-F)</t>
        </is>
      </c>
      <c r="M126" t="inlineStr">
        <is>
          <t>Mezcla co-disposición: desmonte (clase no indicada) + 13.1 % relave en masa seca total (nominal del informe 22 % aplicado solo a la fracción &lt; 3/4")</t>
        </is>
      </c>
      <c r="N126" t="inlineStr"/>
      <c r="O126" t="inlineStr">
        <is>
          <t>CID carga-descarga</t>
        </is>
      </c>
      <c r="P126" t="inlineStr">
        <is>
          <t>sí</t>
        </is>
      </c>
      <c r="Q126" t="n">
        <v>600</v>
      </c>
      <c r="R126" t="n">
        <v>1200</v>
      </c>
      <c r="S126" t="n">
        <v>101.6</v>
      </c>
      <c r="T126" t="n">
        <v>0.129</v>
      </c>
      <c r="U126" t="n">
        <v>2.13</v>
      </c>
      <c r="V126" t="n">
        <v>12</v>
      </c>
      <c r="W126" t="n">
        <v>19.2</v>
      </c>
      <c r="X126" t="n">
        <v>148</v>
      </c>
      <c r="Y126" t="n">
        <v>1.84</v>
      </c>
      <c r="Z126" t="n">
        <v>66</v>
      </c>
      <c r="AA126" t="n">
        <v>26.9</v>
      </c>
      <c r="AB126" t="n">
        <v>7.1</v>
      </c>
      <c r="AC126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26" t="n">
        <v>2.93</v>
      </c>
      <c r="AE126" t="n">
        <v>20.31</v>
      </c>
      <c r="AF126" t="n">
        <v>0.415</v>
      </c>
      <c r="AG126" t="inlineStr">
        <is>
          <t>calculado</t>
        </is>
      </c>
      <c r="AH126" t="inlineStr"/>
      <c r="AI126" t="n">
        <v>3</v>
      </c>
      <c r="AJ126" t="n">
        <v>95.2</v>
      </c>
      <c r="AK126" t="n">
        <v>490.3</v>
      </c>
      <c r="AL126" t="n">
        <v>2222.2</v>
      </c>
      <c r="AM126" t="n">
        <v>1731.9</v>
      </c>
      <c r="AN126" t="inlineStr">
        <is>
          <t>máximo desviador (hasta εa≈20 %)</t>
        </is>
      </c>
      <c r="AO126" t="n">
        <v>39.7</v>
      </c>
      <c r="AP126" t="n">
        <v>11.05</v>
      </c>
      <c r="AQ126" t="n">
        <v>-3.71</v>
      </c>
      <c r="AR126" t="inlineStr"/>
      <c r="AS126" t="inlineStr"/>
      <c r="AT126" t="inlineStr"/>
      <c r="AU126" t="inlineStr"/>
      <c r="AV126" t="n">
        <v>6</v>
      </c>
      <c r="AW126" t="inlineStr"/>
      <c r="AX126" t="n">
        <v>6.9</v>
      </c>
      <c r="AY126" t="inlineStr"/>
      <c r="AZ126" t="inlineStr"/>
      <c r="BA126" t="inlineStr">
        <is>
          <t>283;295;15;268;35;344</t>
        </is>
      </c>
      <c r="BB126" t="inlineStr">
        <is>
          <t>sí</t>
        </is>
      </c>
      <c r="BC126" t="inlineStr">
        <is>
          <t>Codisposal 1 (3.5:1 intrusivo:relave en masa según informe); carga-descarga drenada sin extensión: ciclos a εa=2 % (1+0.5q), 5 % (15 completos+0.75q+0.5q) y 8 % (2 completos+0.75q+0.5q), luego hasta 20 % (Tabla 10 p.18); IDIEM informa q=(σ1−σ3)/2 y p=(σ1+σ3)/2 en kgf/cm²; máx. q/2=8.83 y p=13.83 kgf/cm² (p.295); convertido con 1 kgf/cm²=98.0665 kPa; σ3 nominal del informe 490 kPa (5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8200 cm³; ρd post-consolidación 2.12 g/cm³ (p.341) → e_c≈0.382 (calculado con Gs global); post-ensayo: % retenido N°4 = 66.4 (p.344); granulometría de ensayo: leído de gráfico (digitalizado, Gráfico 1 p.268);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en carga-descarga el máximo q puede coincidir con el punto de inicio de un ciclo; ver resumen: la curva 'teórica' de ensayo coincide con desmonte + 22 % de relave aplicado solo a la fracción bajo 3/4" (≈13.1 % de la masa total); [VERIFICACIÓN 2026-10-06] contenido de relave RESUELTO: IDIEM indica "cortar el material ... en 4” y agregar un 22% de Relave integral ... se trabaja el material integral bajo ¾”" (p.267-268); la curva de montaje (Gráfico 1) coincide con el desmonte sobre 3/4" y se reproduce con 22 % de relave solo en la fracción &lt; 3/4" ⇒ relave efectivo 13.1 %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26" t="n">
        <v>490.3</v>
      </c>
      <c r="BE126" t="n">
        <v>490.3</v>
      </c>
      <c r="BF126" t="n">
        <v>2222.2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>
        <is>
          <t>igual al de máximo desviador (CID, σ′3 constante)</t>
        </is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>
        <is>
          <t>Triaxial CD carga-descarga</t>
        </is>
      </c>
      <c r="EY126" t="inlineStr">
        <is>
          <t>CD: máximo desviador</t>
        </is>
      </c>
      <c r="EZ126" t="n">
        <v>490.3</v>
      </c>
      <c r="FA126" t="n">
        <v>2222.2</v>
      </c>
      <c r="FB126" t="n">
        <v>1731.9</v>
      </c>
      <c r="FC126" t="n">
        <v>39.67920132415307</v>
      </c>
      <c r="FD126" t="n">
        <v>803.3509013824886</v>
      </c>
      <c r="FE126" t="n">
        <v>666.4622939431332</v>
      </c>
      <c r="FF126" t="inlineStr">
        <is>
          <t>0.6 m</t>
        </is>
      </c>
      <c r="FG126" t="n">
        <v>5.905511811023622</v>
      </c>
      <c r="FH126" t="inlineStr">
        <is>
          <t>Mezcla co-disposición (desmonte ROM + relave)</t>
        </is>
      </c>
      <c r="FI126" t="inlineStr">
        <is>
          <t>criterio experto: desmonte del tajo recibido con Dmax 10 in, escalado; programa de co-disposición de desmonte de camión</t>
        </is>
      </c>
      <c r="FJ126" t="inlineStr"/>
      <c r="FK126" t="inlineStr"/>
      <c r="FL126" t="inlineStr"/>
      <c r="FM126" t="inlineStr">
        <is>
          <t>B</t>
        </is>
      </c>
      <c r="FN126" t="n">
        <v>0.415</v>
      </c>
      <c r="FO126" t="inlineStr"/>
      <c r="FP126" t="n">
        <v>2.93</v>
      </c>
      <c r="FQ126" t="inlineStr">
        <is>
          <t>informe o verificación</t>
        </is>
      </c>
      <c r="FR126" t="inlineStr">
        <is>
          <t>W2024-124</t>
        </is>
      </c>
      <c r="FS126" t="inlineStr">
        <is>
          <t>W2024|WSP24_C1_CD</t>
        </is>
      </c>
    </row>
    <row r="127">
      <c r="A127" t="inlineStr">
        <is>
          <t>W2024</t>
        </is>
      </c>
      <c r="B127" t="inlineStr">
        <is>
          <t>2024_WSP_Ensayos gran escala mezcla co-disposicion.pdf</t>
        </is>
      </c>
      <c r="C127" t="n">
        <v>2024</v>
      </c>
      <c r="D127" t="inlineStr">
        <is>
          <t>WSP Perú – 101-20110-LTE01220-IFF-420-G-0003 Rev.0 (proyecto 2094151472); anexos IDIEM 1.914.482-A a F</t>
        </is>
      </c>
      <c r="E127" t="inlineStr">
        <is>
          <t>IDIEM (Universidad de Chile)</t>
        </is>
      </c>
      <c r="F127" t="inlineStr">
        <is>
          <t>WSP24_C1_CD</t>
        </is>
      </c>
      <c r="G127" t="inlineStr">
        <is>
          <t>IDIEM 1.914.482-E Codisposal 1 Probeta 2 (TX C/D) Pc 10 kgf/cm2</t>
        </is>
      </c>
      <c r="H127" t="inlineStr">
        <is>
          <t>Desmonte de Mina (Intrusivo) + Relave</t>
        </is>
      </c>
      <c r="I127" t="inlineStr">
        <is>
          <t>Intrusivo</t>
        </is>
      </c>
      <c r="J127" t="inlineStr">
        <is>
          <t>tonalita (31 de 38 fragmentos de carga puntual, IDIEM-F pp.356-362); incluye fragmentos de caliza (7 de 38)</t>
        </is>
      </c>
      <c r="K127" t="inlineStr">
        <is>
          <t>Nominal (informe): intrusivo 78 % / relave 22 %, aplicado a la fracción &lt; 3/4" (59.7 % de la masa); efectivo en masa seca total: desmonte intrusivo 86.9 %, relave 13.1 % (intrusivo:relave ≈ 6.6:1). Dentro del desmonte, por conteo de 38 fragmentos de carga puntual (no por masa): tonalita 31 (82 %), caliza 7 (18 %)</t>
        </is>
      </c>
      <c r="L127" t="inlineStr">
        <is>
          <t>tonalita: sericitización, cloritización, epidotización, oxidación, arcillas/zeolitización locales; caliza sin alteración (carga puntual IDIEM-F)</t>
        </is>
      </c>
      <c r="M127" t="inlineStr">
        <is>
          <t>Mezcla co-disposición: desmonte (clase no indicada) + 13.1 % relave en masa seca total (nominal del informe 22 % aplicado solo a la fracción &lt; 3/4")</t>
        </is>
      </c>
      <c r="N127" t="inlineStr"/>
      <c r="O127" t="inlineStr">
        <is>
          <t>CID carga-descarga</t>
        </is>
      </c>
      <c r="P127" t="inlineStr">
        <is>
          <t>sí</t>
        </is>
      </c>
      <c r="Q127" t="n">
        <v>600</v>
      </c>
      <c r="R127" t="n">
        <v>1200</v>
      </c>
      <c r="S127" t="n">
        <v>101.6</v>
      </c>
      <c r="T127" t="n">
        <v>0.129</v>
      </c>
      <c r="U127" t="n">
        <v>2.13</v>
      </c>
      <c r="V127" t="n">
        <v>12</v>
      </c>
      <c r="W127" t="n">
        <v>19.2</v>
      </c>
      <c r="X127" t="n">
        <v>148</v>
      </c>
      <c r="Y127" t="n">
        <v>1.84</v>
      </c>
      <c r="Z127" t="n">
        <v>66</v>
      </c>
      <c r="AA127" t="n">
        <v>26.9</v>
      </c>
      <c r="AB127" t="n">
        <v>7.1</v>
      </c>
      <c r="AC127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27" t="n">
        <v>2.93</v>
      </c>
      <c r="AE127" t="n">
        <v>20.31</v>
      </c>
      <c r="AF127" t="n">
        <v>0.415</v>
      </c>
      <c r="AG127" t="inlineStr">
        <is>
          <t>calculado</t>
        </is>
      </c>
      <c r="AH127" t="inlineStr"/>
      <c r="AI127" t="n">
        <v>3</v>
      </c>
      <c r="AJ127" t="n">
        <v>95.2</v>
      </c>
      <c r="AK127" t="n">
        <v>980.7</v>
      </c>
      <c r="AL127" t="n">
        <v>4795.5</v>
      </c>
      <c r="AM127" t="n">
        <v>3814.8</v>
      </c>
      <c r="AN127" t="inlineStr">
        <is>
          <t>máximo desviador (hasta εa≈20 %)</t>
        </is>
      </c>
      <c r="AO127" t="n">
        <v>41.3</v>
      </c>
      <c r="AP127" t="n">
        <v>13.58</v>
      </c>
      <c r="AQ127" t="n">
        <v>-4.69</v>
      </c>
      <c r="AR127" t="inlineStr"/>
      <c r="AS127" t="inlineStr"/>
      <c r="AT127" t="inlineStr"/>
      <c r="AU127" t="inlineStr"/>
      <c r="AV127" t="n">
        <v>11.8</v>
      </c>
      <c r="AW127" t="inlineStr"/>
      <c r="AX127" t="n">
        <v>7.1</v>
      </c>
      <c r="AY127" t="inlineStr"/>
      <c r="AZ127" t="inlineStr"/>
      <c r="BA127" t="inlineStr">
        <is>
          <t>297;309;15;268;35;344</t>
        </is>
      </c>
      <c r="BB127" t="inlineStr">
        <is>
          <t>sí</t>
        </is>
      </c>
      <c r="BC127" t="inlineStr">
        <is>
          <t>Codisposal 1 (3.5:1 intrusivo:relave en masa según informe); carga-descarga drenada sin extensión: ciclos a εa=2 % (1+0.5q), 5 % (15 completos+0.75q+0.5q) y 8 % (2 completos+0.75q+0.5q), luego hasta 20 % (Tabla 10 p.18); IDIEM informa q=(σ1−σ3)/2 y p=(σ1+σ3)/2 en kgf/cm²; máx. q/2=19.45 y p=29.45 kgf/cm² (p.309); convertido con 1 kgf/cm²=98.0665 kPa; σ3 nominal del informe 980 kPa (10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11800 cm³; ρd post-consolidación 2.14 g/cm³ (p.341) → e_c≈0.369 (calculado con Gs global); post-ensayo: % retenido N°4 = 64.0 (p.344); granulometría de ensayo: leído de gráfico (digitalizado, Gráfico 1 p.268);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en carga-descarga el máximo q puede coincidir con el punto de inicio de un ciclo; ver resumen: la curva 'teórica' de ensayo coincide con desmonte + 22 % de relave aplicado solo a la fracción bajo 3/4" (≈13.1 % de la masa total); [VERIFICACIÓN 2026-10-06] contenido de relave RESUELTO: IDIEM indica "cortar el material ... en 4” y agregar un 22% de Relave integral ... se trabaja el material integral bajo ¾”" (p.267-268); la curva de montaje (Gráfico 1) coincide con el desmonte sobre 3/4" y se reproduce con 22 % de relave solo en la fracción &lt; 3/4" ⇒ relave efectivo 13.1 %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27" t="n">
        <v>980.7</v>
      </c>
      <c r="BE127" t="n">
        <v>980.7</v>
      </c>
      <c r="BF127" t="n">
        <v>4795.5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>
        <is>
          <t>igual al de máximo desviador (CID, σ′3 constante)</t>
        </is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>
        <is>
          <t>Triaxial CD carga-descarga</t>
        </is>
      </c>
      <c r="EY127" t="inlineStr">
        <is>
          <t>CD: máximo desviador</t>
        </is>
      </c>
      <c r="EZ127" t="n">
        <v>980.7</v>
      </c>
      <c r="FA127" t="n">
        <v>4795.5</v>
      </c>
      <c r="FB127" t="n">
        <v>3814.8</v>
      </c>
      <c r="FC127" t="n">
        <v>41.3329954176868</v>
      </c>
      <c r="FD127" t="n">
        <v>1628.387815518853</v>
      </c>
      <c r="FE127" t="n">
        <v>1432.236004389548</v>
      </c>
      <c r="FF127" t="inlineStr">
        <is>
          <t>0.6 m</t>
        </is>
      </c>
      <c r="FG127" t="n">
        <v>5.905511811023622</v>
      </c>
      <c r="FH127" t="inlineStr">
        <is>
          <t>Mezcla co-disposición (desmonte ROM + relave)</t>
        </is>
      </c>
      <c r="FI127" t="inlineStr">
        <is>
          <t>criterio experto: desmonte del tajo recibido con Dmax 10 in, escalado; programa de co-disposición de desmonte de camión</t>
        </is>
      </c>
      <c r="FJ127" t="inlineStr"/>
      <c r="FK127" t="inlineStr"/>
      <c r="FL127" t="inlineStr"/>
      <c r="FM127" t="inlineStr">
        <is>
          <t>B</t>
        </is>
      </c>
      <c r="FN127" t="n">
        <v>0.415</v>
      </c>
      <c r="FO127" t="inlineStr"/>
      <c r="FP127" t="n">
        <v>2.93</v>
      </c>
      <c r="FQ127" t="inlineStr">
        <is>
          <t>informe o verificación</t>
        </is>
      </c>
      <c r="FR127" t="inlineStr">
        <is>
          <t>W2024-125</t>
        </is>
      </c>
      <c r="FS127" t="inlineStr">
        <is>
          <t>W2024|WSP24_C1_CD</t>
        </is>
      </c>
    </row>
    <row r="128">
      <c r="A128" t="inlineStr">
        <is>
          <t>W2024</t>
        </is>
      </c>
      <c r="B128" t="inlineStr">
        <is>
          <t>2024_WSP_Ensayos gran escala mezcla co-disposicion.pdf</t>
        </is>
      </c>
      <c r="C128" t="n">
        <v>2024</v>
      </c>
      <c r="D128" t="inlineStr">
        <is>
          <t>WSP Perú – 101-20110-LTE01220-IFF-420-G-0003 Rev.0 (proyecto 2094151472); anexos IDIEM 1.914.482-A a F</t>
        </is>
      </c>
      <c r="E128" t="inlineStr">
        <is>
          <t>IDIEM (Universidad de Chile)</t>
        </is>
      </c>
      <c r="F128" t="inlineStr">
        <is>
          <t>WSP24_C1_CD</t>
        </is>
      </c>
      <c r="G128" t="inlineStr">
        <is>
          <t>IDIEM 1.914.482-E Codisposal 1 Probeta 3 (TX C/D) Pc 20 kgf/cm2</t>
        </is>
      </c>
      <c r="H128" t="inlineStr">
        <is>
          <t>Desmonte de Mina (Intrusivo) + Relave</t>
        </is>
      </c>
      <c r="I128" t="inlineStr">
        <is>
          <t>Intrusivo</t>
        </is>
      </c>
      <c r="J128" t="inlineStr">
        <is>
          <t>tonalita (31 de 38 fragmentos de carga puntual, IDIEM-F pp.356-362); incluye fragmentos de caliza (7 de 38)</t>
        </is>
      </c>
      <c r="K128" t="inlineStr">
        <is>
          <t>Nominal (informe): intrusivo 78 % / relave 22 %, aplicado a la fracción &lt; 3/4" (59.7 % de la masa); efectivo en masa seca total: desmonte intrusivo 86.9 %, relave 13.1 % (intrusivo:relave ≈ 6.6:1). Dentro del desmonte, por conteo de 38 fragmentos de carga puntual (no por masa): tonalita 31 (82 %), caliza 7 (18 %)</t>
        </is>
      </c>
      <c r="L128" t="inlineStr">
        <is>
          <t>tonalita: sericitización, cloritización, epidotización, oxidación, arcillas/zeolitización locales; caliza sin alteración (carga puntual IDIEM-F)</t>
        </is>
      </c>
      <c r="M128" t="inlineStr">
        <is>
          <t>Mezcla co-disposición: desmonte (clase no indicada) + 13.1 % relave en masa seca total (nominal del informe 22 % aplicado solo a la fracción &lt; 3/4")</t>
        </is>
      </c>
      <c r="N128" t="inlineStr"/>
      <c r="O128" t="inlineStr">
        <is>
          <t>CID carga-descarga</t>
        </is>
      </c>
      <c r="P128" t="inlineStr">
        <is>
          <t>sí</t>
        </is>
      </c>
      <c r="Q128" t="n">
        <v>600</v>
      </c>
      <c r="R128" t="n">
        <v>1200</v>
      </c>
      <c r="S128" t="n">
        <v>101.6</v>
      </c>
      <c r="T128" t="n">
        <v>0.129</v>
      </c>
      <c r="U128" t="n">
        <v>2.13</v>
      </c>
      <c r="V128" t="n">
        <v>12</v>
      </c>
      <c r="W128" t="n">
        <v>19.2</v>
      </c>
      <c r="X128" t="n">
        <v>148</v>
      </c>
      <c r="Y128" t="n">
        <v>1.84</v>
      </c>
      <c r="Z128" t="n">
        <v>66</v>
      </c>
      <c r="AA128" t="n">
        <v>26.9</v>
      </c>
      <c r="AB128" t="n">
        <v>7.1</v>
      </c>
      <c r="AC128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28" t="n">
        <v>2.93</v>
      </c>
      <c r="AE128" t="n">
        <v>20.31</v>
      </c>
      <c r="AF128" t="n">
        <v>0.415</v>
      </c>
      <c r="AG128" t="inlineStr">
        <is>
          <t>calculado</t>
        </is>
      </c>
      <c r="AH128" t="inlineStr"/>
      <c r="AI128" t="n">
        <v>3</v>
      </c>
      <c r="AJ128" t="n">
        <v>95.2</v>
      </c>
      <c r="AK128" t="n">
        <v>1961.3</v>
      </c>
      <c r="AL128" t="n">
        <v>9716.4</v>
      </c>
      <c r="AM128" t="n">
        <v>7755.1</v>
      </c>
      <c r="AN128" t="inlineStr">
        <is>
          <t>máximo desviador (hasta εa≈20 %)</t>
        </is>
      </c>
      <c r="AO128" t="n">
        <v>41.6</v>
      </c>
      <c r="AP128" t="n">
        <v>11.7</v>
      </c>
      <c r="AQ128" t="n">
        <v>-5.13</v>
      </c>
      <c r="AR128" t="inlineStr"/>
      <c r="AS128" t="inlineStr"/>
      <c r="AT128" t="inlineStr"/>
      <c r="AU128" t="inlineStr"/>
      <c r="AV128" t="n">
        <v>16.9</v>
      </c>
      <c r="AW128" t="inlineStr"/>
      <c r="AX128" t="n">
        <v>10.5</v>
      </c>
      <c r="AY128" t="inlineStr"/>
      <c r="AZ128" t="inlineStr"/>
      <c r="BA128" t="inlineStr">
        <is>
          <t>311;326;15;268;35;344</t>
        </is>
      </c>
      <c r="BB128" t="inlineStr">
        <is>
          <t>sí</t>
        </is>
      </c>
      <c r="BC128" t="inlineStr">
        <is>
          <t>Codisposal 1 (3.5:1 intrusivo:relave en masa según informe); carga-descarga drenada sin extensión: ciclos a εa=2 % (1+0.5q), 5 % (15 completos+0.75q+0.5q) y 8 % (2 completos+0.75q+0.5q), luego hasta 20 % (Tabla 10 p.18); IDIEM informa q=(σ1−σ3)/2 y p=(σ1+σ3)/2 en kgf/cm²; máx. q/2=39.54 y p=59.54 kgf/cm² (p.326); convertido con 1 kgf/cm²=98.0665 kPa; σ3 nominal del informe 1960 kPa (20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21300 cm³; ρd post-consolidación 2.21 g/cm³ (p.341) → e_c≈0.326 (calculado con Gs global); post-ensayo: % retenido N°4 = 55.1 (p.344); granulometría de ensayo: leído de gráfico (digitalizado, Gráfico 1 p.268);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en carga-descarga el máximo q puede coincidir con el punto de inicio de un ciclo; ver resumen: la curva 'teórica' de ensayo coincide con desmonte + 22 % de relave aplicado solo a la fracción bajo 3/4" (≈13.1 % de la masa total); [VERIFICACIÓN 2026-10-06] contenido de relave RESUELTO: IDIEM indica "cortar el material ... en 4” y agregar un 22% de Relave integral ... se trabaja el material integral bajo ¾”" (p.267-268); la curva de montaje (Gráfico 1) coincide con el desmonte sobre 3/4" y se reproduce con 22 % de relave solo en la fracción &lt; 3/4" ⇒ relave efectivo 13.1 %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28" t="n">
        <v>1961.3</v>
      </c>
      <c r="BE128" t="n">
        <v>1961.3</v>
      </c>
      <c r="BF128" t="n">
        <v>9716.4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>
        <is>
          <t>igual al de máximo desviador (CID, σ′3 constante)</t>
        </is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>
        <is>
          <t>Triaxial CD carga-descarga</t>
        </is>
      </c>
      <c r="EY128" t="inlineStr">
        <is>
          <t>CD: máximo desviador</t>
        </is>
      </c>
      <c r="EZ128" t="n">
        <v>1961.3</v>
      </c>
      <c r="FA128" t="n">
        <v>9716.4</v>
      </c>
      <c r="FB128" t="n">
        <v>7755.099999999999</v>
      </c>
      <c r="FC128" t="n">
        <v>41.61291935155461</v>
      </c>
      <c r="FD128" t="n">
        <v>3263.789157111416</v>
      </c>
      <c r="FE128" t="n">
        <v>2899.043921350958</v>
      </c>
      <c r="FF128" t="inlineStr">
        <is>
          <t>0.6 m</t>
        </is>
      </c>
      <c r="FG128" t="n">
        <v>5.905511811023622</v>
      </c>
      <c r="FH128" t="inlineStr">
        <is>
          <t>Mezcla co-disposición (desmonte ROM + relave)</t>
        </is>
      </c>
      <c r="FI128" t="inlineStr">
        <is>
          <t>criterio experto: desmonte del tajo recibido con Dmax 10 in, escalado; programa de co-disposición de desmonte de camión</t>
        </is>
      </c>
      <c r="FJ128" t="inlineStr"/>
      <c r="FK128" t="inlineStr"/>
      <c r="FL128" t="inlineStr"/>
      <c r="FM128" t="inlineStr">
        <is>
          <t>B</t>
        </is>
      </c>
      <c r="FN128" t="n">
        <v>0.415</v>
      </c>
      <c r="FO128" t="inlineStr"/>
      <c r="FP128" t="n">
        <v>2.93</v>
      </c>
      <c r="FQ128" t="inlineStr">
        <is>
          <t>informe o verificación</t>
        </is>
      </c>
      <c r="FR128" t="inlineStr">
        <is>
          <t>W2024-126</t>
        </is>
      </c>
      <c r="FS128" t="inlineStr">
        <is>
          <t>W2024|WSP24_C1_CD</t>
        </is>
      </c>
    </row>
    <row r="129">
      <c r="A129" t="inlineStr">
        <is>
          <t>W2024</t>
        </is>
      </c>
      <c r="B129" t="inlineStr">
        <is>
          <t>2024_WSP_Ensayos gran escala mezcla co-disposicion.pdf</t>
        </is>
      </c>
      <c r="C129" t="n">
        <v>2024</v>
      </c>
      <c r="D129" t="inlineStr">
        <is>
          <t>WSP Perú – 101-20110-LTE01220-IFF-420-G-0003 Rev.0 (proyecto 2094151472); anexos IDIEM 1.914.482-A a F</t>
        </is>
      </c>
      <c r="E129" t="inlineStr">
        <is>
          <t>IDIEM (Universidad de Chile)</t>
        </is>
      </c>
      <c r="F129" t="inlineStr">
        <is>
          <t>WSP24_C1_MON</t>
        </is>
      </c>
      <c r="G129" t="inlineStr">
        <is>
          <t>IDIEM 1.914.482-E Codisposal 1 Probeta 1 (TX M) Pc 5 kgf/cm2</t>
        </is>
      </c>
      <c r="H129" t="inlineStr">
        <is>
          <t>Desmonte de Mina (Intrusivo) + Relave</t>
        </is>
      </c>
      <c r="I129" t="inlineStr">
        <is>
          <t>Intrusivo</t>
        </is>
      </c>
      <c r="J129" t="inlineStr">
        <is>
          <t>tonalita (31 de 38 fragmentos de carga puntual, IDIEM-F pp.356-362); incluye fragmentos de caliza (7 de 38)</t>
        </is>
      </c>
      <c r="K129" t="inlineStr">
        <is>
          <t>Nominal (informe): intrusivo 78 % / relave 22 %, aplicado a la fracción &lt; 3/4" (59.7 % de la masa); efectivo en masa seca total: desmonte intrusivo 86.9 %, relave 13.1 % (intrusivo:relave ≈ 6.6:1). Dentro del desmonte, por conteo de 38 fragmentos de carga puntual (no por masa): tonalita 31 (82 %), caliza 7 (18 %)</t>
        </is>
      </c>
      <c r="L129" t="inlineStr">
        <is>
          <t>tonalita: sericitización, cloritización, epidotización, oxidación, arcillas/zeolitización locales; caliza sin alteración (carga puntual IDIEM-F)</t>
        </is>
      </c>
      <c r="M129" t="inlineStr">
        <is>
          <t>Mezcla co-disposición: desmonte (clase no indicada) + 13.1 % relave en masa seca total (nominal del informe 22 % aplicado solo a la fracción &lt; 3/4")</t>
        </is>
      </c>
      <c r="N129" t="inlineStr"/>
      <c r="O129" t="inlineStr">
        <is>
          <t>CID</t>
        </is>
      </c>
      <c r="P129" t="inlineStr">
        <is>
          <t>sí</t>
        </is>
      </c>
      <c r="Q129" t="n">
        <v>600</v>
      </c>
      <c r="R129" t="n">
        <v>1200</v>
      </c>
      <c r="S129" t="n">
        <v>101.6</v>
      </c>
      <c r="T129" t="n">
        <v>0.129</v>
      </c>
      <c r="U129" t="n">
        <v>2.13</v>
      </c>
      <c r="V129" t="n">
        <v>12</v>
      </c>
      <c r="W129" t="n">
        <v>19.2</v>
      </c>
      <c r="X129" t="n">
        <v>148</v>
      </c>
      <c r="Y129" t="n">
        <v>1.84</v>
      </c>
      <c r="Z129" t="n">
        <v>66</v>
      </c>
      <c r="AA129" t="n">
        <v>26.9</v>
      </c>
      <c r="AB129" t="n">
        <v>7.1</v>
      </c>
      <c r="AC129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29" t="n">
        <v>2.93</v>
      </c>
      <c r="AE129" t="n">
        <v>20.31</v>
      </c>
      <c r="AF129" t="n">
        <v>0.415</v>
      </c>
      <c r="AG129" t="inlineStr">
        <is>
          <t>calculado</t>
        </is>
      </c>
      <c r="AH129" t="inlineStr"/>
      <c r="AI129" t="n">
        <v>3</v>
      </c>
      <c r="AJ129" t="n">
        <v>95.2</v>
      </c>
      <c r="AK129" t="n">
        <v>490.3</v>
      </c>
      <c r="AL129" t="n">
        <v>2385</v>
      </c>
      <c r="AM129" t="n">
        <v>1894.6</v>
      </c>
      <c r="AN129" t="inlineStr">
        <is>
          <t>máximo desviador (hasta εa≈20 %)</t>
        </is>
      </c>
      <c r="AO129" t="n">
        <v>41.2</v>
      </c>
      <c r="AP129" t="n">
        <v>15.61</v>
      </c>
      <c r="AQ129" t="n">
        <v>-4.41</v>
      </c>
      <c r="AR129" t="inlineStr"/>
      <c r="AS129" t="inlineStr"/>
      <c r="AT129" t="inlineStr"/>
      <c r="AU129" t="inlineStr"/>
      <c r="AV129" t="n">
        <v>9.6</v>
      </c>
      <c r="AW129" t="inlineStr"/>
      <c r="AX129" t="n">
        <v>7.6</v>
      </c>
      <c r="AY129" t="inlineStr"/>
      <c r="AZ129" t="inlineStr"/>
      <c r="BA129" t="inlineStr">
        <is>
          <t>274;275;15;268;35;344</t>
        </is>
      </c>
      <c r="BB129" t="inlineStr">
        <is>
          <t>sí</t>
        </is>
      </c>
      <c r="BC129" t="inlineStr">
        <is>
          <t>Codisposal 1 (3.5:1 intrusivo:relave en masa según informe); carga monótona; IDIEM informa q=(σ1−σ3)/2 y p=(σ1+σ3)/2 en kgf/cm²; máx. q/2=9.66 y p=14.66 kgf/cm² (p.275); convertido con 1 kgf/cm²=98.0665 kPa; σ3 nominal del informe 490 kPa (5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10700 cm³; ρd post-consolidación 2.14 g/cm³ (p.339) → e_c≈0.369 (calculado con Gs global); post-ensayo: % retenido N°4 = 62.9 (p.344); granulometría de ensayo: leído de gráfico (digitalizado, Gráfico 1 p.268);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ver resumen: la curva 'teórica' de ensayo coincide con desmonte + 22 % de relave aplicado solo a la fracción bajo 3/4" (≈13.1 % de la masa total); [VERIFICACIÓN 2026-10-06] contenido de relave RESUELTO: IDIEM indica "cortar el material ... en 4” y agregar un 22% de Relave integral ... se trabaja el material integral bajo ¾”" (p.267-268); la curva de montaje (Gráfico 1) coincide con el desmonte sobre 3/4" y se reproduce con 22 % de relave solo en la fracción &lt; 3/4" ⇒ relave efectivo 13.1 %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29" t="n">
        <v>490.3</v>
      </c>
      <c r="BE129" t="n">
        <v>490.3</v>
      </c>
      <c r="BF129" t="n">
        <v>2385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>
        <is>
          <t>igual al de máximo desviador (CID, σ′3 constante)</t>
        </is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>
        <is>
          <t>Triaxial CD</t>
        </is>
      </c>
      <c r="EY129" t="inlineStr">
        <is>
          <t>CD: máximo desviador</t>
        </is>
      </c>
      <c r="EZ129" t="n">
        <v>490.3</v>
      </c>
      <c r="FA129" t="n">
        <v>2385</v>
      </c>
      <c r="FB129" t="n">
        <v>1894.7</v>
      </c>
      <c r="FC129" t="n">
        <v>41.22040096228475</v>
      </c>
      <c r="FD129" t="n">
        <v>813.386777031962</v>
      </c>
      <c r="FE129" t="n">
        <v>712.5780314811547</v>
      </c>
      <c r="FF129" t="inlineStr">
        <is>
          <t>0.6 m</t>
        </is>
      </c>
      <c r="FG129" t="n">
        <v>5.905511811023622</v>
      </c>
      <c r="FH129" t="inlineStr">
        <is>
          <t>Mezcla co-disposición (desmonte ROM + relave)</t>
        </is>
      </c>
      <c r="FI129" t="inlineStr">
        <is>
          <t>criterio experto: desmonte del tajo recibido con Dmax 10 in, escalado; programa de co-disposición de desmonte de camión</t>
        </is>
      </c>
      <c r="FJ129" t="inlineStr"/>
      <c r="FK129" t="inlineStr"/>
      <c r="FL129" t="inlineStr"/>
      <c r="FM129" t="inlineStr">
        <is>
          <t>B</t>
        </is>
      </c>
      <c r="FN129" t="n">
        <v>0.415</v>
      </c>
      <c r="FO129" t="inlineStr"/>
      <c r="FP129" t="n">
        <v>2.93</v>
      </c>
      <c r="FQ129" t="inlineStr">
        <is>
          <t>informe o verificación</t>
        </is>
      </c>
      <c r="FR129" t="inlineStr">
        <is>
          <t>W2024-127</t>
        </is>
      </c>
      <c r="FS129" t="inlineStr">
        <is>
          <t>W2024|WSP24_C1_MON</t>
        </is>
      </c>
    </row>
    <row r="130">
      <c r="A130" t="inlineStr">
        <is>
          <t>W2024</t>
        </is>
      </c>
      <c r="B130" t="inlineStr">
        <is>
          <t>2024_WSP_Ensayos gran escala mezcla co-disposicion.pdf</t>
        </is>
      </c>
      <c r="C130" t="n">
        <v>2024</v>
      </c>
      <c r="D130" t="inlineStr">
        <is>
          <t>WSP Perú – 101-20110-LTE01220-IFF-420-G-0003 Rev.0 (proyecto 2094151472); anexos IDIEM 1.914.482-A a F</t>
        </is>
      </c>
      <c r="E130" t="inlineStr">
        <is>
          <t>IDIEM (Universidad de Chile)</t>
        </is>
      </c>
      <c r="F130" t="inlineStr">
        <is>
          <t>WSP24_C1_MON</t>
        </is>
      </c>
      <c r="G130" t="inlineStr">
        <is>
          <t>IDIEM 1.914.482-E Codisposal 1 Probeta 2 (TX M) Pc 10 kgf/cm2</t>
        </is>
      </c>
      <c r="H130" t="inlineStr">
        <is>
          <t>Desmonte de Mina (Intrusivo) + Relave</t>
        </is>
      </c>
      <c r="I130" t="inlineStr">
        <is>
          <t>Intrusivo</t>
        </is>
      </c>
      <c r="J130" t="inlineStr">
        <is>
          <t>tonalita (31 de 38 fragmentos de carga puntual, IDIEM-F pp.356-362); incluye fragmentos de caliza (7 de 38)</t>
        </is>
      </c>
      <c r="K130" t="inlineStr">
        <is>
          <t>Nominal (informe): intrusivo 78 % / relave 22 %, aplicado a la fracción &lt; 3/4" (59.7 % de la masa); efectivo en masa seca total: desmonte intrusivo 86.9 %, relave 13.1 % (intrusivo:relave ≈ 6.6:1). Dentro del desmonte, por conteo de 38 fragmentos de carga puntual (no por masa): tonalita 31 (82 %), caliza 7 (18 %)</t>
        </is>
      </c>
      <c r="L130" t="inlineStr">
        <is>
          <t>tonalita: sericitización, cloritización, epidotización, oxidación, arcillas/zeolitización locales; caliza sin alteración (carga puntual IDIEM-F)</t>
        </is>
      </c>
      <c r="M130" t="inlineStr">
        <is>
          <t>Mezcla co-disposición: desmonte (clase no indicada) + 13.1 % relave en masa seca total (nominal del informe 22 % aplicado solo a la fracción &lt; 3/4")</t>
        </is>
      </c>
      <c r="N130" t="inlineStr"/>
      <c r="O130" t="inlineStr">
        <is>
          <t>CID</t>
        </is>
      </c>
      <c r="P130" t="inlineStr">
        <is>
          <t>sí</t>
        </is>
      </c>
      <c r="Q130" t="n">
        <v>600</v>
      </c>
      <c r="R130" t="n">
        <v>1200</v>
      </c>
      <c r="S130" t="n">
        <v>101.6</v>
      </c>
      <c r="T130" t="n">
        <v>0.129</v>
      </c>
      <c r="U130" t="n">
        <v>2.13</v>
      </c>
      <c r="V130" t="n">
        <v>12</v>
      </c>
      <c r="W130" t="n">
        <v>19.2</v>
      </c>
      <c r="X130" t="n">
        <v>148</v>
      </c>
      <c r="Y130" t="n">
        <v>1.84</v>
      </c>
      <c r="Z130" t="n">
        <v>66</v>
      </c>
      <c r="AA130" t="n">
        <v>26.9</v>
      </c>
      <c r="AB130" t="n">
        <v>7.1</v>
      </c>
      <c r="AC130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0" t="n">
        <v>2.93</v>
      </c>
      <c r="AE130" t="n">
        <v>20.31</v>
      </c>
      <c r="AF130" t="n">
        <v>0.415</v>
      </c>
      <c r="AG130" t="inlineStr">
        <is>
          <t>calculado</t>
        </is>
      </c>
      <c r="AH130" t="inlineStr"/>
      <c r="AI130" t="n">
        <v>3</v>
      </c>
      <c r="AJ130" t="n">
        <v>95.2</v>
      </c>
      <c r="AK130" t="n">
        <v>980.7</v>
      </c>
      <c r="AL130" t="n">
        <v>5146.5</v>
      </c>
      <c r="AM130" t="n">
        <v>4165.9</v>
      </c>
      <c r="AN130" t="inlineStr">
        <is>
          <t>máximo desviador (hasta εa≈20 %)</t>
        </is>
      </c>
      <c r="AO130" t="n">
        <v>42.8</v>
      </c>
      <c r="AP130" t="n">
        <v>18.78</v>
      </c>
      <c r="AQ130" t="n">
        <v>-6.6</v>
      </c>
      <c r="AR130" t="inlineStr"/>
      <c r="AS130" t="inlineStr"/>
      <c r="AT130" t="inlineStr"/>
      <c r="AU130" t="inlineStr"/>
      <c r="AV130" t="n">
        <v>18.3</v>
      </c>
      <c r="AW130" t="inlineStr"/>
      <c r="AX130" t="n">
        <v>11.8</v>
      </c>
      <c r="AY130" t="inlineStr"/>
      <c r="AZ130" t="inlineStr"/>
      <c r="BA130" t="inlineStr">
        <is>
          <t>277;278;15;268;35;344</t>
        </is>
      </c>
      <c r="BB130" t="inlineStr">
        <is>
          <t>sí</t>
        </is>
      </c>
      <c r="BC130" t="inlineStr">
        <is>
          <t>Codisposal 1 (3.5:1 intrusivo:relave en masa según informe); carga monótona; IDIEM informa q=(σ1−σ3)/2 y p=(σ1+σ3)/2 en kgf/cm²; máx. q/2=21.24 y p=31.24 kgf/cm² (p.278); convertido con 1 kgf/cm²=98.0665 kPa; σ3 nominal del informe 980 kPa (10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19000 cm³; ρd post-consolidación 2.19 g/cm³ (p.339) → e_c≈0.338 (calculado con Gs global); post-ensayo: % retenido N°4 = 48.9 (p.344); granulometría de ensayo: leído de gráfico (digitalizado, Gráfico 1 p.268);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ver resumen: la curva 'teórica' de ensayo coincide con desmonte + 22 % de relave aplicado solo a la fracción bajo 3/4" (≈13.1 % de la masa total); [VERIFICACIÓN 2026-10-06] contenido de relave RESUELTO: IDIEM indica "cortar el material ... en 4” y agregar un 22% de Relave integral ... se trabaja el material integral bajo ¾”" (p.267-268); la curva de montaje (Gráfico 1) coincide con el desmonte sobre 3/4" y se reproduce con 22 % de relave solo en la fracción &lt; 3/4" ⇒ relave efectivo 13.1 %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0" t="n">
        <v>980.7</v>
      </c>
      <c r="BE130" t="n">
        <v>980.7</v>
      </c>
      <c r="BF130" t="n">
        <v>5146.5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>
        <is>
          <t>igual al de máximo desviador (CID, σ′3 constante)</t>
        </is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>
        <is>
          <t>Triaxial CD</t>
        </is>
      </c>
      <c r="EY130" t="inlineStr">
        <is>
          <t>CD: máximo desviador</t>
        </is>
      </c>
      <c r="EZ130" t="n">
        <v>980.7</v>
      </c>
      <c r="FA130" t="n">
        <v>5146.5</v>
      </c>
      <c r="FB130" t="n">
        <v>4165.8</v>
      </c>
      <c r="FC130" t="n">
        <v>42.83476721328386</v>
      </c>
      <c r="FD130" t="n">
        <v>1647.464600470035</v>
      </c>
      <c r="FE130" t="n">
        <v>1527.426901752784</v>
      </c>
      <c r="FF130" t="inlineStr">
        <is>
          <t>0.6 m</t>
        </is>
      </c>
      <c r="FG130" t="n">
        <v>5.905511811023622</v>
      </c>
      <c r="FH130" t="inlineStr">
        <is>
          <t>Mezcla co-disposición (desmonte ROM + relave)</t>
        </is>
      </c>
      <c r="FI130" t="inlineStr">
        <is>
          <t>criterio experto: desmonte del tajo recibido con Dmax 10 in, escalado; programa de co-disposición de desmonte de camión</t>
        </is>
      </c>
      <c r="FJ130" t="inlineStr"/>
      <c r="FK130" t="inlineStr"/>
      <c r="FL130" t="inlineStr"/>
      <c r="FM130" t="inlineStr">
        <is>
          <t>B</t>
        </is>
      </c>
      <c r="FN130" t="n">
        <v>0.415</v>
      </c>
      <c r="FO130" t="inlineStr"/>
      <c r="FP130" t="n">
        <v>2.93</v>
      </c>
      <c r="FQ130" t="inlineStr">
        <is>
          <t>informe o verificación</t>
        </is>
      </c>
      <c r="FR130" t="inlineStr">
        <is>
          <t>W2024-128</t>
        </is>
      </c>
      <c r="FS130" t="inlineStr">
        <is>
          <t>W2024|WSP24_C1_MON</t>
        </is>
      </c>
    </row>
    <row r="131">
      <c r="A131" t="inlineStr">
        <is>
          <t>W2024</t>
        </is>
      </c>
      <c r="B131" t="inlineStr">
        <is>
          <t>2024_WSP_Ensayos gran escala mezcla co-disposicion.pdf</t>
        </is>
      </c>
      <c r="C131" t="n">
        <v>2024</v>
      </c>
      <c r="D131" t="inlineStr">
        <is>
          <t>WSP Perú – 101-20110-LTE01220-IFF-420-G-0003 Rev.0 (proyecto 2094151472); anexos IDIEM 1.914.482-A a F</t>
        </is>
      </c>
      <c r="E131" t="inlineStr">
        <is>
          <t>IDIEM (Universidad de Chile)</t>
        </is>
      </c>
      <c r="F131" t="inlineStr">
        <is>
          <t>WSP24_C1_MON</t>
        </is>
      </c>
      <c r="G131" t="inlineStr">
        <is>
          <t>IDIEM 1.914.482-E Codisposal 1 Probeta 3 (TX M) Pc 20 kgf/cm2</t>
        </is>
      </c>
      <c r="H131" t="inlineStr">
        <is>
          <t>Desmonte de Mina (Intrusivo) + Relave</t>
        </is>
      </c>
      <c r="I131" t="inlineStr">
        <is>
          <t>Intrusivo</t>
        </is>
      </c>
      <c r="J131" t="inlineStr">
        <is>
          <t>tonalita (31 de 38 fragmentos de carga puntual, IDIEM-F pp.356-362); incluye fragmentos de caliza (7 de 38)</t>
        </is>
      </c>
      <c r="K131" t="inlineStr">
        <is>
          <t>Nominal (informe): intrusivo 78 % / relave 22 %, aplicado a la fracción &lt; 3/4" (59.7 % de la masa); efectivo en masa seca total: desmonte intrusivo 86.9 %, relave 13.1 % (intrusivo:relave ≈ 6.6:1). Dentro del desmonte, por conteo de 38 fragmentos de carga puntual (no por masa): tonalita 31 (82 %), caliza 7 (18 %)</t>
        </is>
      </c>
      <c r="L131" t="inlineStr">
        <is>
          <t>tonalita: sericitización, cloritización, epidotización, oxidación, arcillas/zeolitización locales; caliza sin alteración (carga puntual IDIEM-F)</t>
        </is>
      </c>
      <c r="M131" t="inlineStr">
        <is>
          <t>Mezcla co-disposición: desmonte (clase no indicada) + 13.1 % relave en masa seca total (nominal del informe 22 % aplicado solo a la fracción &lt; 3/4")</t>
        </is>
      </c>
      <c r="N131" t="inlineStr"/>
      <c r="O131" t="inlineStr">
        <is>
          <t>CID</t>
        </is>
      </c>
      <c r="P131" t="inlineStr">
        <is>
          <t>sí</t>
        </is>
      </c>
      <c r="Q131" t="n">
        <v>600</v>
      </c>
      <c r="R131" t="n">
        <v>1200</v>
      </c>
      <c r="S131" t="n">
        <v>101.6</v>
      </c>
      <c r="T131" t="n">
        <v>0.129</v>
      </c>
      <c r="U131" t="n">
        <v>2.13</v>
      </c>
      <c r="V131" t="n">
        <v>12</v>
      </c>
      <c r="W131" t="n">
        <v>19.2</v>
      </c>
      <c r="X131" t="n">
        <v>148</v>
      </c>
      <c r="Y131" t="n">
        <v>1.84</v>
      </c>
      <c r="Z131" t="n">
        <v>66</v>
      </c>
      <c r="AA131" t="n">
        <v>26.9</v>
      </c>
      <c r="AB131" t="n">
        <v>7.1</v>
      </c>
      <c r="AC131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1" t="n">
        <v>2.93</v>
      </c>
      <c r="AE131" t="n">
        <v>20.31</v>
      </c>
      <c r="AF131" t="n">
        <v>0.415</v>
      </c>
      <c r="AG131" t="inlineStr">
        <is>
          <t>calculado</t>
        </is>
      </c>
      <c r="AH131" t="inlineStr"/>
      <c r="AI131" t="n">
        <v>3</v>
      </c>
      <c r="AJ131" t="n">
        <v>95.2</v>
      </c>
      <c r="AK131" t="n">
        <v>1961.3</v>
      </c>
      <c r="AL131" t="n">
        <v>9588.9</v>
      </c>
      <c r="AM131" t="n">
        <v>7627.6</v>
      </c>
      <c r="AN131" t="inlineStr">
        <is>
          <t>máximo desviador (hasta εa≈20 %)</t>
        </is>
      </c>
      <c r="AO131" t="n">
        <v>41.3</v>
      </c>
      <c r="AP131" t="n">
        <v>13.35</v>
      </c>
      <c r="AQ131" t="n">
        <v>-6.72</v>
      </c>
      <c r="AR131" t="inlineStr"/>
      <c r="AS131" t="inlineStr"/>
      <c r="AT131" t="inlineStr"/>
      <c r="AU131" t="inlineStr"/>
      <c r="AV131" t="n">
        <v>16.9</v>
      </c>
      <c r="AW131" t="inlineStr"/>
      <c r="AX131" t="n">
        <v>11.1</v>
      </c>
      <c r="AY131" t="inlineStr"/>
      <c r="AZ131" t="inlineStr"/>
      <c r="BA131" t="inlineStr">
        <is>
          <t>280;281;15;268;35;344</t>
        </is>
      </c>
      <c r="BB131" t="inlineStr">
        <is>
          <t>sí</t>
        </is>
      </c>
      <c r="BC131" t="inlineStr">
        <is>
          <t>Codisposal 1 (3.5:1 intrusivo:relave en masa según informe); carga monótona; IDIEM informa q=(σ1−σ3)/2 y p=(σ1+σ3)/2 en kgf/cm²; máx. q/2=38.89 y p=58.89 kgf/cm² (p.281); convertido con 1 kgf/cm²=98.0665 kPa; σ3 nominal del informe 1960 kPa (20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32200 cm³; ρd post-consolidación 2.28 g/cm³ (p.339) → e_c≈0.285 (calculado con Gs global); post-ensayo: % retenido N°4 = 52.1 (p.344); granulometría de ensayo: leído de gráfico (digitalizado, Gráfico 1 p.268);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ver resumen: la curva 'teórica' de ensayo coincide con desmonte + 22 % de relave aplicado solo a la fracción bajo 3/4" (≈13.1 % de la masa total); [VERIFICACIÓN 2026-10-06] contenido de relave RESUELTO: IDIEM indica "cortar el material ... en 4” y agregar un 22% de Relave integral ... se trabaja el material integral bajo ¾”" (p.267-268); la curva de montaje (Gráfico 1) coincide con el desmonte sobre 3/4" y se reproduce con 22 % de relave solo en la fracción &lt; 3/4" ⇒ relave efectivo 13.1 %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1" t="n">
        <v>1961.3</v>
      </c>
      <c r="BE131" t="n">
        <v>1961.3</v>
      </c>
      <c r="BF131" t="n">
        <v>9588.9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>
        <is>
          <t>igual al de máximo desviador (CID, σ′3 constante)</t>
        </is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>
        <is>
          <t>Triaxial CD</t>
        </is>
      </c>
      <c r="EY131" t="inlineStr">
        <is>
          <t>CD: máximo desviador</t>
        </is>
      </c>
      <c r="EZ131" t="n">
        <v>1961.3</v>
      </c>
      <c r="FA131" t="n">
        <v>9588.9</v>
      </c>
      <c r="FB131" t="n">
        <v>7627.599999999999</v>
      </c>
      <c r="FC131" t="n">
        <v>41.32938155918977</v>
      </c>
      <c r="FD131" t="n">
        <v>3256.516695814791</v>
      </c>
      <c r="FE131" t="n">
        <v>2863.879986989593</v>
      </c>
      <c r="FF131" t="inlineStr">
        <is>
          <t>0.6 m</t>
        </is>
      </c>
      <c r="FG131" t="n">
        <v>5.905511811023622</v>
      </c>
      <c r="FH131" t="inlineStr">
        <is>
          <t>Mezcla co-disposición (desmonte ROM + relave)</t>
        </is>
      </c>
      <c r="FI131" t="inlineStr">
        <is>
          <t>criterio experto: desmonte del tajo recibido con Dmax 10 in, escalado; programa de co-disposición de desmonte de camión</t>
        </is>
      </c>
      <c r="FJ131" t="inlineStr"/>
      <c r="FK131" t="inlineStr"/>
      <c r="FL131" t="inlineStr"/>
      <c r="FM131" t="inlineStr">
        <is>
          <t>B</t>
        </is>
      </c>
      <c r="FN131" t="n">
        <v>0.415</v>
      </c>
      <c r="FO131" t="inlineStr"/>
      <c r="FP131" t="n">
        <v>2.93</v>
      </c>
      <c r="FQ131" t="inlineStr">
        <is>
          <t>informe o verificación</t>
        </is>
      </c>
      <c r="FR131" t="inlineStr">
        <is>
          <t>W2024-129</t>
        </is>
      </c>
      <c r="FS131" t="inlineStr">
        <is>
          <t>W2024|WSP24_C1_MON</t>
        </is>
      </c>
    </row>
    <row r="132">
      <c r="A132" t="inlineStr">
        <is>
          <t>W2024</t>
        </is>
      </c>
      <c r="B132" t="inlineStr">
        <is>
          <t>2024_WSP_Ensayos gran escala mezcla co-disposicion.pdf</t>
        </is>
      </c>
      <c r="C132" t="n">
        <v>2024</v>
      </c>
      <c r="D132" t="inlineStr">
        <is>
          <t>WSP Perú – 101-20110-LTE01220-IFF-420-G-0003 Rev.0 (proyecto 2094151472); anexos IDIEM 1.914.482-A a F</t>
        </is>
      </c>
      <c r="E132" t="inlineStr">
        <is>
          <t>IDIEM (Universidad de Chile)</t>
        </is>
      </c>
      <c r="F132" t="inlineStr">
        <is>
          <t>WSP24_C2_CD</t>
        </is>
      </c>
      <c r="G132" t="inlineStr">
        <is>
          <t>IDIEM 1.914.482-C Codisposal 2 Probeta 1 (TX C/D) Pc 5 kgf/cm2</t>
        </is>
      </c>
      <c r="H132" t="inlineStr">
        <is>
          <t>Desmonte de Mina (Intrusivo) + Relave</t>
        </is>
      </c>
      <c r="I132" t="inlineStr">
        <is>
          <t>Intrusivo</t>
        </is>
      </c>
      <c r="J132" t="inlineStr">
        <is>
          <t>tonalita (31 de 38 fragmentos de carga puntual, IDIEM-F pp.356-362); incluye fragmentos de caliza (7 de 38)</t>
        </is>
      </c>
      <c r="K132" t="inlineStr">
        <is>
          <t>Nominal (informe): intrusivo 82 % / relave 18 %, aplicado a la fracción &lt; 3/4" (59.7 % de la masa); efectivo en masa seca total: desmonte intrusivo 89.3 %, relave 10.7 % (intrusivo:relave ≈ 8.3:1). Dentro del desmonte, por conteo de 38 fragmentos de carga puntual (no por masa): tonalita 31 (82 %), caliza 7 (18 %)</t>
        </is>
      </c>
      <c r="L132" t="inlineStr">
        <is>
          <t>tonalita: sericitización, cloritización, epidotización, oxidación, arcillas/zeolitización locales; caliza sin alteración (carga puntual IDIEM-F)</t>
        </is>
      </c>
      <c r="M132" t="inlineStr">
        <is>
          <t>Mezcla co-disposición: desmonte (clase no indicada) + 10.7 % relave en masa seca total (nominal del informe 18 % aplicado solo a la fracción &lt; 3/4")</t>
        </is>
      </c>
      <c r="N132" t="inlineStr"/>
      <c r="O132" t="inlineStr">
        <is>
          <t>CID carga-descarga</t>
        </is>
      </c>
      <c r="P132" t="inlineStr">
        <is>
          <t>sí</t>
        </is>
      </c>
      <c r="Q132" t="n">
        <v>600</v>
      </c>
      <c r="R132" t="n">
        <v>1200</v>
      </c>
      <c r="S132" t="n">
        <v>101.6</v>
      </c>
      <c r="T132" t="n">
        <v>0.135</v>
      </c>
      <c r="U132" t="n">
        <v>2.82</v>
      </c>
      <c r="V132" t="n">
        <v>12.2</v>
      </c>
      <c r="W132" t="n">
        <v>19</v>
      </c>
      <c r="X132" t="n">
        <v>141</v>
      </c>
      <c r="Y132" t="n">
        <v>3.1</v>
      </c>
      <c r="Z132" t="n">
        <v>67.2</v>
      </c>
      <c r="AA132" t="n">
        <v>25.8</v>
      </c>
      <c r="AB132" t="n">
        <v>7.1</v>
      </c>
      <c r="AC132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2" t="n">
        <v>2.9</v>
      </c>
      <c r="AE132" t="n">
        <v>19.91</v>
      </c>
      <c r="AF132" t="n">
        <v>0.429</v>
      </c>
      <c r="AG132" t="inlineStr">
        <is>
          <t>calculado</t>
        </is>
      </c>
      <c r="AH132" t="inlineStr"/>
      <c r="AI132" t="n">
        <v>3</v>
      </c>
      <c r="AJ132" t="n">
        <v>95.2</v>
      </c>
      <c r="AK132" t="n">
        <v>490.3</v>
      </c>
      <c r="AL132" t="n">
        <v>2757.6</v>
      </c>
      <c r="AM132" t="n">
        <v>2267.3</v>
      </c>
      <c r="AN132" t="inlineStr">
        <is>
          <t>máximo desviador (hasta εa≈20 %)</t>
        </is>
      </c>
      <c r="AO132" t="n">
        <v>44.3</v>
      </c>
      <c r="AP132" t="n">
        <v>7.93</v>
      </c>
      <c r="AQ132" t="n">
        <v>-3.57</v>
      </c>
      <c r="AR132" t="inlineStr"/>
      <c r="AS132" t="inlineStr"/>
      <c r="AT132" t="inlineStr"/>
      <c r="AU132" t="inlineStr"/>
      <c r="AV132" t="n">
        <v>13</v>
      </c>
      <c r="AW132" t="inlineStr"/>
      <c r="AX132" t="n">
        <v>10.9</v>
      </c>
      <c r="AY132" t="inlineStr"/>
      <c r="AZ132" t="inlineStr"/>
      <c r="BA132" t="inlineStr">
        <is>
          <t>157;169;15;143;36;222</t>
        </is>
      </c>
      <c r="BB132" t="inlineStr">
        <is>
          <t>sí</t>
        </is>
      </c>
      <c r="BC132" t="inlineStr">
        <is>
          <t>Codisposal 2 (4.5:1 intrusivo:relave en masa según informe); carga-descarga drenada sin extensión: ciclos a εa=2 % (1+0.5q), 5 % (15 completos+0.75q+0.5q) y 8 % (2 completos+0.75q+0.5q), luego hasta 20 % (Tabla 10 p.18); IDIEM informa q=(σ1−σ3)/2 y p=(σ1+σ3)/2 en kgf/cm²; máx. q/2=11.56 y p=16.56 kgf/cm² (p.169); convertido con 1 kgf/cm²=98.0665 kPa; σ3 nominal del informe 490 kPa (5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9100 cm³; ρd post-consolidación 2.09 g/cm³ (p.219) → e_c≈0.388 (calculado con Gs global); post-ensayo: % retenido N°4 = 54.4 (p.222); granulometría de ensayo: leído de gráfico (digitalizado, Gráfico 1 p.143);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IDIEM advierte: tras el 3er ciclo (8 %) aumento de deformación por cicleo; usar con precaución después del 8 %; el máximo q se dio al inicio de la etapa de 8 %; en carga-descarga el máximo q puede coincidir con el punto de inicio de un ciclo; ver resumen: la curva 'teórica' de ensayo coincide con desmonte + 18 % de relave aplicado solo a la fracción bajo 3/4" (≈10.7 % de la masa total); [VERIFICACIÓN 2026-10-06] contenido de relave RESUELTO: IDIEM indica "cortar el material ... en 4” y agregar un 18% de Relave integral ... se trabaja el material integral bajo ¾”" (p.142-143); la curva de montaje (Gráfico 1) coincide con el desmonte sobre 3/4" y se reproduce con 18 % de relave solo en la fracción &lt; 3/4" ⇒ relave efectivo 10.7 %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2" t="n">
        <v>490.3</v>
      </c>
      <c r="BE132" t="n">
        <v>490.3</v>
      </c>
      <c r="BF132" t="n">
        <v>2757.6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>
        <is>
          <t>igual al de máximo desviador (CID, σ′3 constante)</t>
        </is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>
        <is>
          <t>Triaxial CD carga-descarga</t>
        </is>
      </c>
      <c r="EY132" t="inlineStr">
        <is>
          <t>CD: máximo desviador</t>
        </is>
      </c>
      <c r="EZ132" t="n">
        <v>490.3</v>
      </c>
      <c r="FA132" t="n">
        <v>2757.6</v>
      </c>
      <c r="FB132" t="n">
        <v>2267.3</v>
      </c>
      <c r="FC132" t="n">
        <v>44.27331142543262</v>
      </c>
      <c r="FD132" t="n">
        <v>832.5695249237972</v>
      </c>
      <c r="FE132" t="n">
        <v>811.7137834040784</v>
      </c>
      <c r="FF132" t="inlineStr">
        <is>
          <t>0.6 m</t>
        </is>
      </c>
      <c r="FG132" t="n">
        <v>5.905511811023622</v>
      </c>
      <c r="FH132" t="inlineStr">
        <is>
          <t>Mezcla co-disposición (desmonte ROM + relave)</t>
        </is>
      </c>
      <c r="FI132" t="inlineStr">
        <is>
          <t>criterio experto: desmonte del tajo recibido con Dmax 10 in, escalado; programa de co-disposición de desmonte de camión</t>
        </is>
      </c>
      <c r="FJ132" t="inlineStr"/>
      <c r="FK132" t="inlineStr"/>
      <c r="FL132" t="inlineStr"/>
      <c r="FM132" t="inlineStr">
        <is>
          <t>B</t>
        </is>
      </c>
      <c r="FN132" t="n">
        <v>0.429</v>
      </c>
      <c r="FO132" t="inlineStr"/>
      <c r="FP132" t="n">
        <v>2.9</v>
      </c>
      <c r="FQ132" t="inlineStr">
        <is>
          <t>informe o verificación</t>
        </is>
      </c>
      <c r="FR132" t="inlineStr">
        <is>
          <t>W2024-130</t>
        </is>
      </c>
      <c r="FS132" t="inlineStr">
        <is>
          <t>W2024|WSP24_C2_CD</t>
        </is>
      </c>
    </row>
    <row r="133">
      <c r="A133" t="inlineStr">
        <is>
          <t>W2024</t>
        </is>
      </c>
      <c r="B133" t="inlineStr">
        <is>
          <t>2024_WSP_Ensayos gran escala mezcla co-disposicion.pdf</t>
        </is>
      </c>
      <c r="C133" t="n">
        <v>2024</v>
      </c>
      <c r="D133" t="inlineStr">
        <is>
          <t>WSP Perú – 101-20110-LTE01220-IFF-420-G-0003 Rev.0 (proyecto 2094151472); anexos IDIEM 1.914.482-A a F</t>
        </is>
      </c>
      <c r="E133" t="inlineStr">
        <is>
          <t>IDIEM (Universidad de Chile)</t>
        </is>
      </c>
      <c r="F133" t="inlineStr">
        <is>
          <t>WSP24_C2_CD</t>
        </is>
      </c>
      <c r="G133" t="inlineStr">
        <is>
          <t>IDIEM 1.914.482-C Codisposal 2 Probeta 2 (TX C/D) Pc 10 kgf/cm2</t>
        </is>
      </c>
      <c r="H133" t="inlineStr">
        <is>
          <t>Desmonte de Mina (Intrusivo) + Relave</t>
        </is>
      </c>
      <c r="I133" t="inlineStr">
        <is>
          <t>Intrusivo</t>
        </is>
      </c>
      <c r="J133" t="inlineStr">
        <is>
          <t>tonalita (31 de 38 fragmentos de carga puntual, IDIEM-F pp.356-362); incluye fragmentos de caliza (7 de 38)</t>
        </is>
      </c>
      <c r="K133" t="inlineStr">
        <is>
          <t>Nominal (informe): intrusivo 82 % / relave 18 %, aplicado a la fracción &lt; 3/4" (59.7 % de la masa); efectivo en masa seca total: desmonte intrusivo 89.3 %, relave 10.7 % (intrusivo:relave ≈ 8.3:1). Dentro del desmonte, por conteo de 38 fragmentos de carga puntual (no por masa): tonalita 31 (82 %), caliza 7 (18 %)</t>
        </is>
      </c>
      <c r="L133" t="inlineStr">
        <is>
          <t>tonalita: sericitización, cloritización, epidotización, oxidación, arcillas/zeolitización locales; caliza sin alteración (carga puntual IDIEM-F)</t>
        </is>
      </c>
      <c r="M133" t="inlineStr">
        <is>
          <t>Mezcla co-disposición: desmonte (clase no indicada) + 10.7 % relave en masa seca total (nominal del informe 18 % aplicado solo a la fracción &lt; 3/4")</t>
        </is>
      </c>
      <c r="N133" t="inlineStr"/>
      <c r="O133" t="inlineStr">
        <is>
          <t>CID carga-descarga</t>
        </is>
      </c>
      <c r="P133" t="inlineStr">
        <is>
          <t>sí</t>
        </is>
      </c>
      <c r="Q133" t="n">
        <v>600</v>
      </c>
      <c r="R133" t="n">
        <v>1200</v>
      </c>
      <c r="S133" t="n">
        <v>101.6</v>
      </c>
      <c r="T133" t="n">
        <v>0.135</v>
      </c>
      <c r="U133" t="n">
        <v>2.82</v>
      </c>
      <c r="V133" t="n">
        <v>12.2</v>
      </c>
      <c r="W133" t="n">
        <v>19</v>
      </c>
      <c r="X133" t="n">
        <v>141</v>
      </c>
      <c r="Y133" t="n">
        <v>3.1</v>
      </c>
      <c r="Z133" t="n">
        <v>67.2</v>
      </c>
      <c r="AA133" t="n">
        <v>25.8</v>
      </c>
      <c r="AB133" t="n">
        <v>7.1</v>
      </c>
      <c r="AC133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3" t="n">
        <v>2.9</v>
      </c>
      <c r="AE133" t="n">
        <v>19.91</v>
      </c>
      <c r="AF133" t="n">
        <v>0.429</v>
      </c>
      <c r="AG133" t="inlineStr">
        <is>
          <t>calculado</t>
        </is>
      </c>
      <c r="AH133" t="inlineStr"/>
      <c r="AI133" t="n">
        <v>3</v>
      </c>
      <c r="AJ133" t="n">
        <v>95.2</v>
      </c>
      <c r="AK133" t="n">
        <v>980.7</v>
      </c>
      <c r="AL133" t="n">
        <v>4683.7</v>
      </c>
      <c r="AM133" t="n">
        <v>3703</v>
      </c>
      <c r="AN133" t="inlineStr">
        <is>
          <t>máximo desviador (hasta εa≈20 %)</t>
        </is>
      </c>
      <c r="AO133" t="n">
        <v>40.8</v>
      </c>
      <c r="AP133" t="n">
        <v>12.71</v>
      </c>
      <c r="AQ133" t="n">
        <v>-4.48</v>
      </c>
      <c r="AR133" t="inlineStr"/>
      <c r="AS133" t="inlineStr"/>
      <c r="AT133" t="inlineStr"/>
      <c r="AU133" t="inlineStr"/>
      <c r="AV133" t="n">
        <v>15.8</v>
      </c>
      <c r="AW133" t="inlineStr"/>
      <c r="AX133" t="n">
        <v>11.5</v>
      </c>
      <c r="AY133" t="inlineStr"/>
      <c r="AZ133" t="inlineStr"/>
      <c r="BA133" t="inlineStr">
        <is>
          <t>172;186;15;143;36;222</t>
        </is>
      </c>
      <c r="BB133" t="inlineStr">
        <is>
          <t>sí</t>
        </is>
      </c>
      <c r="BC133" t="inlineStr">
        <is>
          <t>Codisposal 2 (4.5:1 intrusivo:relave en masa según informe); carga-descarga drenada sin extensión: ciclos a εa=2 % (1+0.5q), 5 % (15 completos+0.75q+0.5q) y 8 % (2 completos+0.75q+0.5q), luego hasta 20 % (Tabla 10 p.18); IDIEM informa q=(σ1−σ3)/2 y p=(σ1+σ3)/2 en kgf/cm²; máx. q/2=18.88 y p=28.88 kgf/cm² (p.186); convertido con 1 kgf/cm²=98.0665 kPa; σ3 nominal del informe 980 kPa (10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17400 cm³; ρd post-consolidación 2.14 g/cm³ (p.219) → e_c≈0.355 (calculado con Gs global); post-ensayo: % retenido N°4 = 52.6 (p.222); granulometría de ensayo: leído de gráfico (digitalizado, Gráfico 1 p.143);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en carga-descarga el máximo q puede coincidir con el punto de inicio de un ciclo; ver resumen: la curva 'teórica' de ensayo coincide con desmonte + 18 % de relave aplicado solo a la fracción bajo 3/4" (≈10.7 % de la masa total); [VERIFICACIÓN 2026-10-06] contenido de relave RESUELTO: IDIEM indica "cortar el material ... en 4” y agregar un 18% de Relave integral ... se trabaja el material integral bajo ¾”" (p.142-143); la curva de montaje (Gráfico 1) coincide con el desmonte sobre 3/4" y se reproduce con 18 % de relave solo en la fracción &lt; 3/4" ⇒ relave efectivo 10.7 %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3" t="n">
        <v>980.7</v>
      </c>
      <c r="BE133" t="n">
        <v>980.7</v>
      </c>
      <c r="BF133" t="n">
        <v>4683.7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>
        <is>
          <t>igual al de máximo desviador (CID, σ′3 constante)</t>
        </is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>
        <is>
          <t>Triaxial CD carga-descarga</t>
        </is>
      </c>
      <c r="EY133" t="inlineStr">
        <is>
          <t>CD: máximo desviador</t>
        </is>
      </c>
      <c r="EZ133" t="n">
        <v>980.7</v>
      </c>
      <c r="FA133" t="n">
        <v>4683.7</v>
      </c>
      <c r="FB133" t="n">
        <v>3703</v>
      </c>
      <c r="FC133" t="n">
        <v>40.82357940474409</v>
      </c>
      <c r="FD133" t="n">
        <v>1621.815051903114</v>
      </c>
      <c r="FE133" t="n">
        <v>1401.078344497729</v>
      </c>
      <c r="FF133" t="inlineStr">
        <is>
          <t>0.6 m</t>
        </is>
      </c>
      <c r="FG133" t="n">
        <v>5.905511811023622</v>
      </c>
      <c r="FH133" t="inlineStr">
        <is>
          <t>Mezcla co-disposición (desmonte ROM + relave)</t>
        </is>
      </c>
      <c r="FI133" t="inlineStr">
        <is>
          <t>criterio experto: desmonte del tajo recibido con Dmax 10 in, escalado; programa de co-disposición de desmonte de camión</t>
        </is>
      </c>
      <c r="FJ133" t="inlineStr"/>
      <c r="FK133" t="inlineStr"/>
      <c r="FL133" t="inlineStr"/>
      <c r="FM133" t="inlineStr">
        <is>
          <t>B</t>
        </is>
      </c>
      <c r="FN133" t="n">
        <v>0.429</v>
      </c>
      <c r="FO133" t="inlineStr"/>
      <c r="FP133" t="n">
        <v>2.9</v>
      </c>
      <c r="FQ133" t="inlineStr">
        <is>
          <t>informe o verificación</t>
        </is>
      </c>
      <c r="FR133" t="inlineStr">
        <is>
          <t>W2024-131</t>
        </is>
      </c>
      <c r="FS133" t="inlineStr">
        <is>
          <t>W2024|WSP24_C2_CD</t>
        </is>
      </c>
    </row>
    <row r="134">
      <c r="A134" t="inlineStr">
        <is>
          <t>W2024</t>
        </is>
      </c>
      <c r="B134" t="inlineStr">
        <is>
          <t>2024_WSP_Ensayos gran escala mezcla co-disposicion.pdf</t>
        </is>
      </c>
      <c r="C134" t="n">
        <v>2024</v>
      </c>
      <c r="D134" t="inlineStr">
        <is>
          <t>WSP Perú – 101-20110-LTE01220-IFF-420-G-0003 Rev.0 (proyecto 2094151472); anexos IDIEM 1.914.482-A a F</t>
        </is>
      </c>
      <c r="E134" t="inlineStr">
        <is>
          <t>IDIEM (Universidad de Chile)</t>
        </is>
      </c>
      <c r="F134" t="inlineStr">
        <is>
          <t>WSP24_C2_CD</t>
        </is>
      </c>
      <c r="G134" t="inlineStr">
        <is>
          <t>IDIEM 1.914.482-C Codisposal 2 Probeta 3 (TX C/D) Pc 20 kgf/cm2</t>
        </is>
      </c>
      <c r="H134" t="inlineStr">
        <is>
          <t>Desmonte de Mina (Intrusivo) + Relave</t>
        </is>
      </c>
      <c r="I134" t="inlineStr">
        <is>
          <t>Intrusivo</t>
        </is>
      </c>
      <c r="J134" t="inlineStr">
        <is>
          <t>tonalita (31 de 38 fragmentos de carga puntual, IDIEM-F pp.356-362); incluye fragmentos de caliza (7 de 38)</t>
        </is>
      </c>
      <c r="K134" t="inlineStr">
        <is>
          <t>Nominal (informe): intrusivo 82 % / relave 18 %, aplicado a la fracción &lt; 3/4" (59.7 % de la masa); efectivo en masa seca total: desmonte intrusivo 89.3 %, relave 10.7 % (intrusivo:relave ≈ 8.3:1). Dentro del desmonte, por conteo de 38 fragmentos de carga puntual (no por masa): tonalita 31 (82 %), caliza 7 (18 %)</t>
        </is>
      </c>
      <c r="L134" t="inlineStr">
        <is>
          <t>tonalita: sericitización, cloritización, epidotización, oxidación, arcillas/zeolitización locales; caliza sin alteración (carga puntual IDIEM-F)</t>
        </is>
      </c>
      <c r="M134" t="inlineStr">
        <is>
          <t>Mezcla co-disposición: desmonte (clase no indicada) + 10.7 % relave en masa seca total (nominal del informe 18 % aplicado solo a la fracción &lt; 3/4")</t>
        </is>
      </c>
      <c r="N134" t="inlineStr"/>
      <c r="O134" t="inlineStr">
        <is>
          <t>CID carga-descarga</t>
        </is>
      </c>
      <c r="P134" t="inlineStr">
        <is>
          <t>sí</t>
        </is>
      </c>
      <c r="Q134" t="n">
        <v>600</v>
      </c>
      <c r="R134" t="n">
        <v>1200</v>
      </c>
      <c r="S134" t="n">
        <v>101.6</v>
      </c>
      <c r="T134" t="n">
        <v>0.135</v>
      </c>
      <c r="U134" t="n">
        <v>2.82</v>
      </c>
      <c r="V134" t="n">
        <v>12.2</v>
      </c>
      <c r="W134" t="n">
        <v>19</v>
      </c>
      <c r="X134" t="n">
        <v>141</v>
      </c>
      <c r="Y134" t="n">
        <v>3.1</v>
      </c>
      <c r="Z134" t="n">
        <v>67.2</v>
      </c>
      <c r="AA134" t="n">
        <v>25.8</v>
      </c>
      <c r="AB134" t="n">
        <v>7.1</v>
      </c>
      <c r="AC134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4" t="n">
        <v>2.9</v>
      </c>
      <c r="AE134" t="n">
        <v>19.91</v>
      </c>
      <c r="AF134" t="n">
        <v>0.429</v>
      </c>
      <c r="AG134" t="inlineStr">
        <is>
          <t>calculado</t>
        </is>
      </c>
      <c r="AH134" t="inlineStr"/>
      <c r="AI134" t="n">
        <v>3</v>
      </c>
      <c r="AJ134" t="n">
        <v>95.2</v>
      </c>
      <c r="AK134" t="n">
        <v>1961.3</v>
      </c>
      <c r="AL134" t="n">
        <v>8933.9</v>
      </c>
      <c r="AM134" t="n">
        <v>6972.5</v>
      </c>
      <c r="AN134" t="inlineStr">
        <is>
          <t>máximo desviador (hasta εa≈20 %)</t>
        </is>
      </c>
      <c r="AO134" t="n">
        <v>39.8</v>
      </c>
      <c r="AP134" t="n">
        <v>13.52</v>
      </c>
      <c r="AQ134" t="n">
        <v>-5.13</v>
      </c>
      <c r="AR134" t="inlineStr"/>
      <c r="AS134" t="inlineStr"/>
      <c r="AT134" t="inlineStr"/>
      <c r="AU134" t="inlineStr"/>
      <c r="AV134" t="n">
        <v>15.2</v>
      </c>
      <c r="AW134" t="inlineStr"/>
      <c r="AX134" t="n">
        <v>10.3</v>
      </c>
      <c r="AY134" t="inlineStr"/>
      <c r="AZ134" t="inlineStr"/>
      <c r="BA134" t="inlineStr">
        <is>
          <t>188;204;15;143;36;222</t>
        </is>
      </c>
      <c r="BB134" t="inlineStr">
        <is>
          <t>sí</t>
        </is>
      </c>
      <c r="BC134" t="inlineStr">
        <is>
          <t>Codisposal 2 (4.5:1 intrusivo:relave en masa según informe); carga-descarga drenada sin extensión: ciclos a εa=2 % (1+0.5q), 5 % (15 completos+0.75q+0.5q) y 8 % (2 completos+0.75q+0.5q), luego hasta 20 % (Tabla 10 p.18); IDIEM informa q=(σ1−σ3)/2 y p=(σ1+σ3)/2 en kgf/cm²; máx. q/2=35.55 y p=55.55 kgf/cm² (p.204); convertido con 1 kgf/cm²=98.0665 kPa; σ3 nominal del informe 1960 kPa (20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26900 cm³; ρd post-consolidación 2.20 g/cm³ (p.219) → e_c≈0.318 (calculado con Gs global); post-ensayo: % retenido N°4 = 53.8 (p.222); granulometría de ensayo: leído de gráfico (digitalizado, Gráfico 1 p.143);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en carga-descarga el máximo q puede coincidir con el punto de inicio de un ciclo; ver resumen: la curva 'teórica' de ensayo coincide con desmonte + 18 % de relave aplicado solo a la fracción bajo 3/4" (≈10.7 % de la masa total); [VERIFICACIÓN 2026-10-06] contenido de relave RESUELTO: IDIEM indica "cortar el material ... en 4” y agregar un 18% de Relave integral ... se trabaja el material integral bajo ¾”" (p.142-143); la curva de montaje (Gráfico 1) coincide con el desmonte sobre 3/4" y se reproduce con 18 % de relave solo en la fracción &lt; 3/4" ⇒ relave efectivo 10.7 %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4" t="n">
        <v>1961.3</v>
      </c>
      <c r="BE134" t="n">
        <v>1961.3</v>
      </c>
      <c r="BF134" t="n">
        <v>8933.9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igual al de máximo desviador (CID, σ′3 constante)</t>
        </is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>
        <is>
          <t>Triaxial CD carga-descarga</t>
        </is>
      </c>
      <c r="EY134" t="inlineStr">
        <is>
          <t>CD: máximo desviador</t>
        </is>
      </c>
      <c r="EZ134" t="n">
        <v>1961.3</v>
      </c>
      <c r="FA134" t="n">
        <v>8933.9</v>
      </c>
      <c r="FB134" t="n">
        <v>6972.599999999999</v>
      </c>
      <c r="FC134" t="n">
        <v>39.78957468221556</v>
      </c>
      <c r="FD134" t="n">
        <v>3216.472955062779</v>
      </c>
      <c r="FE134" t="n">
        <v>2678.872859870305</v>
      </c>
      <c r="FF134" t="inlineStr">
        <is>
          <t>0.6 m</t>
        </is>
      </c>
      <c r="FG134" t="n">
        <v>5.905511811023622</v>
      </c>
      <c r="FH134" t="inlineStr">
        <is>
          <t>Mezcla co-disposición (desmonte ROM + relave)</t>
        </is>
      </c>
      <c r="FI134" t="inlineStr">
        <is>
          <t>criterio experto: desmonte del tajo recibido con Dmax 10 in, escalado; programa de co-disposición de desmonte de camión</t>
        </is>
      </c>
      <c r="FJ134" t="inlineStr"/>
      <c r="FK134" t="inlineStr"/>
      <c r="FL134" t="inlineStr"/>
      <c r="FM134" t="inlineStr">
        <is>
          <t>B</t>
        </is>
      </c>
      <c r="FN134" t="n">
        <v>0.429</v>
      </c>
      <c r="FO134" t="inlineStr"/>
      <c r="FP134" t="n">
        <v>2.9</v>
      </c>
      <c r="FQ134" t="inlineStr">
        <is>
          <t>informe o verificación</t>
        </is>
      </c>
      <c r="FR134" t="inlineStr">
        <is>
          <t>W2024-132</t>
        </is>
      </c>
      <c r="FS134" t="inlineStr">
        <is>
          <t>W2024|WSP24_C2_CD</t>
        </is>
      </c>
    </row>
    <row r="135">
      <c r="A135" t="inlineStr">
        <is>
          <t>W2024</t>
        </is>
      </c>
      <c r="B135" t="inlineStr">
        <is>
          <t>2024_WSP_Ensayos gran escala mezcla co-disposicion.pdf</t>
        </is>
      </c>
      <c r="C135" t="n">
        <v>2024</v>
      </c>
      <c r="D135" t="inlineStr">
        <is>
          <t>WSP Perú – 101-20110-LTE01220-IFF-420-G-0003 Rev.0 (proyecto 2094151472); anexos IDIEM 1.914.482-A a F</t>
        </is>
      </c>
      <c r="E135" t="inlineStr">
        <is>
          <t>IDIEM (Universidad de Chile)</t>
        </is>
      </c>
      <c r="F135" t="inlineStr">
        <is>
          <t>WSP24_C2_MON</t>
        </is>
      </c>
      <c r="G135" t="inlineStr">
        <is>
          <t>IDIEM 1.914.482-C Codisposal 2 Probeta 1 (TX M) Pc 5 kgf/cm2</t>
        </is>
      </c>
      <c r="H135" t="inlineStr">
        <is>
          <t>Desmonte de Mina (Intrusivo) + Relave</t>
        </is>
      </c>
      <c r="I135" t="inlineStr">
        <is>
          <t>Intrusivo</t>
        </is>
      </c>
      <c r="J135" t="inlineStr">
        <is>
          <t>tonalita (31 de 38 fragmentos de carga puntual, IDIEM-F pp.356-362); incluye fragmentos de caliza (7 de 38)</t>
        </is>
      </c>
      <c r="K135" t="inlineStr">
        <is>
          <t>Nominal (informe): intrusivo 82 % / relave 18 %, aplicado a la fracción &lt; 3/4" (59.7 % de la masa); efectivo en masa seca total: desmonte intrusivo 89.3 %, relave 10.7 % (intrusivo:relave ≈ 8.3:1). Dentro del desmonte, por conteo de 38 fragmentos de carga puntual (no por masa): tonalita 31 (82 %), caliza 7 (18 %)</t>
        </is>
      </c>
      <c r="L135" t="inlineStr">
        <is>
          <t>tonalita: sericitización, cloritización, epidotización, oxidación, arcillas/zeolitización locales; caliza sin alteración (carga puntual IDIEM-F)</t>
        </is>
      </c>
      <c r="M135" t="inlineStr">
        <is>
          <t>Mezcla co-disposición: desmonte (clase no indicada) + 10.7 % relave en masa seca total (nominal del informe 18 % aplicado solo a la fracción &lt; 3/4")</t>
        </is>
      </c>
      <c r="N135" t="inlineStr"/>
      <c r="O135" t="inlineStr">
        <is>
          <t>CID</t>
        </is>
      </c>
      <c r="P135" t="inlineStr">
        <is>
          <t>sí</t>
        </is>
      </c>
      <c r="Q135" t="n">
        <v>600</v>
      </c>
      <c r="R135" t="n">
        <v>1200</v>
      </c>
      <c r="S135" t="n">
        <v>101.6</v>
      </c>
      <c r="T135" t="n">
        <v>0.135</v>
      </c>
      <c r="U135" t="n">
        <v>2.82</v>
      </c>
      <c r="V135" t="n">
        <v>12.2</v>
      </c>
      <c r="W135" t="n">
        <v>19</v>
      </c>
      <c r="X135" t="n">
        <v>141</v>
      </c>
      <c r="Y135" t="n">
        <v>3.1</v>
      </c>
      <c r="Z135" t="n">
        <v>67.2</v>
      </c>
      <c r="AA135" t="n">
        <v>25.8</v>
      </c>
      <c r="AB135" t="n">
        <v>7.1</v>
      </c>
      <c r="AC135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5" t="n">
        <v>2.9</v>
      </c>
      <c r="AE135" t="n">
        <v>19.91</v>
      </c>
      <c r="AF135" t="n">
        <v>0.429</v>
      </c>
      <c r="AG135" t="inlineStr">
        <is>
          <t>calculado</t>
        </is>
      </c>
      <c r="AH135" t="inlineStr"/>
      <c r="AI135" t="n">
        <v>3</v>
      </c>
      <c r="AJ135" t="n">
        <v>95.2</v>
      </c>
      <c r="AK135" t="n">
        <v>490.3</v>
      </c>
      <c r="AL135" t="n">
        <v>2394.8</v>
      </c>
      <c r="AM135" t="n">
        <v>1904.5</v>
      </c>
      <c r="AN135" t="inlineStr">
        <is>
          <t>máximo desviador (hasta εa≈20 %)</t>
        </is>
      </c>
      <c r="AO135" t="n">
        <v>41.3</v>
      </c>
      <c r="AP135" t="n">
        <v>14.72</v>
      </c>
      <c r="AQ135" t="n">
        <v>-3.11</v>
      </c>
      <c r="AR135" t="inlineStr"/>
      <c r="AS135" t="inlineStr"/>
      <c r="AT135" t="inlineStr"/>
      <c r="AU135" t="inlineStr"/>
      <c r="AV135" t="n">
        <v>7.8</v>
      </c>
      <c r="AW135" t="inlineStr"/>
      <c r="AX135" t="n">
        <v>8.199999999999999</v>
      </c>
      <c r="AY135" t="inlineStr"/>
      <c r="AZ135" t="inlineStr"/>
      <c r="BA135" t="inlineStr">
        <is>
          <t>148;149;15;143;36;221</t>
        </is>
      </c>
      <c r="BB135" t="inlineStr">
        <is>
          <t>sí</t>
        </is>
      </c>
      <c r="BC135" t="inlineStr">
        <is>
          <t>Codisposal 2 (4.5:1 intrusivo:relave en masa según informe); carga monótona; IDIEM informa q=(σ1−σ3)/2 y p=(σ1+σ3)/2 en kgf/cm²; máx. q/2=9.71 y p=14.71 kgf/cm² (p.149); convertido con 1 kgf/cm²=98.0665 kPa; σ3 nominal del informe 490 kPa (5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8500 cm³; ρd post-consolidación 2.08 g/cm³ (p.217) → e_c≈0.394 (calculado con Gs global); post-ensayo: % retenido N°4 = 60.6 (p.221); granulometría de ensayo: leído de gráfico (digitalizado, Gráfico 1 p.143);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ver resumen: la curva 'teórica' de ensayo coincide con desmonte + 18 % de relave aplicado solo a la fracción bajo 3/4" (≈10.7 % de la masa total); [VERIFICACIÓN 2026-10-06] contenido de relave RESUELTO: IDIEM indica "cortar el material ... en 4” y agregar un 18% de Relave integral ... se trabaja el material integral bajo ¾”" (p.142-143); la curva de montaje (Gráfico 1) coincide con el desmonte sobre 3/4" y se reproduce con 18 % de relave solo en la fracción &lt; 3/4" ⇒ relave efectivo 10.7 %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5" t="n">
        <v>490.3</v>
      </c>
      <c r="BE135" t="n">
        <v>490.3</v>
      </c>
      <c r="BF135" t="n">
        <v>2394.8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>
        <is>
          <t>igual al de máximo desviador (CID, σ′3 constante)</t>
        </is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>
        <is>
          <t>Triaxial CD</t>
        </is>
      </c>
      <c r="EY135" t="inlineStr">
        <is>
          <t>CD: máximo desviador</t>
        </is>
      </c>
      <c r="EZ135" t="n">
        <v>490.3</v>
      </c>
      <c r="FA135" t="n">
        <v>2394.8</v>
      </c>
      <c r="FB135" t="n">
        <v>1904.5</v>
      </c>
      <c r="FC135" t="n">
        <v>41.30870245468428</v>
      </c>
      <c r="FD135" t="n">
        <v>813.9547606668747</v>
      </c>
      <c r="FE135" t="n">
        <v>715.2958042570438</v>
      </c>
      <c r="FF135" t="inlineStr">
        <is>
          <t>0.6 m</t>
        </is>
      </c>
      <c r="FG135" t="n">
        <v>5.905511811023622</v>
      </c>
      <c r="FH135" t="inlineStr">
        <is>
          <t>Mezcla co-disposición (desmonte ROM + relave)</t>
        </is>
      </c>
      <c r="FI135" t="inlineStr">
        <is>
          <t>criterio experto: desmonte del tajo recibido con Dmax 10 in, escalado; programa de co-disposición de desmonte de camión</t>
        </is>
      </c>
      <c r="FJ135" t="inlineStr"/>
      <c r="FK135" t="inlineStr"/>
      <c r="FL135" t="inlineStr"/>
      <c r="FM135" t="inlineStr">
        <is>
          <t>B</t>
        </is>
      </c>
      <c r="FN135" t="n">
        <v>0.429</v>
      </c>
      <c r="FO135" t="inlineStr"/>
      <c r="FP135" t="n">
        <v>2.9</v>
      </c>
      <c r="FQ135" t="inlineStr">
        <is>
          <t>informe o verificación</t>
        </is>
      </c>
      <c r="FR135" t="inlineStr">
        <is>
          <t>W2024-133</t>
        </is>
      </c>
      <c r="FS135" t="inlineStr">
        <is>
          <t>W2024|WSP24_C2_MON</t>
        </is>
      </c>
    </row>
    <row r="136">
      <c r="A136" t="inlineStr">
        <is>
          <t>W2024</t>
        </is>
      </c>
      <c r="B136" t="inlineStr">
        <is>
          <t>2024_WSP_Ensayos gran escala mezcla co-disposicion.pdf</t>
        </is>
      </c>
      <c r="C136" t="n">
        <v>2024</v>
      </c>
      <c r="D136" t="inlineStr">
        <is>
          <t>WSP Perú – 101-20110-LTE01220-IFF-420-G-0003 Rev.0 (proyecto 2094151472); anexos IDIEM 1.914.482-A a F</t>
        </is>
      </c>
      <c r="E136" t="inlineStr">
        <is>
          <t>IDIEM (Universidad de Chile)</t>
        </is>
      </c>
      <c r="F136" t="inlineStr">
        <is>
          <t>WSP24_C2_MON</t>
        </is>
      </c>
      <c r="G136" t="inlineStr">
        <is>
          <t>IDIEM 1.914.482-C Codisposal 2 Probeta 2 (TX M) Pc 10 kgf/cm2</t>
        </is>
      </c>
      <c r="H136" t="inlineStr">
        <is>
          <t>Desmonte de Mina (Intrusivo) + Relave</t>
        </is>
      </c>
      <c r="I136" t="inlineStr">
        <is>
          <t>Intrusivo</t>
        </is>
      </c>
      <c r="J136" t="inlineStr">
        <is>
          <t>tonalita (31 de 38 fragmentos de carga puntual, IDIEM-F pp.356-362); incluye fragmentos de caliza (7 de 38)</t>
        </is>
      </c>
      <c r="K136" t="inlineStr">
        <is>
          <t>Nominal (informe): intrusivo 82 % / relave 18 %, aplicado a la fracción &lt; 3/4" (59.7 % de la masa); efectivo en masa seca total: desmonte intrusivo 89.3 %, relave 10.7 % (intrusivo:relave ≈ 8.3:1). Dentro del desmonte, por conteo de 38 fragmentos de carga puntual (no por masa): tonalita 31 (82 %), caliza 7 (18 %)</t>
        </is>
      </c>
      <c r="L136" t="inlineStr">
        <is>
          <t>tonalita: sericitización, cloritización, epidotización, oxidación, arcillas/zeolitización locales; caliza sin alteración (carga puntual IDIEM-F)</t>
        </is>
      </c>
      <c r="M136" t="inlineStr">
        <is>
          <t>Mezcla co-disposición: desmonte (clase no indicada) + 10.7 % relave en masa seca total (nominal del informe 18 % aplicado solo a la fracción &lt; 3/4")</t>
        </is>
      </c>
      <c r="N136" t="inlineStr"/>
      <c r="O136" t="inlineStr">
        <is>
          <t>CID</t>
        </is>
      </c>
      <c r="P136" t="inlineStr">
        <is>
          <t>sí</t>
        </is>
      </c>
      <c r="Q136" t="n">
        <v>600</v>
      </c>
      <c r="R136" t="n">
        <v>1200</v>
      </c>
      <c r="S136" t="n">
        <v>101.6</v>
      </c>
      <c r="T136" t="n">
        <v>0.135</v>
      </c>
      <c r="U136" t="n">
        <v>2.82</v>
      </c>
      <c r="V136" t="n">
        <v>12.2</v>
      </c>
      <c r="W136" t="n">
        <v>19</v>
      </c>
      <c r="X136" t="n">
        <v>141</v>
      </c>
      <c r="Y136" t="n">
        <v>3.1</v>
      </c>
      <c r="Z136" t="n">
        <v>67.2</v>
      </c>
      <c r="AA136" t="n">
        <v>25.8</v>
      </c>
      <c r="AB136" t="n">
        <v>7.1</v>
      </c>
      <c r="AC136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6" t="n">
        <v>2.9</v>
      </c>
      <c r="AE136" t="n">
        <v>19.91</v>
      </c>
      <c r="AF136" t="n">
        <v>0.429</v>
      </c>
      <c r="AG136" t="inlineStr">
        <is>
          <t>calculado</t>
        </is>
      </c>
      <c r="AH136" t="inlineStr"/>
      <c r="AI136" t="n">
        <v>3</v>
      </c>
      <c r="AJ136" t="n">
        <v>95.2</v>
      </c>
      <c r="AK136" t="n">
        <v>980.7</v>
      </c>
      <c r="AL136" t="n">
        <v>4544.4</v>
      </c>
      <c r="AM136" t="n">
        <v>3563.7</v>
      </c>
      <c r="AN136" t="inlineStr">
        <is>
          <t>máximo desviador (hasta εa≈20 %)</t>
        </is>
      </c>
      <c r="AO136" t="n">
        <v>40.2</v>
      </c>
      <c r="AP136" t="n">
        <v>15.65</v>
      </c>
      <c r="AQ136" t="n">
        <v>-3.8</v>
      </c>
      <c r="AR136" t="inlineStr"/>
      <c r="AS136" t="inlineStr"/>
      <c r="AT136" t="inlineStr"/>
      <c r="AU136" t="inlineStr"/>
      <c r="AV136" t="n">
        <v>8.6</v>
      </c>
      <c r="AW136" t="inlineStr"/>
      <c r="AX136" t="n">
        <v>7.8</v>
      </c>
      <c r="AY136" t="inlineStr"/>
      <c r="AZ136" t="inlineStr"/>
      <c r="BA136" t="inlineStr">
        <is>
          <t>151;152;15;143;36;221</t>
        </is>
      </c>
      <c r="BB136" t="inlineStr">
        <is>
          <t>sí</t>
        </is>
      </c>
      <c r="BC136" t="inlineStr">
        <is>
          <t>Codisposal 2 (4.5:1 intrusivo:relave en masa según informe); carga monótona; IDIEM informa q=(σ1−σ3)/2 y p=(σ1+σ3)/2 en kgf/cm²; máx. q/2=18.17 y p=28.17 kgf/cm² (p.152); convertido con 1 kgf/cm²=98.0665 kPa; σ3 nominal del informe 980 kPa (10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16000 cm³; ρd post-consolidación 2.13 g/cm³ (p.217) → e_c≈0.362 (calculado con Gs global); post-ensayo: % retenido N°4 = 61.2 (p.221); granulometría de ensayo: leído de gráfico (digitalizado, Gráfico 1 p.143);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ver resumen: la curva 'teórica' de ensayo coincide con desmonte + 18 % de relave aplicado solo a la fracción bajo 3/4" (≈10.7 % de la masa total); [VERIFICACIÓN 2026-10-06] contenido de relave RESUELTO: IDIEM indica "cortar el material ... en 4” y agregar un 18% de Relave integral ... se trabaja el material integral bajo ¾”" (p.142-143); la curva de montaje (Gráfico 1) coincide con el desmonte sobre 3/4" y se reproduce con 18 % de relave solo en la fracción &lt; 3/4" ⇒ relave efectivo 10.7 %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6" t="n">
        <v>980.7</v>
      </c>
      <c r="BE136" t="n">
        <v>980.7</v>
      </c>
      <c r="BF136" t="n">
        <v>4544.4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>
        <is>
          <t>igual al de máximo desviador (CID, σ′3 constante)</t>
        </is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>
        <is>
          <t>Triaxial CD</t>
        </is>
      </c>
      <c r="EY136" t="inlineStr">
        <is>
          <t>CD: máximo desviador</t>
        </is>
      </c>
      <c r="EZ136" t="n">
        <v>980.7</v>
      </c>
      <c r="FA136" t="n">
        <v>4544.4</v>
      </c>
      <c r="FB136" t="n">
        <v>3563.7</v>
      </c>
      <c r="FC136" t="n">
        <v>40.16581795628826</v>
      </c>
      <c r="FD136" t="n">
        <v>1613.253363740022</v>
      </c>
      <c r="FE136" t="n">
        <v>1361.655853871124</v>
      </c>
      <c r="FF136" t="inlineStr">
        <is>
          <t>0.6 m</t>
        </is>
      </c>
      <c r="FG136" t="n">
        <v>5.905511811023622</v>
      </c>
      <c r="FH136" t="inlineStr">
        <is>
          <t>Mezcla co-disposición (desmonte ROM + relave)</t>
        </is>
      </c>
      <c r="FI136" t="inlineStr">
        <is>
          <t>criterio experto: desmonte del tajo recibido con Dmax 10 in, escalado; programa de co-disposición de desmonte de camión</t>
        </is>
      </c>
      <c r="FJ136" t="inlineStr"/>
      <c r="FK136" t="inlineStr"/>
      <c r="FL136" t="inlineStr"/>
      <c r="FM136" t="inlineStr">
        <is>
          <t>B</t>
        </is>
      </c>
      <c r="FN136" t="n">
        <v>0.429</v>
      </c>
      <c r="FO136" t="inlineStr"/>
      <c r="FP136" t="n">
        <v>2.9</v>
      </c>
      <c r="FQ136" t="inlineStr">
        <is>
          <t>informe o verificación</t>
        </is>
      </c>
      <c r="FR136" t="inlineStr">
        <is>
          <t>W2024-134</t>
        </is>
      </c>
      <c r="FS136" t="inlineStr">
        <is>
          <t>W2024|WSP24_C2_MON</t>
        </is>
      </c>
    </row>
    <row r="137">
      <c r="A137" t="inlineStr">
        <is>
          <t>W2024</t>
        </is>
      </c>
      <c r="B137" t="inlineStr">
        <is>
          <t>2024_WSP_Ensayos gran escala mezcla co-disposicion.pdf</t>
        </is>
      </c>
      <c r="C137" t="n">
        <v>2024</v>
      </c>
      <c r="D137" t="inlineStr">
        <is>
          <t>WSP Perú – 101-20110-LTE01220-IFF-420-G-0003 Rev.0 (proyecto 2094151472); anexos IDIEM 1.914.482-A a F</t>
        </is>
      </c>
      <c r="E137" t="inlineStr">
        <is>
          <t>IDIEM (Universidad de Chile)</t>
        </is>
      </c>
      <c r="F137" t="inlineStr">
        <is>
          <t>WSP24_C2_MON</t>
        </is>
      </c>
      <c r="G137" t="inlineStr">
        <is>
          <t>IDIEM 1.914.482-C Codisposal 2 Probeta 3 (TX M) Pc 20 kgf/cm2</t>
        </is>
      </c>
      <c r="H137" t="inlineStr">
        <is>
          <t>Desmonte de Mina (Intrusivo) + Relave</t>
        </is>
      </c>
      <c r="I137" t="inlineStr">
        <is>
          <t>Intrusivo</t>
        </is>
      </c>
      <c r="J137" t="inlineStr">
        <is>
          <t>tonalita (31 de 38 fragmentos de carga puntual, IDIEM-F pp.356-362); incluye fragmentos de caliza (7 de 38)</t>
        </is>
      </c>
      <c r="K137" t="inlineStr">
        <is>
          <t>Nominal (informe): intrusivo 82 % / relave 18 %, aplicado a la fracción &lt; 3/4" (59.7 % de la masa); efectivo en masa seca total: desmonte intrusivo 89.3 %, relave 10.7 % (intrusivo:relave ≈ 8.3:1). Dentro del desmonte, por conteo de 38 fragmentos de carga puntual (no por masa): tonalita 31 (82 %), caliza 7 (18 %)</t>
        </is>
      </c>
      <c r="L137" t="inlineStr">
        <is>
          <t>tonalita: sericitización, cloritización, epidotización, oxidación, arcillas/zeolitización locales; caliza sin alteración (carga puntual IDIEM-F)</t>
        </is>
      </c>
      <c r="M137" t="inlineStr">
        <is>
          <t>Mezcla co-disposición: desmonte (clase no indicada) + 10.7 % relave en masa seca total (nominal del informe 18 % aplicado solo a la fracción &lt; 3/4")</t>
        </is>
      </c>
      <c r="N137" t="inlineStr"/>
      <c r="O137" t="inlineStr">
        <is>
          <t>CID</t>
        </is>
      </c>
      <c r="P137" t="inlineStr">
        <is>
          <t>sí</t>
        </is>
      </c>
      <c r="Q137" t="n">
        <v>600</v>
      </c>
      <c r="R137" t="n">
        <v>1200</v>
      </c>
      <c r="S137" t="n">
        <v>101.6</v>
      </c>
      <c r="T137" t="n">
        <v>0.135</v>
      </c>
      <c r="U137" t="n">
        <v>2.82</v>
      </c>
      <c r="V137" t="n">
        <v>12.2</v>
      </c>
      <c r="W137" t="n">
        <v>19</v>
      </c>
      <c r="X137" t="n">
        <v>141</v>
      </c>
      <c r="Y137" t="n">
        <v>3.1</v>
      </c>
      <c r="Z137" t="n">
        <v>67.2</v>
      </c>
      <c r="AA137" t="n">
        <v>25.8</v>
      </c>
      <c r="AB137" t="n">
        <v>7.1</v>
      </c>
      <c r="AC137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7" t="n">
        <v>2.9</v>
      </c>
      <c r="AE137" t="n">
        <v>19.91</v>
      </c>
      <c r="AF137" t="n">
        <v>0.429</v>
      </c>
      <c r="AG137" t="inlineStr">
        <is>
          <t>calculado</t>
        </is>
      </c>
      <c r="AH137" t="inlineStr"/>
      <c r="AI137" t="n">
        <v>3</v>
      </c>
      <c r="AJ137" t="n">
        <v>95.2</v>
      </c>
      <c r="AK137" t="n">
        <v>1961.3</v>
      </c>
      <c r="AL137" t="n">
        <v>8557.299999999999</v>
      </c>
      <c r="AM137" t="n">
        <v>6596</v>
      </c>
      <c r="AN137" t="inlineStr">
        <is>
          <t>máximo desviador (hasta εa≈20 %)</t>
        </is>
      </c>
      <c r="AO137" t="n">
        <v>38.8</v>
      </c>
      <c r="AP137" t="n">
        <v>13.93</v>
      </c>
      <c r="AQ137" t="n">
        <v>-4.19</v>
      </c>
      <c r="AR137" t="inlineStr"/>
      <c r="AS137" t="inlineStr"/>
      <c r="AT137" t="inlineStr"/>
      <c r="AU137" t="inlineStr"/>
      <c r="AV137" t="n">
        <v>13.5</v>
      </c>
      <c r="AW137" t="inlineStr"/>
      <c r="AX137" t="n">
        <v>9.4</v>
      </c>
      <c r="AY137" t="inlineStr"/>
      <c r="AZ137" t="inlineStr"/>
      <c r="BA137" t="inlineStr">
        <is>
          <t>154;155;15;143;36;221</t>
        </is>
      </c>
      <c r="BB137" t="inlineStr">
        <is>
          <t>sí</t>
        </is>
      </c>
      <c r="BC137" t="inlineStr">
        <is>
          <t>Codisposal 2 (4.5:1 intrusivo:relave en masa según informe); carga monótona; IDIEM informa q=(σ1−σ3)/2 y p=(σ1+σ3)/2 en kgf/cm²; máx. q/2=33.63 y p=53.63 kgf/cm² (p.155); convertido con 1 kgf/cm²=98.0665 kPa; σ3 nominal del informe 1960 kPa (20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22600 cm³; ρd post-consolidación 2.17 g/cm³ (p.217) → e_c≈0.336 (calculado con Gs global); post-ensayo: % retenido N°4 = 57.6 (p.221); granulometría de ensayo: leído de gráfico (digitalizado, Gráfico 1 p.143);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ver resumen: la curva 'teórica' de ensayo coincide con desmonte + 18 % de relave aplicado solo a la fracción bajo 3/4" (≈10.7 % de la masa total); [VERIFICACIÓN 2026-10-06] contenido de relave RESUELTO: IDIEM indica "cortar el material ... en 4” y agregar un 18% de Relave integral ... se trabaja el material integral bajo ¾”" (p.142-143); la curva de montaje (Gráfico 1) coincide con el desmonte sobre 3/4" y se reproduce con 18 % de relave solo en la fracción &lt; 3/4" ⇒ relave efectivo 10.7 %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7" t="n">
        <v>1961.3</v>
      </c>
      <c r="BE137" t="n">
        <v>1961.3</v>
      </c>
      <c r="BF137" t="n">
        <v>8557.299999999999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>
        <is>
          <t>igual al de máximo desviador (CID, σ′3 constante)</t>
        </is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>
        <is>
          <t>Triaxial CD</t>
        </is>
      </c>
      <c r="EY137" t="inlineStr">
        <is>
          <t>CD: máximo desviador</t>
        </is>
      </c>
      <c r="EZ137" t="n">
        <v>1961.3</v>
      </c>
      <c r="FA137" t="n">
        <v>8557.299999999999</v>
      </c>
      <c r="FB137" t="n">
        <v>6595.999999999999</v>
      </c>
      <c r="FC137" t="n">
        <v>38.8349915034912</v>
      </c>
      <c r="FD137" t="n">
        <v>3191.191316334873</v>
      </c>
      <c r="FE137" t="n">
        <v>2568.994058488438</v>
      </c>
      <c r="FF137" t="inlineStr">
        <is>
          <t>0.6 m</t>
        </is>
      </c>
      <c r="FG137" t="n">
        <v>5.905511811023622</v>
      </c>
      <c r="FH137" t="inlineStr">
        <is>
          <t>Mezcla co-disposición (desmonte ROM + relave)</t>
        </is>
      </c>
      <c r="FI137" t="inlineStr">
        <is>
          <t>criterio experto: desmonte del tajo recibido con Dmax 10 in, escalado; programa de co-disposición de desmonte de camión</t>
        </is>
      </c>
      <c r="FJ137" t="inlineStr"/>
      <c r="FK137" t="inlineStr"/>
      <c r="FL137" t="inlineStr"/>
      <c r="FM137" t="inlineStr">
        <is>
          <t>B</t>
        </is>
      </c>
      <c r="FN137" t="n">
        <v>0.429</v>
      </c>
      <c r="FO137" t="inlineStr"/>
      <c r="FP137" t="n">
        <v>2.9</v>
      </c>
      <c r="FQ137" t="inlineStr">
        <is>
          <t>informe o verificación</t>
        </is>
      </c>
      <c r="FR137" t="inlineStr">
        <is>
          <t>W2024-135</t>
        </is>
      </c>
      <c r="FS137" t="inlineStr">
        <is>
          <t>W2024|WSP24_C2_MON</t>
        </is>
      </c>
    </row>
    <row r="138">
      <c r="A138" t="inlineStr">
        <is>
          <t>W2024</t>
        </is>
      </c>
      <c r="B138" t="inlineStr">
        <is>
          <t>2024_WSP_Ensayos gran escala mezcla co-disposicion.pdf</t>
        </is>
      </c>
      <c r="C138" t="n">
        <v>2024</v>
      </c>
      <c r="D138" t="inlineStr">
        <is>
          <t>WSP Perú – 101-20110-LTE01220-IFF-420-G-0003 Rev.0 (proyecto 2094151472); anexos IDIEM 1.914.482-A a F</t>
        </is>
      </c>
      <c r="E138" t="inlineStr">
        <is>
          <t>IDIEM (Universidad de Chile)</t>
        </is>
      </c>
      <c r="F138" t="inlineStr">
        <is>
          <t>WSP24_C3_MON</t>
        </is>
      </c>
      <c r="G138" t="inlineStr">
        <is>
          <t>IDIEM 1.914.482-D Codisposal 3 Probeta 1 (TX M) Pc 5 kgf/cm2</t>
        </is>
      </c>
      <c r="H138" t="inlineStr">
        <is>
          <t>Desmonte de Mina (Intrusivo) + Relave</t>
        </is>
      </c>
      <c r="I138" t="inlineStr">
        <is>
          <t>Intrusivo</t>
        </is>
      </c>
      <c r="J138" t="inlineStr">
        <is>
          <t>tonalita (31 de 38 fragmentos de carga puntual, IDIEM-F pp.356-362); incluye fragmentos de caliza (7 de 38)</t>
        </is>
      </c>
      <c r="K138" t="inlineStr">
        <is>
          <t>Nominal (informe): intrusivo 85 % / relave 15 %, aplicado a la fracción &lt; 3/4" (59.7 % de la masa); efectivo en masa seca total: desmonte intrusivo 91.0 %, relave 9.0 % (intrusivo:relave ≈ 10.2:1). Dentro del desmonte, por conteo de 38 fragmentos de carga puntual (no por masa): tonalita 31 (82 %), caliza 7 (18 %)</t>
        </is>
      </c>
      <c r="L138" t="inlineStr">
        <is>
          <t>tonalita: sericitización, cloritización, epidotización, oxidación, arcillas/zeolitización locales; caliza sin alteración (carga puntual IDIEM-F)</t>
        </is>
      </c>
      <c r="M138" t="inlineStr">
        <is>
          <t>Mezcla co-disposición: desmonte (clase no indicada) + 9.0 % relave en masa seca total (nominal del informe 15 % aplicado solo a la fracción &lt; 3/4")</t>
        </is>
      </c>
      <c r="N138" t="inlineStr"/>
      <c r="O138" t="inlineStr">
        <is>
          <t>CID</t>
        </is>
      </c>
      <c r="P138" t="inlineStr">
        <is>
          <t>sí</t>
        </is>
      </c>
      <c r="Q138" t="n">
        <v>600</v>
      </c>
      <c r="R138" t="n">
        <v>1200</v>
      </c>
      <c r="S138" t="n">
        <v>101.6</v>
      </c>
      <c r="T138" t="n">
        <v>0.139</v>
      </c>
      <c r="U138" t="n">
        <v>3.43</v>
      </c>
      <c r="V138" t="n">
        <v>12.4</v>
      </c>
      <c r="W138" t="n">
        <v>19</v>
      </c>
      <c r="X138" t="n">
        <v>137</v>
      </c>
      <c r="Y138" t="n">
        <v>4.46</v>
      </c>
      <c r="Z138" t="n">
        <v>68.2</v>
      </c>
      <c r="AA138" t="n">
        <v>24.7</v>
      </c>
      <c r="AB138" t="n">
        <v>7.1</v>
      </c>
      <c r="AC138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8" t="n">
        <v>2.89</v>
      </c>
      <c r="AE138" t="n">
        <v>20.11</v>
      </c>
      <c r="AF138" t="n">
        <v>0.41</v>
      </c>
      <c r="AG138" t="inlineStr">
        <is>
          <t>calculado</t>
        </is>
      </c>
      <c r="AH138" t="inlineStr"/>
      <c r="AI138" t="n">
        <v>3</v>
      </c>
      <c r="AJ138" t="n">
        <v>95.2</v>
      </c>
      <c r="AK138" t="n">
        <v>490.3</v>
      </c>
      <c r="AL138" t="n">
        <v>2420.3</v>
      </c>
      <c r="AM138" t="n">
        <v>1929.9</v>
      </c>
      <c r="AN138" t="inlineStr">
        <is>
          <t>máximo desviador (hasta εa≈20 %)</t>
        </is>
      </c>
      <c r="AO138" t="n">
        <v>41.5</v>
      </c>
      <c r="AP138" t="n">
        <v>15.09</v>
      </c>
      <c r="AQ138" t="n">
        <v>-3.49</v>
      </c>
      <c r="AR138" t="inlineStr"/>
      <c r="AS138" t="inlineStr"/>
      <c r="AT138" t="inlineStr"/>
      <c r="AU138" t="inlineStr"/>
      <c r="AV138" t="n">
        <v>6.3</v>
      </c>
      <c r="AW138" t="inlineStr"/>
      <c r="AX138" t="n">
        <v>7.2</v>
      </c>
      <c r="AY138" t="inlineStr"/>
      <c r="AZ138" t="inlineStr"/>
      <c r="BA138" t="inlineStr">
        <is>
          <t>236;237;15;232;36;257</t>
        </is>
      </c>
      <c r="BB138" t="inlineStr">
        <is>
          <t>sí</t>
        </is>
      </c>
      <c r="BC138" t="inlineStr">
        <is>
          <t>Codisposal 3 (5.5:1 intrusivo:relave en masa según informe); carga monótona; IDIEM informa q=(σ1−σ3)/2 y p=(σ1+σ3)/2 en kgf/cm²; máx. q/2=9.84 y p=14.84 kgf/cm² (p.237); convertido con 1 kgf/cm²=98.0665 kPa; σ3 nominal del informe 490 kPa (5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9800 cm³; ρd post-consolidación 2.11 g/cm³ (p.255) → e_c≈0.370 (calculado con Gs global); post-ensayo: % retenido N°4 = 66.5 (p.257); granulometría de ensayo: leído de gráfico (digitalizado, Gráfico 1 p.232);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ver resumen: la curva 'teórica' de ensayo coincide con desmonte + 15 % de relave aplicado solo a la fracción bajo 3/4" (≈9.0 % de la masa total); [VERIFICACIÓN 2026-10-06] contenido de relave RESUELTO: IDIEM indica "cortar el material ... en 4” y agregar un 15% de Relave integral ... se trabaja el material integral bajo ¾”" (p.231-232); la curva de montaje (Gráfico 1) coincide con el desmonte sobre 3/4" y se reproduce con 15 % de relave solo en la fracción &lt; 3/4" ⇒ relave efectivo 9.0 %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8" t="n">
        <v>490.3</v>
      </c>
      <c r="BE138" t="n">
        <v>490.3</v>
      </c>
      <c r="BF138" t="n">
        <v>2420.3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>
        <is>
          <t>igual al de máximo desviador (CID, σ′3 constante)</t>
        </is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>
        <is>
          <t>Triaxial CD</t>
        </is>
      </c>
      <c r="EY138" t="inlineStr">
        <is>
          <t>CD: máximo desviador</t>
        </is>
      </c>
      <c r="EZ138" t="n">
        <v>490.3</v>
      </c>
      <c r="FA138" t="n">
        <v>2420.3</v>
      </c>
      <c r="FB138" t="n">
        <v>1930</v>
      </c>
      <c r="FC138" t="n">
        <v>41.53623116849803</v>
      </c>
      <c r="FD138" t="n">
        <v>815.414752971896</v>
      </c>
      <c r="FE138" t="n">
        <v>722.3377815369913</v>
      </c>
      <c r="FF138" t="inlineStr">
        <is>
          <t>0.6 m</t>
        </is>
      </c>
      <c r="FG138" t="n">
        <v>5.905511811023622</v>
      </c>
      <c r="FH138" t="inlineStr">
        <is>
          <t>Mezcla co-disposición (desmonte ROM + relave)</t>
        </is>
      </c>
      <c r="FI138" t="inlineStr">
        <is>
          <t>criterio experto: desmonte del tajo recibido con Dmax 10 in, escalado; programa de co-disposición de desmonte de camión</t>
        </is>
      </c>
      <c r="FJ138" t="inlineStr"/>
      <c r="FK138" t="inlineStr"/>
      <c r="FL138" t="inlineStr"/>
      <c r="FM138" t="inlineStr">
        <is>
          <t>B</t>
        </is>
      </c>
      <c r="FN138" t="n">
        <v>0.41</v>
      </c>
      <c r="FO138" t="inlineStr"/>
      <c r="FP138" t="n">
        <v>2.89</v>
      </c>
      <c r="FQ138" t="inlineStr">
        <is>
          <t>informe o verificación</t>
        </is>
      </c>
      <c r="FR138" t="inlineStr">
        <is>
          <t>W2024-136</t>
        </is>
      </c>
      <c r="FS138" t="inlineStr">
        <is>
          <t>W2024|WSP24_C3_MON</t>
        </is>
      </c>
    </row>
    <row r="139">
      <c r="A139" t="inlineStr">
        <is>
          <t>W2024</t>
        </is>
      </c>
      <c r="B139" t="inlineStr">
        <is>
          <t>2024_WSP_Ensayos gran escala mezcla co-disposicion.pdf</t>
        </is>
      </c>
      <c r="C139" t="n">
        <v>2024</v>
      </c>
      <c r="D139" t="inlineStr">
        <is>
          <t>WSP Perú – 101-20110-LTE01220-IFF-420-G-0003 Rev.0 (proyecto 2094151472); anexos IDIEM 1.914.482-A a F</t>
        </is>
      </c>
      <c r="E139" t="inlineStr">
        <is>
          <t>IDIEM (Universidad de Chile)</t>
        </is>
      </c>
      <c r="F139" t="inlineStr">
        <is>
          <t>WSP24_C3_MON</t>
        </is>
      </c>
      <c r="G139" t="inlineStr">
        <is>
          <t>IDIEM 1.914.482-D Codisposal 3 Probeta 2 (TX M) Pc 10 kgf/cm2</t>
        </is>
      </c>
      <c r="H139" t="inlineStr">
        <is>
          <t>Desmonte de Mina (Intrusivo) + Relave</t>
        </is>
      </c>
      <c r="I139" t="inlineStr">
        <is>
          <t>Intrusivo</t>
        </is>
      </c>
      <c r="J139" t="inlineStr">
        <is>
          <t>tonalita (31 de 38 fragmentos de carga puntual, IDIEM-F pp.356-362); incluye fragmentos de caliza (7 de 38)</t>
        </is>
      </c>
      <c r="K139" t="inlineStr">
        <is>
          <t>Nominal (informe): intrusivo 85 % / relave 15 %, aplicado a la fracción &lt; 3/4" (59.7 % de la masa); efectivo en masa seca total: desmonte intrusivo 91.0 %, relave 9.0 % (intrusivo:relave ≈ 10.2:1). Dentro del desmonte, por conteo de 38 fragmentos de carga puntual (no por masa): tonalita 31 (82 %), caliza 7 (18 %)</t>
        </is>
      </c>
      <c r="L139" t="inlineStr">
        <is>
          <t>tonalita: sericitización, cloritización, epidotización, oxidación, arcillas/zeolitización locales; caliza sin alteración (carga puntual IDIEM-F)</t>
        </is>
      </c>
      <c r="M139" t="inlineStr">
        <is>
          <t>Mezcla co-disposición: desmonte (clase no indicada) + 9.0 % relave en masa seca total (nominal del informe 15 % aplicado solo a la fracción &lt; 3/4")</t>
        </is>
      </c>
      <c r="N139" t="inlineStr"/>
      <c r="O139" t="inlineStr">
        <is>
          <t>CID</t>
        </is>
      </c>
      <c r="P139" t="inlineStr">
        <is>
          <t>sí</t>
        </is>
      </c>
      <c r="Q139" t="n">
        <v>600</v>
      </c>
      <c r="R139" t="n">
        <v>1200</v>
      </c>
      <c r="S139" t="n">
        <v>101.6</v>
      </c>
      <c r="T139" t="n">
        <v>0.139</v>
      </c>
      <c r="U139" t="n">
        <v>3.43</v>
      </c>
      <c r="V139" t="n">
        <v>12.4</v>
      </c>
      <c r="W139" t="n">
        <v>19</v>
      </c>
      <c r="X139" t="n">
        <v>137</v>
      </c>
      <c r="Y139" t="n">
        <v>4.46</v>
      </c>
      <c r="Z139" t="n">
        <v>68.2</v>
      </c>
      <c r="AA139" t="n">
        <v>24.7</v>
      </c>
      <c r="AB139" t="n">
        <v>7.1</v>
      </c>
      <c r="AC139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39" t="n">
        <v>2.89</v>
      </c>
      <c r="AE139" t="n">
        <v>20.11</v>
      </c>
      <c r="AF139" t="n">
        <v>0.41</v>
      </c>
      <c r="AG139" t="inlineStr">
        <is>
          <t>calculado</t>
        </is>
      </c>
      <c r="AH139" t="inlineStr"/>
      <c r="AI139" t="n">
        <v>3</v>
      </c>
      <c r="AJ139" t="n">
        <v>95.2</v>
      </c>
      <c r="AK139" t="n">
        <v>980.7</v>
      </c>
      <c r="AL139" t="n">
        <v>4793.5</v>
      </c>
      <c r="AM139" t="n">
        <v>3812.8</v>
      </c>
      <c r="AN139" t="inlineStr">
        <is>
          <t>máximo desviador (hasta εa≈20 %)</t>
        </is>
      </c>
      <c r="AO139" t="n">
        <v>41.3</v>
      </c>
      <c r="AP139" t="n">
        <v>13.2</v>
      </c>
      <c r="AQ139" t="n">
        <v>-4.75</v>
      </c>
      <c r="AR139" t="inlineStr"/>
      <c r="AS139" t="inlineStr"/>
      <c r="AT139" t="inlineStr"/>
      <c r="AU139" t="inlineStr"/>
      <c r="AV139" t="n">
        <v>15.2</v>
      </c>
      <c r="AW139" t="inlineStr"/>
      <c r="AX139" t="n">
        <v>9</v>
      </c>
      <c r="AY139" t="inlineStr"/>
      <c r="AZ139" t="inlineStr"/>
      <c r="BA139" t="inlineStr">
        <is>
          <t>239;240;15;232;36;257</t>
        </is>
      </c>
      <c r="BB139" t="inlineStr">
        <is>
          <t>sí</t>
        </is>
      </c>
      <c r="BC139" t="inlineStr">
        <is>
          <t>Codisposal 3 (5.5:1 intrusivo:relave en masa según informe); carga monótona; IDIEM informa q=(σ1−σ3)/2 y p=(σ1+σ3)/2 en kgf/cm²; máx. q/2=19.44 y p=29.44 kgf/cm² (p.240); convertido con 1 kgf/cm²=98.0665 kPa; σ3 nominal del informe 980 kPa (10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14300 cm³; ρd post-consolidación 2.14 g/cm³ (p.255) → e_c≈0.350 (calculado con Gs global); post-ensayo: % retenido N°4 = 56.5 (p.257); granulometría de ensayo: leído de gráfico (digitalizado, Gráfico 1 p.232);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ver resumen: la curva 'teórica' de ensayo coincide con desmonte + 15 % de relave aplicado solo a la fracción bajo 3/4" (≈9.0 % de la masa total); [VERIFICACIÓN 2026-10-06] contenido de relave RESUELTO: IDIEM indica "cortar el material ... en 4” y agregar un 15% de Relave integral ... se trabaja el material integral bajo ¾”" (p.231-232); la curva de montaje (Gráfico 1) coincide con el desmonte sobre 3/4" y se reproduce con 15 % de relave solo en la fracción &lt; 3/4" ⇒ relave efectivo 9.0 %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39" t="n">
        <v>980.7</v>
      </c>
      <c r="BE139" t="n">
        <v>980.7</v>
      </c>
      <c r="BF139" t="n">
        <v>4793.5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>
        <is>
          <t>igual al de máximo desviador (CID, σ′3 constante)</t>
        </is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>
        <is>
          <t>Triaxial CD</t>
        </is>
      </c>
      <c r="EY139" t="inlineStr">
        <is>
          <t>CD: máximo desviador</t>
        </is>
      </c>
      <c r="EZ139" t="n">
        <v>980.7</v>
      </c>
      <c r="FA139" t="n">
        <v>4793.5</v>
      </c>
      <c r="FB139" t="n">
        <v>3812.8</v>
      </c>
      <c r="FC139" t="n">
        <v>41.32402150096911</v>
      </c>
      <c r="FD139" t="n">
        <v>1628.272470645284</v>
      </c>
      <c r="FE139" t="n">
        <v>1431.682301119456</v>
      </c>
      <c r="FF139" t="inlineStr">
        <is>
          <t>0.6 m</t>
        </is>
      </c>
      <c r="FG139" t="n">
        <v>5.905511811023622</v>
      </c>
      <c r="FH139" t="inlineStr">
        <is>
          <t>Mezcla co-disposición (desmonte ROM + relave)</t>
        </is>
      </c>
      <c r="FI139" t="inlineStr">
        <is>
          <t>criterio experto: desmonte del tajo recibido con Dmax 10 in, escalado; programa de co-disposición de desmonte de camión</t>
        </is>
      </c>
      <c r="FJ139" t="inlineStr"/>
      <c r="FK139" t="inlineStr"/>
      <c r="FL139" t="inlineStr"/>
      <c r="FM139" t="inlineStr">
        <is>
          <t>B</t>
        </is>
      </c>
      <c r="FN139" t="n">
        <v>0.41</v>
      </c>
      <c r="FO139" t="inlineStr"/>
      <c r="FP139" t="n">
        <v>2.89</v>
      </c>
      <c r="FQ139" t="inlineStr">
        <is>
          <t>informe o verificación</t>
        </is>
      </c>
      <c r="FR139" t="inlineStr">
        <is>
          <t>W2024-137</t>
        </is>
      </c>
      <c r="FS139" t="inlineStr">
        <is>
          <t>W2024|WSP24_C3_MON</t>
        </is>
      </c>
    </row>
    <row r="140">
      <c r="A140" t="inlineStr">
        <is>
          <t>W2024</t>
        </is>
      </c>
      <c r="B140" t="inlineStr">
        <is>
          <t>2024_WSP_Ensayos gran escala mezcla co-disposicion.pdf</t>
        </is>
      </c>
      <c r="C140" t="n">
        <v>2024</v>
      </c>
      <c r="D140" t="inlineStr">
        <is>
          <t>WSP Perú – 101-20110-LTE01220-IFF-420-G-0003 Rev.0 (proyecto 2094151472); anexos IDIEM 1.914.482-A a F</t>
        </is>
      </c>
      <c r="E140" t="inlineStr">
        <is>
          <t>IDIEM (Universidad de Chile)</t>
        </is>
      </c>
      <c r="F140" t="inlineStr">
        <is>
          <t>WSP24_C3_MON</t>
        </is>
      </c>
      <c r="G140" t="inlineStr">
        <is>
          <t>IDIEM 1.914.482-D Codisposal 3 Probeta 3 (TX M) Pc 20 kgf/cm2</t>
        </is>
      </c>
      <c r="H140" t="inlineStr">
        <is>
          <t>Desmonte de Mina (Intrusivo) + Relave</t>
        </is>
      </c>
      <c r="I140" t="inlineStr">
        <is>
          <t>Intrusivo</t>
        </is>
      </c>
      <c r="J140" t="inlineStr">
        <is>
          <t>tonalita (31 de 38 fragmentos de carga puntual, IDIEM-F pp.356-362); incluye fragmentos de caliza (7 de 38)</t>
        </is>
      </c>
      <c r="K140" t="inlineStr">
        <is>
          <t>Nominal (informe): intrusivo 85 % / relave 15 %, aplicado a la fracción &lt; 3/4" (59.7 % de la masa); efectivo en masa seca total: desmonte intrusivo 91.0 %, relave 9.0 % (intrusivo:relave ≈ 10.2:1). Dentro del desmonte, por conteo de 38 fragmentos de carga puntual (no por masa): tonalita 31 (82 %), caliza 7 (18 %)</t>
        </is>
      </c>
      <c r="L140" t="inlineStr">
        <is>
          <t>tonalita: sericitización, cloritización, epidotización, oxidación, arcillas/zeolitización locales; caliza sin alteración (carga puntual IDIEM-F)</t>
        </is>
      </c>
      <c r="M140" t="inlineStr">
        <is>
          <t>Mezcla co-disposición: desmonte (clase no indicada) + 9.0 % relave en masa seca total (nominal del informe 15 % aplicado solo a la fracción &lt; 3/4")</t>
        </is>
      </c>
      <c r="N140" t="inlineStr"/>
      <c r="O140" t="inlineStr">
        <is>
          <t>CID</t>
        </is>
      </c>
      <c r="P140" t="inlineStr">
        <is>
          <t>sí</t>
        </is>
      </c>
      <c r="Q140" t="n">
        <v>600</v>
      </c>
      <c r="R140" t="n">
        <v>1200</v>
      </c>
      <c r="S140" t="n">
        <v>101.6</v>
      </c>
      <c r="T140" t="n">
        <v>0.139</v>
      </c>
      <c r="U140" t="n">
        <v>3.43</v>
      </c>
      <c r="V140" t="n">
        <v>12.4</v>
      </c>
      <c r="W140" t="n">
        <v>19</v>
      </c>
      <c r="X140" t="n">
        <v>137</v>
      </c>
      <c r="Y140" t="n">
        <v>4.46</v>
      </c>
      <c r="Z140" t="n">
        <v>68.2</v>
      </c>
      <c r="AA140" t="n">
        <v>24.7</v>
      </c>
      <c r="AB140" t="n">
        <v>7.1</v>
      </c>
      <c r="AC140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40" t="n">
        <v>2.89</v>
      </c>
      <c r="AE140" t="n">
        <v>20.11</v>
      </c>
      <c r="AF140" t="n">
        <v>0.41</v>
      </c>
      <c r="AG140" t="inlineStr">
        <is>
          <t>calculado</t>
        </is>
      </c>
      <c r="AH140" t="inlineStr"/>
      <c r="AI140" t="n">
        <v>3</v>
      </c>
      <c r="AJ140" t="n">
        <v>95.2</v>
      </c>
      <c r="AK140" t="n">
        <v>1961.3</v>
      </c>
      <c r="AL140" t="n">
        <v>8861.299999999999</v>
      </c>
      <c r="AM140" t="n">
        <v>6900</v>
      </c>
      <c r="AN140" t="inlineStr">
        <is>
          <t>máximo desviador (hasta εa≈20 %)</t>
        </is>
      </c>
      <c r="AO140" t="n">
        <v>39.6</v>
      </c>
      <c r="AP140" t="n">
        <v>19.56</v>
      </c>
      <c r="AQ140" t="n">
        <v>-5.07</v>
      </c>
      <c r="AR140" t="inlineStr"/>
      <c r="AS140" t="inlineStr"/>
      <c r="AT140" t="inlineStr"/>
      <c r="AU140" t="inlineStr"/>
      <c r="AV140" t="n">
        <v>19.4</v>
      </c>
      <c r="AW140" t="inlineStr"/>
      <c r="AX140" t="n">
        <v>11.5</v>
      </c>
      <c r="AY140" t="inlineStr"/>
      <c r="AZ140" t="inlineStr"/>
      <c r="BA140" t="inlineStr">
        <is>
          <t>242;243;15;232;36;257</t>
        </is>
      </c>
      <c r="BB140" t="inlineStr">
        <is>
          <t>sí</t>
        </is>
      </c>
      <c r="BC140" t="inlineStr">
        <is>
          <t>Codisposal 3 (5.5:1 intrusivo:relave en masa según informe); carga monótona; IDIEM informa q=(σ1−σ3)/2 y p=(σ1+σ3)/2 en kgf/cm²; máx. q/2=35.18 y p=55.18 kgf/cm² (p.243); convertido con 1 kgf/cm²=98.0665 kPa; σ3 nominal del informe 1960 kPa (20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27000 cm³; ρd post-consolidación 2.22 g/cm³ (p.255) → e_c≈0.302 (calculado con Gs global); post-ensayo: % retenido N°4 = 52.4 (p.257); granulometría de ensayo: leído de gráfico (digitalizado, Gráfico 1 p.232);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ver resumen: la curva 'teórica' de ensayo coincide con desmonte + 15 % de relave aplicado solo a la fracción bajo 3/4" (≈9.0 % de la masa total); [VERIFICACIÓN 2026-10-06] contenido de relave RESUELTO: IDIEM indica "cortar el material ... en 4” y agregar un 15% de Relave integral ... se trabaja el material integral bajo ¾”" (p.231-232); la curva de montaje (Gráfico 1) coincide con el desmonte sobre 3/4" y se reproduce con 15 % de relave solo en la fracción &lt; 3/4" ⇒ relave efectivo 9.0 % de la masa seca total. Confirmado también por: Gs global de Tabla 5 (se reproduce con pasante N°4 ≈ 34/33/32 %, no con 43/40/38 %) y por las granulometrías post-ensayo (C1: 33.6–37.1 % pasante N°4 a 490 kPa, imposible si el inicial fuera 42.8 %);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40" t="n">
        <v>1961.3</v>
      </c>
      <c r="BE140" t="n">
        <v>1961.3</v>
      </c>
      <c r="BF140" t="n">
        <v>8861.299999999999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>
        <is>
          <t>igual al de máximo desviador (CID, σ′3 constante)</t>
        </is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>
        <is>
          <t>Triaxial CD</t>
        </is>
      </c>
      <c r="EY140" t="inlineStr">
        <is>
          <t>CD: máximo desviador</t>
        </is>
      </c>
      <c r="EZ140" t="n">
        <v>1961.3</v>
      </c>
      <c r="FA140" t="n">
        <v>8861.299999999999</v>
      </c>
      <c r="FB140" t="n">
        <v>6899.999999999999</v>
      </c>
      <c r="FC140" t="n">
        <v>39.6097238287043</v>
      </c>
      <c r="FD140" t="n">
        <v>3211.736124406335</v>
      </c>
      <c r="FE140" t="n">
        <v>2657.897431652202</v>
      </c>
      <c r="FF140" t="inlineStr">
        <is>
          <t>0.6 m</t>
        </is>
      </c>
      <c r="FG140" t="n">
        <v>5.905511811023622</v>
      </c>
      <c r="FH140" t="inlineStr">
        <is>
          <t>Mezcla co-disposición (desmonte ROM + relave)</t>
        </is>
      </c>
      <c r="FI140" t="inlineStr">
        <is>
          <t>criterio experto: desmonte del tajo recibido con Dmax 10 in, escalado; programa de co-disposición de desmonte de camión</t>
        </is>
      </c>
      <c r="FJ140" t="inlineStr"/>
      <c r="FK140" t="inlineStr"/>
      <c r="FL140" t="inlineStr"/>
      <c r="FM140" t="inlineStr">
        <is>
          <t>B</t>
        </is>
      </c>
      <c r="FN140" t="n">
        <v>0.41</v>
      </c>
      <c r="FO140" t="inlineStr"/>
      <c r="FP140" t="n">
        <v>2.89</v>
      </c>
      <c r="FQ140" t="inlineStr">
        <is>
          <t>informe o verificación</t>
        </is>
      </c>
      <c r="FR140" t="inlineStr">
        <is>
          <t>W2024-138</t>
        </is>
      </c>
      <c r="FS140" t="inlineStr">
        <is>
          <t>W2024|WSP24_C3_MON</t>
        </is>
      </c>
    </row>
    <row r="141">
      <c r="A141" t="inlineStr">
        <is>
          <t>W2024</t>
        </is>
      </c>
      <c r="B141" t="inlineStr">
        <is>
          <t>2024_WSP_Ensayos gran escala mezcla co-disposicion.pdf</t>
        </is>
      </c>
      <c r="C141" t="n">
        <v>2024</v>
      </c>
      <c r="D141" t="inlineStr">
        <is>
          <t>WSP Perú – 101-20110-LTE01220-IFF-420-G-0003 Rev.0 (proyecto 2094151472); anexos IDIEM 1.914.482-A a F</t>
        </is>
      </c>
      <c r="E141" t="inlineStr">
        <is>
          <t>IDIEM (Universidad de Chile)</t>
        </is>
      </c>
      <c r="F141" t="inlineStr">
        <is>
          <t>WSP24_C4_MON</t>
        </is>
      </c>
      <c r="G141" t="inlineStr">
        <is>
          <t>IDIEM 1.914.482-B Codisposal 4 Probeta 1 (TX M) Pc 5 kgf/cm2</t>
        </is>
      </c>
      <c r="H141" t="inlineStr">
        <is>
          <t>Desmonte de Mina (Intrusivo)</t>
        </is>
      </c>
      <c r="I141" t="inlineStr">
        <is>
          <t>Intrusivo</t>
        </is>
      </c>
      <c r="J141" t="inlineStr">
        <is>
          <t>tonalita (31 de 38 fragmentos de carga puntual, IDIEM-F pp.356-362); incluye fragmentos de caliza (7 de 38)</t>
        </is>
      </c>
      <c r="K141" t="inlineStr">
        <is>
          <t>Intrusivo 100 % (sin relave). Por conteo de 38 fragmentos de carga puntual (no por masa ni petrografía): tonalita 31 (82 %), caliza 7 (18 %)</t>
        </is>
      </c>
      <c r="L141" t="inlineStr">
        <is>
          <t>tonalita: sericitización, cloritización, epidotización, oxidación, arcillas/zeolitización locales; caliza sin alteración (carga puntual IDIEM-F)</t>
        </is>
      </c>
      <c r="M141" t="inlineStr">
        <is>
          <t>Desmonte (clase no indicada), 100 % intrusivo, sin relave</t>
        </is>
      </c>
      <c r="N141" t="inlineStr"/>
      <c r="O141" t="inlineStr">
        <is>
          <t>CID</t>
        </is>
      </c>
      <c r="P141" t="inlineStr">
        <is>
          <t>sí</t>
        </is>
      </c>
      <c r="Q141" t="n">
        <v>600</v>
      </c>
      <c r="R141" t="n">
        <v>1200</v>
      </c>
      <c r="S141" t="n">
        <v>101.6</v>
      </c>
      <c r="T141" t="n">
        <v>0.2</v>
      </c>
      <c r="U141" t="n">
        <v>5.59</v>
      </c>
      <c r="V141" t="n">
        <v>13.3</v>
      </c>
      <c r="W141" t="n">
        <v>19.2</v>
      </c>
      <c r="X141" t="n">
        <v>96</v>
      </c>
      <c r="Y141" t="n">
        <v>8.130000000000001</v>
      </c>
      <c r="Z141" t="n">
        <v>73.3</v>
      </c>
      <c r="AA141" t="n">
        <v>19.8</v>
      </c>
      <c r="AB141" t="n">
        <v>6.9</v>
      </c>
      <c r="AC141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41" t="n">
        <v>2.85</v>
      </c>
      <c r="AE141" t="n">
        <v>19.62</v>
      </c>
      <c r="AF141" t="n">
        <v>0.425</v>
      </c>
      <c r="AG141" t="inlineStr">
        <is>
          <t>calculado</t>
        </is>
      </c>
      <c r="AH141" t="inlineStr"/>
      <c r="AI141" t="n">
        <v>3</v>
      </c>
      <c r="AJ141" t="n">
        <v>95.2</v>
      </c>
      <c r="AK141" t="n">
        <v>490.3</v>
      </c>
      <c r="AL141" t="n">
        <v>2128</v>
      </c>
      <c r="AM141" t="n">
        <v>1637.7</v>
      </c>
      <c r="AN141" t="inlineStr">
        <is>
          <t>máximo desviador (hasta εa≈20 %)</t>
        </is>
      </c>
      <c r="AO141" t="n">
        <v>38.7</v>
      </c>
      <c r="AP141" t="n">
        <v>12.42</v>
      </c>
      <c r="AQ141" t="n">
        <v>-4.25</v>
      </c>
      <c r="AR141" t="inlineStr"/>
      <c r="AS141" t="inlineStr"/>
      <c r="AT141" t="inlineStr"/>
      <c r="AU141" t="inlineStr"/>
      <c r="AV141" t="n">
        <v>8.300000000000001</v>
      </c>
      <c r="AW141" t="inlineStr"/>
      <c r="AX141" t="n">
        <v>6.9</v>
      </c>
      <c r="AY141" t="inlineStr"/>
      <c r="AZ141" t="inlineStr"/>
      <c r="BA141" t="inlineStr">
        <is>
          <t>111;112;15;93;36;132</t>
        </is>
      </c>
      <c r="BB141" t="inlineStr">
        <is>
          <t>sí</t>
        </is>
      </c>
      <c r="BC141" t="inlineStr">
        <is>
          <t>Codisposal 4 (100 % intrusivo); carga monótona; IDIEM informa q=(σ1−σ3)/2 y p=(σ1+σ3)/2 en kgf/cm²; máx. q/2=8.35 y p=13.35 kgf/cm² (p.112); convertido con 1 kgf/cm²=98.0665 kPa; σ3 nominal del informe 490 kPa (5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3100 cm³; ρd post-consolidación 2.02 g/cm³ (p.130) → e_c≈0.411 (calculado con Gs global); post-ensayo: % retenido N°4 = 67.5 (p.132); granulometría de ensayo: calculado de la tabla de granulometría inicial del desmonte (p.93) truncada bajo 4" (pasante/96.2), coincide con Gráfico 1 p.108;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41" t="n">
        <v>490.3</v>
      </c>
      <c r="BE141" t="n">
        <v>490.3</v>
      </c>
      <c r="BF141" t="n">
        <v>2128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>
        <is>
          <t>igual al de máximo desviador (CID, σ′3 constante)</t>
        </is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>
        <is>
          <t>Triaxial CD</t>
        </is>
      </c>
      <c r="EY141" t="inlineStr">
        <is>
          <t>CD: máximo desviador</t>
        </is>
      </c>
      <c r="EZ141" t="n">
        <v>490.3</v>
      </c>
      <c r="FA141" t="n">
        <v>2128</v>
      </c>
      <c r="FB141" t="n">
        <v>1637.7</v>
      </c>
      <c r="FC141" t="n">
        <v>38.71758716753874</v>
      </c>
      <c r="FD141" t="n">
        <v>796.9739143719208</v>
      </c>
      <c r="FE141" t="n">
        <v>638.8982546624294</v>
      </c>
      <c r="FF141" t="inlineStr">
        <is>
          <t>0.6 m</t>
        </is>
      </c>
      <c r="FG141" t="n">
        <v>5.905511811023622</v>
      </c>
      <c r="FH141" t="inlineStr">
        <is>
          <t>ROM</t>
        </is>
      </c>
      <c r="FI141" t="inlineStr">
        <is>
          <t>criterio experto: desmonte del tajo recibido con Dmax 10 in, escalado; programa de co-disposición de desmonte de camión</t>
        </is>
      </c>
      <c r="FJ141" t="inlineStr"/>
      <c r="FK141" t="inlineStr"/>
      <c r="FL141" t="inlineStr"/>
      <c r="FM141" t="inlineStr">
        <is>
          <t>A</t>
        </is>
      </c>
      <c r="FN141" t="n">
        <v>0.425</v>
      </c>
      <c r="FO141" t="inlineStr"/>
      <c r="FP141" t="n">
        <v>2.85</v>
      </c>
      <c r="FQ141" t="inlineStr">
        <is>
          <t>informe o verificación</t>
        </is>
      </c>
      <c r="FR141" t="inlineStr">
        <is>
          <t>W2024-139</t>
        </is>
      </c>
      <c r="FS141" t="inlineStr">
        <is>
          <t>W2024|WSP24_C4_MON</t>
        </is>
      </c>
    </row>
    <row r="142">
      <c r="A142" t="inlineStr">
        <is>
          <t>W2024</t>
        </is>
      </c>
      <c r="B142" t="inlineStr">
        <is>
          <t>2024_WSP_Ensayos gran escala mezcla co-disposicion.pdf</t>
        </is>
      </c>
      <c r="C142" t="n">
        <v>2024</v>
      </c>
      <c r="D142" t="inlineStr">
        <is>
          <t>WSP Perú – 101-20110-LTE01220-IFF-420-G-0003 Rev.0 (proyecto 2094151472); anexos IDIEM 1.914.482-A a F</t>
        </is>
      </c>
      <c r="E142" t="inlineStr">
        <is>
          <t>IDIEM (Universidad de Chile)</t>
        </is>
      </c>
      <c r="F142" t="inlineStr">
        <is>
          <t>WSP24_C4_MON</t>
        </is>
      </c>
      <c r="G142" t="inlineStr">
        <is>
          <t>IDIEM 1.914.482-B Codisposal 4 Probeta 2 (TX M) Pc 10 kgf/cm2</t>
        </is>
      </c>
      <c r="H142" t="inlineStr">
        <is>
          <t>Desmonte de Mina (Intrusivo)</t>
        </is>
      </c>
      <c r="I142" t="inlineStr">
        <is>
          <t>Intrusivo</t>
        </is>
      </c>
      <c r="J142" t="inlineStr">
        <is>
          <t>tonalita (31 de 38 fragmentos de carga puntual, IDIEM-F pp.356-362); incluye fragmentos de caliza (7 de 38)</t>
        </is>
      </c>
      <c r="K142" t="inlineStr">
        <is>
          <t>Intrusivo 100 % (sin relave). Por conteo de 38 fragmentos de carga puntual (no por masa ni petrografía): tonalita 31 (82 %), caliza 7 (18 %)</t>
        </is>
      </c>
      <c r="L142" t="inlineStr">
        <is>
          <t>tonalita: sericitización, cloritización, epidotización, oxidación, arcillas/zeolitización locales; caliza sin alteración (carga puntual IDIEM-F)</t>
        </is>
      </c>
      <c r="M142" t="inlineStr">
        <is>
          <t>Desmonte (clase no indicada), 100 % intrusivo, sin relave</t>
        </is>
      </c>
      <c r="N142" t="inlineStr"/>
      <c r="O142" t="inlineStr">
        <is>
          <t>CID</t>
        </is>
      </c>
      <c r="P142" t="inlineStr">
        <is>
          <t>sí</t>
        </is>
      </c>
      <c r="Q142" t="n">
        <v>600</v>
      </c>
      <c r="R142" t="n">
        <v>1200</v>
      </c>
      <c r="S142" t="n">
        <v>101.6</v>
      </c>
      <c r="T142" t="n">
        <v>0.2</v>
      </c>
      <c r="U142" t="n">
        <v>5.59</v>
      </c>
      <c r="V142" t="n">
        <v>13.3</v>
      </c>
      <c r="W142" t="n">
        <v>19.2</v>
      </c>
      <c r="X142" t="n">
        <v>96</v>
      </c>
      <c r="Y142" t="n">
        <v>8.130000000000001</v>
      </c>
      <c r="Z142" t="n">
        <v>73.3</v>
      </c>
      <c r="AA142" t="n">
        <v>19.8</v>
      </c>
      <c r="AB142" t="n">
        <v>6.9</v>
      </c>
      <c r="AC142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42" t="n">
        <v>2.85</v>
      </c>
      <c r="AE142" t="n">
        <v>19.62</v>
      </c>
      <c r="AF142" t="n">
        <v>0.425</v>
      </c>
      <c r="AG142" t="inlineStr">
        <is>
          <t>calculado</t>
        </is>
      </c>
      <c r="AH142" t="inlineStr"/>
      <c r="AI142" t="n">
        <v>3</v>
      </c>
      <c r="AJ142" t="n">
        <v>95.2</v>
      </c>
      <c r="AK142" t="n">
        <v>980.7</v>
      </c>
      <c r="AL142" t="n">
        <v>4369.8</v>
      </c>
      <c r="AM142" t="n">
        <v>3389.2</v>
      </c>
      <c r="AN142" t="inlineStr">
        <is>
          <t>máximo desviador (hasta εa≈20 %)</t>
        </is>
      </c>
      <c r="AO142" t="n">
        <v>39.3</v>
      </c>
      <c r="AP142" t="n">
        <v>20.7</v>
      </c>
      <c r="AQ142" t="n">
        <v>-4.75</v>
      </c>
      <c r="AR142" t="inlineStr"/>
      <c r="AS142" t="inlineStr"/>
      <c r="AT142" t="inlineStr"/>
      <c r="AU142" t="inlineStr"/>
      <c r="AV142" t="n">
        <v>8.5</v>
      </c>
      <c r="AW142" t="inlineStr"/>
      <c r="AX142" t="n">
        <v>7.4</v>
      </c>
      <c r="AY142" t="inlineStr"/>
      <c r="AZ142" t="inlineStr"/>
      <c r="BA142" t="inlineStr">
        <is>
          <t>114;115;15;93;36;132</t>
        </is>
      </c>
      <c r="BB142" t="inlineStr">
        <is>
          <t>sí</t>
        </is>
      </c>
      <c r="BC142" t="inlineStr">
        <is>
          <t>Codisposal 4 (100 % intrusivo); carga monótona; IDIEM informa q=(σ1−σ3)/2 y p=(σ1+σ3)/2 en kgf/cm²; máx. q/2=17.28 y p=27.28 kgf/cm² (p.115); convertido con 1 kgf/cm²=98.0665 kPa; σ3 nominal del informe 980 kPa (10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17400 cm³; ρd post-consolidación 2.11 g/cm³ (p.130) → e_c≈0.351 (calculado con Gs global); post-ensayo: % retenido N°4 = 70.2 (p.132); granulometría de ensayo: calculado de la tabla de granulometría inicial del desmonte (p.93) truncada bajo 4" (pasante/96.2), coincide con Gráfico 1 p.108;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q aún creciente al final del ensayo (máximo en el último punto, εa=20.70 %): no se alcanzó pico;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42" t="n">
        <v>980.7</v>
      </c>
      <c r="BE142" t="n">
        <v>980.7</v>
      </c>
      <c r="BF142" t="n">
        <v>4369.8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>
        <is>
          <t>igual al de máximo desviador (CID, σ′3 constante)</t>
        </is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>
        <is>
          <t>Triaxial CD</t>
        </is>
      </c>
      <c r="EY142" t="inlineStr">
        <is>
          <t>CD: máximo desviador</t>
        </is>
      </c>
      <c r="EZ142" t="n">
        <v>980.7</v>
      </c>
      <c r="FA142" t="n">
        <v>4369.8</v>
      </c>
      <c r="FB142" t="n">
        <v>3389.1</v>
      </c>
      <c r="FC142" t="n">
        <v>39.30270735532413</v>
      </c>
      <c r="FD142" t="n">
        <v>1601.892481076535</v>
      </c>
      <c r="FE142" t="n">
        <v>1311.260210282636</v>
      </c>
      <c r="FF142" t="inlineStr">
        <is>
          <t>0.6 m</t>
        </is>
      </c>
      <c r="FG142" t="n">
        <v>5.905511811023622</v>
      </c>
      <c r="FH142" t="inlineStr">
        <is>
          <t>ROM</t>
        </is>
      </c>
      <c r="FI142" t="inlineStr">
        <is>
          <t>criterio experto: desmonte del tajo recibido con Dmax 10 in, escalado; programa de co-disposición de desmonte de camión</t>
        </is>
      </c>
      <c r="FJ142" t="inlineStr"/>
      <c r="FK142" t="inlineStr"/>
      <c r="FL142" t="inlineStr"/>
      <c r="FM142" t="inlineStr">
        <is>
          <t>A</t>
        </is>
      </c>
      <c r="FN142" t="n">
        <v>0.425</v>
      </c>
      <c r="FO142" t="inlineStr"/>
      <c r="FP142" t="n">
        <v>2.85</v>
      </c>
      <c r="FQ142" t="inlineStr">
        <is>
          <t>informe o verificación</t>
        </is>
      </c>
      <c r="FR142" t="inlineStr">
        <is>
          <t>W2024-140</t>
        </is>
      </c>
      <c r="FS142" t="inlineStr">
        <is>
          <t>W2024|WSP24_C4_MON</t>
        </is>
      </c>
    </row>
    <row r="143">
      <c r="A143" t="inlineStr">
        <is>
          <t>W2024</t>
        </is>
      </c>
      <c r="B143" t="inlineStr">
        <is>
          <t>2024_WSP_Ensayos gran escala mezcla co-disposicion.pdf</t>
        </is>
      </c>
      <c r="C143" t="n">
        <v>2024</v>
      </c>
      <c r="D143" t="inlineStr">
        <is>
          <t>WSP Perú – 101-20110-LTE01220-IFF-420-G-0003 Rev.0 (proyecto 2094151472); anexos IDIEM 1.914.482-A a F</t>
        </is>
      </c>
      <c r="E143" t="inlineStr">
        <is>
          <t>IDIEM (Universidad de Chile)</t>
        </is>
      </c>
      <c r="F143" t="inlineStr">
        <is>
          <t>WSP24_C4_MON</t>
        </is>
      </c>
      <c r="G143" t="inlineStr">
        <is>
          <t>IDIEM 1.914.482-B Codisposal 4 Probeta 3 (TX M) Pc 20 kgf/cm2</t>
        </is>
      </c>
      <c r="H143" t="inlineStr">
        <is>
          <t>Desmonte de Mina (Intrusivo)</t>
        </is>
      </c>
      <c r="I143" t="inlineStr">
        <is>
          <t>Intrusivo</t>
        </is>
      </c>
      <c r="J143" t="inlineStr">
        <is>
          <t>tonalita (31 de 38 fragmentos de carga puntual, IDIEM-F pp.356-362); incluye fragmentos de caliza (7 de 38)</t>
        </is>
      </c>
      <c r="K143" t="inlineStr">
        <is>
          <t>Intrusivo 100 % (sin relave). Por conteo de 38 fragmentos de carga puntual (no por masa ni petrografía): tonalita 31 (82 %), caliza 7 (18 %)</t>
        </is>
      </c>
      <c r="L143" t="inlineStr">
        <is>
          <t>tonalita: sericitización, cloritización, epidotización, oxidación, arcillas/zeolitización locales; caliza sin alteración (carga puntual IDIEM-F)</t>
        </is>
      </c>
      <c r="M143" t="inlineStr">
        <is>
          <t>Desmonte (clase no indicada), 100 % intrusivo, sin relave</t>
        </is>
      </c>
      <c r="N143" t="inlineStr"/>
      <c r="O143" t="inlineStr">
        <is>
          <t>CID</t>
        </is>
      </c>
      <c r="P143" t="inlineStr">
        <is>
          <t>sí</t>
        </is>
      </c>
      <c r="Q143" t="n">
        <v>600</v>
      </c>
      <c r="R143" t="n">
        <v>1200</v>
      </c>
      <c r="S143" t="n">
        <v>101.6</v>
      </c>
      <c r="T143" t="n">
        <v>0.2</v>
      </c>
      <c r="U143" t="n">
        <v>5.59</v>
      </c>
      <c r="V143" t="n">
        <v>13.3</v>
      </c>
      <c r="W143" t="n">
        <v>19.2</v>
      </c>
      <c r="X143" t="n">
        <v>96</v>
      </c>
      <c r="Y143" t="n">
        <v>8.130000000000001</v>
      </c>
      <c r="Z143" t="n">
        <v>73.3</v>
      </c>
      <c r="AA143" t="n">
        <v>19.8</v>
      </c>
      <c r="AB143" t="n">
        <v>6.9</v>
      </c>
      <c r="AC143" t="inlineStr">
        <is>
          <t>truncado (scalping) a 4" (corte definido por el cliente, IDIEM p.108); Dmax de la muestra recibida en laboratorio 10" (IDIEM-A p.93, 46 191 kg en 5 maxisacos); granulometría de terreno no informada</t>
        </is>
      </c>
      <c r="AD143" t="n">
        <v>2.85</v>
      </c>
      <c r="AE143" t="n">
        <v>19.62</v>
      </c>
      <c r="AF143" t="n">
        <v>0.425</v>
      </c>
      <c r="AG143" t="inlineStr">
        <is>
          <t>calculado</t>
        </is>
      </c>
      <c r="AH143" t="inlineStr"/>
      <c r="AI143" t="n">
        <v>3</v>
      </c>
      <c r="AJ143" t="n">
        <v>95.2</v>
      </c>
      <c r="AK143" t="n">
        <v>1961.3</v>
      </c>
      <c r="AL143" t="n">
        <v>8984.9</v>
      </c>
      <c r="AM143" t="n">
        <v>7023.5</v>
      </c>
      <c r="AN143" t="inlineStr">
        <is>
          <t>máximo desviador (hasta εa≈20 %)</t>
        </is>
      </c>
      <c r="AO143" t="n">
        <v>39.9</v>
      </c>
      <c r="AP143" t="n">
        <v>19.43</v>
      </c>
      <c r="AQ143" t="n">
        <v>-5.13</v>
      </c>
      <c r="AR143" t="inlineStr"/>
      <c r="AS143" t="inlineStr"/>
      <c r="AT143" t="inlineStr"/>
      <c r="AU143" t="inlineStr"/>
      <c r="AV143" t="n">
        <v>17.6</v>
      </c>
      <c r="AW143" t="inlineStr"/>
      <c r="AX143" t="n">
        <v>11</v>
      </c>
      <c r="AY143" t="inlineStr"/>
      <c r="AZ143" t="inlineStr"/>
      <c r="BA143" t="inlineStr">
        <is>
          <t>117;118;15;93;36;132</t>
        </is>
      </c>
      <c r="BB143" t="inlineStr">
        <is>
          <t>sí</t>
        </is>
      </c>
      <c r="BC143" t="inlineStr">
        <is>
          <t>Codisposal 4 (100 % intrusivo); carga monótona; IDIEM informa q=(σ1−σ3)/2 y p=(σ1+σ3)/2 en kgf/cm²; máx. q/2=35.81 y p=55.81 kgf/cm² (p.118); convertido con 1 kgf/cm²=98.0665 kPa; σ3 nominal del informe 1960 kPa (20 kgf/cm²), contrapresión 1 kgf/cm²; criterio: máximo desviador en toda la curva (corte a carga controlada hasta εa≈20 %); phi_sec calculado como asin(q/p) con datos IDIEM y coincide con Fig. 13 p.27 (±0.1°); εv: convención IDIEM, negativo = contracción (compresión); todas las probetas contractivas al pico; vol. drenado en consolidación 22500 cm³; ρd post-consolidación 2.14 g/cm³ (p.130) → e_c≈0.332 (calculado con Gs global); post-ensayo: % retenido N°4 = 58.1 (p.132); granulometría de ensayo: calculado de la tabla de granulometría inicial del desmonte (p.93) truncada bajo 4" (pasante/96.2), coincide con Gráfico 1 p.108; Gs global de la mezcla (Tabla 5 p.12; Gs&gt;N°4 = 2.87 aparente ASTM C127, Gs&lt;N°4 ASTM D854); Dmax de terreno de la muestra 10" (254 mm, p.93); probeta truncada a 4"; UCS = promedio de 7 ensayos ASTM D7012 sobre intrusivo (rango 61.1–143.1 MPa según Tabla 6 p.12; el texto de p.12 dice 64.0 por error); Is50 4.1–6.2 MPa (IDIEM-F p.364); clase de desmonte (ROM/Chancado/Enrocado) no indicada en el informe; muestra de 5 maxisacos de 'Desmonte de Mina (Intrusivo)'; [VERIFICACIÓN 2026-10-06] Gs global = valor del informe (Tabla 5 p.12, "ponderado proporcionado por el cliente" en hojas IDIEM): combina Gs aparente &gt; N°4 = 2.87 (promedio de 8 muestras WSP Lima, ASTM C127, muestreadas por Antamina en feb-mar 2024, no del lote IDIEM recibido el 15-11-2023; Gs base seca media 2.78) con Gs &lt; N°4 de IDIEM (C1 3.07 p.271/339; C4 2.80 p.110; C2 2.97 y C3 2.94 solo en Tabla 5, sin hoja en el anexo). e0 = Gs/ρd − 1 con ρd nominal de confección (hoja IDIEM); con Gs base seca el e0 bajaría ≈0.02-0.03. UCS, Los Ángeles y Gs&gt;N°4 son de muestras WSP Lima (Tajo Mina, CD-ECU-001/CD-ERD-001/CD-EGS-001), no del material ensayado en IDIEM. Convención εv: negativo = compresión (declarada por IDIEM en hojas de edómetro, p.121: "deformación unitaria positiva indica hinchamiento"). Drenado: estado de máxima oblicuidad = estado de máximo desviador (σ′3 constante).</t>
        </is>
      </c>
      <c r="BD143" t="n">
        <v>1961.3</v>
      </c>
      <c r="BE143" t="n">
        <v>1961.3</v>
      </c>
      <c r="BF143" t="n">
        <v>8984.9</v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>
        <is>
          <t>igual al de máximo desviador (CID, σ′3 constante)</t>
        </is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>
        <is>
          <t>Triaxial CD</t>
        </is>
      </c>
      <c r="EY143" t="inlineStr">
        <is>
          <t>CD: máximo desviador</t>
        </is>
      </c>
      <c r="EZ143" t="n">
        <v>1961.3</v>
      </c>
      <c r="FA143" t="n">
        <v>8984.9</v>
      </c>
      <c r="FB143" t="n">
        <v>7023.599999999999</v>
      </c>
      <c r="FC143" t="n">
        <v>39.91476668658041</v>
      </c>
      <c r="FD143" t="n">
        <v>3219.762907675723</v>
      </c>
      <c r="FE143" t="n">
        <v>2693.549923122936</v>
      </c>
      <c r="FF143" t="inlineStr">
        <is>
          <t>0.6 m</t>
        </is>
      </c>
      <c r="FG143" t="n">
        <v>5.905511811023622</v>
      </c>
      <c r="FH143" t="inlineStr">
        <is>
          <t>ROM</t>
        </is>
      </c>
      <c r="FI143" t="inlineStr">
        <is>
          <t>criterio experto: desmonte del tajo recibido con Dmax 10 in, escalado; programa de co-disposición de desmonte de camión</t>
        </is>
      </c>
      <c r="FJ143" t="inlineStr"/>
      <c r="FK143" t="inlineStr"/>
      <c r="FL143" t="inlineStr"/>
      <c r="FM143" t="inlineStr">
        <is>
          <t>A</t>
        </is>
      </c>
      <c r="FN143" t="n">
        <v>0.425</v>
      </c>
      <c r="FO143" t="inlineStr"/>
      <c r="FP143" t="n">
        <v>2.85</v>
      </c>
      <c r="FQ143" t="inlineStr">
        <is>
          <t>informe o verificación</t>
        </is>
      </c>
      <c r="FR143" t="inlineStr">
        <is>
          <t>W2024-141</t>
        </is>
      </c>
      <c r="FS143" t="inlineStr">
        <is>
          <t>W2024|WSP24_C4_MON</t>
        </is>
      </c>
    </row>
    <row r="144">
      <c r="A144" t="inlineStr">
        <is>
          <t>I2025</t>
        </is>
      </c>
      <c r="B144" t="inlineStr">
        <is>
          <t>2025_IDIEM_Triaxiales Gran Escala Codisposal 100 Intrusivo.pdf</t>
        </is>
      </c>
      <c r="C144" t="n">
        <v>2025</v>
      </c>
      <c r="D144" t="inlineStr">
        <is>
          <t>IDIEM, Informe de Ensayo Especial N°1.966.314-B Rev. 01 (24-01-2025), para WSP Perú / Cía. Minera Antamina</t>
        </is>
      </c>
      <c r="E144" t="inlineStr">
        <is>
          <t>IDIEM, División Geotecnia Laboratorio (Santiago, Chile)</t>
        </is>
      </c>
      <c r="F144" t="inlineStr">
        <is>
          <t>Codisposal 1 (100% Intrusivo)</t>
        </is>
      </c>
      <c r="G144" t="inlineStr">
        <is>
          <t>Probeta 1</t>
        </is>
      </c>
      <c r="H144" t="inlineStr">
        <is>
          <t>Intrusivo</t>
        </is>
      </c>
      <c r="I144" t="inlineStr">
        <is>
          <t>Intrusivo</t>
        </is>
      </c>
      <c r="J144" t="inlineStr"/>
      <c r="K144" t="inlineStr"/>
      <c r="L144" t="inlineStr"/>
      <c r="M144" t="inlineStr">
        <is>
          <t>Mezcla co-disposición: clase de desmonte no indicada + 0 % relave (Codisposal 1 = 100 % Intrusivo)</t>
        </is>
      </c>
      <c r="N144" t="inlineStr"/>
      <c r="O144" t="inlineStr">
        <is>
          <t>CID</t>
        </is>
      </c>
      <c r="P144" t="inlineStr">
        <is>
          <t>sí</t>
        </is>
      </c>
      <c r="Q144" t="n">
        <v>1000</v>
      </c>
      <c r="R144" t="n">
        <v>1800</v>
      </c>
      <c r="S144" t="n">
        <v>177.8</v>
      </c>
      <c r="T144" t="n">
        <v>0.22</v>
      </c>
      <c r="U144" t="n">
        <v>17.4</v>
      </c>
      <c r="V144" t="n">
        <v>53.9</v>
      </c>
      <c r="W144" t="n">
        <v>67.7</v>
      </c>
      <c r="X144" t="n">
        <v>315</v>
      </c>
      <c r="Y144" t="n">
        <v>20.8</v>
      </c>
      <c r="Z144" t="n">
        <v>78.8</v>
      </c>
      <c r="AA144" t="n">
        <v>15.7</v>
      </c>
      <c r="AB144" t="n">
        <v>5.5</v>
      </c>
      <c r="AC144" t="inlineStr">
        <is>
          <t>truncado (scalping): corte en 7" (177,8 mm) sobre banda definida por el cliente; Dmax de terreno no indicado</t>
        </is>
      </c>
      <c r="AD144" t="inlineStr"/>
      <c r="AE144" t="n">
        <v>20.6</v>
      </c>
      <c r="AF144" t="inlineStr"/>
      <c r="AG144" t="inlineStr"/>
      <c r="AH144" t="inlineStr"/>
      <c r="AI144" t="n">
        <v>0</v>
      </c>
      <c r="AJ144" t="inlineStr"/>
      <c r="AK144" t="n">
        <v>490.3</v>
      </c>
      <c r="AL144" t="n">
        <v>2171.2</v>
      </c>
      <c r="AM144" t="n">
        <v>1680.9</v>
      </c>
      <c r="AN144" t="inlineStr">
        <is>
          <t>máximo desviador</t>
        </is>
      </c>
      <c r="AO144" t="inlineStr"/>
      <c r="AP144" t="n">
        <v>3.98</v>
      </c>
      <c r="AQ144" t="n">
        <v>-2.02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10-14;15;8;29</t>
        </is>
      </c>
      <c r="BB144" t="inlineStr">
        <is>
          <t>sí</t>
        </is>
      </c>
      <c r="BC144" t="inlineStr">
        <is>
          <t>Fechas 23-12-2024 a 26-12-2024. sigma3' = presión de cámara 6.00 - contrapresión 1.00 = 5.00 kgf/cm2 (1 kgf/cm2 = 98.0665 kPa). El informe tabula p=(s1+s3)/2 y q=(s1-s3)/2 (notación MIT); q_kPa de esta fila es el desviador s1-s3 = 2·q_MIT = 17.14 kgf/cm2. Falla = fila con q_MIT máximo de la tabla (8.57 kgf/cm2 en p. 14). phi secante calculado (no informado) = asin(q/p) = 39.2°. Al final del ensayo: ea = 19.09 %, q_MIT = 5.80 kgf/cm2, ev = -1.39 %. Mínimo de ev = -2.38 % en ea = 5.70 %. Convención de ev del informe: negativo = contracción (compresión); no la declara explícitamente, se infiere de la forma de las curvas (contracción inicial, dilatancia posterior en probeta 1). Densidad seca de confección 2,10 g/cm3 (gamma_d de la columna); volumen drenado en consolidación 16200 cm3 (εv,cons ≈ 1.15 %), densidad seca post consolidación 2.12 g/cm3 = 20.80 kN/m3 (Tabla 4, p. 29). Gs no informado: e0 no calculable. Humedad de confección 0,00 % según hoja (el informe no describe si el montaje fue seco; luego saturado con B &gt;= 0,95). Corte a carga controlada; velocidad de deformación no informada ('---'). Probeta remoldeada según granulometría del cliente. Granulometría única de montaje (Gráfico 1, p. 8) digitalizada de la imagen (±0,5 %): no hay tabla numérica; D10, D30, D50, D60, Cu, Cc y porcentajes calculados por interpolación log-lineal, leído de gráfico. Granulometrías post-ensayo pendientes (Tabla 1): sin Bg. Tipo de desmonte (ROM/Chancado/Enrocado) no indicado en el informe: muestra 'Intrusivo' (sin subtipo, mineralogía, alteración ni origen: calicata y cota '---' en Tabla 2, p. 6) enviada como material perturbado en maxisacos y cortada en 7". Pico frágil: q_MIT cae de 8,57 (εa 3,98 %) a 6,72 en εa = 8,05 % y a 5,80 al final (εa = 19,09 %) (p. 14). [VERIFICACIÓN 2026-10-06] Gs NO informado en IDIEM 2025 (ni en su anexo; las granulometrías iniciales están en el informe 1.966.314-A, no incluido). Referencia externa posible: WSP 2024 Codisposal 4 (100 % intrusivo, otro lote recibido el 15-11-2023, Dmax 4") Gs global = 2.85 (Tabla 5 p.12); recalculado con la curva de este ensayo (pasante N°4 21,2 %) daría 2.855. e0 condicional (NO del informe) = 2.85/2.10 − 1 = 0.357; tras consolidación 0.344 / 0.301 / 0.234. IDIEM 2025 (Fase 2-3, lote recibido 12-16 ago 2024, probetas 100×180 cm, Dmax 7", ρd 2,10, w 0 %) COMPLEMENTA y no repite a WSP 2024 Fase 1 (60×120 cm, Dmax 4", ρd 2,00, w 3 %); la numeración cambia: aquí Codisposal 1 = 100 % intrusivo. Convención εv: negativo = compresión, coherente con la declarada por IDIEM en edómetros (WSP 2024 p.121). Drenado: estado de máxima oblicuidad = estado de máximo desviador (verificado en la tabla).</t>
        </is>
      </c>
      <c r="BD144" t="n">
        <v>490.3</v>
      </c>
      <c r="BE144" t="n">
        <v>490.3</v>
      </c>
      <c r="BF144" t="n">
        <v>2171.2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>
        <is>
          <t>igual al de máximo desviador (CID, σ′3 constante)</t>
        </is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>
        <is>
          <t>Triaxial CD</t>
        </is>
      </c>
      <c r="EY144" t="inlineStr">
        <is>
          <t>CD: máximo desviador</t>
        </is>
      </c>
      <c r="EZ144" t="n">
        <v>490.3</v>
      </c>
      <c r="FA144" t="n">
        <v>2171.2</v>
      </c>
      <c r="FB144" t="n">
        <v>1680.9</v>
      </c>
      <c r="FC144" t="n">
        <v>39.1653954769214</v>
      </c>
      <c r="FD144" t="n">
        <v>799.954431711441</v>
      </c>
      <c r="FE144" t="n">
        <v>651.6227951700474</v>
      </c>
      <c r="FF144" t="inlineStr">
        <is>
          <t>1.0 m</t>
        </is>
      </c>
      <c r="FG144" t="n">
        <v>5.624296962879639</v>
      </c>
      <c r="FH144" t="inlineStr">
        <is>
          <t>ROM</t>
        </is>
      </c>
      <c r="FI144" t="inlineStr">
        <is>
          <t>criterio experto: mismo programa Codisposal que W2024; intrusivo del tajo</t>
        </is>
      </c>
      <c r="FJ144" t="n">
        <v>0</v>
      </c>
      <c r="FK144" t="inlineStr"/>
      <c r="FL144" t="inlineStr"/>
      <c r="FM144" t="inlineStr">
        <is>
          <t>B</t>
        </is>
      </c>
      <c r="FN144" t="n">
        <v>0.357</v>
      </c>
      <c r="FO144" t="inlineStr">
        <is>
          <t>con Gs 2.85 de WSP 2024 y ρd 2.10 g/cm³</t>
        </is>
      </c>
      <c r="FP144" t="n">
        <v>2.85</v>
      </c>
      <c r="FQ144" t="inlineStr">
        <is>
          <t>WSP 2024 Codisposal 4 (mismo programa y litología)</t>
        </is>
      </c>
      <c r="FR144" t="inlineStr">
        <is>
          <t>I2025-142</t>
        </is>
      </c>
      <c r="FS144" t="inlineStr">
        <is>
          <t>I2025|Codisposal 1 (100% Intrusivo)</t>
        </is>
      </c>
    </row>
    <row r="145">
      <c r="A145" t="inlineStr">
        <is>
          <t>I2025</t>
        </is>
      </c>
      <c r="B145" t="inlineStr">
        <is>
          <t>2025_IDIEM_Triaxiales Gran Escala Codisposal 100 Intrusivo.pdf</t>
        </is>
      </c>
      <c r="C145" t="n">
        <v>2025</v>
      </c>
      <c r="D145" t="inlineStr">
        <is>
          <t>IDIEM, Informe de Ensayo Especial N°1.966.314-B Rev. 01 (24-01-2025), para WSP Perú / Cía. Minera Antamina</t>
        </is>
      </c>
      <c r="E145" t="inlineStr">
        <is>
          <t>IDIEM, División Geotecnia Laboratorio (Santiago, Chile)</t>
        </is>
      </c>
      <c r="F145" t="inlineStr">
        <is>
          <t>Codisposal 1 (100% Intrusivo)</t>
        </is>
      </c>
      <c r="G145" t="inlineStr">
        <is>
          <t>Probeta 2</t>
        </is>
      </c>
      <c r="H145" t="inlineStr">
        <is>
          <t>Intrusivo</t>
        </is>
      </c>
      <c r="I145" t="inlineStr">
        <is>
          <t>Intrusivo</t>
        </is>
      </c>
      <c r="J145" t="inlineStr"/>
      <c r="K145" t="inlineStr"/>
      <c r="L145" t="inlineStr"/>
      <c r="M145" t="inlineStr">
        <is>
          <t>Mezcla co-disposición: clase de desmonte no indicada + 0 % relave (Codisposal 1 = 100 % Intrusivo)</t>
        </is>
      </c>
      <c r="N145" t="inlineStr"/>
      <c r="O145" t="inlineStr">
        <is>
          <t>CID</t>
        </is>
      </c>
      <c r="P145" t="inlineStr">
        <is>
          <t>sí</t>
        </is>
      </c>
      <c r="Q145" t="n">
        <v>1000</v>
      </c>
      <c r="R145" t="n">
        <v>1800</v>
      </c>
      <c r="S145" t="n">
        <v>177.8</v>
      </c>
      <c r="T145" t="n">
        <v>0.22</v>
      </c>
      <c r="U145" t="n">
        <v>17.4</v>
      </c>
      <c r="V145" t="n">
        <v>53.9</v>
      </c>
      <c r="W145" t="n">
        <v>67.7</v>
      </c>
      <c r="X145" t="n">
        <v>315</v>
      </c>
      <c r="Y145" t="n">
        <v>20.8</v>
      </c>
      <c r="Z145" t="n">
        <v>78.8</v>
      </c>
      <c r="AA145" t="n">
        <v>15.7</v>
      </c>
      <c r="AB145" t="n">
        <v>5.5</v>
      </c>
      <c r="AC145" t="inlineStr">
        <is>
          <t>truncado (scalping): corte en 7" (177,8 mm) sobre banda definida por el cliente; Dmax de terreno no indicado</t>
        </is>
      </c>
      <c r="AD145" t="inlineStr"/>
      <c r="AE145" t="n">
        <v>20.6</v>
      </c>
      <c r="AF145" t="inlineStr"/>
      <c r="AG145" t="inlineStr"/>
      <c r="AH145" t="inlineStr"/>
      <c r="AI145" t="n">
        <v>0</v>
      </c>
      <c r="AJ145" t="inlineStr"/>
      <c r="AK145" t="n">
        <v>980.7</v>
      </c>
      <c r="AL145" t="n">
        <v>4428.7</v>
      </c>
      <c r="AM145" t="n">
        <v>3448</v>
      </c>
      <c r="AN145" t="inlineStr">
        <is>
          <t>máximo desviador</t>
        </is>
      </c>
      <c r="AO145" t="inlineStr"/>
      <c r="AP145" t="n">
        <v>12.97</v>
      </c>
      <c r="AQ145" t="n">
        <v>-5.79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16-20;21;8;29</t>
        </is>
      </c>
      <c r="BB145" t="inlineStr">
        <is>
          <t>sí</t>
        </is>
      </c>
      <c r="BC145" t="inlineStr">
        <is>
          <t>Fechas 17-01-2025 a 20-01-2025. sigma3' = presión de cámara 12.00 - contrapresión 2.00 = 10.00 kgf/cm2 (1 kgf/cm2 = 98.0665 kPa). El informe tabula p=(s1+s3)/2 y q=(s1-s3)/2 (notación MIT); q_kPa de esta fila es el desviador s1-s3 = 2·q_MIT = 35.16 kgf/cm2. Falla = fila con q_MIT máximo de la tabla (17.58 kgf/cm2 en p. 20). phi secante calculado (no informado) = asin(q/p) = 39.6°. Al final del ensayo: ea = 15.02 %, q_MIT = 17.26 kgf/cm2, ev = -5.80 %. Mínimo de ev = -5.81 % en ea = 13.95 %. Convención de ev del informe: negativo = contracción (compresión); no la declara explícitamente, se infiere de la forma de las curvas (contracción inicial, dilatancia posterior en probeta 1). Densidad seca de confección 2,10 g/cm3 (gamma_d de la columna); volumen drenado en consolidación 57500 cm3 (εv,cons ≈ 4.07 %), densidad seca post consolidación 2.19 g/cm3 = 21.48 kN/m3 (Tabla 4, p. 29). Gs no informado: e0 no calculable. Humedad de confección 0,00 % según hoja (el informe no describe si el montaje fue seco; luego saturado con B &gt;= 0,95). Corte a carga controlada; velocidad de deformación no informada ('---'). Probeta remoldeada según granulometría del cliente. Granulometría única de montaje (Gráfico 1, p. 8) digitalizada de la imagen (±0,5 %): no hay tabla numérica; D10, D30, D50, D60, Cu, Cc y porcentajes calculados por interpolación log-lineal, leído de gráfico. Granulometrías post-ensayo pendientes (Tabla 1): sin Bg. Tipo de desmonte (ROM/Chancado/Enrocado) no indicado en el informe: muestra 'Intrusivo' (sin subtipo, mineralogía, alteración ni origen: calicata y cota '---' en Tabla 2, p. 6) enviada como material perturbado en maxisacos y cortada en 7". El máximo ocurre en la meseta final (ea 12,97 %); el ensayo termina en ea = 15,02 % sin caída marcada: el pico podría no estar plenamente desarrollado. [VERIFICACIÓN 2026-10-06] Gs NO informado en IDIEM 2025 (ni en su anexo; las granulometrías iniciales están en el informe 1.966.314-A, no incluido). Referencia externa posible: WSP 2024 Codisposal 4 (100 % intrusivo, otro lote recibido el 15-11-2023, Dmax 4") Gs global = 2.85 (Tabla 5 p.12); recalculado con la curva de este ensayo (pasante N°4 21,2 %) daría 2.855. e0 condicional (NO del informe) = 2.85/2.10 − 1 = 0.357; tras consolidación 0.344 / 0.301 / 0.234. IDIEM 2025 (Fase 2-3, lote recibido 12-16 ago 2024, probetas 100×180 cm, Dmax 7", ρd 2,10, w 0 %) COMPLEMENTA y no repite a WSP 2024 Fase 1 (60×120 cm, Dmax 4", ρd 2,00, w 3 %); la numeración cambia: aquí Codisposal 1 = 100 % intrusivo. Convención εv: negativo = compresión, coherente con la declarada por IDIEM en edómetros (WSP 2024 p.121). Drenado: estado de máxima oblicuidad = estado de máximo desviador (verificado en la tabla).</t>
        </is>
      </c>
      <c r="BD145" t="n">
        <v>980.7</v>
      </c>
      <c r="BE145" t="n">
        <v>980.7</v>
      </c>
      <c r="BF145" t="n">
        <v>4428.7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>
        <is>
          <t>igual al de máximo desviador (CID, σ′3 constante)</t>
        </is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>
        <is>
          <t>Triaxial CD</t>
        </is>
      </c>
      <c r="EY145" t="inlineStr">
        <is>
          <t>CD: máximo desviador</t>
        </is>
      </c>
      <c r="EZ145" t="n">
        <v>980.7</v>
      </c>
      <c r="FA145" t="n">
        <v>4428.7</v>
      </c>
      <c r="FB145" t="n">
        <v>3448</v>
      </c>
      <c r="FC145" t="n">
        <v>39.59888200083781</v>
      </c>
      <c r="FD145" t="n">
        <v>1605.806961955115</v>
      </c>
      <c r="FE145" t="n">
        <v>1328.386273241516</v>
      </c>
      <c r="FF145" t="inlineStr">
        <is>
          <t>1.0 m</t>
        </is>
      </c>
      <c r="FG145" t="n">
        <v>5.624296962879639</v>
      </c>
      <c r="FH145" t="inlineStr">
        <is>
          <t>ROM</t>
        </is>
      </c>
      <c r="FI145" t="inlineStr">
        <is>
          <t>criterio experto: mismo programa Codisposal que W2024; intrusivo del tajo</t>
        </is>
      </c>
      <c r="FJ145" t="n">
        <v>0</v>
      </c>
      <c r="FK145" t="inlineStr"/>
      <c r="FL145" t="inlineStr"/>
      <c r="FM145" t="inlineStr">
        <is>
          <t>B</t>
        </is>
      </c>
      <c r="FN145" t="n">
        <v>0.357</v>
      </c>
      <c r="FO145" t="inlineStr">
        <is>
          <t>con Gs 2.85 de WSP 2024 y ρd 2.10 g/cm³</t>
        </is>
      </c>
      <c r="FP145" t="n">
        <v>2.85</v>
      </c>
      <c r="FQ145" t="inlineStr">
        <is>
          <t>WSP 2024 Codisposal 4 (mismo programa y litología)</t>
        </is>
      </c>
      <c r="FR145" t="inlineStr">
        <is>
          <t>I2025-143</t>
        </is>
      </c>
      <c r="FS145" t="inlineStr">
        <is>
          <t>I2025|Codisposal 1 (100% Intrusivo)</t>
        </is>
      </c>
    </row>
    <row r="146">
      <c r="A146" t="inlineStr">
        <is>
          <t>I2025</t>
        </is>
      </c>
      <c r="B146" t="inlineStr">
        <is>
          <t>2025_IDIEM_Triaxiales Gran Escala Codisposal 100 Intrusivo.pdf</t>
        </is>
      </c>
      <c r="C146" t="n">
        <v>2025</v>
      </c>
      <c r="D146" t="inlineStr">
        <is>
          <t>IDIEM, Informe de Ensayo Especial N°1.966.314-B Rev. 01 (24-01-2025), para WSP Perú / Cía. Minera Antamina</t>
        </is>
      </c>
      <c r="E146" t="inlineStr">
        <is>
          <t>IDIEM, División Geotecnia Laboratorio (Santiago, Chile)</t>
        </is>
      </c>
      <c r="F146" t="inlineStr">
        <is>
          <t>Codisposal 1 (100% Intrusivo)</t>
        </is>
      </c>
      <c r="G146" t="inlineStr">
        <is>
          <t>Probeta 3</t>
        </is>
      </c>
      <c r="H146" t="inlineStr">
        <is>
          <t>Intrusivo</t>
        </is>
      </c>
      <c r="I146" t="inlineStr">
        <is>
          <t>Intrusivo</t>
        </is>
      </c>
      <c r="J146" t="inlineStr"/>
      <c r="K146" t="inlineStr"/>
      <c r="L146" t="inlineStr"/>
      <c r="M146" t="inlineStr">
        <is>
          <t>Mezcla co-disposición: clase de desmonte no indicada + 0 % relave (Codisposal 1 = 100 % Intrusivo)</t>
        </is>
      </c>
      <c r="N146" t="inlineStr"/>
      <c r="O146" t="inlineStr">
        <is>
          <t>CID</t>
        </is>
      </c>
      <c r="P146" t="inlineStr">
        <is>
          <t>sí</t>
        </is>
      </c>
      <c r="Q146" t="n">
        <v>1000</v>
      </c>
      <c r="R146" t="n">
        <v>1800</v>
      </c>
      <c r="S146" t="n">
        <v>177.8</v>
      </c>
      <c r="T146" t="n">
        <v>0.22</v>
      </c>
      <c r="U146" t="n">
        <v>17.4</v>
      </c>
      <c r="V146" t="n">
        <v>53.9</v>
      </c>
      <c r="W146" t="n">
        <v>67.7</v>
      </c>
      <c r="X146" t="n">
        <v>315</v>
      </c>
      <c r="Y146" t="n">
        <v>20.8</v>
      </c>
      <c r="Z146" t="n">
        <v>78.8</v>
      </c>
      <c r="AA146" t="n">
        <v>15.7</v>
      </c>
      <c r="AB146" t="n">
        <v>5.5</v>
      </c>
      <c r="AC146" t="inlineStr">
        <is>
          <t>truncado (scalping): corte en 7" (177,8 mm) sobre banda definida por el cliente; Dmax de terreno no indicado</t>
        </is>
      </c>
      <c r="AD146" t="inlineStr"/>
      <c r="AE146" t="n">
        <v>20.6</v>
      </c>
      <c r="AF146" t="inlineStr"/>
      <c r="AG146" t="inlineStr"/>
      <c r="AH146" t="inlineStr"/>
      <c r="AI146" t="n">
        <v>0</v>
      </c>
      <c r="AJ146" t="inlineStr"/>
      <c r="AK146" t="n">
        <v>1961.3</v>
      </c>
      <c r="AL146" t="n">
        <v>8686.700000000001</v>
      </c>
      <c r="AM146" t="n">
        <v>6725.4</v>
      </c>
      <c r="AN146" t="inlineStr">
        <is>
          <t>máximo desviador</t>
        </is>
      </c>
      <c r="AO146" t="inlineStr"/>
      <c r="AP146" t="n">
        <v>11.18</v>
      </c>
      <c r="AQ146" t="n">
        <v>-9.039999999999999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22-27;28;8;29</t>
        </is>
      </c>
      <c r="BB146" t="inlineStr">
        <is>
          <t>sí</t>
        </is>
      </c>
      <c r="BC146" t="inlineStr">
        <is>
          <t>Fechas 10-01-2025 a 12-01-2025. sigma3' = presión de cámara 21.00 - contrapresión 1.00 = 20.00 kgf/cm2 (1 kgf/cm2 = 98.0665 kPa). El informe tabula p=(s1+s3)/2 y q=(s1-s3)/2 (notación MIT); q_kPa de esta fila es el desviador s1-s3 = 2·q_MIT = 68.58 kgf/cm2. Falla = fila con q_MIT máximo de la tabla (34.29 kgf/cm2 en p. 27). phi secante calculado (no informado) = asin(q/p) = 39.2°. Al final del ensayo: ea = 16.70 %, q_MIT = 32.70 kgf/cm2, ev = -8.96 %. Mínimo de ev = -9.05 % en ea = 10.23 %. Convención de ev del informe: negativo = contracción (compresión); no la declara explícitamente, se infiere de la forma de las curvas (contracción inicial, dilatancia posterior en probeta 1). Densidad seca de confección 2,10 g/cm3 (gamma_d de la columna); volumen drenado en consolidación 131400 cm3 (εv,cons ≈ 9.29 %), densidad seca post consolidación 2.31 g/cm3 = 22.66 kN/m3 (Tabla 4, p. 29). Gs no informado: e0 no calculable. Humedad de confección 0,00 % según hoja (el informe no describe si el montaje fue seco; luego saturado con B &gt;= 0,95). Corte a carga controlada; velocidad de deformación no informada ('---'). Probeta remoldeada según granulometría del cliente. Granulometría única de montaje (Gráfico 1, p. 8) digitalizada de la imagen (±0,5 %): no hay tabla numérica; D10, D30, D50, D60, Cu, Cc y porcentajes calculados por interpolación log-lineal, leído de gráfico. Granulometrías post-ensayo pendientes (Tabla 1): sin Bg. Tipo de desmonte (ROM/Chancado/Enrocado) no indicado en el informe: muestra 'Intrusivo' (sin subtipo, mineralogía, alteración ni origen: calicata y cota '---' en Tabla 2, p. 6) enviada como material perturbado en maxisacos y cortada en 7". El Gráfico 4 (p. 28) que corresponde a esta probeta está rotulado por error como 'probeta 1' en el pie. [VERIFICACIÓN 2026-10-06] Gs NO informado en IDIEM 2025 (ni en su anexo; las granulometrías iniciales están en el informe 1.966.314-A, no incluido). Referencia externa posible: WSP 2024 Codisposal 4 (100 % intrusivo, otro lote recibido el 15-11-2023, Dmax 4") Gs global = 2.85 (Tabla 5 p.12); recalculado con la curva de este ensayo (pasante N°4 21,2 %) daría 2.855. e0 condicional (NO del informe) = 2.85/2.10 − 1 = 0.357; tras consolidación 0.344 / 0.301 / 0.234. IDIEM 2025 (Fase 2-3, lote recibido 12-16 ago 2024, probetas 100×180 cm, Dmax 7", ρd 2,10, w 0 %) COMPLEMENTA y no repite a WSP 2024 Fase 1 (60×120 cm, Dmax 4", ρd 2,00, w 3 %); la numeración cambia: aquí Codisposal 1 = 100 % intrusivo. Convención εv: negativo = compresión, coherente con la declarada por IDIEM en edómetros (WSP 2024 p.121). Drenado: estado de máxima oblicuidad = estado de máximo desviador (verificado en la tabla).</t>
        </is>
      </c>
      <c r="BD146" t="n">
        <v>1961.3</v>
      </c>
      <c r="BE146" t="n">
        <v>1961.3</v>
      </c>
      <c r="BF146" t="n">
        <v>8686.700000000001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igual al de máximo desviador (CID, σ′3 constante)</t>
        </is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>
        <is>
          <t>Triaxial CD</t>
        </is>
      </c>
      <c r="EY146" t="inlineStr">
        <is>
          <t>CD: máximo desviador</t>
        </is>
      </c>
      <c r="EZ146" t="n">
        <v>1961.3</v>
      </c>
      <c r="FA146" t="n">
        <v>8686.700000000001</v>
      </c>
      <c r="FB146" t="n">
        <v>6725.400000000001</v>
      </c>
      <c r="FC146" t="n">
        <v>39.16912159893887</v>
      </c>
      <c r="FD146" t="n">
        <v>3200.079772727272</v>
      </c>
      <c r="FE146" t="n">
        <v>2607.050854544607</v>
      </c>
      <c r="FF146" t="inlineStr">
        <is>
          <t>1.0 m</t>
        </is>
      </c>
      <c r="FG146" t="n">
        <v>5.624296962879639</v>
      </c>
      <c r="FH146" t="inlineStr">
        <is>
          <t>ROM</t>
        </is>
      </c>
      <c r="FI146" t="inlineStr">
        <is>
          <t>criterio experto: mismo programa Codisposal que W2024; intrusivo del tajo</t>
        </is>
      </c>
      <c r="FJ146" t="n">
        <v>0</v>
      </c>
      <c r="FK146" t="inlineStr"/>
      <c r="FL146" t="inlineStr"/>
      <c r="FM146" t="inlineStr">
        <is>
          <t>B</t>
        </is>
      </c>
      <c r="FN146" t="n">
        <v>0.357</v>
      </c>
      <c r="FO146" t="inlineStr">
        <is>
          <t>con Gs 2.85 de WSP 2024 y ρd 2.10 g/cm³</t>
        </is>
      </c>
      <c r="FP146" t="n">
        <v>2.85</v>
      </c>
      <c r="FQ146" t="inlineStr">
        <is>
          <t>WSP 2024 Codisposal 4 (mismo programa y litología)</t>
        </is>
      </c>
      <c r="FR146" t="inlineStr">
        <is>
          <t>I2025-144</t>
        </is>
      </c>
      <c r="FS146" t="inlineStr">
        <is>
          <t>I2025|Codisposal 1 (100% Intrusivo)</t>
        </is>
      </c>
    </row>
    <row r="147">
      <c r="A147" t="inlineStr">
        <is>
          <t>A2024</t>
        </is>
      </c>
      <c r="B147" t="inlineStr">
        <is>
          <t>Marmol M-1 al M-13 Triaxial CU 6,0.pdf</t>
        </is>
      </c>
      <c r="C147" t="n">
        <v>2024</v>
      </c>
      <c r="D147" t="inlineStr">
        <is>
          <t>Anddes Geolab SAC; solicitud EPE-23.10.141; informe EPE-23.10.141_17,19,20,13,23,22,25,24,14,15,12,16,21_200_R0_TXCU</t>
        </is>
      </c>
      <c r="E147" t="inlineStr">
        <is>
          <t>Anddes Geolab SAC</t>
        </is>
      </c>
      <c r="F147" t="inlineStr">
        <is>
          <t>Ruma 01 (M-1 al M-13)</t>
        </is>
      </c>
      <c r="G147" t="inlineStr">
        <is>
          <t>500 kPa (Esf. efect. inicial)</t>
        </is>
      </c>
      <c r="H147" t="inlineStr">
        <is>
          <t>Marmol</t>
        </is>
      </c>
      <c r="I147" t="inlineStr">
        <is>
          <t>Mármol</t>
        </is>
      </c>
      <c r="J147" t="inlineStr"/>
      <c r="K147" t="inlineStr"/>
      <c r="L147" t="inlineStr"/>
      <c r="M147" t="inlineStr">
        <is>
          <t>no indicada</t>
        </is>
      </c>
      <c r="N147" t="inlineStr"/>
      <c r="O147" t="inlineStr">
        <is>
          <t>CU (CIU, ASTM D4767-11(2020))</t>
        </is>
      </c>
      <c r="P147" t="inlineStr">
        <is>
          <t>sí</t>
        </is>
      </c>
      <c r="Q147" t="n">
        <v>152</v>
      </c>
      <c r="R147" t="n">
        <v>310</v>
      </c>
      <c r="S147" t="inlineStr">
        <is>
          <t>no informado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no indicado (probeta reconstituida; muestra de terreno TM 3 in)</t>
        </is>
      </c>
      <c r="AD147" t="n">
        <v>3.06</v>
      </c>
      <c r="AE147" t="n">
        <v>21.41</v>
      </c>
      <c r="AF147" t="n">
        <v>0.402</v>
      </c>
      <c r="AG147" t="inlineStr">
        <is>
          <t>calculado</t>
        </is>
      </c>
      <c r="AH147" t="inlineStr"/>
      <c r="AI147" t="n">
        <v>6.8</v>
      </c>
      <c r="AJ147" t="inlineStr"/>
      <c r="AK147" t="n">
        <v>500</v>
      </c>
      <c r="AL147" t="n">
        <v>454.9</v>
      </c>
      <c r="AM147" t="n">
        <v>375.7</v>
      </c>
      <c r="AN147" t="inlineStr">
        <is>
          <t>deformación límite 15 % (criterio del informe para envolvente efectiva y Su)</t>
        </is>
      </c>
      <c r="AO147" t="inlineStr"/>
      <c r="AP147" t="n">
        <v>15</v>
      </c>
      <c r="AQ147" t="inlineStr"/>
      <c r="AR147" t="n">
        <v>420.8</v>
      </c>
      <c r="AS147" t="n">
        <v>267.1</v>
      </c>
      <c r="AT147" t="n">
        <v>187.9</v>
      </c>
      <c r="AU147" t="n">
        <v>188</v>
      </c>
      <c r="AV147" t="inlineStr"/>
      <c r="AW147" t="inlineStr"/>
      <c r="AX147" t="inlineStr"/>
      <c r="AY147" t="inlineStr"/>
      <c r="AZ147" t="inlineStr"/>
      <c r="BA147" t="inlineStr">
        <is>
          <t>5;1;7</t>
        </is>
      </c>
      <c r="BB147" t="inlineStr">
        <is>
          <t>sí</t>
        </is>
      </c>
      <c r="BC147" t="inlineStr">
        <is>
          <t>Probeta reconstituida al 90 % de la MDS Proctor estándar (2.425 g/cm³) y w óptimo 6.8 %;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Gs=3.06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muestra de perforación (Perforaciones Geotécnicas e Hidrogeológicas 2023) en Patio de servicios / Botadero Este, 40-90 m; por su origen sería desmonte ya depositado en botadero (probablemente ROM), pero el informe no lo dice</t>
        </is>
      </c>
      <c r="BD147" t="n">
        <v>500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187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2.182</v>
      </c>
      <c r="CL147" t="n">
        <v>0.95</v>
      </c>
      <c r="CM147" t="n">
        <v>687</v>
      </c>
      <c r="CN147" t="n">
        <v>307.8</v>
      </c>
      <c r="CO147" t="n">
        <v>144.3</v>
      </c>
      <c r="CP147" t="n">
        <v>2.438</v>
      </c>
      <c r="CQ147" t="n">
        <v>8.4</v>
      </c>
      <c r="CR147" t="n">
        <v>5.74</v>
      </c>
      <c r="CS147" t="n">
        <v>516.8</v>
      </c>
      <c r="CT147" t="n">
        <v>1.75</v>
      </c>
      <c r="CU147" t="n">
        <v>247.2</v>
      </c>
      <c r="CV147" t="n">
        <v>511.2</v>
      </c>
      <c r="CW147" t="n">
        <v>5.74</v>
      </c>
      <c r="CX147" t="n">
        <v>15</v>
      </c>
      <c r="CY147" t="n">
        <v>40</v>
      </c>
      <c r="CZ147" t="n">
        <v>44</v>
      </c>
      <c r="DA147" t="n">
        <v>28.9</v>
      </c>
      <c r="DB147" t="n">
        <v>34.7</v>
      </c>
      <c r="DC147" t="n">
        <v>29</v>
      </c>
      <c r="DD147" t="n">
        <v>19</v>
      </c>
      <c r="DE147" t="inlineStr">
        <is>
          <t>trazada al 2 % de deformación</t>
        </is>
      </c>
      <c r="DF147" t="n">
        <v>1.75</v>
      </c>
      <c r="DG147" t="n">
        <v>252.8</v>
      </c>
      <c r="DH147" t="n">
        <v>769.6</v>
      </c>
      <c r="DI147" t="n">
        <v>247.2</v>
      </c>
      <c r="DJ147" t="n">
        <v>516.8</v>
      </c>
      <c r="DK147" t="n">
        <v>3.044</v>
      </c>
      <c r="DL147" t="n">
        <v>511.2</v>
      </c>
      <c r="DM147" t="n">
        <v>258.4</v>
      </c>
      <c r="DN147" t="n">
        <v>15</v>
      </c>
      <c r="DO147" t="n">
        <v>79.2</v>
      </c>
      <c r="DP147" t="n">
        <v>454.9</v>
      </c>
      <c r="DQ147" t="n">
        <v>420.8</v>
      </c>
      <c r="DR147" t="n">
        <v>375.7</v>
      </c>
      <c r="DS147" t="n">
        <v>5.744</v>
      </c>
      <c r="DT147" t="n">
        <v>267.1</v>
      </c>
      <c r="DU147" t="n">
        <v>187.9</v>
      </c>
      <c r="DV147" t="n">
        <v>15</v>
      </c>
      <c r="DW147" t="n">
        <v>79.2</v>
      </c>
      <c r="DX147" t="n">
        <v>454.9</v>
      </c>
      <c r="DY147" t="n">
        <v>420.8</v>
      </c>
      <c r="DZ147" t="n">
        <v>375.7</v>
      </c>
      <c r="EA147" t="n">
        <v>5.744</v>
      </c>
      <c r="EB147" t="n">
        <v>267.1</v>
      </c>
      <c r="EC147" t="n">
        <v>187.9</v>
      </c>
      <c r="ED147" t="inlineStr">
        <is>
          <t>no (el maximo desviador es el primer pico)</t>
        </is>
      </c>
      <c r="EE147" t="n">
        <v>0.255</v>
      </c>
      <c r="EF147" t="n">
        <v>10.5</v>
      </c>
      <c r="EG147" t="n">
        <v>1.01</v>
      </c>
      <c r="EH147" t="n">
        <v>3.07</v>
      </c>
      <c r="EI147" t="n">
        <v>0.0806</v>
      </c>
      <c r="EJ147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>
        <is>
          <t>Triaxial CU</t>
        </is>
      </c>
      <c r="EY147" t="inlineStr">
        <is>
          <t>CU: máxima oblicuidad σ′1/σ′3</t>
        </is>
      </c>
      <c r="EZ147" t="n">
        <v>79.2</v>
      </c>
      <c r="FA147" t="n">
        <v>454.9</v>
      </c>
      <c r="FB147" t="n">
        <v>375.7</v>
      </c>
      <c r="FC147" t="n">
        <v>44.70254901469378</v>
      </c>
      <c r="FD147" t="n">
        <v>134.9113649129377</v>
      </c>
      <c r="FE147" t="n">
        <v>133.5178026232014</v>
      </c>
      <c r="FF147" t="inlineStr">
        <is>
          <t>6 in (≈150 mm)</t>
        </is>
      </c>
      <c r="FG147" t="inlineStr"/>
      <c r="FH147" t="inlineStr">
        <is>
          <t>ROM</t>
        </is>
      </c>
      <c r="FI147" t="inlineStr">
        <is>
          <t>criterio experto: rumas perforadas en el Botadero Este (desmonte depositado por camión) y pilas experimentales</t>
        </is>
      </c>
      <c r="FJ147" t="n">
        <v>0</v>
      </c>
      <c r="FK147" t="inlineStr"/>
      <c r="FL147" t="inlineStr"/>
      <c r="FM147" t="inlineStr">
        <is>
          <t>A</t>
        </is>
      </c>
      <c r="FN147" t="n">
        <v>0.2622581699346407</v>
      </c>
      <c r="FO147" t="inlineStr">
        <is>
          <t>recalculado con Gs adoptado</t>
        </is>
      </c>
      <c r="FP147" t="n">
        <v>2.755</v>
      </c>
      <c r="FQ147" t="inlineStr">
        <is>
          <t>Gs de sólidos por litología (Golder 2010); el Gs rotulado en el Proctor (2.74–3.06) no fue ensayado</t>
        </is>
      </c>
      <c r="FR147" t="inlineStr">
        <is>
          <t>A2024-145</t>
        </is>
      </c>
      <c r="FS147" t="inlineStr">
        <is>
          <t>A2024|Ruma 01 (M-1 al M-13)</t>
        </is>
      </c>
    </row>
    <row r="148">
      <c r="A148" t="inlineStr">
        <is>
          <t>A2024</t>
        </is>
      </c>
      <c r="B148" t="inlineStr">
        <is>
          <t>Marmol M-1 al M-13 Triaxial CU 6,0.pdf</t>
        </is>
      </c>
      <c r="C148" t="n">
        <v>2024</v>
      </c>
      <c r="D148" t="inlineStr">
        <is>
          <t>Anddes Geolab SAC; solicitud EPE-23.10.141; informe EPE-23.10.141_17,19,20,13,23,22,25,24,14,15,12,16,21_200_R0_TXCU</t>
        </is>
      </c>
      <c r="E148" t="inlineStr">
        <is>
          <t>Anddes Geolab SAC</t>
        </is>
      </c>
      <c r="F148" t="inlineStr">
        <is>
          <t>Ruma 01 (M-1 al M-13)</t>
        </is>
      </c>
      <c r="G148" t="inlineStr">
        <is>
          <t>1000 kPa (Esf. efect. inicial)</t>
        </is>
      </c>
      <c r="H148" t="inlineStr">
        <is>
          <t>Marmol</t>
        </is>
      </c>
      <c r="I148" t="inlineStr">
        <is>
          <t>Mármol</t>
        </is>
      </c>
      <c r="J148" t="inlineStr"/>
      <c r="K148" t="inlineStr"/>
      <c r="L148" t="inlineStr"/>
      <c r="M148" t="inlineStr">
        <is>
          <t>no indicada</t>
        </is>
      </c>
      <c r="N148" t="inlineStr"/>
      <c r="O148" t="inlineStr">
        <is>
          <t>CU (CIU, ASTM D4767-11(2020))</t>
        </is>
      </c>
      <c r="P148" t="inlineStr">
        <is>
          <t>sí</t>
        </is>
      </c>
      <c r="Q148" t="n">
        <v>152</v>
      </c>
      <c r="R148" t="n">
        <v>310</v>
      </c>
      <c r="S148" t="inlineStr">
        <is>
          <t>no informado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no indicado (probeta reconstituida; muestra de terreno TM 3 in)</t>
        </is>
      </c>
      <c r="AD148" t="n">
        <v>3.06</v>
      </c>
      <c r="AE148" t="n">
        <v>21.41</v>
      </c>
      <c r="AF148" t="n">
        <v>0.402</v>
      </c>
      <c r="AG148" t="inlineStr">
        <is>
          <t>calculado</t>
        </is>
      </c>
      <c r="AH148" t="inlineStr"/>
      <c r="AI148" t="n">
        <v>6.8</v>
      </c>
      <c r="AJ148" t="inlineStr"/>
      <c r="AK148" t="n">
        <v>1000</v>
      </c>
      <c r="AL148" t="n">
        <v>1000.6</v>
      </c>
      <c r="AM148" t="n">
        <v>893.7</v>
      </c>
      <c r="AN148" t="inlineStr">
        <is>
          <t>deformación límite 15 % (criterio del informe para envolvente efectiva y Su)</t>
        </is>
      </c>
      <c r="AO148" t="inlineStr"/>
      <c r="AP148" t="n">
        <v>15</v>
      </c>
      <c r="AQ148" t="inlineStr"/>
      <c r="AR148" t="n">
        <v>893.1</v>
      </c>
      <c r="AS148" t="n">
        <v>553.8</v>
      </c>
      <c r="AT148" t="n">
        <v>446.8</v>
      </c>
      <c r="AU148" t="n">
        <v>447</v>
      </c>
      <c r="AV148" t="inlineStr"/>
      <c r="AW148" t="inlineStr"/>
      <c r="AX148" t="inlineStr"/>
      <c r="AY148" t="inlineStr"/>
      <c r="AZ148" t="inlineStr"/>
      <c r="BA148" t="inlineStr">
        <is>
          <t>4;1;7</t>
        </is>
      </c>
      <c r="BB148" t="inlineStr">
        <is>
          <t>sí</t>
        </is>
      </c>
      <c r="BC148" t="inlineStr">
        <is>
          <t>Probeta reconstituida al 90 % de la MDS Proctor estándar (2.425 g/cm³) y w óptimo 6.8 %;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Gs=3.06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muestra de perforación (Perforaciones Geotécnicas e Hidrogeológicas 2023) en Patio de servicios / Botadero Este, 40-90 m; por su origen sería desmonte ya depositado en botadero (probablemente ROM), pero el informe no lo dice</t>
        </is>
      </c>
      <c r="BD148" t="n">
        <v>1000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187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2.182</v>
      </c>
      <c r="CL148" t="n">
        <v>0.96</v>
      </c>
      <c r="CM148" t="n">
        <v>1187</v>
      </c>
      <c r="CN148" t="n">
        <v>305.5</v>
      </c>
      <c r="CO148" t="n">
        <v>144.7</v>
      </c>
      <c r="CP148" t="n">
        <v>2.444</v>
      </c>
      <c r="CQ148" t="n">
        <v>8.199999999999999</v>
      </c>
      <c r="CR148" t="n">
        <v>9.359999999999999</v>
      </c>
      <c r="CS148" t="n">
        <v>1148.2</v>
      </c>
      <c r="CT148" t="n">
        <v>2</v>
      </c>
      <c r="CU148" t="n">
        <v>482.6</v>
      </c>
      <c r="CV148" t="n">
        <v>1091.5</v>
      </c>
      <c r="CW148" t="n">
        <v>9.359999999999999</v>
      </c>
      <c r="CX148" t="n">
        <v>15</v>
      </c>
      <c r="CY148" t="n">
        <v>40</v>
      </c>
      <c r="CZ148" t="n">
        <v>44</v>
      </c>
      <c r="DA148" t="n">
        <v>28.9</v>
      </c>
      <c r="DB148" t="n">
        <v>34.7</v>
      </c>
      <c r="DC148" t="n">
        <v>29</v>
      </c>
      <c r="DD148" t="n">
        <v>19</v>
      </c>
      <c r="DE148" t="inlineStr">
        <is>
          <t>trazada al 2 % de deformación</t>
        </is>
      </c>
      <c r="DF148" t="n">
        <v>2</v>
      </c>
      <c r="DG148" t="n">
        <v>517.4</v>
      </c>
      <c r="DH148" t="n">
        <v>1665.6</v>
      </c>
      <c r="DI148" t="n">
        <v>482.6</v>
      </c>
      <c r="DJ148" t="n">
        <v>1148.2</v>
      </c>
      <c r="DK148" t="n">
        <v>3.219</v>
      </c>
      <c r="DL148" t="n">
        <v>1091.5</v>
      </c>
      <c r="DM148" t="n">
        <v>574.1</v>
      </c>
      <c r="DN148" t="n">
        <v>15</v>
      </c>
      <c r="DO148" t="n">
        <v>106.9</v>
      </c>
      <c r="DP148" t="n">
        <v>1000.6</v>
      </c>
      <c r="DQ148" t="n">
        <v>893.1</v>
      </c>
      <c r="DR148" t="n">
        <v>893.7</v>
      </c>
      <c r="DS148" t="n">
        <v>9.359999999999999</v>
      </c>
      <c r="DT148" t="n">
        <v>553.8</v>
      </c>
      <c r="DU148" t="n">
        <v>446.8</v>
      </c>
      <c r="DV148" t="n">
        <v>15</v>
      </c>
      <c r="DW148" t="n">
        <v>106.9</v>
      </c>
      <c r="DX148" t="n">
        <v>1000.6</v>
      </c>
      <c r="DY148" t="n">
        <v>893.1</v>
      </c>
      <c r="DZ148" t="n">
        <v>893.7</v>
      </c>
      <c r="EA148" t="n">
        <v>9.359999999999999</v>
      </c>
      <c r="EB148" t="n">
        <v>553.8</v>
      </c>
      <c r="EC148" t="n">
        <v>446.8</v>
      </c>
      <c r="ED148" t="inlineStr">
        <is>
          <t>no (el maximo desviador es el primer pico)</t>
        </is>
      </c>
      <c r="EE148" t="n">
        <v>0.252</v>
      </c>
      <c r="EF148" t="n">
        <v>10.7</v>
      </c>
      <c r="EG148" t="n">
        <v>1</v>
      </c>
      <c r="EH148" t="n">
        <v>3.06</v>
      </c>
      <c r="EI148" t="n">
        <v>0.0806</v>
      </c>
      <c r="EJ148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>
        <is>
          <t>Triaxial CU</t>
        </is>
      </c>
      <c r="EY148" t="inlineStr">
        <is>
          <t>CU: máxima oblicuidad σ′1/σ′3</t>
        </is>
      </c>
      <c r="EZ148" t="n">
        <v>106.9</v>
      </c>
      <c r="FA148" t="n">
        <v>1000.6</v>
      </c>
      <c r="FB148" t="n">
        <v>893.7</v>
      </c>
      <c r="FC148" t="n">
        <v>53.79925144275836</v>
      </c>
      <c r="FD148" t="n">
        <v>193.1632325056434</v>
      </c>
      <c r="FE148" t="n">
        <v>263.9168535883428</v>
      </c>
      <c r="FF148" t="inlineStr">
        <is>
          <t>6 in (≈150 mm)</t>
        </is>
      </c>
      <c r="FG148" t="inlineStr"/>
      <c r="FH148" t="inlineStr">
        <is>
          <t>ROM</t>
        </is>
      </c>
      <c r="FI148" t="inlineStr">
        <is>
          <t>criterio experto: rumas perforadas en el Botadero Este (desmonte depositado por camión) y pilas experimentales</t>
        </is>
      </c>
      <c r="FJ148" t="n">
        <v>0</v>
      </c>
      <c r="FK148" t="inlineStr"/>
      <c r="FL148" t="inlineStr"/>
      <c r="FM148" t="inlineStr">
        <is>
          <t>A</t>
        </is>
      </c>
      <c r="FN148" t="n">
        <v>0.2622581699346407</v>
      </c>
      <c r="FO148" t="inlineStr">
        <is>
          <t>recalculado con Gs adoptado</t>
        </is>
      </c>
      <c r="FP148" t="n">
        <v>2.755</v>
      </c>
      <c r="FQ148" t="inlineStr">
        <is>
          <t>Gs de sólidos por litología (Golder 2010); el Gs rotulado en el Proctor (2.74–3.06) no fue ensayado</t>
        </is>
      </c>
      <c r="FR148" t="inlineStr">
        <is>
          <t>A2024-146</t>
        </is>
      </c>
      <c r="FS148" t="inlineStr">
        <is>
          <t>A2024|Ruma 01 (M-1 al M-13)</t>
        </is>
      </c>
    </row>
    <row r="149">
      <c r="A149" t="inlineStr">
        <is>
          <t>A2024</t>
        </is>
      </c>
      <c r="B149" t="inlineStr">
        <is>
          <t>Marmol M-1 al M-13 Triaxial CU 6,0.pdf</t>
        </is>
      </c>
      <c r="C149" t="n">
        <v>2024</v>
      </c>
      <c r="D149" t="inlineStr">
        <is>
          <t>Anddes Geolab SAC; solicitud EPE-23.10.141; informe EPE-23.10.141_17,19,20,13,23,22,25,24,14,15,12,16,21_200_R0_TXCU</t>
        </is>
      </c>
      <c r="E149" t="inlineStr">
        <is>
          <t>Anddes Geolab SAC</t>
        </is>
      </c>
      <c r="F149" t="inlineStr">
        <is>
          <t>Ruma 01 (M-1 al M-13)</t>
        </is>
      </c>
      <c r="G149" t="inlineStr">
        <is>
          <t>2000 kPa (Esf. efect. inicial)</t>
        </is>
      </c>
      <c r="H149" t="inlineStr">
        <is>
          <t>Marmol</t>
        </is>
      </c>
      <c r="I149" t="inlineStr">
        <is>
          <t>Mármol</t>
        </is>
      </c>
      <c r="J149" t="inlineStr"/>
      <c r="K149" t="inlineStr"/>
      <c r="L149" t="inlineStr"/>
      <c r="M149" t="inlineStr">
        <is>
          <t>no indicada</t>
        </is>
      </c>
      <c r="N149" t="inlineStr"/>
      <c r="O149" t="inlineStr">
        <is>
          <t>CU (CIU, ASTM D4767-11(2020))</t>
        </is>
      </c>
      <c r="P149" t="inlineStr">
        <is>
          <t>sí</t>
        </is>
      </c>
      <c r="Q149" t="n">
        <v>152</v>
      </c>
      <c r="R149" t="n">
        <v>310</v>
      </c>
      <c r="S149" t="inlineStr">
        <is>
          <t>no informado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no indicado (probeta reconstituida; muestra de terreno TM 3 in)</t>
        </is>
      </c>
      <c r="AD149" t="n">
        <v>3.06</v>
      </c>
      <c r="AE149" t="n">
        <v>21.41</v>
      </c>
      <c r="AF149" t="n">
        <v>0.402</v>
      </c>
      <c r="AG149" t="inlineStr">
        <is>
          <t>calculado</t>
        </is>
      </c>
      <c r="AH149" t="inlineStr"/>
      <c r="AI149" t="n">
        <v>6.8</v>
      </c>
      <c r="AJ149" t="inlineStr"/>
      <c r="AK149" t="n">
        <v>2000</v>
      </c>
      <c r="AL149" t="n">
        <v>2437.1</v>
      </c>
      <c r="AM149" t="n">
        <v>2018.3</v>
      </c>
      <c r="AN149" t="inlineStr">
        <is>
          <t>deformación límite 15 % (criterio del informe para envolvente efectiva y Su)</t>
        </is>
      </c>
      <c r="AO149" t="inlineStr"/>
      <c r="AP149" t="n">
        <v>15</v>
      </c>
      <c r="AQ149" t="inlineStr"/>
      <c r="AR149" t="n">
        <v>1581.2</v>
      </c>
      <c r="AS149" t="n">
        <v>1428</v>
      </c>
      <c r="AT149" t="n">
        <v>1009.2</v>
      </c>
      <c r="AU149" t="n">
        <v>1009</v>
      </c>
      <c r="AV149" t="inlineStr"/>
      <c r="AW149" t="inlineStr"/>
      <c r="AX149" t="inlineStr"/>
      <c r="AY149" t="inlineStr"/>
      <c r="AZ149" t="inlineStr"/>
      <c r="BA149" t="inlineStr">
        <is>
          <t>3;1;7</t>
        </is>
      </c>
      <c r="BB149" t="inlineStr">
        <is>
          <t>sí</t>
        </is>
      </c>
      <c r="BC149" t="inlineStr">
        <is>
          <t>Probeta reconstituida al 90 % de la MDS Proctor estándar (2.425 g/cm³) y w óptimo 6.8 %;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Gs=3.06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muestra de perforación (Perforaciones Geotécnicas e Hidrogeológicas 2023) en Patio de servicios / Botadero Este, 40-90 m; por su origen sería desmonte ya depositado en botadero (probablemente ROM), pero el informe no lo dice; desviador máximo al final del ensayo (14-15 %): comportamiento dilatante</t>
        </is>
      </c>
      <c r="BD149" t="n">
        <v>2000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187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2.182</v>
      </c>
      <c r="CL149" t="n">
        <v>0.97</v>
      </c>
      <c r="CM149" t="n">
        <v>2187</v>
      </c>
      <c r="CN149" t="n">
        <v>301.9</v>
      </c>
      <c r="CO149" t="n">
        <v>143.5</v>
      </c>
      <c r="CP149" t="n">
        <v>2.514</v>
      </c>
      <c r="CQ149" t="n">
        <v>7.5</v>
      </c>
      <c r="CR149" t="n">
        <v>5.82</v>
      </c>
      <c r="CS149" t="n">
        <v>2018.3</v>
      </c>
      <c r="CT149" t="n">
        <v>15</v>
      </c>
      <c r="CU149" t="n">
        <v>1581.2</v>
      </c>
      <c r="CV149" t="n">
        <v>1428</v>
      </c>
      <c r="CW149" t="n">
        <v>5.82</v>
      </c>
      <c r="CX149" t="n">
        <v>15</v>
      </c>
      <c r="CY149" t="n">
        <v>40</v>
      </c>
      <c r="CZ149" t="n">
        <v>44</v>
      </c>
      <c r="DA149" t="n">
        <v>28.9</v>
      </c>
      <c r="DB149" t="n">
        <v>34.7</v>
      </c>
      <c r="DC149" t="n">
        <v>29</v>
      </c>
      <c r="DD149" t="n">
        <v>19</v>
      </c>
      <c r="DE149" t="inlineStr">
        <is>
          <t>trazada al 2 % de deformación</t>
        </is>
      </c>
      <c r="DF149" t="n">
        <v>15</v>
      </c>
      <c r="DG149" t="n">
        <v>418.8</v>
      </c>
      <c r="DH149" t="n">
        <v>2437.1</v>
      </c>
      <c r="DI149" t="n">
        <v>1581.2</v>
      </c>
      <c r="DJ149" t="n">
        <v>2018.3</v>
      </c>
      <c r="DK149" t="n">
        <v>5.819</v>
      </c>
      <c r="DL149" t="n">
        <v>1428</v>
      </c>
      <c r="DM149" t="n">
        <v>1009.2</v>
      </c>
      <c r="DN149" t="n">
        <v>15</v>
      </c>
      <c r="DO149" t="n">
        <v>418.8</v>
      </c>
      <c r="DP149" t="n">
        <v>2437.1</v>
      </c>
      <c r="DQ149" t="n">
        <v>1581.2</v>
      </c>
      <c r="DR149" t="n">
        <v>2018.3</v>
      </c>
      <c r="DS149" t="n">
        <v>5.819</v>
      </c>
      <c r="DT149" t="n">
        <v>1428</v>
      </c>
      <c r="DU149" t="n">
        <v>1009.2</v>
      </c>
      <c r="DV149" t="n">
        <v>15</v>
      </c>
      <c r="DW149" t="n">
        <v>418.8</v>
      </c>
      <c r="DX149" t="n">
        <v>2437.1</v>
      </c>
      <c r="DY149" t="n">
        <v>1581.2</v>
      </c>
      <c r="DZ149" t="n">
        <v>2018.3</v>
      </c>
      <c r="EA149" t="n">
        <v>5.819</v>
      </c>
      <c r="EB149" t="n">
        <v>1428</v>
      </c>
      <c r="EC149" t="n">
        <v>1009.2</v>
      </c>
      <c r="ED149" t="inlineStr">
        <is>
          <t>q=1996.2 kPa a eps=2.0 % (u=944.2 kPa; sigma3f=1055.8; sigma1f=3052.0 kPa); el maximo global esta a 15.0 %</t>
        </is>
      </c>
      <c r="EE149" t="n">
        <v>0.217</v>
      </c>
      <c r="EF149" t="n">
        <v>13.2</v>
      </c>
      <c r="EG149" t="n">
        <v>1.06</v>
      </c>
      <c r="EH149" t="n">
        <v>3.1</v>
      </c>
      <c r="EI149" t="n">
        <v>0.0806</v>
      </c>
      <c r="EJ149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>
        <is>
          <t>Triaxial CU</t>
        </is>
      </c>
      <c r="EY149" t="inlineStr">
        <is>
          <t>CU: máxima oblicuidad σ′1/σ′3</t>
        </is>
      </c>
      <c r="EZ149" t="n">
        <v>418.8</v>
      </c>
      <c r="FA149" t="n">
        <v>2437.1</v>
      </c>
      <c r="FB149" t="n">
        <v>2018.3</v>
      </c>
      <c r="FC149" t="n">
        <v>44.96805441321496</v>
      </c>
      <c r="FD149" t="n">
        <v>714.7711614552331</v>
      </c>
      <c r="FE149" t="n">
        <v>713.9745560956197</v>
      </c>
      <c r="FF149" t="inlineStr">
        <is>
          <t>6 in (≈150 mm)</t>
        </is>
      </c>
      <c r="FG149" t="inlineStr"/>
      <c r="FH149" t="inlineStr">
        <is>
          <t>ROM</t>
        </is>
      </c>
      <c r="FI149" t="inlineStr">
        <is>
          <t>criterio experto: rumas perforadas en el Botadero Este (desmonte depositado por camión) y pilas experimentales</t>
        </is>
      </c>
      <c r="FJ149" t="n">
        <v>0</v>
      </c>
      <c r="FK149" t="inlineStr"/>
      <c r="FL149" t="inlineStr"/>
      <c r="FM149" t="inlineStr">
        <is>
          <t>A</t>
        </is>
      </c>
      <c r="FN149" t="n">
        <v>0.2622581699346407</v>
      </c>
      <c r="FO149" t="inlineStr">
        <is>
          <t>recalculado con Gs adoptado</t>
        </is>
      </c>
      <c r="FP149" t="n">
        <v>2.755</v>
      </c>
      <c r="FQ149" t="inlineStr">
        <is>
          <t>Gs de sólidos por litología (Golder 2010); el Gs rotulado en el Proctor (2.74–3.06) no fue ensayado</t>
        </is>
      </c>
      <c r="FR149" t="inlineStr">
        <is>
          <t>A2024-147</t>
        </is>
      </c>
      <c r="FS149" t="inlineStr">
        <is>
          <t>A2024|Ruma 01 (M-1 al M-13)</t>
        </is>
      </c>
    </row>
    <row r="150">
      <c r="A150" t="inlineStr">
        <is>
          <t>A2024</t>
        </is>
      </c>
      <c r="B150" t="inlineStr">
        <is>
          <t>HORNFELS H-1 al H-12 Triaxial CU 6.0.pdf</t>
        </is>
      </c>
      <c r="C150" t="n">
        <v>2024</v>
      </c>
      <c r="D150" t="inlineStr">
        <is>
          <t>Anddes Geolab SAC; solicitud EPE-23.10.141; informe EPE-23.10.141_7,9,2,4,11,8,1,3,5,6,18,10_200_R0_TXCU</t>
        </is>
      </c>
      <c r="E150" t="inlineStr">
        <is>
          <t>Anddes Geolab SAC</t>
        </is>
      </c>
      <c r="F150" t="inlineStr">
        <is>
          <t>Ruma 02 (H-1 al H-12)</t>
        </is>
      </c>
      <c r="G150" t="inlineStr">
        <is>
          <t>500 kPa (Esf. efect. inicial)</t>
        </is>
      </c>
      <c r="H150" t="inlineStr">
        <is>
          <t>HORNFELS</t>
        </is>
      </c>
      <c r="I150" t="inlineStr">
        <is>
          <t>Hornfels</t>
        </is>
      </c>
      <c r="J150" t="inlineStr"/>
      <c r="K150" t="inlineStr"/>
      <c r="L150" t="inlineStr"/>
      <c r="M150" t="inlineStr">
        <is>
          <t>no indicada</t>
        </is>
      </c>
      <c r="N150" t="inlineStr"/>
      <c r="O150" t="inlineStr">
        <is>
          <t>CU (CIU, ASTM D4767-11(2020))</t>
        </is>
      </c>
      <c r="P150" t="inlineStr">
        <is>
          <t>sí</t>
        </is>
      </c>
      <c r="Q150" t="n">
        <v>152</v>
      </c>
      <c r="R150" t="n">
        <v>310</v>
      </c>
      <c r="S150" t="inlineStr">
        <is>
          <t>no informado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no indicado (probeta reconstituida; muestra de terreno TM 3 in)</t>
        </is>
      </c>
      <c r="AD150" t="n">
        <v>2.94</v>
      </c>
      <c r="AE150" t="n">
        <v>20.6</v>
      </c>
      <c r="AF150" t="n">
        <v>0.4</v>
      </c>
      <c r="AG150" t="inlineStr">
        <is>
          <t>calculado</t>
        </is>
      </c>
      <c r="AH150" t="inlineStr"/>
      <c r="AI150" t="n">
        <v>6</v>
      </c>
      <c r="AJ150" t="inlineStr"/>
      <c r="AK150" t="n">
        <v>500</v>
      </c>
      <c r="AL150" t="n">
        <v>627.3</v>
      </c>
      <c r="AM150" t="n">
        <v>555.4</v>
      </c>
      <c r="AN150" t="inlineStr">
        <is>
          <t>deformación límite 15 % (criterio del informe para envolvente efectiva y Su)</t>
        </is>
      </c>
      <c r="AO150" t="inlineStr"/>
      <c r="AP150" t="n">
        <v>15</v>
      </c>
      <c r="AQ150" t="inlineStr"/>
      <c r="AR150" t="n">
        <v>428.1</v>
      </c>
      <c r="AS150" t="n">
        <v>349.6</v>
      </c>
      <c r="AT150" t="n">
        <v>277.7</v>
      </c>
      <c r="AU150" t="n">
        <v>278</v>
      </c>
      <c r="AV150" t="inlineStr"/>
      <c r="AW150" t="inlineStr"/>
      <c r="AX150" t="inlineStr"/>
      <c r="AY150" t="inlineStr"/>
      <c r="AZ150" t="inlineStr"/>
      <c r="BA150" t="inlineStr">
        <is>
          <t>5;1;7</t>
        </is>
      </c>
      <c r="BB150" t="inlineStr">
        <is>
          <t>sí</t>
        </is>
      </c>
      <c r="BC150" t="inlineStr">
        <is>
          <t>Probeta reconstituida al 90 % de la MDS Proctor estándar (2.333 g/cm³) y w óptimo 6.0 %;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Gs=2.94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muestra de perforación en Patio de servicios / Botadero Este, 40-90 m; probablemente desmonte ROM de botadero, no confirmado por el informe; desviador máximo al final del ensayo (14-15 %): comportamiento dilatante</t>
        </is>
      </c>
      <c r="BD150" t="n">
        <v>500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187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2.1</v>
      </c>
      <c r="CL150" t="n">
        <v>0.95</v>
      </c>
      <c r="CM150" t="n">
        <v>687</v>
      </c>
      <c r="CN150" t="n">
        <v>307.6</v>
      </c>
      <c r="CO150" t="n">
        <v>145.9</v>
      </c>
      <c r="CP150" t="n">
        <v>2.298</v>
      </c>
      <c r="CQ150" t="n">
        <v>8.699999999999999</v>
      </c>
      <c r="CR150" t="n">
        <v>8.720000000000001</v>
      </c>
      <c r="CS150" t="n">
        <v>555.4</v>
      </c>
      <c r="CT150" t="n">
        <v>15</v>
      </c>
      <c r="CU150" t="n">
        <v>428.1</v>
      </c>
      <c r="CV150" t="n">
        <v>349.6</v>
      </c>
      <c r="CW150" t="n">
        <v>8.720000000000001</v>
      </c>
      <c r="CX150" t="n">
        <v>15</v>
      </c>
      <c r="CY150" t="n">
        <v>72</v>
      </c>
      <c r="CZ150" t="n">
        <v>40.5</v>
      </c>
      <c r="DA150" t="n">
        <v>55</v>
      </c>
      <c r="DB150" t="n">
        <v>33</v>
      </c>
      <c r="DC150" t="n">
        <v>72</v>
      </c>
      <c r="DD150" t="n">
        <v>16.5</v>
      </c>
      <c r="DE150" t="inlineStr">
        <is>
          <t>trazada al 2 % de deformación</t>
        </is>
      </c>
      <c r="DF150" t="n">
        <v>15</v>
      </c>
      <c r="DG150" t="n">
        <v>71.90000000000001</v>
      </c>
      <c r="DH150" t="n">
        <v>627.3</v>
      </c>
      <c r="DI150" t="n">
        <v>428.1</v>
      </c>
      <c r="DJ150" t="n">
        <v>555.4</v>
      </c>
      <c r="DK150" t="n">
        <v>8.725</v>
      </c>
      <c r="DL150" t="n">
        <v>349.6</v>
      </c>
      <c r="DM150" t="n">
        <v>277.7</v>
      </c>
      <c r="DN150" t="n">
        <v>15</v>
      </c>
      <c r="DO150" t="n">
        <v>71.90000000000001</v>
      </c>
      <c r="DP150" t="n">
        <v>627.3</v>
      </c>
      <c r="DQ150" t="n">
        <v>428.1</v>
      </c>
      <c r="DR150" t="n">
        <v>555.4</v>
      </c>
      <c r="DS150" t="n">
        <v>8.725</v>
      </c>
      <c r="DT150" t="n">
        <v>349.6</v>
      </c>
      <c r="DU150" t="n">
        <v>277.7</v>
      </c>
      <c r="DV150" t="n">
        <v>15</v>
      </c>
      <c r="DW150" t="n">
        <v>71.90000000000001</v>
      </c>
      <c r="DX150" t="n">
        <v>627.3</v>
      </c>
      <c r="DY150" t="n">
        <v>428.1</v>
      </c>
      <c r="DZ150" t="n">
        <v>555.4</v>
      </c>
      <c r="EA150" t="n">
        <v>8.725</v>
      </c>
      <c r="EB150" t="n">
        <v>349.6</v>
      </c>
      <c r="EC150" t="n">
        <v>277.7</v>
      </c>
      <c r="ED150" t="inlineStr">
        <is>
          <t>q=538.5 kPa a eps=1.75 % (u=274.6 kPa; sigma3f=225.4; sigma1f=763.9 kPa); el maximo global esta a 15.0 %</t>
        </is>
      </c>
      <c r="EE150" t="n">
        <v>0.279</v>
      </c>
      <c r="EF150" t="n">
        <v>8.6</v>
      </c>
      <c r="EG150" t="n">
        <v>0.92</v>
      </c>
      <c r="EH150" t="n">
        <v>2.87</v>
      </c>
      <c r="EI150" t="n">
        <v>0.0806</v>
      </c>
      <c r="EJ150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>
        <is>
          <t>Triaxial CU</t>
        </is>
      </c>
      <c r="EY150" t="inlineStr">
        <is>
          <t>CU: máxima oblicuidad σ′1/σ′3</t>
        </is>
      </c>
      <c r="EZ150" t="n">
        <v>71.90000000000001</v>
      </c>
      <c r="FA150" t="n">
        <v>627.3</v>
      </c>
      <c r="FB150" t="n">
        <v>555.4</v>
      </c>
      <c r="FC150" t="n">
        <v>52.59262035088269</v>
      </c>
      <c r="FD150" t="n">
        <v>129.0127860411899</v>
      </c>
      <c r="FE150" t="n">
        <v>168.6966835414678</v>
      </c>
      <c r="FF150" t="inlineStr">
        <is>
          <t>6 in (≈150 mm)</t>
        </is>
      </c>
      <c r="FG150" t="inlineStr"/>
      <c r="FH150" t="inlineStr">
        <is>
          <t>ROM</t>
        </is>
      </c>
      <c r="FI150" t="inlineStr">
        <is>
          <t>criterio experto: rumas perforadas en el Botadero Este (desmonte depositado por camión) y pilas experimentales</t>
        </is>
      </c>
      <c r="FJ150" t="n">
        <v>0</v>
      </c>
      <c r="FK150" t="inlineStr"/>
      <c r="FL150" t="inlineStr"/>
      <c r="FM150" t="inlineStr">
        <is>
          <t>A</t>
        </is>
      </c>
      <c r="FN150" t="n">
        <v>0.3319047619047619</v>
      </c>
      <c r="FO150" t="inlineStr">
        <is>
          <t>recalculado con Gs adoptado</t>
        </is>
      </c>
      <c r="FP150" t="n">
        <v>2.797</v>
      </c>
      <c r="FQ150" t="inlineStr">
        <is>
          <t>Gs de sólidos por litología (Golder 2010); el Gs rotulado en el Proctor (2.74–3.06) no fue ensayado</t>
        </is>
      </c>
      <c r="FR150" t="inlineStr">
        <is>
          <t>A2024-148</t>
        </is>
      </c>
      <c r="FS150" t="inlineStr">
        <is>
          <t>A2024|Ruma 02 (H-1 al H-12)</t>
        </is>
      </c>
    </row>
    <row r="151">
      <c r="A151" t="inlineStr">
        <is>
          <t>A2024</t>
        </is>
      </c>
      <c r="B151" t="inlineStr">
        <is>
          <t>HORNFELS H-1 al H-12 Triaxial CU 6.0.pdf</t>
        </is>
      </c>
      <c r="C151" t="n">
        <v>2024</v>
      </c>
      <c r="D151" t="inlineStr">
        <is>
          <t>Anddes Geolab SAC; solicitud EPE-23.10.141; informe EPE-23.10.141_7,9,2,4,11,8,1,3,5,6,18,10_200_R0_TXCU</t>
        </is>
      </c>
      <c r="E151" t="inlineStr">
        <is>
          <t>Anddes Geolab SAC</t>
        </is>
      </c>
      <c r="F151" t="inlineStr">
        <is>
          <t>Ruma 02 (H-1 al H-12)</t>
        </is>
      </c>
      <c r="G151" t="inlineStr">
        <is>
          <t>1000 kPa (Esf. efect. inicial)</t>
        </is>
      </c>
      <c r="H151" t="inlineStr">
        <is>
          <t>HORNFELS</t>
        </is>
      </c>
      <c r="I151" t="inlineStr">
        <is>
          <t>Hornfels</t>
        </is>
      </c>
      <c r="J151" t="inlineStr"/>
      <c r="K151" t="inlineStr"/>
      <c r="L151" t="inlineStr"/>
      <c r="M151" t="inlineStr">
        <is>
          <t>no indicada</t>
        </is>
      </c>
      <c r="N151" t="inlineStr"/>
      <c r="O151" t="inlineStr">
        <is>
          <t>CU (CIU, ASTM D4767-11(2020))</t>
        </is>
      </c>
      <c r="P151" t="inlineStr">
        <is>
          <t>sí</t>
        </is>
      </c>
      <c r="Q151" t="n">
        <v>152</v>
      </c>
      <c r="R151" t="n">
        <v>310</v>
      </c>
      <c r="S151" t="inlineStr">
        <is>
          <t>no informado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no indicado (probeta reconstituida; muestra de terreno TM 3 in)</t>
        </is>
      </c>
      <c r="AD151" t="n">
        <v>2.94</v>
      </c>
      <c r="AE151" t="n">
        <v>20.6</v>
      </c>
      <c r="AF151" t="n">
        <v>0.4</v>
      </c>
      <c r="AG151" t="inlineStr">
        <is>
          <t>calculado</t>
        </is>
      </c>
      <c r="AH151" t="inlineStr"/>
      <c r="AI151" t="n">
        <v>6</v>
      </c>
      <c r="AJ151" t="inlineStr"/>
      <c r="AK151" t="n">
        <v>1000</v>
      </c>
      <c r="AL151" t="n">
        <v>1077</v>
      </c>
      <c r="AM151" t="n">
        <v>982.1</v>
      </c>
      <c r="AN151" t="inlineStr">
        <is>
          <t>deformación límite 15 % (criterio del informe para envolvente efectiva y Su)</t>
        </is>
      </c>
      <c r="AO151" t="inlineStr"/>
      <c r="AP151" t="n">
        <v>15</v>
      </c>
      <c r="AQ151" t="inlineStr"/>
      <c r="AR151" t="n">
        <v>905.1</v>
      </c>
      <c r="AS151" t="n">
        <v>586</v>
      </c>
      <c r="AT151" t="n">
        <v>491</v>
      </c>
      <c r="AU151" t="n">
        <v>491</v>
      </c>
      <c r="AV151" t="inlineStr"/>
      <c r="AW151" t="inlineStr"/>
      <c r="AX151" t="inlineStr"/>
      <c r="AY151" t="inlineStr"/>
      <c r="AZ151" t="inlineStr"/>
      <c r="BA151" t="inlineStr">
        <is>
          <t>4;1;7</t>
        </is>
      </c>
      <c r="BB151" t="inlineStr">
        <is>
          <t>sí</t>
        </is>
      </c>
      <c r="BC151" t="inlineStr">
        <is>
          <t>Probeta reconstituida al 90 % de la MDS Proctor estándar (2.333 g/cm³) y w óptimo 6.0 %;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Gs=2.94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muestra de perforación en Patio de servicios / Botadero Este, 40-90 m; probablemente desmonte ROM de botadero, no confirmado por el informe</t>
        </is>
      </c>
      <c r="BD151" t="n">
        <v>1000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187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2.1</v>
      </c>
      <c r="CL151" t="n">
        <v>0.96</v>
      </c>
      <c r="CM151" t="n">
        <v>1187</v>
      </c>
      <c r="CN151" t="n">
        <v>305.5</v>
      </c>
      <c r="CO151" t="n">
        <v>144.2</v>
      </c>
      <c r="CP151" t="n">
        <v>2.368</v>
      </c>
      <c r="CQ151" t="n">
        <v>7.9</v>
      </c>
      <c r="CR151" t="n">
        <v>11.34</v>
      </c>
      <c r="CS151" t="n">
        <v>1090.6</v>
      </c>
      <c r="CT151" t="n">
        <v>2</v>
      </c>
      <c r="CU151" t="n">
        <v>560.1</v>
      </c>
      <c r="CV151" t="n">
        <v>985.2</v>
      </c>
      <c r="CW151" t="n">
        <v>11.34</v>
      </c>
      <c r="CX151" t="n">
        <v>15</v>
      </c>
      <c r="CY151" t="n">
        <v>72</v>
      </c>
      <c r="CZ151" t="n">
        <v>40.5</v>
      </c>
      <c r="DA151" t="n">
        <v>55</v>
      </c>
      <c r="DB151" t="n">
        <v>33</v>
      </c>
      <c r="DC151" t="n">
        <v>72</v>
      </c>
      <c r="DD151" t="n">
        <v>16.5</v>
      </c>
      <c r="DE151" t="inlineStr">
        <is>
          <t>trazada al 2 % de deformación</t>
        </is>
      </c>
      <c r="DF151" t="n">
        <v>2</v>
      </c>
      <c r="DG151" t="n">
        <v>439.9</v>
      </c>
      <c r="DH151" t="n">
        <v>1530.5</v>
      </c>
      <c r="DI151" t="n">
        <v>560.1</v>
      </c>
      <c r="DJ151" t="n">
        <v>1090.6</v>
      </c>
      <c r="DK151" t="n">
        <v>3.479</v>
      </c>
      <c r="DL151" t="n">
        <v>985.2</v>
      </c>
      <c r="DM151" t="n">
        <v>545.3</v>
      </c>
      <c r="DN151" t="n">
        <v>15</v>
      </c>
      <c r="DO151" t="n">
        <v>94.90000000000001</v>
      </c>
      <c r="DP151" t="n">
        <v>1077</v>
      </c>
      <c r="DQ151" t="n">
        <v>905.1</v>
      </c>
      <c r="DR151" t="n">
        <v>982.1</v>
      </c>
      <c r="DS151" t="n">
        <v>11.349</v>
      </c>
      <c r="DT151" t="n">
        <v>586</v>
      </c>
      <c r="DU151" t="n">
        <v>491</v>
      </c>
      <c r="DV151" t="n">
        <v>15</v>
      </c>
      <c r="DW151" t="n">
        <v>94.90000000000001</v>
      </c>
      <c r="DX151" t="n">
        <v>1077</v>
      </c>
      <c r="DY151" t="n">
        <v>905.1</v>
      </c>
      <c r="DZ151" t="n">
        <v>982.1</v>
      </c>
      <c r="EA151" t="n">
        <v>11.349</v>
      </c>
      <c r="EB151" t="n">
        <v>586</v>
      </c>
      <c r="EC151" t="n">
        <v>491</v>
      </c>
      <c r="ED151" t="inlineStr">
        <is>
          <t>no (el maximo desviador es el primer pico)</t>
        </is>
      </c>
      <c r="EE151" t="n">
        <v>0.242</v>
      </c>
      <c r="EF151" t="n">
        <v>11.3</v>
      </c>
      <c r="EG151" t="n">
        <v>0.96</v>
      </c>
      <c r="EH151" t="n">
        <v>2.91</v>
      </c>
      <c r="EI151" t="n">
        <v>0.0806</v>
      </c>
      <c r="EJ151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>
        <is>
          <t>Triaxial CU</t>
        </is>
      </c>
      <c r="EY151" t="inlineStr">
        <is>
          <t>CU: máxima oblicuidad σ′1/σ′3</t>
        </is>
      </c>
      <c r="EZ151" t="n">
        <v>94.90000000000001</v>
      </c>
      <c r="FA151" t="n">
        <v>1077</v>
      </c>
      <c r="FB151" t="n">
        <v>982.1</v>
      </c>
      <c r="FC151" t="n">
        <v>56.93380634862099</v>
      </c>
      <c r="FD151" t="n">
        <v>174.4300708251558</v>
      </c>
      <c r="FE151" t="n">
        <v>267.9206046423663</v>
      </c>
      <c r="FF151" t="inlineStr">
        <is>
          <t>6 in (≈150 mm)</t>
        </is>
      </c>
      <c r="FG151" t="inlineStr"/>
      <c r="FH151" t="inlineStr">
        <is>
          <t>ROM</t>
        </is>
      </c>
      <c r="FI151" t="inlineStr">
        <is>
          <t>criterio experto: rumas perforadas en el Botadero Este (desmonte depositado por camión) y pilas experimentales</t>
        </is>
      </c>
      <c r="FJ151" t="n">
        <v>0</v>
      </c>
      <c r="FK151" t="inlineStr"/>
      <c r="FL151" t="inlineStr"/>
      <c r="FM151" t="inlineStr">
        <is>
          <t>A</t>
        </is>
      </c>
      <c r="FN151" t="n">
        <v>0.3319047619047619</v>
      </c>
      <c r="FO151" t="inlineStr">
        <is>
          <t>recalculado con Gs adoptado</t>
        </is>
      </c>
      <c r="FP151" t="n">
        <v>2.797</v>
      </c>
      <c r="FQ151" t="inlineStr">
        <is>
          <t>Gs de sólidos por litología (Golder 2010); el Gs rotulado en el Proctor (2.74–3.06) no fue ensayado</t>
        </is>
      </c>
      <c r="FR151" t="inlineStr">
        <is>
          <t>A2024-149</t>
        </is>
      </c>
      <c r="FS151" t="inlineStr">
        <is>
          <t>A2024|Ruma 02 (H-1 al H-12)</t>
        </is>
      </c>
    </row>
    <row r="152">
      <c r="A152" t="inlineStr">
        <is>
          <t>A2024</t>
        </is>
      </c>
      <c r="B152" t="inlineStr">
        <is>
          <t>HORNFELS H-1 al H-12 Triaxial CU 6.0.pdf</t>
        </is>
      </c>
      <c r="C152" t="n">
        <v>2024</v>
      </c>
      <c r="D152" t="inlineStr">
        <is>
          <t>Anddes Geolab SAC; solicitud EPE-23.10.141; informe EPE-23.10.141_7,9,2,4,11,8,1,3,5,6,18,10_200_R0_TXCU</t>
        </is>
      </c>
      <c r="E152" t="inlineStr">
        <is>
          <t>Anddes Geolab SAC</t>
        </is>
      </c>
      <c r="F152" t="inlineStr">
        <is>
          <t>Ruma 02 (H-1 al H-12)</t>
        </is>
      </c>
      <c r="G152" t="inlineStr">
        <is>
          <t>2000 kPa (Esf. efect. inicial)</t>
        </is>
      </c>
      <c r="H152" t="inlineStr">
        <is>
          <t>HORNFELS</t>
        </is>
      </c>
      <c r="I152" t="inlineStr">
        <is>
          <t>Hornfels</t>
        </is>
      </c>
      <c r="J152" t="inlineStr"/>
      <c r="K152" t="inlineStr"/>
      <c r="L152" t="inlineStr"/>
      <c r="M152" t="inlineStr">
        <is>
          <t>no indicada</t>
        </is>
      </c>
      <c r="N152" t="inlineStr"/>
      <c r="O152" t="inlineStr">
        <is>
          <t>CU (CIU, ASTM D4767-11(2020))</t>
        </is>
      </c>
      <c r="P152" t="inlineStr">
        <is>
          <t>sí</t>
        </is>
      </c>
      <c r="Q152" t="n">
        <v>152</v>
      </c>
      <c r="R152" t="n">
        <v>310</v>
      </c>
      <c r="S152" t="inlineStr">
        <is>
          <t>no informado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no indicado (probeta reconstituida; muestra de terreno TM 3 in)</t>
        </is>
      </c>
      <c r="AD152" t="n">
        <v>2.94</v>
      </c>
      <c r="AE152" t="n">
        <v>20.6</v>
      </c>
      <c r="AF152" t="n">
        <v>0.4</v>
      </c>
      <c r="AG152" t="inlineStr">
        <is>
          <t>calculado</t>
        </is>
      </c>
      <c r="AH152" t="inlineStr"/>
      <c r="AI152" t="n">
        <v>6</v>
      </c>
      <c r="AJ152" t="inlineStr"/>
      <c r="AK152" t="n">
        <v>2000</v>
      </c>
      <c r="AL152" t="n">
        <v>2011</v>
      </c>
      <c r="AM152" t="n">
        <v>1674.4</v>
      </c>
      <c r="AN152" t="inlineStr">
        <is>
          <t>deformación límite 15 % (criterio del informe para envolvente efectiva y Su)</t>
        </is>
      </c>
      <c r="AO152" t="inlineStr"/>
      <c r="AP152" t="n">
        <v>15</v>
      </c>
      <c r="AQ152" t="inlineStr"/>
      <c r="AR152" t="n">
        <v>1663.4</v>
      </c>
      <c r="AS152" t="n">
        <v>1173.8</v>
      </c>
      <c r="AT152" t="n">
        <v>837.2</v>
      </c>
      <c r="AU152" t="n">
        <v>837</v>
      </c>
      <c r="AV152" t="inlineStr"/>
      <c r="AW152" t="inlineStr"/>
      <c r="AX152" t="inlineStr"/>
      <c r="AY152" t="inlineStr"/>
      <c r="AZ152" t="inlineStr"/>
      <c r="BA152" t="inlineStr">
        <is>
          <t>3;1;7</t>
        </is>
      </c>
      <c r="BB152" t="inlineStr">
        <is>
          <t>sí</t>
        </is>
      </c>
      <c r="BC152" t="inlineStr">
        <is>
          <t>Probeta reconstituida al 90 % de la MDS Proctor estándar (2.333 g/cm³) y w óptimo 6.0 %;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Gs=2.94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muestra de perforación en Patio de servicios / Botadero Este, 40-90 m; probablemente desmonte ROM de botadero, no confirmado por el informe</t>
        </is>
      </c>
      <c r="BD152" t="n">
        <v>2000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187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2.1</v>
      </c>
      <c r="CL152" t="n">
        <v>0.97</v>
      </c>
      <c r="CM152" t="n">
        <v>2187</v>
      </c>
      <c r="CN152" t="n">
        <v>302.9</v>
      </c>
      <c r="CO152" t="n">
        <v>142.8</v>
      </c>
      <c r="CP152" t="n">
        <v>2.433</v>
      </c>
      <c r="CQ152" t="n">
        <v>7.3</v>
      </c>
      <c r="CR152" t="n">
        <v>5.98</v>
      </c>
      <c r="CS152" t="n">
        <v>1756.6</v>
      </c>
      <c r="CT152" t="n">
        <v>2</v>
      </c>
      <c r="CU152" t="n">
        <v>1286.9</v>
      </c>
      <c r="CV152" t="n">
        <v>1591.4</v>
      </c>
      <c r="CW152" t="n">
        <v>6.09</v>
      </c>
      <c r="CX152" t="n">
        <v>6</v>
      </c>
      <c r="CY152" t="n">
        <v>72</v>
      </c>
      <c r="CZ152" t="n">
        <v>40.5</v>
      </c>
      <c r="DA152" t="n">
        <v>55</v>
      </c>
      <c r="DB152" t="n">
        <v>33</v>
      </c>
      <c r="DC152" t="n">
        <v>72</v>
      </c>
      <c r="DD152" t="n">
        <v>16.5</v>
      </c>
      <c r="DE152" t="inlineStr">
        <is>
          <t>trazada al 2 % de deformación</t>
        </is>
      </c>
      <c r="DF152" t="n">
        <v>2</v>
      </c>
      <c r="DG152" t="n">
        <v>713.1</v>
      </c>
      <c r="DH152" t="n">
        <v>2469.7</v>
      </c>
      <c r="DI152" t="n">
        <v>1286.9</v>
      </c>
      <c r="DJ152" t="n">
        <v>1756.6</v>
      </c>
      <c r="DK152" t="n">
        <v>3.463</v>
      </c>
      <c r="DL152" t="n">
        <v>1591.4</v>
      </c>
      <c r="DM152" t="n">
        <v>878.3</v>
      </c>
      <c r="DN152" t="n">
        <v>6</v>
      </c>
      <c r="DO152" t="n">
        <v>311</v>
      </c>
      <c r="DP152" t="n">
        <v>1895.6</v>
      </c>
      <c r="DQ152" t="n">
        <v>1689</v>
      </c>
      <c r="DR152" t="n">
        <v>1584.6</v>
      </c>
      <c r="DS152" t="n">
        <v>6.095</v>
      </c>
      <c r="DT152" t="n">
        <v>1103.3</v>
      </c>
      <c r="DU152" t="n">
        <v>792.3</v>
      </c>
      <c r="DV152" t="n">
        <v>15</v>
      </c>
      <c r="DW152" t="n">
        <v>336.6</v>
      </c>
      <c r="DX152" t="n">
        <v>2011</v>
      </c>
      <c r="DY152" t="n">
        <v>1663.4</v>
      </c>
      <c r="DZ152" t="n">
        <v>1674.4</v>
      </c>
      <c r="EA152" t="n">
        <v>5.974</v>
      </c>
      <c r="EB152" t="n">
        <v>1173.8</v>
      </c>
      <c r="EC152" t="n">
        <v>837.2</v>
      </c>
      <c r="ED152" t="inlineStr">
        <is>
          <t>no (el maximo desviador es el primer pico)</t>
        </is>
      </c>
      <c r="EE152" t="n">
        <v>0.208</v>
      </c>
      <c r="EF152" t="n">
        <v>13.8</v>
      </c>
      <c r="EG152" t="n">
        <v>1.03</v>
      </c>
      <c r="EH152" t="n">
        <v>2.96</v>
      </c>
      <c r="EI152" t="n">
        <v>0.0806</v>
      </c>
      <c r="EJ152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>
        <is>
          <t>Triaxial CU</t>
        </is>
      </c>
      <c r="EY152" t="inlineStr">
        <is>
          <t>CU: máxima oblicuidad σ′1/σ′3</t>
        </is>
      </c>
      <c r="EZ152" t="n">
        <v>311</v>
      </c>
      <c r="FA152" t="n">
        <v>1895.6</v>
      </c>
      <c r="FB152" t="n">
        <v>1584.6</v>
      </c>
      <c r="FC152" t="n">
        <v>45.89934747404982</v>
      </c>
      <c r="FD152" t="n">
        <v>534.3348137405964</v>
      </c>
      <c r="FE152" t="n">
        <v>551.3781885646204</v>
      </c>
      <c r="FF152" t="inlineStr">
        <is>
          <t>6 in (≈150 mm)</t>
        </is>
      </c>
      <c r="FG152" t="inlineStr"/>
      <c r="FH152" t="inlineStr">
        <is>
          <t>ROM</t>
        </is>
      </c>
      <c r="FI152" t="inlineStr">
        <is>
          <t>criterio experto: rumas perforadas en el Botadero Este (desmonte depositado por camión) y pilas experimentales</t>
        </is>
      </c>
      <c r="FJ152" t="n">
        <v>0</v>
      </c>
      <c r="FK152" t="inlineStr"/>
      <c r="FL152" t="inlineStr"/>
      <c r="FM152" t="inlineStr">
        <is>
          <t>A</t>
        </is>
      </c>
      <c r="FN152" t="n">
        <v>0.3319047619047619</v>
      </c>
      <c r="FO152" t="inlineStr">
        <is>
          <t>recalculado con Gs adoptado</t>
        </is>
      </c>
      <c r="FP152" t="n">
        <v>2.797</v>
      </c>
      <c r="FQ152" t="inlineStr">
        <is>
          <t>Gs de sólidos por litología (Golder 2010); el Gs rotulado en el Proctor (2.74–3.06) no fue ensayado</t>
        </is>
      </c>
      <c r="FR152" t="inlineStr">
        <is>
          <t>A2024-150</t>
        </is>
      </c>
      <c r="FS152" t="inlineStr">
        <is>
          <t>A2024|Ruma 02 (H-1 al H-12)</t>
        </is>
      </c>
    </row>
    <row r="153">
      <c r="A153" t="inlineStr">
        <is>
          <t>A2024</t>
        </is>
      </c>
      <c r="B153" t="inlineStr">
        <is>
          <t>Intrusivo I-1 al I-12 Triaxial CU 6.0.pdf</t>
        </is>
      </c>
      <c r="C153" t="n">
        <v>2024</v>
      </c>
      <c r="D153" t="inlineStr">
        <is>
          <t>Anddes Geolab SAC; solicitud EPE-23.10.141; informe EPE-23.10.141_28,27,26,43,34,35,41,39,40,38,36_200_R0_TXCU</t>
        </is>
      </c>
      <c r="E153" t="inlineStr">
        <is>
          <t>Anddes Geolab SAC</t>
        </is>
      </c>
      <c r="F153" t="inlineStr">
        <is>
          <t>Ruma 03 / Fase 10 A (I-1 al I-12)</t>
        </is>
      </c>
      <c r="G153" t="inlineStr">
        <is>
          <t>500 kPa (Esf. efect. inicial)</t>
        </is>
      </c>
      <c r="H153" t="inlineStr">
        <is>
          <t>Intrusivo</t>
        </is>
      </c>
      <c r="I153" t="inlineStr">
        <is>
          <t>Intrusivo</t>
        </is>
      </c>
      <c r="J153" t="inlineStr"/>
      <c r="K153" t="inlineStr"/>
      <c r="L153" t="inlineStr"/>
      <c r="M153" t="inlineStr">
        <is>
          <t>no indicada</t>
        </is>
      </c>
      <c r="N153" t="inlineStr"/>
      <c r="O153" t="inlineStr">
        <is>
          <t>CU (CIU, ASTM D4767-11(2020))</t>
        </is>
      </c>
      <c r="P153" t="inlineStr">
        <is>
          <t>sí</t>
        </is>
      </c>
      <c r="Q153" t="n">
        <v>152</v>
      </c>
      <c r="R153" t="n">
        <v>310</v>
      </c>
      <c r="S153" t="inlineStr">
        <is>
          <t>no informado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no indicado (probeta reconstituida; muestra de terreno TM 3 in)</t>
        </is>
      </c>
      <c r="AD153" t="n">
        <v>2.75</v>
      </c>
      <c r="AE153" t="n">
        <v>18.85</v>
      </c>
      <c r="AF153" t="n">
        <v>0.432</v>
      </c>
      <c r="AG153" t="inlineStr">
        <is>
          <t>calculado</t>
        </is>
      </c>
      <c r="AH153" t="inlineStr"/>
      <c r="AI153" t="n">
        <v>8</v>
      </c>
      <c r="AJ153" t="inlineStr"/>
      <c r="AK153" t="n">
        <v>500</v>
      </c>
      <c r="AL153" t="n">
        <v>841.6</v>
      </c>
      <c r="AM153" t="n">
        <v>718.8</v>
      </c>
      <c r="AN153" t="inlineStr">
        <is>
          <t>deformación límite 15 % (criterio del informe para envolvente efectiva y Su)</t>
        </is>
      </c>
      <c r="AO153" t="inlineStr"/>
      <c r="AP153" t="n">
        <v>15</v>
      </c>
      <c r="AQ153" t="inlineStr"/>
      <c r="AR153" t="n">
        <v>377.2</v>
      </c>
      <c r="AS153" t="n">
        <v>482.1</v>
      </c>
      <c r="AT153" t="n">
        <v>359.4</v>
      </c>
      <c r="AU153" t="n">
        <v>359</v>
      </c>
      <c r="AV153" t="inlineStr"/>
      <c r="AW153" t="inlineStr"/>
      <c r="AX153" t="inlineStr"/>
      <c r="AY153" t="inlineStr"/>
      <c r="AZ153" t="inlineStr"/>
      <c r="BA153" t="inlineStr">
        <is>
          <t>5;1;7</t>
        </is>
      </c>
      <c r="BB153" t="inlineStr">
        <is>
          <t>sí</t>
        </is>
      </c>
      <c r="BC153" t="inlineStr">
        <is>
          <t>Probeta reconstituida al 90 % de la MDS Proctor estándar (2.134 g/cm³) y w óptimo 8.0 %;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Gs=2.75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muestra de perforación en Botadero Este (Ruma 03 / Fase 10 A), 20-60 m; probablemente desmonte ROM de botadero, no confirmado por el informe</t>
        </is>
      </c>
      <c r="BD153" t="n">
        <v>500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187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1.921</v>
      </c>
      <c r="CL153" t="n">
        <v>0.95</v>
      </c>
      <c r="CM153" t="n">
        <v>687</v>
      </c>
      <c r="CN153" t="n">
        <v>308.5</v>
      </c>
      <c r="CO153" t="n">
        <v>145.6</v>
      </c>
      <c r="CP153" t="n">
        <v>2.103</v>
      </c>
      <c r="CQ153" t="n">
        <v>10.1</v>
      </c>
      <c r="CR153" t="n">
        <v>6.86</v>
      </c>
      <c r="CS153" t="n">
        <v>862.7</v>
      </c>
      <c r="CT153" t="n">
        <v>1.75</v>
      </c>
      <c r="CU153" t="n">
        <v>217.1</v>
      </c>
      <c r="CV153" t="n">
        <v>714.2</v>
      </c>
      <c r="CW153" t="n">
        <v>6.86</v>
      </c>
      <c r="CX153" t="n">
        <v>15</v>
      </c>
      <c r="CY153" t="n">
        <v>82</v>
      </c>
      <c r="CZ153" t="n">
        <v>44</v>
      </c>
      <c r="DA153" t="n">
        <v>59.3</v>
      </c>
      <c r="DB153" t="n">
        <v>34.7</v>
      </c>
      <c r="DC153" t="n">
        <v>163</v>
      </c>
      <c r="DD153" t="n">
        <v>16</v>
      </c>
      <c r="DE153" t="inlineStr">
        <is>
          <t>trazada al 2 % de deformación</t>
        </is>
      </c>
      <c r="DF153" t="n">
        <v>1.75</v>
      </c>
      <c r="DG153" t="n">
        <v>282.9</v>
      </c>
      <c r="DH153" t="n">
        <v>1145.6</v>
      </c>
      <c r="DI153" t="n">
        <v>217.1</v>
      </c>
      <c r="DJ153" t="n">
        <v>862.7</v>
      </c>
      <c r="DK153" t="n">
        <v>4.049</v>
      </c>
      <c r="DL153" t="n">
        <v>714.2</v>
      </c>
      <c r="DM153" t="n">
        <v>431.3</v>
      </c>
      <c r="DN153" t="n">
        <v>15</v>
      </c>
      <c r="DO153" t="n">
        <v>122.8</v>
      </c>
      <c r="DP153" t="n">
        <v>841.6</v>
      </c>
      <c r="DQ153" t="n">
        <v>377.2</v>
      </c>
      <c r="DR153" t="n">
        <v>718.8</v>
      </c>
      <c r="DS153" t="n">
        <v>6.853</v>
      </c>
      <c r="DT153" t="n">
        <v>482.1</v>
      </c>
      <c r="DU153" t="n">
        <v>359.4</v>
      </c>
      <c r="DV153" t="n">
        <v>15</v>
      </c>
      <c r="DW153" t="n">
        <v>122.8</v>
      </c>
      <c r="DX153" t="n">
        <v>841.6</v>
      </c>
      <c r="DY153" t="n">
        <v>377.2</v>
      </c>
      <c r="DZ153" t="n">
        <v>718.8</v>
      </c>
      <c r="EA153" t="n">
        <v>6.853</v>
      </c>
      <c r="EB153" t="n">
        <v>482.1</v>
      </c>
      <c r="EC153" t="n">
        <v>359.4</v>
      </c>
      <c r="ED153" t="inlineStr">
        <is>
          <t>no (el maximo desviador es el primer pico)</t>
        </is>
      </c>
      <c r="EE153" t="n">
        <v>0.308</v>
      </c>
      <c r="EF153" t="n">
        <v>8.699999999999999</v>
      </c>
      <c r="EG153" t="n">
        <v>0.9</v>
      </c>
      <c r="EH153" t="n">
        <v>2.67</v>
      </c>
      <c r="EI153" t="n">
        <v>0.0806</v>
      </c>
      <c r="EJ153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>
        <is>
          <t>Triaxial CU</t>
        </is>
      </c>
      <c r="EY153" t="inlineStr">
        <is>
          <t>CU: máxima oblicuidad σ′1/σ′3</t>
        </is>
      </c>
      <c r="EZ153" t="n">
        <v>122.8</v>
      </c>
      <c r="FA153" t="n">
        <v>841.6</v>
      </c>
      <c r="FB153" t="n">
        <v>718.8000000000001</v>
      </c>
      <c r="FC153" t="n">
        <v>48.18778525616048</v>
      </c>
      <c r="FD153" t="n">
        <v>214.3270012442969</v>
      </c>
      <c r="FE153" t="n">
        <v>239.6088824263974</v>
      </c>
      <c r="FF153" t="inlineStr">
        <is>
          <t>6 in (≈150 mm)</t>
        </is>
      </c>
      <c r="FG153" t="inlineStr"/>
      <c r="FH153" t="inlineStr">
        <is>
          <t>ROM</t>
        </is>
      </c>
      <c r="FI153" t="inlineStr">
        <is>
          <t>criterio experto: rumas perforadas en el Botadero Este (desmonte depositado por camión) y pilas experimentales</t>
        </is>
      </c>
      <c r="FJ153" t="n">
        <v>0</v>
      </c>
      <c r="FK153" t="inlineStr"/>
      <c r="FL153" t="inlineStr"/>
      <c r="FM153" t="inlineStr">
        <is>
          <t>A</t>
        </is>
      </c>
      <c r="FN153" t="n">
        <v>0.4101294545454546</v>
      </c>
      <c r="FO153" t="inlineStr">
        <is>
          <t>recalculado con Gs adoptado</t>
        </is>
      </c>
      <c r="FP153" t="n">
        <v>2.708</v>
      </c>
      <c r="FQ153" t="inlineStr">
        <is>
          <t>Gs de sólidos por litología (Golder 2010); el Gs rotulado en el Proctor (2.74–3.06) no fue ensayado</t>
        </is>
      </c>
      <c r="FR153" t="inlineStr">
        <is>
          <t>A2024-151</t>
        </is>
      </c>
      <c r="FS153" t="inlineStr">
        <is>
          <t>A2024|Ruma 03 / Fase 10 A (I-1 al I-12)</t>
        </is>
      </c>
    </row>
    <row r="154">
      <c r="A154" t="inlineStr">
        <is>
          <t>A2024</t>
        </is>
      </c>
      <c r="B154" t="inlineStr">
        <is>
          <t>Intrusivo I-1 al I-12 Triaxial CU 6.0.pdf</t>
        </is>
      </c>
      <c r="C154" t="n">
        <v>2024</v>
      </c>
      <c r="D154" t="inlineStr">
        <is>
          <t>Anddes Geolab SAC; solicitud EPE-23.10.141; informe EPE-23.10.141_28,27,26,43,34,35,41,39,40,38,36_200_R0_TXCU</t>
        </is>
      </c>
      <c r="E154" t="inlineStr">
        <is>
          <t>Anddes Geolab SAC</t>
        </is>
      </c>
      <c r="F154" t="inlineStr">
        <is>
          <t>Ruma 03 / Fase 10 A (I-1 al I-12)</t>
        </is>
      </c>
      <c r="G154" t="inlineStr">
        <is>
          <t>1000 kPa (Esf. efect. inicial)</t>
        </is>
      </c>
      <c r="H154" t="inlineStr">
        <is>
          <t>Intrusivo</t>
        </is>
      </c>
      <c r="I154" t="inlineStr">
        <is>
          <t>Intrusivo</t>
        </is>
      </c>
      <c r="J154" t="inlineStr"/>
      <c r="K154" t="inlineStr"/>
      <c r="L154" t="inlineStr"/>
      <c r="M154" t="inlineStr">
        <is>
          <t>no indicada</t>
        </is>
      </c>
      <c r="N154" t="inlineStr"/>
      <c r="O154" t="inlineStr">
        <is>
          <t>CU (CIU, ASTM D4767-11(2020))</t>
        </is>
      </c>
      <c r="P154" t="inlineStr">
        <is>
          <t>sí</t>
        </is>
      </c>
      <c r="Q154" t="n">
        <v>152</v>
      </c>
      <c r="R154" t="n">
        <v>310</v>
      </c>
      <c r="S154" t="inlineStr">
        <is>
          <t>no informado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no indicado (probeta reconstituida; muestra de terreno TM 3 in)</t>
        </is>
      </c>
      <c r="AD154" t="n">
        <v>2.75</v>
      </c>
      <c r="AE154" t="n">
        <v>18.85</v>
      </c>
      <c r="AF154" t="n">
        <v>0.432</v>
      </c>
      <c r="AG154" t="inlineStr">
        <is>
          <t>calculado</t>
        </is>
      </c>
      <c r="AH154" t="inlineStr"/>
      <c r="AI154" t="n">
        <v>8</v>
      </c>
      <c r="AJ154" t="inlineStr"/>
      <c r="AK154" t="n">
        <v>1000</v>
      </c>
      <c r="AL154" t="n">
        <v>1115.8</v>
      </c>
      <c r="AM154" t="n">
        <v>983.8</v>
      </c>
      <c r="AN154" t="inlineStr">
        <is>
          <t>deformación límite 15 % (criterio del informe para envolvente efectiva y Su)</t>
        </is>
      </c>
      <c r="AO154" t="inlineStr"/>
      <c r="AP154" t="n">
        <v>15</v>
      </c>
      <c r="AQ154" t="inlineStr"/>
      <c r="AR154" t="n">
        <v>868</v>
      </c>
      <c r="AS154" t="n">
        <v>623.9</v>
      </c>
      <c r="AT154" t="n">
        <v>491.9</v>
      </c>
      <c r="AU154" t="n">
        <v>492</v>
      </c>
      <c r="AV154" t="inlineStr"/>
      <c r="AW154" t="inlineStr"/>
      <c r="AX154" t="inlineStr"/>
      <c r="AY154" t="inlineStr"/>
      <c r="AZ154" t="inlineStr"/>
      <c r="BA154" t="inlineStr">
        <is>
          <t>4;1;7</t>
        </is>
      </c>
      <c r="BB154" t="inlineStr">
        <is>
          <t>sí</t>
        </is>
      </c>
      <c r="BC154" t="inlineStr">
        <is>
          <t>Probeta reconstituida al 90 % de la MDS Proctor estándar (2.134 g/cm³) y w óptimo 8.0 %;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Gs=2.75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muestra de perforación en Botadero Este (Ruma 03 / Fase 10 A), 20-60 m; probablemente desmonte ROM de botadero, no confirmado por el informe</t>
        </is>
      </c>
      <c r="BD154" t="n">
        <v>1000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187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1.921</v>
      </c>
      <c r="CL154" t="n">
        <v>0.96</v>
      </c>
      <c r="CM154" t="n">
        <v>1187</v>
      </c>
      <c r="CN154" t="n">
        <v>306.9</v>
      </c>
      <c r="CO154" t="n">
        <v>143.7</v>
      </c>
      <c r="CP154" t="n">
        <v>2.169</v>
      </c>
      <c r="CQ154" t="n">
        <v>10.4</v>
      </c>
      <c r="CR154" t="n">
        <v>8.449999999999999</v>
      </c>
      <c r="CS154" t="n">
        <v>1232.6</v>
      </c>
      <c r="CT154" t="n">
        <v>1.75</v>
      </c>
      <c r="CU154" t="n">
        <v>554.2</v>
      </c>
      <c r="CV154" t="n">
        <v>1062.1</v>
      </c>
      <c r="CW154" t="n">
        <v>8.449999999999999</v>
      </c>
      <c r="CX154" t="n">
        <v>15</v>
      </c>
      <c r="CY154" t="n">
        <v>82</v>
      </c>
      <c r="CZ154" t="n">
        <v>44</v>
      </c>
      <c r="DA154" t="n">
        <v>59.3</v>
      </c>
      <c r="DB154" t="n">
        <v>34.7</v>
      </c>
      <c r="DC154" t="n">
        <v>163</v>
      </c>
      <c r="DD154" t="n">
        <v>16</v>
      </c>
      <c r="DE154" t="inlineStr">
        <is>
          <t>trazada al 2 % de deformación</t>
        </is>
      </c>
      <c r="DF154" t="n">
        <v>1.75</v>
      </c>
      <c r="DG154" t="n">
        <v>445.8</v>
      </c>
      <c r="DH154" t="n">
        <v>1678.4</v>
      </c>
      <c r="DI154" t="n">
        <v>554.2</v>
      </c>
      <c r="DJ154" t="n">
        <v>1232.6</v>
      </c>
      <c r="DK154" t="n">
        <v>3.765</v>
      </c>
      <c r="DL154" t="n">
        <v>1062.1</v>
      </c>
      <c r="DM154" t="n">
        <v>616.3</v>
      </c>
      <c r="DN154" t="n">
        <v>15</v>
      </c>
      <c r="DO154" t="n">
        <v>132</v>
      </c>
      <c r="DP154" t="n">
        <v>1115.8</v>
      </c>
      <c r="DQ154" t="n">
        <v>868</v>
      </c>
      <c r="DR154" t="n">
        <v>983.8</v>
      </c>
      <c r="DS154" t="n">
        <v>8.452999999999999</v>
      </c>
      <c r="DT154" t="n">
        <v>623.9</v>
      </c>
      <c r="DU154" t="n">
        <v>491.9</v>
      </c>
      <c r="DV154" t="n">
        <v>15</v>
      </c>
      <c r="DW154" t="n">
        <v>132</v>
      </c>
      <c r="DX154" t="n">
        <v>1115.8</v>
      </c>
      <c r="DY154" t="n">
        <v>868</v>
      </c>
      <c r="DZ154" t="n">
        <v>983.8</v>
      </c>
      <c r="EA154" t="n">
        <v>8.452999999999999</v>
      </c>
      <c r="EB154" t="n">
        <v>623.9</v>
      </c>
      <c r="EC154" t="n">
        <v>491.9</v>
      </c>
      <c r="ED154" t="inlineStr">
        <is>
          <t>no (el maximo desviador es el primer pico)</t>
        </is>
      </c>
      <c r="EE154" t="n">
        <v>0.268</v>
      </c>
      <c r="EF154" t="n">
        <v>11.5</v>
      </c>
      <c r="EG154" t="n">
        <v>1.07</v>
      </c>
      <c r="EH154" t="n">
        <v>2.8</v>
      </c>
      <c r="EI154" t="n">
        <v>0.0806</v>
      </c>
      <c r="EJ154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>
        <is>
          <t>Triaxial CU</t>
        </is>
      </c>
      <c r="EY154" t="inlineStr">
        <is>
          <t>CU: máxima oblicuidad σ′1/σ′3</t>
        </is>
      </c>
      <c r="EZ154" t="n">
        <v>132</v>
      </c>
      <c r="FA154" t="n">
        <v>1115.8</v>
      </c>
      <c r="FB154" t="n">
        <v>983.8</v>
      </c>
      <c r="FC154" t="n">
        <v>52.03881316446631</v>
      </c>
      <c r="FD154" t="n">
        <v>236.0724475076134</v>
      </c>
      <c r="FE154" t="n">
        <v>302.5812279831072</v>
      </c>
      <c r="FF154" t="inlineStr">
        <is>
          <t>6 in (≈150 mm)</t>
        </is>
      </c>
      <c r="FG154" t="inlineStr"/>
      <c r="FH154" t="inlineStr">
        <is>
          <t>ROM</t>
        </is>
      </c>
      <c r="FI154" t="inlineStr">
        <is>
          <t>criterio experto: rumas perforadas en el Botadero Este (desmonte depositado por camión) y pilas experimentales</t>
        </is>
      </c>
      <c r="FJ154" t="n">
        <v>0</v>
      </c>
      <c r="FK154" t="inlineStr"/>
      <c r="FL154" t="inlineStr"/>
      <c r="FM154" t="inlineStr">
        <is>
          <t>A</t>
        </is>
      </c>
      <c r="FN154" t="n">
        <v>0.4101294545454546</v>
      </c>
      <c r="FO154" t="inlineStr">
        <is>
          <t>recalculado con Gs adoptado</t>
        </is>
      </c>
      <c r="FP154" t="n">
        <v>2.708</v>
      </c>
      <c r="FQ154" t="inlineStr">
        <is>
          <t>Gs de sólidos por litología (Golder 2010); el Gs rotulado en el Proctor (2.74–3.06) no fue ensayado</t>
        </is>
      </c>
      <c r="FR154" t="inlineStr">
        <is>
          <t>A2024-152</t>
        </is>
      </c>
      <c r="FS154" t="inlineStr">
        <is>
          <t>A2024|Ruma 03 / Fase 10 A (I-1 al I-12)</t>
        </is>
      </c>
    </row>
    <row r="155">
      <c r="A155" t="inlineStr">
        <is>
          <t>A2024</t>
        </is>
      </c>
      <c r="B155" t="inlineStr">
        <is>
          <t>Intrusivo I-1 al I-12 Triaxial CU 6.0.pdf</t>
        </is>
      </c>
      <c r="C155" t="n">
        <v>2024</v>
      </c>
      <c r="D155" t="inlineStr">
        <is>
          <t>Anddes Geolab SAC; solicitud EPE-23.10.141; informe EPE-23.10.141_28,27,26,43,34,35,41,39,40,38,36_200_R0_TXCU</t>
        </is>
      </c>
      <c r="E155" t="inlineStr">
        <is>
          <t>Anddes Geolab SAC</t>
        </is>
      </c>
      <c r="F155" t="inlineStr">
        <is>
          <t>Ruma 03 / Fase 10 A (I-1 al I-12)</t>
        </is>
      </c>
      <c r="G155" t="inlineStr">
        <is>
          <t>2000 kPa (Esf. efect. inicial)</t>
        </is>
      </c>
      <c r="H155" t="inlineStr">
        <is>
          <t>Intrusivo</t>
        </is>
      </c>
      <c r="I155" t="inlineStr">
        <is>
          <t>Intrusivo</t>
        </is>
      </c>
      <c r="J155" t="inlineStr"/>
      <c r="K155" t="inlineStr"/>
      <c r="L155" t="inlineStr"/>
      <c r="M155" t="inlineStr">
        <is>
          <t>no indicada</t>
        </is>
      </c>
      <c r="N155" t="inlineStr"/>
      <c r="O155" t="inlineStr">
        <is>
          <t>CU (CIU, ASTM D4767-11(2020))</t>
        </is>
      </c>
      <c r="P155" t="inlineStr">
        <is>
          <t>sí</t>
        </is>
      </c>
      <c r="Q155" t="n">
        <v>152</v>
      </c>
      <c r="R155" t="n">
        <v>310</v>
      </c>
      <c r="S155" t="inlineStr">
        <is>
          <t>no informado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no indicado (probeta reconstituida; muestra de terreno TM 3 in)</t>
        </is>
      </c>
      <c r="AD155" t="n">
        <v>2.75</v>
      </c>
      <c r="AE155" t="n">
        <v>18.85</v>
      </c>
      <c r="AF155" t="n">
        <v>0.432</v>
      </c>
      <c r="AG155" t="inlineStr">
        <is>
          <t>calculado</t>
        </is>
      </c>
      <c r="AH155" t="inlineStr"/>
      <c r="AI155" t="n">
        <v>8</v>
      </c>
      <c r="AJ155" t="inlineStr"/>
      <c r="AK155" t="n">
        <v>2000</v>
      </c>
      <c r="AL155" t="n">
        <v>1965.8</v>
      </c>
      <c r="AM155" t="n">
        <v>1680</v>
      </c>
      <c r="AN155" t="inlineStr">
        <is>
          <t>deformación límite 15 % (criterio del informe para envolvente efectiva y Su)</t>
        </is>
      </c>
      <c r="AO155" t="inlineStr"/>
      <c r="AP155" t="n">
        <v>15</v>
      </c>
      <c r="AQ155" t="inlineStr"/>
      <c r="AR155" t="n">
        <v>1714.2</v>
      </c>
      <c r="AS155" t="n">
        <v>1125.8</v>
      </c>
      <c r="AT155" t="n">
        <v>840</v>
      </c>
      <c r="AU155" t="n">
        <v>840</v>
      </c>
      <c r="AV155" t="inlineStr"/>
      <c r="AW155" t="inlineStr"/>
      <c r="AX155" t="inlineStr"/>
      <c r="AY155" t="inlineStr"/>
      <c r="AZ155" t="inlineStr"/>
      <c r="BA155" t="inlineStr">
        <is>
          <t>3;1;7</t>
        </is>
      </c>
      <c r="BB155" t="inlineStr">
        <is>
          <t>sí</t>
        </is>
      </c>
      <c r="BC155" t="inlineStr">
        <is>
          <t>Probeta reconstituida al 90 % de la MDS Proctor estándar (2.134 g/cm³) y w óptimo 8.0 %;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Gs=2.75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muestra de perforación en Botadero Este (Ruma 03 / Fase 10 A), 20-60 m; probablemente desmonte ROM de botadero, no confirmado por el informe</t>
        </is>
      </c>
      <c r="BD155" t="n">
        <v>2000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187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1.921</v>
      </c>
      <c r="CL155" t="n">
        <v>0.97</v>
      </c>
      <c r="CM155" t="n">
        <v>2187</v>
      </c>
      <c r="CN155" t="n">
        <v>304.9</v>
      </c>
      <c r="CO155" t="n">
        <v>142.8</v>
      </c>
      <c r="CP155" t="n">
        <v>2.213</v>
      </c>
      <c r="CQ155" t="n">
        <v>10.3</v>
      </c>
      <c r="CR155" t="n">
        <v>6.88</v>
      </c>
      <c r="CS155" t="n">
        <v>2005.5</v>
      </c>
      <c r="CT155" t="n">
        <v>2.5</v>
      </c>
      <c r="CU155" t="n">
        <v>1194.2</v>
      </c>
      <c r="CV155" t="n">
        <v>1808.5</v>
      </c>
      <c r="CW155" t="n">
        <v>6.88</v>
      </c>
      <c r="CX155" t="n">
        <v>15</v>
      </c>
      <c r="CY155" t="n">
        <v>82</v>
      </c>
      <c r="CZ155" t="n">
        <v>44</v>
      </c>
      <c r="DA155" t="n">
        <v>59.3</v>
      </c>
      <c r="DB155" t="n">
        <v>34.7</v>
      </c>
      <c r="DC155" t="n">
        <v>163</v>
      </c>
      <c r="DD155" t="n">
        <v>16</v>
      </c>
      <c r="DE155" t="inlineStr">
        <is>
          <t>trazada al 2 % de deformación</t>
        </is>
      </c>
      <c r="DF155" t="n">
        <v>2.5</v>
      </c>
      <c r="DG155" t="n">
        <v>805.8</v>
      </c>
      <c r="DH155" t="n">
        <v>2811.3</v>
      </c>
      <c r="DI155" t="n">
        <v>1194.2</v>
      </c>
      <c r="DJ155" t="n">
        <v>2005.5</v>
      </c>
      <c r="DK155" t="n">
        <v>3.489</v>
      </c>
      <c r="DL155" t="n">
        <v>1808.5</v>
      </c>
      <c r="DM155" t="n">
        <v>1002.8</v>
      </c>
      <c r="DN155" t="n">
        <v>15</v>
      </c>
      <c r="DO155" t="n">
        <v>285.8</v>
      </c>
      <c r="DP155" t="n">
        <v>1965.8</v>
      </c>
      <c r="DQ155" t="n">
        <v>1714.2</v>
      </c>
      <c r="DR155" t="n">
        <v>1680</v>
      </c>
      <c r="DS155" t="n">
        <v>6.878</v>
      </c>
      <c r="DT155" t="n">
        <v>1125.8</v>
      </c>
      <c r="DU155" t="n">
        <v>840</v>
      </c>
      <c r="DV155" t="n">
        <v>15</v>
      </c>
      <c r="DW155" t="n">
        <v>285.8</v>
      </c>
      <c r="DX155" t="n">
        <v>1965.8</v>
      </c>
      <c r="DY155" t="n">
        <v>1714.2</v>
      </c>
      <c r="DZ155" t="n">
        <v>1680</v>
      </c>
      <c r="EA155" t="n">
        <v>6.878</v>
      </c>
      <c r="EB155" t="n">
        <v>1125.8</v>
      </c>
      <c r="EC155" t="n">
        <v>840</v>
      </c>
      <c r="ED155" t="inlineStr">
        <is>
          <t>no (el maximo desviador es el primer pico)</t>
        </is>
      </c>
      <c r="EE155" t="n">
        <v>0.243</v>
      </c>
      <c r="EF155" t="n">
        <v>13.2</v>
      </c>
      <c r="EG155" t="n">
        <v>1.17</v>
      </c>
      <c r="EH155" t="n">
        <v>2.87</v>
      </c>
      <c r="EI155" t="n">
        <v>0.0806</v>
      </c>
      <c r="EJ155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>
        <is>
          <t>Triaxial CU</t>
        </is>
      </c>
      <c r="EY155" t="inlineStr">
        <is>
          <t>CU: máxima oblicuidad σ′1/σ′3</t>
        </is>
      </c>
      <c r="EZ155" t="n">
        <v>285.8</v>
      </c>
      <c r="FA155" t="n">
        <v>1965.8</v>
      </c>
      <c r="FB155" t="n">
        <v>1680</v>
      </c>
      <c r="FC155" t="n">
        <v>48.25677270074242</v>
      </c>
      <c r="FD155" t="n">
        <v>499.0456919523893</v>
      </c>
      <c r="FE155" t="n">
        <v>559.2665172739745</v>
      </c>
      <c r="FF155" t="inlineStr">
        <is>
          <t>6 in (≈150 mm)</t>
        </is>
      </c>
      <c r="FG155" t="inlineStr"/>
      <c r="FH155" t="inlineStr">
        <is>
          <t>ROM</t>
        </is>
      </c>
      <c r="FI155" t="inlineStr">
        <is>
          <t>criterio experto: rumas perforadas en el Botadero Este (desmonte depositado por camión) y pilas experimentales</t>
        </is>
      </c>
      <c r="FJ155" t="n">
        <v>0</v>
      </c>
      <c r="FK155" t="inlineStr"/>
      <c r="FL155" t="inlineStr"/>
      <c r="FM155" t="inlineStr">
        <is>
          <t>A</t>
        </is>
      </c>
      <c r="FN155" t="n">
        <v>0.4101294545454546</v>
      </c>
      <c r="FO155" t="inlineStr">
        <is>
          <t>recalculado con Gs adoptado</t>
        </is>
      </c>
      <c r="FP155" t="n">
        <v>2.708</v>
      </c>
      <c r="FQ155" t="inlineStr">
        <is>
          <t>Gs de sólidos por litología (Golder 2010); el Gs rotulado en el Proctor (2.74–3.06) no fue ensayado</t>
        </is>
      </c>
      <c r="FR155" t="inlineStr">
        <is>
          <t>A2024-153</t>
        </is>
      </c>
      <c r="FS155" t="inlineStr">
        <is>
          <t>A2024|Ruma 03 / Fase 10 A (I-1 al I-12)</t>
        </is>
      </c>
    </row>
    <row r="156">
      <c r="A156" t="inlineStr">
        <is>
          <t>A2024</t>
        </is>
      </c>
      <c r="B156" t="inlineStr">
        <is>
          <t>Pila 01 Mármol + Hornfels Triaxial CU 6.0.pdf</t>
        </is>
      </c>
      <c r="C156" t="n">
        <v>2024</v>
      </c>
      <c r="D156" t="inlineStr">
        <is>
          <t>Anddes Geolab SAC; solicitud EPE-23.10.141; informe EPE-23.10.141_1,2,3,4_110_R0_TXCU</t>
        </is>
      </c>
      <c r="E156" t="inlineStr">
        <is>
          <t>Anddes Geolab SAC</t>
        </is>
      </c>
      <c r="F156" t="inlineStr">
        <is>
          <t>Pila 01 (MP1-B-M-1, MP1-B-M2, MP1-B-M3, MP1-H-Material B)</t>
        </is>
      </c>
      <c r="G156" t="inlineStr">
        <is>
          <t>500 kPa (Esf. efect. inicial)</t>
        </is>
      </c>
      <c r="H156" t="inlineStr">
        <is>
          <t>Mármol + Hornfels</t>
        </is>
      </c>
      <c r="I156" t="inlineStr">
        <is>
          <t>Mezcla</t>
        </is>
      </c>
      <c r="J156" t="inlineStr"/>
      <c r="K156" t="inlineStr">
        <is>
          <t>Mármol + Hornfels, proporción no indicada</t>
        </is>
      </c>
      <c r="L156" t="inlineStr"/>
      <c r="M156" t="inlineStr">
        <is>
          <t>no indicada</t>
        </is>
      </c>
      <c r="N156" t="inlineStr">
        <is>
          <t>B (inferido de «Material B» en el N° de muestra)</t>
        </is>
      </c>
      <c r="O156" t="inlineStr">
        <is>
          <t>CU (CIU, ASTM D4767-11(2020))</t>
        </is>
      </c>
      <c r="P156" t="inlineStr">
        <is>
          <t>sí</t>
        </is>
      </c>
      <c r="Q156" t="n">
        <v>152</v>
      </c>
      <c r="R156" t="n">
        <v>310</v>
      </c>
      <c r="S156" t="inlineStr">
        <is>
          <t>no informado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no indicado (probeta reconstituida; muestra de terreno TM 3 in)</t>
        </is>
      </c>
      <c r="AD156" t="n">
        <v>2.9</v>
      </c>
      <c r="AE156" t="n">
        <v>20.54</v>
      </c>
      <c r="AF156" t="n">
        <v>0.385</v>
      </c>
      <c r="AG156" t="inlineStr">
        <is>
          <t>calculado</t>
        </is>
      </c>
      <c r="AH156" t="inlineStr"/>
      <c r="AI156" t="n">
        <v>7.4</v>
      </c>
      <c r="AJ156" t="inlineStr"/>
      <c r="AK156" t="n">
        <v>500</v>
      </c>
      <c r="AL156" t="n">
        <v>682.3</v>
      </c>
      <c r="AM156" t="n">
        <v>584.1</v>
      </c>
      <c r="AN156" t="inlineStr">
        <is>
          <t>deformación límite 15 % (criterio del informe para envolvente efectiva y Su)</t>
        </is>
      </c>
      <c r="AO156" t="inlineStr"/>
      <c r="AP156" t="n">
        <v>15</v>
      </c>
      <c r="AQ156" t="inlineStr"/>
      <c r="AR156" t="n">
        <v>401.8</v>
      </c>
      <c r="AS156" t="n">
        <v>390.2</v>
      </c>
      <c r="AT156" t="n">
        <v>292</v>
      </c>
      <c r="AU156" t="n">
        <v>292</v>
      </c>
      <c r="AV156" t="inlineStr"/>
      <c r="AW156" t="inlineStr"/>
      <c r="AX156" t="inlineStr"/>
      <c r="AY156" t="inlineStr"/>
      <c r="AZ156" t="inlineStr"/>
      <c r="BA156" t="inlineStr">
        <is>
          <t>5;1;7</t>
        </is>
      </c>
      <c r="BB156" t="inlineStr">
        <is>
          <t>sí</t>
        </is>
      </c>
      <c r="BC156" t="inlineStr">
        <is>
          <t>Probeta reconstituida al 90 % de la MDS Proctor estándar (2.327 g/cm³) y w óptimo 7.4 %;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Gs=2.9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material de «Pilas Experimentales Medio Ambiente»; el informe no dice si es ROM, Chancado o Enrocado</t>
        </is>
      </c>
      <c r="BD156" t="n">
        <v>500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187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2.094</v>
      </c>
      <c r="CL156" t="n">
        <v>0.95</v>
      </c>
      <c r="CM156" t="n">
        <v>687</v>
      </c>
      <c r="CN156" t="n">
        <v>308.4</v>
      </c>
      <c r="CO156" t="n">
        <v>147.7</v>
      </c>
      <c r="CP156" t="n">
        <v>2.229</v>
      </c>
      <c r="CQ156" t="n">
        <v>9.5</v>
      </c>
      <c r="CR156" t="n">
        <v>6.95</v>
      </c>
      <c r="CS156" t="n">
        <v>666.5</v>
      </c>
      <c r="CT156" t="n">
        <v>2</v>
      </c>
      <c r="CU156" t="n">
        <v>257.9</v>
      </c>
      <c r="CV156" t="n">
        <v>575.3</v>
      </c>
      <c r="CW156" t="n">
        <v>6.95</v>
      </c>
      <c r="CX156" t="n">
        <v>15</v>
      </c>
      <c r="CY156" t="n">
        <v>61</v>
      </c>
      <c r="CZ156" t="n">
        <v>42</v>
      </c>
      <c r="DA156" t="n">
        <v>45.3</v>
      </c>
      <c r="DB156" t="n">
        <v>33.9</v>
      </c>
      <c r="DC156" t="n">
        <v>0</v>
      </c>
      <c r="DD156" t="n">
        <v>25</v>
      </c>
      <c r="DE156" t="inlineStr">
        <is>
          <t>trazada al 15 % de deformación</t>
        </is>
      </c>
      <c r="DF156" t="n">
        <v>2</v>
      </c>
      <c r="DG156" t="n">
        <v>242.1</v>
      </c>
      <c r="DH156" t="n">
        <v>908.6</v>
      </c>
      <c r="DI156" t="n">
        <v>257.9</v>
      </c>
      <c r="DJ156" t="n">
        <v>666.5</v>
      </c>
      <c r="DK156" t="n">
        <v>3.753</v>
      </c>
      <c r="DL156" t="n">
        <v>575.3</v>
      </c>
      <c r="DM156" t="n">
        <v>333.2</v>
      </c>
      <c r="DN156" t="n">
        <v>15</v>
      </c>
      <c r="DO156" t="n">
        <v>98.2</v>
      </c>
      <c r="DP156" t="n">
        <v>682.3</v>
      </c>
      <c r="DQ156" t="n">
        <v>401.8</v>
      </c>
      <c r="DR156" t="n">
        <v>584.1</v>
      </c>
      <c r="DS156" t="n">
        <v>6.948</v>
      </c>
      <c r="DT156" t="n">
        <v>390.2</v>
      </c>
      <c r="DU156" t="n">
        <v>292</v>
      </c>
      <c r="DV156" t="n">
        <v>15</v>
      </c>
      <c r="DW156" t="n">
        <v>98.2</v>
      </c>
      <c r="DX156" t="n">
        <v>682.3</v>
      </c>
      <c r="DY156" t="n">
        <v>401.8</v>
      </c>
      <c r="DZ156" t="n">
        <v>584.1</v>
      </c>
      <c r="EA156" t="n">
        <v>6.948</v>
      </c>
      <c r="EB156" t="n">
        <v>390.2</v>
      </c>
      <c r="EC156" t="n">
        <v>292</v>
      </c>
      <c r="ED156" t="inlineStr">
        <is>
          <t>no (el maximo desviador es el primer pico)</t>
        </is>
      </c>
      <c r="EE156" t="n">
        <v>0.301</v>
      </c>
      <c r="EF156" t="n">
        <v>6.1</v>
      </c>
      <c r="EG156" t="n">
        <v>0.92</v>
      </c>
      <c r="EH156" t="n">
        <v>2.83</v>
      </c>
      <c r="EI156" t="n">
        <v>0.0806</v>
      </c>
      <c r="EJ156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>
        <is>
          <t>Triaxial CU</t>
        </is>
      </c>
      <c r="EY156" t="inlineStr">
        <is>
          <t>CU: máxima oblicuidad σ′1/σ′3</t>
        </is>
      </c>
      <c r="EZ156" t="n">
        <v>98.2</v>
      </c>
      <c r="FA156" t="n">
        <v>682.3</v>
      </c>
      <c r="FB156" t="n">
        <v>584.0999999999999</v>
      </c>
      <c r="FC156" t="n">
        <v>48.44907062466944</v>
      </c>
      <c r="FD156" t="n">
        <v>171.6895836002563</v>
      </c>
      <c r="FE156" t="n">
        <v>193.7125367217378</v>
      </c>
      <c r="FF156" t="inlineStr">
        <is>
          <t>6 in (≈150 mm)</t>
        </is>
      </c>
      <c r="FG156" t="inlineStr"/>
      <c r="FH156" t="inlineStr">
        <is>
          <t>ROM</t>
        </is>
      </c>
      <c r="FI156" t="inlineStr">
        <is>
          <t>criterio experto: rumas perforadas en el Botadero Este (desmonte depositado por camión) y pilas experimentales</t>
        </is>
      </c>
      <c r="FJ156" t="n">
        <v>0</v>
      </c>
      <c r="FK156" t="inlineStr"/>
      <c r="FL156" t="inlineStr"/>
      <c r="FM156" t="inlineStr">
        <is>
          <t>A</t>
        </is>
      </c>
      <c r="FN156" t="n">
        <v>0.385</v>
      </c>
      <c r="FO156" t="inlineStr"/>
      <c r="FP156" t="n">
        <v>2.9</v>
      </c>
      <c r="FQ156" t="inlineStr">
        <is>
          <t>informe o verificación</t>
        </is>
      </c>
      <c r="FR156" t="inlineStr">
        <is>
          <t>A2024-154</t>
        </is>
      </c>
      <c r="FS156" t="inlineStr">
        <is>
          <t>A2024|Pila 01 (MP1-B-M-1, MP1-B-M2, MP1-B-M3, MP1-H-Material B)</t>
        </is>
      </c>
    </row>
    <row r="157">
      <c r="A157" t="inlineStr">
        <is>
          <t>A2024</t>
        </is>
      </c>
      <c r="B157" t="inlineStr">
        <is>
          <t>Pila 01 Mármol + Hornfels Triaxial CU 6.0.pdf</t>
        </is>
      </c>
      <c r="C157" t="n">
        <v>2024</v>
      </c>
      <c r="D157" t="inlineStr">
        <is>
          <t>Anddes Geolab SAC; solicitud EPE-23.10.141; informe EPE-23.10.141_1,2,3,4_110_R0_TXCU</t>
        </is>
      </c>
      <c r="E157" t="inlineStr">
        <is>
          <t>Anddes Geolab SAC</t>
        </is>
      </c>
      <c r="F157" t="inlineStr">
        <is>
          <t>Pila 01 (MP1-B-M-1, MP1-B-M2, MP1-B-M3, MP1-H-Material B)</t>
        </is>
      </c>
      <c r="G157" t="inlineStr">
        <is>
          <t>1000 kPa (Esf. efect. inicial)</t>
        </is>
      </c>
      <c r="H157" t="inlineStr">
        <is>
          <t>Mármol + Hornfels</t>
        </is>
      </c>
      <c r="I157" t="inlineStr">
        <is>
          <t>Mezcla</t>
        </is>
      </c>
      <c r="J157" t="inlineStr"/>
      <c r="K157" t="inlineStr">
        <is>
          <t>Mármol + Hornfels, proporción no indicada</t>
        </is>
      </c>
      <c r="L157" t="inlineStr"/>
      <c r="M157" t="inlineStr">
        <is>
          <t>no indicada</t>
        </is>
      </c>
      <c r="N157" t="inlineStr">
        <is>
          <t>B (inferido de «Material B» en el N° de muestra)</t>
        </is>
      </c>
      <c r="O157" t="inlineStr">
        <is>
          <t>CU (CIU, ASTM D4767-11(2020))</t>
        </is>
      </c>
      <c r="P157" t="inlineStr">
        <is>
          <t>sí</t>
        </is>
      </c>
      <c r="Q157" t="n">
        <v>152</v>
      </c>
      <c r="R157" t="n">
        <v>310</v>
      </c>
      <c r="S157" t="inlineStr">
        <is>
          <t>no informado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no indicado (probeta reconstituida; muestra de terreno TM 3 in)</t>
        </is>
      </c>
      <c r="AD157" t="n">
        <v>2.9</v>
      </c>
      <c r="AE157" t="n">
        <v>20.54</v>
      </c>
      <c r="AF157" t="n">
        <v>0.385</v>
      </c>
      <c r="AG157" t="inlineStr">
        <is>
          <t>calculado</t>
        </is>
      </c>
      <c r="AH157" t="inlineStr"/>
      <c r="AI157" t="n">
        <v>7.4</v>
      </c>
      <c r="AJ157" t="inlineStr"/>
      <c r="AK157" t="n">
        <v>1000</v>
      </c>
      <c r="AL157" t="n">
        <v>1412.3</v>
      </c>
      <c r="AM157" t="n">
        <v>1213.9</v>
      </c>
      <c r="AN157" t="inlineStr">
        <is>
          <t>deformación límite 15 % (criterio del informe para envolvente efectiva y Su)</t>
        </is>
      </c>
      <c r="AO157" t="inlineStr"/>
      <c r="AP157" t="n">
        <v>15</v>
      </c>
      <c r="AQ157" t="inlineStr"/>
      <c r="AR157" t="n">
        <v>801.6</v>
      </c>
      <c r="AS157" t="n">
        <v>805.4</v>
      </c>
      <c r="AT157" t="n">
        <v>607</v>
      </c>
      <c r="AU157" t="n">
        <v>607</v>
      </c>
      <c r="AV157" t="inlineStr"/>
      <c r="AW157" t="inlineStr"/>
      <c r="AX157" t="inlineStr"/>
      <c r="AY157" t="inlineStr"/>
      <c r="AZ157" t="inlineStr"/>
      <c r="BA157" t="inlineStr">
        <is>
          <t>4;1;7</t>
        </is>
      </c>
      <c r="BB157" t="inlineStr">
        <is>
          <t>sí</t>
        </is>
      </c>
      <c r="BC157" t="inlineStr">
        <is>
          <t>Probeta reconstituida al 90 % de la MDS Proctor estándar (2.327 g/cm³) y w óptimo 7.4 %;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Gs=2.9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material de «Pilas Experimentales Medio Ambiente»; el informe no dice si es ROM, Chancado o Enrocado</t>
        </is>
      </c>
      <c r="BD157" t="n">
        <v>1000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187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2.094</v>
      </c>
      <c r="CL157" t="n">
        <v>0.97</v>
      </c>
      <c r="CM157" t="n">
        <v>1187</v>
      </c>
      <c r="CN157" t="n">
        <v>306.3</v>
      </c>
      <c r="CO157" t="n">
        <v>146.2</v>
      </c>
      <c r="CP157" t="n">
        <v>2.289</v>
      </c>
      <c r="CQ157" t="n">
        <v>8.4</v>
      </c>
      <c r="CR157" t="n">
        <v>7.12</v>
      </c>
      <c r="CS157" t="n">
        <v>1365.5</v>
      </c>
      <c r="CT157" t="n">
        <v>2.5</v>
      </c>
      <c r="CU157" t="n">
        <v>451.5</v>
      </c>
      <c r="CV157" t="n">
        <v>1231.2</v>
      </c>
      <c r="CW157" t="n">
        <v>7.12</v>
      </c>
      <c r="CX157" t="n">
        <v>15</v>
      </c>
      <c r="CY157" t="n">
        <v>61</v>
      </c>
      <c r="CZ157" t="n">
        <v>42</v>
      </c>
      <c r="DA157" t="n">
        <v>45.3</v>
      </c>
      <c r="DB157" t="n">
        <v>33.9</v>
      </c>
      <c r="DC157" t="n">
        <v>0</v>
      </c>
      <c r="DD157" t="n">
        <v>25</v>
      </c>
      <c r="DE157" t="inlineStr">
        <is>
          <t>trazada al 15 % de deformación</t>
        </is>
      </c>
      <c r="DF157" t="n">
        <v>2.5</v>
      </c>
      <c r="DG157" t="n">
        <v>548.5</v>
      </c>
      <c r="DH157" t="n">
        <v>1914</v>
      </c>
      <c r="DI157" t="n">
        <v>451.5</v>
      </c>
      <c r="DJ157" t="n">
        <v>1365.5</v>
      </c>
      <c r="DK157" t="n">
        <v>3.49</v>
      </c>
      <c r="DL157" t="n">
        <v>1231.2</v>
      </c>
      <c r="DM157" t="n">
        <v>682.7</v>
      </c>
      <c r="DN157" t="n">
        <v>15</v>
      </c>
      <c r="DO157" t="n">
        <v>198.4</v>
      </c>
      <c r="DP157" t="n">
        <v>1412.3</v>
      </c>
      <c r="DQ157" t="n">
        <v>801.6</v>
      </c>
      <c r="DR157" t="n">
        <v>1213.9</v>
      </c>
      <c r="DS157" t="n">
        <v>7.118</v>
      </c>
      <c r="DT157" t="n">
        <v>805.4</v>
      </c>
      <c r="DU157" t="n">
        <v>607</v>
      </c>
      <c r="DV157" t="n">
        <v>15</v>
      </c>
      <c r="DW157" t="n">
        <v>198.4</v>
      </c>
      <c r="DX157" t="n">
        <v>1412.3</v>
      </c>
      <c r="DY157" t="n">
        <v>801.6</v>
      </c>
      <c r="DZ157" t="n">
        <v>1213.9</v>
      </c>
      <c r="EA157" t="n">
        <v>7.118</v>
      </c>
      <c r="EB157" t="n">
        <v>805.4</v>
      </c>
      <c r="EC157" t="n">
        <v>607</v>
      </c>
      <c r="ED157" t="inlineStr">
        <is>
          <t>no (el maximo desviador es el primer pico)</t>
        </is>
      </c>
      <c r="EE157" t="n">
        <v>0.267</v>
      </c>
      <c r="EF157" t="n">
        <v>8.6</v>
      </c>
      <c r="EG157" t="n">
        <v>0.91</v>
      </c>
      <c r="EH157" t="n">
        <v>2.83</v>
      </c>
      <c r="EI157" t="n">
        <v>0.0806</v>
      </c>
      <c r="EJ157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>
        <is>
          <t>Triaxial CU</t>
        </is>
      </c>
      <c r="EY157" t="inlineStr">
        <is>
          <t>CU: máxima oblicuidad σ′1/σ′3</t>
        </is>
      </c>
      <c r="EZ157" t="n">
        <v>198.4</v>
      </c>
      <c r="FA157" t="n">
        <v>1412.3</v>
      </c>
      <c r="FB157" t="n">
        <v>1213.9</v>
      </c>
      <c r="FC157" t="n">
        <v>48.9073297018305</v>
      </c>
      <c r="FD157" t="n">
        <v>347.9236605202709</v>
      </c>
      <c r="FE157" t="n">
        <v>398.9353913231759</v>
      </c>
      <c r="FF157" t="inlineStr">
        <is>
          <t>6 in (≈150 mm)</t>
        </is>
      </c>
      <c r="FG157" t="inlineStr"/>
      <c r="FH157" t="inlineStr">
        <is>
          <t>ROM</t>
        </is>
      </c>
      <c r="FI157" t="inlineStr">
        <is>
          <t>criterio experto: rumas perforadas en el Botadero Este (desmonte depositado por camión) y pilas experimentales</t>
        </is>
      </c>
      <c r="FJ157" t="n">
        <v>0</v>
      </c>
      <c r="FK157" t="inlineStr"/>
      <c r="FL157" t="inlineStr"/>
      <c r="FM157" t="inlineStr">
        <is>
          <t>A</t>
        </is>
      </c>
      <c r="FN157" t="n">
        <v>0.385</v>
      </c>
      <c r="FO157" t="inlineStr"/>
      <c r="FP157" t="n">
        <v>2.9</v>
      </c>
      <c r="FQ157" t="inlineStr">
        <is>
          <t>informe o verificación</t>
        </is>
      </c>
      <c r="FR157" t="inlineStr">
        <is>
          <t>A2024-155</t>
        </is>
      </c>
      <c r="FS157" t="inlineStr">
        <is>
          <t>A2024|Pila 01 (MP1-B-M-1, MP1-B-M2, MP1-B-M3, MP1-H-Material B)</t>
        </is>
      </c>
    </row>
    <row r="158">
      <c r="A158" t="inlineStr">
        <is>
          <t>A2024</t>
        </is>
      </c>
      <c r="B158" t="inlineStr">
        <is>
          <t>Pila 01 Mármol + Hornfels Triaxial CU 6.0.pdf</t>
        </is>
      </c>
      <c r="C158" t="n">
        <v>2024</v>
      </c>
      <c r="D158" t="inlineStr">
        <is>
          <t>Anddes Geolab SAC; solicitud EPE-23.10.141; informe EPE-23.10.141_1,2,3,4_110_R0_TXCU</t>
        </is>
      </c>
      <c r="E158" t="inlineStr">
        <is>
          <t>Anddes Geolab SAC</t>
        </is>
      </c>
      <c r="F158" t="inlineStr">
        <is>
          <t>Pila 01 (MP1-B-M-1, MP1-B-M2, MP1-B-M3, MP1-H-Material B)</t>
        </is>
      </c>
      <c r="G158" t="inlineStr">
        <is>
          <t>2000 kPa (Esf. efect. inicial)</t>
        </is>
      </c>
      <c r="H158" t="inlineStr">
        <is>
          <t>Mármol + Hornfels</t>
        </is>
      </c>
      <c r="I158" t="inlineStr">
        <is>
          <t>Mezcla</t>
        </is>
      </c>
      <c r="J158" t="inlineStr"/>
      <c r="K158" t="inlineStr">
        <is>
          <t>Mármol + Hornfels, proporción no indicada</t>
        </is>
      </c>
      <c r="L158" t="inlineStr"/>
      <c r="M158" t="inlineStr">
        <is>
          <t>no indicada</t>
        </is>
      </c>
      <c r="N158" t="inlineStr">
        <is>
          <t>B (inferido de «Material B» en el N° de muestra)</t>
        </is>
      </c>
      <c r="O158" t="inlineStr">
        <is>
          <t>CU (CIU, ASTM D4767-11(2020))</t>
        </is>
      </c>
      <c r="P158" t="inlineStr">
        <is>
          <t>sí</t>
        </is>
      </c>
      <c r="Q158" t="n">
        <v>152</v>
      </c>
      <c r="R158" t="n">
        <v>310</v>
      </c>
      <c r="S158" t="inlineStr">
        <is>
          <t>no informado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no indicado (probeta reconstituida; muestra de terreno TM 3 in)</t>
        </is>
      </c>
      <c r="AD158" t="n">
        <v>2.9</v>
      </c>
      <c r="AE158" t="n">
        <v>20.54</v>
      </c>
      <c r="AF158" t="n">
        <v>0.385</v>
      </c>
      <c r="AG158" t="inlineStr">
        <is>
          <t>calculado</t>
        </is>
      </c>
      <c r="AH158" t="inlineStr"/>
      <c r="AI158" t="n">
        <v>7.4</v>
      </c>
      <c r="AJ158" t="inlineStr"/>
      <c r="AK158" t="n">
        <v>2000</v>
      </c>
      <c r="AL158" t="n">
        <v>3751</v>
      </c>
      <c r="AM158" t="n">
        <v>3064.8</v>
      </c>
      <c r="AN158" t="inlineStr">
        <is>
          <t>deformación límite 15 % (criterio del informe para envolvente efectiva y Su)</t>
        </is>
      </c>
      <c r="AO158" t="inlineStr"/>
      <c r="AP158" t="n">
        <v>15</v>
      </c>
      <c r="AQ158" t="inlineStr"/>
      <c r="AR158" t="n">
        <v>1313.8</v>
      </c>
      <c r="AS158" t="n">
        <v>2218.6</v>
      </c>
      <c r="AT158" t="n">
        <v>1532.4</v>
      </c>
      <c r="AU158" t="n">
        <v>1532</v>
      </c>
      <c r="AV158" t="inlineStr"/>
      <c r="AW158" t="inlineStr"/>
      <c r="AX158" t="inlineStr"/>
      <c r="AY158" t="inlineStr"/>
      <c r="AZ158" t="inlineStr"/>
      <c r="BA158" t="inlineStr">
        <is>
          <t>3;1;7</t>
        </is>
      </c>
      <c r="BB158" t="inlineStr">
        <is>
          <t>sí</t>
        </is>
      </c>
      <c r="BC158" t="inlineStr">
        <is>
          <t>Probeta reconstituida al 90 % de la MDS Proctor estándar (2.327 g/cm³) y w óptimo 7.4 %;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Gs=2.9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material de «Pilas Experimentales Medio Ambiente»; el informe no dice si es ROM, Chancado o Enrocado; desviador máximo al final del ensayo (14-15 %): comportamiento dilatante</t>
        </is>
      </c>
      <c r="BD158" t="n">
        <v>2000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187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2.094</v>
      </c>
      <c r="CL158" t="n">
        <v>0.96</v>
      </c>
      <c r="CM158" t="n">
        <v>2187</v>
      </c>
      <c r="CN158" t="n">
        <v>302.4</v>
      </c>
      <c r="CO158" t="n">
        <v>145.4</v>
      </c>
      <c r="CP158" t="n">
        <v>2.345</v>
      </c>
      <c r="CQ158" t="n">
        <v>7.9</v>
      </c>
      <c r="CR158" t="n">
        <v>5.47</v>
      </c>
      <c r="CS158" t="n">
        <v>3067.8</v>
      </c>
      <c r="CT158" t="n">
        <v>14</v>
      </c>
      <c r="CU158" t="n">
        <v>1314.3</v>
      </c>
      <c r="CV158" t="n">
        <v>2219.6</v>
      </c>
      <c r="CW158" t="n">
        <v>5.47</v>
      </c>
      <c r="CX158" t="n">
        <v>14</v>
      </c>
      <c r="CY158" t="n">
        <v>61</v>
      </c>
      <c r="CZ158" t="n">
        <v>42</v>
      </c>
      <c r="DA158" t="n">
        <v>45.3</v>
      </c>
      <c r="DB158" t="n">
        <v>33.9</v>
      </c>
      <c r="DC158" t="n">
        <v>0</v>
      </c>
      <c r="DD158" t="n">
        <v>25</v>
      </c>
      <c r="DE158" t="inlineStr">
        <is>
          <t>trazada al 15 % de deformación</t>
        </is>
      </c>
      <c r="DF158" t="n">
        <v>14</v>
      </c>
      <c r="DG158" t="n">
        <v>685.7</v>
      </c>
      <c r="DH158" t="n">
        <v>3753.5</v>
      </c>
      <c r="DI158" t="n">
        <v>1314.3</v>
      </c>
      <c r="DJ158" t="n">
        <v>3067.8</v>
      </c>
      <c r="DK158" t="n">
        <v>5.474</v>
      </c>
      <c r="DL158" t="n">
        <v>2219.6</v>
      </c>
      <c r="DM158" t="n">
        <v>1533.9</v>
      </c>
      <c r="DN158" t="n">
        <v>14</v>
      </c>
      <c r="DO158" t="n">
        <v>685.7</v>
      </c>
      <c r="DP158" t="n">
        <v>3753.5</v>
      </c>
      <c r="DQ158" t="n">
        <v>1314.3</v>
      </c>
      <c r="DR158" t="n">
        <v>3067.8</v>
      </c>
      <c r="DS158" t="n">
        <v>5.474</v>
      </c>
      <c r="DT158" t="n">
        <v>2219.6</v>
      </c>
      <c r="DU158" t="n">
        <v>1533.9</v>
      </c>
      <c r="DV158" t="n">
        <v>15</v>
      </c>
      <c r="DW158" t="n">
        <v>686.2</v>
      </c>
      <c r="DX158" t="n">
        <v>3751</v>
      </c>
      <c r="DY158" t="n">
        <v>1313.8</v>
      </c>
      <c r="DZ158" t="n">
        <v>3064.8</v>
      </c>
      <c r="EA158" t="n">
        <v>5.466</v>
      </c>
      <c r="EB158" t="n">
        <v>2218.6</v>
      </c>
      <c r="EC158" t="n">
        <v>1532.4</v>
      </c>
      <c r="ED158" t="inlineStr">
        <is>
          <t>q=3057.5 kPa a eps=3.0 % (u=684.9 kPa; sigma3f=1315.1; sigma1f=4372.6 kPa); el maximo global esta a 14.0 %</t>
        </is>
      </c>
      <c r="EE158" t="n">
        <v>0.237</v>
      </c>
      <c r="EF158" t="n">
        <v>10.7</v>
      </c>
      <c r="EG158" t="n">
        <v>0.97</v>
      </c>
      <c r="EH158" t="n">
        <v>2.88</v>
      </c>
      <c r="EI158" t="n">
        <v>0.0806</v>
      </c>
      <c r="EJ158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>
        <is>
          <t>Triaxial CU</t>
        </is>
      </c>
      <c r="EY158" t="inlineStr">
        <is>
          <t>CU: máxima oblicuidad σ′1/σ′3</t>
        </is>
      </c>
      <c r="EZ158" t="n">
        <v>685.7</v>
      </c>
      <c r="FA158" t="n">
        <v>3753.5</v>
      </c>
      <c r="FB158" t="n">
        <v>3067.8</v>
      </c>
      <c r="FC158" t="n">
        <v>43.71490514409164</v>
      </c>
      <c r="FD158" t="n">
        <v>1159.567016579564</v>
      </c>
      <c r="FE158" t="n">
        <v>1108.683581578066</v>
      </c>
      <c r="FF158" t="inlineStr">
        <is>
          <t>6 in (≈150 mm)</t>
        </is>
      </c>
      <c r="FG158" t="inlineStr"/>
      <c r="FH158" t="inlineStr">
        <is>
          <t>ROM</t>
        </is>
      </c>
      <c r="FI158" t="inlineStr">
        <is>
          <t>criterio experto: rumas perforadas en el Botadero Este (desmonte depositado por camión) y pilas experimentales</t>
        </is>
      </c>
      <c r="FJ158" t="n">
        <v>0</v>
      </c>
      <c r="FK158" t="inlineStr"/>
      <c r="FL158" t="inlineStr"/>
      <c r="FM158" t="inlineStr">
        <is>
          <t>A</t>
        </is>
      </c>
      <c r="FN158" t="n">
        <v>0.385</v>
      </c>
      <c r="FO158" t="inlineStr"/>
      <c r="FP158" t="n">
        <v>2.9</v>
      </c>
      <c r="FQ158" t="inlineStr">
        <is>
          <t>informe o verificación</t>
        </is>
      </c>
      <c r="FR158" t="inlineStr">
        <is>
          <t>A2024-156</t>
        </is>
      </c>
      <c r="FS158" t="inlineStr">
        <is>
          <t>A2024|Pila 01 (MP1-B-M-1, MP1-B-M2, MP1-B-M3, MP1-H-Material B)</t>
        </is>
      </c>
    </row>
    <row r="159">
      <c r="A159" t="inlineStr">
        <is>
          <t>A2024</t>
        </is>
      </c>
      <c r="B159" t="inlineStr">
        <is>
          <t>Pila 02 Intrusivo Triaxial CU 6.0.pdf</t>
        </is>
      </c>
      <c r="C159" t="n">
        <v>2024</v>
      </c>
      <c r="D159" t="inlineStr">
        <is>
          <t>Anddes Geolab SAC; solicitud EPE-23.10.141; informe EPE-23.10.141_5,6,7,8,9,10_110_R0_TXCU</t>
        </is>
      </c>
      <c r="E159" t="inlineStr">
        <is>
          <t>Anddes Geolab SAC</t>
        </is>
      </c>
      <c r="F159" t="inlineStr">
        <is>
          <t>Pila 02 (MP2-A-M-1 a MP2-A-M-5, MP2-H-Material A)</t>
        </is>
      </c>
      <c r="G159" t="inlineStr">
        <is>
          <t>500 kPa (Esf. efect. inicial)</t>
        </is>
      </c>
      <c r="H159" t="inlineStr">
        <is>
          <t>Intrusivo</t>
        </is>
      </c>
      <c r="I159" t="inlineStr">
        <is>
          <t>Intrusivo</t>
        </is>
      </c>
      <c r="J159" t="inlineStr"/>
      <c r="K159" t="inlineStr"/>
      <c r="L159" t="inlineStr"/>
      <c r="M159" t="inlineStr">
        <is>
          <t>no indicada</t>
        </is>
      </c>
      <c r="N159" t="inlineStr">
        <is>
          <t>A (inferido de «Material A» en el N° de muestra)</t>
        </is>
      </c>
      <c r="O159" t="inlineStr">
        <is>
          <t>CU (CIU, ASTM D4767-11(2020))</t>
        </is>
      </c>
      <c r="P159" t="inlineStr">
        <is>
          <t>sí</t>
        </is>
      </c>
      <c r="Q159" t="n">
        <v>152</v>
      </c>
      <c r="R159" t="n">
        <v>310</v>
      </c>
      <c r="S159" t="inlineStr">
        <is>
          <t>no informado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no indicado (probeta reconstituida; muestra de terreno TM 3 in)</t>
        </is>
      </c>
      <c r="AD159" t="n">
        <v>2.74</v>
      </c>
      <c r="AE159" t="n">
        <v>17.96</v>
      </c>
      <c r="AF159" t="n">
        <v>0.496</v>
      </c>
      <c r="AG159" t="inlineStr">
        <is>
          <t>calculado</t>
        </is>
      </c>
      <c r="AH159" t="inlineStr"/>
      <c r="AI159" t="n">
        <v>11.1</v>
      </c>
      <c r="AJ159" t="inlineStr"/>
      <c r="AK159" t="n">
        <v>500</v>
      </c>
      <c r="AL159" t="n">
        <v>713.1</v>
      </c>
      <c r="AM159" t="n">
        <v>599</v>
      </c>
      <c r="AN159" t="inlineStr">
        <is>
          <t>deformación límite 15 % (criterio del informe para envolvente efectiva y Su)</t>
        </is>
      </c>
      <c r="AO159" t="inlineStr"/>
      <c r="AP159" t="n">
        <v>15</v>
      </c>
      <c r="AQ159" t="inlineStr"/>
      <c r="AR159" t="n">
        <v>385.9</v>
      </c>
      <c r="AS159" t="n">
        <v>413.6</v>
      </c>
      <c r="AT159" t="n">
        <v>299.5</v>
      </c>
      <c r="AU159" t="n">
        <v>300</v>
      </c>
      <c r="AV159" t="inlineStr"/>
      <c r="AW159" t="inlineStr"/>
      <c r="AX159" t="inlineStr"/>
      <c r="AY159" t="inlineStr"/>
      <c r="AZ159" t="inlineStr"/>
      <c r="BA159" t="inlineStr">
        <is>
          <t>5;1;7</t>
        </is>
      </c>
      <c r="BB159" t="inlineStr">
        <is>
          <t>sí</t>
        </is>
      </c>
      <c r="BC159" t="inlineStr">
        <is>
          <t>Probeta reconstituida al 90 % de la MDS Proctor estándar (2.034 g/cm³) y w óptimo 11.1 %;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Gs=2.74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material de «Pilas Experimentales Medio Ambiente»; el informe no dice si es ROM, Chancado o Enrocado</t>
        </is>
      </c>
      <c r="BD159" t="n">
        <v>500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187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1.831</v>
      </c>
      <c r="CL159" t="n">
        <v>0.98</v>
      </c>
      <c r="CM159" t="n">
        <v>687</v>
      </c>
      <c r="CN159" t="n">
        <v>307.4</v>
      </c>
      <c r="CO159" t="n">
        <v>146.7</v>
      </c>
      <c r="CP159" t="n">
        <v>1.983</v>
      </c>
      <c r="CQ159" t="n">
        <v>12.7</v>
      </c>
      <c r="CR159" t="n">
        <v>6.25</v>
      </c>
      <c r="CS159" t="n">
        <v>658.3</v>
      </c>
      <c r="CT159" t="n">
        <v>2.5</v>
      </c>
      <c r="CU159" t="n">
        <v>246.9</v>
      </c>
      <c r="CV159" t="n">
        <v>582.3</v>
      </c>
      <c r="CW159" t="n">
        <v>6.25</v>
      </c>
      <c r="CX159" t="n">
        <v>15</v>
      </c>
      <c r="CY159" t="n">
        <v>57</v>
      </c>
      <c r="CZ159" t="n">
        <v>42</v>
      </c>
      <c r="DA159" t="n">
        <v>42.7</v>
      </c>
      <c r="DB159" t="n">
        <v>33.8</v>
      </c>
      <c r="DC159" t="n">
        <v>0</v>
      </c>
      <c r="DD159" t="n">
        <v>24</v>
      </c>
      <c r="DE159" t="inlineStr">
        <is>
          <t>trazada al 15 % de deformación</t>
        </is>
      </c>
      <c r="DF159" t="n">
        <v>2.5</v>
      </c>
      <c r="DG159" t="n">
        <v>253.1</v>
      </c>
      <c r="DH159" t="n">
        <v>911.4</v>
      </c>
      <c r="DI159" t="n">
        <v>246.9</v>
      </c>
      <c r="DJ159" t="n">
        <v>658.3</v>
      </c>
      <c r="DK159" t="n">
        <v>3.601</v>
      </c>
      <c r="DL159" t="n">
        <v>582.3</v>
      </c>
      <c r="DM159" t="n">
        <v>329.1</v>
      </c>
      <c r="DN159" t="n">
        <v>15</v>
      </c>
      <c r="DO159" t="n">
        <v>114.1</v>
      </c>
      <c r="DP159" t="n">
        <v>713.1</v>
      </c>
      <c r="DQ159" t="n">
        <v>385.9</v>
      </c>
      <c r="DR159" t="n">
        <v>599</v>
      </c>
      <c r="DS159" t="n">
        <v>6.25</v>
      </c>
      <c r="DT159" t="n">
        <v>413.6</v>
      </c>
      <c r="DU159" t="n">
        <v>299.5</v>
      </c>
      <c r="DV159" t="n">
        <v>15</v>
      </c>
      <c r="DW159" t="n">
        <v>114.1</v>
      </c>
      <c r="DX159" t="n">
        <v>713.1</v>
      </c>
      <c r="DY159" t="n">
        <v>385.9</v>
      </c>
      <c r="DZ159" t="n">
        <v>599</v>
      </c>
      <c r="EA159" t="n">
        <v>6.25</v>
      </c>
      <c r="EB159" t="n">
        <v>413.6</v>
      </c>
      <c r="EC159" t="n">
        <v>299.5</v>
      </c>
      <c r="ED159" t="inlineStr">
        <is>
          <t>no (el maximo desviador es el primer pico)</t>
        </is>
      </c>
      <c r="EE159" t="n">
        <v>0.382</v>
      </c>
      <c r="EF159" t="n">
        <v>7.6</v>
      </c>
      <c r="EG159" t="n">
        <v>0.91</v>
      </c>
      <c r="EH159" t="n">
        <v>2.65</v>
      </c>
      <c r="EI159" t="n">
        <v>0.0806</v>
      </c>
      <c r="EJ159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>
        <is>
          <t>Triaxial CU</t>
        </is>
      </c>
      <c r="EY159" t="inlineStr">
        <is>
          <t>CU: máxima oblicuidad σ′1/σ′3</t>
        </is>
      </c>
      <c r="EZ159" t="n">
        <v>114.1</v>
      </c>
      <c r="FA159" t="n">
        <v>713.1</v>
      </c>
      <c r="FB159" t="n">
        <v>599</v>
      </c>
      <c r="FC159" t="n">
        <v>46.39648838445451</v>
      </c>
      <c r="FD159" t="n">
        <v>196.7231866537718</v>
      </c>
      <c r="FE159" t="n">
        <v>206.5543459547276</v>
      </c>
      <c r="FF159" t="inlineStr">
        <is>
          <t>6 in (≈150 mm)</t>
        </is>
      </c>
      <c r="FG159" t="inlineStr"/>
      <c r="FH159" t="inlineStr">
        <is>
          <t>ROM</t>
        </is>
      </c>
      <c r="FI159" t="inlineStr">
        <is>
          <t>criterio experto: rumas perforadas en el Botadero Este (desmonte depositado por camión) y pilas experimentales</t>
        </is>
      </c>
      <c r="FJ159" t="n">
        <v>0</v>
      </c>
      <c r="FK159" t="inlineStr"/>
      <c r="FL159" t="inlineStr"/>
      <c r="FM159" t="inlineStr">
        <is>
          <t>A</t>
        </is>
      </c>
      <c r="FN159" t="n">
        <v>0.4785284671532848</v>
      </c>
      <c r="FO159" t="inlineStr">
        <is>
          <t>recalculado con Gs adoptado</t>
        </is>
      </c>
      <c r="FP159" t="n">
        <v>2.708</v>
      </c>
      <c r="FQ159" t="inlineStr">
        <is>
          <t>Gs de sólidos por litología (Golder 2010); el Gs rotulado en el Proctor (2.74–3.06) no fue ensayado</t>
        </is>
      </c>
      <c r="FR159" t="inlineStr">
        <is>
          <t>A2024-157</t>
        </is>
      </c>
      <c r="FS159" t="inlineStr">
        <is>
          <t>A2024|Pila 02 (MP2-A-M-1 a MP2-A-M-5, MP2-H-Material A)</t>
        </is>
      </c>
    </row>
    <row r="160">
      <c r="A160" t="inlineStr">
        <is>
          <t>A2024</t>
        </is>
      </c>
      <c r="B160" t="inlineStr">
        <is>
          <t>Pila 02 Intrusivo Triaxial CU 6.0.pdf</t>
        </is>
      </c>
      <c r="C160" t="n">
        <v>2024</v>
      </c>
      <c r="D160" t="inlineStr">
        <is>
          <t>Anddes Geolab SAC; solicitud EPE-23.10.141; informe EPE-23.10.141_5,6,7,8,9,10_110_R0_TXCU</t>
        </is>
      </c>
      <c r="E160" t="inlineStr">
        <is>
          <t>Anddes Geolab SAC</t>
        </is>
      </c>
      <c r="F160" t="inlineStr">
        <is>
          <t>Pila 02 (MP2-A-M-1 a MP2-A-M-5, MP2-H-Material A)</t>
        </is>
      </c>
      <c r="G160" t="inlineStr">
        <is>
          <t>1000 kPa (Esf. efect. inicial)</t>
        </is>
      </c>
      <c r="H160" t="inlineStr">
        <is>
          <t>Intrusivo</t>
        </is>
      </c>
      <c r="I160" t="inlineStr">
        <is>
          <t>Intrusivo</t>
        </is>
      </c>
      <c r="J160" t="inlineStr"/>
      <c r="K160" t="inlineStr"/>
      <c r="L160" t="inlineStr"/>
      <c r="M160" t="inlineStr">
        <is>
          <t>no indicada</t>
        </is>
      </c>
      <c r="N160" t="inlineStr">
        <is>
          <t>A (inferido de «Material A» en el N° de muestra)</t>
        </is>
      </c>
      <c r="O160" t="inlineStr">
        <is>
          <t>CU (CIU, ASTM D4767-11(2020))</t>
        </is>
      </c>
      <c r="P160" t="inlineStr">
        <is>
          <t>sí</t>
        </is>
      </c>
      <c r="Q160" t="n">
        <v>152</v>
      </c>
      <c r="R160" t="n">
        <v>310</v>
      </c>
      <c r="S160" t="inlineStr">
        <is>
          <t>no informado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no indicado (probeta reconstituida; muestra de terreno TM 3 in)</t>
        </is>
      </c>
      <c r="AD160" t="n">
        <v>2.74</v>
      </c>
      <c r="AE160" t="n">
        <v>17.96</v>
      </c>
      <c r="AF160" t="n">
        <v>0.496</v>
      </c>
      <c r="AG160" t="inlineStr">
        <is>
          <t>calculado</t>
        </is>
      </c>
      <c r="AH160" t="inlineStr"/>
      <c r="AI160" t="n">
        <v>11.1</v>
      </c>
      <c r="AJ160" t="inlineStr"/>
      <c r="AK160" t="n">
        <v>1000</v>
      </c>
      <c r="AL160" t="n">
        <v>1597.5</v>
      </c>
      <c r="AM160" t="n">
        <v>1368.6</v>
      </c>
      <c r="AN160" t="inlineStr">
        <is>
          <t>deformación límite 15 % (criterio del informe para envolvente efectiva y Su)</t>
        </is>
      </c>
      <c r="AO160" t="inlineStr"/>
      <c r="AP160" t="n">
        <v>15</v>
      </c>
      <c r="AQ160" t="inlineStr"/>
      <c r="AR160" t="n">
        <v>771.1</v>
      </c>
      <c r="AS160" t="n">
        <v>913.2</v>
      </c>
      <c r="AT160" t="n">
        <v>684.3</v>
      </c>
      <c r="AU160" t="n">
        <v>684</v>
      </c>
      <c r="AV160" t="inlineStr"/>
      <c r="AW160" t="inlineStr"/>
      <c r="AX160" t="inlineStr"/>
      <c r="AY160" t="inlineStr"/>
      <c r="AZ160" t="inlineStr"/>
      <c r="BA160" t="inlineStr">
        <is>
          <t>4;1;7</t>
        </is>
      </c>
      <c r="BB160" t="inlineStr">
        <is>
          <t>sí</t>
        </is>
      </c>
      <c r="BC160" t="inlineStr">
        <is>
          <t>Probeta reconstituida al 90 % de la MDS Proctor estándar (2.034 g/cm³) y w óptimo 11.1 %;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Gs=2.74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material de «Pilas Experimentales Medio Ambiente»; el informe no dice si es ROM, Chancado o Enrocado; desviador máximo al final del ensayo (14-15 %): comportamiento dilatante</t>
        </is>
      </c>
      <c r="BD160" t="n">
        <v>1000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187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1.831</v>
      </c>
      <c r="CL160" t="n">
        <v>0.95</v>
      </c>
      <c r="CM160" t="n">
        <v>1187</v>
      </c>
      <c r="CN160" t="n">
        <v>306.1</v>
      </c>
      <c r="CO160" t="n">
        <v>145.3</v>
      </c>
      <c r="CP160" t="n">
        <v>2.028</v>
      </c>
      <c r="CQ160" t="n">
        <v>11.4</v>
      </c>
      <c r="CR160" t="n">
        <v>6.98</v>
      </c>
      <c r="CS160" t="n">
        <v>1368.6</v>
      </c>
      <c r="CT160" t="n">
        <v>15</v>
      </c>
      <c r="CU160" t="n">
        <v>771.1</v>
      </c>
      <c r="CV160" t="n">
        <v>913.2</v>
      </c>
      <c r="CW160" t="n">
        <v>6.98</v>
      </c>
      <c r="CX160" t="n">
        <v>15</v>
      </c>
      <c r="CY160" t="n">
        <v>57</v>
      </c>
      <c r="CZ160" t="n">
        <v>42</v>
      </c>
      <c r="DA160" t="n">
        <v>42.7</v>
      </c>
      <c r="DB160" t="n">
        <v>33.8</v>
      </c>
      <c r="DC160" t="n">
        <v>0</v>
      </c>
      <c r="DD160" t="n">
        <v>24</v>
      </c>
      <c r="DE160" t="inlineStr">
        <is>
          <t>trazada al 15 % de deformación</t>
        </is>
      </c>
      <c r="DF160" t="n">
        <v>15</v>
      </c>
      <c r="DG160" t="n">
        <v>228.9</v>
      </c>
      <c r="DH160" t="n">
        <v>1597.5</v>
      </c>
      <c r="DI160" t="n">
        <v>771.1</v>
      </c>
      <c r="DJ160" t="n">
        <v>1368.6</v>
      </c>
      <c r="DK160" t="n">
        <v>6.979</v>
      </c>
      <c r="DL160" t="n">
        <v>913.2</v>
      </c>
      <c r="DM160" t="n">
        <v>684.3</v>
      </c>
      <c r="DN160" t="n">
        <v>15</v>
      </c>
      <c r="DO160" t="n">
        <v>228.9</v>
      </c>
      <c r="DP160" t="n">
        <v>1597.5</v>
      </c>
      <c r="DQ160" t="n">
        <v>771.1</v>
      </c>
      <c r="DR160" t="n">
        <v>1368.6</v>
      </c>
      <c r="DS160" t="n">
        <v>6.979</v>
      </c>
      <c r="DT160" t="n">
        <v>913.2</v>
      </c>
      <c r="DU160" t="n">
        <v>684.3</v>
      </c>
      <c r="DV160" t="n">
        <v>15</v>
      </c>
      <c r="DW160" t="n">
        <v>228.9</v>
      </c>
      <c r="DX160" t="n">
        <v>1597.5</v>
      </c>
      <c r="DY160" t="n">
        <v>771.1</v>
      </c>
      <c r="DZ160" t="n">
        <v>1368.6</v>
      </c>
      <c r="EA160" t="n">
        <v>6.979</v>
      </c>
      <c r="EB160" t="n">
        <v>913.2</v>
      </c>
      <c r="EC160" t="n">
        <v>684.3</v>
      </c>
      <c r="ED160" t="inlineStr">
        <is>
          <t>q=1355.3 kPa a eps=3.0 % (u=530.9 kPa; sigma3f=469.1; sigma1f=1824.4 kPa); el maximo global esta a 15.0 %</t>
        </is>
      </c>
      <c r="EE160" t="n">
        <v>0.351</v>
      </c>
      <c r="EF160" t="n">
        <v>9.800000000000001</v>
      </c>
      <c r="EG160" t="n">
        <v>0.89</v>
      </c>
      <c r="EH160" t="n">
        <v>2.64</v>
      </c>
      <c r="EI160" t="n">
        <v>0.0806</v>
      </c>
      <c r="EJ160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>
        <is>
          <t>Triaxial CU</t>
        </is>
      </c>
      <c r="EY160" t="inlineStr">
        <is>
          <t>CU: máxima oblicuidad σ′1/σ′3</t>
        </is>
      </c>
      <c r="EZ160" t="n">
        <v>228.9</v>
      </c>
      <c r="FA160" t="n">
        <v>1597.5</v>
      </c>
      <c r="FB160" t="n">
        <v>1368.6</v>
      </c>
      <c r="FC160" t="n">
        <v>48.53349591825528</v>
      </c>
      <c r="FD160" t="n">
        <v>400.4246057818661</v>
      </c>
      <c r="FE160" t="n">
        <v>453.1312007404007</v>
      </c>
      <c r="FF160" t="inlineStr">
        <is>
          <t>6 in (≈150 mm)</t>
        </is>
      </c>
      <c r="FG160" t="inlineStr"/>
      <c r="FH160" t="inlineStr">
        <is>
          <t>ROM</t>
        </is>
      </c>
      <c r="FI160" t="inlineStr">
        <is>
          <t>criterio experto: rumas perforadas en el Botadero Este (desmonte depositado por camión) y pilas experimentales</t>
        </is>
      </c>
      <c r="FJ160" t="n">
        <v>0</v>
      </c>
      <c r="FK160" t="inlineStr"/>
      <c r="FL160" t="inlineStr"/>
      <c r="FM160" t="inlineStr">
        <is>
          <t>A</t>
        </is>
      </c>
      <c r="FN160" t="n">
        <v>0.4785284671532848</v>
      </c>
      <c r="FO160" t="inlineStr">
        <is>
          <t>recalculado con Gs adoptado</t>
        </is>
      </c>
      <c r="FP160" t="n">
        <v>2.708</v>
      </c>
      <c r="FQ160" t="inlineStr">
        <is>
          <t>Gs de sólidos por litología (Golder 2010); el Gs rotulado en el Proctor (2.74–3.06) no fue ensayado</t>
        </is>
      </c>
      <c r="FR160" t="inlineStr">
        <is>
          <t>A2024-158</t>
        </is>
      </c>
      <c r="FS160" t="inlineStr">
        <is>
          <t>A2024|Pila 02 (MP2-A-M-1 a MP2-A-M-5, MP2-H-Material A)</t>
        </is>
      </c>
    </row>
    <row r="161">
      <c r="A161" t="inlineStr">
        <is>
          <t>A2024</t>
        </is>
      </c>
      <c r="B161" t="inlineStr">
        <is>
          <t>Pila 02 Intrusivo Triaxial CU 6.0.pdf</t>
        </is>
      </c>
      <c r="C161" t="n">
        <v>2024</v>
      </c>
      <c r="D161" t="inlineStr">
        <is>
          <t>Anddes Geolab SAC; solicitud EPE-23.10.141; informe EPE-23.10.141_5,6,7,8,9,10_110_R0_TXCU</t>
        </is>
      </c>
      <c r="E161" t="inlineStr">
        <is>
          <t>Anddes Geolab SAC</t>
        </is>
      </c>
      <c r="F161" t="inlineStr">
        <is>
          <t>Pila 02 (MP2-A-M-1 a MP2-A-M-5, MP2-H-Material A)</t>
        </is>
      </c>
      <c r="G161" t="inlineStr">
        <is>
          <t>2000 kPa (Esf. efect. inicial)</t>
        </is>
      </c>
      <c r="H161" t="inlineStr">
        <is>
          <t>Intrusivo</t>
        </is>
      </c>
      <c r="I161" t="inlineStr">
        <is>
          <t>Intrusivo</t>
        </is>
      </c>
      <c r="J161" t="inlineStr"/>
      <c r="K161" t="inlineStr"/>
      <c r="L161" t="inlineStr"/>
      <c r="M161" t="inlineStr">
        <is>
          <t>no indicada</t>
        </is>
      </c>
      <c r="N161" t="inlineStr">
        <is>
          <t>A (inferido de «Material A» en el N° de muestra)</t>
        </is>
      </c>
      <c r="O161" t="inlineStr">
        <is>
          <t>CU (CIU, ASTM D4767-11(2020))</t>
        </is>
      </c>
      <c r="P161" t="inlineStr">
        <is>
          <t>sí</t>
        </is>
      </c>
      <c r="Q161" t="n">
        <v>152</v>
      </c>
      <c r="R161" t="n">
        <v>310</v>
      </c>
      <c r="S161" t="inlineStr">
        <is>
          <t>no informado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no indicado (probeta reconstituida; muestra de terreno TM 3 in)</t>
        </is>
      </c>
      <c r="AD161" t="n">
        <v>2.74</v>
      </c>
      <c r="AE161" t="n">
        <v>17.96</v>
      </c>
      <c r="AF161" t="n">
        <v>0.496</v>
      </c>
      <c r="AG161" t="inlineStr">
        <is>
          <t>calculado</t>
        </is>
      </c>
      <c r="AH161" t="inlineStr"/>
      <c r="AI161" t="n">
        <v>11.1</v>
      </c>
      <c r="AJ161" t="inlineStr"/>
      <c r="AK161" t="n">
        <v>2000</v>
      </c>
      <c r="AL161" t="n">
        <v>3417</v>
      </c>
      <c r="AM161" t="n">
        <v>2782.7</v>
      </c>
      <c r="AN161" t="inlineStr">
        <is>
          <t>deformación límite 15 % (criterio del informe para envolvente efectiva y Su)</t>
        </is>
      </c>
      <c r="AO161" t="inlineStr"/>
      <c r="AP161" t="n">
        <v>15</v>
      </c>
      <c r="AQ161" t="inlineStr"/>
      <c r="AR161" t="n">
        <v>1365.7</v>
      </c>
      <c r="AS161" t="n">
        <v>2025.7</v>
      </c>
      <c r="AT161" t="n">
        <v>1391.4</v>
      </c>
      <c r="AU161" t="n">
        <v>1391</v>
      </c>
      <c r="AV161" t="inlineStr"/>
      <c r="AW161" t="inlineStr"/>
      <c r="AX161" t="inlineStr"/>
      <c r="AY161" t="inlineStr"/>
      <c r="AZ161" t="inlineStr"/>
      <c r="BA161" t="inlineStr">
        <is>
          <t>3;1;7</t>
        </is>
      </c>
      <c r="BB161" t="inlineStr">
        <is>
          <t>sí</t>
        </is>
      </c>
      <c r="BC161" t="inlineStr">
        <is>
          <t>Probeta reconstituida al 90 % de la MDS Proctor estándar (2.034 g/cm³) y w óptimo 11.1 %; σ3 = esfuerzo efectivo de consolidación isotrópica (celda − contrapresión); p′ y q′ en convención MIT: p′=(σ′1+σ′3)/2, q′=(σ1−σ3)/2; q_kPa es el desviador completo; σ′1 calculado = σ3 − u + desviador (cuadra con p′ del informe); e0 calculado con Gs=2.74 (Gs de la curva de 100 % saturación del Proctor) y ρd inicial; Dmax de la probeta no indicado en el informe TX (el LSDS usa TM 1 in; el Proctor separa sobretamaño); c′ y φ′ de la serie: envolvente efectiva al 15 % de deformación (p.1); totales en p.7 (interpretación pedida por el cliente); Velocidad 0,025 cm/min; tipo_material no indicado: material de «Pilas Experimentales Medio Ambiente»; el informe no dice si es ROM, Chancado o Enrocado; w final (10,5 %) menor que w inicial (11,1 %), tal cual en el informe; desviador máximo al final del ensayo (14-15 %): comportamiento dilatante</t>
        </is>
      </c>
      <c r="BD161" t="n">
        <v>2000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187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1.831</v>
      </c>
      <c r="CL161" t="n">
        <v>0.95</v>
      </c>
      <c r="CM161" t="n">
        <v>2187</v>
      </c>
      <c r="CN161" t="n">
        <v>302.8</v>
      </c>
      <c r="CO161" t="n">
        <v>144</v>
      </c>
      <c r="CP161" t="n">
        <v>2.087</v>
      </c>
      <c r="CQ161" t="n">
        <v>10.5</v>
      </c>
      <c r="CR161" t="n">
        <v>5.39</v>
      </c>
      <c r="CS161" t="n">
        <v>2782.7</v>
      </c>
      <c r="CT161" t="n">
        <v>15</v>
      </c>
      <c r="CU161" t="n">
        <v>1365.7</v>
      </c>
      <c r="CV161" t="n">
        <v>2025.7</v>
      </c>
      <c r="CW161" t="n">
        <v>5.39</v>
      </c>
      <c r="CX161" t="n">
        <v>15</v>
      </c>
      <c r="CY161" t="n">
        <v>57</v>
      </c>
      <c r="CZ161" t="n">
        <v>42</v>
      </c>
      <c r="DA161" t="n">
        <v>42.7</v>
      </c>
      <c r="DB161" t="n">
        <v>33.8</v>
      </c>
      <c r="DC161" t="n">
        <v>0</v>
      </c>
      <c r="DD161" t="n">
        <v>24</v>
      </c>
      <c r="DE161" t="inlineStr">
        <is>
          <t>trazada al 15 % de deformación</t>
        </is>
      </c>
      <c r="DF161" t="n">
        <v>15</v>
      </c>
      <c r="DG161" t="n">
        <v>634.3</v>
      </c>
      <c r="DH161" t="n">
        <v>3417</v>
      </c>
      <c r="DI161" t="n">
        <v>1365.7</v>
      </c>
      <c r="DJ161" t="n">
        <v>2782.7</v>
      </c>
      <c r="DK161" t="n">
        <v>5.387</v>
      </c>
      <c r="DL161" t="n">
        <v>2025.7</v>
      </c>
      <c r="DM161" t="n">
        <v>1391.4</v>
      </c>
      <c r="DN161" t="n">
        <v>15</v>
      </c>
      <c r="DO161" t="n">
        <v>634.3</v>
      </c>
      <c r="DP161" t="n">
        <v>3417</v>
      </c>
      <c r="DQ161" t="n">
        <v>1365.7</v>
      </c>
      <c r="DR161" t="n">
        <v>2782.7</v>
      </c>
      <c r="DS161" t="n">
        <v>5.387</v>
      </c>
      <c r="DT161" t="n">
        <v>2025.7</v>
      </c>
      <c r="DU161" t="n">
        <v>1391.4</v>
      </c>
      <c r="DV161" t="n">
        <v>15</v>
      </c>
      <c r="DW161" t="n">
        <v>634.3</v>
      </c>
      <c r="DX161" t="n">
        <v>3417</v>
      </c>
      <c r="DY161" t="n">
        <v>1365.7</v>
      </c>
      <c r="DZ161" t="n">
        <v>2782.7</v>
      </c>
      <c r="EA161" t="n">
        <v>5.387</v>
      </c>
      <c r="EB161" t="n">
        <v>2025.7</v>
      </c>
      <c r="EC161" t="n">
        <v>1391.4</v>
      </c>
      <c r="ED161" t="inlineStr">
        <is>
          <t>q=2565.3 kPa a eps=3.0 % (u=1096.2 kPa; sigma3f=903.8; sigma1f=3469.1 kPa); el maximo global esta a 15.0 %</t>
        </is>
      </c>
      <c r="EE161" t="n">
        <v>0.313</v>
      </c>
      <c r="EF161" t="n">
        <v>12.3</v>
      </c>
      <c r="EG161" t="n">
        <v>0.92</v>
      </c>
      <c r="EH161" t="n">
        <v>2.67</v>
      </c>
      <c r="EI161" t="n">
        <v>0.0806</v>
      </c>
      <c r="EJ161" t="inlineStr">
        <is>
          <t>Verificado 2026-10-06 contra la imagen de p.1, p.3-5 y p.7. En el CSV original sigma3_kPa es el σ′3 de consolidación (σ′3c) y sigma1_kPa es σ′1 en la falla al 15 %: q_kPa ≠ sigma1_kPa − sigma3_kPa porque mezclan estados; usar sigma3f_*/sigma1f_*. Estados recalculados: σ′3f = σ′3c − u; σ′1f = σ′3f + q. Criterios: qmax = máximo desviador tabulado; oblmax = máxima σ′1/σ′3 recalculada; e15 = 15 % (criterio del informe). Gs = valor rotulado en la curva de 100 % de saturación del Proctor (no ensayado). Dmax de la probeta y método de compactación (capas, pisón) no informados; en el formato está marcado «Grado de compactación: Medio».</t>
        </is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>
        <is>
          <t>Triaxial CU</t>
        </is>
      </c>
      <c r="EY161" t="inlineStr">
        <is>
          <t>CU: máxima oblicuidad σ′1/σ′3</t>
        </is>
      </c>
      <c r="EZ161" t="n">
        <v>634.3</v>
      </c>
      <c r="FA161" t="n">
        <v>3417</v>
      </c>
      <c r="FB161" t="n">
        <v>2782.7</v>
      </c>
      <c r="FC161" t="n">
        <v>43.38253036005052</v>
      </c>
      <c r="FD161" t="n">
        <v>1069.979068447165</v>
      </c>
      <c r="FE161" t="n">
        <v>1011.211102136906</v>
      </c>
      <c r="FF161" t="inlineStr">
        <is>
          <t>6 in (≈150 mm)</t>
        </is>
      </c>
      <c r="FG161" t="inlineStr"/>
      <c r="FH161" t="inlineStr">
        <is>
          <t>ROM</t>
        </is>
      </c>
      <c r="FI161" t="inlineStr">
        <is>
          <t>criterio experto: rumas perforadas en el Botadero Este (desmonte depositado por camión) y pilas experimentales</t>
        </is>
      </c>
      <c r="FJ161" t="n">
        <v>0</v>
      </c>
      <c r="FK161" t="inlineStr"/>
      <c r="FL161" t="inlineStr"/>
      <c r="FM161" t="inlineStr">
        <is>
          <t>A</t>
        </is>
      </c>
      <c r="FN161" t="n">
        <v>0.4785284671532848</v>
      </c>
      <c r="FO161" t="inlineStr">
        <is>
          <t>recalculado con Gs adoptado</t>
        </is>
      </c>
      <c r="FP161" t="n">
        <v>2.708</v>
      </c>
      <c r="FQ161" t="inlineStr">
        <is>
          <t>Gs de sólidos por litología (Golder 2010); el Gs rotulado en el Proctor (2.74–3.06) no fue ensayado</t>
        </is>
      </c>
      <c r="FR161" t="inlineStr">
        <is>
          <t>A2024-159</t>
        </is>
      </c>
      <c r="FS161" t="inlineStr">
        <is>
          <t>A2024|Pila 02 (MP2-A-M-1 a MP2-A-M-5, MP2-H-Material A)</t>
        </is>
      </c>
    </row>
    <row r="162">
      <c r="A162" t="inlineStr">
        <is>
          <t>A2024DS</t>
        </is>
      </c>
      <c r="B162" t="inlineStr">
        <is>
          <t>Marmol M-1 al M-13 LSDS.pdf</t>
        </is>
      </c>
      <c r="C162" t="n">
        <v>2024</v>
      </c>
      <c r="D162" t="inlineStr">
        <is>
          <t>Anddes Geolab SAC; solicitud EPE-23.10.141; informe EPE-23.10141_12al25_200_R0_LSDS</t>
        </is>
      </c>
      <c r="E162" t="inlineStr">
        <is>
          <t>Anddes Geolab SAC</t>
        </is>
      </c>
      <c r="F162" t="inlineStr">
        <is>
          <t>Ruma 01 (M-1 al M-13)</t>
        </is>
      </c>
      <c r="G162" t="inlineStr">
        <is>
          <t>Ensayo 1 (σn 300 kPa)</t>
        </is>
      </c>
      <c r="H162" t="inlineStr">
        <is>
          <t>Marmol</t>
        </is>
      </c>
      <c r="I162" t="inlineStr">
        <is>
          <t>Mármol</t>
        </is>
      </c>
      <c r="J162" t="inlineStr"/>
      <c r="K162" t="inlineStr"/>
      <c r="L162" t="inlineStr"/>
      <c r="M162" t="inlineStr"/>
      <c r="N162" t="inlineStr"/>
      <c r="O162" t="inlineStr">
        <is>
          <t>corte directo CD gran escala (ASTM D3080/D3080M-23)</t>
        </is>
      </c>
      <c r="P162" t="inlineStr">
        <is>
          <t>no confirmado («saturados durante el ensayo, salvo excepciones», p.2)</t>
        </is>
      </c>
      <c r="Q162" t="n">
        <v>305</v>
      </c>
      <c r="R162" t="n">
        <v>178</v>
      </c>
      <c r="S162" t="n">
        <v>25.4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no informado; TM de ensayo 1 in (p.2). La MDS de referencia (90 %) es la del Proctor sobre la fracción &lt; 19 mm (3/4 in), inferido de la corrección por sobretamaño</t>
        </is>
      </c>
      <c r="AD162" t="n">
        <v>3.06</v>
      </c>
      <c r="AE162" t="n">
        <v>21.42</v>
      </c>
      <c r="AF162" t="n">
        <v>0.402</v>
      </c>
      <c r="AG162" t="inlineStr">
        <is>
          <t>calculado</t>
        </is>
      </c>
      <c r="AH162" t="inlineStr"/>
      <c r="AI162" t="n">
        <v>6.8</v>
      </c>
      <c r="AJ162" t="inlineStr"/>
      <c r="AK162" t="inlineStr"/>
      <c r="AL162" t="inlineStr"/>
      <c r="AM162" t="inlineStr"/>
      <c r="AN162" t="inlineStr">
        <is>
          <t>pico (máximo τ en ~65 mm de recorrido)</t>
        </is>
      </c>
      <c r="AO162" t="n">
        <v>36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300</v>
      </c>
      <c r="AZ162" t="n">
        <v>219.5</v>
      </c>
      <c r="BA162" t="inlineStr">
        <is>
          <t>1;2</t>
        </is>
      </c>
      <c r="BB162" t="inlineStr">
        <is>
          <t>sí</t>
        </is>
      </c>
      <c r="BC162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2.183 g/cm³ = 90 % de la MDS Proctor (2.425 g/cm³); e0 calculado con Gs=3.06 (curva de saturación del Proctor); N° de muestra en el LSDS: M-1 al M-13; fechas 2024-07-16 / 2024-07-23; tipo_material no indicado: muestra de perforación (Perforaciones Geotécnicas e Hidrogeológicas 2023) en Patio de servicios / Botadero Este, 40-90 m; por su origen sería desmonte ya depositado en botadero (probablemente ROM), pero el informe no lo dice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2.183</v>
      </c>
      <c r="CL162" t="inlineStr"/>
      <c r="CM162" t="inlineStr"/>
      <c r="CN162" t="inlineStr"/>
      <c r="CO162" t="inlineStr"/>
      <c r="CP162" t="inlineStr"/>
      <c r="CQ162" t="n">
        <v>9.9</v>
      </c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>
        <is>
          <t>Verificado 2026-10-06 contra la imagen de p.1 y p.2: σn, τ pico, τ a 6,6 cm, ángulos secantes, c, φ, μ, alturas, w y ρd coinciden. Sr final recalculado con el Gs rotulado 3.06: 0.95. Sr final 0,95-1,12 (valores &gt; 1 indican incertidumbre de Gs o de la w final).</t>
        </is>
      </c>
      <c r="EK162" t="inlineStr">
        <is>
          <t>305 × 305</t>
        </is>
      </c>
      <c r="EL162" t="n">
        <v>208</v>
      </c>
      <c r="EM162" t="n">
        <v>35</v>
      </c>
      <c r="EN162" t="inlineStr"/>
      <c r="EO162" t="n">
        <v>0</v>
      </c>
      <c r="EP162" t="n">
        <v>39</v>
      </c>
      <c r="EQ162" t="n">
        <v>0.68</v>
      </c>
      <c r="ER162" t="n">
        <v>0</v>
      </c>
      <c r="ES162" t="n">
        <v>38.7</v>
      </c>
      <c r="ET162" t="n">
        <v>0.67</v>
      </c>
      <c r="EU162" t="n">
        <v>167</v>
      </c>
      <c r="EV162" t="n">
        <v>2.322</v>
      </c>
      <c r="EW162" t="n">
        <v>0.95</v>
      </c>
      <c r="EX162" t="inlineStr">
        <is>
          <t>Corte directo CD</t>
        </is>
      </c>
      <c r="EY162" t="inlineStr">
        <is>
          <t>CD: τ pico</t>
        </is>
      </c>
      <c r="EZ162" t="inlineStr"/>
      <c r="FA162" t="inlineStr"/>
      <c r="FB162" t="inlineStr"/>
      <c r="FC162" t="n">
        <v>36.19169034026155</v>
      </c>
      <c r="FD162" t="n">
        <v>300</v>
      </c>
      <c r="FE162" t="n">
        <v>219.5</v>
      </c>
      <c r="FF162" t="inlineStr">
        <is>
          <t>media (240–305 mm)</t>
        </is>
      </c>
      <c r="FG162" t="n">
        <v>12.00787401574803</v>
      </c>
      <c r="FH162" t="inlineStr">
        <is>
          <t>ROM</t>
        </is>
      </c>
      <c r="FI162" t="inlineStr">
        <is>
          <t>criterio experto: rumas perforadas en el Botadero Este (desmonte depositado por camión) y pilas experimentales</t>
        </is>
      </c>
      <c r="FJ162" t="n">
        <v>0</v>
      </c>
      <c r="FK162" t="inlineStr"/>
      <c r="FL162" t="inlineStr"/>
      <c r="FM162" t="inlineStr">
        <is>
          <t>A</t>
        </is>
      </c>
      <c r="FN162" t="n">
        <v>0.2622581699346407</v>
      </c>
      <c r="FO162" t="inlineStr">
        <is>
          <t>recalculado con Gs adoptado</t>
        </is>
      </c>
      <c r="FP162" t="n">
        <v>2.755</v>
      </c>
      <c r="FQ162" t="inlineStr">
        <is>
          <t>Gs de sólidos por litología (Golder 2010); el Gs rotulado en el Proctor (2.74–3.06) no fue ensayado</t>
        </is>
      </c>
      <c r="FR162" t="inlineStr">
        <is>
          <t>A2024DS-160</t>
        </is>
      </c>
      <c r="FS162" t="inlineStr">
        <is>
          <t>A2024DS|Ruma 01 (M-1 al M-13)</t>
        </is>
      </c>
    </row>
    <row r="163">
      <c r="A163" t="inlineStr">
        <is>
          <t>A2024DS</t>
        </is>
      </c>
      <c r="B163" t="inlineStr">
        <is>
          <t>Marmol M-1 al M-13 LSDS.pdf</t>
        </is>
      </c>
      <c r="C163" t="n">
        <v>2024</v>
      </c>
      <c r="D163" t="inlineStr">
        <is>
          <t>Anddes Geolab SAC; solicitud EPE-23.10.141; informe EPE-23.10141_12al25_200_R0_LSDS</t>
        </is>
      </c>
      <c r="E163" t="inlineStr">
        <is>
          <t>Anddes Geolab SAC</t>
        </is>
      </c>
      <c r="F163" t="inlineStr">
        <is>
          <t>Ruma 01 (M-1 al M-13)</t>
        </is>
      </c>
      <c r="G163" t="inlineStr">
        <is>
          <t>Ensayo 2 (σn 600 kPa)</t>
        </is>
      </c>
      <c r="H163" t="inlineStr">
        <is>
          <t>Marmol</t>
        </is>
      </c>
      <c r="I163" t="inlineStr">
        <is>
          <t>Mármol</t>
        </is>
      </c>
      <c r="J163" t="inlineStr"/>
      <c r="K163" t="inlineStr"/>
      <c r="L163" t="inlineStr"/>
      <c r="M163" t="inlineStr"/>
      <c r="N163" t="inlineStr"/>
      <c r="O163" t="inlineStr">
        <is>
          <t>corte directo CD gran escala (ASTM D3080/D3080M-23)</t>
        </is>
      </c>
      <c r="P163" t="inlineStr">
        <is>
          <t>no confirmado («saturados durante el ensayo, salvo excepciones», p.2)</t>
        </is>
      </c>
      <c r="Q163" t="n">
        <v>305</v>
      </c>
      <c r="R163" t="n">
        <v>178</v>
      </c>
      <c r="S163" t="n">
        <v>25.4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no informado; TM de ensayo 1 in (p.2). La MDS de referencia (90 %) es la del Proctor sobre la fracción &lt; 19 mm (3/4 in), inferido de la corrección por sobretamaño</t>
        </is>
      </c>
      <c r="AD163" t="n">
        <v>3.06</v>
      </c>
      <c r="AE163" t="n">
        <v>21.42</v>
      </c>
      <c r="AF163" t="n">
        <v>0.402</v>
      </c>
      <c r="AG163" t="inlineStr">
        <is>
          <t>calculado</t>
        </is>
      </c>
      <c r="AH163" t="inlineStr"/>
      <c r="AI163" t="n">
        <v>6.8</v>
      </c>
      <c r="AJ163" t="inlineStr"/>
      <c r="AK163" t="inlineStr"/>
      <c r="AL163" t="inlineStr"/>
      <c r="AM163" t="inlineStr"/>
      <c r="AN163" t="inlineStr">
        <is>
          <t>pico (máximo τ en ~65 mm de recorrido)</t>
        </is>
      </c>
      <c r="AO163" t="n">
        <v>38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600</v>
      </c>
      <c r="AZ163" t="n">
        <v>469.5</v>
      </c>
      <c r="BA163" t="inlineStr">
        <is>
          <t>1;2</t>
        </is>
      </c>
      <c r="BB163" t="inlineStr">
        <is>
          <t>sí</t>
        </is>
      </c>
      <c r="BC163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2.183 g/cm³ = 90 % de la MDS Proctor (2.425 g/cm³); e0 calculado con Gs=3.06 (curva de saturación del Proctor); N° de muestra en el LSDS: M-1 al M-13; fechas 2024-07-16 / 2024-07-23; tipo_material no indicado: muestra de perforación (Perforaciones Geotécnicas e Hidrogeológicas 2023) en Patio de servicios / Botadero Este, 40-90 m; por su origen sería desmonte ya depositado en botadero (probablemente ROM), pero el informe no lo dice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2.183</v>
      </c>
      <c r="CL163" t="inlineStr"/>
      <c r="CM163" t="inlineStr"/>
      <c r="CN163" t="inlineStr"/>
      <c r="CO163" t="inlineStr"/>
      <c r="CP163" t="inlineStr"/>
      <c r="CQ163" t="n">
        <v>9.6</v>
      </c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>
        <is>
          <t>Verificado 2026-10-06 contra la imagen de p.1 y p.2: σn, τ pico, τ a 6,6 cm, ángulos secantes, c, φ, μ, alturas, w y ρd coinciden. Sr final recalculado con el Gs rotulado 3.06: 1.06. Sr final 0,95-1,12 (valores &gt; 1 indican incertidumbre de Gs o de la w final).</t>
        </is>
      </c>
      <c r="EK163" t="inlineStr">
        <is>
          <t>305 × 305</t>
        </is>
      </c>
      <c r="EL163" t="n">
        <v>469.2</v>
      </c>
      <c r="EM163" t="n">
        <v>38</v>
      </c>
      <c r="EN163" t="inlineStr"/>
      <c r="EO163" t="n">
        <v>0</v>
      </c>
      <c r="EP163" t="n">
        <v>39</v>
      </c>
      <c r="EQ163" t="n">
        <v>0.68</v>
      </c>
      <c r="ER163" t="n">
        <v>0</v>
      </c>
      <c r="ES163" t="n">
        <v>38.7</v>
      </c>
      <c r="ET163" t="n">
        <v>0.67</v>
      </c>
      <c r="EU163" t="n">
        <v>162</v>
      </c>
      <c r="EV163" t="n">
        <v>2.396</v>
      </c>
      <c r="EW163" t="n">
        <v>1.06</v>
      </c>
      <c r="EX163" t="inlineStr">
        <is>
          <t>Corte directo CD</t>
        </is>
      </c>
      <c r="EY163" t="inlineStr">
        <is>
          <t>CD: τ pico</t>
        </is>
      </c>
      <c r="EZ163" t="inlineStr"/>
      <c r="FA163" t="inlineStr"/>
      <c r="FB163" t="inlineStr"/>
      <c r="FC163" t="n">
        <v>38.04318006860468</v>
      </c>
      <c r="FD163" t="n">
        <v>600</v>
      </c>
      <c r="FE163" t="n">
        <v>469.5</v>
      </c>
      <c r="FF163" t="inlineStr">
        <is>
          <t>media (240–305 mm)</t>
        </is>
      </c>
      <c r="FG163" t="n">
        <v>12.00787401574803</v>
      </c>
      <c r="FH163" t="inlineStr">
        <is>
          <t>ROM</t>
        </is>
      </c>
      <c r="FI163" t="inlineStr">
        <is>
          <t>criterio experto: rumas perforadas en el Botadero Este (desmonte depositado por camión) y pilas experimentales</t>
        </is>
      </c>
      <c r="FJ163" t="n">
        <v>0</v>
      </c>
      <c r="FK163" t="inlineStr"/>
      <c r="FL163" t="inlineStr"/>
      <c r="FM163" t="inlineStr">
        <is>
          <t>A</t>
        </is>
      </c>
      <c r="FN163" t="n">
        <v>0.2622581699346407</v>
      </c>
      <c r="FO163" t="inlineStr">
        <is>
          <t>recalculado con Gs adoptado</t>
        </is>
      </c>
      <c r="FP163" t="n">
        <v>2.755</v>
      </c>
      <c r="FQ163" t="inlineStr">
        <is>
          <t>Gs de sólidos por litología (Golder 2010); el Gs rotulado en el Proctor (2.74–3.06) no fue ensayado</t>
        </is>
      </c>
      <c r="FR163" t="inlineStr">
        <is>
          <t>A2024DS-161</t>
        </is>
      </c>
      <c r="FS163" t="inlineStr">
        <is>
          <t>A2024DS|Ruma 01 (M-1 al M-13)</t>
        </is>
      </c>
    </row>
    <row r="164">
      <c r="A164" t="inlineStr">
        <is>
          <t>A2024DS</t>
        </is>
      </c>
      <c r="B164" t="inlineStr">
        <is>
          <t>Marmol M-1 al M-13 LSDS.pdf</t>
        </is>
      </c>
      <c r="C164" t="n">
        <v>2024</v>
      </c>
      <c r="D164" t="inlineStr">
        <is>
          <t>Anddes Geolab SAC; solicitud EPE-23.10.141; informe EPE-23.10141_12al25_200_R0_LSDS</t>
        </is>
      </c>
      <c r="E164" t="inlineStr">
        <is>
          <t>Anddes Geolab SAC</t>
        </is>
      </c>
      <c r="F164" t="inlineStr">
        <is>
          <t>Ruma 01 (M-1 al M-13)</t>
        </is>
      </c>
      <c r="G164" t="inlineStr">
        <is>
          <t>Ensayo 3 (σn 1200 kPa)</t>
        </is>
      </c>
      <c r="H164" t="inlineStr">
        <is>
          <t>Marmol</t>
        </is>
      </c>
      <c r="I164" t="inlineStr">
        <is>
          <t>Mármol</t>
        </is>
      </c>
      <c r="J164" t="inlineStr"/>
      <c r="K164" t="inlineStr"/>
      <c r="L164" t="inlineStr"/>
      <c r="M164" t="inlineStr"/>
      <c r="N164" t="inlineStr"/>
      <c r="O164" t="inlineStr">
        <is>
          <t>corte directo CD gran escala (ASTM D3080/D3080M-23)</t>
        </is>
      </c>
      <c r="P164" t="inlineStr">
        <is>
          <t>no confirmado («saturados durante el ensayo, salvo excepciones», p.2)</t>
        </is>
      </c>
      <c r="Q164" t="n">
        <v>305</v>
      </c>
      <c r="R164" t="n">
        <v>178</v>
      </c>
      <c r="S164" t="n">
        <v>25.4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no informado; TM de ensayo 1 in (p.2). La MDS de referencia (90 %) es la del Proctor sobre la fracción &lt; 19 mm (3/4 in), inferido de la corrección por sobretamaño</t>
        </is>
      </c>
      <c r="AD164" t="n">
        <v>3.06</v>
      </c>
      <c r="AE164" t="n">
        <v>21.42</v>
      </c>
      <c r="AF164" t="n">
        <v>0.402</v>
      </c>
      <c r="AG164" t="inlineStr">
        <is>
          <t>calculado</t>
        </is>
      </c>
      <c r="AH164" t="inlineStr"/>
      <c r="AI164" t="n">
        <v>6.8</v>
      </c>
      <c r="AJ164" t="inlineStr"/>
      <c r="AK164" t="inlineStr"/>
      <c r="AL164" t="inlineStr"/>
      <c r="AM164" t="inlineStr"/>
      <c r="AN164" t="inlineStr">
        <is>
          <t>pico (máximo τ en ~65 mm de recorrido)</t>
        </is>
      </c>
      <c r="AO164" t="n">
        <v>39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1200</v>
      </c>
      <c r="AZ164" t="n">
        <v>984.3</v>
      </c>
      <c r="BA164" t="inlineStr">
        <is>
          <t>1;2</t>
        </is>
      </c>
      <c r="BB164" t="inlineStr">
        <is>
          <t>sí</t>
        </is>
      </c>
      <c r="BC164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2.183 g/cm³ = 90 % de la MDS Proctor (2.425 g/cm³); e0 calculado con Gs=3.06 (curva de saturación del Proctor); N° de muestra en el LSDS: M-1 al M-13; fechas 2024-07-16 / 2024-07-23; tipo_material no indicado: muestra de perforación (Perforaciones Geotécnicas e Hidrogeológicas 2023) en Patio de servicios / Botadero Este, 40-90 m; por su origen sería desmonte ya depositado en botadero (probablemente ROM), pero el informe no lo dice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2.183</v>
      </c>
      <c r="CL164" t="inlineStr"/>
      <c r="CM164" t="inlineStr"/>
      <c r="CN164" t="inlineStr"/>
      <c r="CO164" t="inlineStr"/>
      <c r="CP164" t="inlineStr"/>
      <c r="CQ164" t="n">
        <v>9</v>
      </c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>
        <is>
          <t>Verificado 2026-10-06 contra la imagen de p.1 y p.2: σn, τ pico, τ a 6,6 cm, ángulos secantes, c, φ, μ, alturas, w y ρd coinciden. Sr final recalculado con el Gs rotulado 3.06: 1.12. Sr final 0,95-1,12 (valores &gt; 1 indican incertidumbre de Gs o de la w final).</t>
        </is>
      </c>
      <c r="EK164" t="inlineStr">
        <is>
          <t>305 × 305</t>
        </is>
      </c>
      <c r="EL164" t="n">
        <v>973.5</v>
      </c>
      <c r="EM164" t="n">
        <v>39</v>
      </c>
      <c r="EN164" t="inlineStr"/>
      <c r="EO164" t="n">
        <v>0</v>
      </c>
      <c r="EP164" t="n">
        <v>39</v>
      </c>
      <c r="EQ164" t="n">
        <v>0.68</v>
      </c>
      <c r="ER164" t="n">
        <v>0</v>
      </c>
      <c r="ES164" t="n">
        <v>38.7</v>
      </c>
      <c r="ET164" t="n">
        <v>0.67</v>
      </c>
      <c r="EU164" t="n">
        <v>158</v>
      </c>
      <c r="EV164" t="n">
        <v>2.456</v>
      </c>
      <c r="EW164" t="n">
        <v>1.12</v>
      </c>
      <c r="EX164" t="inlineStr">
        <is>
          <t>Corte directo CD</t>
        </is>
      </c>
      <c r="EY164" t="inlineStr">
        <is>
          <t>CD: τ pico</t>
        </is>
      </c>
      <c r="EZ164" t="inlineStr"/>
      <c r="FA164" t="inlineStr"/>
      <c r="FB164" t="inlineStr"/>
      <c r="FC164" t="n">
        <v>39.36031648011642</v>
      </c>
      <c r="FD164" t="n">
        <v>1200</v>
      </c>
      <c r="FE164" t="n">
        <v>984.3</v>
      </c>
      <c r="FF164" t="inlineStr">
        <is>
          <t>media (240–305 mm)</t>
        </is>
      </c>
      <c r="FG164" t="n">
        <v>12.00787401574803</v>
      </c>
      <c r="FH164" t="inlineStr">
        <is>
          <t>ROM</t>
        </is>
      </c>
      <c r="FI164" t="inlineStr">
        <is>
          <t>criterio experto: rumas perforadas en el Botadero Este (desmonte depositado por camión) y pilas experimentales</t>
        </is>
      </c>
      <c r="FJ164" t="n">
        <v>0</v>
      </c>
      <c r="FK164" t="inlineStr"/>
      <c r="FL164" t="inlineStr"/>
      <c r="FM164" t="inlineStr">
        <is>
          <t>A</t>
        </is>
      </c>
      <c r="FN164" t="n">
        <v>0.2622581699346407</v>
      </c>
      <c r="FO164" t="inlineStr">
        <is>
          <t>recalculado con Gs adoptado</t>
        </is>
      </c>
      <c r="FP164" t="n">
        <v>2.755</v>
      </c>
      <c r="FQ164" t="inlineStr">
        <is>
          <t>Gs de sólidos por litología (Golder 2010); el Gs rotulado en el Proctor (2.74–3.06) no fue ensayado</t>
        </is>
      </c>
      <c r="FR164" t="inlineStr">
        <is>
          <t>A2024DS-162</t>
        </is>
      </c>
      <c r="FS164" t="inlineStr">
        <is>
          <t>A2024DS|Ruma 01 (M-1 al M-13)</t>
        </is>
      </c>
    </row>
    <row r="165">
      <c r="A165" t="inlineStr">
        <is>
          <t>A2024DS</t>
        </is>
      </c>
      <c r="B165" t="inlineStr">
        <is>
          <t>HORNFELS H-1 al H-12 LSDS.pdf</t>
        </is>
      </c>
      <c r="C165" t="n">
        <v>2024</v>
      </c>
      <c r="D165" t="inlineStr">
        <is>
          <t>Anddes Geolab SAC; solicitud EPE-23.10.141; informe EPE-23.10141_1al18_200_R0_LSDS</t>
        </is>
      </c>
      <c r="E165" t="inlineStr">
        <is>
          <t>Anddes Geolab SAC</t>
        </is>
      </c>
      <c r="F165" t="inlineStr">
        <is>
          <t>Ruma 02 (H-1 al H-12)</t>
        </is>
      </c>
      <c r="G165" t="inlineStr">
        <is>
          <t>Ensayo 1 (σn 300 kPa)</t>
        </is>
      </c>
      <c r="H165" t="inlineStr">
        <is>
          <t>HORNFELS</t>
        </is>
      </c>
      <c r="I165" t="inlineStr">
        <is>
          <t>Hornfels</t>
        </is>
      </c>
      <c r="J165" t="inlineStr"/>
      <c r="K165" t="inlineStr"/>
      <c r="L165" t="inlineStr"/>
      <c r="M165" t="inlineStr"/>
      <c r="N165" t="inlineStr"/>
      <c r="O165" t="inlineStr">
        <is>
          <t>corte directo CD gran escala (ASTM D3080/D3080M-23)</t>
        </is>
      </c>
      <c r="P165" t="inlineStr">
        <is>
          <t>no confirmado («saturados durante el ensayo, salvo excepciones», p.2)</t>
        </is>
      </c>
      <c r="Q165" t="n">
        <v>305</v>
      </c>
      <c r="R165" t="n">
        <v>178</v>
      </c>
      <c r="S165" t="n">
        <v>25.4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no informado; TM de ensayo 1 in (p.2). La MDS de referencia (90 %) es la del Proctor sobre la fracción &lt; 19 mm (3/4 in), inferido de la corrección por sobretamaño</t>
        </is>
      </c>
      <c r="AD165" t="n">
        <v>2.94</v>
      </c>
      <c r="AE165" t="n">
        <v>20.6</v>
      </c>
      <c r="AF165" t="n">
        <v>0.4</v>
      </c>
      <c r="AG165" t="inlineStr">
        <is>
          <t>calculado</t>
        </is>
      </c>
      <c r="AH165" t="inlineStr"/>
      <c r="AI165" t="n">
        <v>7.7</v>
      </c>
      <c r="AJ165" t="inlineStr"/>
      <c r="AK165" t="inlineStr"/>
      <c r="AL165" t="inlineStr"/>
      <c r="AM165" t="inlineStr"/>
      <c r="AN165" t="inlineStr">
        <is>
          <t>pico (máximo τ en ~65 mm de recorrido)</t>
        </is>
      </c>
      <c r="AO165" t="n">
        <v>40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300</v>
      </c>
      <c r="AZ165" t="n">
        <v>255.7</v>
      </c>
      <c r="BA165" t="inlineStr">
        <is>
          <t>1;2</t>
        </is>
      </c>
      <c r="BB165" t="inlineStr">
        <is>
          <t>sí</t>
        </is>
      </c>
      <c r="BC165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2.1 g/cm³ = 90 % de la MDS Proctor (2.333 g/cm³); e0 calculado con Gs=2.94 (curva de saturación del Proctor); N° de muestra en el LSDS: H-1 al H-12; fechas 2024-07-24 / 2024-08-01; tipo_material no indicado: muestra de perforación en Patio de servicios / Botadero Este, 40-90 m; probablemente desmonte ROM de botadero, no confirmado por el informe; w inicial del LSDS (7.7 %) difiere del w del triaxial (6.0 %) con la misma ρd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2.1</v>
      </c>
      <c r="CL165" t="inlineStr"/>
      <c r="CM165" t="inlineStr"/>
      <c r="CN165" t="inlineStr"/>
      <c r="CO165" t="inlineStr"/>
      <c r="CP165" t="inlineStr"/>
      <c r="CQ165" t="n">
        <v>10.6</v>
      </c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>
        <is>
          <t>Verificado 2026-10-06 contra la imagen de p.1 y p.2: σn, τ pico, τ a 6,6 cm, ángulos secantes, c, φ, μ, alturas, w y ρd coinciden. Sr final recalculado con el Gs rotulado 2.94: 0.97. Sr final 0,95-1,12 (valores &gt; 1 indican incertidumbre de Gs o de la w final).</t>
        </is>
      </c>
      <c r="EK165" t="inlineStr">
        <is>
          <t>305 × 305</t>
        </is>
      </c>
      <c r="EL165" t="n">
        <v>250.8</v>
      </c>
      <c r="EM165" t="n">
        <v>40</v>
      </c>
      <c r="EN165" t="inlineStr"/>
      <c r="EO165" t="n">
        <v>0</v>
      </c>
      <c r="EP165" t="n">
        <v>39.5</v>
      </c>
      <c r="EQ165" t="n">
        <v>0.6899999999999999</v>
      </c>
      <c r="ER165" t="n">
        <v>0</v>
      </c>
      <c r="ES165" t="n">
        <v>39.5</v>
      </c>
      <c r="ET165" t="n">
        <v>0.6899999999999999</v>
      </c>
      <c r="EU165" t="n">
        <v>168</v>
      </c>
      <c r="EV165" t="n">
        <v>2.227</v>
      </c>
      <c r="EW165" t="n">
        <v>0.97</v>
      </c>
      <c r="EX165" t="inlineStr">
        <is>
          <t>Corte directo CD</t>
        </is>
      </c>
      <c r="EY165" t="inlineStr">
        <is>
          <t>CD: τ pico</t>
        </is>
      </c>
      <c r="EZ165" t="inlineStr"/>
      <c r="FA165" t="inlineStr"/>
      <c r="FB165" t="inlineStr"/>
      <c r="FC165" t="n">
        <v>40.44206128326851</v>
      </c>
      <c r="FD165" t="n">
        <v>300</v>
      </c>
      <c r="FE165" t="n">
        <v>255.7</v>
      </c>
      <c r="FF165" t="inlineStr">
        <is>
          <t>media (240–305 mm)</t>
        </is>
      </c>
      <c r="FG165" t="n">
        <v>12.00787401574803</v>
      </c>
      <c r="FH165" t="inlineStr">
        <is>
          <t>ROM</t>
        </is>
      </c>
      <c r="FI165" t="inlineStr">
        <is>
          <t>criterio experto: rumas perforadas en el Botadero Este (desmonte depositado por camión) y pilas experimentales</t>
        </is>
      </c>
      <c r="FJ165" t="n">
        <v>0</v>
      </c>
      <c r="FK165" t="inlineStr"/>
      <c r="FL165" t="inlineStr"/>
      <c r="FM165" t="inlineStr">
        <is>
          <t>A</t>
        </is>
      </c>
      <c r="FN165" t="n">
        <v>0.3319047619047619</v>
      </c>
      <c r="FO165" t="inlineStr">
        <is>
          <t>recalculado con Gs adoptado</t>
        </is>
      </c>
      <c r="FP165" t="n">
        <v>2.797</v>
      </c>
      <c r="FQ165" t="inlineStr">
        <is>
          <t>Gs de sólidos por litología (Golder 2010); el Gs rotulado en el Proctor (2.74–3.06) no fue ensayado</t>
        </is>
      </c>
      <c r="FR165" t="inlineStr">
        <is>
          <t>A2024DS-163</t>
        </is>
      </c>
      <c r="FS165" t="inlineStr">
        <is>
          <t>A2024DS|Ruma 02 (H-1 al H-12)</t>
        </is>
      </c>
    </row>
    <row r="166">
      <c r="A166" t="inlineStr">
        <is>
          <t>A2024DS</t>
        </is>
      </c>
      <c r="B166" t="inlineStr">
        <is>
          <t>HORNFELS H-1 al H-12 LSDS.pdf</t>
        </is>
      </c>
      <c r="C166" t="n">
        <v>2024</v>
      </c>
      <c r="D166" t="inlineStr">
        <is>
          <t>Anddes Geolab SAC; solicitud EPE-23.10.141; informe EPE-23.10141_1al18_200_R0_LSDS</t>
        </is>
      </c>
      <c r="E166" t="inlineStr">
        <is>
          <t>Anddes Geolab SAC</t>
        </is>
      </c>
      <c r="F166" t="inlineStr">
        <is>
          <t>Ruma 02 (H-1 al H-12)</t>
        </is>
      </c>
      <c r="G166" t="inlineStr">
        <is>
          <t>Ensayo 2 (σn 600 kPa)</t>
        </is>
      </c>
      <c r="H166" t="inlineStr">
        <is>
          <t>HORNFELS</t>
        </is>
      </c>
      <c r="I166" t="inlineStr">
        <is>
          <t>Hornfels</t>
        </is>
      </c>
      <c r="J166" t="inlineStr"/>
      <c r="K166" t="inlineStr"/>
      <c r="L166" t="inlineStr"/>
      <c r="M166" t="inlineStr"/>
      <c r="N166" t="inlineStr"/>
      <c r="O166" t="inlineStr">
        <is>
          <t>corte directo CD gran escala (ASTM D3080/D3080M-23)</t>
        </is>
      </c>
      <c r="P166" t="inlineStr">
        <is>
          <t>no confirmado («saturados durante el ensayo, salvo excepciones», p.2)</t>
        </is>
      </c>
      <c r="Q166" t="n">
        <v>305</v>
      </c>
      <c r="R166" t="n">
        <v>178</v>
      </c>
      <c r="S166" t="n">
        <v>25.4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no informado; TM de ensayo 1 in (p.2). La MDS de referencia (90 %) es la del Proctor sobre la fracción &lt; 19 mm (3/4 in), inferido de la corrección por sobretamaño</t>
        </is>
      </c>
      <c r="AD166" t="n">
        <v>2.94</v>
      </c>
      <c r="AE166" t="n">
        <v>20.6</v>
      </c>
      <c r="AF166" t="n">
        <v>0.4</v>
      </c>
      <c r="AG166" t="inlineStr">
        <is>
          <t>calculado</t>
        </is>
      </c>
      <c r="AH166" t="inlineStr"/>
      <c r="AI166" t="n">
        <v>7.7</v>
      </c>
      <c r="AJ166" t="inlineStr"/>
      <c r="AK166" t="inlineStr"/>
      <c r="AL166" t="inlineStr"/>
      <c r="AM166" t="inlineStr"/>
      <c r="AN166" t="inlineStr">
        <is>
          <t>pico (máximo τ en ~65 mm de recorrido)</t>
        </is>
      </c>
      <c r="AO166" t="n">
        <v>38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n">
        <v>600</v>
      </c>
      <c r="AZ166" t="n">
        <v>476.1</v>
      </c>
      <c r="BA166" t="inlineStr">
        <is>
          <t>1;2</t>
        </is>
      </c>
      <c r="BB166" t="inlineStr">
        <is>
          <t>sí</t>
        </is>
      </c>
      <c r="BC166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2.1 g/cm³ = 90 % de la MDS Proctor (2.333 g/cm³); e0 calculado con Gs=2.94 (curva de saturación del Proctor); N° de muestra en el LSDS: H-1 al H-12; fechas 2024-07-24 / 2024-08-01; tipo_material no indicado: muestra de perforación en Patio de servicios / Botadero Este, 40-90 m; probablemente desmonte ROM de botadero, no confirmado por el informe; w inicial del LSDS (7.7 %) difiere del w del triaxial (6.0 %) con la misma ρd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2.1</v>
      </c>
      <c r="CL166" t="inlineStr"/>
      <c r="CM166" t="inlineStr"/>
      <c r="CN166" t="inlineStr"/>
      <c r="CO166" t="inlineStr"/>
      <c r="CP166" t="inlineStr"/>
      <c r="CQ166" t="n">
        <v>9.699999999999999</v>
      </c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>
        <is>
          <t>Verificado 2026-10-06 contra la imagen de p.1 y p.2: σn, τ pico, τ a 6,6 cm, ángulos secantes, c, φ, μ, alturas, w y ρd coinciden. Sr final recalculado con el Gs rotulado 2.94: 1.01. Sr final 0,95-1,12 (valores &gt; 1 indican incertidumbre de Gs o de la w final).</t>
        </is>
      </c>
      <c r="EK166" t="inlineStr">
        <is>
          <t>305 × 305</t>
        </is>
      </c>
      <c r="EL166" t="n">
        <v>473.9</v>
      </c>
      <c r="EM166" t="n">
        <v>38</v>
      </c>
      <c r="EN166" t="inlineStr"/>
      <c r="EO166" t="n">
        <v>0</v>
      </c>
      <c r="EP166" t="n">
        <v>39.5</v>
      </c>
      <c r="EQ166" t="n">
        <v>0.6899999999999999</v>
      </c>
      <c r="ER166" t="n">
        <v>0</v>
      </c>
      <c r="ES166" t="n">
        <v>39.5</v>
      </c>
      <c r="ET166" t="n">
        <v>0.6899999999999999</v>
      </c>
      <c r="EU166" t="n">
        <v>163</v>
      </c>
      <c r="EV166" t="n">
        <v>2.293</v>
      </c>
      <c r="EW166" t="n">
        <v>1.01</v>
      </c>
      <c r="EX166" t="inlineStr">
        <is>
          <t>Corte directo CD</t>
        </is>
      </c>
      <c r="EY166" t="inlineStr">
        <is>
          <t>CD: τ pico</t>
        </is>
      </c>
      <c r="EZ166" t="inlineStr"/>
      <c r="FA166" t="inlineStr"/>
      <c r="FB166" t="inlineStr"/>
      <c r="FC166" t="n">
        <v>38.4320002015196</v>
      </c>
      <c r="FD166" t="n">
        <v>600</v>
      </c>
      <c r="FE166" t="n">
        <v>476.1</v>
      </c>
      <c r="FF166" t="inlineStr">
        <is>
          <t>media (240–305 mm)</t>
        </is>
      </c>
      <c r="FG166" t="n">
        <v>12.00787401574803</v>
      </c>
      <c r="FH166" t="inlineStr">
        <is>
          <t>ROM</t>
        </is>
      </c>
      <c r="FI166" t="inlineStr">
        <is>
          <t>criterio experto: rumas perforadas en el Botadero Este (desmonte depositado por camión) y pilas experimentales</t>
        </is>
      </c>
      <c r="FJ166" t="n">
        <v>0</v>
      </c>
      <c r="FK166" t="inlineStr"/>
      <c r="FL166" t="inlineStr"/>
      <c r="FM166" t="inlineStr">
        <is>
          <t>A</t>
        </is>
      </c>
      <c r="FN166" t="n">
        <v>0.3319047619047619</v>
      </c>
      <c r="FO166" t="inlineStr">
        <is>
          <t>recalculado con Gs adoptado</t>
        </is>
      </c>
      <c r="FP166" t="n">
        <v>2.797</v>
      </c>
      <c r="FQ166" t="inlineStr">
        <is>
          <t>Gs de sólidos por litología (Golder 2010); el Gs rotulado en el Proctor (2.74–3.06) no fue ensayado</t>
        </is>
      </c>
      <c r="FR166" t="inlineStr">
        <is>
          <t>A2024DS-164</t>
        </is>
      </c>
      <c r="FS166" t="inlineStr">
        <is>
          <t>A2024DS|Ruma 02 (H-1 al H-12)</t>
        </is>
      </c>
    </row>
    <row r="167">
      <c r="A167" t="inlineStr">
        <is>
          <t>A2024DS</t>
        </is>
      </c>
      <c r="B167" t="inlineStr">
        <is>
          <t>HORNFELS H-1 al H-12 LSDS.pdf</t>
        </is>
      </c>
      <c r="C167" t="n">
        <v>2024</v>
      </c>
      <c r="D167" t="inlineStr">
        <is>
          <t>Anddes Geolab SAC; solicitud EPE-23.10.141; informe EPE-23.10141_1al18_200_R0_LSDS</t>
        </is>
      </c>
      <c r="E167" t="inlineStr">
        <is>
          <t>Anddes Geolab SAC</t>
        </is>
      </c>
      <c r="F167" t="inlineStr">
        <is>
          <t>Ruma 02 (H-1 al H-12)</t>
        </is>
      </c>
      <c r="G167" t="inlineStr">
        <is>
          <t>Ensayo 3 (σn 1200 kPa)</t>
        </is>
      </c>
      <c r="H167" t="inlineStr">
        <is>
          <t>HORNFELS</t>
        </is>
      </c>
      <c r="I167" t="inlineStr">
        <is>
          <t>Hornfels</t>
        </is>
      </c>
      <c r="J167" t="inlineStr"/>
      <c r="K167" t="inlineStr"/>
      <c r="L167" t="inlineStr"/>
      <c r="M167" t="inlineStr"/>
      <c r="N167" t="inlineStr"/>
      <c r="O167" t="inlineStr">
        <is>
          <t>corte directo CD gran escala (ASTM D3080/D3080M-23)</t>
        </is>
      </c>
      <c r="P167" t="inlineStr">
        <is>
          <t>no confirmado («saturados durante el ensayo, salvo excepciones», p.2)</t>
        </is>
      </c>
      <c r="Q167" t="n">
        <v>305</v>
      </c>
      <c r="R167" t="n">
        <v>178</v>
      </c>
      <c r="S167" t="n">
        <v>25.4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no informado; TM de ensayo 1 in (p.2). La MDS de referencia (90 %) es la del Proctor sobre la fracción &lt; 19 mm (3/4 in), inferido de la corrección por sobretamaño</t>
        </is>
      </c>
      <c r="AD167" t="n">
        <v>2.94</v>
      </c>
      <c r="AE167" t="n">
        <v>20.6</v>
      </c>
      <c r="AF167" t="n">
        <v>0.4</v>
      </c>
      <c r="AG167" t="inlineStr">
        <is>
          <t>calculado</t>
        </is>
      </c>
      <c r="AH167" t="inlineStr"/>
      <c r="AI167" t="n">
        <v>7.7</v>
      </c>
      <c r="AJ167" t="inlineStr"/>
      <c r="AK167" t="inlineStr"/>
      <c r="AL167" t="inlineStr"/>
      <c r="AM167" t="inlineStr"/>
      <c r="AN167" t="inlineStr">
        <is>
          <t>pico (máximo τ en ~65 mm de recorrido)</t>
        </is>
      </c>
      <c r="AO167" t="n">
        <v>40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1200</v>
      </c>
      <c r="AZ167" t="n">
        <v>998.1</v>
      </c>
      <c r="BA167" t="inlineStr">
        <is>
          <t>1;2</t>
        </is>
      </c>
      <c r="BB167" t="inlineStr">
        <is>
          <t>sí</t>
        </is>
      </c>
      <c r="BC167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2.1 g/cm³ = 90 % de la MDS Proctor (2.333 g/cm³); e0 calculado con Gs=2.94 (curva de saturación del Proctor); N° de muestra en el LSDS: H-1 al H-12; fechas 2024-07-24 / 2024-08-01; tipo_material no indicado: muestra de perforación en Patio de servicios / Botadero Este, 40-90 m; probablemente desmonte ROM de botadero, no confirmado por el informe; w inicial del LSDS (7.7 %) difiere del w del triaxial (6.0 %) con la misma ρd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n">
        <v>2.1</v>
      </c>
      <c r="CL167" t="inlineStr"/>
      <c r="CM167" t="inlineStr"/>
      <c r="CN167" t="inlineStr"/>
      <c r="CO167" t="inlineStr"/>
      <c r="CP167" t="inlineStr"/>
      <c r="CQ167" t="n">
        <v>8.9</v>
      </c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>
        <is>
          <t>Verificado 2026-10-06 contra la imagen de p.1 y p.2: σn, τ pico, τ a 6,6 cm, ángulos secantes, c, φ, μ, alturas, w y ρd coinciden. Sr final recalculado con el Gs rotulado 2.94: 1.04. Sr final 0,95-1,12 (valores &gt; 1 indican incertidumbre de Gs o de la w final).</t>
        </is>
      </c>
      <c r="EK167" t="inlineStr">
        <is>
          <t>305 × 305</t>
        </is>
      </c>
      <c r="EL167" t="n">
        <v>998.1</v>
      </c>
      <c r="EM167" t="n">
        <v>40</v>
      </c>
      <c r="EN167" t="inlineStr"/>
      <c r="EO167" t="n">
        <v>0</v>
      </c>
      <c r="EP167" t="n">
        <v>39.5</v>
      </c>
      <c r="EQ167" t="n">
        <v>0.6899999999999999</v>
      </c>
      <c r="ER167" t="n">
        <v>0</v>
      </c>
      <c r="ES167" t="n">
        <v>39.5</v>
      </c>
      <c r="ET167" t="n">
        <v>0.6899999999999999</v>
      </c>
      <c r="EU167" t="n">
        <v>159</v>
      </c>
      <c r="EV167" t="n">
        <v>2.35</v>
      </c>
      <c r="EW167" t="n">
        <v>1.04</v>
      </c>
      <c r="EX167" t="inlineStr">
        <is>
          <t>Corte directo CD</t>
        </is>
      </c>
      <c r="EY167" t="inlineStr">
        <is>
          <t>CD: τ pico</t>
        </is>
      </c>
      <c r="EZ167" t="inlineStr"/>
      <c r="FA167" t="inlineStr"/>
      <c r="FB167" t="inlineStr"/>
      <c r="FC167" t="n">
        <v>39.75199070622306</v>
      </c>
      <c r="FD167" t="n">
        <v>1200</v>
      </c>
      <c r="FE167" t="n">
        <v>998.1</v>
      </c>
      <c r="FF167" t="inlineStr">
        <is>
          <t>media (240–305 mm)</t>
        </is>
      </c>
      <c r="FG167" t="n">
        <v>12.00787401574803</v>
      </c>
      <c r="FH167" t="inlineStr">
        <is>
          <t>ROM</t>
        </is>
      </c>
      <c r="FI167" t="inlineStr">
        <is>
          <t>criterio experto: rumas perforadas en el Botadero Este (desmonte depositado por camión) y pilas experimentales</t>
        </is>
      </c>
      <c r="FJ167" t="n">
        <v>0</v>
      </c>
      <c r="FK167" t="inlineStr"/>
      <c r="FL167" t="inlineStr"/>
      <c r="FM167" t="inlineStr">
        <is>
          <t>A</t>
        </is>
      </c>
      <c r="FN167" t="n">
        <v>0.3319047619047619</v>
      </c>
      <c r="FO167" t="inlineStr">
        <is>
          <t>recalculado con Gs adoptado</t>
        </is>
      </c>
      <c r="FP167" t="n">
        <v>2.797</v>
      </c>
      <c r="FQ167" t="inlineStr">
        <is>
          <t>Gs de sólidos por litología (Golder 2010); el Gs rotulado en el Proctor (2.74–3.06) no fue ensayado</t>
        </is>
      </c>
      <c r="FR167" t="inlineStr">
        <is>
          <t>A2024DS-165</t>
        </is>
      </c>
      <c r="FS167" t="inlineStr">
        <is>
          <t>A2024DS|Ruma 02 (H-1 al H-12)</t>
        </is>
      </c>
    </row>
    <row r="168">
      <c r="A168" t="inlineStr">
        <is>
          <t>A2024DS</t>
        </is>
      </c>
      <c r="B168" t="inlineStr">
        <is>
          <t>Intrusivo I-1 al I-12 LSDS.pdf</t>
        </is>
      </c>
      <c r="C168" t="n">
        <v>2024</v>
      </c>
      <c r="D168" t="inlineStr">
        <is>
          <t>Anddes Geolab SAC; solicitud EPE-23.10.141; informe EPE-23.10141_26al43_200_R0_LSDS</t>
        </is>
      </c>
      <c r="E168" t="inlineStr">
        <is>
          <t>Anddes Geolab SAC</t>
        </is>
      </c>
      <c r="F168" t="inlineStr">
        <is>
          <t>Ruma 03 / Fase 10 A (I-1 al I-12)</t>
        </is>
      </c>
      <c r="G168" t="inlineStr">
        <is>
          <t>Ensayo 1 (σn 300 kPa)</t>
        </is>
      </c>
      <c r="H168" t="inlineStr">
        <is>
          <t>Intrusivo</t>
        </is>
      </c>
      <c r="I168" t="inlineStr">
        <is>
          <t>Intrusivo</t>
        </is>
      </c>
      <c r="J168" t="inlineStr"/>
      <c r="K168" t="inlineStr"/>
      <c r="L168" t="inlineStr"/>
      <c r="M168" t="inlineStr"/>
      <c r="N168" t="inlineStr"/>
      <c r="O168" t="inlineStr">
        <is>
          <t>corte directo CD gran escala (ASTM D3080/D3080M-23)</t>
        </is>
      </c>
      <c r="P168" t="inlineStr">
        <is>
          <t>no confirmado («saturados durante el ensayo, salvo excepciones», p.2)</t>
        </is>
      </c>
      <c r="Q168" t="n">
        <v>305</v>
      </c>
      <c r="R168" t="n">
        <v>178</v>
      </c>
      <c r="S168" t="n">
        <v>25.4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no informado; TM de ensayo 1 in (p.2). La MDS de referencia (90 %) es la del Proctor sobre la fracción &lt; 19 mm (3/4 in), inferido de la corrección por sobretamaño</t>
        </is>
      </c>
      <c r="AD168" t="n">
        <v>2.75</v>
      </c>
      <c r="AE168" t="n">
        <v>18.85</v>
      </c>
      <c r="AF168" t="n">
        <v>0.432</v>
      </c>
      <c r="AG168" t="inlineStr">
        <is>
          <t>calculado</t>
        </is>
      </c>
      <c r="AH168" t="inlineStr"/>
      <c r="AI168" t="n">
        <v>9.800000000000001</v>
      </c>
      <c r="AJ168" t="inlineStr"/>
      <c r="AK168" t="inlineStr"/>
      <c r="AL168" t="inlineStr"/>
      <c r="AM168" t="inlineStr"/>
      <c r="AN168" t="inlineStr">
        <is>
          <t>pico (máximo τ en ~65 mm de recorrido)</t>
        </is>
      </c>
      <c r="AO168" t="n">
        <v>37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300</v>
      </c>
      <c r="AZ168" t="n">
        <v>228.1</v>
      </c>
      <c r="BA168" t="inlineStr">
        <is>
          <t>1;2</t>
        </is>
      </c>
      <c r="BB168" t="inlineStr">
        <is>
          <t>sí</t>
        </is>
      </c>
      <c r="BC168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1.921 g/cm³ = 90 % de la MDS Proctor (2.134 g/cm³); e0 calculado con Gs=2.75 (curva de saturación del Proctor); N° de muestra en el LSDS: I-1 al I-11; fechas 2024-07-08 / 2024-07-15; tipo_material no indicado: muestra de perforación en Botadero Este (Ruma 03 / Fase 10 A), 20-60 m; probablemente desmonte ROM de botadero, no confirmado por el informe; w inicial del LSDS (9.8 %) difiere del w del triaxial (8.0 %) con la misma ρd; el LSDS indica I-1 al I-11 (el TX indica I-1 al I-12)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1.921</v>
      </c>
      <c r="CL168" t="inlineStr"/>
      <c r="CM168" t="inlineStr"/>
      <c r="CN168" t="inlineStr"/>
      <c r="CO168" t="inlineStr"/>
      <c r="CP168" t="inlineStr"/>
      <c r="CQ168" t="n">
        <v>11.9</v>
      </c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>
        <is>
          <t>Verificado 2026-10-06 contra la imagen de p.1 y p.2: σn, τ pico, τ a 6,6 cm, ángulos secantes, c, φ, μ, alturas, w y ρd coinciden. Sr final recalculado con el Gs rotulado 2.75: 0.88. Sr final 0,88-0,96: saturación incompleta o Gs menor que el rotulado.</t>
        </is>
      </c>
      <c r="EK168" t="inlineStr">
        <is>
          <t>305 × 305</t>
        </is>
      </c>
      <c r="EL168" t="n">
        <v>218.3</v>
      </c>
      <c r="EM168" t="n">
        <v>36</v>
      </c>
      <c r="EN168" t="inlineStr"/>
      <c r="EO168" t="n">
        <v>0</v>
      </c>
      <c r="EP168" t="n">
        <v>38.1</v>
      </c>
      <c r="EQ168" t="n">
        <v>0.67</v>
      </c>
      <c r="ER168" t="n">
        <v>0</v>
      </c>
      <c r="ES168" t="n">
        <v>36.5</v>
      </c>
      <c r="ET168" t="n">
        <v>0.64</v>
      </c>
      <c r="EU168" t="n">
        <v>170</v>
      </c>
      <c r="EV168" t="n">
        <v>2.006</v>
      </c>
      <c r="EW168" t="n">
        <v>0.88</v>
      </c>
      <c r="EX168" t="inlineStr">
        <is>
          <t>Corte directo CD</t>
        </is>
      </c>
      <c r="EY168" t="inlineStr">
        <is>
          <t>CD: τ pico</t>
        </is>
      </c>
      <c r="EZ168" t="inlineStr"/>
      <c r="FA168" t="inlineStr"/>
      <c r="FB168" t="inlineStr"/>
      <c r="FC168" t="n">
        <v>37.2469381439093</v>
      </c>
      <c r="FD168" t="n">
        <v>300</v>
      </c>
      <c r="FE168" t="n">
        <v>228.1</v>
      </c>
      <c r="FF168" t="inlineStr">
        <is>
          <t>media (240–305 mm)</t>
        </is>
      </c>
      <c r="FG168" t="n">
        <v>12.00787401574803</v>
      </c>
      <c r="FH168" t="inlineStr">
        <is>
          <t>ROM</t>
        </is>
      </c>
      <c r="FI168" t="inlineStr">
        <is>
          <t>criterio experto: rumas perforadas en el Botadero Este (desmonte depositado por camión) y pilas experimentales</t>
        </is>
      </c>
      <c r="FJ168" t="n">
        <v>0</v>
      </c>
      <c r="FK168" t="inlineStr"/>
      <c r="FL168" t="inlineStr"/>
      <c r="FM168" t="inlineStr">
        <is>
          <t>A</t>
        </is>
      </c>
      <c r="FN168" t="n">
        <v>0.4101294545454546</v>
      </c>
      <c r="FO168" t="inlineStr">
        <is>
          <t>recalculado con Gs adoptado</t>
        </is>
      </c>
      <c r="FP168" t="n">
        <v>2.708</v>
      </c>
      <c r="FQ168" t="inlineStr">
        <is>
          <t>Gs de sólidos por litología (Golder 2010); el Gs rotulado en el Proctor (2.74–3.06) no fue ensayado</t>
        </is>
      </c>
      <c r="FR168" t="inlineStr">
        <is>
          <t>A2024DS-166</t>
        </is>
      </c>
      <c r="FS168" t="inlineStr">
        <is>
          <t>A2024DS|Ruma 03 / Fase 10 A (I-1 al I-12)</t>
        </is>
      </c>
    </row>
    <row r="169">
      <c r="A169" t="inlineStr">
        <is>
          <t>A2024DS</t>
        </is>
      </c>
      <c r="B169" t="inlineStr">
        <is>
          <t>Intrusivo I-1 al I-12 LSDS.pdf</t>
        </is>
      </c>
      <c r="C169" t="n">
        <v>2024</v>
      </c>
      <c r="D169" t="inlineStr">
        <is>
          <t>Anddes Geolab SAC; solicitud EPE-23.10.141; informe EPE-23.10141_26al43_200_R0_LSDS</t>
        </is>
      </c>
      <c r="E169" t="inlineStr">
        <is>
          <t>Anddes Geolab SAC</t>
        </is>
      </c>
      <c r="F169" t="inlineStr">
        <is>
          <t>Ruma 03 / Fase 10 A (I-1 al I-12)</t>
        </is>
      </c>
      <c r="G169" t="inlineStr">
        <is>
          <t>Ensayo 2 (σn 600 kPa)</t>
        </is>
      </c>
      <c r="H169" t="inlineStr">
        <is>
          <t>Intrusivo</t>
        </is>
      </c>
      <c r="I169" t="inlineStr">
        <is>
          <t>Intrusivo</t>
        </is>
      </c>
      <c r="J169" t="inlineStr"/>
      <c r="K169" t="inlineStr"/>
      <c r="L169" t="inlineStr"/>
      <c r="M169" t="inlineStr"/>
      <c r="N169" t="inlineStr"/>
      <c r="O169" t="inlineStr">
        <is>
          <t>corte directo CD gran escala (ASTM D3080/D3080M-23)</t>
        </is>
      </c>
      <c r="P169" t="inlineStr">
        <is>
          <t>no confirmado («saturados durante el ensayo, salvo excepciones», p.2)</t>
        </is>
      </c>
      <c r="Q169" t="n">
        <v>305</v>
      </c>
      <c r="R169" t="n">
        <v>178</v>
      </c>
      <c r="S169" t="n">
        <v>25.4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no informado; TM de ensayo 1 in (p.2). La MDS de referencia (90 %) es la del Proctor sobre la fracción &lt; 19 mm (3/4 in), inferido de la corrección por sobretamaño</t>
        </is>
      </c>
      <c r="AD169" t="n">
        <v>2.75</v>
      </c>
      <c r="AE169" t="n">
        <v>18.85</v>
      </c>
      <c r="AF169" t="n">
        <v>0.432</v>
      </c>
      <c r="AG169" t="inlineStr">
        <is>
          <t>calculado</t>
        </is>
      </c>
      <c r="AH169" t="inlineStr"/>
      <c r="AI169" t="n">
        <v>9.800000000000001</v>
      </c>
      <c r="AJ169" t="inlineStr"/>
      <c r="AK169" t="inlineStr"/>
      <c r="AL169" t="inlineStr"/>
      <c r="AM169" t="inlineStr"/>
      <c r="AN169" t="inlineStr">
        <is>
          <t>pico (máximo τ en ~65 mm de recorrido)</t>
        </is>
      </c>
      <c r="AO169" t="n">
        <v>38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600</v>
      </c>
      <c r="AZ169" t="n">
        <v>468.1</v>
      </c>
      <c r="BA169" t="inlineStr">
        <is>
          <t>1;2</t>
        </is>
      </c>
      <c r="BB169" t="inlineStr">
        <is>
          <t>sí</t>
        </is>
      </c>
      <c r="BC169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1.921 g/cm³ = 90 % de la MDS Proctor (2.134 g/cm³); e0 calculado con Gs=2.75 (curva de saturación del Proctor); N° de muestra en el LSDS: I-1 al I-11; fechas 2024-07-08 / 2024-07-15; tipo_material no indicado: muestra de perforación en Botadero Este (Ruma 03 / Fase 10 A), 20-60 m; probablemente desmonte ROM de botadero, no confirmado por el informe; w inicial del LSDS (9.8 %) difiere del w del triaxial (8.0 %) con la misma ρd; el LSDS indica I-1 al I-11 (el TX indica I-1 al I-12)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1.921</v>
      </c>
      <c r="CL169" t="inlineStr"/>
      <c r="CM169" t="inlineStr"/>
      <c r="CN169" t="inlineStr"/>
      <c r="CO169" t="inlineStr"/>
      <c r="CP169" t="inlineStr"/>
      <c r="CQ169" t="n">
        <v>11.4</v>
      </c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>
        <is>
          <t>Verificado 2026-10-06 contra la imagen de p.1 y p.2: σn, τ pico, τ a 6,6 cm, ángulos secantes, c, φ, μ, alturas, w y ρd coinciden. Sr final recalculado con el Gs rotulado 2.75: 0.88. Sr final 0,88-0,96: saturación incompleta o Gs menor que el rotulado.</t>
        </is>
      </c>
      <c r="EK169" t="inlineStr">
        <is>
          <t>305 × 305</t>
        </is>
      </c>
      <c r="EL169" t="n">
        <v>451.8</v>
      </c>
      <c r="EM169" t="n">
        <v>37</v>
      </c>
      <c r="EN169" t="inlineStr"/>
      <c r="EO169" t="n">
        <v>0</v>
      </c>
      <c r="EP169" t="n">
        <v>38.1</v>
      </c>
      <c r="EQ169" t="n">
        <v>0.67</v>
      </c>
      <c r="ER169" t="n">
        <v>0</v>
      </c>
      <c r="ES169" t="n">
        <v>36.5</v>
      </c>
      <c r="ET169" t="n">
        <v>0.64</v>
      </c>
      <c r="EU169" t="n">
        <v>169</v>
      </c>
      <c r="EV169" t="n">
        <v>2.026</v>
      </c>
      <c r="EW169" t="n">
        <v>0.88</v>
      </c>
      <c r="EX169" t="inlineStr">
        <is>
          <t>Corte directo CD</t>
        </is>
      </c>
      <c r="EY169" t="inlineStr">
        <is>
          <t>CD: τ pico</t>
        </is>
      </c>
      <c r="EZ169" t="inlineStr"/>
      <c r="FA169" t="inlineStr"/>
      <c r="FB169" t="inlineStr"/>
      <c r="FC169" t="n">
        <v>37.96016753565569</v>
      </c>
      <c r="FD169" t="n">
        <v>600</v>
      </c>
      <c r="FE169" t="n">
        <v>468.1</v>
      </c>
      <c r="FF169" t="inlineStr">
        <is>
          <t>media (240–305 mm)</t>
        </is>
      </c>
      <c r="FG169" t="n">
        <v>12.00787401574803</v>
      </c>
      <c r="FH169" t="inlineStr">
        <is>
          <t>ROM</t>
        </is>
      </c>
      <c r="FI169" t="inlineStr">
        <is>
          <t>criterio experto: rumas perforadas en el Botadero Este (desmonte depositado por camión) y pilas experimentales</t>
        </is>
      </c>
      <c r="FJ169" t="n">
        <v>0</v>
      </c>
      <c r="FK169" t="inlineStr"/>
      <c r="FL169" t="inlineStr"/>
      <c r="FM169" t="inlineStr">
        <is>
          <t>A</t>
        </is>
      </c>
      <c r="FN169" t="n">
        <v>0.4101294545454546</v>
      </c>
      <c r="FO169" t="inlineStr">
        <is>
          <t>recalculado con Gs adoptado</t>
        </is>
      </c>
      <c r="FP169" t="n">
        <v>2.708</v>
      </c>
      <c r="FQ169" t="inlineStr">
        <is>
          <t>Gs de sólidos por litología (Golder 2010); el Gs rotulado en el Proctor (2.74–3.06) no fue ensayado</t>
        </is>
      </c>
      <c r="FR169" t="inlineStr">
        <is>
          <t>A2024DS-167</t>
        </is>
      </c>
      <c r="FS169" t="inlineStr">
        <is>
          <t>A2024DS|Ruma 03 / Fase 10 A (I-1 al I-12)</t>
        </is>
      </c>
    </row>
    <row r="170">
      <c r="A170" t="inlineStr">
        <is>
          <t>A2024DS</t>
        </is>
      </c>
      <c r="B170" t="inlineStr">
        <is>
          <t>Intrusivo I-1 al I-12 LSDS.pdf</t>
        </is>
      </c>
      <c r="C170" t="n">
        <v>2024</v>
      </c>
      <c r="D170" t="inlineStr">
        <is>
          <t>Anddes Geolab SAC; solicitud EPE-23.10.141; informe EPE-23.10141_26al43_200_R0_LSDS</t>
        </is>
      </c>
      <c r="E170" t="inlineStr">
        <is>
          <t>Anddes Geolab SAC</t>
        </is>
      </c>
      <c r="F170" t="inlineStr">
        <is>
          <t>Ruma 03 / Fase 10 A (I-1 al I-12)</t>
        </is>
      </c>
      <c r="G170" t="inlineStr">
        <is>
          <t>Ensayo 3 (σn 1200 kPa)</t>
        </is>
      </c>
      <c r="H170" t="inlineStr">
        <is>
          <t>Intrusivo</t>
        </is>
      </c>
      <c r="I170" t="inlineStr">
        <is>
          <t>Intrusivo</t>
        </is>
      </c>
      <c r="J170" t="inlineStr"/>
      <c r="K170" t="inlineStr"/>
      <c r="L170" t="inlineStr"/>
      <c r="M170" t="inlineStr"/>
      <c r="N170" t="inlineStr"/>
      <c r="O170" t="inlineStr">
        <is>
          <t>corte directo CD gran escala (ASTM D3080/D3080M-23)</t>
        </is>
      </c>
      <c r="P170" t="inlineStr">
        <is>
          <t>no confirmado («saturados durante el ensayo, salvo excepciones», p.2)</t>
        </is>
      </c>
      <c r="Q170" t="n">
        <v>305</v>
      </c>
      <c r="R170" t="n">
        <v>178</v>
      </c>
      <c r="S170" t="n">
        <v>25.4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no informado; TM de ensayo 1 in (p.2). La MDS de referencia (90 %) es la del Proctor sobre la fracción &lt; 19 mm (3/4 in), inferido de la corrección por sobretamaño</t>
        </is>
      </c>
      <c r="AD170" t="n">
        <v>2.75</v>
      </c>
      <c r="AE170" t="n">
        <v>18.85</v>
      </c>
      <c r="AF170" t="n">
        <v>0.432</v>
      </c>
      <c r="AG170" t="inlineStr">
        <is>
          <t>calculado</t>
        </is>
      </c>
      <c r="AH170" t="inlineStr"/>
      <c r="AI170" t="n">
        <v>9.800000000000001</v>
      </c>
      <c r="AJ170" t="inlineStr"/>
      <c r="AK170" t="inlineStr"/>
      <c r="AL170" t="inlineStr"/>
      <c r="AM170" t="inlineStr"/>
      <c r="AN170" t="inlineStr">
        <is>
          <t>pico (máximo τ en ~65 mm de recorrido)</t>
        </is>
      </c>
      <c r="AO170" t="n">
        <v>38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1200</v>
      </c>
      <c r="AZ170" t="n">
        <v>945.1</v>
      </c>
      <c r="BA170" t="inlineStr">
        <is>
          <t>1;2</t>
        </is>
      </c>
      <c r="BB170" t="inlineStr">
        <is>
          <t>sí</t>
        </is>
      </c>
      <c r="BC170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1.921 g/cm³ = 90 % de la MDS Proctor (2.134 g/cm³); e0 calculado con Gs=2.75 (curva de saturación del Proctor); N° de muestra en el LSDS: I-1 al I-11; fechas 2024-07-08 / 2024-07-15; tipo_material no indicado: muestra de perforación en Botadero Este (Ruma 03 / Fase 10 A), 20-60 m; probablemente desmonte ROM de botadero, no confirmado por el informe; w inicial del LSDS (9.8 %) difiere del w del triaxial (8.0 %) con la misma ρd; el LSDS indica I-1 al I-11 (el TX indica I-1 al I-12)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1.921</v>
      </c>
      <c r="CL170" t="inlineStr"/>
      <c r="CM170" t="inlineStr"/>
      <c r="CN170" t="inlineStr"/>
      <c r="CO170" t="inlineStr"/>
      <c r="CP170" t="inlineStr"/>
      <c r="CQ170" t="n">
        <v>11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>
        <is>
          <t>Verificado 2026-10-06 contra la imagen de p.1 y p.2: σn, τ pico, τ a 6,6 cm, ángulos secantes, c, φ, μ, alturas, w y ρd coinciden. Sr final recalculado con el Gs rotulado 2.75: 0.96. Sr final 0,88-0,96: saturación incompleta o Gs menor que el rotulado.</t>
        </is>
      </c>
      <c r="EK170" t="inlineStr">
        <is>
          <t>305 × 305</t>
        </is>
      </c>
      <c r="EL170" t="n">
        <v>885.6</v>
      </c>
      <c r="EM170" t="n">
        <v>36</v>
      </c>
      <c r="EN170" t="inlineStr"/>
      <c r="EO170" t="n">
        <v>0</v>
      </c>
      <c r="EP170" t="n">
        <v>38.1</v>
      </c>
      <c r="EQ170" t="n">
        <v>0.67</v>
      </c>
      <c r="ER170" t="n">
        <v>0</v>
      </c>
      <c r="ES170" t="n">
        <v>36.5</v>
      </c>
      <c r="ET170" t="n">
        <v>0.64</v>
      </c>
      <c r="EU170" t="n">
        <v>163</v>
      </c>
      <c r="EV170" t="n">
        <v>2.091</v>
      </c>
      <c r="EW170" t="n">
        <v>0.96</v>
      </c>
      <c r="EX170" t="inlineStr">
        <is>
          <t>Corte directo CD</t>
        </is>
      </c>
      <c r="EY170" t="inlineStr">
        <is>
          <t>CD: τ pico</t>
        </is>
      </c>
      <c r="EZ170" t="inlineStr"/>
      <c r="FA170" t="inlineStr"/>
      <c r="FB170" t="inlineStr"/>
      <c r="FC170" t="n">
        <v>38.22337896499996</v>
      </c>
      <c r="FD170" t="n">
        <v>1200</v>
      </c>
      <c r="FE170" t="n">
        <v>945.1</v>
      </c>
      <c r="FF170" t="inlineStr">
        <is>
          <t>media (240–305 mm)</t>
        </is>
      </c>
      <c r="FG170" t="n">
        <v>12.00787401574803</v>
      </c>
      <c r="FH170" t="inlineStr">
        <is>
          <t>ROM</t>
        </is>
      </c>
      <c r="FI170" t="inlineStr">
        <is>
          <t>criterio experto: rumas perforadas en el Botadero Este (desmonte depositado por camión) y pilas experimentales</t>
        </is>
      </c>
      <c r="FJ170" t="n">
        <v>0</v>
      </c>
      <c r="FK170" t="inlineStr"/>
      <c r="FL170" t="inlineStr"/>
      <c r="FM170" t="inlineStr">
        <is>
          <t>A</t>
        </is>
      </c>
      <c r="FN170" t="n">
        <v>0.4101294545454546</v>
      </c>
      <c r="FO170" t="inlineStr">
        <is>
          <t>recalculado con Gs adoptado</t>
        </is>
      </c>
      <c r="FP170" t="n">
        <v>2.708</v>
      </c>
      <c r="FQ170" t="inlineStr">
        <is>
          <t>Gs de sólidos por litología (Golder 2010); el Gs rotulado en el Proctor (2.74–3.06) no fue ensayado</t>
        </is>
      </c>
      <c r="FR170" t="inlineStr">
        <is>
          <t>A2024DS-168</t>
        </is>
      </c>
      <c r="FS170" t="inlineStr">
        <is>
          <t>A2024DS|Ruma 03 / Fase 10 A (I-1 al I-12)</t>
        </is>
      </c>
    </row>
    <row r="171">
      <c r="A171" t="inlineStr">
        <is>
          <t>A2024DS</t>
        </is>
      </c>
      <c r="B171" t="inlineStr">
        <is>
          <t>Pila 01 Mármol + Hornfels LSDS.pdf</t>
        </is>
      </c>
      <c r="C171" t="n">
        <v>2024</v>
      </c>
      <c r="D171" t="inlineStr">
        <is>
          <t>Anddes Geolab SAC; solicitud EPE-23.10.141; informe EPE-23.10.141_1,2,3,4_110_R0_LSDS</t>
        </is>
      </c>
      <c r="E171" t="inlineStr">
        <is>
          <t>Anddes Geolab SAC</t>
        </is>
      </c>
      <c r="F171" t="inlineStr">
        <is>
          <t>Pila 01 (MP1-B-M-1, MP1-B-M2, MP1-B-M3, MP1-H-Material B)</t>
        </is>
      </c>
      <c r="G171" t="inlineStr">
        <is>
          <t>Ensayo 1 (σn 300 kPa)</t>
        </is>
      </c>
      <c r="H171" t="inlineStr">
        <is>
          <t>Mármol + Hornfels</t>
        </is>
      </c>
      <c r="I171" t="inlineStr">
        <is>
          <t>Mezcla</t>
        </is>
      </c>
      <c r="J171" t="inlineStr"/>
      <c r="K171" t="inlineStr">
        <is>
          <t>Mármol + Hornfels, proporción no indicada</t>
        </is>
      </c>
      <c r="L171" t="inlineStr"/>
      <c r="M171" t="inlineStr"/>
      <c r="N171" t="inlineStr">
        <is>
          <t>B (inferido de «Material B» en el N° de muestra)</t>
        </is>
      </c>
      <c r="O171" t="inlineStr">
        <is>
          <t>corte directo CD gran escala (ASTM D3080/D3080M-23)</t>
        </is>
      </c>
      <c r="P171" t="inlineStr">
        <is>
          <t>no confirmado («saturados durante el ensayo, salvo excepciones», p.2)</t>
        </is>
      </c>
      <c r="Q171" t="n">
        <v>305</v>
      </c>
      <c r="R171" t="n">
        <v>178</v>
      </c>
      <c r="S171" t="n">
        <v>25.4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no informado; TM de ensayo 1 in (p.2). La MDS de referencia (90 %) es la del Proctor sobre la fracción &lt; 19 mm (3/4 in), inferido de la corrección por sobretamaño</t>
        </is>
      </c>
      <c r="AD171" t="n">
        <v>2.9</v>
      </c>
      <c r="AE171" t="n">
        <v>20.54</v>
      </c>
      <c r="AF171" t="n">
        <v>0.385</v>
      </c>
      <c r="AG171" t="inlineStr">
        <is>
          <t>calculado</t>
        </is>
      </c>
      <c r="AH171" t="inlineStr"/>
      <c r="AI171" t="n">
        <v>7.4</v>
      </c>
      <c r="AJ171" t="inlineStr"/>
      <c r="AK171" t="inlineStr"/>
      <c r="AL171" t="inlineStr"/>
      <c r="AM171" t="inlineStr"/>
      <c r="AN171" t="inlineStr">
        <is>
          <t>pico (máximo τ en ~65 mm de recorrido)</t>
        </is>
      </c>
      <c r="AO171" t="n">
        <v>50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300</v>
      </c>
      <c r="AZ171" t="n">
        <v>356.3</v>
      </c>
      <c r="BA171" t="inlineStr">
        <is>
          <t>1;2</t>
        </is>
      </c>
      <c r="BB171" t="inlineStr">
        <is>
          <t>sí</t>
        </is>
      </c>
      <c r="BC171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2.094 g/cm³ = 90 % de la MDS Proctor (2.327 g/cm³); e0 calculado con Gs=2.9 (curva de saturación del Proctor); N° de muestra en el LSDS: MP1-B-M-1, MP1-B-M2, MP1-B-M3, MP1-H-Material B; fechas 2024-10-15 / 2024-10-25; tipo_material no indicado: material de «Pilas Experimentales Medio Ambiente»; el informe no dice si es ROM, Chancado o Enrocado; σn máximo 1000 kPa (no 1200 kPa como en las demás series); c = 109,6 kPa de la envolvente lineal refleja curvatura (φ secante 50° a 300 kPa)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2.094</v>
      </c>
      <c r="CL171" t="inlineStr"/>
      <c r="CM171" t="inlineStr"/>
      <c r="CN171" t="inlineStr"/>
      <c r="CO171" t="inlineStr"/>
      <c r="CP171" t="inlineStr"/>
      <c r="CQ171" t="n">
        <v>8.5</v>
      </c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>
        <is>
          <t>Verificado 2026-10-06 contra la imagen de p.1 y p.2: σn, τ pico, τ a 6,6 cm, ángulos secantes, c, φ, μ, alturas, w y ρd coinciden. Sr final recalculado con el Gs rotulado 2.9: 0.76. Sr final 0,73-0,81 y, en P1 a 1000 kPa, w final = w inicial (7,40 %): no hay evidencia de saturación.</t>
        </is>
      </c>
      <c r="EK171" t="inlineStr">
        <is>
          <t>305 × 305</t>
        </is>
      </c>
      <c r="EL171" t="n">
        <v>340</v>
      </c>
      <c r="EM171" t="n">
        <v>49</v>
      </c>
      <c r="EN171" t="inlineStr"/>
      <c r="EO171" t="n">
        <v>109.6</v>
      </c>
      <c r="EP171" t="n">
        <v>40.1</v>
      </c>
      <c r="EQ171" t="n">
        <v>0.7</v>
      </c>
      <c r="ER171" t="n">
        <v>100</v>
      </c>
      <c r="ES171" t="n">
        <v>40</v>
      </c>
      <c r="ET171" t="n">
        <v>0.7</v>
      </c>
      <c r="EU171" t="n">
        <v>170</v>
      </c>
      <c r="EV171" t="n">
        <v>2.191</v>
      </c>
      <c r="EW171" t="n">
        <v>0.76</v>
      </c>
      <c r="EX171" t="inlineStr">
        <is>
          <t>Corte directo CD</t>
        </is>
      </c>
      <c r="EY171" t="inlineStr">
        <is>
          <t>CD: τ pico</t>
        </is>
      </c>
      <c r="EZ171" t="inlineStr"/>
      <c r="FA171" t="inlineStr"/>
      <c r="FB171" t="inlineStr"/>
      <c r="FC171" t="n">
        <v>49.90305423529787</v>
      </c>
      <c r="FD171" t="n">
        <v>300</v>
      </c>
      <c r="FE171" t="n">
        <v>356.3</v>
      </c>
      <c r="FF171" t="inlineStr">
        <is>
          <t>media (240–305 mm)</t>
        </is>
      </c>
      <c r="FG171" t="n">
        <v>12.00787401574803</v>
      </c>
      <c r="FH171" t="inlineStr">
        <is>
          <t>ROM</t>
        </is>
      </c>
      <c r="FI171" t="inlineStr">
        <is>
          <t>criterio experto: rumas perforadas en el Botadero Este (desmonte depositado por camión) y pilas experimentales</t>
        </is>
      </c>
      <c r="FJ171" t="n">
        <v>0</v>
      </c>
      <c r="FK171" t="inlineStr"/>
      <c r="FL171" t="inlineStr"/>
      <c r="FM171" t="inlineStr">
        <is>
          <t>A</t>
        </is>
      </c>
      <c r="FN171" t="n">
        <v>0.385</v>
      </c>
      <c r="FO171" t="inlineStr"/>
      <c r="FP171" t="n">
        <v>2.9</v>
      </c>
      <c r="FQ171" t="inlineStr">
        <is>
          <t>informe o verificación</t>
        </is>
      </c>
      <c r="FR171" t="inlineStr">
        <is>
          <t>A2024DS-169</t>
        </is>
      </c>
      <c r="FS171" t="inlineStr">
        <is>
          <t>A2024DS|Pila 01 (MP1-B-M-1, MP1-B-M2, MP1-B-M3, MP1-H-Material B)</t>
        </is>
      </c>
    </row>
    <row r="172">
      <c r="A172" t="inlineStr">
        <is>
          <t>A2024DS</t>
        </is>
      </c>
      <c r="B172" t="inlineStr">
        <is>
          <t>Pila 01 Mármol + Hornfels LSDS.pdf</t>
        </is>
      </c>
      <c r="C172" t="n">
        <v>2024</v>
      </c>
      <c r="D172" t="inlineStr">
        <is>
          <t>Anddes Geolab SAC; solicitud EPE-23.10.141; informe EPE-23.10.141_1,2,3,4_110_R0_LSDS</t>
        </is>
      </c>
      <c r="E172" t="inlineStr">
        <is>
          <t>Anddes Geolab SAC</t>
        </is>
      </c>
      <c r="F172" t="inlineStr">
        <is>
          <t>Pila 01 (MP1-B-M-1, MP1-B-M2, MP1-B-M3, MP1-H-Material B)</t>
        </is>
      </c>
      <c r="G172" t="inlineStr">
        <is>
          <t>Ensayo 2 (σn 600 kPa)</t>
        </is>
      </c>
      <c r="H172" t="inlineStr">
        <is>
          <t>Mármol + Hornfels</t>
        </is>
      </c>
      <c r="I172" t="inlineStr">
        <is>
          <t>Mezcla</t>
        </is>
      </c>
      <c r="J172" t="inlineStr"/>
      <c r="K172" t="inlineStr">
        <is>
          <t>Mármol + Hornfels, proporción no indicada</t>
        </is>
      </c>
      <c r="L172" t="inlineStr"/>
      <c r="M172" t="inlineStr"/>
      <c r="N172" t="inlineStr">
        <is>
          <t>B (inferido de «Material B» en el N° de muestra)</t>
        </is>
      </c>
      <c r="O172" t="inlineStr">
        <is>
          <t>corte directo CD gran escala (ASTM D3080/D3080M-23)</t>
        </is>
      </c>
      <c r="P172" t="inlineStr">
        <is>
          <t>no confirmado («saturados durante el ensayo, salvo excepciones», p.2)</t>
        </is>
      </c>
      <c r="Q172" t="n">
        <v>305</v>
      </c>
      <c r="R172" t="n">
        <v>178</v>
      </c>
      <c r="S172" t="n">
        <v>25.4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no informado; TM de ensayo 1 in (p.2). La MDS de referencia (90 %) es la del Proctor sobre la fracción &lt; 19 mm (3/4 in), inferido de la corrección por sobretamaño</t>
        </is>
      </c>
      <c r="AD172" t="n">
        <v>2.9</v>
      </c>
      <c r="AE172" t="n">
        <v>20.54</v>
      </c>
      <c r="AF172" t="n">
        <v>0.385</v>
      </c>
      <c r="AG172" t="inlineStr">
        <is>
          <t>calculado</t>
        </is>
      </c>
      <c r="AH172" t="inlineStr"/>
      <c r="AI172" t="n">
        <v>7.4</v>
      </c>
      <c r="AJ172" t="inlineStr"/>
      <c r="AK172" t="inlineStr"/>
      <c r="AL172" t="inlineStr"/>
      <c r="AM172" t="inlineStr"/>
      <c r="AN172" t="inlineStr">
        <is>
          <t>pico (máximo τ en ~65 mm de recorrido)</t>
        </is>
      </c>
      <c r="AO172" t="n">
        <v>46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n">
        <v>600</v>
      </c>
      <c r="AZ172" t="n">
        <v>625.3</v>
      </c>
      <c r="BA172" t="inlineStr">
        <is>
          <t>1;2</t>
        </is>
      </c>
      <c r="BB172" t="inlineStr">
        <is>
          <t>sí</t>
        </is>
      </c>
      <c r="BC172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2.094 g/cm³ = 90 % de la MDS Proctor (2.327 g/cm³); e0 calculado con Gs=2.9 (curva de saturación del Proctor); N° de muestra en el LSDS: MP1-B-M-1, MP1-B-M2, MP1-B-M3, MP1-H-Material B; fechas 2024-10-15 / 2024-10-25; tipo_material no indicado: material de «Pilas Experimentales Medio Ambiente»; el informe no dice si es ROM, Chancado o Enrocado; σn máximo 1000 kPa (no 1200 kPa como en las demás series); c = 109,6 kPa de la envolvente lineal refleja curvatura (φ secante 50° a 300 kPa)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2.094</v>
      </c>
      <c r="CL172" t="inlineStr"/>
      <c r="CM172" t="inlineStr"/>
      <c r="CN172" t="inlineStr"/>
      <c r="CO172" t="inlineStr"/>
      <c r="CP172" t="inlineStr"/>
      <c r="CQ172" t="n">
        <v>8</v>
      </c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>
        <is>
          <t>Verificado 2026-10-06 contra la imagen de p.1 y p.2: σn, τ pico, τ a 6,6 cm, ángulos secantes, c, φ, μ, alturas, w y ρd coinciden. Sr final recalculado con el Gs rotulado 2.9: 0.80. Sr final 0,73-0,81 y, en P1 a 1000 kPa, w final = w inicial (7,40 %): no hay evidencia de saturación.</t>
        </is>
      </c>
      <c r="EK172" t="inlineStr">
        <is>
          <t>305 × 305</t>
        </is>
      </c>
      <c r="EL172" t="n">
        <v>625.3</v>
      </c>
      <c r="EM172" t="n">
        <v>46</v>
      </c>
      <c r="EN172" t="inlineStr"/>
      <c r="EO172" t="n">
        <v>109.6</v>
      </c>
      <c r="EP172" t="n">
        <v>40.1</v>
      </c>
      <c r="EQ172" t="n">
        <v>0.7</v>
      </c>
      <c r="ER172" t="n">
        <v>100</v>
      </c>
      <c r="ES172" t="n">
        <v>40</v>
      </c>
      <c r="ET172" t="n">
        <v>0.7</v>
      </c>
      <c r="EU172" t="n">
        <v>166</v>
      </c>
      <c r="EV172" t="n">
        <v>2.248</v>
      </c>
      <c r="EW172" t="n">
        <v>0.8</v>
      </c>
      <c r="EX172" t="inlineStr">
        <is>
          <t>Corte directo CD</t>
        </is>
      </c>
      <c r="EY172" t="inlineStr">
        <is>
          <t>CD: τ pico</t>
        </is>
      </c>
      <c r="EZ172" t="inlineStr"/>
      <c r="FA172" t="inlineStr"/>
      <c r="FB172" t="inlineStr"/>
      <c r="FC172" t="n">
        <v>46.18287543394557</v>
      </c>
      <c r="FD172" t="n">
        <v>600</v>
      </c>
      <c r="FE172" t="n">
        <v>625.3</v>
      </c>
      <c r="FF172" t="inlineStr">
        <is>
          <t>media (240–305 mm)</t>
        </is>
      </c>
      <c r="FG172" t="n">
        <v>12.00787401574803</v>
      </c>
      <c r="FH172" t="inlineStr">
        <is>
          <t>ROM</t>
        </is>
      </c>
      <c r="FI172" t="inlineStr">
        <is>
          <t>criterio experto: rumas perforadas en el Botadero Este (desmonte depositado por camión) y pilas experimentales</t>
        </is>
      </c>
      <c r="FJ172" t="n">
        <v>0</v>
      </c>
      <c r="FK172" t="inlineStr"/>
      <c r="FL172" t="inlineStr"/>
      <c r="FM172" t="inlineStr">
        <is>
          <t>A</t>
        </is>
      </c>
      <c r="FN172" t="n">
        <v>0.385</v>
      </c>
      <c r="FO172" t="inlineStr"/>
      <c r="FP172" t="n">
        <v>2.9</v>
      </c>
      <c r="FQ172" t="inlineStr">
        <is>
          <t>informe o verificación</t>
        </is>
      </c>
      <c r="FR172" t="inlineStr">
        <is>
          <t>A2024DS-170</t>
        </is>
      </c>
      <c r="FS172" t="inlineStr">
        <is>
          <t>A2024DS|Pila 01 (MP1-B-M-1, MP1-B-M2, MP1-B-M3, MP1-H-Material B)</t>
        </is>
      </c>
    </row>
    <row r="173">
      <c r="A173" t="inlineStr">
        <is>
          <t>A2024DS</t>
        </is>
      </c>
      <c r="B173" t="inlineStr">
        <is>
          <t>Pila 01 Mármol + Hornfels LSDS.pdf</t>
        </is>
      </c>
      <c r="C173" t="n">
        <v>2024</v>
      </c>
      <c r="D173" t="inlineStr">
        <is>
          <t>Anddes Geolab SAC; solicitud EPE-23.10.141; informe EPE-23.10.141_1,2,3,4_110_R0_LSDS</t>
        </is>
      </c>
      <c r="E173" t="inlineStr">
        <is>
          <t>Anddes Geolab SAC</t>
        </is>
      </c>
      <c r="F173" t="inlineStr">
        <is>
          <t>Pila 01 (MP1-B-M-1, MP1-B-M2, MP1-B-M3, MP1-H-Material B)</t>
        </is>
      </c>
      <c r="G173" t="inlineStr">
        <is>
          <t>Ensayo 3 (σn 1000 kPa)</t>
        </is>
      </c>
      <c r="H173" t="inlineStr">
        <is>
          <t>Mármol + Hornfels</t>
        </is>
      </c>
      <c r="I173" t="inlineStr">
        <is>
          <t>Mezcla</t>
        </is>
      </c>
      <c r="J173" t="inlineStr"/>
      <c r="K173" t="inlineStr">
        <is>
          <t>Mármol + Hornfels, proporción no indicada</t>
        </is>
      </c>
      <c r="L173" t="inlineStr"/>
      <c r="M173" t="inlineStr"/>
      <c r="N173" t="inlineStr">
        <is>
          <t>B (inferido de «Material B» en el N° de muestra)</t>
        </is>
      </c>
      <c r="O173" t="inlineStr">
        <is>
          <t>corte directo CD gran escala (ASTM D3080/D3080M-23)</t>
        </is>
      </c>
      <c r="P173" t="inlineStr">
        <is>
          <t>no confirmado («saturados durante el ensayo, salvo excepciones», p.2)</t>
        </is>
      </c>
      <c r="Q173" t="n">
        <v>305</v>
      </c>
      <c r="R173" t="n">
        <v>178</v>
      </c>
      <c r="S173" t="n">
        <v>25.4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no informado; TM de ensayo 1 in (p.2). La MDS de referencia (90 %) es la del Proctor sobre la fracción &lt; 19 mm (3/4 in), inferido de la corrección por sobretamaño</t>
        </is>
      </c>
      <c r="AD173" t="n">
        <v>2.9</v>
      </c>
      <c r="AE173" t="n">
        <v>20.54</v>
      </c>
      <c r="AF173" t="n">
        <v>0.385</v>
      </c>
      <c r="AG173" t="inlineStr">
        <is>
          <t>calculado</t>
        </is>
      </c>
      <c r="AH173" t="inlineStr"/>
      <c r="AI173" t="n">
        <v>7.4</v>
      </c>
      <c r="AJ173" t="inlineStr"/>
      <c r="AK173" t="inlineStr"/>
      <c r="AL173" t="inlineStr"/>
      <c r="AM173" t="inlineStr"/>
      <c r="AN173" t="inlineStr">
        <is>
          <t>pico (máximo τ en ~65 mm de recorrido)</t>
        </is>
      </c>
      <c r="AO173" t="n">
        <v>43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1000</v>
      </c>
      <c r="AZ173" t="n">
        <v>947.3</v>
      </c>
      <c r="BA173" t="inlineStr">
        <is>
          <t>1;2</t>
        </is>
      </c>
      <c r="BB173" t="inlineStr">
        <is>
          <t>sí</t>
        </is>
      </c>
      <c r="BC173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2.094 g/cm³ = 90 % de la MDS Proctor (2.327 g/cm³); e0 calculado con Gs=2.9 (curva de saturación del Proctor); N° de muestra en el LSDS: MP1-B-M-1, MP1-B-M2, MP1-B-M3, MP1-H-Material B; fechas 2024-10-15 / 2024-10-25; tipo_material no indicado: material de «Pilas Experimentales Medio Ambiente»; el informe no dice si es ROM, Chancado o Enrocado; σn máximo 1000 kPa (no 1200 kPa como en las demás series); c = 109,6 kPa de la envolvente lineal refleja curvatura (φ secante 50° a 300 kPa)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2.094</v>
      </c>
      <c r="CL173" t="inlineStr"/>
      <c r="CM173" t="inlineStr"/>
      <c r="CN173" t="inlineStr"/>
      <c r="CO173" t="inlineStr"/>
      <c r="CP173" t="inlineStr"/>
      <c r="CQ173" t="n">
        <v>7.4</v>
      </c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>
        <is>
          <t>Verificado 2026-10-06 contra la imagen de p.1 y p.2: σn, τ pico, τ a 6,6 cm, ángulos secantes, c, φ, μ, alturas, w y ρd coinciden. Sr final recalculado con el Gs rotulado 2.9: 0.81. Sr final 0,73-0,81 y, en P1 a 1000 kPa, w final = w inicial (7,40 %): no hay evidencia de saturación.</t>
        </is>
      </c>
      <c r="EK173" t="inlineStr">
        <is>
          <t>305 × 305</t>
        </is>
      </c>
      <c r="EL173" t="n">
        <v>931.2</v>
      </c>
      <c r="EM173" t="n">
        <v>43</v>
      </c>
      <c r="EN173" t="inlineStr"/>
      <c r="EO173" t="n">
        <v>109.6</v>
      </c>
      <c r="EP173" t="n">
        <v>40.1</v>
      </c>
      <c r="EQ173" t="n">
        <v>0.7</v>
      </c>
      <c r="ER173" t="n">
        <v>100</v>
      </c>
      <c r="ES173" t="n">
        <v>40</v>
      </c>
      <c r="ET173" t="n">
        <v>0.7</v>
      </c>
      <c r="EU173" t="n">
        <v>163</v>
      </c>
      <c r="EV173" t="n">
        <v>2.29</v>
      </c>
      <c r="EW173" t="n">
        <v>0.8100000000000001</v>
      </c>
      <c r="EX173" t="inlineStr">
        <is>
          <t>Corte directo CD</t>
        </is>
      </c>
      <c r="EY173" t="inlineStr">
        <is>
          <t>CD: τ pico</t>
        </is>
      </c>
      <c r="EZ173" t="inlineStr"/>
      <c r="FA173" t="inlineStr"/>
      <c r="FB173" t="inlineStr"/>
      <c r="FC173" t="n">
        <v>43.44977623664354</v>
      </c>
      <c r="FD173" t="n">
        <v>1000</v>
      </c>
      <c r="FE173" t="n">
        <v>947.3</v>
      </c>
      <c r="FF173" t="inlineStr">
        <is>
          <t>media (240–305 mm)</t>
        </is>
      </c>
      <c r="FG173" t="n">
        <v>12.00787401574803</v>
      </c>
      <c r="FH173" t="inlineStr">
        <is>
          <t>ROM</t>
        </is>
      </c>
      <c r="FI173" t="inlineStr">
        <is>
          <t>criterio experto: rumas perforadas en el Botadero Este (desmonte depositado por camión) y pilas experimentales</t>
        </is>
      </c>
      <c r="FJ173" t="n">
        <v>0</v>
      </c>
      <c r="FK173" t="inlineStr"/>
      <c r="FL173" t="inlineStr"/>
      <c r="FM173" t="inlineStr">
        <is>
          <t>A</t>
        </is>
      </c>
      <c r="FN173" t="n">
        <v>0.385</v>
      </c>
      <c r="FO173" t="inlineStr"/>
      <c r="FP173" t="n">
        <v>2.9</v>
      </c>
      <c r="FQ173" t="inlineStr">
        <is>
          <t>informe o verificación</t>
        </is>
      </c>
      <c r="FR173" t="inlineStr">
        <is>
          <t>A2024DS-171</t>
        </is>
      </c>
      <c r="FS173" t="inlineStr">
        <is>
          <t>A2024DS|Pila 01 (MP1-B-M-1, MP1-B-M2, MP1-B-M3, MP1-H-Material B)</t>
        </is>
      </c>
    </row>
    <row r="174">
      <c r="A174" t="inlineStr">
        <is>
          <t>A2024DS</t>
        </is>
      </c>
      <c r="B174" t="inlineStr">
        <is>
          <t>Pila 02 Intrusivo LSDS.pdf</t>
        </is>
      </c>
      <c r="C174" t="n">
        <v>2024</v>
      </c>
      <c r="D174" t="inlineStr">
        <is>
          <t>Anddes Geolab SAC; solicitud EPE-23.10.141; informe EPE-23.10.141_5,6,7,8,9,10_110_R0_SUCS (sic, impreso así en el LSDS)</t>
        </is>
      </c>
      <c r="E174" t="inlineStr">
        <is>
          <t>Anddes Geolab SAC</t>
        </is>
      </c>
      <c r="F174" t="inlineStr">
        <is>
          <t>Pila 02 (MP2-A-M-1 a MP2-A-M-5, MP2-H-Material A)</t>
        </is>
      </c>
      <c r="G174" t="inlineStr">
        <is>
          <t>Ensayo 1 (σn 300 kPa)</t>
        </is>
      </c>
      <c r="H174" t="inlineStr">
        <is>
          <t>Intrusivo</t>
        </is>
      </c>
      <c r="I174" t="inlineStr">
        <is>
          <t>Intrusivo</t>
        </is>
      </c>
      <c r="J174" t="inlineStr"/>
      <c r="K174" t="inlineStr"/>
      <c r="L174" t="inlineStr"/>
      <c r="M174" t="inlineStr"/>
      <c r="N174" t="inlineStr">
        <is>
          <t>A (inferido de «Material A» en el N° de muestra)</t>
        </is>
      </c>
      <c r="O174" t="inlineStr">
        <is>
          <t>corte directo CD gran escala (ASTM D3080/D3080M-23)</t>
        </is>
      </c>
      <c r="P174" t="inlineStr">
        <is>
          <t>no confirmado («saturados durante el ensayo, salvo excepciones», p.2)</t>
        </is>
      </c>
      <c r="Q174" t="n">
        <v>305</v>
      </c>
      <c r="R174" t="n">
        <v>178</v>
      </c>
      <c r="S174" t="n">
        <v>25.4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no informado; TM de ensayo 1 in (p.2). La MDS de referencia (90 %) es la del Proctor sobre la fracción &lt; 19 mm (3/4 in), inferido de la corrección por sobretamaño</t>
        </is>
      </c>
      <c r="AD174" t="n">
        <v>2.74</v>
      </c>
      <c r="AE174" t="n">
        <v>17.96</v>
      </c>
      <c r="AF174" t="n">
        <v>0.496</v>
      </c>
      <c r="AG174" t="inlineStr">
        <is>
          <t>calculado</t>
        </is>
      </c>
      <c r="AH174" t="inlineStr"/>
      <c r="AI174" t="n">
        <v>11.1</v>
      </c>
      <c r="AJ174" t="inlineStr"/>
      <c r="AK174" t="inlineStr"/>
      <c r="AL174" t="inlineStr"/>
      <c r="AM174" t="inlineStr"/>
      <c r="AN174" t="inlineStr">
        <is>
          <t>pico (máximo τ en ~65 mm de recorrido)</t>
        </is>
      </c>
      <c r="AO174" t="n">
        <v>50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300</v>
      </c>
      <c r="AZ174" t="n">
        <v>353.9</v>
      </c>
      <c r="BA174" t="inlineStr">
        <is>
          <t>1;2</t>
        </is>
      </c>
      <c r="BB174" t="inlineStr">
        <is>
          <t>sí</t>
        </is>
      </c>
      <c r="BC174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1.831 g/cm³ = 90 % de la MDS Proctor (2.034 g/cm³); e0 calculado con Gs=2.74 (curva de saturación del Proctor); N° de muestra en el LSDS: MP2-A-M-1 a MP2-A-M-5, MP2-H-Material A; fechas 2024-10-05 / 2024-10-15; tipo_material no indicado: material de «Pilas Experimentales Medio Ambiente»; el informe no dice si es ROM, Chancado o Enrocado; c = 161,1 kPa de la envolvente lineal refleja curvatura (φ secante 50° a 300 kPa); el N° de informe impreso termina en _SUCS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1.831</v>
      </c>
      <c r="CL174" t="inlineStr"/>
      <c r="CM174" t="inlineStr"/>
      <c r="CN174" t="inlineStr"/>
      <c r="CO174" t="inlineStr"/>
      <c r="CP174" t="inlineStr"/>
      <c r="CQ174" t="n">
        <v>11.7</v>
      </c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>
        <is>
          <t>Verificado 2026-10-06 contra la imagen de p.1 y p.2: σn, τ pico, τ a 6,6 cm, ángulos secantes, c, φ, μ, alturas, w y ρd coinciden. Sr final recalculado con el Gs rotulado 2.74: 0.73. Sr final 0,73-0,81 y, en P1 a 1000 kPa, w final = w inicial (7,40 %): no hay evidencia de saturación.</t>
        </is>
      </c>
      <c r="EK174" t="inlineStr">
        <is>
          <t>305 × 305</t>
        </is>
      </c>
      <c r="EL174" t="n">
        <v>349.1</v>
      </c>
      <c r="EM174" t="n">
        <v>49</v>
      </c>
      <c r="EN174" t="inlineStr"/>
      <c r="EO174" t="n">
        <v>161.1</v>
      </c>
      <c r="EP174" t="n">
        <v>36</v>
      </c>
      <c r="EQ174" t="n">
        <v>0.63</v>
      </c>
      <c r="ER174" t="n">
        <v>169.2</v>
      </c>
      <c r="ES174" t="n">
        <v>34.9</v>
      </c>
      <c r="ET174" t="n">
        <v>0.61</v>
      </c>
      <c r="EU174" t="n">
        <v>171</v>
      </c>
      <c r="EV174" t="n">
        <v>1.907</v>
      </c>
      <c r="EW174" t="n">
        <v>0.73</v>
      </c>
      <c r="EX174" t="inlineStr">
        <is>
          <t>Corte directo CD</t>
        </is>
      </c>
      <c r="EY174" t="inlineStr">
        <is>
          <t>CD: τ pico</t>
        </is>
      </c>
      <c r="EZ174" t="inlineStr"/>
      <c r="FA174" t="inlineStr"/>
      <c r="FB174" t="inlineStr"/>
      <c r="FC174" t="n">
        <v>49.71215259165457</v>
      </c>
      <c r="FD174" t="n">
        <v>300</v>
      </c>
      <c r="FE174" t="n">
        <v>353.9</v>
      </c>
      <c r="FF174" t="inlineStr">
        <is>
          <t>media (240–305 mm)</t>
        </is>
      </c>
      <c r="FG174" t="n">
        <v>12.00787401574803</v>
      </c>
      <c r="FH174" t="inlineStr">
        <is>
          <t>ROM</t>
        </is>
      </c>
      <c r="FI174" t="inlineStr">
        <is>
          <t>criterio experto: rumas perforadas en el Botadero Este (desmonte depositado por camión) y pilas experimentales</t>
        </is>
      </c>
      <c r="FJ174" t="n">
        <v>0</v>
      </c>
      <c r="FK174" t="inlineStr"/>
      <c r="FL174" t="inlineStr"/>
      <c r="FM174" t="inlineStr">
        <is>
          <t>A</t>
        </is>
      </c>
      <c r="FN174" t="n">
        <v>0.4785284671532848</v>
      </c>
      <c r="FO174" t="inlineStr">
        <is>
          <t>recalculado con Gs adoptado</t>
        </is>
      </c>
      <c r="FP174" t="n">
        <v>2.708</v>
      </c>
      <c r="FQ174" t="inlineStr">
        <is>
          <t>Gs de sólidos por litología (Golder 2010); el Gs rotulado en el Proctor (2.74–3.06) no fue ensayado</t>
        </is>
      </c>
      <c r="FR174" t="inlineStr">
        <is>
          <t>A2024DS-172</t>
        </is>
      </c>
      <c r="FS174" t="inlineStr">
        <is>
          <t>A2024DS|Pila 02 (MP2-A-M-1 a MP2-A-M-5, MP2-H-Material A)</t>
        </is>
      </c>
    </row>
    <row r="175">
      <c r="A175" t="inlineStr">
        <is>
          <t>A2024DS</t>
        </is>
      </c>
      <c r="B175" t="inlineStr">
        <is>
          <t>Pila 02 Intrusivo LSDS.pdf</t>
        </is>
      </c>
      <c r="C175" t="n">
        <v>2024</v>
      </c>
      <c r="D175" t="inlineStr">
        <is>
          <t>Anddes Geolab SAC; solicitud EPE-23.10.141; informe EPE-23.10.141_5,6,7,8,9,10_110_R0_SUCS (sic, impreso así en el LSDS)</t>
        </is>
      </c>
      <c r="E175" t="inlineStr">
        <is>
          <t>Anddes Geolab SAC</t>
        </is>
      </c>
      <c r="F175" t="inlineStr">
        <is>
          <t>Pila 02 (MP2-A-M-1 a MP2-A-M-5, MP2-H-Material A)</t>
        </is>
      </c>
      <c r="G175" t="inlineStr">
        <is>
          <t>Ensayo 2 (σn 600 kPa)</t>
        </is>
      </c>
      <c r="H175" t="inlineStr">
        <is>
          <t>Intrusivo</t>
        </is>
      </c>
      <c r="I175" t="inlineStr">
        <is>
          <t>Intrusivo</t>
        </is>
      </c>
      <c r="J175" t="inlineStr"/>
      <c r="K175" t="inlineStr"/>
      <c r="L175" t="inlineStr"/>
      <c r="M175" t="inlineStr"/>
      <c r="N175" t="inlineStr">
        <is>
          <t>A (inferido de «Material A» en el N° de muestra)</t>
        </is>
      </c>
      <c r="O175" t="inlineStr">
        <is>
          <t>corte directo CD gran escala (ASTM D3080/D3080M-23)</t>
        </is>
      </c>
      <c r="P175" t="inlineStr">
        <is>
          <t>no confirmado («saturados durante el ensayo, salvo excepciones», p.2)</t>
        </is>
      </c>
      <c r="Q175" t="n">
        <v>305</v>
      </c>
      <c r="R175" t="n">
        <v>178</v>
      </c>
      <c r="S175" t="n">
        <v>25.4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no informado; TM de ensayo 1 in (p.2). La MDS de referencia (90 %) es la del Proctor sobre la fracción &lt; 19 mm (3/4 in), inferido de la corrección por sobretamaño</t>
        </is>
      </c>
      <c r="AD175" t="n">
        <v>2.74</v>
      </c>
      <c r="AE175" t="n">
        <v>17.96</v>
      </c>
      <c r="AF175" t="n">
        <v>0.496</v>
      </c>
      <c r="AG175" t="inlineStr">
        <is>
          <t>calculado</t>
        </is>
      </c>
      <c r="AH175" t="inlineStr"/>
      <c r="AI175" t="n">
        <v>11.1</v>
      </c>
      <c r="AJ175" t="inlineStr"/>
      <c r="AK175" t="inlineStr"/>
      <c r="AL175" t="inlineStr"/>
      <c r="AM175" t="inlineStr"/>
      <c r="AN175" t="inlineStr">
        <is>
          <t>pico (máximo τ en ~65 mm de recorrido)</t>
        </is>
      </c>
      <c r="AO175" t="n">
        <v>47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600</v>
      </c>
      <c r="AZ175" t="n">
        <v>633.7</v>
      </c>
      <c r="BA175" t="inlineStr">
        <is>
          <t>1;2</t>
        </is>
      </c>
      <c r="BB175" t="inlineStr">
        <is>
          <t>sí</t>
        </is>
      </c>
      <c r="BC175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1.831 g/cm³ = 90 % de la MDS Proctor (2.034 g/cm³); e0 calculado con Gs=2.74 (curva de saturación del Proctor); N° de muestra en el LSDS: MP2-A-M-1 a MP2-A-M-5, MP2-H-Material A; fechas 2024-10-05 / 2024-10-15; tipo_material no indicado: material de «Pilas Experimentales Medio Ambiente»; el informe no dice si es ROM, Chancado o Enrocado; c = 161,1 kPa de la envolvente lineal refleja curvatura (φ secante 50° a 300 kPa); el N° de informe impreso termina en _SUCS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1.831</v>
      </c>
      <c r="CL175" t="inlineStr"/>
      <c r="CM175" t="inlineStr"/>
      <c r="CN175" t="inlineStr"/>
      <c r="CO175" t="inlineStr"/>
      <c r="CP175" t="inlineStr"/>
      <c r="CQ175" t="n">
        <v>11.4</v>
      </c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>
        <is>
          <t>Verificado 2026-10-06 contra la imagen de p.1 y p.2: σn, τ pico, τ a 6,6 cm, ángulos secantes, c, φ, μ, alturas, w y ρd coinciden. Sr final recalculado con el Gs rotulado 2.74: 0.76. Sr final 0,73-0,81 y, en P1 a 1000 kPa, w final = w inicial (7,40 %): no hay evidencia de saturación.</t>
        </is>
      </c>
      <c r="EK175" t="inlineStr">
        <is>
          <t>305 × 305</t>
        </is>
      </c>
      <c r="EL175" t="n">
        <v>631.7</v>
      </c>
      <c r="EM175" t="n">
        <v>46</v>
      </c>
      <c r="EN175" t="inlineStr"/>
      <c r="EO175" t="n">
        <v>161.1</v>
      </c>
      <c r="EP175" t="n">
        <v>36</v>
      </c>
      <c r="EQ175" t="n">
        <v>0.63</v>
      </c>
      <c r="ER175" t="n">
        <v>169.2</v>
      </c>
      <c r="ES175" t="n">
        <v>34.9</v>
      </c>
      <c r="ET175" t="n">
        <v>0.61</v>
      </c>
      <c r="EU175" t="n">
        <v>168</v>
      </c>
      <c r="EV175" t="n">
        <v>1.941</v>
      </c>
      <c r="EW175" t="n">
        <v>0.76</v>
      </c>
      <c r="EX175" t="inlineStr">
        <is>
          <t>Corte directo CD</t>
        </is>
      </c>
      <c r="EY175" t="inlineStr">
        <is>
          <t>CD: τ pico</t>
        </is>
      </c>
      <c r="EZ175" t="inlineStr"/>
      <c r="FA175" t="inlineStr"/>
      <c r="FB175" t="inlineStr"/>
      <c r="FC175" t="n">
        <v>46.5647140548166</v>
      </c>
      <c r="FD175" t="n">
        <v>600</v>
      </c>
      <c r="FE175" t="n">
        <v>633.7</v>
      </c>
      <c r="FF175" t="inlineStr">
        <is>
          <t>media (240–305 mm)</t>
        </is>
      </c>
      <c r="FG175" t="n">
        <v>12.00787401574803</v>
      </c>
      <c r="FH175" t="inlineStr">
        <is>
          <t>ROM</t>
        </is>
      </c>
      <c r="FI175" t="inlineStr">
        <is>
          <t>criterio experto: rumas perforadas en el Botadero Este (desmonte depositado por camión) y pilas experimentales</t>
        </is>
      </c>
      <c r="FJ175" t="n">
        <v>0</v>
      </c>
      <c r="FK175" t="inlineStr"/>
      <c r="FL175" t="inlineStr"/>
      <c r="FM175" t="inlineStr">
        <is>
          <t>A</t>
        </is>
      </c>
      <c r="FN175" t="n">
        <v>0.4785284671532848</v>
      </c>
      <c r="FO175" t="inlineStr">
        <is>
          <t>recalculado con Gs adoptado</t>
        </is>
      </c>
      <c r="FP175" t="n">
        <v>2.708</v>
      </c>
      <c r="FQ175" t="inlineStr">
        <is>
          <t>Gs de sólidos por litología (Golder 2010); el Gs rotulado en el Proctor (2.74–3.06) no fue ensayado</t>
        </is>
      </c>
      <c r="FR175" t="inlineStr">
        <is>
          <t>A2024DS-173</t>
        </is>
      </c>
      <c r="FS175" t="inlineStr">
        <is>
          <t>A2024DS|Pila 02 (MP2-A-M-1 a MP2-A-M-5, MP2-H-Material A)</t>
        </is>
      </c>
    </row>
    <row r="176">
      <c r="A176" t="inlineStr">
        <is>
          <t>A2024DS</t>
        </is>
      </c>
      <c r="B176" t="inlineStr">
        <is>
          <t>Pila 02 Intrusivo LSDS.pdf</t>
        </is>
      </c>
      <c r="C176" t="n">
        <v>2024</v>
      </c>
      <c r="D176" t="inlineStr">
        <is>
          <t>Anddes Geolab SAC; solicitud EPE-23.10.141; informe EPE-23.10.141_5,6,7,8,9,10_110_R0_SUCS (sic, impreso así en el LSDS)</t>
        </is>
      </c>
      <c r="E176" t="inlineStr">
        <is>
          <t>Anddes Geolab SAC</t>
        </is>
      </c>
      <c r="F176" t="inlineStr">
        <is>
          <t>Pila 02 (MP2-A-M-1 a MP2-A-M-5, MP2-H-Material A)</t>
        </is>
      </c>
      <c r="G176" t="inlineStr">
        <is>
          <t>Ensayo 3 (σn 1200 kPa)</t>
        </is>
      </c>
      <c r="H176" t="inlineStr">
        <is>
          <t>Intrusivo</t>
        </is>
      </c>
      <c r="I176" t="inlineStr">
        <is>
          <t>Intrusivo</t>
        </is>
      </c>
      <c r="J176" t="inlineStr"/>
      <c r="K176" t="inlineStr"/>
      <c r="L176" t="inlineStr"/>
      <c r="M176" t="inlineStr"/>
      <c r="N176" t="inlineStr">
        <is>
          <t>A (inferido de «Material A» en el N° de muestra)</t>
        </is>
      </c>
      <c r="O176" t="inlineStr">
        <is>
          <t>corte directo CD gran escala (ASTM D3080/D3080M-23)</t>
        </is>
      </c>
      <c r="P176" t="inlineStr">
        <is>
          <t>no confirmado («saturados durante el ensayo, salvo excepciones», p.2)</t>
        </is>
      </c>
      <c r="Q176" t="n">
        <v>305</v>
      </c>
      <c r="R176" t="n">
        <v>178</v>
      </c>
      <c r="S176" t="n">
        <v>25.4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no informado; TM de ensayo 1 in (p.2). La MDS de referencia (90 %) es la del Proctor sobre la fracción &lt; 19 mm (3/4 in), inferido de la corrección por sobretamaño</t>
        </is>
      </c>
      <c r="AD176" t="n">
        <v>2.74</v>
      </c>
      <c r="AE176" t="n">
        <v>17.96</v>
      </c>
      <c r="AF176" t="n">
        <v>0.496</v>
      </c>
      <c r="AG176" t="inlineStr">
        <is>
          <t>calculado</t>
        </is>
      </c>
      <c r="AH176" t="inlineStr"/>
      <c r="AI176" t="n">
        <v>11.1</v>
      </c>
      <c r="AJ176" t="inlineStr"/>
      <c r="AK176" t="inlineStr"/>
      <c r="AL176" t="inlineStr"/>
      <c r="AM176" t="inlineStr"/>
      <c r="AN176" t="inlineStr">
        <is>
          <t>pico (máximo τ en ~65 mm de recorrido)</t>
        </is>
      </c>
      <c r="AO176" t="n">
        <v>40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1200</v>
      </c>
      <c r="AZ176" t="n">
        <v>1019.2</v>
      </c>
      <c r="BA176" t="inlineStr">
        <is>
          <t>1;2</t>
        </is>
      </c>
      <c r="BB176" t="inlineStr">
        <is>
          <t>sí</t>
        </is>
      </c>
      <c r="BC176" t="inlineStr">
        <is>
          <t>Caja cuadrada 30,5 × 30,5 cm, altura 17,8 cm, TM 1 in; separación de cajas 1,0 mm; velocidad 0,5 mm/min; consolidación 16 h; Espécimen saturado durante el ensayo «salvo excepciones» (condición estándar del laboratorio); τ a 6,6 cm es el valor a gran desplazamiento informado; no es residual verdadero (no hay inversión de caja); ρd inicial 1.831 g/cm³ = 90 % de la MDS Proctor (2.034 g/cm³); e0 calculado con Gs=2.74 (curva de saturación del Proctor); N° de muestra en el LSDS: MP2-A-M-1 a MP2-A-M-5, MP2-H-Material A; fechas 2024-10-05 / 2024-10-15; tipo_material no indicado: material de «Pilas Experimentales Medio Ambiente»; el informe no dice si es ROM, Chancado o Enrocado; c = 161,1 kPa de la envolvente lineal refleja curvatura (φ secante 50° a 300 kPa); el N° de informe impreso termina en _SUCS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1.831</v>
      </c>
      <c r="CL176" t="inlineStr"/>
      <c r="CM176" t="inlineStr"/>
      <c r="CN176" t="inlineStr"/>
      <c r="CO176" t="inlineStr"/>
      <c r="CP176" t="inlineStr"/>
      <c r="CQ176" t="n">
        <v>10.9</v>
      </c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>
        <is>
          <t>Verificado 2026-10-06 contra la imagen de p.1 y p.2: σn, τ pico, τ a 6,6 cm, ángulos secantes, c, φ, μ, alturas, w y ρd coinciden. Sr final recalculado con el Gs rotulado 2.74: 0.80. Sr final 0,73-0,81 y, en P1 a 1000 kPa, w final = w inicial (7,40 %): no hay evidencia de saturación.</t>
        </is>
      </c>
      <c r="EK176" t="inlineStr">
        <is>
          <t>305 × 305</t>
        </is>
      </c>
      <c r="EL176" t="n">
        <v>991.5</v>
      </c>
      <c r="EM176" t="n">
        <v>40</v>
      </c>
      <c r="EN176" t="inlineStr"/>
      <c r="EO176" t="n">
        <v>161.1</v>
      </c>
      <c r="EP176" t="n">
        <v>36</v>
      </c>
      <c r="EQ176" t="n">
        <v>0.63</v>
      </c>
      <c r="ER176" t="n">
        <v>169.2</v>
      </c>
      <c r="ES176" t="n">
        <v>34.9</v>
      </c>
      <c r="ET176" t="n">
        <v>0.61</v>
      </c>
      <c r="EU176" t="n">
        <v>163</v>
      </c>
      <c r="EV176" t="n">
        <v>1.995</v>
      </c>
      <c r="EW176" t="n">
        <v>0.8</v>
      </c>
      <c r="EX176" t="inlineStr">
        <is>
          <t>Corte directo CD</t>
        </is>
      </c>
      <c r="EY176" t="inlineStr">
        <is>
          <t>CD: τ pico</t>
        </is>
      </c>
      <c r="EZ176" t="inlineStr"/>
      <c r="FA176" t="inlineStr"/>
      <c r="FB176" t="inlineStr"/>
      <c r="FC176" t="n">
        <v>40.34235384180683</v>
      </c>
      <c r="FD176" t="n">
        <v>1200</v>
      </c>
      <c r="FE176" t="n">
        <v>1019.2</v>
      </c>
      <c r="FF176" t="inlineStr">
        <is>
          <t>media (240–305 mm)</t>
        </is>
      </c>
      <c r="FG176" t="n">
        <v>12.00787401574803</v>
      </c>
      <c r="FH176" t="inlineStr">
        <is>
          <t>ROM</t>
        </is>
      </c>
      <c r="FI176" t="inlineStr">
        <is>
          <t>criterio experto: rumas perforadas en el Botadero Este (desmonte depositado por camión) y pilas experimentales</t>
        </is>
      </c>
      <c r="FJ176" t="n">
        <v>0</v>
      </c>
      <c r="FK176" t="inlineStr"/>
      <c r="FL176" t="inlineStr"/>
      <c r="FM176" t="inlineStr">
        <is>
          <t>A</t>
        </is>
      </c>
      <c r="FN176" t="n">
        <v>0.4785284671532848</v>
      </c>
      <c r="FO176" t="inlineStr">
        <is>
          <t>recalculado con Gs adoptado</t>
        </is>
      </c>
      <c r="FP176" t="n">
        <v>2.708</v>
      </c>
      <c r="FQ176" t="inlineStr">
        <is>
          <t>Gs de sólidos por litología (Golder 2010); el Gs rotulado en el Proctor (2.74–3.06) no fue ensayado</t>
        </is>
      </c>
      <c r="FR176" t="inlineStr">
        <is>
          <t>A2024DS-174</t>
        </is>
      </c>
      <c r="FS176" t="inlineStr">
        <is>
          <t>A2024DS|Pila 02 (MP2-A-M-1 a MP2-A-M-5, MP2-H-Material 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fuente_id</t>
        </is>
      </c>
      <c r="B1" s="1" t="inlineStr">
        <is>
          <t>ensayo_id</t>
        </is>
      </c>
      <c r="C1" s="1" t="inlineStr">
        <is>
          <t>sigma_v_kPa</t>
        </is>
      </c>
      <c r="D1" s="1" t="inlineStr">
        <is>
          <t>eps_v_pct</t>
        </is>
      </c>
      <c r="E1" s="1" t="inlineStr">
        <is>
          <t>e</t>
        </is>
      </c>
      <c r="F1" s="1" t="inlineStr">
        <is>
          <t>pagina</t>
        </is>
      </c>
      <c r="G1" s="1" t="inlineStr">
        <is>
          <t>notas</t>
        </is>
      </c>
    </row>
    <row r="2">
      <c r="A2" t="inlineStr">
        <is>
          <t>W2022</t>
        </is>
      </c>
      <c r="B2" t="inlineStr">
        <is>
          <t>HF-edo-1.0m (IDIEM)</t>
        </is>
      </c>
      <c r="C2" t="n">
        <v>0</v>
      </c>
      <c r="D2" t="n">
        <v>0</v>
      </c>
      <c r="E2" t="n">
        <v>0.238</v>
      </c>
      <c r="F2" t="n">
        <v>300</v>
      </c>
      <c r="G2" t="inlineStr">
        <is>
          <t>tabla IDIEM; σ kg/cm²×98.0665; e con Gs 2.60 (estimado)</t>
        </is>
      </c>
    </row>
    <row r="3">
      <c r="A3" t="inlineStr">
        <is>
          <t>W2022</t>
        </is>
      </c>
      <c r="B3" t="inlineStr">
        <is>
          <t>HF-edo-1.0m (IDIEM)</t>
        </is>
      </c>
      <c r="C3" t="n">
        <v>0</v>
      </c>
      <c r="D3" t="n">
        <v>0.057</v>
      </c>
      <c r="E3" t="n">
        <v>0.237</v>
      </c>
      <c r="F3" t="n">
        <v>300</v>
      </c>
      <c r="G3" t="inlineStr">
        <is>
          <t>tabla IDIEM; σ kg/cm²×98.0665; e con Gs 2.60 (estimado)</t>
        </is>
      </c>
    </row>
    <row r="4">
      <c r="A4" t="inlineStr">
        <is>
          <t>W2022</t>
        </is>
      </c>
      <c r="B4" t="inlineStr">
        <is>
          <t>HF-edo-1.0m (IDIEM)</t>
        </is>
      </c>
      <c r="C4" t="n">
        <v>196.1</v>
      </c>
      <c r="D4" t="n">
        <v>0.471</v>
      </c>
      <c r="E4" t="n">
        <v>0.232</v>
      </c>
      <c r="F4" t="n">
        <v>300</v>
      </c>
      <c r="G4" t="inlineStr">
        <is>
          <t>tabla IDIEM; σ kg/cm²×98.0665; e con Gs 2.60 (estimado)</t>
        </is>
      </c>
    </row>
    <row r="5">
      <c r="A5" t="inlineStr">
        <is>
          <t>W2022</t>
        </is>
      </c>
      <c r="B5" t="inlineStr">
        <is>
          <t>HF-edo-1.0m (IDIEM)</t>
        </is>
      </c>
      <c r="C5" t="n">
        <v>392.3</v>
      </c>
      <c r="D5" t="n">
        <v>0.929</v>
      </c>
      <c r="E5" t="n">
        <v>0.227</v>
      </c>
      <c r="F5" t="n">
        <v>300</v>
      </c>
      <c r="G5" t="inlineStr">
        <is>
          <t>tabla IDIEM; σ kg/cm²×98.0665; e con Gs 2.60 (estimado)</t>
        </is>
      </c>
    </row>
    <row r="6">
      <c r="A6" t="inlineStr">
        <is>
          <t>W2022</t>
        </is>
      </c>
      <c r="B6" t="inlineStr">
        <is>
          <t>HF-edo-1.0m (IDIEM)</t>
        </is>
      </c>
      <c r="C6" t="n">
        <v>588.4</v>
      </c>
      <c r="D6" t="n">
        <v>1.229</v>
      </c>
      <c r="E6" t="n">
        <v>0.223</v>
      </c>
      <c r="F6" t="n">
        <v>300</v>
      </c>
      <c r="G6" t="inlineStr">
        <is>
          <t>tabla IDIEM; σ kg/cm²×98.0665; e con Gs 2.60 (estimado)</t>
        </is>
      </c>
    </row>
    <row r="7">
      <c r="A7" t="inlineStr">
        <is>
          <t>W2022</t>
        </is>
      </c>
      <c r="B7" t="inlineStr">
        <is>
          <t>HF-edo-1.0m (IDIEM)</t>
        </is>
      </c>
      <c r="C7" t="n">
        <v>784.5</v>
      </c>
      <c r="D7" t="n">
        <v>1.286</v>
      </c>
      <c r="E7" t="n">
        <v>0.222</v>
      </c>
      <c r="F7" t="n">
        <v>300</v>
      </c>
      <c r="G7" t="inlineStr">
        <is>
          <t>tabla IDIEM; σ kg/cm²×98.0665; e con Gs 2.60 (estimado)</t>
        </is>
      </c>
    </row>
    <row r="8">
      <c r="A8" t="inlineStr">
        <is>
          <t>W2022</t>
        </is>
      </c>
      <c r="B8" t="inlineStr">
        <is>
          <t>HF-edo-1.0m (IDIEM)</t>
        </is>
      </c>
      <c r="C8" t="n">
        <v>980.7</v>
      </c>
      <c r="D8" t="n">
        <v>1.357</v>
      </c>
      <c r="E8" t="n">
        <v>0.221</v>
      </c>
      <c r="F8" t="n">
        <v>300</v>
      </c>
      <c r="G8" t="inlineStr">
        <is>
          <t>tabla IDIEM; σ kg/cm²×98.0665; e con Gs 2.60 (estimado)</t>
        </is>
      </c>
    </row>
    <row r="9">
      <c r="A9" t="inlineStr">
        <is>
          <t>W2022</t>
        </is>
      </c>
      <c r="B9" t="inlineStr">
        <is>
          <t>HF-edo-1.0m (IDIEM)</t>
        </is>
      </c>
      <c r="C9" t="n">
        <v>1176.8</v>
      </c>
      <c r="D9" t="n">
        <v>1.529</v>
      </c>
      <c r="E9" t="n">
        <v>0.219</v>
      </c>
      <c r="F9" t="n">
        <v>300</v>
      </c>
      <c r="G9" t="inlineStr">
        <is>
          <t>tabla IDIEM; σ kg/cm²×98.0665; e con Gs 2.60 (estimado)</t>
        </is>
      </c>
    </row>
    <row r="10">
      <c r="A10" t="inlineStr">
        <is>
          <t>W2022</t>
        </is>
      </c>
      <c r="B10" t="inlineStr">
        <is>
          <t>HF-edo-1.0m (IDIEM)</t>
        </is>
      </c>
      <c r="C10" t="n">
        <v>1372.9</v>
      </c>
      <c r="D10" t="n">
        <v>1.757</v>
      </c>
      <c r="E10" t="n">
        <v>0.216</v>
      </c>
      <c r="F10" t="n">
        <v>300</v>
      </c>
      <c r="G10" t="inlineStr">
        <is>
          <t>tabla IDIEM; σ kg/cm²×98.0665; e con Gs 2.60 (estimado)</t>
        </is>
      </c>
    </row>
    <row r="11">
      <c r="A11" t="inlineStr">
        <is>
          <t>W2022</t>
        </is>
      </c>
      <c r="B11" t="inlineStr">
        <is>
          <t>HF-edo-1.0m (IDIEM)</t>
        </is>
      </c>
      <c r="C11" t="n">
        <v>1569.1</v>
      </c>
      <c r="D11" t="n">
        <v>1.871</v>
      </c>
      <c r="E11" t="n">
        <v>0.215</v>
      </c>
      <c r="F11" t="n">
        <v>300</v>
      </c>
      <c r="G11" t="inlineStr">
        <is>
          <t>tabla IDIEM; σ kg/cm²×98.0665; e con Gs 2.60 (estimado)</t>
        </is>
      </c>
    </row>
    <row r="12">
      <c r="A12" t="inlineStr">
        <is>
          <t>W2022</t>
        </is>
      </c>
      <c r="B12" t="inlineStr">
        <is>
          <t>HF-edo-1.0m (IDIEM)</t>
        </is>
      </c>
      <c r="C12" t="n">
        <v>1765.2</v>
      </c>
      <c r="D12" t="n">
        <v>2.129</v>
      </c>
      <c r="E12" t="n">
        <v>0.212</v>
      </c>
      <c r="F12" t="n">
        <v>300</v>
      </c>
      <c r="G12" t="inlineStr">
        <is>
          <t>tabla IDIEM; σ kg/cm²×98.0665; e con Gs 2.60 (estimado)</t>
        </is>
      </c>
    </row>
    <row r="13">
      <c r="A13" t="inlineStr">
        <is>
          <t>W2022</t>
        </is>
      </c>
      <c r="B13" t="inlineStr">
        <is>
          <t>HF-edo-1.0m (IDIEM)</t>
        </is>
      </c>
      <c r="C13" t="n">
        <v>1961.3</v>
      </c>
      <c r="D13" t="n">
        <v>2.3</v>
      </c>
      <c r="E13" t="n">
        <v>0.21</v>
      </c>
      <c r="F13" t="n">
        <v>300</v>
      </c>
      <c r="G13" t="inlineStr">
        <is>
          <t>tabla IDIEM; σ kg/cm²×98.0665; e con Gs 2.60 (estimado)</t>
        </is>
      </c>
    </row>
    <row r="14">
      <c r="A14" t="inlineStr">
        <is>
          <t>W2022</t>
        </is>
      </c>
      <c r="B14" t="inlineStr">
        <is>
          <t>HF-edo-1.0m (IDIEM)</t>
        </is>
      </c>
      <c r="C14" t="n">
        <v>2157.5</v>
      </c>
      <c r="D14" t="n">
        <v>2.471</v>
      </c>
      <c r="E14" t="n">
        <v>0.207</v>
      </c>
      <c r="F14" t="n">
        <v>300</v>
      </c>
      <c r="G14" t="inlineStr">
        <is>
          <t>tabla IDIEM; σ kg/cm²×98.0665; e con Gs 2.60 (estimado)</t>
        </is>
      </c>
    </row>
    <row r="15">
      <c r="A15" t="inlineStr">
        <is>
          <t>W2022</t>
        </is>
      </c>
      <c r="B15" t="inlineStr">
        <is>
          <t>HF-edo-1.0m (IDIEM)</t>
        </is>
      </c>
      <c r="C15" t="n">
        <v>2353.6</v>
      </c>
      <c r="D15" t="n">
        <v>2.643</v>
      </c>
      <c r="E15" t="n">
        <v>0.205</v>
      </c>
      <c r="F15" t="n">
        <v>300</v>
      </c>
      <c r="G15" t="inlineStr">
        <is>
          <t>tabla IDIEM; σ kg/cm²×98.0665; e con Gs 2.60 (estimado)</t>
        </is>
      </c>
    </row>
    <row r="16">
      <c r="A16" t="inlineStr">
        <is>
          <t>W2022</t>
        </is>
      </c>
      <c r="B16" t="inlineStr">
        <is>
          <t>HF-edo-1.0m (IDIEM)</t>
        </is>
      </c>
      <c r="C16" t="n">
        <v>2549.7</v>
      </c>
      <c r="D16" t="n">
        <v>2.729</v>
      </c>
      <c r="E16" t="n">
        <v>0.204</v>
      </c>
      <c r="F16" t="n">
        <v>300</v>
      </c>
      <c r="G16" t="inlineStr">
        <is>
          <t>tabla IDIEM; σ kg/cm²×98.0665; e con Gs 2.60 (estimado)</t>
        </is>
      </c>
    </row>
    <row r="17">
      <c r="A17" t="inlineStr">
        <is>
          <t>W2022</t>
        </is>
      </c>
      <c r="B17" t="inlineStr">
        <is>
          <t>HF-edo-1.0m (IDIEM)</t>
        </is>
      </c>
      <c r="C17" t="n">
        <v>2745.9</v>
      </c>
      <c r="D17" t="n">
        <v>2.829</v>
      </c>
      <c r="E17" t="n">
        <v>0.203</v>
      </c>
      <c r="F17" t="n">
        <v>300</v>
      </c>
      <c r="G17" t="inlineStr">
        <is>
          <t>tabla IDIEM; σ kg/cm²×98.0665; e con Gs 2.60 (estimado)</t>
        </is>
      </c>
    </row>
    <row r="18">
      <c r="A18" t="inlineStr">
        <is>
          <t>W2022</t>
        </is>
      </c>
      <c r="B18" t="inlineStr">
        <is>
          <t>HF-edo-1.0m (IDIEM)</t>
        </is>
      </c>
      <c r="C18" t="n">
        <v>2942</v>
      </c>
      <c r="D18" t="n">
        <v>2.929</v>
      </c>
      <c r="E18" t="n">
        <v>0.202</v>
      </c>
      <c r="F18" t="n">
        <v>300</v>
      </c>
      <c r="G18" t="inlineStr">
        <is>
          <t>tabla IDIEM; σ kg/cm²×98.0665; e con Gs 2.60 (estimado)</t>
        </is>
      </c>
    </row>
    <row r="19">
      <c r="A19" t="inlineStr">
        <is>
          <t>W2022</t>
        </is>
      </c>
      <c r="B19" t="inlineStr">
        <is>
          <t>HF-edo-1.0m (IDIEM)</t>
        </is>
      </c>
      <c r="C19" t="n">
        <v>3138.1</v>
      </c>
      <c r="D19" t="n">
        <v>3.171</v>
      </c>
      <c r="E19" t="n">
        <v>0.199</v>
      </c>
      <c r="F19" t="n">
        <v>300</v>
      </c>
      <c r="G19" t="inlineStr">
        <is>
          <t>tabla IDIEM; σ kg/cm²×98.0665; e con Gs 2.60 (estimado)</t>
        </is>
      </c>
    </row>
    <row r="20">
      <c r="A20" t="inlineStr">
        <is>
          <t>W2022</t>
        </is>
      </c>
      <c r="B20" t="inlineStr">
        <is>
          <t>HF-edo-1.0m (IDIEM)</t>
        </is>
      </c>
      <c r="C20" t="n">
        <v>3334.3</v>
      </c>
      <c r="D20" t="n">
        <v>3.343</v>
      </c>
      <c r="E20" t="n">
        <v>0.197</v>
      </c>
      <c r="F20" t="n">
        <v>300</v>
      </c>
      <c r="G20" t="inlineStr">
        <is>
          <t>tabla IDIEM; σ kg/cm²×98.0665; e con Gs 2.60 (estimado)</t>
        </is>
      </c>
    </row>
    <row r="21">
      <c r="A21" t="inlineStr">
        <is>
          <t>W2022</t>
        </is>
      </c>
      <c r="B21" t="inlineStr">
        <is>
          <t>HF-edo-1.0m (IDIEM)</t>
        </is>
      </c>
      <c r="C21" t="n">
        <v>3530.4</v>
      </c>
      <c r="D21" t="n">
        <v>3.414</v>
      </c>
      <c r="E21" t="n">
        <v>0.196</v>
      </c>
      <c r="F21" t="n">
        <v>300</v>
      </c>
      <c r="G21" t="inlineStr">
        <is>
          <t>tabla IDIEM; σ kg/cm²×98.0665; e con Gs 2.60 (estimado)</t>
        </is>
      </c>
    </row>
    <row r="22">
      <c r="A22" t="inlineStr">
        <is>
          <t>W2022</t>
        </is>
      </c>
      <c r="B22" t="inlineStr">
        <is>
          <t>HF-edo-1.0m (IDIEM)</t>
        </is>
      </c>
      <c r="C22" t="n">
        <v>3726.5</v>
      </c>
      <c r="D22" t="n">
        <v>3.543</v>
      </c>
      <c r="E22" t="n">
        <v>0.194</v>
      </c>
      <c r="F22" t="n">
        <v>300</v>
      </c>
      <c r="G22" t="inlineStr">
        <is>
          <t>tabla IDIEM; σ kg/cm²×98.0665; e con Gs 2.60 (estimado)</t>
        </is>
      </c>
    </row>
    <row r="23">
      <c r="A23" t="inlineStr">
        <is>
          <t>W2022</t>
        </is>
      </c>
      <c r="B23" t="inlineStr">
        <is>
          <t>HF-edo-1.0m (IDIEM)</t>
        </is>
      </c>
      <c r="C23" t="n">
        <v>3922.7</v>
      </c>
      <c r="D23" t="n">
        <v>3.614</v>
      </c>
      <c r="E23" t="n">
        <v>0.193</v>
      </c>
      <c r="F23" t="n">
        <v>300</v>
      </c>
      <c r="G23" t="inlineStr">
        <is>
          <t>tabla IDIEM; σ kg/cm²×98.0665; e con Gs 2.60 (estimado)</t>
        </is>
      </c>
    </row>
    <row r="24">
      <c r="A24" t="inlineStr">
        <is>
          <t>W2022</t>
        </is>
      </c>
      <c r="B24" t="inlineStr">
        <is>
          <t>HF-edo-1.0m (IDIEM)</t>
        </is>
      </c>
      <c r="C24" t="n">
        <v>4118.8</v>
      </c>
      <c r="D24" t="n">
        <v>3.7</v>
      </c>
      <c r="E24" t="n">
        <v>0.192</v>
      </c>
      <c r="F24" t="n">
        <v>300</v>
      </c>
      <c r="G24" t="inlineStr">
        <is>
          <t>tabla IDIEM; σ kg/cm²×98.0665; e con Gs 2.60 (estimado)</t>
        </is>
      </c>
    </row>
    <row r="25">
      <c r="A25" t="inlineStr">
        <is>
          <t>W2022</t>
        </is>
      </c>
      <c r="B25" t="inlineStr">
        <is>
          <t>HF-edo-1.0m (IDIEM)</t>
        </is>
      </c>
      <c r="C25" t="n">
        <v>4314.9</v>
      </c>
      <c r="D25" t="n">
        <v>3.8</v>
      </c>
      <c r="E25" t="n">
        <v>0.191</v>
      </c>
      <c r="F25" t="n">
        <v>300</v>
      </c>
      <c r="G25" t="inlineStr">
        <is>
          <t>tabla IDIEM; σ kg/cm²×98.0665; e con Gs 2.60 (estimado)</t>
        </is>
      </c>
    </row>
    <row r="26">
      <c r="A26" t="inlineStr">
        <is>
          <t>W2022</t>
        </is>
      </c>
      <c r="B26" t="inlineStr">
        <is>
          <t>HF-edo-1.0m (IDIEM)</t>
        </is>
      </c>
      <c r="C26" t="n">
        <v>4511.1</v>
      </c>
      <c r="D26" t="n">
        <v>4.043</v>
      </c>
      <c r="E26" t="n">
        <v>0.188</v>
      </c>
      <c r="F26" t="n">
        <v>300</v>
      </c>
      <c r="G26" t="inlineStr">
        <is>
          <t>tabla IDIEM; σ kg/cm²×98.0665; e con Gs 2.60 (estimado)</t>
        </is>
      </c>
    </row>
    <row r="27">
      <c r="A27" t="inlineStr">
        <is>
          <t>W2022</t>
        </is>
      </c>
      <c r="B27" t="inlineStr">
        <is>
          <t>HF-edo-1.0m (IDIEM)</t>
        </is>
      </c>
      <c r="C27" t="n">
        <v>4707.2</v>
      </c>
      <c r="D27" t="n">
        <v>4.114</v>
      </c>
      <c r="E27" t="n">
        <v>0.187</v>
      </c>
      <c r="F27" t="n">
        <v>301</v>
      </c>
      <c r="G27" t="inlineStr">
        <is>
          <t>tabla IDIEM; σ kg/cm²×98.0665; e con Gs 2.60 (estimado)</t>
        </is>
      </c>
    </row>
    <row r="28">
      <c r="A28" t="inlineStr">
        <is>
          <t>W2022</t>
        </is>
      </c>
      <c r="B28" t="inlineStr">
        <is>
          <t>HF-edo-1.0m (IDIEM)</t>
        </is>
      </c>
      <c r="C28" t="n">
        <v>4903.3</v>
      </c>
      <c r="D28" t="n">
        <v>4.186</v>
      </c>
      <c r="E28" t="n">
        <v>0.186</v>
      </c>
      <c r="F28" t="n">
        <v>301</v>
      </c>
      <c r="G28" t="inlineStr">
        <is>
          <t>tabla IDIEM; σ kg/cm²×98.0665; e con Gs 2.60 (estimado)</t>
        </is>
      </c>
    </row>
    <row r="29">
      <c r="A29" t="inlineStr">
        <is>
          <t>W2022</t>
        </is>
      </c>
      <c r="B29" t="inlineStr">
        <is>
          <t>HF-edo-1.0m (IDIEM)</t>
        </is>
      </c>
      <c r="C29" t="n">
        <v>5099.5</v>
      </c>
      <c r="D29" t="n">
        <v>4.2</v>
      </c>
      <c r="E29" t="n">
        <v>0.186</v>
      </c>
      <c r="F29" t="n">
        <v>301</v>
      </c>
      <c r="G29" t="inlineStr">
        <is>
          <t>tabla IDIEM; σ kg/cm²×98.0665; e con Gs 2.60 (estimado)</t>
        </is>
      </c>
    </row>
    <row r="30">
      <c r="A30" t="inlineStr">
        <is>
          <t>W2022</t>
        </is>
      </c>
      <c r="B30" t="inlineStr">
        <is>
          <t>HF-edo-1.0m (IDIEM)</t>
        </is>
      </c>
      <c r="C30" t="n">
        <v>5295.6</v>
      </c>
      <c r="D30" t="n">
        <v>4.214</v>
      </c>
      <c r="E30" t="n">
        <v>0.186</v>
      </c>
      <c r="F30" t="n">
        <v>301</v>
      </c>
      <c r="G30" t="inlineStr">
        <is>
          <t>tabla IDIEM; σ kg/cm²×98.0665; e con Gs 2.60 (estimado)</t>
        </is>
      </c>
    </row>
    <row r="31">
      <c r="A31" t="inlineStr">
        <is>
          <t>W2022</t>
        </is>
      </c>
      <c r="B31" t="inlineStr">
        <is>
          <t>HF-edo-1.0m (IDIEM)</t>
        </is>
      </c>
      <c r="C31" t="n">
        <v>5491.7</v>
      </c>
      <c r="D31" t="n">
        <v>4.314</v>
      </c>
      <c r="E31" t="n">
        <v>0.185</v>
      </c>
      <c r="F31" t="n">
        <v>301</v>
      </c>
      <c r="G31" t="inlineStr">
        <is>
          <t>tabla IDIEM; σ kg/cm²×98.0665; e con Gs 2.60 (estimado)</t>
        </is>
      </c>
    </row>
    <row r="32">
      <c r="A32" t="inlineStr">
        <is>
          <t>W2022</t>
        </is>
      </c>
      <c r="B32" t="inlineStr">
        <is>
          <t>HF-edo-1.0m (IDIEM)</t>
        </is>
      </c>
      <c r="C32" t="n">
        <v>5687.9</v>
      </c>
      <c r="D32" t="n">
        <v>4.629</v>
      </c>
      <c r="E32" t="n">
        <v>0.181</v>
      </c>
      <c r="F32" t="n">
        <v>301</v>
      </c>
      <c r="G32" t="inlineStr">
        <is>
          <t>tabla IDIEM; σ kg/cm²×98.0665; e con Gs 2.60 (estimado)</t>
        </is>
      </c>
    </row>
    <row r="33">
      <c r="A33" t="inlineStr">
        <is>
          <t>W2022</t>
        </is>
      </c>
      <c r="B33" t="inlineStr">
        <is>
          <t>HF-edo-1.0m (IDIEM)</t>
        </is>
      </c>
      <c r="C33" t="n">
        <v>5884</v>
      </c>
      <c r="D33" t="n">
        <v>4.686</v>
      </c>
      <c r="E33" t="n">
        <v>0.18</v>
      </c>
      <c r="F33" t="n">
        <v>301</v>
      </c>
      <c r="G33" t="inlineStr">
        <is>
          <t>tabla IDIEM; σ kg/cm²×98.0665; e con Gs 2.60 (estimado)</t>
        </is>
      </c>
    </row>
    <row r="34">
      <c r="A34" t="inlineStr">
        <is>
          <t>W2022</t>
        </is>
      </c>
      <c r="B34" t="inlineStr">
        <is>
          <t>HF-edo-1.0m (IDIEM)</t>
        </is>
      </c>
      <c r="C34" t="n">
        <v>4903.3</v>
      </c>
      <c r="D34" t="n">
        <v>4.686</v>
      </c>
      <c r="E34" t="n">
        <v>0.18</v>
      </c>
      <c r="F34" t="n">
        <v>301</v>
      </c>
      <c r="G34" t="inlineStr">
        <is>
          <t>tabla IDIEM; σ kg/cm²×98.0665; e con Gs 2.60 (estimado)</t>
        </is>
      </c>
    </row>
    <row r="35">
      <c r="A35" t="inlineStr">
        <is>
          <t>W2022</t>
        </is>
      </c>
      <c r="B35" t="inlineStr">
        <is>
          <t>HF-edo-1.0m (IDIEM)</t>
        </is>
      </c>
      <c r="C35" t="n">
        <v>3922.7</v>
      </c>
      <c r="D35" t="n">
        <v>4.686</v>
      </c>
      <c r="E35" t="n">
        <v>0.18</v>
      </c>
      <c r="F35" t="n">
        <v>301</v>
      </c>
      <c r="G35" t="inlineStr">
        <is>
          <t>tabla IDIEM; σ kg/cm²×98.0665; e con Gs 2.60 (estimado)</t>
        </is>
      </c>
    </row>
    <row r="36">
      <c r="A36" t="inlineStr">
        <is>
          <t>W2022</t>
        </is>
      </c>
      <c r="B36" t="inlineStr">
        <is>
          <t>HF-edo-1.0m (IDIEM)</t>
        </is>
      </c>
      <c r="C36" t="n">
        <v>3530.4</v>
      </c>
      <c r="D36" t="n">
        <v>4.671</v>
      </c>
      <c r="E36" t="n">
        <v>0.18</v>
      </c>
      <c r="F36" t="n">
        <v>301</v>
      </c>
      <c r="G36" t="inlineStr">
        <is>
          <t>tabla IDIEM; σ kg/cm²×98.0665; e con Gs 2.60 (estimado)</t>
        </is>
      </c>
    </row>
    <row r="37">
      <c r="A37" t="inlineStr">
        <is>
          <t>W2022</t>
        </is>
      </c>
      <c r="B37" t="inlineStr">
        <is>
          <t>HF-edo-1.0m (IDIEM)</t>
        </is>
      </c>
      <c r="C37" t="n">
        <v>3138.1</v>
      </c>
      <c r="D37" t="n">
        <v>4.671</v>
      </c>
      <c r="E37" t="n">
        <v>0.18</v>
      </c>
      <c r="F37" t="n">
        <v>301</v>
      </c>
      <c r="G37" t="inlineStr">
        <is>
          <t>tabla IDIEM; σ kg/cm²×98.0665; e con Gs 2.60 (estimado)</t>
        </is>
      </c>
    </row>
    <row r="38">
      <c r="A38" t="inlineStr">
        <is>
          <t>W2022</t>
        </is>
      </c>
      <c r="B38" t="inlineStr">
        <is>
          <t>HF-edo-1.0m (IDIEM)</t>
        </is>
      </c>
      <c r="C38" t="n">
        <v>2745.9</v>
      </c>
      <c r="D38" t="n">
        <v>4.671</v>
      </c>
      <c r="E38" t="n">
        <v>0.18</v>
      </c>
      <c r="F38" t="n">
        <v>301</v>
      </c>
      <c r="G38" t="inlineStr">
        <is>
          <t>tabla IDIEM; σ kg/cm²×98.0665; e con Gs 2.60 (estimado)</t>
        </is>
      </c>
    </row>
    <row r="39">
      <c r="A39" t="inlineStr">
        <is>
          <t>W2022</t>
        </is>
      </c>
      <c r="B39" t="inlineStr">
        <is>
          <t>HF-edo-1.0m (IDIEM)</t>
        </is>
      </c>
      <c r="C39" t="n">
        <v>2353.6</v>
      </c>
      <c r="D39" t="n">
        <v>4.671</v>
      </c>
      <c r="E39" t="n">
        <v>0.18</v>
      </c>
      <c r="F39" t="n">
        <v>301</v>
      </c>
      <c r="G39" t="inlineStr">
        <is>
          <t>tabla IDIEM; σ kg/cm²×98.0665; e con Gs 2.60 (estimado)</t>
        </is>
      </c>
    </row>
    <row r="40">
      <c r="A40" t="inlineStr">
        <is>
          <t>W2022</t>
        </is>
      </c>
      <c r="B40" t="inlineStr">
        <is>
          <t>HF-edo-1.0m (IDIEM)</t>
        </is>
      </c>
      <c r="C40" t="n">
        <v>1961.3</v>
      </c>
      <c r="D40" t="n">
        <v>4.671</v>
      </c>
      <c r="E40" t="n">
        <v>0.18</v>
      </c>
      <c r="F40" t="n">
        <v>301</v>
      </c>
      <c r="G40" t="inlineStr">
        <is>
          <t>tabla IDIEM; σ kg/cm²×98.0665; e con Gs 2.60 (estimado)</t>
        </is>
      </c>
    </row>
    <row r="41">
      <c r="A41" t="inlineStr">
        <is>
          <t>W2022</t>
        </is>
      </c>
      <c r="B41" t="inlineStr">
        <is>
          <t>HF-edo-1.0m (IDIEM)</t>
        </is>
      </c>
      <c r="C41" t="n">
        <v>1569.1</v>
      </c>
      <c r="D41" t="n">
        <v>4.671</v>
      </c>
      <c r="E41" t="n">
        <v>0.18</v>
      </c>
      <c r="F41" t="n">
        <v>301</v>
      </c>
      <c r="G41" t="inlineStr">
        <is>
          <t>tabla IDIEM; σ kg/cm²×98.0665; e con Gs 2.60 (estimado)</t>
        </is>
      </c>
    </row>
    <row r="42">
      <c r="A42" t="inlineStr">
        <is>
          <t>W2022</t>
        </is>
      </c>
      <c r="B42" t="inlineStr">
        <is>
          <t>HF-edo-1.0m (IDIEM)</t>
        </is>
      </c>
      <c r="C42" t="n">
        <v>1176.8</v>
      </c>
      <c r="D42" t="n">
        <v>4.671</v>
      </c>
      <c r="E42" t="n">
        <v>0.18</v>
      </c>
      <c r="F42" t="n">
        <v>301</v>
      </c>
      <c r="G42" t="inlineStr">
        <is>
          <t>tabla IDIEM; σ kg/cm²×98.0665; e con Gs 2.60 (estimado)</t>
        </is>
      </c>
    </row>
    <row r="43">
      <c r="A43" t="inlineStr">
        <is>
          <t>W2022</t>
        </is>
      </c>
      <c r="B43" t="inlineStr">
        <is>
          <t>HF-edo-1.0m (IDIEM)</t>
        </is>
      </c>
      <c r="C43" t="n">
        <v>2157.5</v>
      </c>
      <c r="D43" t="n">
        <v>4.671</v>
      </c>
      <c r="E43" t="n">
        <v>0.18</v>
      </c>
      <c r="F43" t="n">
        <v>301</v>
      </c>
      <c r="G43" t="inlineStr">
        <is>
          <t>tabla IDIEM; σ kg/cm²×98.0665; e con Gs 2.60 (estimado)</t>
        </is>
      </c>
    </row>
    <row r="44">
      <c r="A44" t="inlineStr">
        <is>
          <t>W2022</t>
        </is>
      </c>
      <c r="B44" t="inlineStr">
        <is>
          <t>HF-edo-1.0m (IDIEM)</t>
        </is>
      </c>
      <c r="C44" t="n">
        <v>3138.1</v>
      </c>
      <c r="D44" t="n">
        <v>4.7</v>
      </c>
      <c r="E44" t="n">
        <v>0.18</v>
      </c>
      <c r="F44" t="n">
        <v>301</v>
      </c>
      <c r="G44" t="inlineStr">
        <is>
          <t>tabla IDIEM; σ kg/cm²×98.0665; e con Gs 2.60 (estimado)</t>
        </is>
      </c>
    </row>
    <row r="45">
      <c r="A45" t="inlineStr">
        <is>
          <t>W2022</t>
        </is>
      </c>
      <c r="B45" t="inlineStr">
        <is>
          <t>HF-edo-1.0m (IDIEM)</t>
        </is>
      </c>
      <c r="C45" t="n">
        <v>3530.4</v>
      </c>
      <c r="D45" t="n">
        <v>4.729</v>
      </c>
      <c r="E45" t="n">
        <v>0.18</v>
      </c>
      <c r="F45" t="n">
        <v>301</v>
      </c>
      <c r="G45" t="inlineStr">
        <is>
          <t>tabla IDIEM; σ kg/cm²×98.0665; e con Gs 2.60 (estimado)</t>
        </is>
      </c>
    </row>
    <row r="46">
      <c r="A46" t="inlineStr">
        <is>
          <t>W2022</t>
        </is>
      </c>
      <c r="B46" t="inlineStr">
        <is>
          <t>HF-edo-1.0m (IDIEM)</t>
        </is>
      </c>
      <c r="C46" t="n">
        <v>3922.7</v>
      </c>
      <c r="D46" t="n">
        <v>4.786</v>
      </c>
      <c r="E46" t="n">
        <v>0.179</v>
      </c>
      <c r="F46" t="n">
        <v>301</v>
      </c>
      <c r="G46" t="inlineStr">
        <is>
          <t>tabla IDIEM; σ kg/cm²×98.0665; e con Gs 2.60 (estimado)</t>
        </is>
      </c>
    </row>
    <row r="47">
      <c r="A47" t="inlineStr">
        <is>
          <t>W2022</t>
        </is>
      </c>
      <c r="B47" t="inlineStr">
        <is>
          <t>HF-edo-1.0m (IDIEM)</t>
        </is>
      </c>
      <c r="C47" t="n">
        <v>4314.9</v>
      </c>
      <c r="D47" t="n">
        <v>4.786</v>
      </c>
      <c r="E47" t="n">
        <v>0.179</v>
      </c>
      <c r="F47" t="n">
        <v>301</v>
      </c>
      <c r="G47" t="inlineStr">
        <is>
          <t>tabla IDIEM; σ kg/cm²×98.0665; e con Gs 2.60 (estimado)</t>
        </is>
      </c>
    </row>
    <row r="48">
      <c r="A48" t="inlineStr">
        <is>
          <t>W2022</t>
        </is>
      </c>
      <c r="B48" t="inlineStr">
        <is>
          <t>HF-edo-1.0m (IDIEM)</t>
        </is>
      </c>
      <c r="C48" t="n">
        <v>4707.2</v>
      </c>
      <c r="D48" t="n">
        <v>4.814</v>
      </c>
      <c r="E48" t="n">
        <v>0.178</v>
      </c>
      <c r="F48" t="n">
        <v>301</v>
      </c>
      <c r="G48" t="inlineStr">
        <is>
          <t>tabla IDIEM; σ kg/cm²×98.0665; e con Gs 2.60 (estimado)</t>
        </is>
      </c>
    </row>
    <row r="49">
      <c r="A49" t="inlineStr">
        <is>
          <t>W2022</t>
        </is>
      </c>
      <c r="B49" t="inlineStr">
        <is>
          <t>HF-edo-1.0m (IDIEM)</t>
        </is>
      </c>
      <c r="C49" t="n">
        <v>5099.5</v>
      </c>
      <c r="D49" t="n">
        <v>4.831</v>
      </c>
      <c r="E49" t="n">
        <v>0.178</v>
      </c>
      <c r="F49" t="n">
        <v>301</v>
      </c>
      <c r="G49" t="inlineStr">
        <is>
          <t>tabla IDIEM; σ kg/cm²×98.0665; e con Gs 2.60 (estimado)</t>
        </is>
      </c>
    </row>
    <row r="50">
      <c r="A50" t="inlineStr">
        <is>
          <t>W2022</t>
        </is>
      </c>
      <c r="B50" t="inlineStr">
        <is>
          <t>HF-edo-1.0m (IDIEM)</t>
        </is>
      </c>
      <c r="C50" t="n">
        <v>5295.6</v>
      </c>
      <c r="D50" t="n">
        <v>4.857</v>
      </c>
      <c r="E50" t="n">
        <v>0.178</v>
      </c>
      <c r="F50" t="n">
        <v>301</v>
      </c>
      <c r="G50" t="inlineStr">
        <is>
          <t>tabla IDIEM; σ kg/cm²×98.0665; e con Gs 2.60 (estimado)</t>
        </is>
      </c>
    </row>
    <row r="51">
      <c r="A51" t="inlineStr">
        <is>
          <t>W2022</t>
        </is>
      </c>
      <c r="B51" t="inlineStr">
        <is>
          <t>HF-edo-1.0m (IDIEM)</t>
        </is>
      </c>
      <c r="C51" t="n">
        <v>5491.7</v>
      </c>
      <c r="D51" t="n">
        <v>4.9</v>
      </c>
      <c r="E51" t="n">
        <v>0.177</v>
      </c>
      <c r="F51" t="n">
        <v>301</v>
      </c>
      <c r="G51" t="inlineStr">
        <is>
          <t>tabla IDIEM; σ kg/cm²×98.0665; e con Gs 2.60 (estimado)</t>
        </is>
      </c>
    </row>
    <row r="52">
      <c r="A52" t="inlineStr">
        <is>
          <t>W2022</t>
        </is>
      </c>
      <c r="B52" t="inlineStr">
        <is>
          <t>HF-edo-1.0m (IDIEM)</t>
        </is>
      </c>
      <c r="C52" t="n">
        <v>5687.9</v>
      </c>
      <c r="D52" t="n">
        <v>4.929</v>
      </c>
      <c r="E52" t="n">
        <v>0.177</v>
      </c>
      <c r="F52" t="n">
        <v>301</v>
      </c>
      <c r="G52" t="inlineStr">
        <is>
          <t>tabla IDIEM; σ kg/cm²×98.0665; e con Gs 2.60 (estimado)</t>
        </is>
      </c>
    </row>
    <row r="53">
      <c r="A53" t="inlineStr">
        <is>
          <t>W2022</t>
        </is>
      </c>
      <c r="B53" t="inlineStr">
        <is>
          <t>HF-edo-1.0m (IDIEM)</t>
        </is>
      </c>
      <c r="C53" t="n">
        <v>5884</v>
      </c>
      <c r="D53" t="n">
        <v>4.929</v>
      </c>
      <c r="E53" t="n">
        <v>0.177</v>
      </c>
      <c r="F53" t="n">
        <v>301</v>
      </c>
      <c r="G53" t="inlineStr">
        <is>
          <t>tabla IDIEM; σ kg/cm²×98.0665; e con Gs 2.60 (estimado)</t>
        </is>
      </c>
    </row>
    <row r="54">
      <c r="A54" t="inlineStr">
        <is>
          <t>W2022</t>
        </is>
      </c>
      <c r="B54" t="inlineStr">
        <is>
          <t>HF-edo-1.0m (IDIEM)</t>
        </is>
      </c>
      <c r="C54" t="n">
        <v>6080.1</v>
      </c>
      <c r="D54" t="n">
        <v>4.929</v>
      </c>
      <c r="E54" t="n">
        <v>0.177</v>
      </c>
      <c r="F54" t="n">
        <v>302</v>
      </c>
      <c r="G54" t="inlineStr">
        <is>
          <t>tabla IDIEM; σ kg/cm²×98.0665; e con Gs 2.60 (estimado)</t>
        </is>
      </c>
    </row>
    <row r="55">
      <c r="A55" t="inlineStr">
        <is>
          <t>W2022</t>
        </is>
      </c>
      <c r="B55" t="inlineStr">
        <is>
          <t>HF-edo-1.0m (IDIEM)</t>
        </is>
      </c>
      <c r="C55" t="n">
        <v>6276.3</v>
      </c>
      <c r="D55" t="n">
        <v>4.943</v>
      </c>
      <c r="E55" t="n">
        <v>0.177</v>
      </c>
      <c r="F55" t="n">
        <v>302</v>
      </c>
      <c r="G55" t="inlineStr">
        <is>
          <t>tabla IDIEM; σ kg/cm²×98.0665; e con Gs 2.60 (estimado)</t>
        </is>
      </c>
    </row>
    <row r="56">
      <c r="A56" t="inlineStr">
        <is>
          <t>W2022</t>
        </is>
      </c>
      <c r="B56" t="inlineStr">
        <is>
          <t>HF-edo-1.0m (IDIEM)</t>
        </is>
      </c>
      <c r="C56" t="n">
        <v>6472.4</v>
      </c>
      <c r="D56" t="n">
        <v>4.957</v>
      </c>
      <c r="E56" t="n">
        <v>0.177</v>
      </c>
      <c r="F56" t="n">
        <v>302</v>
      </c>
      <c r="G56" t="inlineStr">
        <is>
          <t>tabla IDIEM; σ kg/cm²×98.0665; e con Gs 2.60 (estimado)</t>
        </is>
      </c>
    </row>
    <row r="57">
      <c r="A57" t="inlineStr">
        <is>
          <t>W2022</t>
        </is>
      </c>
      <c r="B57" t="inlineStr">
        <is>
          <t>HF-edo-1.0m (IDIEM)</t>
        </is>
      </c>
      <c r="C57" t="n">
        <v>6668.5</v>
      </c>
      <c r="D57" t="n">
        <v>4.971</v>
      </c>
      <c r="E57" t="n">
        <v>0.177</v>
      </c>
      <c r="F57" t="n">
        <v>302</v>
      </c>
      <c r="G57" t="inlineStr">
        <is>
          <t>tabla IDIEM; σ kg/cm²×98.0665; e con Gs 2.60 (estimado)</t>
        </is>
      </c>
    </row>
    <row r="58">
      <c r="A58" t="inlineStr">
        <is>
          <t>W2022</t>
        </is>
      </c>
      <c r="B58" t="inlineStr">
        <is>
          <t>HF-edo-1.0m (IDIEM)</t>
        </is>
      </c>
      <c r="C58" t="n">
        <v>6864.7</v>
      </c>
      <c r="D58" t="n">
        <v>5.014</v>
      </c>
      <c r="E58" t="n">
        <v>0.176</v>
      </c>
      <c r="F58" t="n">
        <v>302</v>
      </c>
      <c r="G58" t="inlineStr">
        <is>
          <t>tabla IDIEM; σ kg/cm²×98.0665; e con Gs 2.60 (estimado)</t>
        </is>
      </c>
    </row>
    <row r="59">
      <c r="A59" t="inlineStr">
        <is>
          <t>W2022</t>
        </is>
      </c>
      <c r="B59" t="inlineStr">
        <is>
          <t>HF-edo-1.0m (IDIEM)</t>
        </is>
      </c>
      <c r="C59" t="n">
        <v>5884</v>
      </c>
      <c r="D59" t="n">
        <v>5</v>
      </c>
      <c r="E59" t="n">
        <v>0.176</v>
      </c>
      <c r="F59" t="n">
        <v>302</v>
      </c>
      <c r="G59" t="inlineStr">
        <is>
          <t>tabla IDIEM; σ kg/cm²×98.0665; e con Gs 2.60 (estimado)</t>
        </is>
      </c>
    </row>
    <row r="60">
      <c r="A60" t="inlineStr">
        <is>
          <t>W2022</t>
        </is>
      </c>
      <c r="B60" t="inlineStr">
        <is>
          <t>HF-edo-1.0m (IDIEM)</t>
        </is>
      </c>
      <c r="C60" t="n">
        <v>4903.3</v>
      </c>
      <c r="D60" t="n">
        <v>5</v>
      </c>
      <c r="E60" t="n">
        <v>0.176</v>
      </c>
      <c r="F60" t="n">
        <v>302</v>
      </c>
      <c r="G60" t="inlineStr">
        <is>
          <t>tabla IDIEM; σ kg/cm²×98.0665; e con Gs 2.60 (estimado)</t>
        </is>
      </c>
    </row>
    <row r="61">
      <c r="A61" t="inlineStr">
        <is>
          <t>W2022</t>
        </is>
      </c>
      <c r="B61" t="inlineStr">
        <is>
          <t>HF-edo-1.0m (IDIEM)</t>
        </is>
      </c>
      <c r="C61" t="n">
        <v>4413</v>
      </c>
      <c r="D61" t="n">
        <v>4.986</v>
      </c>
      <c r="E61" t="n">
        <v>0.176</v>
      </c>
      <c r="F61" t="n">
        <v>302</v>
      </c>
      <c r="G61" t="inlineStr">
        <is>
          <t>tabla IDIEM; σ kg/cm²×98.0665; e con Gs 2.60 (estimado)</t>
        </is>
      </c>
    </row>
    <row r="62">
      <c r="A62" t="inlineStr">
        <is>
          <t>W2022</t>
        </is>
      </c>
      <c r="B62" t="inlineStr">
        <is>
          <t>HF-edo-1.0m (IDIEM)</t>
        </is>
      </c>
      <c r="C62" t="n">
        <v>3922.7</v>
      </c>
      <c r="D62" t="n">
        <v>4.986</v>
      </c>
      <c r="E62" t="n">
        <v>0.176</v>
      </c>
      <c r="F62" t="n">
        <v>302</v>
      </c>
      <c r="G62" t="inlineStr">
        <is>
          <t>tabla IDIEM; σ kg/cm²×98.0665; e con Gs 2.60 (estimado)</t>
        </is>
      </c>
    </row>
    <row r="63">
      <c r="A63" t="inlineStr">
        <is>
          <t>W2022</t>
        </is>
      </c>
      <c r="B63" t="inlineStr">
        <is>
          <t>HF-edo-1.0m (IDIEM)</t>
        </is>
      </c>
      <c r="C63" t="n">
        <v>3432.3</v>
      </c>
      <c r="D63" t="n">
        <v>4.971</v>
      </c>
      <c r="E63" t="n">
        <v>0.177</v>
      </c>
      <c r="F63" t="n">
        <v>302</v>
      </c>
      <c r="G63" t="inlineStr">
        <is>
          <t>tabla IDIEM; σ kg/cm²×98.0665; e con Gs 2.60 (estimado)</t>
        </is>
      </c>
    </row>
    <row r="64">
      <c r="A64" t="inlineStr">
        <is>
          <t>W2022</t>
        </is>
      </c>
      <c r="B64" t="inlineStr">
        <is>
          <t>HF-edo-1.0m (IDIEM)</t>
        </is>
      </c>
      <c r="C64" t="n">
        <v>2942</v>
      </c>
      <c r="D64" t="n">
        <v>4.971</v>
      </c>
      <c r="E64" t="n">
        <v>0.177</v>
      </c>
      <c r="F64" t="n">
        <v>302</v>
      </c>
      <c r="G64" t="inlineStr">
        <is>
          <t>tabla IDIEM; σ kg/cm²×98.0665; e con Gs 2.60 (estimado)</t>
        </is>
      </c>
    </row>
    <row r="65">
      <c r="A65" t="inlineStr">
        <is>
          <t>W2022</t>
        </is>
      </c>
      <c r="B65" t="inlineStr">
        <is>
          <t>HF-edo-1.0m (IDIEM)</t>
        </is>
      </c>
      <c r="C65" t="n">
        <v>2451.7</v>
      </c>
      <c r="D65" t="n">
        <v>4.971</v>
      </c>
      <c r="E65" t="n">
        <v>0.177</v>
      </c>
      <c r="F65" t="n">
        <v>302</v>
      </c>
      <c r="G65" t="inlineStr">
        <is>
          <t>tabla IDIEM; σ kg/cm²×98.0665; e con Gs 2.60 (estimado)</t>
        </is>
      </c>
    </row>
    <row r="66">
      <c r="A66" t="inlineStr">
        <is>
          <t>W2022</t>
        </is>
      </c>
      <c r="B66" t="inlineStr">
        <is>
          <t>HF-edo-1.0m (IDIEM)</t>
        </is>
      </c>
      <c r="C66" t="n">
        <v>1961.3</v>
      </c>
      <c r="D66" t="n">
        <v>4.943</v>
      </c>
      <c r="E66" t="n">
        <v>0.177</v>
      </c>
      <c r="F66" t="n">
        <v>302</v>
      </c>
      <c r="G66" t="inlineStr">
        <is>
          <t>tabla IDIEM; σ kg/cm²×98.0665; e con Gs 2.60 (estimado)</t>
        </is>
      </c>
    </row>
    <row r="67">
      <c r="A67" t="inlineStr">
        <is>
          <t>W2022</t>
        </is>
      </c>
      <c r="B67" t="inlineStr">
        <is>
          <t>HF-edo-1.0m (IDIEM)</t>
        </is>
      </c>
      <c r="C67" t="n">
        <v>1471</v>
      </c>
      <c r="D67" t="n">
        <v>4.914</v>
      </c>
      <c r="E67" t="n">
        <v>0.177</v>
      </c>
      <c r="F67" t="n">
        <v>302</v>
      </c>
      <c r="G67" t="inlineStr">
        <is>
          <t>tabla IDIEM; σ kg/cm²×98.0665; e con Gs 2.60 (estimado)</t>
        </is>
      </c>
    </row>
    <row r="68">
      <c r="A68" t="inlineStr">
        <is>
          <t>W2022</t>
        </is>
      </c>
      <c r="B68" t="inlineStr">
        <is>
          <t>HF-edo-1.0m (IDIEM)</t>
        </is>
      </c>
      <c r="C68" t="n">
        <v>980.7</v>
      </c>
      <c r="D68" t="n">
        <v>4.886</v>
      </c>
      <c r="E68" t="n">
        <v>0.178</v>
      </c>
      <c r="F68" t="n">
        <v>302</v>
      </c>
      <c r="G68" t="inlineStr">
        <is>
          <t>tabla IDIEM; σ kg/cm²×98.0665; e con Gs 2.60 (estimado)</t>
        </is>
      </c>
    </row>
    <row r="69">
      <c r="A69" t="inlineStr">
        <is>
          <t>W2022</t>
        </is>
      </c>
      <c r="B69" t="inlineStr">
        <is>
          <t>HF-edo-1.0m (IDIEM)</t>
        </is>
      </c>
      <c r="C69" t="n">
        <v>490.3</v>
      </c>
      <c r="D69" t="n">
        <v>4.886</v>
      </c>
      <c r="E69" t="n">
        <v>0.178</v>
      </c>
      <c r="F69" t="n">
        <v>302</v>
      </c>
      <c r="G69" t="inlineStr">
        <is>
          <t>tabla IDIEM; σ kg/cm²×98.0665; e con Gs 2.60 (estimado)</t>
        </is>
      </c>
    </row>
    <row r="70">
      <c r="A70" t="inlineStr">
        <is>
          <t>W2022</t>
        </is>
      </c>
      <c r="B70" t="inlineStr">
        <is>
          <t>HF-edo-1.0m (IDIEM)</t>
        </is>
      </c>
      <c r="C70" t="n">
        <v>0</v>
      </c>
      <c r="D70" t="n">
        <v>4.743</v>
      </c>
      <c r="E70" t="n">
        <v>0.179</v>
      </c>
      <c r="F70" t="n">
        <v>302</v>
      </c>
      <c r="G70" t="inlineStr">
        <is>
          <t>tabla IDIEM; σ kg/cm²×98.0665; e con Gs 2.60 (estimado)</t>
        </is>
      </c>
    </row>
    <row r="71">
      <c r="A71" t="inlineStr">
        <is>
          <t>W2022</t>
        </is>
      </c>
      <c r="B71" t="inlineStr">
        <is>
          <t>MN-edo-1.0m-2021 (IDIEM)</t>
        </is>
      </c>
      <c r="C71" t="n">
        <v>0</v>
      </c>
      <c r="D71" t="n">
        <v>0</v>
      </c>
      <c r="E71" t="n">
        <v>0.238</v>
      </c>
      <c r="F71" t="n">
        <v>324</v>
      </c>
      <c r="G71" t="inlineStr">
        <is>
          <t>tabla IDIEM; e con Gs 2.60 (estimado)</t>
        </is>
      </c>
    </row>
    <row r="72">
      <c r="A72" t="inlineStr">
        <is>
          <t>W2022</t>
        </is>
      </c>
      <c r="B72" t="inlineStr">
        <is>
          <t>MN-edo-1.0m-2021 (IDIEM)</t>
        </is>
      </c>
      <c r="C72" t="n">
        <v>0</v>
      </c>
      <c r="D72" t="n">
        <v>0.229</v>
      </c>
      <c r="E72" t="n">
        <v>0.235</v>
      </c>
      <c r="F72" t="n">
        <v>324</v>
      </c>
      <c r="G72" t="inlineStr">
        <is>
          <t>tabla IDIEM; e con Gs 2.60 (estimado)</t>
        </is>
      </c>
    </row>
    <row r="73">
      <c r="A73" t="inlineStr">
        <is>
          <t>W2022</t>
        </is>
      </c>
      <c r="B73" t="inlineStr">
        <is>
          <t>MN-edo-1.0m-2021 (IDIEM)</t>
        </is>
      </c>
      <c r="C73" t="n">
        <v>196.1</v>
      </c>
      <c r="D73" t="n">
        <v>2.186</v>
      </c>
      <c r="E73" t="n">
        <v>0.211</v>
      </c>
      <c r="F73" t="n">
        <v>324</v>
      </c>
      <c r="G73" t="inlineStr">
        <is>
          <t>tabla IDIEM; e con Gs 2.60 (estimado)</t>
        </is>
      </c>
    </row>
    <row r="74">
      <c r="A74" t="inlineStr">
        <is>
          <t>W2022</t>
        </is>
      </c>
      <c r="B74" t="inlineStr">
        <is>
          <t>MN-edo-1.0m-2021 (IDIEM)</t>
        </is>
      </c>
      <c r="C74" t="n">
        <v>392.3</v>
      </c>
      <c r="D74" t="n">
        <v>2.571</v>
      </c>
      <c r="E74" t="n">
        <v>0.206</v>
      </c>
      <c r="F74" t="n">
        <v>324</v>
      </c>
      <c r="G74" t="inlineStr">
        <is>
          <t>tabla IDIEM; e con Gs 2.60 (estimado)</t>
        </is>
      </c>
    </row>
    <row r="75">
      <c r="A75" t="inlineStr">
        <is>
          <t>W2022</t>
        </is>
      </c>
      <c r="B75" t="inlineStr">
        <is>
          <t>MN-edo-1.0m-2021 (IDIEM)</t>
        </is>
      </c>
      <c r="C75" t="n">
        <v>588.4</v>
      </c>
      <c r="D75" t="n">
        <v>2.9</v>
      </c>
      <c r="E75" t="n">
        <v>0.202</v>
      </c>
      <c r="F75" t="n">
        <v>324</v>
      </c>
      <c r="G75" t="inlineStr">
        <is>
          <t>tabla IDIEM; e con Gs 2.60 (estimado)</t>
        </is>
      </c>
    </row>
    <row r="76">
      <c r="A76" t="inlineStr">
        <is>
          <t>W2022</t>
        </is>
      </c>
      <c r="B76" t="inlineStr">
        <is>
          <t>MN-edo-1.0m-2021 (IDIEM)</t>
        </is>
      </c>
      <c r="C76" t="n">
        <v>784.5</v>
      </c>
      <c r="D76" t="n">
        <v>3.086</v>
      </c>
      <c r="E76" t="n">
        <v>0.2</v>
      </c>
      <c r="F76" t="n">
        <v>324</v>
      </c>
      <c r="G76" t="inlineStr">
        <is>
          <t>tabla IDIEM; e con Gs 2.60 (estimado)</t>
        </is>
      </c>
    </row>
    <row r="77">
      <c r="A77" t="inlineStr">
        <is>
          <t>W2022</t>
        </is>
      </c>
      <c r="B77" t="inlineStr">
        <is>
          <t>MN-edo-1.0m-2021 (IDIEM)</t>
        </is>
      </c>
      <c r="C77" t="n">
        <v>980.7</v>
      </c>
      <c r="D77" t="n">
        <v>3.329</v>
      </c>
      <c r="E77" t="n">
        <v>0.197</v>
      </c>
      <c r="F77" t="n">
        <v>324</v>
      </c>
      <c r="G77" t="inlineStr">
        <is>
          <t>tabla IDIEM; e con Gs 2.60 (estimado)</t>
        </is>
      </c>
    </row>
    <row r="78">
      <c r="A78" t="inlineStr">
        <is>
          <t>W2022</t>
        </is>
      </c>
      <c r="B78" t="inlineStr">
        <is>
          <t>MN-edo-1.0m-2021 (IDIEM)</t>
        </is>
      </c>
      <c r="C78" t="n">
        <v>1176.8</v>
      </c>
      <c r="D78" t="n">
        <v>3.714</v>
      </c>
      <c r="E78" t="n">
        <v>0.192</v>
      </c>
      <c r="F78" t="n">
        <v>324</v>
      </c>
      <c r="G78" t="inlineStr">
        <is>
          <t>tabla IDIEM; e con Gs 2.60 (estimado)</t>
        </is>
      </c>
    </row>
    <row r="79">
      <c r="A79" t="inlineStr">
        <is>
          <t>W2022</t>
        </is>
      </c>
      <c r="B79" t="inlineStr">
        <is>
          <t>MN-edo-1.0m-2021 (IDIEM)</t>
        </is>
      </c>
      <c r="C79" t="n">
        <v>1372.9</v>
      </c>
      <c r="D79" t="n">
        <v>3.929</v>
      </c>
      <c r="E79" t="n">
        <v>0.189</v>
      </c>
      <c r="F79" t="n">
        <v>324</v>
      </c>
      <c r="G79" t="inlineStr">
        <is>
          <t>tabla IDIEM; e con Gs 2.60 (estimado)</t>
        </is>
      </c>
    </row>
    <row r="80">
      <c r="A80" t="inlineStr">
        <is>
          <t>W2022</t>
        </is>
      </c>
      <c r="B80" t="inlineStr">
        <is>
          <t>MN-edo-1.0m-2021 (IDIEM)</t>
        </is>
      </c>
      <c r="C80" t="n">
        <v>1569.1</v>
      </c>
      <c r="D80" t="n">
        <v>4.071</v>
      </c>
      <c r="E80" t="n">
        <v>0.188</v>
      </c>
      <c r="F80" t="n">
        <v>324</v>
      </c>
      <c r="G80" t="inlineStr">
        <is>
          <t>tabla IDIEM; e con Gs 2.60 (estimado)</t>
        </is>
      </c>
    </row>
    <row r="81">
      <c r="A81" t="inlineStr">
        <is>
          <t>W2022</t>
        </is>
      </c>
      <c r="B81" t="inlineStr">
        <is>
          <t>MN-edo-1.0m-2021 (IDIEM)</t>
        </is>
      </c>
      <c r="C81" t="n">
        <v>1765.2</v>
      </c>
      <c r="D81" t="n">
        <v>4.186</v>
      </c>
      <c r="E81" t="n">
        <v>0.186</v>
      </c>
      <c r="F81" t="n">
        <v>324</v>
      </c>
      <c r="G81" t="inlineStr">
        <is>
          <t>tabla IDIEM; e con Gs 2.60 (estimado)</t>
        </is>
      </c>
    </row>
    <row r="82">
      <c r="A82" t="inlineStr">
        <is>
          <t>W2022</t>
        </is>
      </c>
      <c r="B82" t="inlineStr">
        <is>
          <t>MN-edo-1.0m-2021 (IDIEM)</t>
        </is>
      </c>
      <c r="C82" t="n">
        <v>1961.3</v>
      </c>
      <c r="D82" t="n">
        <v>4.357</v>
      </c>
      <c r="E82" t="n">
        <v>0.184</v>
      </c>
      <c r="F82" t="n">
        <v>324</v>
      </c>
      <c r="G82" t="inlineStr">
        <is>
          <t>tabla IDIEM; e con Gs 2.60 (estimado)</t>
        </is>
      </c>
    </row>
    <row r="83">
      <c r="A83" t="inlineStr">
        <is>
          <t>W2022</t>
        </is>
      </c>
      <c r="B83" t="inlineStr">
        <is>
          <t>MN-edo-1.0m-2021 (IDIEM)</t>
        </is>
      </c>
      <c r="C83" t="n">
        <v>2157.5</v>
      </c>
      <c r="D83" t="n">
        <v>4.529</v>
      </c>
      <c r="E83" t="n">
        <v>0.182</v>
      </c>
      <c r="F83" t="n">
        <v>324</v>
      </c>
      <c r="G83" t="inlineStr">
        <is>
          <t>tabla IDIEM; e con Gs 2.60 (estimado)</t>
        </is>
      </c>
    </row>
    <row r="84">
      <c r="A84" t="inlineStr">
        <is>
          <t>W2022</t>
        </is>
      </c>
      <c r="B84" t="inlineStr">
        <is>
          <t>MN-edo-1.0m-2021 (IDIEM)</t>
        </is>
      </c>
      <c r="C84" t="n">
        <v>2353.6</v>
      </c>
      <c r="D84" t="n">
        <v>4.686</v>
      </c>
      <c r="E84" t="n">
        <v>0.18</v>
      </c>
      <c r="F84" t="n">
        <v>324</v>
      </c>
      <c r="G84" t="inlineStr">
        <is>
          <t>tabla IDIEM; e con Gs 2.60 (estimado)</t>
        </is>
      </c>
    </row>
    <row r="85">
      <c r="A85" t="inlineStr">
        <is>
          <t>W2022</t>
        </is>
      </c>
      <c r="B85" t="inlineStr">
        <is>
          <t>MN-edo-1.0m-2021 (IDIEM)</t>
        </is>
      </c>
      <c r="C85" t="n">
        <v>2549.7</v>
      </c>
      <c r="D85" t="n">
        <v>4.829</v>
      </c>
      <c r="E85" t="n">
        <v>0.178</v>
      </c>
      <c r="F85" t="n">
        <v>324</v>
      </c>
      <c r="G85" t="inlineStr">
        <is>
          <t>tabla IDIEM; e con Gs 2.60 (estimado)</t>
        </is>
      </c>
    </row>
    <row r="86">
      <c r="A86" t="inlineStr">
        <is>
          <t>W2022</t>
        </is>
      </c>
      <c r="B86" t="inlineStr">
        <is>
          <t>MN-edo-1.0m-2021 (IDIEM)</t>
        </is>
      </c>
      <c r="C86" t="n">
        <v>2745.9</v>
      </c>
      <c r="D86" t="n">
        <v>4.929</v>
      </c>
      <c r="E86" t="n">
        <v>0.177</v>
      </c>
      <c r="F86" t="n">
        <v>324</v>
      </c>
      <c r="G86" t="inlineStr">
        <is>
          <t>tabla IDIEM; e con Gs 2.60 (estimado)</t>
        </is>
      </c>
    </row>
    <row r="87">
      <c r="A87" t="inlineStr">
        <is>
          <t>W2022</t>
        </is>
      </c>
      <c r="B87" t="inlineStr">
        <is>
          <t>MN-edo-1.0m-2021 (IDIEM)</t>
        </is>
      </c>
      <c r="C87" t="n">
        <v>2942</v>
      </c>
      <c r="D87" t="n">
        <v>5.043</v>
      </c>
      <c r="E87" t="n">
        <v>0.176</v>
      </c>
      <c r="F87" t="n">
        <v>324</v>
      </c>
      <c r="G87" t="inlineStr">
        <is>
          <t>tabla IDIEM; e con Gs 2.60 (estimado)</t>
        </is>
      </c>
    </row>
    <row r="88">
      <c r="A88" t="inlineStr">
        <is>
          <t>W2022</t>
        </is>
      </c>
      <c r="B88" t="inlineStr">
        <is>
          <t>MN-edo-1.0m-2021 (IDIEM)</t>
        </is>
      </c>
      <c r="C88" t="n">
        <v>3138.1</v>
      </c>
      <c r="D88" t="n">
        <v>5.171</v>
      </c>
      <c r="E88" t="n">
        <v>0.174</v>
      </c>
      <c r="F88" t="n">
        <v>324</v>
      </c>
      <c r="G88" t="inlineStr">
        <is>
          <t>tabla IDIEM; e con Gs 2.60 (estimado)</t>
        </is>
      </c>
    </row>
    <row r="89">
      <c r="A89" t="inlineStr">
        <is>
          <t>W2022</t>
        </is>
      </c>
      <c r="B89" t="inlineStr">
        <is>
          <t>MN-edo-1.0m-2021 (IDIEM)</t>
        </is>
      </c>
      <c r="C89" t="n">
        <v>3334.3</v>
      </c>
      <c r="D89" t="n">
        <v>5.257</v>
      </c>
      <c r="E89" t="n">
        <v>0.173</v>
      </c>
      <c r="F89" t="n">
        <v>324</v>
      </c>
      <c r="G89" t="inlineStr">
        <is>
          <t>tabla IDIEM; e con Gs 2.60 (estimado)</t>
        </is>
      </c>
    </row>
    <row r="90">
      <c r="A90" t="inlineStr">
        <is>
          <t>W2022</t>
        </is>
      </c>
      <c r="B90" t="inlineStr">
        <is>
          <t>MN-edo-1.0m-2021 (IDIEM)</t>
        </is>
      </c>
      <c r="C90" t="n">
        <v>3530.4</v>
      </c>
      <c r="D90" t="n">
        <v>5.314</v>
      </c>
      <c r="E90" t="n">
        <v>0.172</v>
      </c>
      <c r="F90" t="n">
        <v>324</v>
      </c>
      <c r="G90" t="inlineStr">
        <is>
          <t>tabla IDIEM; e con Gs 2.60 (estimado)</t>
        </is>
      </c>
    </row>
    <row r="91">
      <c r="A91" t="inlineStr">
        <is>
          <t>W2022</t>
        </is>
      </c>
      <c r="B91" t="inlineStr">
        <is>
          <t>MN-edo-1.0m-2021 (IDIEM)</t>
        </is>
      </c>
      <c r="C91" t="n">
        <v>3726.5</v>
      </c>
      <c r="D91" t="n">
        <v>5.4</v>
      </c>
      <c r="E91" t="n">
        <v>0.171</v>
      </c>
      <c r="F91" t="n">
        <v>324</v>
      </c>
      <c r="G91" t="inlineStr">
        <is>
          <t>tabla IDIEM; e con Gs 2.60 (estimado)</t>
        </is>
      </c>
    </row>
    <row r="92">
      <c r="A92" t="inlineStr">
        <is>
          <t>W2022</t>
        </is>
      </c>
      <c r="B92" t="inlineStr">
        <is>
          <t>MN-edo-1.0m-2021 (IDIEM)</t>
        </is>
      </c>
      <c r="C92" t="n">
        <v>3922.7</v>
      </c>
      <c r="D92" t="n">
        <v>5.657</v>
      </c>
      <c r="E92" t="n">
        <v>0.168</v>
      </c>
      <c r="F92" t="n">
        <v>324</v>
      </c>
      <c r="G92" t="inlineStr">
        <is>
          <t>tabla IDIEM; e con Gs 2.60 (estimado)</t>
        </is>
      </c>
    </row>
    <row r="93">
      <c r="A93" t="inlineStr">
        <is>
          <t>W2022</t>
        </is>
      </c>
      <c r="B93" t="inlineStr">
        <is>
          <t>MN-edo-1.0m-2021 (IDIEM)</t>
        </is>
      </c>
      <c r="C93" t="n">
        <v>4118.8</v>
      </c>
      <c r="D93" t="n">
        <v>5.7</v>
      </c>
      <c r="E93" t="n">
        <v>0.168</v>
      </c>
      <c r="F93" t="n">
        <v>324</v>
      </c>
      <c r="G93" t="inlineStr">
        <is>
          <t>tabla IDIEM; e con Gs 2.60 (estimado)</t>
        </is>
      </c>
    </row>
    <row r="94">
      <c r="A94" t="inlineStr">
        <is>
          <t>W2022</t>
        </is>
      </c>
      <c r="B94" t="inlineStr">
        <is>
          <t>MN-edo-1.0m-2021 (IDIEM)</t>
        </is>
      </c>
      <c r="C94" t="n">
        <v>4314.9</v>
      </c>
      <c r="D94" t="n">
        <v>5.829</v>
      </c>
      <c r="E94" t="n">
        <v>0.166</v>
      </c>
      <c r="F94" t="n">
        <v>324</v>
      </c>
      <c r="G94" t="inlineStr">
        <is>
          <t>tabla IDIEM; e con Gs 2.60 (estimado)</t>
        </is>
      </c>
    </row>
    <row r="95">
      <c r="A95" t="inlineStr">
        <is>
          <t>W2022</t>
        </is>
      </c>
      <c r="B95" t="inlineStr">
        <is>
          <t>MN-edo-1.0m-2021 (IDIEM)</t>
        </is>
      </c>
      <c r="C95" t="n">
        <v>4511.1</v>
      </c>
      <c r="D95" t="n">
        <v>5.9</v>
      </c>
      <c r="E95" t="n">
        <v>0.165</v>
      </c>
      <c r="F95" t="n">
        <v>324</v>
      </c>
      <c r="G95" t="inlineStr">
        <is>
          <t>tabla IDIEM; e con Gs 2.60 (estimado)</t>
        </is>
      </c>
    </row>
    <row r="96">
      <c r="A96" t="inlineStr">
        <is>
          <t>W2022</t>
        </is>
      </c>
      <c r="B96" t="inlineStr">
        <is>
          <t>MN-edo-1.0m-2021 (IDIEM)</t>
        </is>
      </c>
      <c r="C96" t="n">
        <v>4707.2</v>
      </c>
      <c r="D96" t="n">
        <v>5.929</v>
      </c>
      <c r="E96" t="n">
        <v>0.165</v>
      </c>
      <c r="F96" t="n">
        <v>324</v>
      </c>
      <c r="G96" t="inlineStr">
        <is>
          <t>tabla IDIEM; e con Gs 2.60 (estimado)</t>
        </is>
      </c>
    </row>
    <row r="97">
      <c r="A97" t="inlineStr">
        <is>
          <t>W2022</t>
        </is>
      </c>
      <c r="B97" t="inlineStr">
        <is>
          <t>MN-edo-1.0m-2021 (IDIEM)</t>
        </is>
      </c>
      <c r="C97" t="n">
        <v>4903.3</v>
      </c>
      <c r="D97" t="n">
        <v>5.957</v>
      </c>
      <c r="E97" t="n">
        <v>0.164</v>
      </c>
      <c r="F97" t="n">
        <v>324</v>
      </c>
      <c r="G97" t="inlineStr">
        <is>
          <t>tabla IDIEM; e con Gs 2.60 (estimado)</t>
        </is>
      </c>
    </row>
    <row r="98">
      <c r="A98" t="inlineStr">
        <is>
          <t>W2022</t>
        </is>
      </c>
      <c r="B98" t="inlineStr">
        <is>
          <t>MN-edo-1.0m-2021 (IDIEM)</t>
        </is>
      </c>
      <c r="C98" t="n">
        <v>5099.5</v>
      </c>
      <c r="D98" t="n">
        <v>5.986</v>
      </c>
      <c r="E98" t="n">
        <v>0.164</v>
      </c>
      <c r="F98" t="n">
        <v>324</v>
      </c>
      <c r="G98" t="inlineStr">
        <is>
          <t>tabla IDIEM; e con Gs 2.60 (estimado)</t>
        </is>
      </c>
    </row>
    <row r="99">
      <c r="A99" t="inlineStr">
        <is>
          <t>W2022</t>
        </is>
      </c>
      <c r="B99" t="inlineStr">
        <is>
          <t>MN-edo-1.0m-2021 (IDIEM)</t>
        </is>
      </c>
      <c r="C99" t="n">
        <v>5295.6</v>
      </c>
      <c r="D99" t="n">
        <v>6.014</v>
      </c>
      <c r="E99" t="n">
        <v>0.164</v>
      </c>
      <c r="F99" t="n">
        <v>324</v>
      </c>
      <c r="G99" t="inlineStr">
        <is>
          <t>tabla IDIEM; e con Gs 2.60 (estimado)</t>
        </is>
      </c>
    </row>
    <row r="100">
      <c r="A100" t="inlineStr">
        <is>
          <t>W2022</t>
        </is>
      </c>
      <c r="B100" t="inlineStr">
        <is>
          <t>MN-edo-1.0m-2021 (IDIEM)</t>
        </is>
      </c>
      <c r="C100" t="n">
        <v>5491.7</v>
      </c>
      <c r="D100" t="n">
        <v>6.057</v>
      </c>
      <c r="E100" t="n">
        <v>0.163</v>
      </c>
      <c r="F100" t="n">
        <v>324</v>
      </c>
      <c r="G100" t="inlineStr">
        <is>
          <t>tabla IDIEM; e con Gs 2.60 (estimado)</t>
        </is>
      </c>
    </row>
    <row r="101">
      <c r="A101" t="inlineStr">
        <is>
          <t>W2022</t>
        </is>
      </c>
      <c r="B101" t="inlineStr">
        <is>
          <t>MN-edo-1.0m-2021 (IDIEM)</t>
        </is>
      </c>
      <c r="C101" t="n">
        <v>5687.9</v>
      </c>
      <c r="D101" t="n">
        <v>6.086</v>
      </c>
      <c r="E101" t="n">
        <v>0.163</v>
      </c>
      <c r="F101" t="n">
        <v>324</v>
      </c>
      <c r="G101" t="inlineStr">
        <is>
          <t>tabla IDIEM; e con Gs 2.60 (estimado)</t>
        </is>
      </c>
    </row>
    <row r="102">
      <c r="A102" t="inlineStr">
        <is>
          <t>W2022</t>
        </is>
      </c>
      <c r="B102" t="inlineStr">
        <is>
          <t>MN-edo-1.0m-2021 (IDIEM)</t>
        </is>
      </c>
      <c r="C102" t="n">
        <v>5884</v>
      </c>
      <c r="D102" t="n">
        <v>6.114</v>
      </c>
      <c r="E102" t="n">
        <v>0.162</v>
      </c>
      <c r="F102" t="n">
        <v>324</v>
      </c>
      <c r="G102" t="inlineStr">
        <is>
          <t>tabla IDIEM; e con Gs 2.60 (estimado)</t>
        </is>
      </c>
    </row>
    <row r="103">
      <c r="A103" t="inlineStr">
        <is>
          <t>W2022</t>
        </is>
      </c>
      <c r="B103" t="inlineStr">
        <is>
          <t>MN-edo-1.0m-2021 (IDIEM)</t>
        </is>
      </c>
      <c r="C103" t="n">
        <v>4903.3</v>
      </c>
      <c r="D103" t="n">
        <v>6.1</v>
      </c>
      <c r="E103" t="n">
        <v>0.163</v>
      </c>
      <c r="F103" t="n">
        <v>324</v>
      </c>
      <c r="G103" t="inlineStr">
        <is>
          <t>tabla IDIEM; e con Gs 2.60 (estimado)</t>
        </is>
      </c>
    </row>
    <row r="104">
      <c r="A104" t="inlineStr">
        <is>
          <t>W2022</t>
        </is>
      </c>
      <c r="B104" t="inlineStr">
        <is>
          <t>MN-edo-1.0m-2021 (IDIEM)</t>
        </is>
      </c>
      <c r="C104" t="n">
        <v>3922.7</v>
      </c>
      <c r="D104" t="n">
        <v>6.114</v>
      </c>
      <c r="E104" t="n">
        <v>0.162</v>
      </c>
      <c r="F104" t="n">
        <v>324</v>
      </c>
      <c r="G104" t="inlineStr">
        <is>
          <t>tabla IDIEM; e con Gs 2.60 (estimado)</t>
        </is>
      </c>
    </row>
    <row r="105">
      <c r="A105" t="inlineStr">
        <is>
          <t>W2022</t>
        </is>
      </c>
      <c r="B105" t="inlineStr">
        <is>
          <t>MN-edo-1.0m-2021 (IDIEM)</t>
        </is>
      </c>
      <c r="C105" t="n">
        <v>3530.4</v>
      </c>
      <c r="D105" t="n">
        <v>6.114</v>
      </c>
      <c r="E105" t="n">
        <v>0.162</v>
      </c>
      <c r="F105" t="n">
        <v>324</v>
      </c>
      <c r="G105" t="inlineStr">
        <is>
          <t>tabla IDIEM; e con Gs 2.60 (estimado)</t>
        </is>
      </c>
    </row>
    <row r="106">
      <c r="A106" t="inlineStr">
        <is>
          <t>W2022</t>
        </is>
      </c>
      <c r="B106" t="inlineStr">
        <is>
          <t>MN-edo-1.0m-2021 (IDIEM)</t>
        </is>
      </c>
      <c r="C106" t="n">
        <v>3138.1</v>
      </c>
      <c r="D106" t="n">
        <v>6.114</v>
      </c>
      <c r="E106" t="n">
        <v>0.162</v>
      </c>
      <c r="F106" t="n">
        <v>324</v>
      </c>
      <c r="G106" t="inlineStr">
        <is>
          <t>tabla IDIEM; e con Gs 2.60 (estimado)</t>
        </is>
      </c>
    </row>
    <row r="107">
      <c r="A107" t="inlineStr">
        <is>
          <t>W2022</t>
        </is>
      </c>
      <c r="B107" t="inlineStr">
        <is>
          <t>MN-edo-1.0m-2021 (IDIEM)</t>
        </is>
      </c>
      <c r="C107" t="n">
        <v>2745.9</v>
      </c>
      <c r="D107" t="n">
        <v>6.1</v>
      </c>
      <c r="E107" t="n">
        <v>0.163</v>
      </c>
      <c r="F107" t="n">
        <v>324</v>
      </c>
      <c r="G107" t="inlineStr">
        <is>
          <t>tabla IDIEM; e con Gs 2.60 (estimado)</t>
        </is>
      </c>
    </row>
    <row r="108">
      <c r="A108" t="inlineStr">
        <is>
          <t>W2022</t>
        </is>
      </c>
      <c r="B108" t="inlineStr">
        <is>
          <t>MN-edo-1.0m-2021 (IDIEM)</t>
        </is>
      </c>
      <c r="C108" t="n">
        <v>2353.6</v>
      </c>
      <c r="D108" t="n">
        <v>6.1</v>
      </c>
      <c r="E108" t="n">
        <v>0.163</v>
      </c>
      <c r="F108" t="n">
        <v>324</v>
      </c>
      <c r="G108" t="inlineStr">
        <is>
          <t>tabla IDIEM; e con Gs 2.60 (estimado)</t>
        </is>
      </c>
    </row>
    <row r="109">
      <c r="A109" t="inlineStr">
        <is>
          <t>W2022</t>
        </is>
      </c>
      <c r="B109" t="inlineStr">
        <is>
          <t>MN-edo-1.0m-2021 (IDIEM)</t>
        </is>
      </c>
      <c r="C109" t="n">
        <v>1961.3</v>
      </c>
      <c r="D109" t="n">
        <v>6.1</v>
      </c>
      <c r="E109" t="n">
        <v>0.163</v>
      </c>
      <c r="F109" t="n">
        <v>324</v>
      </c>
      <c r="G109" t="inlineStr">
        <is>
          <t>tabla IDIEM; e con Gs 2.60 (estimado)</t>
        </is>
      </c>
    </row>
    <row r="110">
      <c r="A110" t="inlineStr">
        <is>
          <t>W2022</t>
        </is>
      </c>
      <c r="B110" t="inlineStr">
        <is>
          <t>MN-edo-1.0m-2021 (IDIEM)</t>
        </is>
      </c>
      <c r="C110" t="n">
        <v>1569.1</v>
      </c>
      <c r="D110" t="n">
        <v>6.1</v>
      </c>
      <c r="E110" t="n">
        <v>0.163</v>
      </c>
      <c r="F110" t="n">
        <v>324</v>
      </c>
      <c r="G110" t="inlineStr">
        <is>
          <t>tabla IDIEM; e con Gs 2.60 (estimado)</t>
        </is>
      </c>
    </row>
    <row r="111">
      <c r="A111" t="inlineStr">
        <is>
          <t>W2022</t>
        </is>
      </c>
      <c r="B111" t="inlineStr">
        <is>
          <t>MN-edo-1.0m-2021 (IDIEM)</t>
        </is>
      </c>
      <c r="C111" t="n">
        <v>1176.8</v>
      </c>
      <c r="D111" t="n">
        <v>6.057</v>
      </c>
      <c r="E111" t="n">
        <v>0.163</v>
      </c>
      <c r="F111" t="n">
        <v>324</v>
      </c>
      <c r="G111" t="inlineStr">
        <is>
          <t>tabla IDIEM; e con Gs 2.60 (estimado)</t>
        </is>
      </c>
    </row>
    <row r="112">
      <c r="A112" t="inlineStr">
        <is>
          <t>W2022</t>
        </is>
      </c>
      <c r="B112" t="inlineStr">
        <is>
          <t>MN-edo-1.0m-2021 (IDIEM)</t>
        </is>
      </c>
      <c r="C112" t="n">
        <v>2157.5</v>
      </c>
      <c r="D112" t="n">
        <v>6.157</v>
      </c>
      <c r="E112" t="n">
        <v>0.162</v>
      </c>
      <c r="F112" t="n">
        <v>324</v>
      </c>
      <c r="G112" t="inlineStr">
        <is>
          <t>tabla IDIEM; e con Gs 2.60 (estimado)</t>
        </is>
      </c>
    </row>
    <row r="113">
      <c r="A113" t="inlineStr">
        <is>
          <t>W2022</t>
        </is>
      </c>
      <c r="B113" t="inlineStr">
        <is>
          <t>MN-edo-1.0m-2021 (IDIEM)</t>
        </is>
      </c>
      <c r="C113" t="n">
        <v>3138.1</v>
      </c>
      <c r="D113" t="n">
        <v>6.171</v>
      </c>
      <c r="E113" t="n">
        <v>0.162</v>
      </c>
      <c r="F113" t="n">
        <v>324</v>
      </c>
      <c r="G113" t="inlineStr">
        <is>
          <t>tabla IDIEM; e con Gs 2.60 (estimado)</t>
        </is>
      </c>
    </row>
    <row r="114">
      <c r="A114" t="inlineStr">
        <is>
          <t>W2022</t>
        </is>
      </c>
      <c r="B114" t="inlineStr">
        <is>
          <t>MN-edo-1.0m-2021 (IDIEM)</t>
        </is>
      </c>
      <c r="C114" t="n">
        <v>3530.4</v>
      </c>
      <c r="D114" t="n">
        <v>6.186</v>
      </c>
      <c r="E114" t="n">
        <v>0.162</v>
      </c>
      <c r="F114" t="n">
        <v>324</v>
      </c>
      <c r="G114" t="inlineStr">
        <is>
          <t>tabla IDIEM; e con Gs 2.60 (estimado)</t>
        </is>
      </c>
    </row>
    <row r="115">
      <c r="A115" t="inlineStr">
        <is>
          <t>W2022</t>
        </is>
      </c>
      <c r="B115" t="inlineStr">
        <is>
          <t>MN-edo-1.0m-2021 (IDIEM)</t>
        </is>
      </c>
      <c r="C115" t="n">
        <v>3922.7</v>
      </c>
      <c r="D115" t="n">
        <v>6.2</v>
      </c>
      <c r="E115" t="n">
        <v>0.161</v>
      </c>
      <c r="F115" t="n">
        <v>324</v>
      </c>
      <c r="G115" t="inlineStr">
        <is>
          <t>tabla IDIEM; e con Gs 2.60 (estimado)</t>
        </is>
      </c>
    </row>
    <row r="116">
      <c r="A116" t="inlineStr">
        <is>
          <t>W2022</t>
        </is>
      </c>
      <c r="B116" t="inlineStr">
        <is>
          <t>MN-edo-1.0m-2021 (IDIEM)</t>
        </is>
      </c>
      <c r="C116" t="n">
        <v>4314.9</v>
      </c>
      <c r="D116" t="n">
        <v>6.2</v>
      </c>
      <c r="E116" t="n">
        <v>0.161</v>
      </c>
      <c r="F116" t="n">
        <v>324</v>
      </c>
      <c r="G116" t="inlineStr">
        <is>
          <t>tabla IDIEM; e con Gs 2.60 (estimado)</t>
        </is>
      </c>
    </row>
    <row r="117">
      <c r="A117" t="inlineStr">
        <is>
          <t>W2022</t>
        </is>
      </c>
      <c r="B117" t="inlineStr">
        <is>
          <t>MN-edo-1.0m-2021 (IDIEM)</t>
        </is>
      </c>
      <c r="C117" t="n">
        <v>4707.2</v>
      </c>
      <c r="D117" t="n">
        <v>6.214</v>
      </c>
      <c r="E117" t="n">
        <v>0.161</v>
      </c>
      <c r="F117" t="n">
        <v>324</v>
      </c>
      <c r="G117" t="inlineStr">
        <is>
          <t>tabla IDIEM; e con Gs 2.60 (estimado)</t>
        </is>
      </c>
    </row>
    <row r="118">
      <c r="A118" t="inlineStr">
        <is>
          <t>W2022</t>
        </is>
      </c>
      <c r="B118" t="inlineStr">
        <is>
          <t>MN-edo-1.0m-2021 (IDIEM)</t>
        </is>
      </c>
      <c r="C118" t="n">
        <v>5099.5</v>
      </c>
      <c r="D118" t="n">
        <v>6.229</v>
      </c>
      <c r="E118" t="n">
        <v>0.161</v>
      </c>
      <c r="F118" t="n">
        <v>324</v>
      </c>
      <c r="G118" t="inlineStr">
        <is>
          <t>tabla IDIEM; e con Gs 2.60 (estimado)</t>
        </is>
      </c>
    </row>
    <row r="119">
      <c r="A119" t="inlineStr">
        <is>
          <t>W2022</t>
        </is>
      </c>
      <c r="B119" t="inlineStr">
        <is>
          <t>MN-edo-1.0m-2021 (IDIEM)</t>
        </is>
      </c>
      <c r="C119" t="n">
        <v>5295.6</v>
      </c>
      <c r="D119" t="n">
        <v>6.243</v>
      </c>
      <c r="E119" t="n">
        <v>0.161</v>
      </c>
      <c r="F119" t="n">
        <v>324</v>
      </c>
      <c r="G119" t="inlineStr">
        <is>
          <t>tabla IDIEM; e con Gs 2.60 (estimado)</t>
        </is>
      </c>
    </row>
    <row r="120">
      <c r="A120" t="inlineStr">
        <is>
          <t>W2022</t>
        </is>
      </c>
      <c r="B120" t="inlineStr">
        <is>
          <t>MN-edo-1.0m-2021 (IDIEM)</t>
        </is>
      </c>
      <c r="C120" t="n">
        <v>5491.7</v>
      </c>
      <c r="D120" t="n">
        <v>6.271</v>
      </c>
      <c r="E120" t="n">
        <v>0.16</v>
      </c>
      <c r="F120" t="n">
        <v>324</v>
      </c>
      <c r="G120" t="inlineStr">
        <is>
          <t>tabla IDIEM; e con Gs 2.60 (estimado)</t>
        </is>
      </c>
    </row>
    <row r="121">
      <c r="A121" t="inlineStr">
        <is>
          <t>W2022</t>
        </is>
      </c>
      <c r="B121" t="inlineStr">
        <is>
          <t>MN-edo-1.0m-2021 (IDIEM)</t>
        </is>
      </c>
      <c r="C121" t="n">
        <v>5687.9</v>
      </c>
      <c r="D121" t="n">
        <v>6.271</v>
      </c>
      <c r="E121" t="n">
        <v>0.16</v>
      </c>
      <c r="F121" t="n">
        <v>324</v>
      </c>
      <c r="G121" t="inlineStr">
        <is>
          <t>tabla IDIEM; e con Gs 2.60 (estimado)</t>
        </is>
      </c>
    </row>
    <row r="122">
      <c r="A122" t="inlineStr">
        <is>
          <t>W2022</t>
        </is>
      </c>
      <c r="B122" t="inlineStr">
        <is>
          <t>MN-edo-1.0m-2021 (IDIEM)</t>
        </is>
      </c>
      <c r="C122" t="n">
        <v>5884</v>
      </c>
      <c r="D122" t="n">
        <v>6.286</v>
      </c>
      <c r="E122" t="n">
        <v>0.16</v>
      </c>
      <c r="F122" t="n">
        <v>324</v>
      </c>
      <c r="G122" t="inlineStr">
        <is>
          <t>tabla IDIEM; e con Gs 2.60 (estimado)</t>
        </is>
      </c>
    </row>
    <row r="123">
      <c r="A123" t="inlineStr">
        <is>
          <t>W2022</t>
        </is>
      </c>
      <c r="B123" t="inlineStr">
        <is>
          <t>MN-edo-1.0m-2021 (IDIEM)</t>
        </is>
      </c>
      <c r="C123" t="n">
        <v>6080.1</v>
      </c>
      <c r="D123" t="n">
        <v>6.286</v>
      </c>
      <c r="E123" t="n">
        <v>0.16</v>
      </c>
      <c r="F123" t="n">
        <v>324</v>
      </c>
      <c r="G123" t="inlineStr">
        <is>
          <t>tabla IDIEM; e con Gs 2.60 (estimado)</t>
        </is>
      </c>
    </row>
    <row r="124">
      <c r="A124" t="inlineStr">
        <is>
          <t>W2022</t>
        </is>
      </c>
      <c r="B124" t="inlineStr">
        <is>
          <t>MN-edo-1.0m-2021 (IDIEM)</t>
        </is>
      </c>
      <c r="C124" t="n">
        <v>6276.3</v>
      </c>
      <c r="D124" t="n">
        <v>6.329</v>
      </c>
      <c r="E124" t="n">
        <v>0.16</v>
      </c>
      <c r="F124" t="n">
        <v>324</v>
      </c>
      <c r="G124" t="inlineStr">
        <is>
          <t>tabla IDIEM; e con Gs 2.60 (estimado)</t>
        </is>
      </c>
    </row>
    <row r="125">
      <c r="A125" t="inlineStr">
        <is>
          <t>W2022</t>
        </is>
      </c>
      <c r="B125" t="inlineStr">
        <is>
          <t>MN-edo-1.0m-2021 (IDIEM)</t>
        </is>
      </c>
      <c r="C125" t="n">
        <v>6472.4</v>
      </c>
      <c r="D125" t="n">
        <v>6.343</v>
      </c>
      <c r="E125" t="n">
        <v>0.16</v>
      </c>
      <c r="F125" t="n">
        <v>324</v>
      </c>
      <c r="G125" t="inlineStr">
        <is>
          <t>tabla IDIEM; e con Gs 2.60 (estimado)</t>
        </is>
      </c>
    </row>
    <row r="126">
      <c r="A126" t="inlineStr">
        <is>
          <t>W2022</t>
        </is>
      </c>
      <c r="B126" t="inlineStr">
        <is>
          <t>MN-edo-1.0m-2021 (IDIEM)</t>
        </is>
      </c>
      <c r="C126" t="n">
        <v>6668.5</v>
      </c>
      <c r="D126" t="n">
        <v>6.357</v>
      </c>
      <c r="E126" t="n">
        <v>0.159</v>
      </c>
      <c r="F126" t="n">
        <v>324</v>
      </c>
      <c r="G126" t="inlineStr">
        <is>
          <t>tabla IDIEM; e con Gs 2.60 (estimado)</t>
        </is>
      </c>
    </row>
    <row r="127">
      <c r="A127" t="inlineStr">
        <is>
          <t>W2022</t>
        </is>
      </c>
      <c r="B127" t="inlineStr">
        <is>
          <t>MN-edo-1.0m-2021 (IDIEM)</t>
        </is>
      </c>
      <c r="C127" t="n">
        <v>6864.7</v>
      </c>
      <c r="D127" t="n">
        <v>6.386</v>
      </c>
      <c r="E127" t="n">
        <v>0.159</v>
      </c>
      <c r="F127" t="n">
        <v>324</v>
      </c>
      <c r="G127" t="inlineStr">
        <is>
          <t>tabla IDIEM; e con Gs 2.60 (estimado)</t>
        </is>
      </c>
    </row>
    <row r="128">
      <c r="A128" t="inlineStr">
        <is>
          <t>W2022</t>
        </is>
      </c>
      <c r="B128" t="inlineStr">
        <is>
          <t>MN-edo-1.0m-2021 (IDIEM)</t>
        </is>
      </c>
      <c r="C128" t="n">
        <v>5884</v>
      </c>
      <c r="D128" t="n">
        <v>6.386</v>
      </c>
      <c r="E128" t="n">
        <v>0.159</v>
      </c>
      <c r="F128" t="n">
        <v>324</v>
      </c>
      <c r="G128" t="inlineStr">
        <is>
          <t>tabla IDIEM; e con Gs 2.60 (estimado)</t>
        </is>
      </c>
    </row>
    <row r="129">
      <c r="A129" t="inlineStr">
        <is>
          <t>W2022</t>
        </is>
      </c>
      <c r="B129" t="inlineStr">
        <is>
          <t>MN-edo-1.0m-2021 (IDIEM)</t>
        </is>
      </c>
      <c r="C129" t="n">
        <v>4903.3</v>
      </c>
      <c r="D129" t="n">
        <v>6.386</v>
      </c>
      <c r="E129" t="n">
        <v>0.159</v>
      </c>
      <c r="F129" t="n">
        <v>324</v>
      </c>
      <c r="G129" t="inlineStr">
        <is>
          <t>tabla IDIEM; e con Gs 2.60 (estimado)</t>
        </is>
      </c>
    </row>
    <row r="130">
      <c r="A130" t="inlineStr">
        <is>
          <t>W2022</t>
        </is>
      </c>
      <c r="B130" t="inlineStr">
        <is>
          <t>MN-edo-1.0m-2021 (IDIEM)</t>
        </is>
      </c>
      <c r="C130" t="n">
        <v>4413</v>
      </c>
      <c r="D130" t="n">
        <v>6.371</v>
      </c>
      <c r="E130" t="n">
        <v>0.159</v>
      </c>
      <c r="F130" t="n">
        <v>324</v>
      </c>
      <c r="G130" t="inlineStr">
        <is>
          <t>tabla IDIEM; e con Gs 2.60 (estimado)</t>
        </is>
      </c>
    </row>
    <row r="131">
      <c r="A131" t="inlineStr">
        <is>
          <t>W2022</t>
        </is>
      </c>
      <c r="B131" t="inlineStr">
        <is>
          <t>MN-edo-1.0m-2021 (IDIEM)</t>
        </is>
      </c>
      <c r="C131" t="n">
        <v>3922.7</v>
      </c>
      <c r="D131" t="n">
        <v>6.357</v>
      </c>
      <c r="E131" t="n">
        <v>0.159</v>
      </c>
      <c r="F131" t="n">
        <v>324</v>
      </c>
      <c r="G131" t="inlineStr">
        <is>
          <t>tabla IDIEM; e con Gs 2.60 (estimado)</t>
        </is>
      </c>
    </row>
    <row r="132">
      <c r="A132" t="inlineStr">
        <is>
          <t>W2022</t>
        </is>
      </c>
      <c r="B132" t="inlineStr">
        <is>
          <t>MN-edo-1.0m-2021 (IDIEM)</t>
        </is>
      </c>
      <c r="C132" t="n">
        <v>3432.3</v>
      </c>
      <c r="D132" t="n">
        <v>6.343</v>
      </c>
      <c r="E132" t="n">
        <v>0.16</v>
      </c>
      <c r="F132" t="n">
        <v>324</v>
      </c>
      <c r="G132" t="inlineStr">
        <is>
          <t>tabla IDIEM; e con Gs 2.60 (estimado)</t>
        </is>
      </c>
    </row>
    <row r="133">
      <c r="A133" t="inlineStr">
        <is>
          <t>W2022</t>
        </is>
      </c>
      <c r="B133" t="inlineStr">
        <is>
          <t>MN-edo-1.0m-2021 (IDIEM)</t>
        </is>
      </c>
      <c r="C133" t="n">
        <v>2942</v>
      </c>
      <c r="D133" t="n">
        <v>6.329</v>
      </c>
      <c r="E133" t="n">
        <v>0.16</v>
      </c>
      <c r="F133" t="n">
        <v>324</v>
      </c>
      <c r="G133" t="inlineStr">
        <is>
          <t>tabla IDIEM; e con Gs 2.60 (estimado)</t>
        </is>
      </c>
    </row>
    <row r="134">
      <c r="A134" t="inlineStr">
        <is>
          <t>W2022</t>
        </is>
      </c>
      <c r="B134" t="inlineStr">
        <is>
          <t>MN-edo-1.0m-2021 (IDIEM)</t>
        </is>
      </c>
      <c r="C134" t="n">
        <v>2451.7</v>
      </c>
      <c r="D134" t="n">
        <v>6.3</v>
      </c>
      <c r="E134" t="n">
        <v>0.16</v>
      </c>
      <c r="F134" t="n">
        <v>324</v>
      </c>
      <c r="G134" t="inlineStr">
        <is>
          <t>tabla IDIEM; e con Gs 2.60 (estimado)</t>
        </is>
      </c>
    </row>
    <row r="135">
      <c r="A135" t="inlineStr">
        <is>
          <t>W2022</t>
        </is>
      </c>
      <c r="B135" t="inlineStr">
        <is>
          <t>MN-edo-1.0m-2021 (IDIEM)</t>
        </is>
      </c>
      <c r="C135" t="n">
        <v>1961.3</v>
      </c>
      <c r="D135" t="n">
        <v>6.257</v>
      </c>
      <c r="E135" t="n">
        <v>0.161</v>
      </c>
      <c r="F135" t="n">
        <v>324</v>
      </c>
      <c r="G135" t="inlineStr">
        <is>
          <t>tabla IDIEM; e con Gs 2.60 (estimado)</t>
        </is>
      </c>
    </row>
    <row r="136">
      <c r="A136" t="inlineStr">
        <is>
          <t>W2022</t>
        </is>
      </c>
      <c r="B136" t="inlineStr">
        <is>
          <t>MN-edo-1.0m-2021 (IDIEM)</t>
        </is>
      </c>
      <c r="C136" t="n">
        <v>1471</v>
      </c>
      <c r="D136" t="n">
        <v>6.214</v>
      </c>
      <c r="E136" t="n">
        <v>0.161</v>
      </c>
      <c r="F136" t="n">
        <v>324</v>
      </c>
      <c r="G136" t="inlineStr">
        <is>
          <t>tabla IDIEM; e con Gs 2.60 (estimado)</t>
        </is>
      </c>
    </row>
    <row r="137">
      <c r="A137" t="inlineStr">
        <is>
          <t>W2022</t>
        </is>
      </c>
      <c r="B137" t="inlineStr">
        <is>
          <t>MN-edo-1.0m-2021 (IDIEM)</t>
        </is>
      </c>
      <c r="C137" t="n">
        <v>980.7</v>
      </c>
      <c r="D137" t="n">
        <v>6.2</v>
      </c>
      <c r="E137" t="n">
        <v>0.161</v>
      </c>
      <c r="F137" t="n">
        <v>324</v>
      </c>
      <c r="G137" t="inlineStr">
        <is>
          <t>tabla IDIEM; e con Gs 2.60 (estimado)</t>
        </is>
      </c>
    </row>
    <row r="138">
      <c r="A138" t="inlineStr">
        <is>
          <t>W2022</t>
        </is>
      </c>
      <c r="B138" t="inlineStr">
        <is>
          <t>MN-edo-1.0m-2021 (IDIEM)</t>
        </is>
      </c>
      <c r="C138" t="n">
        <v>490.3</v>
      </c>
      <c r="D138" t="n">
        <v>6.157</v>
      </c>
      <c r="E138" t="n">
        <v>0.162</v>
      </c>
      <c r="F138" t="n">
        <v>324</v>
      </c>
      <c r="G138" t="inlineStr">
        <is>
          <t>tabla IDIEM; e con Gs 2.60 (estimado)</t>
        </is>
      </c>
    </row>
    <row r="139">
      <c r="A139" t="inlineStr">
        <is>
          <t>W2022</t>
        </is>
      </c>
      <c r="B139" t="inlineStr">
        <is>
          <t>MN-edo-1.0m-2021 (IDIEM)</t>
        </is>
      </c>
      <c r="C139" t="n">
        <v>0</v>
      </c>
      <c r="D139" t="n">
        <v>6.071</v>
      </c>
      <c r="E139" t="n">
        <v>0.163</v>
      </c>
      <c r="F139" t="n">
        <v>324</v>
      </c>
      <c r="G139" t="inlineStr">
        <is>
          <t>tabla IDIEM; e con Gs 2.60 (estimado)</t>
        </is>
      </c>
    </row>
    <row r="140">
      <c r="A140" t="inlineStr">
        <is>
          <t>W2022</t>
        </is>
      </c>
      <c r="B140" t="inlineStr">
        <is>
          <t>MN-edo-1.0m-2011 (IDIEM 708.397-A)</t>
        </is>
      </c>
      <c r="C140" t="n">
        <v>17.7</v>
      </c>
      <c r="D140" t="n">
        <v>0.17</v>
      </c>
      <c r="E140" t="n">
        <v>0.284</v>
      </c>
      <c r="F140" t="n">
        <v>295</v>
      </c>
      <c r="G140" t="inlineStr">
        <is>
          <t>εv=(90−H)/90 con H de la hoja; e de la hoja; estado seco</t>
        </is>
      </c>
    </row>
    <row r="141">
      <c r="A141" t="inlineStr">
        <is>
          <t>W2022</t>
        </is>
      </c>
      <c r="B141" t="inlineStr">
        <is>
          <t>MN-edo-1.0m-2011 (IDIEM 708.397-A)</t>
        </is>
      </c>
      <c r="C141" t="n">
        <v>17.7</v>
      </c>
      <c r="D141" t="n">
        <v>0.26</v>
      </c>
      <c r="E141" t="n">
        <v>0.282</v>
      </c>
      <c r="F141" t="n">
        <v>295</v>
      </c>
      <c r="G141" t="inlineStr">
        <is>
          <t>εv=(90−H)/90 con H de la hoja; e de la hoja; tras saturación</t>
        </is>
      </c>
    </row>
    <row r="142">
      <c r="A142" t="inlineStr">
        <is>
          <t>W2022</t>
        </is>
      </c>
      <c r="B142" t="inlineStr">
        <is>
          <t>MN-edo-1.0m-2011 (IDIEM 708.397-A)</t>
        </is>
      </c>
      <c r="C142" t="n">
        <v>196.1</v>
      </c>
      <c r="D142" t="n">
        <v>1.09</v>
      </c>
      <c r="E142" t="n">
        <v>0.272</v>
      </c>
      <c r="F142" t="n">
        <v>295</v>
      </c>
      <c r="G142" t="inlineStr">
        <is>
          <t>εv=(90−H)/90 con H de la hoja; e de la hoja</t>
        </is>
      </c>
    </row>
    <row r="143">
      <c r="A143" t="inlineStr">
        <is>
          <t>W2022</t>
        </is>
      </c>
      <c r="B143" t="inlineStr">
        <is>
          <t>MN-edo-1.0m-2011 (IDIEM 708.397-A)</t>
        </is>
      </c>
      <c r="C143" t="n">
        <v>392.3</v>
      </c>
      <c r="D143" t="n">
        <v>1.3</v>
      </c>
      <c r="E143" t="n">
        <v>0.269</v>
      </c>
      <c r="F143" t="n">
        <v>295</v>
      </c>
      <c r="G143" t="inlineStr">
        <is>
          <t>εv=(90−H)/90 con H de la hoja; e de la hoja</t>
        </is>
      </c>
    </row>
    <row r="144">
      <c r="A144" t="inlineStr">
        <is>
          <t>W2022</t>
        </is>
      </c>
      <c r="B144" t="inlineStr">
        <is>
          <t>MN-edo-1.0m-2011 (IDIEM 708.397-A)</t>
        </is>
      </c>
      <c r="C144" t="n">
        <v>588.4</v>
      </c>
      <c r="D144" t="n">
        <v>1.7</v>
      </c>
      <c r="E144" t="n">
        <v>0.264</v>
      </c>
      <c r="F144" t="n">
        <v>295</v>
      </c>
      <c r="G144" t="inlineStr">
        <is>
          <t>εv=(90−H)/90 con H de la hoja; e de la hoja</t>
        </is>
      </c>
    </row>
    <row r="145">
      <c r="A145" t="inlineStr">
        <is>
          <t>W2022</t>
        </is>
      </c>
      <c r="B145" t="inlineStr">
        <is>
          <t>MN-edo-1.0m-2011 (IDIEM 708.397-A)</t>
        </is>
      </c>
      <c r="C145" t="n">
        <v>784.5</v>
      </c>
      <c r="D145" t="n">
        <v>2.09</v>
      </c>
      <c r="E145" t="n">
        <v>0.259</v>
      </c>
      <c r="F145" t="n">
        <v>295</v>
      </c>
      <c r="G145" t="inlineStr">
        <is>
          <t>εv=(90−H)/90 con H de la hoja; e de la hoja</t>
        </is>
      </c>
    </row>
    <row r="146">
      <c r="A146" t="inlineStr">
        <is>
          <t>W2022</t>
        </is>
      </c>
      <c r="B146" t="inlineStr">
        <is>
          <t>MN-edo-1.0m-2011 (IDIEM 708.397-A)</t>
        </is>
      </c>
      <c r="C146" t="n">
        <v>980.7</v>
      </c>
      <c r="D146" t="n">
        <v>2.51</v>
      </c>
      <c r="E146" t="n">
        <v>0.253</v>
      </c>
      <c r="F146" t="n">
        <v>295</v>
      </c>
      <c r="G146" t="inlineStr">
        <is>
          <t>εv=(90−H)/90 con H de la hoja; e de la hoja</t>
        </is>
      </c>
    </row>
    <row r="147">
      <c r="A147" t="inlineStr">
        <is>
          <t>W2022</t>
        </is>
      </c>
      <c r="B147" t="inlineStr">
        <is>
          <t>MN-edo-1.0m-2011 (IDIEM 708.397-A)</t>
        </is>
      </c>
      <c r="C147" t="n">
        <v>1176.8</v>
      </c>
      <c r="D147" t="n">
        <v>2.83</v>
      </c>
      <c r="E147" t="n">
        <v>0.249</v>
      </c>
      <c r="F147" t="n">
        <v>295</v>
      </c>
      <c r="G147" t="inlineStr">
        <is>
          <t>εv=(90−H)/90 con H de la hoja; e de la hoja</t>
        </is>
      </c>
    </row>
    <row r="148">
      <c r="A148" t="inlineStr">
        <is>
          <t>W2022</t>
        </is>
      </c>
      <c r="B148" t="inlineStr">
        <is>
          <t>MN-edo-1.0m-2011 (IDIEM 708.397-A)</t>
        </is>
      </c>
      <c r="C148" t="n">
        <v>1372.9</v>
      </c>
      <c r="D148" t="n">
        <v>3.22</v>
      </c>
      <c r="E148" t="n">
        <v>0.244</v>
      </c>
      <c r="F148" t="n">
        <v>295</v>
      </c>
      <c r="G148" t="inlineStr">
        <is>
          <t>εv=(90−H)/90 con H de la hoja; e de la hoja</t>
        </is>
      </c>
    </row>
    <row r="149">
      <c r="A149" t="inlineStr">
        <is>
          <t>W2022</t>
        </is>
      </c>
      <c r="B149" t="inlineStr">
        <is>
          <t>MN-edo-1.0m-2011 (IDIEM 708.397-A)</t>
        </is>
      </c>
      <c r="C149" t="n">
        <v>1569.1</v>
      </c>
      <c r="D149" t="n">
        <v>3.61</v>
      </c>
      <c r="E149" t="n">
        <v>0.239</v>
      </c>
      <c r="F149" t="n">
        <v>295</v>
      </c>
      <c r="G149" t="inlineStr">
        <is>
          <t>εv=(90−H)/90 con H de la hoja; e de la hoja</t>
        </is>
      </c>
    </row>
    <row r="150">
      <c r="A150" t="inlineStr">
        <is>
          <t>W2022</t>
        </is>
      </c>
      <c r="B150" t="inlineStr">
        <is>
          <t>MN-edo-1.0m-2011 (IDIEM 708.397-A)</t>
        </is>
      </c>
      <c r="C150" t="n">
        <v>1765.2</v>
      </c>
      <c r="D150" t="n">
        <v>3.98</v>
      </c>
      <c r="E150" t="n">
        <v>0.235</v>
      </c>
      <c r="F150" t="n">
        <v>295</v>
      </c>
      <c r="G150" t="inlineStr">
        <is>
          <t>εv=(90−H)/90 con H de la hoja; e de la hoja</t>
        </is>
      </c>
    </row>
    <row r="151">
      <c r="A151" t="inlineStr">
        <is>
          <t>W2022</t>
        </is>
      </c>
      <c r="B151" t="inlineStr">
        <is>
          <t>MN-edo-1.0m-2011 (IDIEM 708.397-A)</t>
        </is>
      </c>
      <c r="C151" t="n">
        <v>1961.3</v>
      </c>
      <c r="D151" t="n">
        <v>4.39</v>
      </c>
      <c r="E151" t="n">
        <v>0.229</v>
      </c>
      <c r="F151" t="n">
        <v>295</v>
      </c>
      <c r="G151" t="inlineStr">
        <is>
          <t>εv=(90−H)/90 con H de la hoja; e de la hoja</t>
        </is>
      </c>
    </row>
    <row r="152">
      <c r="A152" t="inlineStr">
        <is>
          <t>W2022</t>
        </is>
      </c>
      <c r="B152" t="inlineStr">
        <is>
          <t>MN-edo-1.0m-2011 (IDIEM 708.397-A)</t>
        </is>
      </c>
      <c r="C152" t="n">
        <v>2157.5</v>
      </c>
      <c r="D152" t="n">
        <v>4.67</v>
      </c>
      <c r="E152" t="n">
        <v>0.226</v>
      </c>
      <c r="F152" t="n">
        <v>295</v>
      </c>
      <c r="G152" t="inlineStr">
        <is>
          <t>εv=(90−H)/90 con H de la hoja; e de la hoja</t>
        </is>
      </c>
    </row>
    <row r="153">
      <c r="A153" t="inlineStr">
        <is>
          <t>W2022</t>
        </is>
      </c>
      <c r="B153" t="inlineStr">
        <is>
          <t>MN-edo-1.0m-2011 (IDIEM 708.397-A)</t>
        </is>
      </c>
      <c r="C153" t="n">
        <v>2353.6</v>
      </c>
      <c r="D153" t="n">
        <v>5.06</v>
      </c>
      <c r="E153" t="n">
        <v>0.221</v>
      </c>
      <c r="F153" t="n">
        <v>295</v>
      </c>
      <c r="G153" t="inlineStr">
        <is>
          <t>εv=(90−H)/90 con H de la hoja; e de la hoja</t>
        </is>
      </c>
    </row>
    <row r="154">
      <c r="A154" t="inlineStr">
        <is>
          <t>W2022</t>
        </is>
      </c>
      <c r="B154" t="inlineStr">
        <is>
          <t>MN-edo-1.0m-2011 (IDIEM 708.397-A)</t>
        </is>
      </c>
      <c r="C154" t="n">
        <v>2549.7</v>
      </c>
      <c r="D154" t="n">
        <v>5.42</v>
      </c>
      <c r="E154" t="n">
        <v>0.216</v>
      </c>
      <c r="F154" t="n">
        <v>295</v>
      </c>
      <c r="G154" t="inlineStr">
        <is>
          <t>εv=(90−H)/90 con H de la hoja; e de la hoja</t>
        </is>
      </c>
    </row>
    <row r="155">
      <c r="A155" t="inlineStr">
        <is>
          <t>W2022</t>
        </is>
      </c>
      <c r="B155" t="inlineStr">
        <is>
          <t>MN-edo-1.0m-2011 (IDIEM 708.397-A)</t>
        </is>
      </c>
      <c r="C155" t="n">
        <v>2745.9</v>
      </c>
      <c r="D155" t="n">
        <v>5.77</v>
      </c>
      <c r="E155" t="n">
        <v>0.212</v>
      </c>
      <c r="F155" t="n">
        <v>295</v>
      </c>
      <c r="G155" t="inlineStr">
        <is>
          <t>εv=(90−H)/90 con H de la hoja; e de la hoja</t>
        </is>
      </c>
    </row>
    <row r="156">
      <c r="A156" t="inlineStr">
        <is>
          <t>W2022</t>
        </is>
      </c>
      <c r="B156" t="inlineStr">
        <is>
          <t>MN-edo-1.0m-2011 (IDIEM 708.397-A)</t>
        </is>
      </c>
      <c r="C156" t="n">
        <v>2942</v>
      </c>
      <c r="D156" t="n">
        <v>6.03</v>
      </c>
      <c r="E156" t="n">
        <v>0.208</v>
      </c>
      <c r="F156" t="n">
        <v>295</v>
      </c>
      <c r="G156" t="inlineStr">
        <is>
          <t>εv=(90−H)/90 con H de la hoja; e de la hoja</t>
        </is>
      </c>
    </row>
    <row r="157">
      <c r="A157" t="inlineStr">
        <is>
          <t>W2022</t>
        </is>
      </c>
      <c r="B157" t="inlineStr">
        <is>
          <t>MN-edo-1.0m-2011 (IDIEM 708.397-A)</t>
        </is>
      </c>
      <c r="C157" t="n">
        <v>3138.1</v>
      </c>
      <c r="D157" t="n">
        <v>6.33</v>
      </c>
      <c r="E157" t="n">
        <v>0.204</v>
      </c>
      <c r="F157" t="n">
        <v>295</v>
      </c>
      <c r="G157" t="inlineStr">
        <is>
          <t>εv=(90−H)/90 con H de la hoja; e de la hoja</t>
        </is>
      </c>
    </row>
    <row r="158">
      <c r="A158" t="inlineStr">
        <is>
          <t>W2022</t>
        </is>
      </c>
      <c r="B158" t="inlineStr">
        <is>
          <t>MN-edo-1.0m-2011 (IDIEM 708.397-A)</t>
        </is>
      </c>
      <c r="C158" t="n">
        <v>3334.3</v>
      </c>
      <c r="D158" t="n">
        <v>6.57</v>
      </c>
      <c r="E158" t="n">
        <v>0.201</v>
      </c>
      <c r="F158" t="n">
        <v>295</v>
      </c>
      <c r="G158" t="inlineStr">
        <is>
          <t>εv=(90−H)/90 con H de la hoja; e de la hoja</t>
        </is>
      </c>
    </row>
    <row r="159">
      <c r="A159" t="inlineStr">
        <is>
          <t>W2022</t>
        </is>
      </c>
      <c r="B159" t="inlineStr">
        <is>
          <t>MN-edo-1.0m-2011 (IDIEM 708.397-A)</t>
        </is>
      </c>
      <c r="C159" t="n">
        <v>3530.4</v>
      </c>
      <c r="D159" t="n">
        <v>7.01</v>
      </c>
      <c r="E159" t="n">
        <v>0.196</v>
      </c>
      <c r="F159" t="n">
        <v>295</v>
      </c>
      <c r="G159" t="inlineStr">
        <is>
          <t>εv=(90−H)/90 con H de la hoja; e de la hoja</t>
        </is>
      </c>
    </row>
    <row r="160">
      <c r="A160" t="inlineStr">
        <is>
          <t>W2022</t>
        </is>
      </c>
      <c r="B160" t="inlineStr">
        <is>
          <t>MN-edo-1.0m-2011 (IDIEM 708.397-A)</t>
        </is>
      </c>
      <c r="C160" t="n">
        <v>3726.5</v>
      </c>
      <c r="D160" t="n">
        <v>7.22</v>
      </c>
      <c r="E160" t="n">
        <v>0.193</v>
      </c>
      <c r="F160" t="n">
        <v>295</v>
      </c>
      <c r="G160" t="inlineStr">
        <is>
          <t>εv=(90−H)/90 con H de la hoja; e de la hoja</t>
        </is>
      </c>
    </row>
    <row r="161">
      <c r="A161" t="inlineStr">
        <is>
          <t>W2022</t>
        </is>
      </c>
      <c r="B161" t="inlineStr">
        <is>
          <t>MN-edo-1.0m-2011 (IDIEM 708.397-A)</t>
        </is>
      </c>
      <c r="C161" t="n">
        <v>3922.7</v>
      </c>
      <c r="D161" t="n">
        <v>7.54</v>
      </c>
      <c r="E161" t="n">
        <v>0.189</v>
      </c>
      <c r="F161" t="n">
        <v>295</v>
      </c>
      <c r="G161" t="inlineStr">
        <is>
          <t>εv=(90−H)/90 con H de la hoja; e de la hoja</t>
        </is>
      </c>
    </row>
    <row r="162">
      <c r="A162" t="inlineStr">
        <is>
          <t>W2022</t>
        </is>
      </c>
      <c r="B162" t="inlineStr">
        <is>
          <t>MN-edo-1.0m-2011 (IDIEM 708.397-A)</t>
        </is>
      </c>
      <c r="C162" t="n">
        <v>4413</v>
      </c>
      <c r="D162" t="n">
        <v>7.86</v>
      </c>
      <c r="E162" t="n">
        <v>0.185</v>
      </c>
      <c r="F162" t="n">
        <v>295</v>
      </c>
      <c r="G162" t="inlineStr">
        <is>
          <t>εv=(90−H)/90 con H de la hoja; e de la hoja</t>
        </is>
      </c>
    </row>
    <row r="163">
      <c r="A163" t="inlineStr">
        <is>
          <t>W2022</t>
        </is>
      </c>
      <c r="B163" t="inlineStr">
        <is>
          <t>MN-edo-1.0m-2011 (IDIEM 708.397-A)</t>
        </is>
      </c>
      <c r="C163" t="n">
        <v>4903.3</v>
      </c>
      <c r="D163" t="n">
        <v>8.19</v>
      </c>
      <c r="E163" t="n">
        <v>0.18</v>
      </c>
      <c r="F163" t="n">
        <v>295</v>
      </c>
      <c r="G163" t="inlineStr">
        <is>
          <t>εv=(90−H)/90 con H de la hoja; e de la hoja</t>
        </is>
      </c>
    </row>
    <row r="164">
      <c r="A164" t="inlineStr">
        <is>
          <t>W2022</t>
        </is>
      </c>
      <c r="B164" t="inlineStr">
        <is>
          <t>MN-edo-1.0m-2011 (IDIEM 708.397-A)</t>
        </is>
      </c>
      <c r="C164" t="n">
        <v>5393.7</v>
      </c>
      <c r="D164" t="n">
        <v>8.73</v>
      </c>
      <c r="E164" t="n">
        <v>0.173</v>
      </c>
      <c r="F164" t="n">
        <v>295</v>
      </c>
      <c r="G164" t="inlineStr">
        <is>
          <t>εv=(90−H)/90 con H de la hoja; e de la hoja</t>
        </is>
      </c>
    </row>
    <row r="165">
      <c r="A165" t="inlineStr">
        <is>
          <t>W2022</t>
        </is>
      </c>
      <c r="B165" t="inlineStr">
        <is>
          <t>MN-edo-1.0m-2011 (IDIEM 708.397-A)</t>
        </is>
      </c>
      <c r="C165" t="n">
        <v>5884</v>
      </c>
      <c r="D165" t="n">
        <v>9.029999999999999</v>
      </c>
      <c r="E165" t="n">
        <v>0.17</v>
      </c>
      <c r="F165" t="n">
        <v>295</v>
      </c>
      <c r="G165" t="inlineStr">
        <is>
          <t>εv=(90−H)/90 con H de la hoja; e de la hoja</t>
        </is>
      </c>
    </row>
    <row r="166">
      <c r="A166" t="inlineStr">
        <is>
          <t>W2022</t>
        </is>
      </c>
      <c r="B166" t="inlineStr">
        <is>
          <t>MN-edo-1.0m-2011 (IDIEM 708.397-A)</t>
        </is>
      </c>
      <c r="C166" t="n">
        <v>4903.3</v>
      </c>
      <c r="D166" t="n">
        <v>9.029999999999999</v>
      </c>
      <c r="E166" t="n">
        <v>0.17</v>
      </c>
      <c r="F166" t="n">
        <v>295</v>
      </c>
      <c r="G166" t="inlineStr">
        <is>
          <t>εv=(90−H)/90 con H de la hoja; e de la hoja</t>
        </is>
      </c>
    </row>
    <row r="167">
      <c r="A167" t="inlineStr">
        <is>
          <t>W2022</t>
        </is>
      </c>
      <c r="B167" t="inlineStr">
        <is>
          <t>MN-edo-1.0m-2011 (IDIEM 708.397-A)</t>
        </is>
      </c>
      <c r="C167" t="n">
        <v>3922.7</v>
      </c>
      <c r="D167" t="n">
        <v>9.029999999999999</v>
      </c>
      <c r="E167" t="n">
        <v>0.17</v>
      </c>
      <c r="F167" t="n">
        <v>295</v>
      </c>
      <c r="G167" t="inlineStr">
        <is>
          <t>εv=(90−H)/90 con H de la hoja; e de la hoja</t>
        </is>
      </c>
    </row>
    <row r="168">
      <c r="A168" t="inlineStr">
        <is>
          <t>W2022</t>
        </is>
      </c>
      <c r="B168" t="inlineStr">
        <is>
          <t>MN-edo-1.0m-2011 (IDIEM 708.397-A)</t>
        </is>
      </c>
      <c r="C168" t="n">
        <v>3530.4</v>
      </c>
      <c r="D168" t="n">
        <v>9.029999999999999</v>
      </c>
      <c r="E168" t="n">
        <v>0.17</v>
      </c>
      <c r="F168" t="n">
        <v>295</v>
      </c>
      <c r="G168" t="inlineStr">
        <is>
          <t>εv=(90−H)/90 con H de la hoja; e de la hoja</t>
        </is>
      </c>
    </row>
    <row r="169">
      <c r="A169" t="inlineStr">
        <is>
          <t>W2022</t>
        </is>
      </c>
      <c r="B169" t="inlineStr">
        <is>
          <t>MN-edo-1.0m-2011 (IDIEM 708.397-A)</t>
        </is>
      </c>
      <c r="C169" t="n">
        <v>3138.1</v>
      </c>
      <c r="D169" t="n">
        <v>9.039999999999999</v>
      </c>
      <c r="E169" t="n">
        <v>0.169</v>
      </c>
      <c r="F169" t="n">
        <v>295</v>
      </c>
      <c r="G169" t="inlineStr">
        <is>
          <t>εv=(90−H)/90 con H de la hoja; e de la hoja</t>
        </is>
      </c>
    </row>
    <row r="170">
      <c r="A170" t="inlineStr">
        <is>
          <t>W2022</t>
        </is>
      </c>
      <c r="B170" t="inlineStr">
        <is>
          <t>MN-edo-1.0m-2011 (IDIEM 708.397-A)</t>
        </is>
      </c>
      <c r="C170" t="n">
        <v>2745.9</v>
      </c>
      <c r="D170" t="n">
        <v>9.039999999999999</v>
      </c>
      <c r="E170" t="n">
        <v>0.169</v>
      </c>
      <c r="F170" t="n">
        <v>295</v>
      </c>
      <c r="G170" t="inlineStr">
        <is>
          <t>εv=(90−H)/90 con H de la hoja; e de la hoja</t>
        </is>
      </c>
    </row>
    <row r="171">
      <c r="A171" t="inlineStr">
        <is>
          <t>W2022</t>
        </is>
      </c>
      <c r="B171" t="inlineStr">
        <is>
          <t>MN-edo-1.0m-2011 (IDIEM 708.397-A)</t>
        </is>
      </c>
      <c r="C171" t="n">
        <v>2353.6</v>
      </c>
      <c r="D171" t="n">
        <v>9.039999999999999</v>
      </c>
      <c r="E171" t="n">
        <v>0.169</v>
      </c>
      <c r="F171" t="n">
        <v>295</v>
      </c>
      <c r="G171" t="inlineStr">
        <is>
          <t>εv=(90−H)/90 con H de la hoja; e de la hoja</t>
        </is>
      </c>
    </row>
    <row r="172">
      <c r="A172" t="inlineStr">
        <is>
          <t>W2022</t>
        </is>
      </c>
      <c r="B172" t="inlineStr">
        <is>
          <t>MN-edo-1.0m-2011 (IDIEM 708.397-A)</t>
        </is>
      </c>
      <c r="C172" t="n">
        <v>1961.3</v>
      </c>
      <c r="D172" t="n">
        <v>9.029999999999999</v>
      </c>
      <c r="E172" t="n">
        <v>0.17</v>
      </c>
      <c r="F172" t="n">
        <v>295</v>
      </c>
      <c r="G172" t="inlineStr">
        <is>
          <t>εv=(90−H)/90 con H de la hoja; e de la hoja</t>
        </is>
      </c>
    </row>
    <row r="173">
      <c r="A173" t="inlineStr">
        <is>
          <t>W2022</t>
        </is>
      </c>
      <c r="B173" t="inlineStr">
        <is>
          <t>MN-edo-1.0m-2011 (IDIEM 708.397-A)</t>
        </is>
      </c>
      <c r="C173" t="n">
        <v>1569.1</v>
      </c>
      <c r="D173" t="n">
        <v>9.029999999999999</v>
      </c>
      <c r="E173" t="n">
        <v>0.17</v>
      </c>
      <c r="F173" t="n">
        <v>295</v>
      </c>
      <c r="G173" t="inlineStr">
        <is>
          <t>εv=(90−H)/90 con H de la hoja; e de la hoja</t>
        </is>
      </c>
    </row>
    <row r="174">
      <c r="A174" t="inlineStr">
        <is>
          <t>W2022</t>
        </is>
      </c>
      <c r="B174" t="inlineStr">
        <is>
          <t>MN-edo-1.0m-2011 (IDIEM 708.397-A)</t>
        </is>
      </c>
      <c r="C174" t="n">
        <v>1176.8</v>
      </c>
      <c r="D174" t="n">
        <v>9.029999999999999</v>
      </c>
      <c r="E174" t="n">
        <v>0.17</v>
      </c>
      <c r="F174" t="n">
        <v>295</v>
      </c>
      <c r="G174" t="inlineStr">
        <is>
          <t>εv=(90−H)/90 con H de la hoja; e de la hoja</t>
        </is>
      </c>
    </row>
    <row r="175">
      <c r="A175" t="inlineStr">
        <is>
          <t>W2022</t>
        </is>
      </c>
      <c r="B175" t="inlineStr">
        <is>
          <t>MN-edo-1.0m-2011 (IDIEM 708.397-A)</t>
        </is>
      </c>
      <c r="C175" t="n">
        <v>784.5</v>
      </c>
      <c r="D175" t="n">
        <v>9.01</v>
      </c>
      <c r="E175" t="n">
        <v>0.17</v>
      </c>
      <c r="F175" t="n">
        <v>295</v>
      </c>
      <c r="G175" t="inlineStr">
        <is>
          <t>εv=(90−H)/90 con H de la hoja; e de la hoja</t>
        </is>
      </c>
    </row>
    <row r="176">
      <c r="A176" t="inlineStr">
        <is>
          <t>W2022</t>
        </is>
      </c>
      <c r="B176" t="inlineStr">
        <is>
          <t>MN-edo-1.0m-2011 (IDIEM 708.397-A)</t>
        </is>
      </c>
      <c r="C176" t="n">
        <v>392.3</v>
      </c>
      <c r="D176" t="n">
        <v>8.98</v>
      </c>
      <c r="E176" t="n">
        <v>0.17</v>
      </c>
      <c r="F176" t="n">
        <v>295</v>
      </c>
      <c r="G176" t="inlineStr">
        <is>
          <t>εv=(90−H)/90 con H de la hoja; e de la hoja</t>
        </is>
      </c>
    </row>
    <row r="177">
      <c r="A177" t="inlineStr">
        <is>
          <t>W2022</t>
        </is>
      </c>
      <c r="B177" t="inlineStr">
        <is>
          <t>MN-edo-1.0m-2011 (IDIEM 708.397-A)</t>
        </is>
      </c>
      <c r="C177" t="n">
        <v>17.7</v>
      </c>
      <c r="D177" t="n">
        <v>8.869999999999999</v>
      </c>
      <c r="E177" t="n">
        <v>0.172</v>
      </c>
      <c r="F177" t="n">
        <v>295</v>
      </c>
      <c r="G177" t="inlineStr">
        <is>
          <t>εv=(90−H)/90 con H de la hoja; e de la hoja</t>
        </is>
      </c>
    </row>
    <row r="178">
      <c r="A178" t="inlineStr">
        <is>
          <t>W2022</t>
        </is>
      </c>
      <c r="B178" t="inlineStr">
        <is>
          <t>MN-edo-0.24m-1.86 (Golder Test 1)</t>
        </is>
      </c>
      <c r="C178" t="n">
        <v>0</v>
      </c>
      <c r="D178" t="n">
        <v>0</v>
      </c>
      <c r="E178" t="n">
        <v>0.455</v>
      </c>
      <c r="F178" t="n">
        <v>359</v>
      </c>
      <c r="G178" t="inlineStr">
        <is>
          <t>hoja Golder; εv=ΣΔH/H0; e con Gs 2.70 assumed; estado inicial</t>
        </is>
      </c>
    </row>
    <row r="179">
      <c r="A179" t="inlineStr">
        <is>
          <t>W2022</t>
        </is>
      </c>
      <c r="B179" t="inlineStr">
        <is>
          <t>MN-edo-0.24m-1.86 (Golder Test 1)</t>
        </is>
      </c>
      <c r="C179" t="n">
        <v>200</v>
      </c>
      <c r="D179" t="n">
        <v>6.86</v>
      </c>
      <c r="E179" t="n">
        <v>0.355</v>
      </c>
      <c r="F179" t="n">
        <v>359</v>
      </c>
      <c r="G179" t="inlineStr">
        <is>
          <t>hoja Golder; εv=ΣΔH/H0; e con Gs 2.70 assumed</t>
        </is>
      </c>
    </row>
    <row r="180">
      <c r="A180" t="inlineStr">
        <is>
          <t>W2022</t>
        </is>
      </c>
      <c r="B180" t="inlineStr">
        <is>
          <t>MN-edo-0.24m-1.86 (Golder Test 1)</t>
        </is>
      </c>
      <c r="C180" t="n">
        <v>400</v>
      </c>
      <c r="D180" t="n">
        <v>8.109999999999999</v>
      </c>
      <c r="E180" t="n">
        <v>0.337</v>
      </c>
      <c r="F180" t="n">
        <v>359</v>
      </c>
      <c r="G180" t="inlineStr">
        <is>
          <t>hoja Golder; εv=ΣΔH/H0; e con Gs 2.70 assumed</t>
        </is>
      </c>
    </row>
    <row r="181">
      <c r="A181" t="inlineStr">
        <is>
          <t>W2022</t>
        </is>
      </c>
      <c r="B181" t="inlineStr">
        <is>
          <t>MN-edo-0.24m-1.86 (Golder Test 1)</t>
        </is>
      </c>
      <c r="C181" t="n">
        <v>800</v>
      </c>
      <c r="D181" t="n">
        <v>9.93</v>
      </c>
      <c r="E181" t="n">
        <v>0.31</v>
      </c>
      <c r="F181" t="n">
        <v>359</v>
      </c>
      <c r="G181" t="inlineStr">
        <is>
          <t>hoja Golder; εv=ΣΔH/H0; e con Gs 2.70 assumed</t>
        </is>
      </c>
    </row>
    <row r="182">
      <c r="A182" t="inlineStr">
        <is>
          <t>W2022</t>
        </is>
      </c>
      <c r="B182" t="inlineStr">
        <is>
          <t>MN-edo-0.24m-1.86 (Golder Test 1)</t>
        </is>
      </c>
      <c r="C182" t="n">
        <v>1200</v>
      </c>
      <c r="D182" t="n">
        <v>10.85</v>
      </c>
      <c r="E182" t="n">
        <v>0.297</v>
      </c>
      <c r="F182" t="n">
        <v>359</v>
      </c>
      <c r="G182" t="inlineStr">
        <is>
          <t>hoja Golder; εv=ΣΔH/H0; e con Gs 2.70 assumed</t>
        </is>
      </c>
    </row>
    <row r="183">
      <c r="A183" t="inlineStr">
        <is>
          <t>W2022</t>
        </is>
      </c>
      <c r="B183" t="inlineStr">
        <is>
          <t>MN-edo-0.24m-1.86 (Golder Test 1)</t>
        </is>
      </c>
      <c r="C183" t="n">
        <v>1600</v>
      </c>
      <c r="D183" t="n">
        <v>11.61</v>
      </c>
      <c r="E183" t="n">
        <v>0.286</v>
      </c>
      <c r="F183" t="n">
        <v>359</v>
      </c>
      <c r="G183" t="inlineStr">
        <is>
          <t>hoja Golder; εv=ΣΔH/H0; e con Gs 2.70 assumed</t>
        </is>
      </c>
    </row>
    <row r="184">
      <c r="A184" t="inlineStr">
        <is>
          <t>W2022</t>
        </is>
      </c>
      <c r="B184" t="inlineStr">
        <is>
          <t>MN-edo-0.24m-1.86 (Golder Test 1)</t>
        </is>
      </c>
      <c r="C184" t="n">
        <v>1999</v>
      </c>
      <c r="D184" t="n">
        <v>12.13</v>
      </c>
      <c r="E184" t="n">
        <v>0.278</v>
      </c>
      <c r="F184" t="n">
        <v>359</v>
      </c>
      <c r="G184" t="inlineStr">
        <is>
          <t>hoja Golder; εv=ΣΔH/H0; e con Gs 2.70 assumed</t>
        </is>
      </c>
    </row>
    <row r="185">
      <c r="A185" t="inlineStr">
        <is>
          <t>W2022</t>
        </is>
      </c>
      <c r="B185" t="inlineStr">
        <is>
          <t>MN-edo-0.24m-1.86 (Golder Test 1)</t>
        </is>
      </c>
      <c r="C185" t="n">
        <v>2400</v>
      </c>
      <c r="D185" t="n">
        <v>12.66</v>
      </c>
      <c r="E185" t="n">
        <v>0.27</v>
      </c>
      <c r="F185" t="n">
        <v>359</v>
      </c>
      <c r="G185" t="inlineStr">
        <is>
          <t>hoja Golder; εv=ΣΔH/H0; e con Gs 2.70 assumed</t>
        </is>
      </c>
    </row>
    <row r="186">
      <c r="A186" t="inlineStr">
        <is>
          <t>W2022</t>
        </is>
      </c>
      <c r="B186" t="inlineStr">
        <is>
          <t>MN-edo-0.24m-1.86 (Golder Test 1)</t>
        </is>
      </c>
      <c r="C186" t="n">
        <v>2800</v>
      </c>
      <c r="D186" t="n">
        <v>13.18</v>
      </c>
      <c r="E186" t="n">
        <v>0.263</v>
      </c>
      <c r="F186" t="n">
        <v>359</v>
      </c>
      <c r="G186" t="inlineStr">
        <is>
          <t>hoja Golder; εv=ΣΔH/H0; e con Gs 2.70 assumed</t>
        </is>
      </c>
    </row>
    <row r="187">
      <c r="A187" t="inlineStr">
        <is>
          <t>W2022</t>
        </is>
      </c>
      <c r="B187" t="inlineStr">
        <is>
          <t>MN-edo-0.24m-1.86 (Golder Test 1)</t>
        </is>
      </c>
      <c r="C187" t="n">
        <v>3200</v>
      </c>
      <c r="D187" t="n">
        <v>13.73</v>
      </c>
      <c r="E187" t="n">
        <v>0.255</v>
      </c>
      <c r="F187" t="n">
        <v>359</v>
      </c>
      <c r="G187" t="inlineStr">
        <is>
          <t>hoja Golder; εv=ΣΔH/H0; e con Gs 2.70 assumed</t>
        </is>
      </c>
    </row>
    <row r="188">
      <c r="A188" t="inlineStr">
        <is>
          <t>W2022</t>
        </is>
      </c>
      <c r="B188" t="inlineStr">
        <is>
          <t>MN-edo-0.24m-1.86 (Golder Test 1)</t>
        </is>
      </c>
      <c r="C188" t="n">
        <v>3600</v>
      </c>
      <c r="D188" t="n">
        <v>14.22</v>
      </c>
      <c r="E188" t="n">
        <v>0.248</v>
      </c>
      <c r="F188" t="n">
        <v>359</v>
      </c>
      <c r="G188" t="inlineStr">
        <is>
          <t>hoja Golder; εv=ΣΔH/H0; e con Gs 2.70 assumed</t>
        </is>
      </c>
    </row>
    <row r="189">
      <c r="A189" t="inlineStr">
        <is>
          <t>W2022</t>
        </is>
      </c>
      <c r="B189" t="inlineStr">
        <is>
          <t>MN-edo-0.24m-1.86 (Golder Test 1)</t>
        </is>
      </c>
      <c r="C189" t="n">
        <v>3999</v>
      </c>
      <c r="D189" t="n">
        <v>14.72</v>
      </c>
      <c r="E189" t="n">
        <v>0.24</v>
      </c>
      <c r="F189" t="n">
        <v>359</v>
      </c>
      <c r="G189" t="inlineStr">
        <is>
          <t>hoja Golder; εv=ΣΔH/H0; e con Gs 2.70 assumed</t>
        </is>
      </c>
    </row>
    <row r="190">
      <c r="A190" t="inlineStr">
        <is>
          <t>W2022</t>
        </is>
      </c>
      <c r="B190" t="inlineStr">
        <is>
          <t>MN-edo-0.24m-1.86 (Golder Test 1)</t>
        </is>
      </c>
      <c r="C190" t="n">
        <v>4399</v>
      </c>
      <c r="D190" t="n">
        <v>15.02</v>
      </c>
      <c r="E190" t="n">
        <v>0.236</v>
      </c>
      <c r="F190" t="n">
        <v>359</v>
      </c>
      <c r="G190" t="inlineStr">
        <is>
          <t>hoja Golder; εv=ΣΔH/H0; e con Gs 2.70 assumed</t>
        </is>
      </c>
    </row>
    <row r="191">
      <c r="A191" t="inlineStr">
        <is>
          <t>W2022</t>
        </is>
      </c>
      <c r="B191" t="inlineStr">
        <is>
          <t>MN-edo-0.24m-1.86 (Golder Test 1)</t>
        </is>
      </c>
      <c r="C191" t="n">
        <v>4799</v>
      </c>
      <c r="D191" t="n">
        <v>15.63</v>
      </c>
      <c r="E191" t="n">
        <v>0.227</v>
      </c>
      <c r="F191" t="n">
        <v>359</v>
      </c>
      <c r="G191" t="inlineStr">
        <is>
          <t>hoja Golder; εv=ΣΔH/H0; e con Gs 2.70 assumed</t>
        </is>
      </c>
    </row>
    <row r="192">
      <c r="A192" t="inlineStr">
        <is>
          <t>W2022</t>
        </is>
      </c>
      <c r="B192" t="inlineStr">
        <is>
          <t>MN-edo-0.24m-1.86 (Golder Test 1)</t>
        </is>
      </c>
      <c r="C192" t="n">
        <v>4000</v>
      </c>
      <c r="D192" t="n">
        <v>15.42</v>
      </c>
      <c r="E192" t="n">
        <v>0.23</v>
      </c>
      <c r="F192" t="n">
        <v>359</v>
      </c>
      <c r="G192" t="inlineStr">
        <is>
          <t>hoja Golder; εv=ΣΔH/H0; e con Gs 2.70 assumed</t>
        </is>
      </c>
    </row>
    <row r="193">
      <c r="A193" t="inlineStr">
        <is>
          <t>W2022</t>
        </is>
      </c>
      <c r="B193" t="inlineStr">
        <is>
          <t>MN-edo-0.24m-1.86 (Golder Test 1)</t>
        </is>
      </c>
      <c r="C193" t="n">
        <v>3200</v>
      </c>
      <c r="D193" t="n">
        <v>15.19</v>
      </c>
      <c r="E193" t="n">
        <v>0.234</v>
      </c>
      <c r="F193" t="n">
        <v>359</v>
      </c>
      <c r="G193" t="inlineStr">
        <is>
          <t>hoja Golder; εv=ΣΔH/H0; e con Gs 2.70 assumed</t>
        </is>
      </c>
    </row>
    <row r="194">
      <c r="A194" t="inlineStr">
        <is>
          <t>W2022</t>
        </is>
      </c>
      <c r="B194" t="inlineStr">
        <is>
          <t>MN-edo-0.24m-1.86 (Golder Test 1)</t>
        </is>
      </c>
      <c r="C194" t="n">
        <v>2400</v>
      </c>
      <c r="D194" t="n">
        <v>14.92</v>
      </c>
      <c r="E194" t="n">
        <v>0.238</v>
      </c>
      <c r="F194" t="n">
        <v>359</v>
      </c>
      <c r="G194" t="inlineStr">
        <is>
          <t>hoja Golder; εv=ΣΔH/H0; e con Gs 2.70 assumed</t>
        </is>
      </c>
    </row>
    <row r="195">
      <c r="A195" t="inlineStr">
        <is>
          <t>W2022</t>
        </is>
      </c>
      <c r="B195" t="inlineStr">
        <is>
          <t>MN-edo-0.24m-1.86 (Golder Test 1)</t>
        </is>
      </c>
      <c r="C195" t="n">
        <v>1600</v>
      </c>
      <c r="D195" t="n">
        <v>14.62</v>
      </c>
      <c r="E195" t="n">
        <v>0.242</v>
      </c>
      <c r="F195" t="n">
        <v>359</v>
      </c>
      <c r="G195" t="inlineStr">
        <is>
          <t>hoja Golder; εv=ΣΔH/H0; e con Gs 2.70 assumed</t>
        </is>
      </c>
    </row>
    <row r="196">
      <c r="A196" t="inlineStr">
        <is>
          <t>W2022</t>
        </is>
      </c>
      <c r="B196" t="inlineStr">
        <is>
          <t>MN-edo-0.24m-1.86 (Golder Test 1)</t>
        </is>
      </c>
      <c r="C196" t="n">
        <v>1200</v>
      </c>
      <c r="D196" t="n">
        <v>14.46</v>
      </c>
      <c r="E196" t="n">
        <v>0.244</v>
      </c>
      <c r="F196" t="n">
        <v>359</v>
      </c>
      <c r="G196" t="inlineStr">
        <is>
          <t>hoja Golder; εv=ΣΔH/H0; e con Gs 2.70 assumed</t>
        </is>
      </c>
    </row>
    <row r="197">
      <c r="A197" t="inlineStr">
        <is>
          <t>W2022</t>
        </is>
      </c>
      <c r="B197" t="inlineStr">
        <is>
          <t>MN-edo-0.24m-1.86 (Golder Test 1)</t>
        </is>
      </c>
      <c r="C197" t="n">
        <v>2200</v>
      </c>
      <c r="D197" t="n">
        <v>14.82</v>
      </c>
      <c r="E197" t="n">
        <v>0.239</v>
      </c>
      <c r="F197" t="n">
        <v>359</v>
      </c>
      <c r="G197" t="inlineStr">
        <is>
          <t>hoja Golder; εv=ΣΔH/H0; e con Gs 2.70 assumed</t>
        </is>
      </c>
    </row>
    <row r="198">
      <c r="A198" t="inlineStr">
        <is>
          <t>W2022</t>
        </is>
      </c>
      <c r="B198" t="inlineStr">
        <is>
          <t>MN-edo-0.24m-1.86 (Golder Test 1)</t>
        </is>
      </c>
      <c r="C198" t="n">
        <v>3200</v>
      </c>
      <c r="D198" t="n">
        <v>15.16</v>
      </c>
      <c r="E198" t="n">
        <v>0.234</v>
      </c>
      <c r="F198" t="n">
        <v>359</v>
      </c>
      <c r="G198" t="inlineStr">
        <is>
          <t>hoja Golder; εv=ΣΔH/H0; e con Gs 2.70 assumed</t>
        </is>
      </c>
    </row>
    <row r="199">
      <c r="A199" t="inlineStr">
        <is>
          <t>W2022</t>
        </is>
      </c>
      <c r="B199" t="inlineStr">
        <is>
          <t>MN-edo-0.24m-1.86 (Golder Test 1)</t>
        </is>
      </c>
      <c r="C199" t="n">
        <v>4000</v>
      </c>
      <c r="D199" t="n">
        <v>15.42</v>
      </c>
      <c r="E199" t="n">
        <v>0.23</v>
      </c>
      <c r="F199" t="n">
        <v>359</v>
      </c>
      <c r="G199" t="inlineStr">
        <is>
          <t>hoja Golder; εv=ΣΔH/H0; e con Gs 2.70 assumed</t>
        </is>
      </c>
    </row>
    <row r="200">
      <c r="A200" t="inlineStr">
        <is>
          <t>W2022</t>
        </is>
      </c>
      <c r="B200" t="inlineStr">
        <is>
          <t>MN-edo-0.24m-1.86 (Golder Test 1)</t>
        </is>
      </c>
      <c r="C200" t="n">
        <v>4800</v>
      </c>
      <c r="D200" t="n">
        <v>15.67</v>
      </c>
      <c r="E200" t="n">
        <v>0.227</v>
      </c>
      <c r="F200" t="n">
        <v>359</v>
      </c>
      <c r="G200" t="inlineStr">
        <is>
          <t>hoja Golder; εv=ΣΔH/H0; e con Gs 2.70 assumed</t>
        </is>
      </c>
    </row>
    <row r="201">
      <c r="A201" t="inlineStr">
        <is>
          <t>W2022</t>
        </is>
      </c>
      <c r="B201" t="inlineStr">
        <is>
          <t>MN-edo-0.24m-1.86 (Golder Test 1)</t>
        </is>
      </c>
      <c r="C201" t="n">
        <v>3000</v>
      </c>
      <c r="D201" t="n">
        <v>15.16</v>
      </c>
      <c r="E201" t="n">
        <v>0.234</v>
      </c>
      <c r="F201" t="n">
        <v>359</v>
      </c>
      <c r="G201" t="inlineStr">
        <is>
          <t>hoja Golder; εv=ΣΔH/H0; e con Gs 2.70 assumed</t>
        </is>
      </c>
    </row>
    <row r="202">
      <c r="A202" t="inlineStr">
        <is>
          <t>W2022</t>
        </is>
      </c>
      <c r="B202" t="inlineStr">
        <is>
          <t>MN-edo-0.24m-1.86 (Golder Test 1)</t>
        </is>
      </c>
      <c r="C202" t="n">
        <v>1000</v>
      </c>
      <c r="D202" t="n">
        <v>14.42</v>
      </c>
      <c r="E202" t="n">
        <v>0.245</v>
      </c>
      <c r="F202" t="n">
        <v>359</v>
      </c>
      <c r="G202" t="inlineStr">
        <is>
          <t>hoja Golder; εv=ΣΔH/H0; e con Gs 2.70 assumed</t>
        </is>
      </c>
    </row>
    <row r="203">
      <c r="A203" t="inlineStr">
        <is>
          <t>W2022</t>
        </is>
      </c>
      <c r="B203" t="inlineStr">
        <is>
          <t>MN-edo-0.24m-1.86 (Golder Test 1)</t>
        </is>
      </c>
      <c r="C203" t="n">
        <v>0</v>
      </c>
      <c r="D203" t="n">
        <v>12.89</v>
      </c>
      <c r="E203" t="n">
        <v>0.267</v>
      </c>
      <c r="F203" t="n">
        <v>359</v>
      </c>
      <c r="G203" t="inlineStr">
        <is>
          <t>hoja Golder; εv=ΣΔH/H0; e con Gs 2.70 assumed</t>
        </is>
      </c>
    </row>
    <row r="204">
      <c r="A204" t="inlineStr">
        <is>
          <t>W2022</t>
        </is>
      </c>
      <c r="B204" t="inlineStr">
        <is>
          <t>HF-edo-0.24m-2.1 (Golder)</t>
        </is>
      </c>
      <c r="C204" t="n">
        <v>0</v>
      </c>
      <c r="D204" t="n">
        <v>-0</v>
      </c>
      <c r="E204" t="inlineStr"/>
      <c r="F204" t="n">
        <v>35</v>
      </c>
      <c r="G204" t="inlineStr">
        <is>
          <t>leído de gráfico (marcadores vectoriales Fig. 33c); incertidumbre ≈±30 kPa y ±0.05 %</t>
        </is>
      </c>
    </row>
    <row r="205">
      <c r="A205" t="inlineStr">
        <is>
          <t>W2022</t>
        </is>
      </c>
      <c r="B205" t="inlineStr">
        <is>
          <t>HF-edo-0.24m-2.1 (Golder)</t>
        </is>
      </c>
      <c r="C205" t="n">
        <v>196</v>
      </c>
      <c r="D205" t="n">
        <v>0.84</v>
      </c>
      <c r="E205" t="inlineStr"/>
      <c r="F205" t="n">
        <v>35</v>
      </c>
      <c r="G205" t="inlineStr">
        <is>
          <t>leído de gráfico (marcadores vectoriales Fig. 33c); incertidumbre ≈±30 kPa y ±0.05 %</t>
        </is>
      </c>
    </row>
    <row r="206">
      <c r="A206" t="inlineStr">
        <is>
          <t>W2022</t>
        </is>
      </c>
      <c r="B206" t="inlineStr">
        <is>
          <t>HF-edo-0.24m-2.1 (Golder)</t>
        </is>
      </c>
      <c r="C206" t="n">
        <v>399</v>
      </c>
      <c r="D206" t="n">
        <v>1.01</v>
      </c>
      <c r="E206" t="inlineStr"/>
      <c r="F206" t="n">
        <v>35</v>
      </c>
      <c r="G206" t="inlineStr">
        <is>
          <t>leído de gráfico (marcadores vectoriales Fig. 33c); incertidumbre ≈±30 kPa y ±0.05 %</t>
        </is>
      </c>
    </row>
    <row r="207">
      <c r="A207" t="inlineStr">
        <is>
          <t>W2022</t>
        </is>
      </c>
      <c r="B207" t="inlineStr">
        <is>
          <t>HF-edo-0.24m-2.1 (Golder)</t>
        </is>
      </c>
      <c r="C207" t="n">
        <v>797</v>
      </c>
      <c r="D207" t="n">
        <v>1.31</v>
      </c>
      <c r="E207" t="inlineStr"/>
      <c r="F207" t="n">
        <v>35</v>
      </c>
      <c r="G207" t="inlineStr">
        <is>
          <t>leído de gráfico (marcadores vectoriales Fig. 33c); incertidumbre ≈±30 kPa y ±0.05 %</t>
        </is>
      </c>
    </row>
    <row r="208">
      <c r="A208" t="inlineStr">
        <is>
          <t>W2022</t>
        </is>
      </c>
      <c r="B208" t="inlineStr">
        <is>
          <t>HF-edo-0.24m-2.1 (Golder)</t>
        </is>
      </c>
      <c r="C208" t="n">
        <v>1203</v>
      </c>
      <c r="D208" t="n">
        <v>1.57</v>
      </c>
      <c r="E208" t="inlineStr"/>
      <c r="F208" t="n">
        <v>35</v>
      </c>
      <c r="G208" t="inlineStr">
        <is>
          <t>leído de gráfico (marcadores vectoriales Fig. 33c); incertidumbre ≈±30 kPa y ±0.05 %</t>
        </is>
      </c>
    </row>
    <row r="209">
      <c r="A209" t="inlineStr">
        <is>
          <t>W2022</t>
        </is>
      </c>
      <c r="B209" t="inlineStr">
        <is>
          <t>HF-edo-0.24m-2.1 (Golder)</t>
        </is>
      </c>
      <c r="C209" t="n">
        <v>1600</v>
      </c>
      <c r="D209" t="n">
        <v>1.84</v>
      </c>
      <c r="E209" t="inlineStr"/>
      <c r="F209" t="n">
        <v>35</v>
      </c>
      <c r="G209" t="inlineStr">
        <is>
          <t>leído de gráfico (marcadores vectoriales Fig. 33c); incertidumbre ≈±30 kPa y ±0.05 %</t>
        </is>
      </c>
    </row>
    <row r="210">
      <c r="A210" t="inlineStr">
        <is>
          <t>W2022</t>
        </is>
      </c>
      <c r="B210" t="inlineStr">
        <is>
          <t>HF-edo-0.24m-2.1 (Golder)</t>
        </is>
      </c>
      <c r="C210" t="n">
        <v>1997</v>
      </c>
      <c r="D210" t="n">
        <v>2.19</v>
      </c>
      <c r="E210" t="inlineStr"/>
      <c r="F210" t="n">
        <v>35</v>
      </c>
      <c r="G210" t="inlineStr">
        <is>
          <t>leído de gráfico (marcadores vectoriales Fig. 33c); incertidumbre ≈±30 kPa y ±0.05 %</t>
        </is>
      </c>
    </row>
    <row r="211">
      <c r="A211" t="inlineStr">
        <is>
          <t>W2022</t>
        </is>
      </c>
      <c r="B211" t="inlineStr">
        <is>
          <t>HF-edo-0.24m-2.1 (Golder)</t>
        </is>
      </c>
      <c r="C211" t="n">
        <v>2398</v>
      </c>
      <c r="D211" t="n">
        <v>2.59</v>
      </c>
      <c r="E211" t="inlineStr"/>
      <c r="F211" t="n">
        <v>35</v>
      </c>
      <c r="G211" t="inlineStr">
        <is>
          <t>leído de gráfico (marcadores vectoriales Fig. 33c); incertidumbre ≈±30 kPa y ±0.05 %</t>
        </is>
      </c>
    </row>
    <row r="212">
      <c r="A212" t="inlineStr">
        <is>
          <t>W2022</t>
        </is>
      </c>
      <c r="B212" t="inlineStr">
        <is>
          <t>HF-edo-0.24m-2.1 (Golder)</t>
        </is>
      </c>
      <c r="C212" t="n">
        <v>2798</v>
      </c>
      <c r="D212" t="n">
        <v>3.04</v>
      </c>
      <c r="E212" t="inlineStr"/>
      <c r="F212" t="n">
        <v>35</v>
      </c>
      <c r="G212" t="inlineStr">
        <is>
          <t>leído de gráfico (marcadores vectoriales Fig. 33c); incertidumbre ≈±30 kPa y ±0.05 %</t>
        </is>
      </c>
    </row>
    <row r="213">
      <c r="A213" t="inlineStr">
        <is>
          <t>W2022</t>
        </is>
      </c>
      <c r="B213" t="inlineStr">
        <is>
          <t>HF-edo-0.24m-2.1 (Golder)</t>
        </is>
      </c>
      <c r="C213" t="n">
        <v>3198</v>
      </c>
      <c r="D213" t="n">
        <v>3.56</v>
      </c>
      <c r="E213" t="inlineStr"/>
      <c r="F213" t="n">
        <v>35</v>
      </c>
      <c r="G213" t="inlineStr">
        <is>
          <t>leído de gráfico (marcadores vectoriales Fig. 33c); incertidumbre ≈±30 kPa y ±0.05 %</t>
        </is>
      </c>
    </row>
    <row r="214">
      <c r="A214" t="inlineStr">
        <is>
          <t>W2022</t>
        </is>
      </c>
      <c r="B214" t="inlineStr">
        <is>
          <t>HF-edo-0.24m-2.1 (Golder)</t>
        </is>
      </c>
      <c r="C214" t="n">
        <v>3601</v>
      </c>
      <c r="D214" t="n">
        <v>4.03</v>
      </c>
      <c r="E214" t="inlineStr"/>
      <c r="F214" t="n">
        <v>35</v>
      </c>
      <c r="G214" t="inlineStr">
        <is>
          <t>leído de gráfico (marcadores vectoriales Fig. 33c); incertidumbre ≈±30 kPa y ±0.05 %</t>
        </is>
      </c>
    </row>
    <row r="215">
      <c r="A215" t="inlineStr">
        <is>
          <t>W2022</t>
        </is>
      </c>
      <c r="B215" t="inlineStr">
        <is>
          <t>HF-edo-0.24m-2.1 (Golder)</t>
        </is>
      </c>
      <c r="C215" t="n">
        <v>3998</v>
      </c>
      <c r="D215" t="n">
        <v>4.78</v>
      </c>
      <c r="E215" t="inlineStr"/>
      <c r="F215" t="n">
        <v>35</v>
      </c>
      <c r="G215" t="inlineStr">
        <is>
          <t>leído de gráfico (marcadores vectoriales Fig. 33c); incertidumbre ≈±30 kPa y ±0.05 %</t>
        </is>
      </c>
    </row>
    <row r="216">
      <c r="A216" t="inlineStr">
        <is>
          <t>W2022</t>
        </is>
      </c>
      <c r="B216" t="inlineStr">
        <is>
          <t>HF-edo-0.24m-2.1 (Golder)</t>
        </is>
      </c>
      <c r="C216" t="n">
        <v>4399</v>
      </c>
      <c r="D216" t="n">
        <v>5.3</v>
      </c>
      <c r="E216" t="inlineStr"/>
      <c r="F216" t="n">
        <v>35</v>
      </c>
      <c r="G216" t="inlineStr">
        <is>
          <t>leído de gráfico (marcadores vectoriales Fig. 33c); incertidumbre ≈±30 kPa y ±0.05 %</t>
        </is>
      </c>
    </row>
    <row r="217">
      <c r="A217" t="inlineStr">
        <is>
          <t>W2022</t>
        </is>
      </c>
      <c r="B217" t="inlineStr">
        <is>
          <t>HF-edo-0.24m-2.1 (Golder)</t>
        </is>
      </c>
      <c r="C217" t="n">
        <v>4799</v>
      </c>
      <c r="D217" t="n">
        <v>5.85</v>
      </c>
      <c r="E217" t="inlineStr"/>
      <c r="F217" t="n">
        <v>35</v>
      </c>
      <c r="G217" t="inlineStr">
        <is>
          <t>leído de gráfico (marcadores vectoriales Fig. 33c); incertidumbre ≈±30 kPa y ±0.05 %</t>
        </is>
      </c>
    </row>
    <row r="218">
      <c r="A218" t="inlineStr">
        <is>
          <t>W2022</t>
        </is>
      </c>
      <c r="B218" t="inlineStr">
        <is>
          <t>HF-edo-0.24m-2.1 (Golder)</t>
        </is>
      </c>
      <c r="C218" t="n">
        <v>3998</v>
      </c>
      <c r="D218" t="n">
        <v>5.64</v>
      </c>
      <c r="E218" t="inlineStr"/>
      <c r="F218" t="n">
        <v>35</v>
      </c>
      <c r="G218" t="inlineStr">
        <is>
          <t>leído de gráfico (marcadores vectoriales Fig. 33c); incertidumbre ≈±30 kPa y ±0.05 %</t>
        </is>
      </c>
    </row>
    <row r="219">
      <c r="A219" t="inlineStr">
        <is>
          <t>W2022</t>
        </is>
      </c>
      <c r="B219" t="inlineStr">
        <is>
          <t>HF-edo-0.24m-2.1 (Golder)</t>
        </is>
      </c>
      <c r="C219" t="n">
        <v>3201</v>
      </c>
      <c r="D219" t="n">
        <v>5.41</v>
      </c>
      <c r="E219" t="inlineStr"/>
      <c r="F219" t="n">
        <v>35</v>
      </c>
      <c r="G219" t="inlineStr">
        <is>
          <t>leído de gráfico (marcadores vectoriales Fig. 33c); incertidumbre ≈±30 kPa y ±0.05 %</t>
        </is>
      </c>
    </row>
    <row r="220">
      <c r="A220" t="inlineStr">
        <is>
          <t>W2022</t>
        </is>
      </c>
      <c r="B220" t="inlineStr">
        <is>
          <t>HF-edo-0.24m-2.1 (Golder)</t>
        </is>
      </c>
      <c r="C220" t="n">
        <v>2401</v>
      </c>
      <c r="D220" t="n">
        <v>5.14</v>
      </c>
      <c r="E220" t="inlineStr"/>
      <c r="F220" t="n">
        <v>35</v>
      </c>
      <c r="G220" t="inlineStr">
        <is>
          <t>leído de gráfico (marcadores vectoriales Fig. 33c); incertidumbre ≈±30 kPa y ±0.05 %</t>
        </is>
      </c>
    </row>
    <row r="221">
      <c r="A221" t="inlineStr">
        <is>
          <t>W2022</t>
        </is>
      </c>
      <c r="B221" t="inlineStr">
        <is>
          <t>HF-edo-0.24m-2.1 (Golder)</t>
        </is>
      </c>
      <c r="C221" t="n">
        <v>1597</v>
      </c>
      <c r="D221" t="n">
        <v>4.84</v>
      </c>
      <c r="E221" t="inlineStr"/>
      <c r="F221" t="n">
        <v>35</v>
      </c>
      <c r="G221" t="inlineStr">
        <is>
          <t>leído de gráfico (marcadores vectoriales Fig. 33c); incertidumbre ≈±30 kPa y ±0.05 %</t>
        </is>
      </c>
    </row>
    <row r="222">
      <c r="A222" t="inlineStr">
        <is>
          <t>W2022</t>
        </is>
      </c>
      <c r="B222" t="inlineStr">
        <is>
          <t>HF-edo-0.24m-2.1 (Golder)</t>
        </is>
      </c>
      <c r="C222" t="n">
        <v>1197</v>
      </c>
      <c r="D222" t="n">
        <v>4.68</v>
      </c>
      <c r="E222" t="inlineStr"/>
      <c r="F222" t="n">
        <v>35</v>
      </c>
      <c r="G222" t="inlineStr">
        <is>
          <t>leído de gráfico (marcadores vectoriales Fig. 33c); incertidumbre ≈±30 kPa y ±0.05 %</t>
        </is>
      </c>
    </row>
    <row r="223">
      <c r="A223" t="inlineStr">
        <is>
          <t>W2022</t>
        </is>
      </c>
      <c r="B223" t="inlineStr">
        <is>
          <t>HF-edo-0.24m-2.1 (Golder)</t>
        </is>
      </c>
      <c r="C223" t="n">
        <v>2201</v>
      </c>
      <c r="D223" t="n">
        <v>5.05</v>
      </c>
      <c r="E223" t="inlineStr"/>
      <c r="F223" t="n">
        <v>35</v>
      </c>
      <c r="G223" t="inlineStr">
        <is>
          <t>leído de gráfico (marcadores vectoriales Fig. 33c); incertidumbre ≈±30 kPa y ±0.05 %</t>
        </is>
      </c>
    </row>
    <row r="224">
      <c r="A224" t="inlineStr">
        <is>
          <t>W2022</t>
        </is>
      </c>
      <c r="B224" t="inlineStr">
        <is>
          <t>HF-edo-0.24m-2.1 (Golder)</t>
        </is>
      </c>
      <c r="C224" t="n">
        <v>3198</v>
      </c>
      <c r="D224" t="n">
        <v>5.39</v>
      </c>
      <c r="E224" t="inlineStr"/>
      <c r="F224" t="n">
        <v>35</v>
      </c>
      <c r="G224" t="inlineStr">
        <is>
          <t>leído de gráfico (marcadores vectoriales Fig. 33c); incertidumbre ≈±30 kPa y ±0.05 %</t>
        </is>
      </c>
    </row>
    <row r="225">
      <c r="A225" t="inlineStr">
        <is>
          <t>W2022</t>
        </is>
      </c>
      <c r="B225" t="inlineStr">
        <is>
          <t>HF-edo-0.24m-2.1 (Golder)</t>
        </is>
      </c>
      <c r="C225" t="n">
        <v>3998</v>
      </c>
      <c r="D225" t="n">
        <v>5.66</v>
      </c>
      <c r="E225" t="inlineStr"/>
      <c r="F225" t="n">
        <v>35</v>
      </c>
      <c r="G225" t="inlineStr">
        <is>
          <t>leído de gráfico (marcadores vectoriales Fig. 33c); incertidumbre ≈±30 kPa y ±0.05 %</t>
        </is>
      </c>
    </row>
    <row r="226">
      <c r="A226" t="inlineStr">
        <is>
          <t>W2022</t>
        </is>
      </c>
      <c r="B226" t="inlineStr">
        <is>
          <t>HF-edo-0.24m-2.1 (Golder)</t>
        </is>
      </c>
      <c r="C226" t="n">
        <v>4799</v>
      </c>
      <c r="D226" t="n">
        <v>5.89</v>
      </c>
      <c r="E226" t="inlineStr"/>
      <c r="F226" t="n">
        <v>35</v>
      </c>
      <c r="G226" t="inlineStr">
        <is>
          <t>leído de gráfico (marcadores vectoriales Fig. 33c); incertidumbre ≈±30 kPa y ±0.05 %</t>
        </is>
      </c>
    </row>
    <row r="227">
      <c r="A227" t="inlineStr">
        <is>
          <t>W2022</t>
        </is>
      </c>
      <c r="B227" t="inlineStr">
        <is>
          <t>HF-edo-0.24m-2.1 (Golder)</t>
        </is>
      </c>
      <c r="C227" t="n">
        <v>4799</v>
      </c>
      <c r="D227" t="n">
        <v>6.13</v>
      </c>
      <c r="E227" t="inlineStr"/>
      <c r="F227" t="n">
        <v>35</v>
      </c>
      <c r="G227" t="inlineStr">
        <is>
          <t>leído de gráfico (marcadores vectoriales Fig. 33c); incertidumbre ≈±30 kPa y ±0.05 %</t>
        </is>
      </c>
    </row>
    <row r="228">
      <c r="A228" t="inlineStr">
        <is>
          <t>W2022</t>
        </is>
      </c>
      <c r="B228" t="inlineStr">
        <is>
          <t>HF-edo-0.24m-2.1 (Golder)</t>
        </is>
      </c>
      <c r="C228" t="n">
        <v>997</v>
      </c>
      <c r="D228" t="n">
        <v>5.37</v>
      </c>
      <c r="E228" t="inlineStr"/>
      <c r="F228" t="n">
        <v>35</v>
      </c>
      <c r="G228" t="inlineStr">
        <is>
          <t>leído de gráfico (marcadores vectoriales Fig. 33c); incertidumbre ≈±30 kPa y ±0.05 %</t>
        </is>
      </c>
    </row>
    <row r="229">
      <c r="A229" t="inlineStr">
        <is>
          <t>W2022</t>
        </is>
      </c>
      <c r="B229" t="inlineStr">
        <is>
          <t>HF-edo-0.24m-2.1 (Golder)</t>
        </is>
      </c>
      <c r="C229" t="n">
        <v>0</v>
      </c>
      <c r="D229" t="n">
        <v>3.56</v>
      </c>
      <c r="E229" t="inlineStr"/>
      <c r="F229" t="n">
        <v>35</v>
      </c>
      <c r="G229" t="inlineStr">
        <is>
          <t>leído de gráfico (marcadores vectoriales Fig. 33c); incertidumbre ≈±30 kPa y ±0.05 %</t>
        </is>
      </c>
    </row>
    <row r="230">
      <c r="A230" t="inlineStr">
        <is>
          <t>W2022</t>
        </is>
      </c>
      <c r="B230" t="inlineStr">
        <is>
          <t>HF-edo-0.24m-1.8 (Golder)</t>
        </is>
      </c>
      <c r="C230" t="n">
        <v>0</v>
      </c>
      <c r="D230" t="n">
        <v>-0</v>
      </c>
      <c r="E230" t="inlineStr"/>
      <c r="F230" t="n">
        <v>35</v>
      </c>
      <c r="G230" t="inlineStr">
        <is>
          <t>leído de gráfico (marcadores vectoriales Fig. 33d); incertidumbre ≈±30 kPa y ±0.05 %</t>
        </is>
      </c>
    </row>
    <row r="231">
      <c r="A231" t="inlineStr">
        <is>
          <t>W2022</t>
        </is>
      </c>
      <c r="B231" t="inlineStr">
        <is>
          <t>HF-edo-0.24m-1.8 (Golder)</t>
        </is>
      </c>
      <c r="C231" t="n">
        <v>200</v>
      </c>
      <c r="D231" t="n">
        <v>8.210000000000001</v>
      </c>
      <c r="E231" t="inlineStr"/>
      <c r="F231" t="n">
        <v>35</v>
      </c>
      <c r="G231" t="inlineStr">
        <is>
          <t>leído de gráfico (marcadores vectoriales Fig. 33d); incertidumbre ≈±30 kPa y ±0.05 %</t>
        </is>
      </c>
    </row>
    <row r="232">
      <c r="A232" t="inlineStr">
        <is>
          <t>W2022</t>
        </is>
      </c>
      <c r="B232" t="inlineStr">
        <is>
          <t>HF-edo-0.24m-1.8 (Golder)</t>
        </is>
      </c>
      <c r="C232" t="n">
        <v>403</v>
      </c>
      <c r="D232" t="n">
        <v>9.9</v>
      </c>
      <c r="E232" t="inlineStr"/>
      <c r="F232" t="n">
        <v>35</v>
      </c>
      <c r="G232" t="inlineStr">
        <is>
          <t>leído de gráfico (marcadores vectoriales Fig. 33d); incertidumbre ≈±30 kPa y ±0.05 %</t>
        </is>
      </c>
    </row>
    <row r="233">
      <c r="A233" t="inlineStr">
        <is>
          <t>W2022</t>
        </is>
      </c>
      <c r="B233" t="inlineStr">
        <is>
          <t>HF-edo-0.24m-1.8 (Golder)</t>
        </is>
      </c>
      <c r="C233" t="n">
        <v>797</v>
      </c>
      <c r="D233" t="n">
        <v>12.18</v>
      </c>
      <c r="E233" t="inlineStr"/>
      <c r="F233" t="n">
        <v>35</v>
      </c>
      <c r="G233" t="inlineStr">
        <is>
          <t>leído de gráfico (marcadores vectoriales Fig. 33d); incertidumbre ≈±30 kPa y ±0.05 %</t>
        </is>
      </c>
    </row>
    <row r="234">
      <c r="A234" t="inlineStr">
        <is>
          <t>W2022</t>
        </is>
      </c>
      <c r="B234" t="inlineStr">
        <is>
          <t>HF-edo-0.24m-1.8 (Golder)</t>
        </is>
      </c>
      <c r="C234" t="n">
        <v>1200</v>
      </c>
      <c r="D234" t="n">
        <v>13.26</v>
      </c>
      <c r="E234" t="inlineStr"/>
      <c r="F234" t="n">
        <v>35</v>
      </c>
      <c r="G234" t="inlineStr">
        <is>
          <t>leído de gráfico (marcadores vectoriales Fig. 33d); incertidumbre ≈±30 kPa y ±0.05 %</t>
        </is>
      </c>
    </row>
    <row r="235">
      <c r="A235" t="inlineStr">
        <is>
          <t>W2022</t>
        </is>
      </c>
      <c r="B235" t="inlineStr">
        <is>
          <t>HF-edo-0.24m-1.8 (Golder)</t>
        </is>
      </c>
      <c r="C235" t="n">
        <v>1600</v>
      </c>
      <c r="D235" t="n">
        <v>13.85</v>
      </c>
      <c r="E235" t="inlineStr"/>
      <c r="F235" t="n">
        <v>35</v>
      </c>
      <c r="G235" t="inlineStr">
        <is>
          <t>leído de gráfico (marcadores vectoriales Fig. 33d); incertidumbre ≈±30 kPa y ±0.05 %</t>
        </is>
      </c>
    </row>
    <row r="236">
      <c r="A236" t="inlineStr">
        <is>
          <t>W2022</t>
        </is>
      </c>
      <c r="B236" t="inlineStr">
        <is>
          <t>HF-edo-0.24m-1.8 (Golder)</t>
        </is>
      </c>
      <c r="C236" t="n">
        <v>2000</v>
      </c>
      <c r="D236" t="n">
        <v>14.46</v>
      </c>
      <c r="E236" t="inlineStr"/>
      <c r="F236" t="n">
        <v>35</v>
      </c>
      <c r="G236" t="inlineStr">
        <is>
          <t>leído de gráfico (marcadores vectoriales Fig. 33d); incertidumbre ≈±30 kPa y ±0.05 %</t>
        </is>
      </c>
    </row>
    <row r="237">
      <c r="A237" t="inlineStr">
        <is>
          <t>W2022</t>
        </is>
      </c>
      <c r="B237" t="inlineStr">
        <is>
          <t>HF-edo-0.24m-1.8 (Golder)</t>
        </is>
      </c>
      <c r="C237" t="n">
        <v>2398</v>
      </c>
      <c r="D237" t="n">
        <v>14.92</v>
      </c>
      <c r="E237" t="inlineStr"/>
      <c r="F237" t="n">
        <v>35</v>
      </c>
      <c r="G237" t="inlineStr">
        <is>
          <t>leído de gráfico (marcadores vectoriales Fig. 33d); incertidumbre ≈±30 kPa y ±0.05 %</t>
        </is>
      </c>
    </row>
    <row r="238">
      <c r="A238" t="inlineStr">
        <is>
          <t>W2022</t>
        </is>
      </c>
      <c r="B238" t="inlineStr">
        <is>
          <t>HF-edo-0.24m-1.8 (Golder)</t>
        </is>
      </c>
      <c r="C238" t="n">
        <v>2798</v>
      </c>
      <c r="D238" t="n">
        <v>15.42</v>
      </c>
      <c r="E238" t="inlineStr"/>
      <c r="F238" t="n">
        <v>35</v>
      </c>
      <c r="G238" t="inlineStr">
        <is>
          <t>leído de gráfico (marcadores vectoriales Fig. 33d); incertidumbre ≈±30 kPa y ±0.05 %</t>
        </is>
      </c>
    </row>
    <row r="239">
      <c r="A239" t="inlineStr">
        <is>
          <t>W2022</t>
        </is>
      </c>
      <c r="B239" t="inlineStr">
        <is>
          <t>HF-edo-0.24m-1.8 (Golder)</t>
        </is>
      </c>
      <c r="C239" t="n">
        <v>3198</v>
      </c>
      <c r="D239" t="n">
        <v>15.92</v>
      </c>
      <c r="E239" t="inlineStr"/>
      <c r="F239" t="n">
        <v>35</v>
      </c>
      <c r="G239" t="inlineStr">
        <is>
          <t>leído de gráfico (marcadores vectoriales Fig. 33d); incertidumbre ≈±30 kPa y ±0.05 %</t>
        </is>
      </c>
    </row>
    <row r="240">
      <c r="A240" t="inlineStr">
        <is>
          <t>W2022</t>
        </is>
      </c>
      <c r="B240" t="inlineStr">
        <is>
          <t>HF-edo-0.24m-1.8 (Golder)</t>
        </is>
      </c>
      <c r="C240" t="n">
        <v>3601</v>
      </c>
      <c r="D240" t="n">
        <v>16.42</v>
      </c>
      <c r="E240" t="inlineStr"/>
      <c r="F240" t="n">
        <v>35</v>
      </c>
      <c r="G240" t="inlineStr">
        <is>
          <t>leído de gráfico (marcadores vectoriales Fig. 33d); incertidumbre ≈±30 kPa y ±0.05 %</t>
        </is>
      </c>
    </row>
    <row r="241">
      <c r="A241" t="inlineStr">
        <is>
          <t>W2022</t>
        </is>
      </c>
      <c r="B241" t="inlineStr">
        <is>
          <t>HF-edo-0.24m-1.8 (Golder)</t>
        </is>
      </c>
      <c r="C241" t="n">
        <v>3998</v>
      </c>
      <c r="D241" t="n">
        <v>16.68</v>
      </c>
      <c r="E241" t="inlineStr"/>
      <c r="F241" t="n">
        <v>35</v>
      </c>
      <c r="G241" t="inlineStr">
        <is>
          <t>leído de gráfico (marcadores vectoriales Fig. 33d); incertidumbre ≈±30 kPa y ±0.05 %</t>
        </is>
      </c>
    </row>
    <row r="242">
      <c r="A242" t="inlineStr">
        <is>
          <t>W2022</t>
        </is>
      </c>
      <c r="B242" t="inlineStr">
        <is>
          <t>HF-edo-0.24m-1.8 (Golder)</t>
        </is>
      </c>
      <c r="C242" t="n">
        <v>4399</v>
      </c>
      <c r="D242" t="n">
        <v>17.19</v>
      </c>
      <c r="E242" t="inlineStr"/>
      <c r="F242" t="n">
        <v>35</v>
      </c>
      <c r="G242" t="inlineStr">
        <is>
          <t>leído de gráfico (marcadores vectoriales Fig. 33d); incertidumbre ≈±30 kPa y ±0.05 %</t>
        </is>
      </c>
    </row>
    <row r="243">
      <c r="A243" t="inlineStr">
        <is>
          <t>W2022</t>
        </is>
      </c>
      <c r="B243" t="inlineStr">
        <is>
          <t>HF-edo-0.24m-1.8 (Golder)</t>
        </is>
      </c>
      <c r="C243" t="n">
        <v>4799</v>
      </c>
      <c r="D243" t="n">
        <v>17.31</v>
      </c>
      <c r="E243" t="inlineStr"/>
      <c r="F243" t="n">
        <v>35</v>
      </c>
      <c r="G243" t="inlineStr">
        <is>
          <t>leído de gráfico (marcadores vectoriales Fig. 33d); incertidumbre ≈±30 kPa y ±0.05 %</t>
        </is>
      </c>
    </row>
    <row r="244">
      <c r="A244" t="inlineStr">
        <is>
          <t>W2022</t>
        </is>
      </c>
      <c r="B244" t="inlineStr">
        <is>
          <t>HF-edo-0.24m-1.8 (Golder)</t>
        </is>
      </c>
      <c r="C244" t="n">
        <v>3998</v>
      </c>
      <c r="D244" t="n">
        <v>17.1</v>
      </c>
      <c r="E244" t="inlineStr"/>
      <c r="F244" t="n">
        <v>35</v>
      </c>
      <c r="G244" t="inlineStr">
        <is>
          <t>leído de gráfico (marcadores vectoriales Fig. 33d); incertidumbre ≈±30 kPa y ±0.05 %</t>
        </is>
      </c>
    </row>
    <row r="245">
      <c r="A245" t="inlineStr">
        <is>
          <t>W2022</t>
        </is>
      </c>
      <c r="B245" t="inlineStr">
        <is>
          <t>HF-edo-0.24m-1.8 (Golder)</t>
        </is>
      </c>
      <c r="C245" t="n">
        <v>3201</v>
      </c>
      <c r="D245" t="n">
        <v>16.87</v>
      </c>
      <c r="E245" t="inlineStr"/>
      <c r="F245" t="n">
        <v>35</v>
      </c>
      <c r="G245" t="inlineStr">
        <is>
          <t>leído de gráfico (marcadores vectoriales Fig. 33d); incertidumbre ≈±30 kPa y ±0.05 %</t>
        </is>
      </c>
    </row>
    <row r="246">
      <c r="A246" t="inlineStr">
        <is>
          <t>W2022</t>
        </is>
      </c>
      <c r="B246" t="inlineStr">
        <is>
          <t>HF-edo-0.24m-1.8 (Golder)</t>
        </is>
      </c>
      <c r="C246" t="n">
        <v>2401</v>
      </c>
      <c r="D246" t="n">
        <v>16.61</v>
      </c>
      <c r="E246" t="inlineStr"/>
      <c r="F246" t="n">
        <v>35</v>
      </c>
      <c r="G246" t="inlineStr">
        <is>
          <t>leído de gráfico (marcadores vectoriales Fig. 33d); incertidumbre ≈±30 kPa y ±0.05 %</t>
        </is>
      </c>
    </row>
    <row r="247">
      <c r="A247" t="inlineStr">
        <is>
          <t>W2022</t>
        </is>
      </c>
      <c r="B247" t="inlineStr">
        <is>
          <t>HF-edo-0.24m-1.8 (Golder)</t>
        </is>
      </c>
      <c r="C247" t="n">
        <v>1597</v>
      </c>
      <c r="D247" t="n">
        <v>16.31</v>
      </c>
      <c r="E247" t="inlineStr"/>
      <c r="F247" t="n">
        <v>35</v>
      </c>
      <c r="G247" t="inlineStr">
        <is>
          <t>leído de gráfico (marcadores vectoriales Fig. 33d); incertidumbre ≈±30 kPa y ±0.05 %</t>
        </is>
      </c>
    </row>
    <row r="248">
      <c r="A248" t="inlineStr">
        <is>
          <t>W2022</t>
        </is>
      </c>
      <c r="B248" t="inlineStr">
        <is>
          <t>HF-edo-0.24m-1.8 (Golder)</t>
        </is>
      </c>
      <c r="C248" t="n">
        <v>1197</v>
      </c>
      <c r="D248" t="n">
        <v>16.14</v>
      </c>
      <c r="E248" t="inlineStr"/>
      <c r="F248" t="n">
        <v>35</v>
      </c>
      <c r="G248" t="inlineStr">
        <is>
          <t>leído de gráfico (marcadores vectoriales Fig. 33d); incertidumbre ≈±30 kPa y ±0.05 %</t>
        </is>
      </c>
    </row>
    <row r="249">
      <c r="A249" t="inlineStr">
        <is>
          <t>W2022</t>
        </is>
      </c>
      <c r="B249" t="inlineStr">
        <is>
          <t>HF-edo-0.24m-1.8 (Golder)</t>
        </is>
      </c>
      <c r="C249" t="n">
        <v>2197</v>
      </c>
      <c r="D249" t="n">
        <v>16.52</v>
      </c>
      <c r="E249" t="inlineStr"/>
      <c r="F249" t="n">
        <v>35</v>
      </c>
      <c r="G249" t="inlineStr">
        <is>
          <t>leído de gráfico (marcadores vectoriales Fig. 33d); incertidumbre ≈±30 kPa y ±0.05 %</t>
        </is>
      </c>
    </row>
    <row r="250">
      <c r="A250" t="inlineStr">
        <is>
          <t>W2022</t>
        </is>
      </c>
      <c r="B250" t="inlineStr">
        <is>
          <t>HF-edo-0.24m-1.8 (Golder)</t>
        </is>
      </c>
      <c r="C250" t="n">
        <v>3198</v>
      </c>
      <c r="D250" t="n">
        <v>16.88</v>
      </c>
      <c r="E250" t="inlineStr"/>
      <c r="F250" t="n">
        <v>35</v>
      </c>
      <c r="G250" t="inlineStr">
        <is>
          <t>leído de gráfico (marcadores vectoriales Fig. 33d); incertidumbre ≈±30 kPa y ±0.05 %</t>
        </is>
      </c>
    </row>
    <row r="251">
      <c r="A251" t="inlineStr">
        <is>
          <t>W2022</t>
        </is>
      </c>
      <c r="B251" t="inlineStr">
        <is>
          <t>HF-edo-0.24m-1.8 (Golder)</t>
        </is>
      </c>
      <c r="C251" t="n">
        <v>3998</v>
      </c>
      <c r="D251" t="n">
        <v>17.15</v>
      </c>
      <c r="E251" t="inlineStr"/>
      <c r="F251" t="n">
        <v>35</v>
      </c>
      <c r="G251" t="inlineStr">
        <is>
          <t>leído de gráfico (marcadores vectoriales Fig. 33d); incertidumbre ≈±30 kPa y ±0.05 %</t>
        </is>
      </c>
    </row>
    <row r="252">
      <c r="A252" t="inlineStr">
        <is>
          <t>W2022</t>
        </is>
      </c>
      <c r="B252" t="inlineStr">
        <is>
          <t>HF-edo-0.24m-1.8 (Golder)</t>
        </is>
      </c>
      <c r="C252" t="n">
        <v>4799</v>
      </c>
      <c r="D252" t="n">
        <v>17.52</v>
      </c>
      <c r="E252" t="inlineStr"/>
      <c r="F252" t="n">
        <v>35</v>
      </c>
      <c r="G252" t="inlineStr">
        <is>
          <t>leído de gráfico (marcadores vectoriales Fig. 33d); incertidumbre ≈±30 kPa y ±0.05 %</t>
        </is>
      </c>
    </row>
    <row r="253">
      <c r="A253" t="inlineStr">
        <is>
          <t>W2022</t>
        </is>
      </c>
      <c r="B253" t="inlineStr">
        <is>
          <t>HF-edo-0.24m-1.8 (Golder)</t>
        </is>
      </c>
      <c r="C253" t="n">
        <v>1000</v>
      </c>
      <c r="D253" t="n">
        <v>16.81</v>
      </c>
      <c r="E253" t="inlineStr"/>
      <c r="F253" t="n">
        <v>35</v>
      </c>
      <c r="G253" t="inlineStr">
        <is>
          <t>leído de gráfico (marcadores vectoriales Fig. 33d); incertidumbre ≈±30 kPa y ±0.05 %</t>
        </is>
      </c>
    </row>
    <row r="254">
      <c r="A254" t="inlineStr">
        <is>
          <t>W2022</t>
        </is>
      </c>
      <c r="B254" t="inlineStr">
        <is>
          <t>HF-edo-0.24m-1.8 (Golder)</t>
        </is>
      </c>
      <c r="C254" t="n">
        <v>0</v>
      </c>
      <c r="D254" t="n">
        <v>15.83</v>
      </c>
      <c r="E254" t="inlineStr"/>
      <c r="F254" t="n">
        <v>35</v>
      </c>
      <c r="G254" t="inlineStr">
        <is>
          <t>leído de gráfico (marcadores vectoriales Fig. 33d); incertidumbre ≈±30 kPa y ±0.05 %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fuente_id</t>
        </is>
      </c>
      <c r="B1" s="1" t="inlineStr">
        <is>
          <t>fuente</t>
        </is>
      </c>
      <c r="C1" s="1" t="inlineStr">
        <is>
          <t>litologia_informe</t>
        </is>
      </c>
      <c r="D1" s="1" t="inlineStr">
        <is>
          <t>litologia</t>
        </is>
      </c>
      <c r="E1" s="1" t="inlineStr">
        <is>
          <t>litologia_detalle</t>
        </is>
      </c>
      <c r="F1" s="1" t="inlineStr">
        <is>
          <t>fase</t>
        </is>
      </c>
      <c r="G1" s="1" t="inlineStr">
        <is>
          <t>clase_desmonte</t>
        </is>
      </c>
      <c r="H1" s="1" t="inlineStr">
        <is>
          <t>ensayo</t>
        </is>
      </c>
      <c r="I1" s="1" t="inlineStr">
        <is>
          <t>norma</t>
        </is>
      </c>
      <c r="J1" s="1" t="inlineStr">
        <is>
          <t>propiedad</t>
        </is>
      </c>
      <c r="K1" s="1" t="inlineStr">
        <is>
          <t>valor</t>
        </is>
      </c>
      <c r="L1" s="1" t="inlineStr">
        <is>
          <t>unidad</t>
        </is>
      </c>
      <c r="M1" s="1" t="inlineStr">
        <is>
          <t>n_probetas</t>
        </is>
      </c>
      <c r="N1" s="1" t="inlineStr">
        <is>
          <t>probeta_id</t>
        </is>
      </c>
      <c r="O1" s="1" t="inlineStr">
        <is>
          <t>detalle</t>
        </is>
      </c>
      <c r="P1" s="1" t="inlineStr">
        <is>
          <t>fecha_ensayo</t>
        </is>
      </c>
      <c r="Q1" s="1" t="inlineStr">
        <is>
          <t>pagina</t>
        </is>
      </c>
      <c r="R1" s="1" t="inlineStr">
        <is>
          <t>verificado_imagen</t>
        </is>
      </c>
      <c r="S1" s="1" t="inlineStr">
        <is>
          <t>notas</t>
        </is>
      </c>
      <c r="T1" s="1" t="inlineStr">
        <is>
          <t>rmu</t>
        </is>
      </c>
      <c r="U1" s="1" t="inlineStr">
        <is>
          <t>parametro</t>
        </is>
      </c>
      <c r="V1" s="1" t="inlineStr">
        <is>
          <t>n</t>
        </is>
      </c>
      <c r="W1" s="1" t="inlineStr">
        <is>
          <t>media</t>
        </is>
      </c>
      <c r="X1" s="1" t="inlineStr">
        <is>
          <t>P50</t>
        </is>
      </c>
      <c r="Y1" s="1" t="inlineStr">
        <is>
          <t>P35</t>
        </is>
      </c>
      <c r="Z1" s="1" t="inlineStr">
        <is>
          <t>P16</t>
        </is>
      </c>
      <c r="AA1" s="1" t="inlineStr">
        <is>
          <t>P84</t>
        </is>
      </c>
      <c r="AB1" s="1" t="inlineStr">
        <is>
          <t>desv_est</t>
        </is>
      </c>
      <c r="AC1" s="1" t="inlineStr">
        <is>
          <t>minimo</t>
        </is>
      </c>
      <c r="AD1" s="1" t="inlineStr">
        <is>
          <t>maximo</t>
        </is>
      </c>
      <c r="AE1" s="1" t="inlineStr">
        <is>
          <t>resumen_media</t>
        </is>
      </c>
      <c r="AF1" s="1" t="inlineStr">
        <is>
          <t>resumen_P50</t>
        </is>
      </c>
      <c r="AG1" s="1" t="inlineStr">
        <is>
          <t>resumen_P35</t>
        </is>
      </c>
      <c r="AH1" s="1" t="inlineStr">
        <is>
          <t>coincide_resumen</t>
        </is>
      </c>
      <c r="AI1" s="1" t="inlineStr">
        <is>
          <t>base</t>
        </is>
      </c>
    </row>
    <row r="2">
      <c r="A2" t="inlineStr">
        <is>
          <t>G2010</t>
        </is>
      </c>
      <c r="B2" t="inlineStr">
        <is>
          <t>2010_Golder_Caracterizacion ROM IPCC.pdf</t>
        </is>
      </c>
      <c r="C2" t="inlineStr">
        <is>
          <t>Mármol Negro</t>
        </is>
      </c>
      <c r="D2" t="inlineStr">
        <is>
          <t>Mármol</t>
        </is>
      </c>
      <c r="E2" t="inlineStr">
        <is>
          <t>mármol negro</t>
        </is>
      </c>
      <c r="F2" t="inlineStr">
        <is>
          <t>A</t>
        </is>
      </c>
      <c r="G2" t="inlineStr">
        <is>
          <t>ROM (Fase A = «material original procedente del tajo», p.1)</t>
        </is>
      </c>
      <c r="H2" t="inlineStr">
        <is>
          <t>Compresión uniaxial simple</t>
        </is>
      </c>
      <c r="I2" t="inlineStr">
        <is>
          <t>ASTM D2938</t>
        </is>
      </c>
      <c r="J2" t="inlineStr">
        <is>
          <t>UCS (σc estandarizada según Protodyakonov)</t>
        </is>
      </c>
      <c r="K2" t="n">
        <v>41</v>
      </c>
      <c r="L2" t="inlineStr">
        <is>
          <t>MPa</t>
        </is>
      </c>
      <c r="M2" t="n">
        <v>1</v>
      </c>
      <c r="N2" t="inlineStr">
        <is>
          <t>probeta 1</t>
        </is>
      </c>
      <c r="O2" t="inlineStr">
        <is>
          <t>Ø=4.57 cm; L=8.92 cm; L/D=1.95; factor=1.0; carga=6870 kgf; muestra preparada en laboratorio</t>
        </is>
      </c>
      <c r="P2" t="inlineStr">
        <is>
          <t>09/07/2009</t>
        </is>
      </c>
      <c r="Q2" t="inlineStr">
        <is>
          <t>66</t>
        </is>
      </c>
      <c r="R2" t="inlineStr">
        <is>
          <t>sí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G2010</t>
        </is>
      </c>
      <c r="B3" t="inlineStr">
        <is>
          <t>2010_Golder_Caracterizacion ROM IPCC.pdf</t>
        </is>
      </c>
      <c r="C3" t="inlineStr">
        <is>
          <t>Mármol Negro</t>
        </is>
      </c>
      <c r="D3" t="inlineStr">
        <is>
          <t>Mármol</t>
        </is>
      </c>
      <c r="E3" t="inlineStr">
        <is>
          <t>mármol negro</t>
        </is>
      </c>
      <c r="F3" t="inlineStr">
        <is>
          <t>A</t>
        </is>
      </c>
      <c r="G3" t="inlineStr">
        <is>
          <t>ROM (Fase A = «material original procedente del tajo», p.1)</t>
        </is>
      </c>
      <c r="H3" t="inlineStr">
        <is>
          <t>Compresión uniaxial simple</t>
        </is>
      </c>
      <c r="I3" t="inlineStr">
        <is>
          <t>ASTM D2938</t>
        </is>
      </c>
      <c r="J3" t="inlineStr">
        <is>
          <t>UCS (σc estandarizada según Protodyakonov)</t>
        </is>
      </c>
      <c r="K3" t="n">
        <v>48.3</v>
      </c>
      <c r="L3" t="inlineStr">
        <is>
          <t>MPa</t>
        </is>
      </c>
      <c r="M3" t="n">
        <v>1</v>
      </c>
      <c r="N3" t="inlineStr">
        <is>
          <t>probeta 2</t>
        </is>
      </c>
      <c r="O3" t="inlineStr">
        <is>
          <t>Ø=4.58 cm; L=8.95 cm; L/D=1.95; factor=1.0; carga=8140 kgf; muestra preparada en laboratorio</t>
        </is>
      </c>
      <c r="P3" t="inlineStr">
        <is>
          <t>09/07/2009</t>
        </is>
      </c>
      <c r="Q3" t="inlineStr">
        <is>
          <t>66</t>
        </is>
      </c>
      <c r="R3" t="inlineStr">
        <is>
          <t>sí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G2010</t>
        </is>
      </c>
      <c r="B4" t="inlineStr">
        <is>
          <t>2010_Golder_Caracterizacion ROM IPCC.pdf</t>
        </is>
      </c>
      <c r="C4" t="inlineStr">
        <is>
          <t>Mármol Negro</t>
        </is>
      </c>
      <c r="D4" t="inlineStr">
        <is>
          <t>Mármol</t>
        </is>
      </c>
      <c r="E4" t="inlineStr">
        <is>
          <t>mármol negro</t>
        </is>
      </c>
      <c r="F4" t="inlineStr">
        <is>
          <t>A</t>
        </is>
      </c>
      <c r="G4" t="inlineStr">
        <is>
          <t>ROM (Fase A = «material original procedente del tajo», p.1)</t>
        </is>
      </c>
      <c r="H4" t="inlineStr">
        <is>
          <t>Compresión uniaxial simple</t>
        </is>
      </c>
      <c r="I4" t="inlineStr">
        <is>
          <t>ASTM D2938</t>
        </is>
      </c>
      <c r="J4" t="inlineStr">
        <is>
          <t>UCS promedio (Tabla 2)</t>
        </is>
      </c>
      <c r="K4" t="n">
        <v>44.7</v>
      </c>
      <c r="L4" t="inlineStr">
        <is>
          <t>MPa</t>
        </is>
      </c>
      <c r="M4" t="n">
        <v>2</v>
      </c>
      <c r="N4" t="inlineStr">
        <is>
          <t>promedio</t>
        </is>
      </c>
      <c r="O4" t="inlineStr">
        <is>
          <t>promedio recalculado de las hojas = 44.65 MPa</t>
        </is>
      </c>
      <c r="P4" t="inlineStr"/>
      <c r="Q4" t="inlineStr">
        <is>
          <t>8;66</t>
        </is>
      </c>
      <c r="R4" t="inlineStr">
        <is>
          <t>sí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G2010</t>
        </is>
      </c>
      <c r="B5" t="inlineStr">
        <is>
          <t>2010_Golder_Caracterizacion ROM IPCC.pdf</t>
        </is>
      </c>
      <c r="C5" t="inlineStr">
        <is>
          <t>Hornfels Gris</t>
        </is>
      </c>
      <c r="D5" t="inlineStr">
        <is>
          <t>Hornfels</t>
        </is>
      </c>
      <c r="E5" t="inlineStr">
        <is>
          <t>hornfels gris</t>
        </is>
      </c>
      <c r="F5" t="inlineStr">
        <is>
          <t>A</t>
        </is>
      </c>
      <c r="G5" t="inlineStr">
        <is>
          <t>ROM (Fase A = «material original procedente del tajo», p.1)</t>
        </is>
      </c>
      <c r="H5" t="inlineStr">
        <is>
          <t>Compresión uniaxial simple</t>
        </is>
      </c>
      <c r="I5" t="inlineStr">
        <is>
          <t>ASTM D2938</t>
        </is>
      </c>
      <c r="J5" t="inlineStr">
        <is>
          <t>UCS (σc estandarizada según Protodyakonov)</t>
        </is>
      </c>
      <c r="K5" t="n">
        <v>46.8</v>
      </c>
      <c r="L5" t="inlineStr">
        <is>
          <t>MPa</t>
        </is>
      </c>
      <c r="M5" t="n">
        <v>1</v>
      </c>
      <c r="N5" t="inlineStr">
        <is>
          <t>probeta 1</t>
        </is>
      </c>
      <c r="O5" t="inlineStr">
        <is>
          <t>Ø=4.61 cm; L=9.12 cm; L/D=1.98; factor=1.0; carga=7980 kgf; muestra preparada en laboratorio</t>
        </is>
      </c>
      <c r="P5" t="inlineStr">
        <is>
          <t>09/07/2009</t>
        </is>
      </c>
      <c r="Q5" t="inlineStr">
        <is>
          <t>67</t>
        </is>
      </c>
      <c r="R5" t="inlineStr">
        <is>
          <t>sí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G2010</t>
        </is>
      </c>
      <c r="B6" t="inlineStr">
        <is>
          <t>2010_Golder_Caracterizacion ROM IPCC.pdf</t>
        </is>
      </c>
      <c r="C6" t="inlineStr">
        <is>
          <t>Hornfels Gris</t>
        </is>
      </c>
      <c r="D6" t="inlineStr">
        <is>
          <t>Hornfels</t>
        </is>
      </c>
      <c r="E6" t="inlineStr">
        <is>
          <t>hornfels gris</t>
        </is>
      </c>
      <c r="F6" t="inlineStr">
        <is>
          <t>A</t>
        </is>
      </c>
      <c r="G6" t="inlineStr">
        <is>
          <t>ROM (Fase A = «material original procedente del tajo», p.1)</t>
        </is>
      </c>
      <c r="H6" t="inlineStr">
        <is>
          <t>Compresión uniaxial simple</t>
        </is>
      </c>
      <c r="I6" t="inlineStr">
        <is>
          <t>ASTM D2938</t>
        </is>
      </c>
      <c r="J6" t="inlineStr">
        <is>
          <t>UCS (σc estandarizada según Protodyakonov)</t>
        </is>
      </c>
      <c r="K6" t="n">
        <v>51.6</v>
      </c>
      <c r="L6" t="inlineStr">
        <is>
          <t>MPa</t>
        </is>
      </c>
      <c r="M6" t="n">
        <v>1</v>
      </c>
      <c r="N6" t="inlineStr">
        <is>
          <t>probeta 2</t>
        </is>
      </c>
      <c r="O6" t="inlineStr">
        <is>
          <t>Ø=4.58 cm; L=9.13 cm; L/D=1.99; factor=1.0; carga=8670 kgf; muestra preparada en laboratorio</t>
        </is>
      </c>
      <c r="P6" t="inlineStr">
        <is>
          <t>09/07/2009</t>
        </is>
      </c>
      <c r="Q6" t="inlineStr">
        <is>
          <t>67</t>
        </is>
      </c>
      <c r="R6" t="inlineStr">
        <is>
          <t>sí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G2010</t>
        </is>
      </c>
      <c r="B7" t="inlineStr">
        <is>
          <t>2010_Golder_Caracterizacion ROM IPCC.pdf</t>
        </is>
      </c>
      <c r="C7" t="inlineStr">
        <is>
          <t>Hornfels Gris</t>
        </is>
      </c>
      <c r="D7" t="inlineStr">
        <is>
          <t>Hornfels</t>
        </is>
      </c>
      <c r="E7" t="inlineStr">
        <is>
          <t>hornfels gris</t>
        </is>
      </c>
      <c r="F7" t="inlineStr">
        <is>
          <t>A</t>
        </is>
      </c>
      <c r="G7" t="inlineStr">
        <is>
          <t>ROM (Fase A = «material original procedente del tajo», p.1)</t>
        </is>
      </c>
      <c r="H7" t="inlineStr">
        <is>
          <t>Compresión uniaxial simple</t>
        </is>
      </c>
      <c r="I7" t="inlineStr">
        <is>
          <t>ASTM D2938</t>
        </is>
      </c>
      <c r="J7" t="inlineStr">
        <is>
          <t>UCS promedio (Tabla 2)</t>
        </is>
      </c>
      <c r="K7" t="n">
        <v>49.2</v>
      </c>
      <c r="L7" t="inlineStr">
        <is>
          <t>MPa</t>
        </is>
      </c>
      <c r="M7" t="n">
        <v>2</v>
      </c>
      <c r="N7" t="inlineStr">
        <is>
          <t>promedio</t>
        </is>
      </c>
      <c r="O7" t="inlineStr">
        <is>
          <t>promedio recalculado de las hojas = 49.2 MPa</t>
        </is>
      </c>
      <c r="P7" t="inlineStr"/>
      <c r="Q7" t="inlineStr">
        <is>
          <t>8;67</t>
        </is>
      </c>
      <c r="R7" t="inlineStr">
        <is>
          <t>sí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G2010</t>
        </is>
      </c>
      <c r="B8" t="inlineStr">
        <is>
          <t>2010_Golder_Caracterizacion ROM IPCC.pdf</t>
        </is>
      </c>
      <c r="C8" t="inlineStr">
        <is>
          <t>Intrusivo</t>
        </is>
      </c>
      <c r="D8" t="inlineStr">
        <is>
          <t>Intrusivo</t>
        </is>
      </c>
      <c r="E8" t="inlineStr">
        <is>
          <t>sin subtipo</t>
        </is>
      </c>
      <c r="F8" t="inlineStr">
        <is>
          <t>A</t>
        </is>
      </c>
      <c r="G8" t="inlineStr">
        <is>
          <t>ROM (Fase A = «material original procedente del tajo», p.1)</t>
        </is>
      </c>
      <c r="H8" t="inlineStr">
        <is>
          <t>Compresión uniaxial simple</t>
        </is>
      </c>
      <c r="I8" t="inlineStr">
        <is>
          <t>ASTM D2938</t>
        </is>
      </c>
      <c r="J8" t="inlineStr">
        <is>
          <t>UCS (σc estandarizada según Protodyakonov)</t>
        </is>
      </c>
      <c r="K8" t="n">
        <v>48.4</v>
      </c>
      <c r="L8" t="inlineStr">
        <is>
          <t>MPa</t>
        </is>
      </c>
      <c r="M8" t="n">
        <v>1</v>
      </c>
      <c r="N8" t="inlineStr">
        <is>
          <t>probeta 1</t>
        </is>
      </c>
      <c r="O8" t="inlineStr">
        <is>
          <t>Ø=4.57 cm; L=9.3 cm; L/D=2.04; factor=1.0; carga=8080 kgf; muestra preparada en laboratorio</t>
        </is>
      </c>
      <c r="P8" t="inlineStr">
        <is>
          <t>09/07/2009</t>
        </is>
      </c>
      <c r="Q8" t="inlineStr">
        <is>
          <t>68</t>
        </is>
      </c>
      <c r="R8" t="inlineStr">
        <is>
          <t>sí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G2010</t>
        </is>
      </c>
      <c r="B9" t="inlineStr">
        <is>
          <t>2010_Golder_Caracterizacion ROM IPCC.pdf</t>
        </is>
      </c>
      <c r="C9" t="inlineStr">
        <is>
          <t>Intrusivo</t>
        </is>
      </c>
      <c r="D9" t="inlineStr">
        <is>
          <t>Intrusivo</t>
        </is>
      </c>
      <c r="E9" t="inlineStr">
        <is>
          <t>sin subtipo</t>
        </is>
      </c>
      <c r="F9" t="inlineStr">
        <is>
          <t>A</t>
        </is>
      </c>
      <c r="G9" t="inlineStr">
        <is>
          <t>ROM (Fase A = «material original procedente del tajo», p.1)</t>
        </is>
      </c>
      <c r="H9" t="inlineStr">
        <is>
          <t>Compresión uniaxial simple</t>
        </is>
      </c>
      <c r="I9" t="inlineStr">
        <is>
          <t>ASTM D2938</t>
        </is>
      </c>
      <c r="J9" t="inlineStr">
        <is>
          <t>UCS (σc estandarizada según Protodyakonov)</t>
        </is>
      </c>
      <c r="K9" t="n">
        <v>45.1</v>
      </c>
      <c r="L9" t="inlineStr">
        <is>
          <t>MPa</t>
        </is>
      </c>
      <c r="M9" t="n">
        <v>1</v>
      </c>
      <c r="N9" t="inlineStr">
        <is>
          <t>probeta 2</t>
        </is>
      </c>
      <c r="O9" t="inlineStr">
        <is>
          <t>Ø=4.6 cm; L=9.16 cm; L/D=1.99; factor=1.0; carga=7640 kgf; muestra preparada en laboratorio</t>
        </is>
      </c>
      <c r="P9" t="inlineStr">
        <is>
          <t>09/07/2009</t>
        </is>
      </c>
      <c r="Q9" t="inlineStr">
        <is>
          <t>68</t>
        </is>
      </c>
      <c r="R9" t="inlineStr">
        <is>
          <t>sí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G2010</t>
        </is>
      </c>
      <c r="B10" t="inlineStr">
        <is>
          <t>2010_Golder_Caracterizacion ROM IPCC.pdf</t>
        </is>
      </c>
      <c r="C10" t="inlineStr">
        <is>
          <t>Intrusivo</t>
        </is>
      </c>
      <c r="D10" t="inlineStr">
        <is>
          <t>Intrusivo</t>
        </is>
      </c>
      <c r="E10" t="inlineStr">
        <is>
          <t>sin subtipo</t>
        </is>
      </c>
      <c r="F10" t="inlineStr">
        <is>
          <t>A</t>
        </is>
      </c>
      <c r="G10" t="inlineStr">
        <is>
          <t>ROM (Fase A = «material original procedente del tajo», p.1)</t>
        </is>
      </c>
      <c r="H10" t="inlineStr">
        <is>
          <t>Compresión uniaxial simple</t>
        </is>
      </c>
      <c r="I10" t="inlineStr">
        <is>
          <t>ASTM D2938</t>
        </is>
      </c>
      <c r="J10" t="inlineStr">
        <is>
          <t>UCS promedio (Tabla 2)</t>
        </is>
      </c>
      <c r="K10" t="n">
        <v>46.8</v>
      </c>
      <c r="L10" t="inlineStr">
        <is>
          <t>MPa</t>
        </is>
      </c>
      <c r="M10" t="n">
        <v>2</v>
      </c>
      <c r="N10" t="inlineStr">
        <is>
          <t>promedio</t>
        </is>
      </c>
      <c r="O10" t="inlineStr">
        <is>
          <t>promedio recalculado de las hojas = 46.75 MPa</t>
        </is>
      </c>
      <c r="P10" t="inlineStr"/>
      <c r="Q10" t="inlineStr">
        <is>
          <t>8;68</t>
        </is>
      </c>
      <c r="R10" t="inlineStr">
        <is>
          <t>sí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G2010</t>
        </is>
      </c>
      <c r="B11" t="inlineStr">
        <is>
          <t>2010_Golder_Caracterizacion ROM IPCC.pdf</t>
        </is>
      </c>
      <c r="C11" t="inlineStr">
        <is>
          <t>Exoskarn Diopsido</t>
        </is>
      </c>
      <c r="D11" t="inlineStr">
        <is>
          <t>Skarn</t>
        </is>
      </c>
      <c r="E11" t="inlineStr">
        <is>
          <t>exoskarn diópsido</t>
        </is>
      </c>
      <c r="F11" t="inlineStr">
        <is>
          <t>A</t>
        </is>
      </c>
      <c r="G11" t="inlineStr">
        <is>
          <t>ROM (Fase A = «material original procedente del tajo», p.1)</t>
        </is>
      </c>
      <c r="H11" t="inlineStr">
        <is>
          <t>Compresión uniaxial simple</t>
        </is>
      </c>
      <c r="I11" t="inlineStr">
        <is>
          <t>ASTM D2938</t>
        </is>
      </c>
      <c r="J11" t="inlineStr">
        <is>
          <t>UCS (σc estandarizada según Protodyakonov)</t>
        </is>
      </c>
      <c r="K11" t="n">
        <v>79.3</v>
      </c>
      <c r="L11" t="inlineStr">
        <is>
          <t>MPa</t>
        </is>
      </c>
      <c r="M11" t="n">
        <v>1</v>
      </c>
      <c r="N11" t="inlineStr">
        <is>
          <t>probeta 1</t>
        </is>
      </c>
      <c r="O11" t="inlineStr">
        <is>
          <t>Ø=4.56 cm; L=10.02 cm; L/D=2.2; factor=1.01; carga=13050 kgf; muestra preparada en laboratorio</t>
        </is>
      </c>
      <c r="P11" t="inlineStr">
        <is>
          <t>02/09/2009</t>
        </is>
      </c>
      <c r="Q11" t="inlineStr">
        <is>
          <t>69</t>
        </is>
      </c>
      <c r="R11" t="inlineStr">
        <is>
          <t>sí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G2010</t>
        </is>
      </c>
      <c r="B12" t="inlineStr">
        <is>
          <t>2010_Golder_Caracterizacion ROM IPCC.pdf</t>
        </is>
      </c>
      <c r="C12" t="inlineStr">
        <is>
          <t>Exoskarn Diopsido</t>
        </is>
      </c>
      <c r="D12" t="inlineStr">
        <is>
          <t>Skarn</t>
        </is>
      </c>
      <c r="E12" t="inlineStr">
        <is>
          <t>exoskarn diópsido</t>
        </is>
      </c>
      <c r="F12" t="inlineStr">
        <is>
          <t>A</t>
        </is>
      </c>
      <c r="G12" t="inlineStr">
        <is>
          <t>ROM (Fase A = «material original procedente del tajo», p.1)</t>
        </is>
      </c>
      <c r="H12" t="inlineStr">
        <is>
          <t>Compresión uniaxial simple</t>
        </is>
      </c>
      <c r="I12" t="inlineStr">
        <is>
          <t>ASTM D2938</t>
        </is>
      </c>
      <c r="J12" t="inlineStr">
        <is>
          <t>UCS (σc estandarizada según Protodyakonov)</t>
        </is>
      </c>
      <c r="K12" t="n">
        <v>67.3</v>
      </c>
      <c r="L12" t="inlineStr">
        <is>
          <t>MPa</t>
        </is>
      </c>
      <c r="M12" t="n">
        <v>1</v>
      </c>
      <c r="N12" t="inlineStr">
        <is>
          <t>probeta 2</t>
        </is>
      </c>
      <c r="O12" t="inlineStr">
        <is>
          <t>Ø=4.57 cm; L=10.1 cm; L/D=2.21; factor=1.01; carga=11120 kgf; muestra preparada en laboratorio</t>
        </is>
      </c>
      <c r="P12" t="inlineStr">
        <is>
          <t>02/09/2009</t>
        </is>
      </c>
      <c r="Q12" t="inlineStr">
        <is>
          <t>69</t>
        </is>
      </c>
      <c r="R12" t="inlineStr">
        <is>
          <t>sí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G2010</t>
        </is>
      </c>
      <c r="B13" t="inlineStr">
        <is>
          <t>2010_Golder_Caracterizacion ROM IPCC.pdf</t>
        </is>
      </c>
      <c r="C13" t="inlineStr">
        <is>
          <t>Exoskarn Diopsido</t>
        </is>
      </c>
      <c r="D13" t="inlineStr">
        <is>
          <t>Skarn</t>
        </is>
      </c>
      <c r="E13" t="inlineStr">
        <is>
          <t>exoskarn diópsido</t>
        </is>
      </c>
      <c r="F13" t="inlineStr">
        <is>
          <t>A</t>
        </is>
      </c>
      <c r="G13" t="inlineStr">
        <is>
          <t>ROM (Fase A = «material original procedente del tajo», p.1)</t>
        </is>
      </c>
      <c r="H13" t="inlineStr">
        <is>
          <t>Compresión uniaxial simple</t>
        </is>
      </c>
      <c r="I13" t="inlineStr">
        <is>
          <t>ASTM D2938</t>
        </is>
      </c>
      <c r="J13" t="inlineStr">
        <is>
          <t>UCS promedio (Tabla 2)</t>
        </is>
      </c>
      <c r="K13" t="n">
        <v>73.3</v>
      </c>
      <c r="L13" t="inlineStr">
        <is>
          <t>MPa</t>
        </is>
      </c>
      <c r="M13" t="n">
        <v>2</v>
      </c>
      <c r="N13" t="inlineStr">
        <is>
          <t>promedio</t>
        </is>
      </c>
      <c r="O13" t="inlineStr">
        <is>
          <t>promedio recalculado de las hojas = 73.3 MPa</t>
        </is>
      </c>
      <c r="P13" t="inlineStr"/>
      <c r="Q13" t="inlineStr">
        <is>
          <t>8;69</t>
        </is>
      </c>
      <c r="R13" t="inlineStr">
        <is>
          <t>sí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G2010</t>
        </is>
      </c>
      <c r="B14" t="inlineStr">
        <is>
          <t>2010_Golder_Caracterizacion ROM IPCC.pdf</t>
        </is>
      </c>
      <c r="C14" t="inlineStr">
        <is>
          <t>Mármol Negro</t>
        </is>
      </c>
      <c r="D14" t="inlineStr">
        <is>
          <t>Mármol</t>
        </is>
      </c>
      <c r="E14" t="inlineStr">
        <is>
          <t>mármol negro</t>
        </is>
      </c>
      <c r="F14" t="inlineStr">
        <is>
          <t>B</t>
        </is>
      </c>
      <c r="G14" t="inlineStr">
        <is>
          <t>Chancado (Fase B = «material chancado», p.1)</t>
        </is>
      </c>
      <c r="H14" t="inlineStr">
        <is>
          <t>Compresión uniaxial simple</t>
        </is>
      </c>
      <c r="I14" t="inlineStr">
        <is>
          <t>ASTM D2938</t>
        </is>
      </c>
      <c r="J14" t="inlineStr">
        <is>
          <t>UCS (σc estandarizada según Protodyakonov)</t>
        </is>
      </c>
      <c r="K14" t="n">
        <v>41.5</v>
      </c>
      <c r="L14" t="inlineStr">
        <is>
          <t>MPa</t>
        </is>
      </c>
      <c r="M14" t="n">
        <v>1</v>
      </c>
      <c r="N14" t="inlineStr">
        <is>
          <t>probeta 1</t>
        </is>
      </c>
      <c r="O14" t="inlineStr">
        <is>
          <t>Ø=4.55 cm; L=8.96 cm; L/D=1.97; factor=1.0; carga=6900 kgf; muestra preparada en laboratorio</t>
        </is>
      </c>
      <c r="P14" t="inlineStr">
        <is>
          <t>30/09/2009</t>
        </is>
      </c>
      <c r="Q14" t="inlineStr">
        <is>
          <t>70</t>
        </is>
      </c>
      <c r="R14" t="inlineStr">
        <is>
          <t>sí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G2010</t>
        </is>
      </c>
      <c r="B15" t="inlineStr">
        <is>
          <t>2010_Golder_Caracterizacion ROM IPCC.pdf</t>
        </is>
      </c>
      <c r="C15" t="inlineStr">
        <is>
          <t>Mármol Negro</t>
        </is>
      </c>
      <c r="D15" t="inlineStr">
        <is>
          <t>Mármol</t>
        </is>
      </c>
      <c r="E15" t="inlineStr">
        <is>
          <t>mármol negro</t>
        </is>
      </c>
      <c r="F15" t="inlineStr">
        <is>
          <t>B</t>
        </is>
      </c>
      <c r="G15" t="inlineStr">
        <is>
          <t>Chancado (Fase B = «material chancado», p.1)</t>
        </is>
      </c>
      <c r="H15" t="inlineStr">
        <is>
          <t>Compresión uniaxial simple</t>
        </is>
      </c>
      <c r="I15" t="inlineStr">
        <is>
          <t>ASTM D2938</t>
        </is>
      </c>
      <c r="J15" t="inlineStr">
        <is>
          <t>UCS (σc estandarizada según Protodyakonov)</t>
        </is>
      </c>
      <c r="K15" t="n">
        <v>57.7</v>
      </c>
      <c r="L15" t="inlineStr">
        <is>
          <t>MPa</t>
        </is>
      </c>
      <c r="M15" t="n">
        <v>1</v>
      </c>
      <c r="N15" t="inlineStr">
        <is>
          <t>probeta 2</t>
        </is>
      </c>
      <c r="O15" t="inlineStr">
        <is>
          <t>Ø=4.59 cm; L=8.94 cm; L/D=1.95; factor=1.0; carga=9770 kgf; muestra preparada en laboratorio</t>
        </is>
      </c>
      <c r="P15" t="inlineStr">
        <is>
          <t>30/09/2009</t>
        </is>
      </c>
      <c r="Q15" t="inlineStr">
        <is>
          <t>70</t>
        </is>
      </c>
      <c r="R15" t="inlineStr">
        <is>
          <t>sí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G2010</t>
        </is>
      </c>
      <c r="B16" t="inlineStr">
        <is>
          <t>2010_Golder_Caracterizacion ROM IPCC.pdf</t>
        </is>
      </c>
      <c r="C16" t="inlineStr">
        <is>
          <t>Mármol Negro</t>
        </is>
      </c>
      <c r="D16" t="inlineStr">
        <is>
          <t>Mármol</t>
        </is>
      </c>
      <c r="E16" t="inlineStr">
        <is>
          <t>mármol negro</t>
        </is>
      </c>
      <c r="F16" t="inlineStr">
        <is>
          <t>B</t>
        </is>
      </c>
      <c r="G16" t="inlineStr">
        <is>
          <t>Chancado (Fase B = «material chancado», p.1)</t>
        </is>
      </c>
      <c r="H16" t="inlineStr">
        <is>
          <t>Compresión uniaxial simple</t>
        </is>
      </c>
      <c r="I16" t="inlineStr">
        <is>
          <t>ASTM D2938</t>
        </is>
      </c>
      <c r="J16" t="inlineStr">
        <is>
          <t>UCS promedio (Tabla 2)</t>
        </is>
      </c>
      <c r="K16" t="n">
        <v>49.6</v>
      </c>
      <c r="L16" t="inlineStr">
        <is>
          <t>MPa</t>
        </is>
      </c>
      <c r="M16" t="n">
        <v>2</v>
      </c>
      <c r="N16" t="inlineStr">
        <is>
          <t>promedio</t>
        </is>
      </c>
      <c r="O16" t="inlineStr">
        <is>
          <t>promedio recalculado de las hojas = 49.6 MPa</t>
        </is>
      </c>
      <c r="P16" t="inlineStr"/>
      <c r="Q16" t="inlineStr">
        <is>
          <t>8;70</t>
        </is>
      </c>
      <c r="R16" t="inlineStr">
        <is>
          <t>sí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G2010</t>
        </is>
      </c>
      <c r="B17" t="inlineStr">
        <is>
          <t>2010_Golder_Caracterizacion ROM IPCC.pdf</t>
        </is>
      </c>
      <c r="C17" t="inlineStr">
        <is>
          <t>Hornfels Gris</t>
        </is>
      </c>
      <c r="D17" t="inlineStr">
        <is>
          <t>Hornfels</t>
        </is>
      </c>
      <c r="E17" t="inlineStr">
        <is>
          <t>hornfels gris</t>
        </is>
      </c>
      <c r="F17" t="inlineStr">
        <is>
          <t>B</t>
        </is>
      </c>
      <c r="G17" t="inlineStr">
        <is>
          <t>Chancado (Fase B = «material chancado», p.1)</t>
        </is>
      </c>
      <c r="H17" t="inlineStr">
        <is>
          <t>Compresión uniaxial simple</t>
        </is>
      </c>
      <c r="I17" t="inlineStr">
        <is>
          <t>ASTM D2938</t>
        </is>
      </c>
      <c r="J17" t="inlineStr">
        <is>
          <t>UCS (σc estandarizada según Protodyakonov)</t>
        </is>
      </c>
      <c r="K17" t="n">
        <v>62.6</v>
      </c>
      <c r="L17" t="inlineStr">
        <is>
          <t>MPa</t>
        </is>
      </c>
      <c r="M17" t="n">
        <v>1</v>
      </c>
      <c r="N17" t="inlineStr">
        <is>
          <t>probeta 1</t>
        </is>
      </c>
      <c r="O17" t="inlineStr">
        <is>
          <t>Ø=4.6 cm; L=9.2 cm; L/D=2.0; factor=1.0; carga=10600 kgf; muestra preparada en laboratorio</t>
        </is>
      </c>
      <c r="P17" t="inlineStr">
        <is>
          <t>30/09/2009</t>
        </is>
      </c>
      <c r="Q17" t="inlineStr">
        <is>
          <t>71</t>
        </is>
      </c>
      <c r="R17" t="inlineStr">
        <is>
          <t>sí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G2010</t>
        </is>
      </c>
      <c r="B18" t="inlineStr">
        <is>
          <t>2010_Golder_Caracterizacion ROM IPCC.pdf</t>
        </is>
      </c>
      <c r="C18" t="inlineStr">
        <is>
          <t>Hornfels Gris</t>
        </is>
      </c>
      <c r="D18" t="inlineStr">
        <is>
          <t>Hornfels</t>
        </is>
      </c>
      <c r="E18" t="inlineStr">
        <is>
          <t>hornfels gris</t>
        </is>
      </c>
      <c r="F18" t="inlineStr">
        <is>
          <t>B</t>
        </is>
      </c>
      <c r="G18" t="inlineStr">
        <is>
          <t>Chancado (Fase B = «material chancado», p.1)</t>
        </is>
      </c>
      <c r="H18" t="inlineStr">
        <is>
          <t>Compresión uniaxial simple</t>
        </is>
      </c>
      <c r="I18" t="inlineStr">
        <is>
          <t>ASTM D2938</t>
        </is>
      </c>
      <c r="J18" t="inlineStr">
        <is>
          <t>UCS (σc estandarizada según Protodyakonov)</t>
        </is>
      </c>
      <c r="K18" t="n">
        <v>68.3</v>
      </c>
      <c r="L18" t="inlineStr">
        <is>
          <t>MPa</t>
        </is>
      </c>
      <c r="M18" t="n">
        <v>1</v>
      </c>
      <c r="N18" t="inlineStr">
        <is>
          <t>probeta 2</t>
        </is>
      </c>
      <c r="O18" t="inlineStr">
        <is>
          <t>Ø=4.59 cm; L=9.34 cm; L/D=2.03; factor=1.0; carga=11500 kgf; muestra preparada en laboratorio</t>
        </is>
      </c>
      <c r="P18" t="inlineStr">
        <is>
          <t>30/09/2009</t>
        </is>
      </c>
      <c r="Q18" t="inlineStr">
        <is>
          <t>71</t>
        </is>
      </c>
      <c r="R18" t="inlineStr">
        <is>
          <t>sí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G2010</t>
        </is>
      </c>
      <c r="B19" t="inlineStr">
        <is>
          <t>2010_Golder_Caracterizacion ROM IPCC.pdf</t>
        </is>
      </c>
      <c r="C19" t="inlineStr">
        <is>
          <t>Hornfels Gris</t>
        </is>
      </c>
      <c r="D19" t="inlineStr">
        <is>
          <t>Hornfels</t>
        </is>
      </c>
      <c r="E19" t="inlineStr">
        <is>
          <t>hornfels gris</t>
        </is>
      </c>
      <c r="F19" t="inlineStr">
        <is>
          <t>B</t>
        </is>
      </c>
      <c r="G19" t="inlineStr">
        <is>
          <t>Chancado (Fase B = «material chancado», p.1)</t>
        </is>
      </c>
      <c r="H19" t="inlineStr">
        <is>
          <t>Compresión uniaxial simple</t>
        </is>
      </c>
      <c r="I19" t="inlineStr">
        <is>
          <t>ASTM D2938</t>
        </is>
      </c>
      <c r="J19" t="inlineStr">
        <is>
          <t>UCS promedio (Tabla 2)</t>
        </is>
      </c>
      <c r="K19" t="n">
        <v>65.5</v>
      </c>
      <c r="L19" t="inlineStr">
        <is>
          <t>MPa</t>
        </is>
      </c>
      <c r="M19" t="n">
        <v>2</v>
      </c>
      <c r="N19" t="inlineStr">
        <is>
          <t>promedio</t>
        </is>
      </c>
      <c r="O19" t="inlineStr">
        <is>
          <t>promedio recalculado de las hojas = 65.45 MPa</t>
        </is>
      </c>
      <c r="P19" t="inlineStr"/>
      <c r="Q19" t="inlineStr">
        <is>
          <t>8;71</t>
        </is>
      </c>
      <c r="R19" t="inlineStr">
        <is>
          <t>sí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G2010</t>
        </is>
      </c>
      <c r="B20" t="inlineStr">
        <is>
          <t>2010_Golder_Caracterizacion ROM IPCC.pdf</t>
        </is>
      </c>
      <c r="C20" t="inlineStr">
        <is>
          <t>Intrusivo</t>
        </is>
      </c>
      <c r="D20" t="inlineStr">
        <is>
          <t>Intrusivo</t>
        </is>
      </c>
      <c r="E20" t="inlineStr">
        <is>
          <t>sin subtipo</t>
        </is>
      </c>
      <c r="F20" t="inlineStr">
        <is>
          <t>B</t>
        </is>
      </c>
      <c r="G20" t="inlineStr">
        <is>
          <t>Chancado (Fase B = «material chancado», p.1)</t>
        </is>
      </c>
      <c r="H20" t="inlineStr">
        <is>
          <t>Compresión uniaxial simple</t>
        </is>
      </c>
      <c r="I20" t="inlineStr">
        <is>
          <t>ASTM D2938</t>
        </is>
      </c>
      <c r="J20" t="inlineStr">
        <is>
          <t>UCS (σc estandarizada según Protodyakonov)</t>
        </is>
      </c>
      <c r="K20" t="n">
        <v>56.1</v>
      </c>
      <c r="L20" t="inlineStr">
        <is>
          <t>MPa</t>
        </is>
      </c>
      <c r="M20" t="n">
        <v>1</v>
      </c>
      <c r="N20" t="inlineStr">
        <is>
          <t>probeta 1</t>
        </is>
      </c>
      <c r="O20" t="inlineStr">
        <is>
          <t>Ø=4.49 cm; L=9.33 cm; L/D=2.08; factor=1.0; carga=9020 kgf; muestra preparada en laboratorio</t>
        </is>
      </c>
      <c r="P20" t="inlineStr">
        <is>
          <t>30/09/2009</t>
        </is>
      </c>
      <c r="Q20" t="inlineStr">
        <is>
          <t>72</t>
        </is>
      </c>
      <c r="R20" t="inlineStr">
        <is>
          <t>sí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G2010</t>
        </is>
      </c>
      <c r="B21" t="inlineStr">
        <is>
          <t>2010_Golder_Caracterizacion ROM IPCC.pdf</t>
        </is>
      </c>
      <c r="C21" t="inlineStr">
        <is>
          <t>Intrusivo</t>
        </is>
      </c>
      <c r="D21" t="inlineStr">
        <is>
          <t>Intrusivo</t>
        </is>
      </c>
      <c r="E21" t="inlineStr">
        <is>
          <t>sin subtipo</t>
        </is>
      </c>
      <c r="F21" t="inlineStr">
        <is>
          <t>B</t>
        </is>
      </c>
      <c r="G21" t="inlineStr">
        <is>
          <t>Chancado (Fase B = «material chancado», p.1)</t>
        </is>
      </c>
      <c r="H21" t="inlineStr">
        <is>
          <t>Compresión uniaxial simple</t>
        </is>
      </c>
      <c r="I21" t="inlineStr">
        <is>
          <t>ASTM D2938</t>
        </is>
      </c>
      <c r="J21" t="inlineStr">
        <is>
          <t>UCS (σc estandarizada según Protodyakonov)</t>
        </is>
      </c>
      <c r="K21" t="n">
        <v>51.8</v>
      </c>
      <c r="L21" t="inlineStr">
        <is>
          <t>MPa</t>
        </is>
      </c>
      <c r="M21" t="n">
        <v>1</v>
      </c>
      <c r="N21" t="inlineStr">
        <is>
          <t>probeta 2</t>
        </is>
      </c>
      <c r="O21" t="inlineStr">
        <is>
          <t>Ø=4.53 cm; L=9.39 cm; L/D=2.07; factor=1.0; carga=8480 kgf; muestra preparada en laboratorio</t>
        </is>
      </c>
      <c r="P21" t="inlineStr">
        <is>
          <t>30/09/2009</t>
        </is>
      </c>
      <c r="Q21" t="inlineStr">
        <is>
          <t>72</t>
        </is>
      </c>
      <c r="R21" t="inlineStr">
        <is>
          <t>sí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G2010</t>
        </is>
      </c>
      <c r="B22" t="inlineStr">
        <is>
          <t>2010_Golder_Caracterizacion ROM IPCC.pdf</t>
        </is>
      </c>
      <c r="C22" t="inlineStr">
        <is>
          <t>Intrusivo</t>
        </is>
      </c>
      <c r="D22" t="inlineStr">
        <is>
          <t>Intrusivo</t>
        </is>
      </c>
      <c r="E22" t="inlineStr">
        <is>
          <t>sin subtipo</t>
        </is>
      </c>
      <c r="F22" t="inlineStr">
        <is>
          <t>B</t>
        </is>
      </c>
      <c r="G22" t="inlineStr">
        <is>
          <t>Chancado (Fase B = «material chancado», p.1)</t>
        </is>
      </c>
      <c r="H22" t="inlineStr">
        <is>
          <t>Compresión uniaxial simple</t>
        </is>
      </c>
      <c r="I22" t="inlineStr">
        <is>
          <t>ASTM D2938</t>
        </is>
      </c>
      <c r="J22" t="inlineStr">
        <is>
          <t>UCS promedio (Tabla 2)</t>
        </is>
      </c>
      <c r="K22" t="n">
        <v>54</v>
      </c>
      <c r="L22" t="inlineStr">
        <is>
          <t>MPa</t>
        </is>
      </c>
      <c r="M22" t="n">
        <v>2</v>
      </c>
      <c r="N22" t="inlineStr">
        <is>
          <t>promedio</t>
        </is>
      </c>
      <c r="O22" t="inlineStr">
        <is>
          <t>promedio recalculado de las hojas = 53.95 MPa</t>
        </is>
      </c>
      <c r="P22" t="inlineStr"/>
      <c r="Q22" t="inlineStr">
        <is>
          <t>8;72</t>
        </is>
      </c>
      <c r="R22" t="inlineStr">
        <is>
          <t>sí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G2010</t>
        </is>
      </c>
      <c r="B23" t="inlineStr">
        <is>
          <t>2010_Golder_Caracterizacion ROM IPCC.pdf</t>
        </is>
      </c>
      <c r="C23" t="inlineStr">
        <is>
          <t>Exoskarn Diopsido</t>
        </is>
      </c>
      <c r="D23" t="inlineStr">
        <is>
          <t>Skarn</t>
        </is>
      </c>
      <c r="E23" t="inlineStr">
        <is>
          <t>exoskarn diópsido</t>
        </is>
      </c>
      <c r="F23" t="inlineStr">
        <is>
          <t>B</t>
        </is>
      </c>
      <c r="G23" t="inlineStr">
        <is>
          <t>Chancado (Fase B = «material chancado», p.1)</t>
        </is>
      </c>
      <c r="H23" t="inlineStr">
        <is>
          <t>Compresión uniaxial simple</t>
        </is>
      </c>
      <c r="I23" t="inlineStr">
        <is>
          <t>ASTM D2938</t>
        </is>
      </c>
      <c r="J23" t="inlineStr">
        <is>
          <t>UCS (σc estandarizada según Protodyakonov)</t>
        </is>
      </c>
      <c r="K23" t="n">
        <v>101.7</v>
      </c>
      <c r="L23" t="inlineStr">
        <is>
          <t>MPa</t>
        </is>
      </c>
      <c r="M23" t="n">
        <v>1</v>
      </c>
      <c r="N23" t="inlineStr">
        <is>
          <t>probeta 1</t>
        </is>
      </c>
      <c r="O23" t="inlineStr">
        <is>
          <t>Ø=4.54 cm; L=9.46 cm; L/D=2.08; factor=1.01; carga=16690 kgf; muestra preparada en laboratorio</t>
        </is>
      </c>
      <c r="P23" t="inlineStr">
        <is>
          <t>30/09/2009</t>
        </is>
      </c>
      <c r="Q23" t="inlineStr">
        <is>
          <t>73</t>
        </is>
      </c>
      <c r="R23" t="inlineStr">
        <is>
          <t>sí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G2010</t>
        </is>
      </c>
      <c r="B24" t="inlineStr">
        <is>
          <t>2010_Golder_Caracterizacion ROM IPCC.pdf</t>
        </is>
      </c>
      <c r="C24" t="inlineStr">
        <is>
          <t>Exoskarn Diopsido</t>
        </is>
      </c>
      <c r="D24" t="inlineStr">
        <is>
          <t>Skarn</t>
        </is>
      </c>
      <c r="E24" t="inlineStr">
        <is>
          <t>exoskarn diópsido</t>
        </is>
      </c>
      <c r="F24" t="inlineStr">
        <is>
          <t>B</t>
        </is>
      </c>
      <c r="G24" t="inlineStr">
        <is>
          <t>Chancado (Fase B = «material chancado», p.1)</t>
        </is>
      </c>
      <c r="H24" t="inlineStr">
        <is>
          <t>Compresión uniaxial simple</t>
        </is>
      </c>
      <c r="I24" t="inlineStr">
        <is>
          <t>ASTM D2938</t>
        </is>
      </c>
      <c r="J24" t="inlineStr">
        <is>
          <t>UCS (σc estandarizada según Protodyakonov)</t>
        </is>
      </c>
      <c r="K24" t="n">
        <v>93.09999999999999</v>
      </c>
      <c r="L24" t="inlineStr">
        <is>
          <t>MPa</t>
        </is>
      </c>
      <c r="M24" t="n">
        <v>1</v>
      </c>
      <c r="N24" t="inlineStr">
        <is>
          <t>probeta 2</t>
        </is>
      </c>
      <c r="O24" t="inlineStr">
        <is>
          <t>Ø=4.61 cm; L=9.45 cm; L/D=2.05; factor=1.0; carga=15800 kgf; muestra preparada en laboratorio</t>
        </is>
      </c>
      <c r="P24" t="inlineStr">
        <is>
          <t>30/09/2009</t>
        </is>
      </c>
      <c r="Q24" t="inlineStr">
        <is>
          <t>73</t>
        </is>
      </c>
      <c r="R24" t="inlineStr">
        <is>
          <t>sí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G2010</t>
        </is>
      </c>
      <c r="B25" t="inlineStr">
        <is>
          <t>2010_Golder_Caracterizacion ROM IPCC.pdf</t>
        </is>
      </c>
      <c r="C25" t="inlineStr">
        <is>
          <t>Exoskarn Diopsido</t>
        </is>
      </c>
      <c r="D25" t="inlineStr">
        <is>
          <t>Skarn</t>
        </is>
      </c>
      <c r="E25" t="inlineStr">
        <is>
          <t>exoskarn diópsido</t>
        </is>
      </c>
      <c r="F25" t="inlineStr">
        <is>
          <t>B</t>
        </is>
      </c>
      <c r="G25" t="inlineStr">
        <is>
          <t>Chancado (Fase B = «material chancado», p.1)</t>
        </is>
      </c>
      <c r="H25" t="inlineStr">
        <is>
          <t>Compresión uniaxial simple</t>
        </is>
      </c>
      <c r="I25" t="inlineStr">
        <is>
          <t>ASTM D2938</t>
        </is>
      </c>
      <c r="J25" t="inlineStr">
        <is>
          <t>UCS promedio (Tabla 2)</t>
        </is>
      </c>
      <c r="K25" t="n">
        <v>97.40000000000001</v>
      </c>
      <c r="L25" t="inlineStr">
        <is>
          <t>MPa</t>
        </is>
      </c>
      <c r="M25" t="n">
        <v>2</v>
      </c>
      <c r="N25" t="inlineStr">
        <is>
          <t>promedio</t>
        </is>
      </c>
      <c r="O25" t="inlineStr">
        <is>
          <t>promedio recalculado de las hojas = 97.4 MPa</t>
        </is>
      </c>
      <c r="P25" t="inlineStr"/>
      <c r="Q25" t="inlineStr">
        <is>
          <t>8;73</t>
        </is>
      </c>
      <c r="R25" t="inlineStr">
        <is>
          <t>sí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G2010</t>
        </is>
      </c>
      <c r="B26" t="inlineStr">
        <is>
          <t>2010_Golder_Caracterizacion ROM IPCC.pdf</t>
        </is>
      </c>
      <c r="C26" t="inlineStr">
        <is>
          <t>Mármol Negro</t>
        </is>
      </c>
      <c r="D26" t="inlineStr">
        <is>
          <t>Mármol</t>
        </is>
      </c>
      <c r="E26" t="inlineStr">
        <is>
          <t>mármol negro</t>
        </is>
      </c>
      <c r="F26" t="inlineStr">
        <is>
          <t>A</t>
        </is>
      </c>
      <c r="G26" t="inlineStr">
        <is>
          <t>ROM (Fase A = «material original procedente del tajo», p.1)</t>
        </is>
      </c>
      <c r="H26" t="inlineStr">
        <is>
          <t>Carga puntual</t>
        </is>
      </c>
      <c r="I26" t="inlineStr">
        <is>
          <t>ASTM D5731</t>
        </is>
      </c>
      <c r="J26" t="inlineStr">
        <is>
          <t>Is(50)</t>
        </is>
      </c>
      <c r="K26" t="n">
        <v>13.4</v>
      </c>
      <c r="L26" t="inlineStr">
        <is>
          <t>kg/cm²</t>
        </is>
      </c>
      <c r="M26" t="n">
        <v>1</v>
      </c>
      <c r="N26" t="inlineStr">
        <is>
          <t>M-1</t>
        </is>
      </c>
      <c r="O26" t="inlineStr">
        <is>
          <t>Muestra cilíndrica, carga axial, falla tipo L; Ø=45.8 mm; altura=41.4 mm; A/D=0.9; De²=2414 mm²; carga=325 kg; Is=13.5 kg/cm²</t>
        </is>
      </c>
      <c r="P26" t="inlineStr">
        <is>
          <t>09/07/2009</t>
        </is>
      </c>
      <c r="Q26" t="inlineStr">
        <is>
          <t>74</t>
        </is>
      </c>
      <c r="R26" t="inlineStr">
        <is>
          <t>sí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G2010</t>
        </is>
      </c>
      <c r="B27" t="inlineStr">
        <is>
          <t>2010_Golder_Caracterizacion ROM IPCC.pdf</t>
        </is>
      </c>
      <c r="C27" t="inlineStr">
        <is>
          <t>Mármol Negro</t>
        </is>
      </c>
      <c r="D27" t="inlineStr">
        <is>
          <t>Mármol</t>
        </is>
      </c>
      <c r="E27" t="inlineStr">
        <is>
          <t>mármol negro</t>
        </is>
      </c>
      <c r="F27" t="inlineStr">
        <is>
          <t>A</t>
        </is>
      </c>
      <c r="G27" t="inlineStr">
        <is>
          <t>ROM (Fase A = «material original procedente del tajo», p.1)</t>
        </is>
      </c>
      <c r="H27" t="inlineStr">
        <is>
          <t>Carga puntual</t>
        </is>
      </c>
      <c r="I27" t="inlineStr">
        <is>
          <t>ASTM D5731</t>
        </is>
      </c>
      <c r="J27" t="inlineStr">
        <is>
          <t>σc estimada (hoja)</t>
        </is>
      </c>
      <c r="K27" t="n">
        <v>321</v>
      </c>
      <c r="L27" t="inlineStr">
        <is>
          <t>kg/cm²</t>
        </is>
      </c>
      <c r="M27" t="n">
        <v>1</v>
      </c>
      <c r="N27" t="inlineStr">
        <is>
          <t>M-1</t>
        </is>
      </c>
      <c r="O27" t="inlineStr">
        <is>
          <t>Muestra cilíndrica, carga axial, falla tipo L; Ø=45.8 mm; altura=41.4 mm; A/D=0.9; De²=2414 mm²; carga=325 kg; Is=13.5 kg/cm²; σc=321 kg/cm² = 31.48 MPa</t>
        </is>
      </c>
      <c r="P27" t="inlineStr">
        <is>
          <t>09/07/2009</t>
        </is>
      </c>
      <c r="Q27" t="inlineStr">
        <is>
          <t>74</t>
        </is>
      </c>
      <c r="R27" t="inlineStr">
        <is>
          <t>sí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G2010</t>
        </is>
      </c>
      <c r="B28" t="inlineStr">
        <is>
          <t>2010_Golder_Caracterizacion ROM IPCC.pdf</t>
        </is>
      </c>
      <c r="C28" t="inlineStr">
        <is>
          <t>Mármol Negro</t>
        </is>
      </c>
      <c r="D28" t="inlineStr">
        <is>
          <t>Mármol</t>
        </is>
      </c>
      <c r="E28" t="inlineStr">
        <is>
          <t>mármol negro</t>
        </is>
      </c>
      <c r="F28" t="inlineStr">
        <is>
          <t>A</t>
        </is>
      </c>
      <c r="G28" t="inlineStr">
        <is>
          <t>ROM (Fase A = «material original procedente del tajo», p.1)</t>
        </is>
      </c>
      <c r="H28" t="inlineStr">
        <is>
          <t>Carga puntual</t>
        </is>
      </c>
      <c r="I28" t="inlineStr">
        <is>
          <t>ASTM D5731</t>
        </is>
      </c>
      <c r="J28" t="inlineStr">
        <is>
          <t>Is(50)</t>
        </is>
      </c>
      <c r="K28" t="n">
        <v>15.3</v>
      </c>
      <c r="L28" t="inlineStr">
        <is>
          <t>kg/cm²</t>
        </is>
      </c>
      <c r="M28" t="n">
        <v>1</v>
      </c>
      <c r="N28" t="inlineStr">
        <is>
          <t>M-2</t>
        </is>
      </c>
      <c r="O28" t="inlineStr">
        <is>
          <t>Muestra cilíndrica, carga axial, falla tipo L; Ø=45.8 mm; altura=38.3 mm; A/D=0.84; De²=2233 mm²; carga=350 kg; Is=15.7 kg/cm²</t>
        </is>
      </c>
      <c r="P28" t="inlineStr">
        <is>
          <t>09/07/2009</t>
        </is>
      </c>
      <c r="Q28" t="inlineStr">
        <is>
          <t>74</t>
        </is>
      </c>
      <c r="R28" t="inlineStr">
        <is>
          <t>sí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G2010</t>
        </is>
      </c>
      <c r="B29" t="inlineStr">
        <is>
          <t>2010_Golder_Caracterizacion ROM IPCC.pdf</t>
        </is>
      </c>
      <c r="C29" t="inlineStr">
        <is>
          <t>Mármol Negro</t>
        </is>
      </c>
      <c r="D29" t="inlineStr">
        <is>
          <t>Mármol</t>
        </is>
      </c>
      <c r="E29" t="inlineStr">
        <is>
          <t>mármol negro</t>
        </is>
      </c>
      <c r="F29" t="inlineStr">
        <is>
          <t>A</t>
        </is>
      </c>
      <c r="G29" t="inlineStr">
        <is>
          <t>ROM (Fase A = «material original procedente del tajo», p.1)</t>
        </is>
      </c>
      <c r="H29" t="inlineStr">
        <is>
          <t>Carga puntual</t>
        </is>
      </c>
      <c r="I29" t="inlineStr">
        <is>
          <t>ASTM D5731</t>
        </is>
      </c>
      <c r="J29" t="inlineStr">
        <is>
          <t>σc estimada (hoja)</t>
        </is>
      </c>
      <c r="K29" t="n">
        <v>367</v>
      </c>
      <c r="L29" t="inlineStr">
        <is>
          <t>kg/cm²</t>
        </is>
      </c>
      <c r="M29" t="n">
        <v>1</v>
      </c>
      <c r="N29" t="inlineStr">
        <is>
          <t>M-2</t>
        </is>
      </c>
      <c r="O29" t="inlineStr">
        <is>
          <t>Muestra cilíndrica, carga axial, falla tipo L; Ø=45.8 mm; altura=38.3 mm; A/D=0.84; De²=2233 mm²; carga=350 kg; Is=15.7 kg/cm²; σc=367 kg/cm² = 35.99 MPa</t>
        </is>
      </c>
      <c r="P29" t="inlineStr">
        <is>
          <t>09/07/2009</t>
        </is>
      </c>
      <c r="Q29" t="inlineStr">
        <is>
          <t>74</t>
        </is>
      </c>
      <c r="R29" t="inlineStr">
        <is>
          <t>sí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G2010</t>
        </is>
      </c>
      <c r="B30" t="inlineStr">
        <is>
          <t>2010_Golder_Caracterizacion ROM IPCC.pdf</t>
        </is>
      </c>
      <c r="C30" t="inlineStr">
        <is>
          <t>Mármol Negro</t>
        </is>
      </c>
      <c r="D30" t="inlineStr">
        <is>
          <t>Mármol</t>
        </is>
      </c>
      <c r="E30" t="inlineStr">
        <is>
          <t>mármol negro</t>
        </is>
      </c>
      <c r="F30" t="inlineStr">
        <is>
          <t>A</t>
        </is>
      </c>
      <c r="G30" t="inlineStr">
        <is>
          <t>ROM (Fase A = «material original procedente del tajo», p.1)</t>
        </is>
      </c>
      <c r="H30" t="inlineStr">
        <is>
          <t>Carga puntual</t>
        </is>
      </c>
      <c r="I30" t="inlineStr">
        <is>
          <t>ASTM D5731</t>
        </is>
      </c>
      <c r="J30" t="inlineStr">
        <is>
          <t>Is(50)</t>
        </is>
      </c>
      <c r="K30" t="n">
        <v>12.6</v>
      </c>
      <c r="L30" t="inlineStr">
        <is>
          <t>kg/cm²</t>
        </is>
      </c>
      <c r="M30" t="n">
        <v>1</v>
      </c>
      <c r="N30" t="inlineStr">
        <is>
          <t>M-3</t>
        </is>
      </c>
      <c r="O30" t="inlineStr">
        <is>
          <t>Muestra cilíndrica, carga axial, falla tipo L; Ø=45.8 mm; altura=41.1 mm; A/D=0.9; De²=2397 mm²; carga=306 kg; Is=12.8 kg/cm²</t>
        </is>
      </c>
      <c r="P30" t="inlineStr">
        <is>
          <t>09/07/2009</t>
        </is>
      </c>
      <c r="Q30" t="inlineStr">
        <is>
          <t>74</t>
        </is>
      </c>
      <c r="R30" t="inlineStr">
        <is>
          <t>sí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G2010</t>
        </is>
      </c>
      <c r="B31" t="inlineStr">
        <is>
          <t>2010_Golder_Caracterizacion ROM IPCC.pdf</t>
        </is>
      </c>
      <c r="C31" t="inlineStr">
        <is>
          <t>Mármol Negro</t>
        </is>
      </c>
      <c r="D31" t="inlineStr">
        <is>
          <t>Mármol</t>
        </is>
      </c>
      <c r="E31" t="inlineStr">
        <is>
          <t>mármol negro</t>
        </is>
      </c>
      <c r="F31" t="inlineStr">
        <is>
          <t>A</t>
        </is>
      </c>
      <c r="G31" t="inlineStr">
        <is>
          <t>ROM (Fase A = «material original procedente del tajo», p.1)</t>
        </is>
      </c>
      <c r="H31" t="inlineStr">
        <is>
          <t>Carga puntual</t>
        </is>
      </c>
      <c r="I31" t="inlineStr">
        <is>
          <t>ASTM D5731</t>
        </is>
      </c>
      <c r="J31" t="inlineStr">
        <is>
          <t>σc estimada (hoja)</t>
        </is>
      </c>
      <c r="K31" t="n">
        <v>304</v>
      </c>
      <c r="L31" t="inlineStr">
        <is>
          <t>kg/cm²</t>
        </is>
      </c>
      <c r="M31" t="n">
        <v>1</v>
      </c>
      <c r="N31" t="inlineStr">
        <is>
          <t>M-3</t>
        </is>
      </c>
      <c r="O31" t="inlineStr">
        <is>
          <t>Muestra cilíndrica, carga axial, falla tipo L; Ø=45.8 mm; altura=41.1 mm; A/D=0.9; De²=2397 mm²; carga=306 kg; Is=12.8 kg/cm²; σc=304 kg/cm² = 29.81 MPa</t>
        </is>
      </c>
      <c r="P31" t="inlineStr">
        <is>
          <t>09/07/2009</t>
        </is>
      </c>
      <c r="Q31" t="inlineStr">
        <is>
          <t>74</t>
        </is>
      </c>
      <c r="R31" t="inlineStr">
        <is>
          <t>sí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G2010</t>
        </is>
      </c>
      <c r="B32" t="inlineStr">
        <is>
          <t>2010_Golder_Caracterizacion ROM IPCC.pdf</t>
        </is>
      </c>
      <c r="C32" t="inlineStr">
        <is>
          <t>Mármol Negro</t>
        </is>
      </c>
      <c r="D32" t="inlineStr">
        <is>
          <t>Mármol</t>
        </is>
      </c>
      <c r="E32" t="inlineStr">
        <is>
          <t>mármol negro</t>
        </is>
      </c>
      <c r="F32" t="inlineStr">
        <is>
          <t>A</t>
        </is>
      </c>
      <c r="G32" t="inlineStr">
        <is>
          <t>ROM (Fase A = «material original procedente del tajo», p.1)</t>
        </is>
      </c>
      <c r="H32" t="inlineStr">
        <is>
          <t>Carga puntual</t>
        </is>
      </c>
      <c r="I32" t="inlineStr">
        <is>
          <t>ASTM D5731</t>
        </is>
      </c>
      <c r="J32" t="inlineStr">
        <is>
          <t>Is(50)</t>
        </is>
      </c>
      <c r="K32" t="n">
        <v>13.5</v>
      </c>
      <c r="L32" t="inlineStr">
        <is>
          <t>kg/cm²</t>
        </is>
      </c>
      <c r="M32" t="n">
        <v>1</v>
      </c>
      <c r="N32" t="inlineStr">
        <is>
          <t>M-4</t>
        </is>
      </c>
      <c r="O32" t="inlineStr">
        <is>
          <t>Muestra cilíndrica, carga axial, falla tipo L; Ø=45.8 mm; altura=44.5 mm; A/D=0.97; De²=2595 mm²; carga=347 kg; Is=13.4 kg/cm²</t>
        </is>
      </c>
      <c r="P32" t="inlineStr">
        <is>
          <t>09/07/2009</t>
        </is>
      </c>
      <c r="Q32" t="inlineStr">
        <is>
          <t>74</t>
        </is>
      </c>
      <c r="R32" t="inlineStr">
        <is>
          <t>sí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G2010</t>
        </is>
      </c>
      <c r="B33" t="inlineStr">
        <is>
          <t>2010_Golder_Caracterizacion ROM IPCC.pdf</t>
        </is>
      </c>
      <c r="C33" t="inlineStr">
        <is>
          <t>Mármol Negro</t>
        </is>
      </c>
      <c r="D33" t="inlineStr">
        <is>
          <t>Mármol</t>
        </is>
      </c>
      <c r="E33" t="inlineStr">
        <is>
          <t>mármol negro</t>
        </is>
      </c>
      <c r="F33" t="inlineStr">
        <is>
          <t>A</t>
        </is>
      </c>
      <c r="G33" t="inlineStr">
        <is>
          <t>ROM (Fase A = «material original procedente del tajo», p.1)</t>
        </is>
      </c>
      <c r="H33" t="inlineStr">
        <is>
          <t>Carga puntual</t>
        </is>
      </c>
      <c r="I33" t="inlineStr">
        <is>
          <t>ASTM D5731</t>
        </is>
      </c>
      <c r="J33" t="inlineStr">
        <is>
          <t>σc estimada (hoja)</t>
        </is>
      </c>
      <c r="K33" t="n">
        <v>323</v>
      </c>
      <c r="L33" t="inlineStr">
        <is>
          <t>kg/cm²</t>
        </is>
      </c>
      <c r="M33" t="n">
        <v>1</v>
      </c>
      <c r="N33" t="inlineStr">
        <is>
          <t>M-4</t>
        </is>
      </c>
      <c r="O33" t="inlineStr">
        <is>
          <t>Muestra cilíndrica, carga axial, falla tipo L; Ø=45.8 mm; altura=44.5 mm; A/D=0.97; De²=2595 mm²; carga=347 kg; Is=13.4 kg/cm²; σc=323 kg/cm² = 31.68 MPa</t>
        </is>
      </c>
      <c r="P33" t="inlineStr">
        <is>
          <t>09/07/2009</t>
        </is>
      </c>
      <c r="Q33" t="inlineStr">
        <is>
          <t>74</t>
        </is>
      </c>
      <c r="R33" t="inlineStr">
        <is>
          <t>sí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G2010</t>
        </is>
      </c>
      <c r="B34" t="inlineStr">
        <is>
          <t>2010_Golder_Caracterizacion ROM IPCC.pdf</t>
        </is>
      </c>
      <c r="C34" t="inlineStr">
        <is>
          <t>Mármol Negro</t>
        </is>
      </c>
      <c r="D34" t="inlineStr">
        <is>
          <t>Mármol</t>
        </is>
      </c>
      <c r="E34" t="inlineStr">
        <is>
          <t>mármol negro</t>
        </is>
      </c>
      <c r="F34" t="inlineStr">
        <is>
          <t>A</t>
        </is>
      </c>
      <c r="G34" t="inlineStr">
        <is>
          <t>ROM (Fase A = «material original procedente del tajo», p.1)</t>
        </is>
      </c>
      <c r="H34" t="inlineStr">
        <is>
          <t>Carga puntual</t>
        </is>
      </c>
      <c r="I34" t="inlineStr">
        <is>
          <t>ASTM D5731</t>
        </is>
      </c>
      <c r="J34" t="inlineStr">
        <is>
          <t>Is(50) promedio (calculado aquí de la hoja)</t>
        </is>
      </c>
      <c r="K34" t="n">
        <v>13.7</v>
      </c>
      <c r="L34" t="inlineStr">
        <is>
          <t>kg/cm²</t>
        </is>
      </c>
      <c r="M34" t="n">
        <v>4</v>
      </c>
      <c r="N34" t="inlineStr">
        <is>
          <t>promedio</t>
        </is>
      </c>
      <c r="O34" t="inlineStr">
        <is>
          <t>no informado como tal en el informe; promedio aritmético de las probetas</t>
        </is>
      </c>
      <c r="P34" t="inlineStr"/>
      <c r="Q34" t="inlineStr">
        <is>
          <t>74</t>
        </is>
      </c>
      <c r="R34" t="inlineStr">
        <is>
          <t>sí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G2010</t>
        </is>
      </c>
      <c r="B35" t="inlineStr">
        <is>
          <t>2010_Golder_Caracterizacion ROM IPCC.pdf</t>
        </is>
      </c>
      <c r="C35" t="inlineStr">
        <is>
          <t>Mármol Negro</t>
        </is>
      </c>
      <c r="D35" t="inlineStr">
        <is>
          <t>Mármol</t>
        </is>
      </c>
      <c r="E35" t="inlineStr">
        <is>
          <t>mármol negro</t>
        </is>
      </c>
      <c r="F35" t="inlineStr">
        <is>
          <t>A</t>
        </is>
      </c>
      <c r="G35" t="inlineStr">
        <is>
          <t>ROM (Fase A = «material original procedente del tajo», p.1)</t>
        </is>
      </c>
      <c r="H35" t="inlineStr">
        <is>
          <t>Carga puntual</t>
        </is>
      </c>
      <c r="I35" t="inlineStr">
        <is>
          <t>ASTM D5731</t>
        </is>
      </c>
      <c r="J35" t="inlineStr">
        <is>
          <t>σc estimada promedio (Tabla 2)</t>
        </is>
      </c>
      <c r="K35" t="n">
        <v>32.24</v>
      </c>
      <c r="L35" t="inlineStr">
        <is>
          <t>MPa</t>
        </is>
      </c>
      <c r="M35" t="n">
        <v>4</v>
      </c>
      <c r="N35" t="inlineStr">
        <is>
          <t>promedio</t>
        </is>
      </c>
      <c r="O35" t="inlineStr">
        <is>
          <t>promedio recalculado de la hoja = 328.8 kg/cm² = 32.24 MPa</t>
        </is>
      </c>
      <c r="P35" t="inlineStr"/>
      <c r="Q35" t="inlineStr">
        <is>
          <t>8;74</t>
        </is>
      </c>
      <c r="R35" t="inlineStr">
        <is>
          <t>sí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G2010</t>
        </is>
      </c>
      <c r="B36" t="inlineStr">
        <is>
          <t>2010_Golder_Caracterizacion ROM IPCC.pdf</t>
        </is>
      </c>
      <c r="C36" t="inlineStr">
        <is>
          <t>Hornfels Gris</t>
        </is>
      </c>
      <c r="D36" t="inlineStr">
        <is>
          <t>Hornfels</t>
        </is>
      </c>
      <c r="E36" t="inlineStr">
        <is>
          <t>hornfels gris</t>
        </is>
      </c>
      <c r="F36" t="inlineStr">
        <is>
          <t>A</t>
        </is>
      </c>
      <c r="G36" t="inlineStr">
        <is>
          <t>ROM (Fase A = «material original procedente del tajo», p.1)</t>
        </is>
      </c>
      <c r="H36" t="inlineStr">
        <is>
          <t>Carga puntual</t>
        </is>
      </c>
      <c r="I36" t="inlineStr">
        <is>
          <t>ASTM D5731</t>
        </is>
      </c>
      <c r="J36" t="inlineStr">
        <is>
          <t>Is(50)</t>
        </is>
      </c>
      <c r="K36" t="n">
        <v>28.6</v>
      </c>
      <c r="L36" t="inlineStr">
        <is>
          <t>kg/cm²</t>
        </is>
      </c>
      <c r="M36" t="n">
        <v>1</v>
      </c>
      <c r="N36" t="inlineStr">
        <is>
          <t>M-1</t>
        </is>
      </c>
      <c r="O36" t="inlineStr">
        <is>
          <t>Muestra cilíndrica, carga axial, falla tipo L; Ø=45.9 mm; altura=37.8 mm; A/D=0.82; De²=2209 mm²; carga=649 kg; Is=29.4 kg/cm²</t>
        </is>
      </c>
      <c r="P36" t="inlineStr">
        <is>
          <t>09/07/2009</t>
        </is>
      </c>
      <c r="Q36" t="inlineStr">
        <is>
          <t>75</t>
        </is>
      </c>
      <c r="R36" t="inlineStr">
        <is>
          <t>sí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G2010</t>
        </is>
      </c>
      <c r="B37" t="inlineStr">
        <is>
          <t>2010_Golder_Caracterizacion ROM IPCC.pdf</t>
        </is>
      </c>
      <c r="C37" t="inlineStr">
        <is>
          <t>Hornfels Gris</t>
        </is>
      </c>
      <c r="D37" t="inlineStr">
        <is>
          <t>Hornfels</t>
        </is>
      </c>
      <c r="E37" t="inlineStr">
        <is>
          <t>hornfels gris</t>
        </is>
      </c>
      <c r="F37" t="inlineStr">
        <is>
          <t>A</t>
        </is>
      </c>
      <c r="G37" t="inlineStr">
        <is>
          <t>ROM (Fase A = «material original procedente del tajo», p.1)</t>
        </is>
      </c>
      <c r="H37" t="inlineStr">
        <is>
          <t>Carga puntual</t>
        </is>
      </c>
      <c r="I37" t="inlineStr">
        <is>
          <t>ASTM D5731</t>
        </is>
      </c>
      <c r="J37" t="inlineStr">
        <is>
          <t>σc estimada (hoja)</t>
        </is>
      </c>
      <c r="K37" t="n">
        <v>685</v>
      </c>
      <c r="L37" t="inlineStr">
        <is>
          <t>kg/cm²</t>
        </is>
      </c>
      <c r="M37" t="n">
        <v>1</v>
      </c>
      <c r="N37" t="inlineStr">
        <is>
          <t>M-1</t>
        </is>
      </c>
      <c r="O37" t="inlineStr">
        <is>
          <t>Muestra cilíndrica, carga axial, falla tipo L; Ø=45.9 mm; altura=37.8 mm; A/D=0.82; De²=2209 mm²; carga=649 kg; Is=29.4 kg/cm²; σc=685 kg/cm² = 67.18 MPa</t>
        </is>
      </c>
      <c r="P37" t="inlineStr">
        <is>
          <t>09/07/2009</t>
        </is>
      </c>
      <c r="Q37" t="inlineStr">
        <is>
          <t>75</t>
        </is>
      </c>
      <c r="R37" t="inlineStr">
        <is>
          <t>sí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G2010</t>
        </is>
      </c>
      <c r="B38" t="inlineStr">
        <is>
          <t>2010_Golder_Caracterizacion ROM IPCC.pdf</t>
        </is>
      </c>
      <c r="C38" t="inlineStr">
        <is>
          <t>Hornfels Gris</t>
        </is>
      </c>
      <c r="D38" t="inlineStr">
        <is>
          <t>Hornfels</t>
        </is>
      </c>
      <c r="E38" t="inlineStr">
        <is>
          <t>hornfels gris</t>
        </is>
      </c>
      <c r="F38" t="inlineStr">
        <is>
          <t>A</t>
        </is>
      </c>
      <c r="G38" t="inlineStr">
        <is>
          <t>ROM (Fase A = «material original procedente del tajo», p.1)</t>
        </is>
      </c>
      <c r="H38" t="inlineStr">
        <is>
          <t>Carga puntual</t>
        </is>
      </c>
      <c r="I38" t="inlineStr">
        <is>
          <t>ASTM D5731</t>
        </is>
      </c>
      <c r="J38" t="inlineStr">
        <is>
          <t>Is(50)</t>
        </is>
      </c>
      <c r="K38" t="n">
        <v>34.8</v>
      </c>
      <c r="L38" t="inlineStr">
        <is>
          <t>kg/cm²</t>
        </is>
      </c>
      <c r="M38" t="n">
        <v>1</v>
      </c>
      <c r="N38" t="inlineStr">
        <is>
          <t>M-2</t>
        </is>
      </c>
      <c r="O38" t="inlineStr">
        <is>
          <t>Muestra cilíndrica, carga axial, falla tipo L; Ø=45.8 mm; altura=38.9 mm; A/D=0.85; De²=2268 mm²; carga=806 kg; Is=35.6 kg/cm²</t>
        </is>
      </c>
      <c r="P38" t="inlineStr">
        <is>
          <t>09/07/2009</t>
        </is>
      </c>
      <c r="Q38" t="inlineStr">
        <is>
          <t>75</t>
        </is>
      </c>
      <c r="R38" t="inlineStr">
        <is>
          <t>sí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G2010</t>
        </is>
      </c>
      <c r="B39" t="inlineStr">
        <is>
          <t>2010_Golder_Caracterizacion ROM IPCC.pdf</t>
        </is>
      </c>
      <c r="C39" t="inlineStr">
        <is>
          <t>Hornfels Gris</t>
        </is>
      </c>
      <c r="D39" t="inlineStr">
        <is>
          <t>Hornfels</t>
        </is>
      </c>
      <c r="E39" t="inlineStr">
        <is>
          <t>hornfels gris</t>
        </is>
      </c>
      <c r="F39" t="inlineStr">
        <is>
          <t>A</t>
        </is>
      </c>
      <c r="G39" t="inlineStr">
        <is>
          <t>ROM (Fase A = «material original procedente del tajo», p.1)</t>
        </is>
      </c>
      <c r="H39" t="inlineStr">
        <is>
          <t>Carga puntual</t>
        </is>
      </c>
      <c r="I39" t="inlineStr">
        <is>
          <t>ASTM D5731</t>
        </is>
      </c>
      <c r="J39" t="inlineStr">
        <is>
          <t>σc estimada (hoja)</t>
        </is>
      </c>
      <c r="K39" t="n">
        <v>835</v>
      </c>
      <c r="L39" t="inlineStr">
        <is>
          <t>kg/cm²</t>
        </is>
      </c>
      <c r="M39" t="n">
        <v>1</v>
      </c>
      <c r="N39" t="inlineStr">
        <is>
          <t>M-2</t>
        </is>
      </c>
      <c r="O39" t="inlineStr">
        <is>
          <t>Muestra cilíndrica, carga axial, falla tipo L; Ø=45.8 mm; altura=38.9 mm; A/D=0.85; De²=2268 mm²; carga=806 kg; Is=35.6 kg/cm²; σc=835 kg/cm² = 81.89 MPa</t>
        </is>
      </c>
      <c r="P39" t="inlineStr">
        <is>
          <t>09/07/2009</t>
        </is>
      </c>
      <c r="Q39" t="inlineStr">
        <is>
          <t>75</t>
        </is>
      </c>
      <c r="R39" t="inlineStr">
        <is>
          <t>sí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G2010</t>
        </is>
      </c>
      <c r="B40" t="inlineStr">
        <is>
          <t>2010_Golder_Caracterizacion ROM IPCC.pdf</t>
        </is>
      </c>
      <c r="C40" t="inlineStr">
        <is>
          <t>Hornfels Gris</t>
        </is>
      </c>
      <c r="D40" t="inlineStr">
        <is>
          <t>Hornfels</t>
        </is>
      </c>
      <c r="E40" t="inlineStr">
        <is>
          <t>hornfels gris</t>
        </is>
      </c>
      <c r="F40" t="inlineStr">
        <is>
          <t>A</t>
        </is>
      </c>
      <c r="G40" t="inlineStr">
        <is>
          <t>ROM (Fase A = «material original procedente del tajo», p.1)</t>
        </is>
      </c>
      <c r="H40" t="inlineStr">
        <is>
          <t>Carga puntual</t>
        </is>
      </c>
      <c r="I40" t="inlineStr">
        <is>
          <t>ASTM D5731</t>
        </is>
      </c>
      <c r="J40" t="inlineStr">
        <is>
          <t>Is(50)</t>
        </is>
      </c>
      <c r="K40" t="n">
        <v>30.3</v>
      </c>
      <c r="L40" t="inlineStr">
        <is>
          <t>kg/cm²</t>
        </is>
      </c>
      <c r="M40" t="n">
        <v>1</v>
      </c>
      <c r="N40" t="inlineStr">
        <is>
          <t>M-3</t>
        </is>
      </c>
      <c r="O40" t="inlineStr">
        <is>
          <t>Muestra cilíndrica, carga axial, falla tipo L; Ø=45.9 mm; altura=41.2 mm; A/D=0.9; De²=2408 mm²; carga=735 kg; Is=30.5 kg/cm²</t>
        </is>
      </c>
      <c r="P40" t="inlineStr">
        <is>
          <t>09/07/2009</t>
        </is>
      </c>
      <c r="Q40" t="inlineStr">
        <is>
          <t>75</t>
        </is>
      </c>
      <c r="R40" t="inlineStr">
        <is>
          <t>sí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G2010</t>
        </is>
      </c>
      <c r="B41" t="inlineStr">
        <is>
          <t>2010_Golder_Caracterizacion ROM IPCC.pdf</t>
        </is>
      </c>
      <c r="C41" t="inlineStr">
        <is>
          <t>Hornfels Gris</t>
        </is>
      </c>
      <c r="D41" t="inlineStr">
        <is>
          <t>Hornfels</t>
        </is>
      </c>
      <c r="E41" t="inlineStr">
        <is>
          <t>hornfels gris</t>
        </is>
      </c>
      <c r="F41" t="inlineStr">
        <is>
          <t>A</t>
        </is>
      </c>
      <c r="G41" t="inlineStr">
        <is>
          <t>ROM (Fase A = «material original procedente del tajo», p.1)</t>
        </is>
      </c>
      <c r="H41" t="inlineStr">
        <is>
          <t>Carga puntual</t>
        </is>
      </c>
      <c r="I41" t="inlineStr">
        <is>
          <t>ASTM D5731</t>
        </is>
      </c>
      <c r="J41" t="inlineStr">
        <is>
          <t>σc estimada (hoja)</t>
        </is>
      </c>
      <c r="K41" t="n">
        <v>726</v>
      </c>
      <c r="L41" t="inlineStr">
        <is>
          <t>kg/cm²</t>
        </is>
      </c>
      <c r="M41" t="n">
        <v>1</v>
      </c>
      <c r="N41" t="inlineStr">
        <is>
          <t>M-3</t>
        </is>
      </c>
      <c r="O41" t="inlineStr">
        <is>
          <t>Muestra cilíndrica, carga axial, falla tipo L; Ø=45.9 mm; altura=41.2 mm; A/D=0.9; De²=2408 mm²; carga=735 kg; Is=30.5 kg/cm²; σc=726 kg/cm² = 71.20 MPa</t>
        </is>
      </c>
      <c r="P41" t="inlineStr">
        <is>
          <t>09/07/2009</t>
        </is>
      </c>
      <c r="Q41" t="inlineStr">
        <is>
          <t>75</t>
        </is>
      </c>
      <c r="R41" t="inlineStr">
        <is>
          <t>sí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G2010</t>
        </is>
      </c>
      <c r="B42" t="inlineStr">
        <is>
          <t>2010_Golder_Caracterizacion ROM IPCC.pdf</t>
        </is>
      </c>
      <c r="C42" t="inlineStr">
        <is>
          <t>Hornfels Gris</t>
        </is>
      </c>
      <c r="D42" t="inlineStr">
        <is>
          <t>Hornfels</t>
        </is>
      </c>
      <c r="E42" t="inlineStr">
        <is>
          <t>hornfels gris</t>
        </is>
      </c>
      <c r="F42" t="inlineStr">
        <is>
          <t>A</t>
        </is>
      </c>
      <c r="G42" t="inlineStr">
        <is>
          <t>ROM (Fase A = «material original procedente del tajo», p.1)</t>
        </is>
      </c>
      <c r="H42" t="inlineStr">
        <is>
          <t>Carga puntual</t>
        </is>
      </c>
      <c r="I42" t="inlineStr">
        <is>
          <t>ASTM D5731</t>
        </is>
      </c>
      <c r="J42" t="inlineStr">
        <is>
          <t>Is(50)</t>
        </is>
      </c>
      <c r="K42" t="n">
        <v>30.5</v>
      </c>
      <c r="L42" t="inlineStr">
        <is>
          <t>kg/cm²</t>
        </is>
      </c>
      <c r="M42" t="n">
        <v>1</v>
      </c>
      <c r="N42" t="inlineStr">
        <is>
          <t>M-4</t>
        </is>
      </c>
      <c r="O42" t="inlineStr">
        <is>
          <t>Muestra cilíndrica, carga axial, falla tipo L; Ø=45.9 mm; altura=46.0 mm; A/D=1.0; De²=2688 mm²; carga=805 kg; Is=30.0 kg/cm²</t>
        </is>
      </c>
      <c r="P42" t="inlineStr">
        <is>
          <t>09/07/2009</t>
        </is>
      </c>
      <c r="Q42" t="inlineStr">
        <is>
          <t>75</t>
        </is>
      </c>
      <c r="R42" t="inlineStr">
        <is>
          <t>sí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G2010</t>
        </is>
      </c>
      <c r="B43" t="inlineStr">
        <is>
          <t>2010_Golder_Caracterizacion ROM IPCC.pdf</t>
        </is>
      </c>
      <c r="C43" t="inlineStr">
        <is>
          <t>Hornfels Gris</t>
        </is>
      </c>
      <c r="D43" t="inlineStr">
        <is>
          <t>Hornfels</t>
        </is>
      </c>
      <c r="E43" t="inlineStr">
        <is>
          <t>hornfels gris</t>
        </is>
      </c>
      <c r="F43" t="inlineStr">
        <is>
          <t>A</t>
        </is>
      </c>
      <c r="G43" t="inlineStr">
        <is>
          <t>ROM (Fase A = «material original procedente del tajo», p.1)</t>
        </is>
      </c>
      <c r="H43" t="inlineStr">
        <is>
          <t>Carga puntual</t>
        </is>
      </c>
      <c r="I43" t="inlineStr">
        <is>
          <t>ASTM D5731</t>
        </is>
      </c>
      <c r="J43" t="inlineStr">
        <is>
          <t>σc estimada (hoja)</t>
        </is>
      </c>
      <c r="K43" t="n">
        <v>731</v>
      </c>
      <c r="L43" t="inlineStr">
        <is>
          <t>kg/cm²</t>
        </is>
      </c>
      <c r="M43" t="n">
        <v>1</v>
      </c>
      <c r="N43" t="inlineStr">
        <is>
          <t>M-4</t>
        </is>
      </c>
      <c r="O43" t="inlineStr">
        <is>
          <t>Muestra cilíndrica, carga axial, falla tipo L; Ø=45.9 mm; altura=46.0 mm; A/D=1.0; De²=2688 mm²; carga=805 kg; Is=30.0 kg/cm²; σc=731 kg/cm² = 71.69 MPa</t>
        </is>
      </c>
      <c r="P43" t="inlineStr">
        <is>
          <t>09/07/2009</t>
        </is>
      </c>
      <c r="Q43" t="inlineStr">
        <is>
          <t>75</t>
        </is>
      </c>
      <c r="R43" t="inlineStr">
        <is>
          <t>sí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G2010</t>
        </is>
      </c>
      <c r="B44" t="inlineStr">
        <is>
          <t>2010_Golder_Caracterizacion ROM IPCC.pdf</t>
        </is>
      </c>
      <c r="C44" t="inlineStr">
        <is>
          <t>Hornfels Gris</t>
        </is>
      </c>
      <c r="D44" t="inlineStr">
        <is>
          <t>Hornfels</t>
        </is>
      </c>
      <c r="E44" t="inlineStr">
        <is>
          <t>hornfels gris</t>
        </is>
      </c>
      <c r="F44" t="inlineStr">
        <is>
          <t>A</t>
        </is>
      </c>
      <c r="G44" t="inlineStr">
        <is>
          <t>ROM (Fase A = «material original procedente del tajo», p.1)</t>
        </is>
      </c>
      <c r="H44" t="inlineStr">
        <is>
          <t>Carga puntual</t>
        </is>
      </c>
      <c r="I44" t="inlineStr">
        <is>
          <t>ASTM D5731</t>
        </is>
      </c>
      <c r="J44" t="inlineStr">
        <is>
          <t>Is(50) promedio (calculado aquí de la hoja)</t>
        </is>
      </c>
      <c r="K44" t="n">
        <v>31.05</v>
      </c>
      <c r="L44" t="inlineStr">
        <is>
          <t>kg/cm²</t>
        </is>
      </c>
      <c r="M44" t="n">
        <v>4</v>
      </c>
      <c r="N44" t="inlineStr">
        <is>
          <t>promedio</t>
        </is>
      </c>
      <c r="O44" t="inlineStr">
        <is>
          <t>no informado como tal en el informe; promedio aritmético de las probetas</t>
        </is>
      </c>
      <c r="P44" t="inlineStr"/>
      <c r="Q44" t="inlineStr">
        <is>
          <t>75</t>
        </is>
      </c>
      <c r="R44" t="inlineStr">
        <is>
          <t>sí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G2010</t>
        </is>
      </c>
      <c r="B45" t="inlineStr">
        <is>
          <t>2010_Golder_Caracterizacion ROM IPCC.pdf</t>
        </is>
      </c>
      <c r="C45" t="inlineStr">
        <is>
          <t>Hornfels Gris</t>
        </is>
      </c>
      <c r="D45" t="inlineStr">
        <is>
          <t>Hornfels</t>
        </is>
      </c>
      <c r="E45" t="inlineStr">
        <is>
          <t>hornfels gris</t>
        </is>
      </c>
      <c r="F45" t="inlineStr">
        <is>
          <t>A</t>
        </is>
      </c>
      <c r="G45" t="inlineStr">
        <is>
          <t>ROM (Fase A = «material original procedente del tajo», p.1)</t>
        </is>
      </c>
      <c r="H45" t="inlineStr">
        <is>
          <t>Carga puntual</t>
        </is>
      </c>
      <c r="I45" t="inlineStr">
        <is>
          <t>ASTM D5731</t>
        </is>
      </c>
      <c r="J45" t="inlineStr">
        <is>
          <t>σc estimada promedio (Tabla 2)</t>
        </is>
      </c>
      <c r="K45" t="n">
        <v>72.98999999999999</v>
      </c>
      <c r="L45" t="inlineStr">
        <is>
          <t>MPa</t>
        </is>
      </c>
      <c r="M45" t="n">
        <v>4</v>
      </c>
      <c r="N45" t="inlineStr">
        <is>
          <t>promedio</t>
        </is>
      </c>
      <c r="O45" t="inlineStr">
        <is>
          <t>promedio recalculado de la hoja = 744.2 kg/cm² = 72.99 MPa</t>
        </is>
      </c>
      <c r="P45" t="inlineStr"/>
      <c r="Q45" t="inlineStr">
        <is>
          <t>8;75</t>
        </is>
      </c>
      <c r="R45" t="inlineStr">
        <is>
          <t>sí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G2010</t>
        </is>
      </c>
      <c r="B46" t="inlineStr">
        <is>
          <t>2010_Golder_Caracterizacion ROM IPCC.pdf</t>
        </is>
      </c>
      <c r="C46" t="inlineStr">
        <is>
          <t>Intrusivo</t>
        </is>
      </c>
      <c r="D46" t="inlineStr">
        <is>
          <t>Intrusivo</t>
        </is>
      </c>
      <c r="E46" t="inlineStr">
        <is>
          <t>sin subtipo</t>
        </is>
      </c>
      <c r="F46" t="inlineStr">
        <is>
          <t>A</t>
        </is>
      </c>
      <c r="G46" t="inlineStr">
        <is>
          <t>ROM (Fase A = «material original procedente del tajo», p.1)</t>
        </is>
      </c>
      <c r="H46" t="inlineStr">
        <is>
          <t>Carga puntual</t>
        </is>
      </c>
      <c r="I46" t="inlineStr">
        <is>
          <t>ASTM D5731</t>
        </is>
      </c>
      <c r="J46" t="inlineStr">
        <is>
          <t>Is(50)</t>
        </is>
      </c>
      <c r="K46" t="n">
        <v>36.5</v>
      </c>
      <c r="L46" t="inlineStr">
        <is>
          <t>kg/cm²</t>
        </is>
      </c>
      <c r="M46" t="n">
        <v>1</v>
      </c>
      <c r="N46" t="inlineStr">
        <is>
          <t>M-1</t>
        </is>
      </c>
      <c r="O46" t="inlineStr">
        <is>
          <t>Muestra cilíndrica, carga axial, falla tipo L; Ø=45.9 mm; altura=38.7 mm; A/D=0.84; De²=2262 mm²; carga=844 kg; Is=37.3 kg/cm²</t>
        </is>
      </c>
      <c r="P46" t="inlineStr">
        <is>
          <t>09/07/2009</t>
        </is>
      </c>
      <c r="Q46" t="inlineStr">
        <is>
          <t>76</t>
        </is>
      </c>
      <c r="R46" t="inlineStr">
        <is>
          <t>sí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G2010</t>
        </is>
      </c>
      <c r="B47" t="inlineStr">
        <is>
          <t>2010_Golder_Caracterizacion ROM IPCC.pdf</t>
        </is>
      </c>
      <c r="C47" t="inlineStr">
        <is>
          <t>Intrusivo</t>
        </is>
      </c>
      <c r="D47" t="inlineStr">
        <is>
          <t>Intrusivo</t>
        </is>
      </c>
      <c r="E47" t="inlineStr">
        <is>
          <t>sin subtipo</t>
        </is>
      </c>
      <c r="F47" t="inlineStr">
        <is>
          <t>A</t>
        </is>
      </c>
      <c r="G47" t="inlineStr">
        <is>
          <t>ROM (Fase A = «material original procedente del tajo», p.1)</t>
        </is>
      </c>
      <c r="H47" t="inlineStr">
        <is>
          <t>Carga puntual</t>
        </is>
      </c>
      <c r="I47" t="inlineStr">
        <is>
          <t>ASTM D5731</t>
        </is>
      </c>
      <c r="J47" t="inlineStr">
        <is>
          <t>σc estimada (hoja)</t>
        </is>
      </c>
      <c r="K47" t="n">
        <v>875</v>
      </c>
      <c r="L47" t="inlineStr">
        <is>
          <t>kg/cm²</t>
        </is>
      </c>
      <c r="M47" t="n">
        <v>1</v>
      </c>
      <c r="N47" t="inlineStr">
        <is>
          <t>M-1</t>
        </is>
      </c>
      <c r="O47" t="inlineStr">
        <is>
          <t>Muestra cilíndrica, carga axial, falla tipo L; Ø=45.9 mm; altura=38.7 mm; A/D=0.84; De²=2262 mm²; carga=844 kg; Is=37.3 kg/cm²; σc=875 kg/cm² = 85.81 MPa</t>
        </is>
      </c>
      <c r="P47" t="inlineStr">
        <is>
          <t>09/07/2009</t>
        </is>
      </c>
      <c r="Q47" t="inlineStr">
        <is>
          <t>76</t>
        </is>
      </c>
      <c r="R47" t="inlineStr">
        <is>
          <t>sí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G2010</t>
        </is>
      </c>
      <c r="B48" t="inlineStr">
        <is>
          <t>2010_Golder_Caracterizacion ROM IPCC.pdf</t>
        </is>
      </c>
      <c r="C48" t="inlineStr">
        <is>
          <t>Intrusivo</t>
        </is>
      </c>
      <c r="D48" t="inlineStr">
        <is>
          <t>Intrusivo</t>
        </is>
      </c>
      <c r="E48" t="inlineStr">
        <is>
          <t>sin subtipo</t>
        </is>
      </c>
      <c r="F48" t="inlineStr">
        <is>
          <t>A</t>
        </is>
      </c>
      <c r="G48" t="inlineStr">
        <is>
          <t>ROM (Fase A = «material original procedente del tajo», p.1)</t>
        </is>
      </c>
      <c r="H48" t="inlineStr">
        <is>
          <t>Carga puntual</t>
        </is>
      </c>
      <c r="I48" t="inlineStr">
        <is>
          <t>ASTM D5731</t>
        </is>
      </c>
      <c r="J48" t="inlineStr">
        <is>
          <t>Is(50)</t>
        </is>
      </c>
      <c r="K48" t="n">
        <v>34.7</v>
      </c>
      <c r="L48" t="inlineStr">
        <is>
          <t>kg/cm²</t>
        </is>
      </c>
      <c r="M48" t="n">
        <v>1</v>
      </c>
      <c r="N48" t="inlineStr">
        <is>
          <t>M-2</t>
        </is>
      </c>
      <c r="O48" t="inlineStr">
        <is>
          <t>Muestra cilíndrica, carga axial, falla tipo L; Ø=45.9 mm; altura=43.1 mm; A/D=0.94; De²=2519 mm²; carga=873 kg; Is=34.7 kg/cm²</t>
        </is>
      </c>
      <c r="P48" t="inlineStr">
        <is>
          <t>09/07/2009</t>
        </is>
      </c>
      <c r="Q48" t="inlineStr">
        <is>
          <t>76</t>
        </is>
      </c>
      <c r="R48" t="inlineStr">
        <is>
          <t>sí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G2010</t>
        </is>
      </c>
      <c r="B49" t="inlineStr">
        <is>
          <t>2010_Golder_Caracterizacion ROM IPCC.pdf</t>
        </is>
      </c>
      <c r="C49" t="inlineStr">
        <is>
          <t>Intrusivo</t>
        </is>
      </c>
      <c r="D49" t="inlineStr">
        <is>
          <t>Intrusivo</t>
        </is>
      </c>
      <c r="E49" t="inlineStr">
        <is>
          <t>sin subtipo</t>
        </is>
      </c>
      <c r="F49" t="inlineStr">
        <is>
          <t>A</t>
        </is>
      </c>
      <c r="G49" t="inlineStr">
        <is>
          <t>ROM (Fase A = «material original procedente del tajo», p.1)</t>
        </is>
      </c>
      <c r="H49" t="inlineStr">
        <is>
          <t>Carga puntual</t>
        </is>
      </c>
      <c r="I49" t="inlineStr">
        <is>
          <t>ASTM D5731</t>
        </is>
      </c>
      <c r="J49" t="inlineStr">
        <is>
          <t>σc estimada (hoja)</t>
        </is>
      </c>
      <c r="K49" t="n">
        <v>833</v>
      </c>
      <c r="L49" t="inlineStr">
        <is>
          <t>kg/cm²</t>
        </is>
      </c>
      <c r="M49" t="n">
        <v>1</v>
      </c>
      <c r="N49" t="inlineStr">
        <is>
          <t>M-2</t>
        </is>
      </c>
      <c r="O49" t="inlineStr">
        <is>
          <t>Muestra cilíndrica, carga axial, falla tipo L; Ø=45.9 mm; altura=43.1 mm; A/D=0.94; De²=2519 mm²; carga=873 kg; Is=34.7 kg/cm²; σc=833 kg/cm² = 81.69 MPa</t>
        </is>
      </c>
      <c r="P49" t="inlineStr">
        <is>
          <t>09/07/2009</t>
        </is>
      </c>
      <c r="Q49" t="inlineStr">
        <is>
          <t>76</t>
        </is>
      </c>
      <c r="R49" t="inlineStr">
        <is>
          <t>sí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G2010</t>
        </is>
      </c>
      <c r="B50" t="inlineStr">
        <is>
          <t>2010_Golder_Caracterizacion ROM IPCC.pdf</t>
        </is>
      </c>
      <c r="C50" t="inlineStr">
        <is>
          <t>Intrusivo</t>
        </is>
      </c>
      <c r="D50" t="inlineStr">
        <is>
          <t>Intrusivo</t>
        </is>
      </c>
      <c r="E50" t="inlineStr">
        <is>
          <t>sin subtipo</t>
        </is>
      </c>
      <c r="F50" t="inlineStr">
        <is>
          <t>A</t>
        </is>
      </c>
      <c r="G50" t="inlineStr">
        <is>
          <t>ROM (Fase A = «material original procedente del tajo», p.1)</t>
        </is>
      </c>
      <c r="H50" t="inlineStr">
        <is>
          <t>Carga puntual</t>
        </is>
      </c>
      <c r="I50" t="inlineStr">
        <is>
          <t>ASTM D5731</t>
        </is>
      </c>
      <c r="J50" t="inlineStr">
        <is>
          <t>Is(50)</t>
        </is>
      </c>
      <c r="K50" t="n">
        <v>28.4</v>
      </c>
      <c r="L50" t="inlineStr">
        <is>
          <t>kg/cm²</t>
        </is>
      </c>
      <c r="M50" t="n">
        <v>1</v>
      </c>
      <c r="N50" t="inlineStr">
        <is>
          <t>M-3</t>
        </is>
      </c>
      <c r="O50" t="inlineStr">
        <is>
          <t>Muestra cilíndrica, carga axial, falla tipo L; Ø=45.7 mm; altura=42.2 mm; A/D=0.92; De²=2455 mm²; carga=701 kg; Is=28.5 kg/cm²</t>
        </is>
      </c>
      <c r="P50" t="inlineStr">
        <is>
          <t>09/07/2009</t>
        </is>
      </c>
      <c r="Q50" t="inlineStr">
        <is>
          <t>76</t>
        </is>
      </c>
      <c r="R50" t="inlineStr">
        <is>
          <t>sí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G2010</t>
        </is>
      </c>
      <c r="B51" t="inlineStr">
        <is>
          <t>2010_Golder_Caracterizacion ROM IPCC.pdf</t>
        </is>
      </c>
      <c r="C51" t="inlineStr">
        <is>
          <t>Intrusivo</t>
        </is>
      </c>
      <c r="D51" t="inlineStr">
        <is>
          <t>Intrusivo</t>
        </is>
      </c>
      <c r="E51" t="inlineStr">
        <is>
          <t>sin subtipo</t>
        </is>
      </c>
      <c r="F51" t="inlineStr">
        <is>
          <t>A</t>
        </is>
      </c>
      <c r="G51" t="inlineStr">
        <is>
          <t>ROM (Fase A = «material original procedente del tajo», p.1)</t>
        </is>
      </c>
      <c r="H51" t="inlineStr">
        <is>
          <t>Carga puntual</t>
        </is>
      </c>
      <c r="I51" t="inlineStr">
        <is>
          <t>ASTM D5731</t>
        </is>
      </c>
      <c r="J51" t="inlineStr">
        <is>
          <t>σc estimada (hoja)</t>
        </is>
      </c>
      <c r="K51" t="n">
        <v>682</v>
      </c>
      <c r="L51" t="inlineStr">
        <is>
          <t>kg/cm²</t>
        </is>
      </c>
      <c r="M51" t="n">
        <v>1</v>
      </c>
      <c r="N51" t="inlineStr">
        <is>
          <t>M-3</t>
        </is>
      </c>
      <c r="O51" t="inlineStr">
        <is>
          <t>Muestra cilíndrica, carga axial, falla tipo L; Ø=45.7 mm; altura=42.2 mm; A/D=0.92; De²=2455 mm²; carga=701 kg; Is=28.5 kg/cm²; σc=682 kg/cm² = 66.88 MPa</t>
        </is>
      </c>
      <c r="P51" t="inlineStr">
        <is>
          <t>09/07/2009</t>
        </is>
      </c>
      <c r="Q51" t="inlineStr">
        <is>
          <t>76</t>
        </is>
      </c>
      <c r="R51" t="inlineStr">
        <is>
          <t>sí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G2010</t>
        </is>
      </c>
      <c r="B52" t="inlineStr">
        <is>
          <t>2010_Golder_Caracterizacion ROM IPCC.pdf</t>
        </is>
      </c>
      <c r="C52" t="inlineStr">
        <is>
          <t>Intrusivo</t>
        </is>
      </c>
      <c r="D52" t="inlineStr">
        <is>
          <t>Intrusivo</t>
        </is>
      </c>
      <c r="E52" t="inlineStr">
        <is>
          <t>sin subtipo</t>
        </is>
      </c>
      <c r="F52" t="inlineStr">
        <is>
          <t>A</t>
        </is>
      </c>
      <c r="G52" t="inlineStr">
        <is>
          <t>ROM (Fase A = «material original procedente del tajo», p.1)</t>
        </is>
      </c>
      <c r="H52" t="inlineStr">
        <is>
          <t>Carga puntual</t>
        </is>
      </c>
      <c r="I52" t="inlineStr">
        <is>
          <t>ASTM D5731</t>
        </is>
      </c>
      <c r="J52" t="inlineStr">
        <is>
          <t>Is(50)</t>
        </is>
      </c>
      <c r="K52" t="n">
        <v>37.3</v>
      </c>
      <c r="L52" t="inlineStr">
        <is>
          <t>kg/cm²</t>
        </is>
      </c>
      <c r="M52" t="n">
        <v>1</v>
      </c>
      <c r="N52" t="inlineStr">
        <is>
          <t>M-4</t>
        </is>
      </c>
      <c r="O52" t="inlineStr">
        <is>
          <t>Muestra cilíndrica, carga axial, falla tipo L; Ø=45.9 mm; altura=39.0 mm; A/D=0.85; De²=2279 mm²; carga=869 kg; Is=38.1 kg/cm²</t>
        </is>
      </c>
      <c r="P52" t="inlineStr">
        <is>
          <t>09/07/2009</t>
        </is>
      </c>
      <c r="Q52" t="inlineStr">
        <is>
          <t>76</t>
        </is>
      </c>
      <c r="R52" t="inlineStr">
        <is>
          <t>sí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G2010</t>
        </is>
      </c>
      <c r="B53" t="inlineStr">
        <is>
          <t>2010_Golder_Caracterizacion ROM IPCC.pdf</t>
        </is>
      </c>
      <c r="C53" t="inlineStr">
        <is>
          <t>Intrusivo</t>
        </is>
      </c>
      <c r="D53" t="inlineStr">
        <is>
          <t>Intrusivo</t>
        </is>
      </c>
      <c r="E53" t="inlineStr">
        <is>
          <t>sin subtipo</t>
        </is>
      </c>
      <c r="F53" t="inlineStr">
        <is>
          <t>A</t>
        </is>
      </c>
      <c r="G53" t="inlineStr">
        <is>
          <t>ROM (Fase A = «material original procedente del tajo», p.1)</t>
        </is>
      </c>
      <c r="H53" t="inlineStr">
        <is>
          <t>Carga puntual</t>
        </is>
      </c>
      <c r="I53" t="inlineStr">
        <is>
          <t>ASTM D5731</t>
        </is>
      </c>
      <c r="J53" t="inlineStr">
        <is>
          <t>σc estimada (hoja)</t>
        </is>
      </c>
      <c r="K53" t="n">
        <v>896</v>
      </c>
      <c r="L53" t="inlineStr">
        <is>
          <t>kg/cm²</t>
        </is>
      </c>
      <c r="M53" t="n">
        <v>1</v>
      </c>
      <c r="N53" t="inlineStr">
        <is>
          <t>M-4</t>
        </is>
      </c>
      <c r="O53" t="inlineStr">
        <is>
          <t>Muestra cilíndrica, carga axial, falla tipo L; Ø=45.9 mm; altura=39.0 mm; A/D=0.85; De²=2279 mm²; carga=869 kg; Is=38.1 kg/cm²; σc=896 kg/cm² = 87.87 MPa</t>
        </is>
      </c>
      <c r="P53" t="inlineStr">
        <is>
          <t>09/07/2009</t>
        </is>
      </c>
      <c r="Q53" t="inlineStr">
        <is>
          <t>76</t>
        </is>
      </c>
      <c r="R53" t="inlineStr">
        <is>
          <t>sí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G2010</t>
        </is>
      </c>
      <c r="B54" t="inlineStr">
        <is>
          <t>2010_Golder_Caracterizacion ROM IPCC.pdf</t>
        </is>
      </c>
      <c r="C54" t="inlineStr">
        <is>
          <t>Intrusivo</t>
        </is>
      </c>
      <c r="D54" t="inlineStr">
        <is>
          <t>Intrusivo</t>
        </is>
      </c>
      <c r="E54" t="inlineStr">
        <is>
          <t>sin subtipo</t>
        </is>
      </c>
      <c r="F54" t="inlineStr">
        <is>
          <t>A</t>
        </is>
      </c>
      <c r="G54" t="inlineStr">
        <is>
          <t>ROM (Fase A = «material original procedente del tajo», p.1)</t>
        </is>
      </c>
      <c r="H54" t="inlineStr">
        <is>
          <t>Carga puntual</t>
        </is>
      </c>
      <c r="I54" t="inlineStr">
        <is>
          <t>ASTM D5731</t>
        </is>
      </c>
      <c r="J54" t="inlineStr">
        <is>
          <t>Is(50) promedio (calculado aquí de la hoja)</t>
        </is>
      </c>
      <c r="K54" t="n">
        <v>34.22</v>
      </c>
      <c r="L54" t="inlineStr">
        <is>
          <t>kg/cm²</t>
        </is>
      </c>
      <c r="M54" t="n">
        <v>4</v>
      </c>
      <c r="N54" t="inlineStr">
        <is>
          <t>promedio</t>
        </is>
      </c>
      <c r="O54" t="inlineStr">
        <is>
          <t>no informado como tal en el informe; promedio aritmético de las probetas</t>
        </is>
      </c>
      <c r="P54" t="inlineStr"/>
      <c r="Q54" t="inlineStr">
        <is>
          <t>76</t>
        </is>
      </c>
      <c r="R54" t="inlineStr">
        <is>
          <t>sí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G2010</t>
        </is>
      </c>
      <c r="B55" t="inlineStr">
        <is>
          <t>2010_Golder_Caracterizacion ROM IPCC.pdf</t>
        </is>
      </c>
      <c r="C55" t="inlineStr">
        <is>
          <t>Intrusivo</t>
        </is>
      </c>
      <c r="D55" t="inlineStr">
        <is>
          <t>Intrusivo</t>
        </is>
      </c>
      <c r="E55" t="inlineStr">
        <is>
          <t>sin subtipo</t>
        </is>
      </c>
      <c r="F55" t="inlineStr">
        <is>
          <t>A</t>
        </is>
      </c>
      <c r="G55" t="inlineStr">
        <is>
          <t>ROM (Fase A = «material original procedente del tajo», p.1)</t>
        </is>
      </c>
      <c r="H55" t="inlineStr">
        <is>
          <t>Carga puntual</t>
        </is>
      </c>
      <c r="I55" t="inlineStr">
        <is>
          <t>ASTM D5731</t>
        </is>
      </c>
      <c r="J55" t="inlineStr">
        <is>
          <t>σc estimada promedio (Tabla 2)</t>
        </is>
      </c>
      <c r="K55" t="n">
        <v>80.56</v>
      </c>
      <c r="L55" t="inlineStr">
        <is>
          <t>MPa</t>
        </is>
      </c>
      <c r="M55" t="n">
        <v>4</v>
      </c>
      <c r="N55" t="inlineStr">
        <is>
          <t>promedio</t>
        </is>
      </c>
      <c r="O55" t="inlineStr">
        <is>
          <t>promedio recalculado de la hoja = 821.5 kg/cm² = 80.56 MPa</t>
        </is>
      </c>
      <c r="P55" t="inlineStr"/>
      <c r="Q55" t="inlineStr">
        <is>
          <t>8;76</t>
        </is>
      </c>
      <c r="R55" t="inlineStr">
        <is>
          <t>sí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G2010</t>
        </is>
      </c>
      <c r="B56" t="inlineStr">
        <is>
          <t>2010_Golder_Caracterizacion ROM IPCC.pdf</t>
        </is>
      </c>
      <c r="C56" t="inlineStr">
        <is>
          <t>Exoskarn Diopsido</t>
        </is>
      </c>
      <c r="D56" t="inlineStr">
        <is>
          <t>Skarn</t>
        </is>
      </c>
      <c r="E56" t="inlineStr">
        <is>
          <t>exoskarn diópsido</t>
        </is>
      </c>
      <c r="F56" t="inlineStr">
        <is>
          <t>A</t>
        </is>
      </c>
      <c r="G56" t="inlineStr">
        <is>
          <t>ROM (Fase A = «material original procedente del tajo», p.1)</t>
        </is>
      </c>
      <c r="H56" t="inlineStr">
        <is>
          <t>Carga puntual</t>
        </is>
      </c>
      <c r="I56" t="inlineStr">
        <is>
          <t>ASTM D5731</t>
        </is>
      </c>
      <c r="J56" t="inlineStr">
        <is>
          <t>Is(50)</t>
        </is>
      </c>
      <c r="K56" t="n">
        <v>26.9</v>
      </c>
      <c r="L56" t="inlineStr">
        <is>
          <t>kg/cm²</t>
        </is>
      </c>
      <c r="M56" t="n">
        <v>1</v>
      </c>
      <c r="N56" t="inlineStr">
        <is>
          <t>M-1</t>
        </is>
      </c>
      <c r="O56" t="inlineStr">
        <is>
          <t>Muestra cilíndrica, carga axial, falla tipo L; Ø=45.7 mm; altura=50.0 mm; A/D=1.09; De²=2909 mm²; carga=756 kg; Is=26.0 kg/cm²</t>
        </is>
      </c>
      <c r="P56" t="inlineStr">
        <is>
          <t>02/09/2009</t>
        </is>
      </c>
      <c r="Q56" t="inlineStr">
        <is>
          <t>77</t>
        </is>
      </c>
      <c r="R56" t="inlineStr">
        <is>
          <t>sí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G2010</t>
        </is>
      </c>
      <c r="B57" t="inlineStr">
        <is>
          <t>2010_Golder_Caracterizacion ROM IPCC.pdf</t>
        </is>
      </c>
      <c r="C57" t="inlineStr">
        <is>
          <t>Exoskarn Diopsido</t>
        </is>
      </c>
      <c r="D57" t="inlineStr">
        <is>
          <t>Skarn</t>
        </is>
      </c>
      <c r="E57" t="inlineStr">
        <is>
          <t>exoskarn diópsido</t>
        </is>
      </c>
      <c r="F57" t="inlineStr">
        <is>
          <t>A</t>
        </is>
      </c>
      <c r="G57" t="inlineStr">
        <is>
          <t>ROM (Fase A = «material original procedente del tajo», p.1)</t>
        </is>
      </c>
      <c r="H57" t="inlineStr">
        <is>
          <t>Carga puntual</t>
        </is>
      </c>
      <c r="I57" t="inlineStr">
        <is>
          <t>ASTM D5731</t>
        </is>
      </c>
      <c r="J57" t="inlineStr">
        <is>
          <t>σc estimada (hoja)</t>
        </is>
      </c>
      <c r="K57" t="n">
        <v>645</v>
      </c>
      <c r="L57" t="inlineStr">
        <is>
          <t>kg/cm²</t>
        </is>
      </c>
      <c r="M57" t="n">
        <v>1</v>
      </c>
      <c r="N57" t="inlineStr">
        <is>
          <t>M-1</t>
        </is>
      </c>
      <c r="O57" t="inlineStr">
        <is>
          <t>Muestra cilíndrica, carga axial, falla tipo L; Ø=45.7 mm; altura=50.0 mm; A/D=1.09; De²=2909 mm²; carga=756 kg; Is=26.0 kg/cm²; σc=645 kg/cm² = 63.25 MPa</t>
        </is>
      </c>
      <c r="P57" t="inlineStr">
        <is>
          <t>02/09/2009</t>
        </is>
      </c>
      <c r="Q57" t="inlineStr">
        <is>
          <t>77</t>
        </is>
      </c>
      <c r="R57" t="inlineStr">
        <is>
          <t>sí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G2010</t>
        </is>
      </c>
      <c r="B58" t="inlineStr">
        <is>
          <t>2010_Golder_Caracterizacion ROM IPCC.pdf</t>
        </is>
      </c>
      <c r="C58" t="inlineStr">
        <is>
          <t>Exoskarn Diopsido</t>
        </is>
      </c>
      <c r="D58" t="inlineStr">
        <is>
          <t>Skarn</t>
        </is>
      </c>
      <c r="E58" t="inlineStr">
        <is>
          <t>exoskarn diópsido</t>
        </is>
      </c>
      <c r="F58" t="inlineStr">
        <is>
          <t>A</t>
        </is>
      </c>
      <c r="G58" t="inlineStr">
        <is>
          <t>ROM (Fase A = «material original procedente del tajo», p.1)</t>
        </is>
      </c>
      <c r="H58" t="inlineStr">
        <is>
          <t>Carga puntual</t>
        </is>
      </c>
      <c r="I58" t="inlineStr">
        <is>
          <t>ASTM D5731</t>
        </is>
      </c>
      <c r="J58" t="inlineStr">
        <is>
          <t>Is(50)</t>
        </is>
      </c>
      <c r="K58" t="n">
        <v>27.4</v>
      </c>
      <c r="L58" t="inlineStr">
        <is>
          <t>kg/cm²</t>
        </is>
      </c>
      <c r="M58" t="n">
        <v>1</v>
      </c>
      <c r="N58" t="inlineStr">
        <is>
          <t>M-2</t>
        </is>
      </c>
      <c r="O58" t="inlineStr">
        <is>
          <t>Muestra cilíndrica, carga axial, falla tipo L; Ø=45.6 mm; altura=47.7 mm; A/D=1.05; De²=2769 mm²; carga=742 kg; Is=26.8 kg/cm²</t>
        </is>
      </c>
      <c r="P58" t="inlineStr">
        <is>
          <t>02/09/2009</t>
        </is>
      </c>
      <c r="Q58" t="inlineStr">
        <is>
          <t>77</t>
        </is>
      </c>
      <c r="R58" t="inlineStr">
        <is>
          <t>sí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G2010</t>
        </is>
      </c>
      <c r="B59" t="inlineStr">
        <is>
          <t>2010_Golder_Caracterizacion ROM IPCC.pdf</t>
        </is>
      </c>
      <c r="C59" t="inlineStr">
        <is>
          <t>Exoskarn Diopsido</t>
        </is>
      </c>
      <c r="D59" t="inlineStr">
        <is>
          <t>Skarn</t>
        </is>
      </c>
      <c r="E59" t="inlineStr">
        <is>
          <t>exoskarn diópsido</t>
        </is>
      </c>
      <c r="F59" t="inlineStr">
        <is>
          <t>A</t>
        </is>
      </c>
      <c r="G59" t="inlineStr">
        <is>
          <t>ROM (Fase A = «material original procedente del tajo», p.1)</t>
        </is>
      </c>
      <c r="H59" t="inlineStr">
        <is>
          <t>Carga puntual</t>
        </is>
      </c>
      <c r="I59" t="inlineStr">
        <is>
          <t>ASTM D5731</t>
        </is>
      </c>
      <c r="J59" t="inlineStr">
        <is>
          <t>σc estimada (hoja)</t>
        </is>
      </c>
      <c r="K59" t="n">
        <v>658</v>
      </c>
      <c r="L59" t="inlineStr">
        <is>
          <t>kg/cm²</t>
        </is>
      </c>
      <c r="M59" t="n">
        <v>1</v>
      </c>
      <c r="N59" t="inlineStr">
        <is>
          <t>M-2</t>
        </is>
      </c>
      <c r="O59" t="inlineStr">
        <is>
          <t>Muestra cilíndrica, carga axial, falla tipo L; Ø=45.6 mm; altura=47.7 mm; A/D=1.05; De²=2769 mm²; carga=742 kg; Is=26.8 kg/cm²; σc=658 kg/cm² = 64.53 MPa</t>
        </is>
      </c>
      <c r="P59" t="inlineStr">
        <is>
          <t>02/09/2009</t>
        </is>
      </c>
      <c r="Q59" t="inlineStr">
        <is>
          <t>77</t>
        </is>
      </c>
      <c r="R59" t="inlineStr">
        <is>
          <t>sí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G2010</t>
        </is>
      </c>
      <c r="B60" t="inlineStr">
        <is>
          <t>2010_Golder_Caracterizacion ROM IPCC.pdf</t>
        </is>
      </c>
      <c r="C60" t="inlineStr">
        <is>
          <t>Exoskarn Diopsido</t>
        </is>
      </c>
      <c r="D60" t="inlineStr">
        <is>
          <t>Skarn</t>
        </is>
      </c>
      <c r="E60" t="inlineStr">
        <is>
          <t>exoskarn diópsido</t>
        </is>
      </c>
      <c r="F60" t="inlineStr">
        <is>
          <t>A</t>
        </is>
      </c>
      <c r="G60" t="inlineStr">
        <is>
          <t>ROM (Fase A = «material original procedente del tajo», p.1)</t>
        </is>
      </c>
      <c r="H60" t="inlineStr">
        <is>
          <t>Carga puntual</t>
        </is>
      </c>
      <c r="I60" t="inlineStr">
        <is>
          <t>ASTM D5731</t>
        </is>
      </c>
      <c r="J60" t="inlineStr">
        <is>
          <t>Is(50)</t>
        </is>
      </c>
      <c r="K60" t="n">
        <v>33</v>
      </c>
      <c r="L60" t="inlineStr">
        <is>
          <t>kg/cm²</t>
        </is>
      </c>
      <c r="M60" t="n">
        <v>1</v>
      </c>
      <c r="N60" t="inlineStr">
        <is>
          <t>M-3</t>
        </is>
      </c>
      <c r="O60" t="inlineStr">
        <is>
          <t>Muestra cilíndrica, carga axial, falla tipo L; Ø=45.7 mm; altura=48.3 mm; A/D=1.06; De²=2810 mm²; carga=902 kg; Is=32.1 kg/cm²</t>
        </is>
      </c>
      <c r="P60" t="inlineStr">
        <is>
          <t>02/09/2009</t>
        </is>
      </c>
      <c r="Q60" t="inlineStr">
        <is>
          <t>77</t>
        </is>
      </c>
      <c r="R60" t="inlineStr">
        <is>
          <t>sí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G2010</t>
        </is>
      </c>
      <c r="B61" t="inlineStr">
        <is>
          <t>2010_Golder_Caracterizacion ROM IPCC.pdf</t>
        </is>
      </c>
      <c r="C61" t="inlineStr">
        <is>
          <t>Exoskarn Diopsido</t>
        </is>
      </c>
      <c r="D61" t="inlineStr">
        <is>
          <t>Skarn</t>
        </is>
      </c>
      <c r="E61" t="inlineStr">
        <is>
          <t>exoskarn diópsido</t>
        </is>
      </c>
      <c r="F61" t="inlineStr">
        <is>
          <t>A</t>
        </is>
      </c>
      <c r="G61" t="inlineStr">
        <is>
          <t>ROM (Fase A = «material original procedente del tajo», p.1)</t>
        </is>
      </c>
      <c r="H61" t="inlineStr">
        <is>
          <t>Carga puntual</t>
        </is>
      </c>
      <c r="I61" t="inlineStr">
        <is>
          <t>ASTM D5731</t>
        </is>
      </c>
      <c r="J61" t="inlineStr">
        <is>
          <t>σc estimada (hoja)</t>
        </is>
      </c>
      <c r="K61" t="n">
        <v>791</v>
      </c>
      <c r="L61" t="inlineStr">
        <is>
          <t>kg/cm²</t>
        </is>
      </c>
      <c r="M61" t="n">
        <v>1</v>
      </c>
      <c r="N61" t="inlineStr">
        <is>
          <t>M-3</t>
        </is>
      </c>
      <c r="O61" t="inlineStr">
        <is>
          <t>Muestra cilíndrica, carga axial, falla tipo L; Ø=45.7 mm; altura=48.3 mm; A/D=1.06; De²=2810 mm²; carga=902 kg; Is=32.1 kg/cm²; σc=791 kg/cm² = 77.57 MPa</t>
        </is>
      </c>
      <c r="P61" t="inlineStr">
        <is>
          <t>02/09/2009</t>
        </is>
      </c>
      <c r="Q61" t="inlineStr">
        <is>
          <t>77</t>
        </is>
      </c>
      <c r="R61" t="inlineStr">
        <is>
          <t>sí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G2010</t>
        </is>
      </c>
      <c r="B62" t="inlineStr">
        <is>
          <t>2010_Golder_Caracterizacion ROM IPCC.pdf</t>
        </is>
      </c>
      <c r="C62" t="inlineStr">
        <is>
          <t>Exoskarn Diopsido</t>
        </is>
      </c>
      <c r="D62" t="inlineStr">
        <is>
          <t>Skarn</t>
        </is>
      </c>
      <c r="E62" t="inlineStr">
        <is>
          <t>exoskarn diópsido</t>
        </is>
      </c>
      <c r="F62" t="inlineStr">
        <is>
          <t>A</t>
        </is>
      </c>
      <c r="G62" t="inlineStr">
        <is>
          <t>ROM (Fase A = «material original procedente del tajo», p.1)</t>
        </is>
      </c>
      <c r="H62" t="inlineStr">
        <is>
          <t>Carga puntual</t>
        </is>
      </c>
      <c r="I62" t="inlineStr">
        <is>
          <t>ASTM D5731</t>
        </is>
      </c>
      <c r="J62" t="inlineStr">
        <is>
          <t>Is(50)</t>
        </is>
      </c>
      <c r="K62" t="n">
        <v>27.9</v>
      </c>
      <c r="L62" t="inlineStr">
        <is>
          <t>kg/cm²</t>
        </is>
      </c>
      <c r="M62" t="n">
        <v>1</v>
      </c>
      <c r="N62" t="inlineStr">
        <is>
          <t>M-4</t>
        </is>
      </c>
      <c r="O62" t="inlineStr">
        <is>
          <t>Muestra cilíndrica, carga axial, falla tipo L; Ø=45.8 mm; altura=48.6 mm; A/D=1.06; De²=2834 mm²; carga=770 kg; Is=27.2 kg/cm²</t>
        </is>
      </c>
      <c r="P62" t="inlineStr">
        <is>
          <t>02/09/2009</t>
        </is>
      </c>
      <c r="Q62" t="inlineStr">
        <is>
          <t>77</t>
        </is>
      </c>
      <c r="R62" t="inlineStr">
        <is>
          <t>sí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G2010</t>
        </is>
      </c>
      <c r="B63" t="inlineStr">
        <is>
          <t>2010_Golder_Caracterizacion ROM IPCC.pdf</t>
        </is>
      </c>
      <c r="C63" t="inlineStr">
        <is>
          <t>Exoskarn Diopsido</t>
        </is>
      </c>
      <c r="D63" t="inlineStr">
        <is>
          <t>Skarn</t>
        </is>
      </c>
      <c r="E63" t="inlineStr">
        <is>
          <t>exoskarn diópsido</t>
        </is>
      </c>
      <c r="F63" t="inlineStr">
        <is>
          <t>A</t>
        </is>
      </c>
      <c r="G63" t="inlineStr">
        <is>
          <t>ROM (Fase A = «material original procedente del tajo», p.1)</t>
        </is>
      </c>
      <c r="H63" t="inlineStr">
        <is>
          <t>Carga puntual</t>
        </is>
      </c>
      <c r="I63" t="inlineStr">
        <is>
          <t>ASTM D5731</t>
        </is>
      </c>
      <c r="J63" t="inlineStr">
        <is>
          <t>σc estimada (hoja)</t>
        </is>
      </c>
      <c r="K63" t="n">
        <v>671</v>
      </c>
      <c r="L63" t="inlineStr">
        <is>
          <t>kg/cm²</t>
        </is>
      </c>
      <c r="M63" t="n">
        <v>1</v>
      </c>
      <c r="N63" t="inlineStr">
        <is>
          <t>M-4</t>
        </is>
      </c>
      <c r="O63" t="inlineStr">
        <is>
          <t>Muestra cilíndrica, carga axial, falla tipo L; Ø=45.8 mm; altura=48.6 mm; A/D=1.06; De²=2834 mm²; carga=770 kg; Is=27.2 kg/cm²; σc=671 kg/cm² = 65.80 MPa</t>
        </is>
      </c>
      <c r="P63" t="inlineStr">
        <is>
          <t>02/09/2009</t>
        </is>
      </c>
      <c r="Q63" t="inlineStr">
        <is>
          <t>77</t>
        </is>
      </c>
      <c r="R63" t="inlineStr">
        <is>
          <t>sí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G2010</t>
        </is>
      </c>
      <c r="B64" t="inlineStr">
        <is>
          <t>2010_Golder_Caracterizacion ROM IPCC.pdf</t>
        </is>
      </c>
      <c r="C64" t="inlineStr">
        <is>
          <t>Exoskarn Diopsido</t>
        </is>
      </c>
      <c r="D64" t="inlineStr">
        <is>
          <t>Skarn</t>
        </is>
      </c>
      <c r="E64" t="inlineStr">
        <is>
          <t>exoskarn diópsido</t>
        </is>
      </c>
      <c r="F64" t="inlineStr">
        <is>
          <t>A</t>
        </is>
      </c>
      <c r="G64" t="inlineStr">
        <is>
          <t>ROM (Fase A = «material original procedente del tajo», p.1)</t>
        </is>
      </c>
      <c r="H64" t="inlineStr">
        <is>
          <t>Carga puntual</t>
        </is>
      </c>
      <c r="I64" t="inlineStr">
        <is>
          <t>ASTM D5731</t>
        </is>
      </c>
      <c r="J64" t="inlineStr">
        <is>
          <t>Is(50) promedio (calculado aquí de la hoja)</t>
        </is>
      </c>
      <c r="K64" t="n">
        <v>28.8</v>
      </c>
      <c r="L64" t="inlineStr">
        <is>
          <t>kg/cm²</t>
        </is>
      </c>
      <c r="M64" t="n">
        <v>4</v>
      </c>
      <c r="N64" t="inlineStr">
        <is>
          <t>promedio</t>
        </is>
      </c>
      <c r="O64" t="inlineStr">
        <is>
          <t>no informado como tal en el informe; promedio aritmético de las probetas</t>
        </is>
      </c>
      <c r="P64" t="inlineStr"/>
      <c r="Q64" t="inlineStr">
        <is>
          <t>77</t>
        </is>
      </c>
      <c r="R64" t="inlineStr">
        <is>
          <t>sí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G2010</t>
        </is>
      </c>
      <c r="B65" t="inlineStr">
        <is>
          <t>2010_Golder_Caracterizacion ROM IPCC.pdf</t>
        </is>
      </c>
      <c r="C65" t="inlineStr">
        <is>
          <t>Exoskarn Diopsido</t>
        </is>
      </c>
      <c r="D65" t="inlineStr">
        <is>
          <t>Skarn</t>
        </is>
      </c>
      <c r="E65" t="inlineStr">
        <is>
          <t>exoskarn diópsido</t>
        </is>
      </c>
      <c r="F65" t="inlineStr">
        <is>
          <t>A</t>
        </is>
      </c>
      <c r="G65" t="inlineStr">
        <is>
          <t>ROM (Fase A = «material original procedente del tajo», p.1)</t>
        </is>
      </c>
      <c r="H65" t="inlineStr">
        <is>
          <t>Carga puntual</t>
        </is>
      </c>
      <c r="I65" t="inlineStr">
        <is>
          <t>ASTM D5731</t>
        </is>
      </c>
      <c r="J65" t="inlineStr">
        <is>
          <t>σc estimada promedio (Tabla 2)</t>
        </is>
      </c>
      <c r="K65" t="n">
        <v>67.79000000000001</v>
      </c>
      <c r="L65" t="inlineStr">
        <is>
          <t>MPa</t>
        </is>
      </c>
      <c r="M65" t="n">
        <v>4</v>
      </c>
      <c r="N65" t="inlineStr">
        <is>
          <t>promedio</t>
        </is>
      </c>
      <c r="O65" t="inlineStr">
        <is>
          <t>promedio recalculado de la hoja = 691.2 kg/cm² = 67.79 MPa</t>
        </is>
      </c>
      <c r="P65" t="inlineStr"/>
      <c r="Q65" t="inlineStr">
        <is>
          <t>8;77</t>
        </is>
      </c>
      <c r="R65" t="inlineStr">
        <is>
          <t>sí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G2010</t>
        </is>
      </c>
      <c r="B66" t="inlineStr">
        <is>
          <t>2010_Golder_Caracterizacion ROM IPCC.pdf</t>
        </is>
      </c>
      <c r="C66" t="inlineStr">
        <is>
          <t>Mármol Negro</t>
        </is>
      </c>
      <c r="D66" t="inlineStr">
        <is>
          <t>Mármol</t>
        </is>
      </c>
      <c r="E66" t="inlineStr">
        <is>
          <t>mármol negro</t>
        </is>
      </c>
      <c r="F66" t="inlineStr">
        <is>
          <t>B</t>
        </is>
      </c>
      <c r="G66" t="inlineStr">
        <is>
          <t>Chancado (Fase B = «material chancado», p.1)</t>
        </is>
      </c>
      <c r="H66" t="inlineStr">
        <is>
          <t>Carga puntual</t>
        </is>
      </c>
      <c r="I66" t="inlineStr">
        <is>
          <t>ASTM D5731</t>
        </is>
      </c>
      <c r="J66" t="inlineStr">
        <is>
          <t>Is(50)</t>
        </is>
      </c>
      <c r="K66" t="n">
        <v>11.4</v>
      </c>
      <c r="L66" t="inlineStr">
        <is>
          <t>kg/cm²</t>
        </is>
      </c>
      <c r="M66" t="n">
        <v>1</v>
      </c>
      <c r="N66" t="inlineStr">
        <is>
          <t>M-1</t>
        </is>
      </c>
      <c r="O66" t="inlineStr">
        <is>
          <t>Muestra cilíndrica, carga axial, falla tipo L; Ø=45.6 mm; altura=41.9 mm; A/D=0.92; De²=2433 mm²; carga=279 kg; Is=11.4 kg/cm²</t>
        </is>
      </c>
      <c r="P66" t="inlineStr">
        <is>
          <t>29/09/2009</t>
        </is>
      </c>
      <c r="Q66" t="inlineStr">
        <is>
          <t>78</t>
        </is>
      </c>
      <c r="R66" t="inlineStr">
        <is>
          <t>sí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G2010</t>
        </is>
      </c>
      <c r="B67" t="inlineStr">
        <is>
          <t>2010_Golder_Caracterizacion ROM IPCC.pdf</t>
        </is>
      </c>
      <c r="C67" t="inlineStr">
        <is>
          <t>Mármol Negro</t>
        </is>
      </c>
      <c r="D67" t="inlineStr">
        <is>
          <t>Mármol</t>
        </is>
      </c>
      <c r="E67" t="inlineStr">
        <is>
          <t>mármol negro</t>
        </is>
      </c>
      <c r="F67" t="inlineStr">
        <is>
          <t>B</t>
        </is>
      </c>
      <c r="G67" t="inlineStr">
        <is>
          <t>Chancado (Fase B = «material chancado», p.1)</t>
        </is>
      </c>
      <c r="H67" t="inlineStr">
        <is>
          <t>Carga puntual</t>
        </is>
      </c>
      <c r="I67" t="inlineStr">
        <is>
          <t>ASTM D5731</t>
        </is>
      </c>
      <c r="J67" t="inlineStr">
        <is>
          <t>σc estimada (hoja)</t>
        </is>
      </c>
      <c r="K67" t="n">
        <v>273</v>
      </c>
      <c r="L67" t="inlineStr">
        <is>
          <t>kg/cm²</t>
        </is>
      </c>
      <c r="M67" t="n">
        <v>1</v>
      </c>
      <c r="N67" t="inlineStr">
        <is>
          <t>M-1</t>
        </is>
      </c>
      <c r="O67" t="inlineStr">
        <is>
          <t>Muestra cilíndrica, carga axial, falla tipo L; Ø=45.6 mm; altura=41.9 mm; A/D=0.92; De²=2433 mm²; carga=279 kg; Is=11.4 kg/cm²; σc=273 kg/cm² = 26.77 MPa</t>
        </is>
      </c>
      <c r="P67" t="inlineStr">
        <is>
          <t>29/09/2009</t>
        </is>
      </c>
      <c r="Q67" t="inlineStr">
        <is>
          <t>78</t>
        </is>
      </c>
      <c r="R67" t="inlineStr">
        <is>
          <t>sí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G2010</t>
        </is>
      </c>
      <c r="B68" t="inlineStr">
        <is>
          <t>2010_Golder_Caracterizacion ROM IPCC.pdf</t>
        </is>
      </c>
      <c r="C68" t="inlineStr">
        <is>
          <t>Mármol Negro</t>
        </is>
      </c>
      <c r="D68" t="inlineStr">
        <is>
          <t>Mármol</t>
        </is>
      </c>
      <c r="E68" t="inlineStr">
        <is>
          <t>mármol negro</t>
        </is>
      </c>
      <c r="F68" t="inlineStr">
        <is>
          <t>B</t>
        </is>
      </c>
      <c r="G68" t="inlineStr">
        <is>
          <t>Chancado (Fase B = «material chancado», p.1)</t>
        </is>
      </c>
      <c r="H68" t="inlineStr">
        <is>
          <t>Carga puntual</t>
        </is>
      </c>
      <c r="I68" t="inlineStr">
        <is>
          <t>ASTM D5731</t>
        </is>
      </c>
      <c r="J68" t="inlineStr">
        <is>
          <t>Is(50)</t>
        </is>
      </c>
      <c r="K68" t="n">
        <v>9.6</v>
      </c>
      <c r="L68" t="inlineStr">
        <is>
          <t>kg/cm²</t>
        </is>
      </c>
      <c r="M68" t="n">
        <v>1</v>
      </c>
      <c r="N68" t="inlineStr">
        <is>
          <t>M-2</t>
        </is>
      </c>
      <c r="O68" t="inlineStr">
        <is>
          <t>Muestra cilíndrica, carga axial, falla tipo L; Ø=46.0 mm; altura=43.4 mm; A/D=0.94; De²=2542 mm²; carga=244 kg; Is=9.6 kg/cm²</t>
        </is>
      </c>
      <c r="P68" t="inlineStr">
        <is>
          <t>29/09/2009</t>
        </is>
      </c>
      <c r="Q68" t="inlineStr">
        <is>
          <t>78</t>
        </is>
      </c>
      <c r="R68" t="inlineStr">
        <is>
          <t>sí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G2010</t>
        </is>
      </c>
      <c r="B69" t="inlineStr">
        <is>
          <t>2010_Golder_Caracterizacion ROM IPCC.pdf</t>
        </is>
      </c>
      <c r="C69" t="inlineStr">
        <is>
          <t>Mármol Negro</t>
        </is>
      </c>
      <c r="D69" t="inlineStr">
        <is>
          <t>Mármol</t>
        </is>
      </c>
      <c r="E69" t="inlineStr">
        <is>
          <t>mármol negro</t>
        </is>
      </c>
      <c r="F69" t="inlineStr">
        <is>
          <t>B</t>
        </is>
      </c>
      <c r="G69" t="inlineStr">
        <is>
          <t>Chancado (Fase B = «material chancado», p.1)</t>
        </is>
      </c>
      <c r="H69" t="inlineStr">
        <is>
          <t>Carga puntual</t>
        </is>
      </c>
      <c r="I69" t="inlineStr">
        <is>
          <t>ASTM D5731</t>
        </is>
      </c>
      <c r="J69" t="inlineStr">
        <is>
          <t>σc estimada (hoja)</t>
        </is>
      </c>
      <c r="K69" t="n">
        <v>231</v>
      </c>
      <c r="L69" t="inlineStr">
        <is>
          <t>kg/cm²</t>
        </is>
      </c>
      <c r="M69" t="n">
        <v>1</v>
      </c>
      <c r="N69" t="inlineStr">
        <is>
          <t>M-2</t>
        </is>
      </c>
      <c r="O69" t="inlineStr">
        <is>
          <t>Muestra cilíndrica, carga axial, falla tipo L; Ø=46.0 mm; altura=43.4 mm; A/D=0.94; De²=2542 mm²; carga=244 kg; Is=9.6 kg/cm²; σc=231 kg/cm² = 22.65 MPa</t>
        </is>
      </c>
      <c r="P69" t="inlineStr">
        <is>
          <t>29/09/2009</t>
        </is>
      </c>
      <c r="Q69" t="inlineStr">
        <is>
          <t>78</t>
        </is>
      </c>
      <c r="R69" t="inlineStr">
        <is>
          <t>sí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G2010</t>
        </is>
      </c>
      <c r="B70" t="inlineStr">
        <is>
          <t>2010_Golder_Caracterizacion ROM IPCC.pdf</t>
        </is>
      </c>
      <c r="C70" t="inlineStr">
        <is>
          <t>Mármol Negro</t>
        </is>
      </c>
      <c r="D70" t="inlineStr">
        <is>
          <t>Mármol</t>
        </is>
      </c>
      <c r="E70" t="inlineStr">
        <is>
          <t>mármol negro</t>
        </is>
      </c>
      <c r="F70" t="inlineStr">
        <is>
          <t>B</t>
        </is>
      </c>
      <c r="G70" t="inlineStr">
        <is>
          <t>Chancado (Fase B = «material chancado», p.1)</t>
        </is>
      </c>
      <c r="H70" t="inlineStr">
        <is>
          <t>Carga puntual</t>
        </is>
      </c>
      <c r="I70" t="inlineStr">
        <is>
          <t>ASTM D5731</t>
        </is>
      </c>
      <c r="J70" t="inlineStr">
        <is>
          <t>Is(50)</t>
        </is>
      </c>
      <c r="K70" t="n">
        <v>8.800000000000001</v>
      </c>
      <c r="L70" t="inlineStr">
        <is>
          <t>kg/cm²</t>
        </is>
      </c>
      <c r="M70" t="n">
        <v>1</v>
      </c>
      <c r="N70" t="inlineStr">
        <is>
          <t>M-3</t>
        </is>
      </c>
      <c r="O70" t="inlineStr">
        <is>
          <t>Muestra cilíndrica, carga axial, falla tipo L; Ø=45.7 mm; altura=44.9 mm; A/D=0.98; De²=2613 mm²; carga=229 kg; Is=8.8 kg/cm²</t>
        </is>
      </c>
      <c r="P70" t="inlineStr">
        <is>
          <t>29/09/2009</t>
        </is>
      </c>
      <c r="Q70" t="inlineStr">
        <is>
          <t>78</t>
        </is>
      </c>
      <c r="R70" t="inlineStr">
        <is>
          <t>sí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G2010</t>
        </is>
      </c>
      <c r="B71" t="inlineStr">
        <is>
          <t>2010_Golder_Caracterizacion ROM IPCC.pdf</t>
        </is>
      </c>
      <c r="C71" t="inlineStr">
        <is>
          <t>Mármol Negro</t>
        </is>
      </c>
      <c r="D71" t="inlineStr">
        <is>
          <t>Mármol</t>
        </is>
      </c>
      <c r="E71" t="inlineStr">
        <is>
          <t>mármol negro</t>
        </is>
      </c>
      <c r="F71" t="inlineStr">
        <is>
          <t>B</t>
        </is>
      </c>
      <c r="G71" t="inlineStr">
        <is>
          <t>Chancado (Fase B = «material chancado», p.1)</t>
        </is>
      </c>
      <c r="H71" t="inlineStr">
        <is>
          <t>Carga puntual</t>
        </is>
      </c>
      <c r="I71" t="inlineStr">
        <is>
          <t>ASTM D5731</t>
        </is>
      </c>
      <c r="J71" t="inlineStr">
        <is>
          <t>σc estimada (hoja)</t>
        </is>
      </c>
      <c r="K71" t="n">
        <v>212</v>
      </c>
      <c r="L71" t="inlineStr">
        <is>
          <t>kg/cm²</t>
        </is>
      </c>
      <c r="M71" t="n">
        <v>1</v>
      </c>
      <c r="N71" t="inlineStr">
        <is>
          <t>M-3</t>
        </is>
      </c>
      <c r="O71" t="inlineStr">
        <is>
          <t>Muestra cilíndrica, carga axial, falla tipo L; Ø=45.7 mm; altura=44.9 mm; A/D=0.98; De²=2613 mm²; carga=229 kg; Is=8.8 kg/cm²; σc=212 kg/cm² = 20.79 MPa</t>
        </is>
      </c>
      <c r="P71" t="inlineStr">
        <is>
          <t>29/09/2009</t>
        </is>
      </c>
      <c r="Q71" t="inlineStr">
        <is>
          <t>78</t>
        </is>
      </c>
      <c r="R71" t="inlineStr">
        <is>
          <t>sí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G2010</t>
        </is>
      </c>
      <c r="B72" t="inlineStr">
        <is>
          <t>2010_Golder_Caracterizacion ROM IPCC.pdf</t>
        </is>
      </c>
      <c r="C72" t="inlineStr">
        <is>
          <t>Mármol Negro</t>
        </is>
      </c>
      <c r="D72" t="inlineStr">
        <is>
          <t>Mármol</t>
        </is>
      </c>
      <c r="E72" t="inlineStr">
        <is>
          <t>mármol negro</t>
        </is>
      </c>
      <c r="F72" t="inlineStr">
        <is>
          <t>B</t>
        </is>
      </c>
      <c r="G72" t="inlineStr">
        <is>
          <t>Chancado (Fase B = «material chancado», p.1)</t>
        </is>
      </c>
      <c r="H72" t="inlineStr">
        <is>
          <t>Carga puntual</t>
        </is>
      </c>
      <c r="I72" t="inlineStr">
        <is>
          <t>ASTM D5731</t>
        </is>
      </c>
      <c r="J72" t="inlineStr">
        <is>
          <t>Is(50)</t>
        </is>
      </c>
      <c r="K72" t="n">
        <v>10.3</v>
      </c>
      <c r="L72" t="inlineStr">
        <is>
          <t>kg/cm²</t>
        </is>
      </c>
      <c r="M72" t="n">
        <v>1</v>
      </c>
      <c r="N72" t="inlineStr">
        <is>
          <t>M-4</t>
        </is>
      </c>
      <c r="O72" t="inlineStr">
        <is>
          <t>Muestra cilíndrica, carga axial, falla tipo L; Ø=46.0 mm; altura=43.6 mm; A/D=0.95; De²=2554 mm²; carga=262 kg; Is=10.3 kg/cm²</t>
        </is>
      </c>
      <c r="P72" t="inlineStr">
        <is>
          <t>29/09/2009</t>
        </is>
      </c>
      <c r="Q72" t="inlineStr">
        <is>
          <t>78</t>
        </is>
      </c>
      <c r="R72" t="inlineStr">
        <is>
          <t>sí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G2010</t>
        </is>
      </c>
      <c r="B73" t="inlineStr">
        <is>
          <t>2010_Golder_Caracterizacion ROM IPCC.pdf</t>
        </is>
      </c>
      <c r="C73" t="inlineStr">
        <is>
          <t>Mármol Negro</t>
        </is>
      </c>
      <c r="D73" t="inlineStr">
        <is>
          <t>Mármol</t>
        </is>
      </c>
      <c r="E73" t="inlineStr">
        <is>
          <t>mármol negro</t>
        </is>
      </c>
      <c r="F73" t="inlineStr">
        <is>
          <t>B</t>
        </is>
      </c>
      <c r="G73" t="inlineStr">
        <is>
          <t>Chancado (Fase B = «material chancado», p.1)</t>
        </is>
      </c>
      <c r="H73" t="inlineStr">
        <is>
          <t>Carga puntual</t>
        </is>
      </c>
      <c r="I73" t="inlineStr">
        <is>
          <t>ASTM D5731</t>
        </is>
      </c>
      <c r="J73" t="inlineStr">
        <is>
          <t>σc estimada (hoja)</t>
        </is>
      </c>
      <c r="K73" t="n">
        <v>248</v>
      </c>
      <c r="L73" t="inlineStr">
        <is>
          <t>kg/cm²</t>
        </is>
      </c>
      <c r="M73" t="n">
        <v>1</v>
      </c>
      <c r="N73" t="inlineStr">
        <is>
          <t>M-4</t>
        </is>
      </c>
      <c r="O73" t="inlineStr">
        <is>
          <t>Muestra cilíndrica, carga axial, falla tipo L; Ø=46.0 mm; altura=43.6 mm; A/D=0.95; De²=2554 mm²; carga=262 kg; Is=10.3 kg/cm²; σc=248 kg/cm² = 24.32 MPa</t>
        </is>
      </c>
      <c r="P73" t="inlineStr">
        <is>
          <t>29/09/2009</t>
        </is>
      </c>
      <c r="Q73" t="inlineStr">
        <is>
          <t>78</t>
        </is>
      </c>
      <c r="R73" t="inlineStr">
        <is>
          <t>sí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G2010</t>
        </is>
      </c>
      <c r="B74" t="inlineStr">
        <is>
          <t>2010_Golder_Caracterizacion ROM IPCC.pdf</t>
        </is>
      </c>
      <c r="C74" t="inlineStr">
        <is>
          <t>Mármol Negro</t>
        </is>
      </c>
      <c r="D74" t="inlineStr">
        <is>
          <t>Mármol</t>
        </is>
      </c>
      <c r="E74" t="inlineStr">
        <is>
          <t>mármol negro</t>
        </is>
      </c>
      <c r="F74" t="inlineStr">
        <is>
          <t>B</t>
        </is>
      </c>
      <c r="G74" t="inlineStr">
        <is>
          <t>Chancado (Fase B = «material chancado», p.1)</t>
        </is>
      </c>
      <c r="H74" t="inlineStr">
        <is>
          <t>Carga puntual</t>
        </is>
      </c>
      <c r="I74" t="inlineStr">
        <is>
          <t>ASTM D5731</t>
        </is>
      </c>
      <c r="J74" t="inlineStr">
        <is>
          <t>Is(50)</t>
        </is>
      </c>
      <c r="K74" t="n">
        <v>10.8</v>
      </c>
      <c r="L74" t="inlineStr">
        <is>
          <t>kg/cm²</t>
        </is>
      </c>
      <c r="M74" t="n">
        <v>1</v>
      </c>
      <c r="N74" t="inlineStr">
        <is>
          <t>M-5</t>
        </is>
      </c>
      <c r="O74" t="inlineStr">
        <is>
          <t>Muestra cilíndrica, carga axial, falla tipo L; Ø=46.0 mm; altura=38.4 mm; A/D=0.83; De²=2249 mm²; carga=250 kg; Is=11.1 kg/cm²</t>
        </is>
      </c>
      <c r="P74" t="inlineStr">
        <is>
          <t>29/09/2009</t>
        </is>
      </c>
      <c r="Q74" t="inlineStr">
        <is>
          <t>78</t>
        </is>
      </c>
      <c r="R74" t="inlineStr">
        <is>
          <t>sí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G2010</t>
        </is>
      </c>
      <c r="B75" t="inlineStr">
        <is>
          <t>2010_Golder_Caracterizacion ROM IPCC.pdf</t>
        </is>
      </c>
      <c r="C75" t="inlineStr">
        <is>
          <t>Mármol Negro</t>
        </is>
      </c>
      <c r="D75" t="inlineStr">
        <is>
          <t>Mármol</t>
        </is>
      </c>
      <c r="E75" t="inlineStr">
        <is>
          <t>mármol negro</t>
        </is>
      </c>
      <c r="F75" t="inlineStr">
        <is>
          <t>B</t>
        </is>
      </c>
      <c r="G75" t="inlineStr">
        <is>
          <t>Chancado (Fase B = «material chancado», p.1)</t>
        </is>
      </c>
      <c r="H75" t="inlineStr">
        <is>
          <t>Carga puntual</t>
        </is>
      </c>
      <c r="I75" t="inlineStr">
        <is>
          <t>ASTM D5731</t>
        </is>
      </c>
      <c r="J75" t="inlineStr">
        <is>
          <t>σc estimada (hoja)</t>
        </is>
      </c>
      <c r="K75" t="n">
        <v>260</v>
      </c>
      <c r="L75" t="inlineStr">
        <is>
          <t>kg/cm²</t>
        </is>
      </c>
      <c r="M75" t="n">
        <v>1</v>
      </c>
      <c r="N75" t="inlineStr">
        <is>
          <t>M-5</t>
        </is>
      </c>
      <c r="O75" t="inlineStr">
        <is>
          <t>Muestra cilíndrica, carga axial, falla tipo L; Ø=46.0 mm; altura=38.4 mm; A/D=0.83; De²=2249 mm²; carga=250 kg; Is=11.1 kg/cm²; σc=260 kg/cm² = 25.50 MPa</t>
        </is>
      </c>
      <c r="P75" t="inlineStr">
        <is>
          <t>29/09/2009</t>
        </is>
      </c>
      <c r="Q75" t="inlineStr">
        <is>
          <t>78</t>
        </is>
      </c>
      <c r="R75" t="inlineStr">
        <is>
          <t>sí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G2010</t>
        </is>
      </c>
      <c r="B76" t="inlineStr">
        <is>
          <t>2010_Golder_Caracterizacion ROM IPCC.pdf</t>
        </is>
      </c>
      <c r="C76" t="inlineStr">
        <is>
          <t>Mármol Negro</t>
        </is>
      </c>
      <c r="D76" t="inlineStr">
        <is>
          <t>Mármol</t>
        </is>
      </c>
      <c r="E76" t="inlineStr">
        <is>
          <t>mármol negro</t>
        </is>
      </c>
      <c r="F76" t="inlineStr">
        <is>
          <t>B</t>
        </is>
      </c>
      <c r="G76" t="inlineStr">
        <is>
          <t>Chancado (Fase B = «material chancado», p.1)</t>
        </is>
      </c>
      <c r="H76" t="inlineStr">
        <is>
          <t>Carga puntual</t>
        </is>
      </c>
      <c r="I76" t="inlineStr">
        <is>
          <t>ASTM D5731</t>
        </is>
      </c>
      <c r="J76" t="inlineStr">
        <is>
          <t>Is(50)</t>
        </is>
      </c>
      <c r="K76" t="n">
        <v>12</v>
      </c>
      <c r="L76" t="inlineStr">
        <is>
          <t>kg/cm²</t>
        </is>
      </c>
      <c r="M76" t="n">
        <v>1</v>
      </c>
      <c r="N76" t="inlineStr">
        <is>
          <t>M-6</t>
        </is>
      </c>
      <c r="O76" t="inlineStr">
        <is>
          <t>Muestra cilíndrica, carga axial, falla tipo L; Ø=46.0 mm; altura=41.2 mm; A/D=0.9; De²=2413 mm²; carga=293 kg; Is=12.1 kg/cm²</t>
        </is>
      </c>
      <c r="P76" t="inlineStr">
        <is>
          <t>29/09/2009</t>
        </is>
      </c>
      <c r="Q76" t="inlineStr">
        <is>
          <t>78</t>
        </is>
      </c>
      <c r="R76" t="inlineStr">
        <is>
          <t>sí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G2010</t>
        </is>
      </c>
      <c r="B77" t="inlineStr">
        <is>
          <t>2010_Golder_Caracterizacion ROM IPCC.pdf</t>
        </is>
      </c>
      <c r="C77" t="inlineStr">
        <is>
          <t>Mármol Negro</t>
        </is>
      </c>
      <c r="D77" t="inlineStr">
        <is>
          <t>Mármol</t>
        </is>
      </c>
      <c r="E77" t="inlineStr">
        <is>
          <t>mármol negro</t>
        </is>
      </c>
      <c r="F77" t="inlineStr">
        <is>
          <t>B</t>
        </is>
      </c>
      <c r="G77" t="inlineStr">
        <is>
          <t>Chancado (Fase B = «material chancado», p.1)</t>
        </is>
      </c>
      <c r="H77" t="inlineStr">
        <is>
          <t>Carga puntual</t>
        </is>
      </c>
      <c r="I77" t="inlineStr">
        <is>
          <t>ASTM D5731</t>
        </is>
      </c>
      <c r="J77" t="inlineStr">
        <is>
          <t>σc estimada (hoja)</t>
        </is>
      </c>
      <c r="K77" t="n">
        <v>289</v>
      </c>
      <c r="L77" t="inlineStr">
        <is>
          <t>kg/cm²</t>
        </is>
      </c>
      <c r="M77" t="n">
        <v>1</v>
      </c>
      <c r="N77" t="inlineStr">
        <is>
          <t>M-6</t>
        </is>
      </c>
      <c r="O77" t="inlineStr">
        <is>
          <t>Muestra cilíndrica, carga axial, falla tipo L; Ø=46.0 mm; altura=41.2 mm; A/D=0.9; De²=2413 mm²; carga=293 kg; Is=12.1 kg/cm²; σc=289 kg/cm² = 28.34 MPa</t>
        </is>
      </c>
      <c r="P77" t="inlineStr">
        <is>
          <t>29/09/2009</t>
        </is>
      </c>
      <c r="Q77" t="inlineStr">
        <is>
          <t>78</t>
        </is>
      </c>
      <c r="R77" t="inlineStr">
        <is>
          <t>sí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G2010</t>
        </is>
      </c>
      <c r="B78" t="inlineStr">
        <is>
          <t>2010_Golder_Caracterizacion ROM IPCC.pdf</t>
        </is>
      </c>
      <c r="C78" t="inlineStr">
        <is>
          <t>Mármol Negro</t>
        </is>
      </c>
      <c r="D78" t="inlineStr">
        <is>
          <t>Mármol</t>
        </is>
      </c>
      <c r="E78" t="inlineStr">
        <is>
          <t>mármol negro</t>
        </is>
      </c>
      <c r="F78" t="inlineStr">
        <is>
          <t>B</t>
        </is>
      </c>
      <c r="G78" t="inlineStr">
        <is>
          <t>Chancado (Fase B = «material chancado», p.1)</t>
        </is>
      </c>
      <c r="H78" t="inlineStr">
        <is>
          <t>Carga puntual</t>
        </is>
      </c>
      <c r="I78" t="inlineStr">
        <is>
          <t>ASTM D5731</t>
        </is>
      </c>
      <c r="J78" t="inlineStr">
        <is>
          <t>Is(50)</t>
        </is>
      </c>
      <c r="K78" t="n">
        <v>9.5</v>
      </c>
      <c r="L78" t="inlineStr">
        <is>
          <t>kg/cm²</t>
        </is>
      </c>
      <c r="M78" t="n">
        <v>1</v>
      </c>
      <c r="N78" t="inlineStr">
        <is>
          <t>M-7</t>
        </is>
      </c>
      <c r="O78" t="inlineStr">
        <is>
          <t>Muestra cilíndrica, carga axial, falla tipo L; Ø=45.8 mm; altura=40.2 mm; A/D=0.88; De²=2344 mm²; carga=226 kg; Is=9.6 kg/cm²</t>
        </is>
      </c>
      <c r="P78" t="inlineStr">
        <is>
          <t>29/09/2009</t>
        </is>
      </c>
      <c r="Q78" t="inlineStr">
        <is>
          <t>78</t>
        </is>
      </c>
      <c r="R78" t="inlineStr">
        <is>
          <t>sí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G2010</t>
        </is>
      </c>
      <c r="B79" t="inlineStr">
        <is>
          <t>2010_Golder_Caracterizacion ROM IPCC.pdf</t>
        </is>
      </c>
      <c r="C79" t="inlineStr">
        <is>
          <t>Mármol Negro</t>
        </is>
      </c>
      <c r="D79" t="inlineStr">
        <is>
          <t>Mármol</t>
        </is>
      </c>
      <c r="E79" t="inlineStr">
        <is>
          <t>mármol negro</t>
        </is>
      </c>
      <c r="F79" t="inlineStr">
        <is>
          <t>B</t>
        </is>
      </c>
      <c r="G79" t="inlineStr">
        <is>
          <t>Chancado (Fase B = «material chancado», p.1)</t>
        </is>
      </c>
      <c r="H79" t="inlineStr">
        <is>
          <t>Carga puntual</t>
        </is>
      </c>
      <c r="I79" t="inlineStr">
        <is>
          <t>ASTM D5731</t>
        </is>
      </c>
      <c r="J79" t="inlineStr">
        <is>
          <t>σc estimada (hoja)</t>
        </is>
      </c>
      <c r="K79" t="n">
        <v>228</v>
      </c>
      <c r="L79" t="inlineStr">
        <is>
          <t>kg/cm²</t>
        </is>
      </c>
      <c r="M79" t="n">
        <v>1</v>
      </c>
      <c r="N79" t="inlineStr">
        <is>
          <t>M-7</t>
        </is>
      </c>
      <c r="O79" t="inlineStr">
        <is>
          <t>Muestra cilíndrica, carga axial, falla tipo L; Ø=45.8 mm; altura=40.2 mm; A/D=0.88; De²=2344 mm²; carga=226 kg; Is=9.6 kg/cm²; σc=228 kg/cm² = 22.36 MPa</t>
        </is>
      </c>
      <c r="P79" t="inlineStr">
        <is>
          <t>29/09/2009</t>
        </is>
      </c>
      <c r="Q79" t="inlineStr">
        <is>
          <t>78</t>
        </is>
      </c>
      <c r="R79" t="inlineStr">
        <is>
          <t>sí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G2010</t>
        </is>
      </c>
      <c r="B80" t="inlineStr">
        <is>
          <t>2010_Golder_Caracterizacion ROM IPCC.pdf</t>
        </is>
      </c>
      <c r="C80" t="inlineStr">
        <is>
          <t>Mármol Negro</t>
        </is>
      </c>
      <c r="D80" t="inlineStr">
        <is>
          <t>Mármol</t>
        </is>
      </c>
      <c r="E80" t="inlineStr">
        <is>
          <t>mármol negro</t>
        </is>
      </c>
      <c r="F80" t="inlineStr">
        <is>
          <t>B</t>
        </is>
      </c>
      <c r="G80" t="inlineStr">
        <is>
          <t>Chancado (Fase B = «material chancado», p.1)</t>
        </is>
      </c>
      <c r="H80" t="inlineStr">
        <is>
          <t>Carga puntual</t>
        </is>
      </c>
      <c r="I80" t="inlineStr">
        <is>
          <t>ASTM D5731</t>
        </is>
      </c>
      <c r="J80" t="inlineStr">
        <is>
          <t>Is(50)</t>
        </is>
      </c>
      <c r="K80" t="n">
        <v>11</v>
      </c>
      <c r="L80" t="inlineStr">
        <is>
          <t>kg/cm²</t>
        </is>
      </c>
      <c r="M80" t="n">
        <v>1</v>
      </c>
      <c r="N80" t="inlineStr">
        <is>
          <t>M-8</t>
        </is>
      </c>
      <c r="O80" t="inlineStr">
        <is>
          <t>Muestra cilíndrica, carga axial, falla tipo L; Ø=45.6 mm; altura=43.6 mm; A/D=0.96; De²=2531 mm²; carga=277 kg; Is=10.9 kg/cm²</t>
        </is>
      </c>
      <c r="P80" t="inlineStr">
        <is>
          <t>29/09/2009</t>
        </is>
      </c>
      <c r="Q80" t="inlineStr">
        <is>
          <t>78</t>
        </is>
      </c>
      <c r="R80" t="inlineStr">
        <is>
          <t>sí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G2010</t>
        </is>
      </c>
      <c r="B81" t="inlineStr">
        <is>
          <t>2010_Golder_Caracterizacion ROM IPCC.pdf</t>
        </is>
      </c>
      <c r="C81" t="inlineStr">
        <is>
          <t>Mármol Negro</t>
        </is>
      </c>
      <c r="D81" t="inlineStr">
        <is>
          <t>Mármol</t>
        </is>
      </c>
      <c r="E81" t="inlineStr">
        <is>
          <t>mármol negro</t>
        </is>
      </c>
      <c r="F81" t="inlineStr">
        <is>
          <t>B</t>
        </is>
      </c>
      <c r="G81" t="inlineStr">
        <is>
          <t>Chancado (Fase B = «material chancado», p.1)</t>
        </is>
      </c>
      <c r="H81" t="inlineStr">
        <is>
          <t>Carga puntual</t>
        </is>
      </c>
      <c r="I81" t="inlineStr">
        <is>
          <t>ASTM D5731</t>
        </is>
      </c>
      <c r="J81" t="inlineStr">
        <is>
          <t>σc estimada (hoja)</t>
        </is>
      </c>
      <c r="K81" t="n">
        <v>263</v>
      </c>
      <c r="L81" t="inlineStr">
        <is>
          <t>kg/cm²</t>
        </is>
      </c>
      <c r="M81" t="n">
        <v>1</v>
      </c>
      <c r="N81" t="inlineStr">
        <is>
          <t>M-8</t>
        </is>
      </c>
      <c r="O81" t="inlineStr">
        <is>
          <t>Muestra cilíndrica, carga axial, falla tipo L; Ø=45.6 mm; altura=43.6 mm; A/D=0.96; De²=2531 mm²; carga=277 kg; Is=10.9 kg/cm²; σc=263 kg/cm² = 25.79 MPa</t>
        </is>
      </c>
      <c r="P81" t="inlineStr">
        <is>
          <t>29/09/2009</t>
        </is>
      </c>
      <c r="Q81" t="inlineStr">
        <is>
          <t>78</t>
        </is>
      </c>
      <c r="R81" t="inlineStr">
        <is>
          <t>sí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G2010</t>
        </is>
      </c>
      <c r="B82" t="inlineStr">
        <is>
          <t>2010_Golder_Caracterizacion ROM IPCC.pdf</t>
        </is>
      </c>
      <c r="C82" t="inlineStr">
        <is>
          <t>Mármol Negro</t>
        </is>
      </c>
      <c r="D82" t="inlineStr">
        <is>
          <t>Mármol</t>
        </is>
      </c>
      <c r="E82" t="inlineStr">
        <is>
          <t>mármol negro</t>
        </is>
      </c>
      <c r="F82" t="inlineStr">
        <is>
          <t>B</t>
        </is>
      </c>
      <c r="G82" t="inlineStr">
        <is>
          <t>Chancado (Fase B = «material chancado», p.1)</t>
        </is>
      </c>
      <c r="H82" t="inlineStr">
        <is>
          <t>Carga puntual</t>
        </is>
      </c>
      <c r="I82" t="inlineStr">
        <is>
          <t>ASTM D5731</t>
        </is>
      </c>
      <c r="J82" t="inlineStr">
        <is>
          <t>Is(50) promedio (calculado aquí de la hoja)</t>
        </is>
      </c>
      <c r="K82" t="n">
        <v>10.43</v>
      </c>
      <c r="L82" t="inlineStr">
        <is>
          <t>kg/cm²</t>
        </is>
      </c>
      <c r="M82" t="n">
        <v>8</v>
      </c>
      <c r="N82" t="inlineStr">
        <is>
          <t>promedio</t>
        </is>
      </c>
      <c r="O82" t="inlineStr">
        <is>
          <t>no informado como tal en el informe; promedio aritmético de las probetas</t>
        </is>
      </c>
      <c r="P82" t="inlineStr"/>
      <c r="Q82" t="inlineStr">
        <is>
          <t>78</t>
        </is>
      </c>
      <c r="R82" t="inlineStr">
        <is>
          <t>sí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G2010</t>
        </is>
      </c>
      <c r="B83" t="inlineStr">
        <is>
          <t>2010_Golder_Caracterizacion ROM IPCC.pdf</t>
        </is>
      </c>
      <c r="C83" t="inlineStr">
        <is>
          <t>Mármol Negro</t>
        </is>
      </c>
      <c r="D83" t="inlineStr">
        <is>
          <t>Mármol</t>
        </is>
      </c>
      <c r="E83" t="inlineStr">
        <is>
          <t>mármol negro</t>
        </is>
      </c>
      <c r="F83" t="inlineStr">
        <is>
          <t>B</t>
        </is>
      </c>
      <c r="G83" t="inlineStr">
        <is>
          <t>Chancado (Fase B = «material chancado», p.1)</t>
        </is>
      </c>
      <c r="H83" t="inlineStr">
        <is>
          <t>Carga puntual</t>
        </is>
      </c>
      <c r="I83" t="inlineStr">
        <is>
          <t>ASTM D5731</t>
        </is>
      </c>
      <c r="J83" t="inlineStr">
        <is>
          <t>σc estimada promedio (Tabla 2)</t>
        </is>
      </c>
      <c r="K83" t="n">
        <v>24.56</v>
      </c>
      <c r="L83" t="inlineStr">
        <is>
          <t>MPa</t>
        </is>
      </c>
      <c r="M83" t="n">
        <v>8</v>
      </c>
      <c r="N83" t="inlineStr">
        <is>
          <t>promedio</t>
        </is>
      </c>
      <c r="O83" t="inlineStr">
        <is>
          <t>promedio recalculado de la hoja = 250.5 kg/cm² = 24.57 MPa</t>
        </is>
      </c>
      <c r="P83" t="inlineStr"/>
      <c r="Q83" t="inlineStr">
        <is>
          <t>8;78</t>
        </is>
      </c>
      <c r="R83" t="inlineStr">
        <is>
          <t>sí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G2010</t>
        </is>
      </c>
      <c r="B84" t="inlineStr">
        <is>
          <t>2010_Golder_Caracterizacion ROM IPCC.pdf</t>
        </is>
      </c>
      <c r="C84" t="inlineStr">
        <is>
          <t>Hornfels Gris</t>
        </is>
      </c>
      <c r="D84" t="inlineStr">
        <is>
          <t>Hornfels</t>
        </is>
      </c>
      <c r="E84" t="inlineStr">
        <is>
          <t>hornfels gris</t>
        </is>
      </c>
      <c r="F84" t="inlineStr">
        <is>
          <t>B</t>
        </is>
      </c>
      <c r="G84" t="inlineStr">
        <is>
          <t>Chancado (Fase B = «material chancado», p.1)</t>
        </is>
      </c>
      <c r="H84" t="inlineStr">
        <is>
          <t>Carga puntual</t>
        </is>
      </c>
      <c r="I84" t="inlineStr">
        <is>
          <t>ASTM D5731</t>
        </is>
      </c>
      <c r="J84" t="inlineStr">
        <is>
          <t>Is(50)</t>
        </is>
      </c>
      <c r="K84" t="n">
        <v>37.1</v>
      </c>
      <c r="L84" t="inlineStr">
        <is>
          <t>kg/cm²</t>
        </is>
      </c>
      <c r="M84" t="n">
        <v>1</v>
      </c>
      <c r="N84" t="inlineStr">
        <is>
          <t>M-1</t>
        </is>
      </c>
      <c r="O84" t="inlineStr">
        <is>
          <t>Muestra cilíndrica, carga axial, falla tipo L; Ø=46.0 mm; altura=43.2 mm; A/D=0.94; De²=2530 mm²; carga=937 kg; Is=37.0 kg/cm²</t>
        </is>
      </c>
      <c r="P84" t="inlineStr">
        <is>
          <t>29/09/2009</t>
        </is>
      </c>
      <c r="Q84" t="inlineStr">
        <is>
          <t>79</t>
        </is>
      </c>
      <c r="R84" t="inlineStr">
        <is>
          <t>sí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G2010</t>
        </is>
      </c>
      <c r="B85" t="inlineStr">
        <is>
          <t>2010_Golder_Caracterizacion ROM IPCC.pdf</t>
        </is>
      </c>
      <c r="C85" t="inlineStr">
        <is>
          <t>Hornfels Gris</t>
        </is>
      </c>
      <c r="D85" t="inlineStr">
        <is>
          <t>Hornfels</t>
        </is>
      </c>
      <c r="E85" t="inlineStr">
        <is>
          <t>hornfels gris</t>
        </is>
      </c>
      <c r="F85" t="inlineStr">
        <is>
          <t>B</t>
        </is>
      </c>
      <c r="G85" t="inlineStr">
        <is>
          <t>Chancado (Fase B = «material chancado», p.1)</t>
        </is>
      </c>
      <c r="H85" t="inlineStr">
        <is>
          <t>Carga puntual</t>
        </is>
      </c>
      <c r="I85" t="inlineStr">
        <is>
          <t>ASTM D5731</t>
        </is>
      </c>
      <c r="J85" t="inlineStr">
        <is>
          <t>σc estimada (hoja)</t>
        </is>
      </c>
      <c r="K85" t="n">
        <v>892</v>
      </c>
      <c r="L85" t="inlineStr">
        <is>
          <t>kg/cm²</t>
        </is>
      </c>
      <c r="M85" t="n">
        <v>1</v>
      </c>
      <c r="N85" t="inlineStr">
        <is>
          <t>M-1</t>
        </is>
      </c>
      <c r="O85" t="inlineStr">
        <is>
          <t>Muestra cilíndrica, carga axial, falla tipo L; Ø=46.0 mm; altura=43.2 mm; A/D=0.94; De²=2530 mm²; carga=937 kg; Is=37.0 kg/cm²; σc=892 kg/cm² = 87.48 MPa</t>
        </is>
      </c>
      <c r="P85" t="inlineStr">
        <is>
          <t>29/09/2009</t>
        </is>
      </c>
      <c r="Q85" t="inlineStr">
        <is>
          <t>79</t>
        </is>
      </c>
      <c r="R85" t="inlineStr">
        <is>
          <t>sí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G2010</t>
        </is>
      </c>
      <c r="B86" t="inlineStr">
        <is>
          <t>2010_Golder_Caracterizacion ROM IPCC.pdf</t>
        </is>
      </c>
      <c r="C86" t="inlineStr">
        <is>
          <t>Hornfels Gris</t>
        </is>
      </c>
      <c r="D86" t="inlineStr">
        <is>
          <t>Hornfels</t>
        </is>
      </c>
      <c r="E86" t="inlineStr">
        <is>
          <t>hornfels gris</t>
        </is>
      </c>
      <c r="F86" t="inlineStr">
        <is>
          <t>B</t>
        </is>
      </c>
      <c r="G86" t="inlineStr">
        <is>
          <t>Chancado (Fase B = «material chancado», p.1)</t>
        </is>
      </c>
      <c r="H86" t="inlineStr">
        <is>
          <t>Carga puntual</t>
        </is>
      </c>
      <c r="I86" t="inlineStr">
        <is>
          <t>ASTM D5731</t>
        </is>
      </c>
      <c r="J86" t="inlineStr">
        <is>
          <t>Is(50)</t>
        </is>
      </c>
      <c r="K86" t="n">
        <v>48.9</v>
      </c>
      <c r="L86" t="inlineStr">
        <is>
          <t>kg/cm²</t>
        </is>
      </c>
      <c r="M86" t="n">
        <v>1</v>
      </c>
      <c r="N86" t="inlineStr">
        <is>
          <t>M-2</t>
        </is>
      </c>
      <c r="O86" t="inlineStr">
        <is>
          <t>Muestra cilíndrica, carga axial, falla tipo L; Ø=46.0 mm; altura=42.8 mm; A/D=0.93; De²=2507 mm²; carga=1226 kg; Is=48.9 kg/cm²</t>
        </is>
      </c>
      <c r="P86" t="inlineStr">
        <is>
          <t>29/09/2009</t>
        </is>
      </c>
      <c r="Q86" t="inlineStr">
        <is>
          <t>79</t>
        </is>
      </c>
      <c r="R86" t="inlineStr">
        <is>
          <t>sí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G2010</t>
        </is>
      </c>
      <c r="B87" t="inlineStr">
        <is>
          <t>2010_Golder_Caracterizacion ROM IPCC.pdf</t>
        </is>
      </c>
      <c r="C87" t="inlineStr">
        <is>
          <t>Hornfels Gris</t>
        </is>
      </c>
      <c r="D87" t="inlineStr">
        <is>
          <t>Hornfels</t>
        </is>
      </c>
      <c r="E87" t="inlineStr">
        <is>
          <t>hornfels gris</t>
        </is>
      </c>
      <c r="F87" t="inlineStr">
        <is>
          <t>B</t>
        </is>
      </c>
      <c r="G87" t="inlineStr">
        <is>
          <t>Chancado (Fase B = «material chancado», p.1)</t>
        </is>
      </c>
      <c r="H87" t="inlineStr">
        <is>
          <t>Carga puntual</t>
        </is>
      </c>
      <c r="I87" t="inlineStr">
        <is>
          <t>ASTM D5731</t>
        </is>
      </c>
      <c r="J87" t="inlineStr">
        <is>
          <t>σc estimada (hoja)</t>
        </is>
      </c>
      <c r="K87" t="n">
        <v>1175</v>
      </c>
      <c r="L87" t="inlineStr">
        <is>
          <t>kg/cm²</t>
        </is>
      </c>
      <c r="M87" t="n">
        <v>1</v>
      </c>
      <c r="N87" t="inlineStr">
        <is>
          <t>M-2</t>
        </is>
      </c>
      <c r="O87" t="inlineStr">
        <is>
          <t>Muestra cilíndrica, carga axial, falla tipo L; Ø=46.0 mm; altura=42.8 mm; A/D=0.93; De²=2507 mm²; carga=1226 kg; Is=48.9 kg/cm²; σc=1175 kg/cm² = 115.23 MPa</t>
        </is>
      </c>
      <c r="P87" t="inlineStr">
        <is>
          <t>29/09/2009</t>
        </is>
      </c>
      <c r="Q87" t="inlineStr">
        <is>
          <t>79</t>
        </is>
      </c>
      <c r="R87" t="inlineStr">
        <is>
          <t>sí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G2010</t>
        </is>
      </c>
      <c r="B88" t="inlineStr">
        <is>
          <t>2010_Golder_Caracterizacion ROM IPCC.pdf</t>
        </is>
      </c>
      <c r="C88" t="inlineStr">
        <is>
          <t>Hornfels Gris</t>
        </is>
      </c>
      <c r="D88" t="inlineStr">
        <is>
          <t>Hornfels</t>
        </is>
      </c>
      <c r="E88" t="inlineStr">
        <is>
          <t>hornfels gris</t>
        </is>
      </c>
      <c r="F88" t="inlineStr">
        <is>
          <t>B</t>
        </is>
      </c>
      <c r="G88" t="inlineStr">
        <is>
          <t>Chancado (Fase B = «material chancado», p.1)</t>
        </is>
      </c>
      <c r="H88" t="inlineStr">
        <is>
          <t>Carga puntual</t>
        </is>
      </c>
      <c r="I88" t="inlineStr">
        <is>
          <t>ASTM D5731</t>
        </is>
      </c>
      <c r="J88" t="inlineStr">
        <is>
          <t>Is(50)</t>
        </is>
      </c>
      <c r="K88" t="n">
        <v>36</v>
      </c>
      <c r="L88" t="inlineStr">
        <is>
          <t>kg/cm²</t>
        </is>
      </c>
      <c r="M88" t="n">
        <v>1</v>
      </c>
      <c r="N88" t="inlineStr">
        <is>
          <t>M-3</t>
        </is>
      </c>
      <c r="O88" t="inlineStr">
        <is>
          <t>Muestra cilíndrica, carga axial, falla tipo L; Ø=46.0 mm; altura=44.5 mm; A/D=0.97; De²=2606 mm²; carga=930 kg; Is=35.7 kg/cm²</t>
        </is>
      </c>
      <c r="P88" t="inlineStr">
        <is>
          <t>29/09/2009</t>
        </is>
      </c>
      <c r="Q88" t="inlineStr">
        <is>
          <t>79</t>
        </is>
      </c>
      <c r="R88" t="inlineStr">
        <is>
          <t>sí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G2010</t>
        </is>
      </c>
      <c r="B89" t="inlineStr">
        <is>
          <t>2010_Golder_Caracterizacion ROM IPCC.pdf</t>
        </is>
      </c>
      <c r="C89" t="inlineStr">
        <is>
          <t>Hornfels Gris</t>
        </is>
      </c>
      <c r="D89" t="inlineStr">
        <is>
          <t>Hornfels</t>
        </is>
      </c>
      <c r="E89" t="inlineStr">
        <is>
          <t>hornfels gris</t>
        </is>
      </c>
      <c r="F89" t="inlineStr">
        <is>
          <t>B</t>
        </is>
      </c>
      <c r="G89" t="inlineStr">
        <is>
          <t>Chancado (Fase B = «material chancado», p.1)</t>
        </is>
      </c>
      <c r="H89" t="inlineStr">
        <is>
          <t>Carga puntual</t>
        </is>
      </c>
      <c r="I89" t="inlineStr">
        <is>
          <t>ASTM D5731</t>
        </is>
      </c>
      <c r="J89" t="inlineStr">
        <is>
          <t>σc estimada (hoja)</t>
        </is>
      </c>
      <c r="K89" t="n">
        <v>864</v>
      </c>
      <c r="L89" t="inlineStr">
        <is>
          <t>kg/cm²</t>
        </is>
      </c>
      <c r="M89" t="n">
        <v>1</v>
      </c>
      <c r="N89" t="inlineStr">
        <is>
          <t>M-3</t>
        </is>
      </c>
      <c r="O89" t="inlineStr">
        <is>
          <t>Muestra cilíndrica, carga axial, falla tipo L; Ø=46.0 mm; altura=44.5 mm; A/D=0.97; De²=2606 mm²; carga=930 kg; Is=35.7 kg/cm²; σc=864 kg/cm² = 84.73 MPa</t>
        </is>
      </c>
      <c r="P89" t="inlineStr">
        <is>
          <t>29/09/2009</t>
        </is>
      </c>
      <c r="Q89" t="inlineStr">
        <is>
          <t>79</t>
        </is>
      </c>
      <c r="R89" t="inlineStr">
        <is>
          <t>sí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G2010</t>
        </is>
      </c>
      <c r="B90" t="inlineStr">
        <is>
          <t>2010_Golder_Caracterizacion ROM IPCC.pdf</t>
        </is>
      </c>
      <c r="C90" t="inlineStr">
        <is>
          <t>Hornfels Gris</t>
        </is>
      </c>
      <c r="D90" t="inlineStr">
        <is>
          <t>Hornfels</t>
        </is>
      </c>
      <c r="E90" t="inlineStr">
        <is>
          <t>hornfels gris</t>
        </is>
      </c>
      <c r="F90" t="inlineStr">
        <is>
          <t>B</t>
        </is>
      </c>
      <c r="G90" t="inlineStr">
        <is>
          <t>Chancado (Fase B = «material chancado», p.1)</t>
        </is>
      </c>
      <c r="H90" t="inlineStr">
        <is>
          <t>Carga puntual</t>
        </is>
      </c>
      <c r="I90" t="inlineStr">
        <is>
          <t>ASTM D5731</t>
        </is>
      </c>
      <c r="J90" t="inlineStr">
        <is>
          <t>Is(50)</t>
        </is>
      </c>
      <c r="K90" t="n">
        <v>45.7</v>
      </c>
      <c r="L90" t="inlineStr">
        <is>
          <t>kg/cm²</t>
        </is>
      </c>
      <c r="M90" t="n">
        <v>1</v>
      </c>
      <c r="N90" t="inlineStr">
        <is>
          <t>M-4</t>
        </is>
      </c>
      <c r="O90" t="inlineStr">
        <is>
          <t>Muestra cilíndrica, carga axial, falla tipo L; Ø=46.0 mm; altura=44.0 mm; A/D=0.96; De²=2577 mm²; carga=1171 kg; Is=45.4 kg/cm²</t>
        </is>
      </c>
      <c r="P90" t="inlineStr">
        <is>
          <t>29/09/2009</t>
        </is>
      </c>
      <c r="Q90" t="inlineStr">
        <is>
          <t>79</t>
        </is>
      </c>
      <c r="R90" t="inlineStr">
        <is>
          <t>sí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G2010</t>
        </is>
      </c>
      <c r="B91" t="inlineStr">
        <is>
          <t>2010_Golder_Caracterizacion ROM IPCC.pdf</t>
        </is>
      </c>
      <c r="C91" t="inlineStr">
        <is>
          <t>Hornfels Gris</t>
        </is>
      </c>
      <c r="D91" t="inlineStr">
        <is>
          <t>Hornfels</t>
        </is>
      </c>
      <c r="E91" t="inlineStr">
        <is>
          <t>hornfels gris</t>
        </is>
      </c>
      <c r="F91" t="inlineStr">
        <is>
          <t>B</t>
        </is>
      </c>
      <c r="G91" t="inlineStr">
        <is>
          <t>Chancado (Fase B = «material chancado», p.1)</t>
        </is>
      </c>
      <c r="H91" t="inlineStr">
        <is>
          <t>Carga puntual</t>
        </is>
      </c>
      <c r="I91" t="inlineStr">
        <is>
          <t>ASTM D5731</t>
        </is>
      </c>
      <c r="J91" t="inlineStr">
        <is>
          <t>σc estimada (hoja)</t>
        </is>
      </c>
      <c r="K91" t="n">
        <v>1098</v>
      </c>
      <c r="L91" t="inlineStr">
        <is>
          <t>kg/cm²</t>
        </is>
      </c>
      <c r="M91" t="n">
        <v>1</v>
      </c>
      <c r="N91" t="inlineStr">
        <is>
          <t>M-4</t>
        </is>
      </c>
      <c r="O91" t="inlineStr">
        <is>
          <t>Muestra cilíndrica, carga axial, falla tipo L; Ø=46.0 mm; altura=44.0 mm; A/D=0.96; De²=2577 mm²; carga=1171 kg; Is=45.4 kg/cm²; σc=1098 kg/cm² = 107.68 MPa</t>
        </is>
      </c>
      <c r="P91" t="inlineStr">
        <is>
          <t>29/09/2009</t>
        </is>
      </c>
      <c r="Q91" t="inlineStr">
        <is>
          <t>79</t>
        </is>
      </c>
      <c r="R91" t="inlineStr">
        <is>
          <t>sí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G2010</t>
        </is>
      </c>
      <c r="B92" t="inlineStr">
        <is>
          <t>2010_Golder_Caracterizacion ROM IPCC.pdf</t>
        </is>
      </c>
      <c r="C92" t="inlineStr">
        <is>
          <t>Hornfels Gris</t>
        </is>
      </c>
      <c r="D92" t="inlineStr">
        <is>
          <t>Hornfels</t>
        </is>
      </c>
      <c r="E92" t="inlineStr">
        <is>
          <t>hornfels gris</t>
        </is>
      </c>
      <c r="F92" t="inlineStr">
        <is>
          <t>B</t>
        </is>
      </c>
      <c r="G92" t="inlineStr">
        <is>
          <t>Chancado (Fase B = «material chancado», p.1)</t>
        </is>
      </c>
      <c r="H92" t="inlineStr">
        <is>
          <t>Carga puntual</t>
        </is>
      </c>
      <c r="I92" t="inlineStr">
        <is>
          <t>ASTM D5731</t>
        </is>
      </c>
      <c r="J92" t="inlineStr">
        <is>
          <t>Is(50)</t>
        </is>
      </c>
      <c r="K92" t="n">
        <v>48.6</v>
      </c>
      <c r="L92" t="inlineStr">
        <is>
          <t>kg/cm²</t>
        </is>
      </c>
      <c r="M92" t="n">
        <v>1</v>
      </c>
      <c r="N92" t="inlineStr">
        <is>
          <t>M-5</t>
        </is>
      </c>
      <c r="O92" t="inlineStr">
        <is>
          <t>Muestra cilíndrica, carga axial, falla tipo L; Ø=46.0 mm; altura=44.0 mm; A/D=0.96; De²=2577 mm²; carga=1244 kg; Is=48.3 kg/cm²</t>
        </is>
      </c>
      <c r="P92" t="inlineStr">
        <is>
          <t>29/09/2009</t>
        </is>
      </c>
      <c r="Q92" t="inlineStr">
        <is>
          <t>79</t>
        </is>
      </c>
      <c r="R92" t="inlineStr">
        <is>
          <t>sí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G2010</t>
        </is>
      </c>
      <c r="B93" t="inlineStr">
        <is>
          <t>2010_Golder_Caracterizacion ROM IPCC.pdf</t>
        </is>
      </c>
      <c r="C93" t="inlineStr">
        <is>
          <t>Hornfels Gris</t>
        </is>
      </c>
      <c r="D93" t="inlineStr">
        <is>
          <t>Hornfels</t>
        </is>
      </c>
      <c r="E93" t="inlineStr">
        <is>
          <t>hornfels gris</t>
        </is>
      </c>
      <c r="F93" t="inlineStr">
        <is>
          <t>B</t>
        </is>
      </c>
      <c r="G93" t="inlineStr">
        <is>
          <t>Chancado (Fase B = «material chancado», p.1)</t>
        </is>
      </c>
      <c r="H93" t="inlineStr">
        <is>
          <t>Carga puntual</t>
        </is>
      </c>
      <c r="I93" t="inlineStr">
        <is>
          <t>ASTM D5731</t>
        </is>
      </c>
      <c r="J93" t="inlineStr">
        <is>
          <t>σc estimada (hoja)</t>
        </is>
      </c>
      <c r="K93" t="n">
        <v>1166</v>
      </c>
      <c r="L93" t="inlineStr">
        <is>
          <t>kg/cm²</t>
        </is>
      </c>
      <c r="M93" t="n">
        <v>1</v>
      </c>
      <c r="N93" t="inlineStr">
        <is>
          <t>M-5</t>
        </is>
      </c>
      <c r="O93" t="inlineStr">
        <is>
          <t>Muestra cilíndrica, carga axial, falla tipo L; Ø=46.0 mm; altura=44.0 mm; A/D=0.96; De²=2577 mm²; carga=1244 kg; Is=48.3 kg/cm²; σc=1166 kg/cm² = 114.35 MPa</t>
        </is>
      </c>
      <c r="P93" t="inlineStr">
        <is>
          <t>29/09/2009</t>
        </is>
      </c>
      <c r="Q93" t="inlineStr">
        <is>
          <t>79</t>
        </is>
      </c>
      <c r="R93" t="inlineStr">
        <is>
          <t>sí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G2010</t>
        </is>
      </c>
      <c r="B94" t="inlineStr">
        <is>
          <t>2010_Golder_Caracterizacion ROM IPCC.pdf</t>
        </is>
      </c>
      <c r="C94" t="inlineStr">
        <is>
          <t>Hornfels Gris</t>
        </is>
      </c>
      <c r="D94" t="inlineStr">
        <is>
          <t>Hornfels</t>
        </is>
      </c>
      <c r="E94" t="inlineStr">
        <is>
          <t>hornfels gris</t>
        </is>
      </c>
      <c r="F94" t="inlineStr">
        <is>
          <t>B</t>
        </is>
      </c>
      <c r="G94" t="inlineStr">
        <is>
          <t>Chancado (Fase B = «material chancado», p.1)</t>
        </is>
      </c>
      <c r="H94" t="inlineStr">
        <is>
          <t>Carga puntual</t>
        </is>
      </c>
      <c r="I94" t="inlineStr">
        <is>
          <t>ASTM D5731</t>
        </is>
      </c>
      <c r="J94" t="inlineStr">
        <is>
          <t>Is(50)</t>
        </is>
      </c>
      <c r="K94" t="n">
        <v>43.5</v>
      </c>
      <c r="L94" t="inlineStr">
        <is>
          <t>kg/cm²</t>
        </is>
      </c>
      <c r="M94" t="n">
        <v>1</v>
      </c>
      <c r="N94" t="inlineStr">
        <is>
          <t>M-6</t>
        </is>
      </c>
      <c r="O94" t="inlineStr">
        <is>
          <t>Muestra cilíndrica, carga axial, falla tipo L; Ø=46.0 mm; altura=45.0 mm; A/D=0.98; De²=2636 mm²; carga=1133 kg; Is=43.0 kg/cm²</t>
        </is>
      </c>
      <c r="P94" t="inlineStr">
        <is>
          <t>29/09/2009</t>
        </is>
      </c>
      <c r="Q94" t="inlineStr">
        <is>
          <t>79</t>
        </is>
      </c>
      <c r="R94" t="inlineStr">
        <is>
          <t>sí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G2010</t>
        </is>
      </c>
      <c r="B95" t="inlineStr">
        <is>
          <t>2010_Golder_Caracterizacion ROM IPCC.pdf</t>
        </is>
      </c>
      <c r="C95" t="inlineStr">
        <is>
          <t>Hornfels Gris</t>
        </is>
      </c>
      <c r="D95" t="inlineStr">
        <is>
          <t>Hornfels</t>
        </is>
      </c>
      <c r="E95" t="inlineStr">
        <is>
          <t>hornfels gris</t>
        </is>
      </c>
      <c r="F95" t="inlineStr">
        <is>
          <t>B</t>
        </is>
      </c>
      <c r="G95" t="inlineStr">
        <is>
          <t>Chancado (Fase B = «material chancado», p.1)</t>
        </is>
      </c>
      <c r="H95" t="inlineStr">
        <is>
          <t>Carga puntual</t>
        </is>
      </c>
      <c r="I95" t="inlineStr">
        <is>
          <t>ASTM D5731</t>
        </is>
      </c>
      <c r="J95" t="inlineStr">
        <is>
          <t>σc estimada (hoja)</t>
        </is>
      </c>
      <c r="K95" t="n">
        <v>1044</v>
      </c>
      <c r="L95" t="inlineStr">
        <is>
          <t>kg/cm²</t>
        </is>
      </c>
      <c r="M95" t="n">
        <v>1</v>
      </c>
      <c r="N95" t="inlineStr">
        <is>
          <t>M-6</t>
        </is>
      </c>
      <c r="O95" t="inlineStr">
        <is>
          <t>Muestra cilíndrica, carga axial, falla tipo L; Ø=46.0 mm; altura=45.0 mm; A/D=0.98; De²=2636 mm²; carga=1133 kg; Is=43.0 kg/cm²; σc=1044 kg/cm² = 102.38 MPa</t>
        </is>
      </c>
      <c r="P95" t="inlineStr">
        <is>
          <t>29/09/2009</t>
        </is>
      </c>
      <c r="Q95" t="inlineStr">
        <is>
          <t>79</t>
        </is>
      </c>
      <c r="R95" t="inlineStr">
        <is>
          <t>sí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G2010</t>
        </is>
      </c>
      <c r="B96" t="inlineStr">
        <is>
          <t>2010_Golder_Caracterizacion ROM IPCC.pdf</t>
        </is>
      </c>
      <c r="C96" t="inlineStr">
        <is>
          <t>Hornfels Gris</t>
        </is>
      </c>
      <c r="D96" t="inlineStr">
        <is>
          <t>Hornfels</t>
        </is>
      </c>
      <c r="E96" t="inlineStr">
        <is>
          <t>hornfels gris</t>
        </is>
      </c>
      <c r="F96" t="inlineStr">
        <is>
          <t>B</t>
        </is>
      </c>
      <c r="G96" t="inlineStr">
        <is>
          <t>Chancado (Fase B = «material chancado», p.1)</t>
        </is>
      </c>
      <c r="H96" t="inlineStr">
        <is>
          <t>Carga puntual</t>
        </is>
      </c>
      <c r="I96" t="inlineStr">
        <is>
          <t>ASTM D5731</t>
        </is>
      </c>
      <c r="J96" t="inlineStr">
        <is>
          <t>Is(50)</t>
        </is>
      </c>
      <c r="K96" t="n">
        <v>41.1</v>
      </c>
      <c r="L96" t="inlineStr">
        <is>
          <t>kg/cm²</t>
        </is>
      </c>
      <c r="M96" t="n">
        <v>1</v>
      </c>
      <c r="N96" t="inlineStr">
        <is>
          <t>M-7</t>
        </is>
      </c>
      <c r="O96" t="inlineStr">
        <is>
          <t>Muestra cilíndrica, carga axial, falla tipo L; Ø=45.9 mm; altura=44.3 mm; A/D=0.97; De²=2589 mm²; carga=1056 kg; Is=40.8 kg/cm²</t>
        </is>
      </c>
      <c r="P96" t="inlineStr">
        <is>
          <t>29/09/2009</t>
        </is>
      </c>
      <c r="Q96" t="inlineStr">
        <is>
          <t>79</t>
        </is>
      </c>
      <c r="R96" t="inlineStr">
        <is>
          <t>sí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G2010</t>
        </is>
      </c>
      <c r="B97" t="inlineStr">
        <is>
          <t>2010_Golder_Caracterizacion ROM IPCC.pdf</t>
        </is>
      </c>
      <c r="C97" t="inlineStr">
        <is>
          <t>Hornfels Gris</t>
        </is>
      </c>
      <c r="D97" t="inlineStr">
        <is>
          <t>Hornfels</t>
        </is>
      </c>
      <c r="E97" t="inlineStr">
        <is>
          <t>hornfels gris</t>
        </is>
      </c>
      <c r="F97" t="inlineStr">
        <is>
          <t>B</t>
        </is>
      </c>
      <c r="G97" t="inlineStr">
        <is>
          <t>Chancado (Fase B = «material chancado», p.1)</t>
        </is>
      </c>
      <c r="H97" t="inlineStr">
        <is>
          <t>Carga puntual</t>
        </is>
      </c>
      <c r="I97" t="inlineStr">
        <is>
          <t>ASTM D5731</t>
        </is>
      </c>
      <c r="J97" t="inlineStr">
        <is>
          <t>σc estimada (hoja)</t>
        </is>
      </c>
      <c r="K97" t="n">
        <v>987</v>
      </c>
      <c r="L97" t="inlineStr">
        <is>
          <t>kg/cm²</t>
        </is>
      </c>
      <c r="M97" t="n">
        <v>1</v>
      </c>
      <c r="N97" t="inlineStr">
        <is>
          <t>M-7</t>
        </is>
      </c>
      <c r="O97" t="inlineStr">
        <is>
          <t>Muestra cilíndrica, carga axial, falla tipo L; Ø=45.9 mm; altura=44.3 mm; A/D=0.97; De²=2589 mm²; carga=1056 kg; Is=40.8 kg/cm²; σc=987 kg/cm² = 96.79 MPa</t>
        </is>
      </c>
      <c r="P97" t="inlineStr">
        <is>
          <t>29/09/2009</t>
        </is>
      </c>
      <c r="Q97" t="inlineStr">
        <is>
          <t>79</t>
        </is>
      </c>
      <c r="R97" t="inlineStr">
        <is>
          <t>sí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G2010</t>
        </is>
      </c>
      <c r="B98" t="inlineStr">
        <is>
          <t>2010_Golder_Caracterizacion ROM IPCC.pdf</t>
        </is>
      </c>
      <c r="C98" t="inlineStr">
        <is>
          <t>Hornfels Gris</t>
        </is>
      </c>
      <c r="D98" t="inlineStr">
        <is>
          <t>Hornfels</t>
        </is>
      </c>
      <c r="E98" t="inlineStr">
        <is>
          <t>hornfels gris</t>
        </is>
      </c>
      <c r="F98" t="inlineStr">
        <is>
          <t>B</t>
        </is>
      </c>
      <c r="G98" t="inlineStr">
        <is>
          <t>Chancado (Fase B = «material chancado», p.1)</t>
        </is>
      </c>
      <c r="H98" t="inlineStr">
        <is>
          <t>Carga puntual</t>
        </is>
      </c>
      <c r="I98" t="inlineStr">
        <is>
          <t>ASTM D5731</t>
        </is>
      </c>
      <c r="J98" t="inlineStr">
        <is>
          <t>Is(50)</t>
        </is>
      </c>
      <c r="K98" t="n">
        <v>40.3</v>
      </c>
      <c r="L98" t="inlineStr">
        <is>
          <t>kg/cm²</t>
        </is>
      </c>
      <c r="M98" t="n">
        <v>1</v>
      </c>
      <c r="N98" t="inlineStr">
        <is>
          <t>M-8</t>
        </is>
      </c>
      <c r="O98" t="inlineStr">
        <is>
          <t>Muestra cilíndrica, carga axial, falla tipo L; Ø=45.9 mm; altura=44.2 mm; A/D=0.96; De²=2583 mm²; carga=1032 kg; Is=40.0 kg/cm²</t>
        </is>
      </c>
      <c r="P98" t="inlineStr">
        <is>
          <t>29/09/2009</t>
        </is>
      </c>
      <c r="Q98" t="inlineStr">
        <is>
          <t>79</t>
        </is>
      </c>
      <c r="R98" t="inlineStr">
        <is>
          <t>sí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G2010</t>
        </is>
      </c>
      <c r="B99" t="inlineStr">
        <is>
          <t>2010_Golder_Caracterizacion ROM IPCC.pdf</t>
        </is>
      </c>
      <c r="C99" t="inlineStr">
        <is>
          <t>Hornfels Gris</t>
        </is>
      </c>
      <c r="D99" t="inlineStr">
        <is>
          <t>Hornfels</t>
        </is>
      </c>
      <c r="E99" t="inlineStr">
        <is>
          <t>hornfels gris</t>
        </is>
      </c>
      <c r="F99" t="inlineStr">
        <is>
          <t>B</t>
        </is>
      </c>
      <c r="G99" t="inlineStr">
        <is>
          <t>Chancado (Fase B = «material chancado», p.1)</t>
        </is>
      </c>
      <c r="H99" t="inlineStr">
        <is>
          <t>Carga puntual</t>
        </is>
      </c>
      <c r="I99" t="inlineStr">
        <is>
          <t>ASTM D5731</t>
        </is>
      </c>
      <c r="J99" t="inlineStr">
        <is>
          <t>σc estimada (hoja)</t>
        </is>
      </c>
      <c r="K99" t="n">
        <v>966</v>
      </c>
      <c r="L99" t="inlineStr">
        <is>
          <t>kg/cm²</t>
        </is>
      </c>
      <c r="M99" t="n">
        <v>1</v>
      </c>
      <c r="N99" t="inlineStr">
        <is>
          <t>M-8</t>
        </is>
      </c>
      <c r="O99" t="inlineStr">
        <is>
          <t>Muestra cilíndrica, carga axial, falla tipo L; Ø=45.9 mm; altura=44.2 mm; A/D=0.96; De²=2583 mm²; carga=1032 kg; Is=40.0 kg/cm²; σc=966 kg/cm² = 94.73 MPa</t>
        </is>
      </c>
      <c r="P99" t="inlineStr">
        <is>
          <t>29/09/2009</t>
        </is>
      </c>
      <c r="Q99" t="inlineStr">
        <is>
          <t>79</t>
        </is>
      </c>
      <c r="R99" t="inlineStr">
        <is>
          <t>sí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G2010</t>
        </is>
      </c>
      <c r="B100" t="inlineStr">
        <is>
          <t>2010_Golder_Caracterizacion ROM IPCC.pdf</t>
        </is>
      </c>
      <c r="C100" t="inlineStr">
        <is>
          <t>Hornfels Gris</t>
        </is>
      </c>
      <c r="D100" t="inlineStr">
        <is>
          <t>Hornfels</t>
        </is>
      </c>
      <c r="E100" t="inlineStr">
        <is>
          <t>hornfels gris</t>
        </is>
      </c>
      <c r="F100" t="inlineStr">
        <is>
          <t>B</t>
        </is>
      </c>
      <c r="G100" t="inlineStr">
        <is>
          <t>Chancado (Fase B = «material chancado», p.1)</t>
        </is>
      </c>
      <c r="H100" t="inlineStr">
        <is>
          <t>Carga puntual</t>
        </is>
      </c>
      <c r="I100" t="inlineStr">
        <is>
          <t>ASTM D5731</t>
        </is>
      </c>
      <c r="J100" t="inlineStr">
        <is>
          <t>Is(50) promedio (calculado aquí de la hoja)</t>
        </is>
      </c>
      <c r="K100" t="n">
        <v>42.65</v>
      </c>
      <c r="L100" t="inlineStr">
        <is>
          <t>kg/cm²</t>
        </is>
      </c>
      <c r="M100" t="n">
        <v>8</v>
      </c>
      <c r="N100" t="inlineStr">
        <is>
          <t>promedio</t>
        </is>
      </c>
      <c r="O100" t="inlineStr">
        <is>
          <t>no informado como tal en el informe; promedio aritmético de las probetas</t>
        </is>
      </c>
      <c r="P100" t="inlineStr"/>
      <c r="Q100" t="inlineStr">
        <is>
          <t>79</t>
        </is>
      </c>
      <c r="R100" t="inlineStr">
        <is>
          <t>sí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G2010</t>
        </is>
      </c>
      <c r="B101" t="inlineStr">
        <is>
          <t>2010_Golder_Caracterizacion ROM IPCC.pdf</t>
        </is>
      </c>
      <c r="C101" t="inlineStr">
        <is>
          <t>Hornfels Gris</t>
        </is>
      </c>
      <c r="D101" t="inlineStr">
        <is>
          <t>Hornfels</t>
        </is>
      </c>
      <c r="E101" t="inlineStr">
        <is>
          <t>hornfels gris</t>
        </is>
      </c>
      <c r="F101" t="inlineStr">
        <is>
          <t>B</t>
        </is>
      </c>
      <c r="G101" t="inlineStr">
        <is>
          <t>Chancado (Fase B = «material chancado», p.1)</t>
        </is>
      </c>
      <c r="H101" t="inlineStr">
        <is>
          <t>Carga puntual</t>
        </is>
      </c>
      <c r="I101" t="inlineStr">
        <is>
          <t>ASTM D5731</t>
        </is>
      </c>
      <c r="J101" t="inlineStr">
        <is>
          <t>σc estimada promedio (Tabla 2)</t>
        </is>
      </c>
      <c r="K101" t="n">
        <v>100.42</v>
      </c>
      <c r="L101" t="inlineStr">
        <is>
          <t>MPa</t>
        </is>
      </c>
      <c r="M101" t="n">
        <v>8</v>
      </c>
      <c r="N101" t="inlineStr">
        <is>
          <t>promedio</t>
        </is>
      </c>
      <c r="O101" t="inlineStr">
        <is>
          <t>promedio recalculado de la hoja = 1024.0 kg/cm² = 100.42 MPa</t>
        </is>
      </c>
      <c r="P101" t="inlineStr"/>
      <c r="Q101" t="inlineStr">
        <is>
          <t>8;79</t>
        </is>
      </c>
      <c r="R101" t="inlineStr">
        <is>
          <t>sí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G2010</t>
        </is>
      </c>
      <c r="B102" t="inlineStr">
        <is>
          <t>2010_Golder_Caracterizacion ROM IPCC.pdf</t>
        </is>
      </c>
      <c r="C102" t="inlineStr">
        <is>
          <t>Intrusivo</t>
        </is>
      </c>
      <c r="D102" t="inlineStr">
        <is>
          <t>Intrusivo</t>
        </is>
      </c>
      <c r="E102" t="inlineStr">
        <is>
          <t>sin subtipo</t>
        </is>
      </c>
      <c r="F102" t="inlineStr">
        <is>
          <t>B</t>
        </is>
      </c>
      <c r="G102" t="inlineStr">
        <is>
          <t>Chancado (Fase B = «material chancado», p.1)</t>
        </is>
      </c>
      <c r="H102" t="inlineStr">
        <is>
          <t>Carga puntual</t>
        </is>
      </c>
      <c r="I102" t="inlineStr">
        <is>
          <t>ASTM D5731</t>
        </is>
      </c>
      <c r="J102" t="inlineStr">
        <is>
          <t>Is(50)</t>
        </is>
      </c>
      <c r="K102" t="n">
        <v>28.8</v>
      </c>
      <c r="L102" t="inlineStr">
        <is>
          <t>kg/cm²</t>
        </is>
      </c>
      <c r="M102" t="n">
        <v>1</v>
      </c>
      <c r="N102" t="inlineStr">
        <is>
          <t>M-1</t>
        </is>
      </c>
      <c r="O102" t="inlineStr">
        <is>
          <t>Muestra cilíndrica, carga axial, falla tipo L; Ø=46.0 mm; altura=43.0 mm; A/D=0.93; De²=2518 mm²; carga=724 kg; Is=28.8 kg/cm²</t>
        </is>
      </c>
      <c r="P102" t="inlineStr">
        <is>
          <t>29/09/2009</t>
        </is>
      </c>
      <c r="Q102" t="inlineStr">
        <is>
          <t>80</t>
        </is>
      </c>
      <c r="R102" t="inlineStr">
        <is>
          <t>sí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G2010</t>
        </is>
      </c>
      <c r="B103" t="inlineStr">
        <is>
          <t>2010_Golder_Caracterizacion ROM IPCC.pdf</t>
        </is>
      </c>
      <c r="C103" t="inlineStr">
        <is>
          <t>Intrusivo</t>
        </is>
      </c>
      <c r="D103" t="inlineStr">
        <is>
          <t>Intrusivo</t>
        </is>
      </c>
      <c r="E103" t="inlineStr">
        <is>
          <t>sin subtipo</t>
        </is>
      </c>
      <c r="F103" t="inlineStr">
        <is>
          <t>B</t>
        </is>
      </c>
      <c r="G103" t="inlineStr">
        <is>
          <t>Chancado (Fase B = «material chancado», p.1)</t>
        </is>
      </c>
      <c r="H103" t="inlineStr">
        <is>
          <t>Carga puntual</t>
        </is>
      </c>
      <c r="I103" t="inlineStr">
        <is>
          <t>ASTM D5731</t>
        </is>
      </c>
      <c r="J103" t="inlineStr">
        <is>
          <t>σc estimada (hoja)</t>
        </is>
      </c>
      <c r="K103" t="n">
        <v>691</v>
      </c>
      <c r="L103" t="inlineStr">
        <is>
          <t>kg/cm²</t>
        </is>
      </c>
      <c r="M103" t="n">
        <v>1</v>
      </c>
      <c r="N103" t="inlineStr">
        <is>
          <t>M-1</t>
        </is>
      </c>
      <c r="O103" t="inlineStr">
        <is>
          <t>Muestra cilíndrica, carga axial, falla tipo L; Ø=46.0 mm; altura=43.0 mm; A/D=0.93; De²=2518 mm²; carga=724 kg; Is=28.8 kg/cm²; σc=691 kg/cm² = 67.76 MPa</t>
        </is>
      </c>
      <c r="P103" t="inlineStr">
        <is>
          <t>29/09/2009</t>
        </is>
      </c>
      <c r="Q103" t="inlineStr">
        <is>
          <t>80</t>
        </is>
      </c>
      <c r="R103" t="inlineStr">
        <is>
          <t>sí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G2010</t>
        </is>
      </c>
      <c r="B104" t="inlineStr">
        <is>
          <t>2010_Golder_Caracterizacion ROM IPCC.pdf</t>
        </is>
      </c>
      <c r="C104" t="inlineStr">
        <is>
          <t>Intrusivo</t>
        </is>
      </c>
      <c r="D104" t="inlineStr">
        <is>
          <t>Intrusivo</t>
        </is>
      </c>
      <c r="E104" t="inlineStr">
        <is>
          <t>sin subtipo</t>
        </is>
      </c>
      <c r="F104" t="inlineStr">
        <is>
          <t>B</t>
        </is>
      </c>
      <c r="G104" t="inlineStr">
        <is>
          <t>Chancado (Fase B = «material chancado», p.1)</t>
        </is>
      </c>
      <c r="H104" t="inlineStr">
        <is>
          <t>Carga puntual</t>
        </is>
      </c>
      <c r="I104" t="inlineStr">
        <is>
          <t>ASTM D5731</t>
        </is>
      </c>
      <c r="J104" t="inlineStr">
        <is>
          <t>Is(50)</t>
        </is>
      </c>
      <c r="K104" t="n">
        <v>35.3</v>
      </c>
      <c r="L104" t="inlineStr">
        <is>
          <t>kg/cm²</t>
        </is>
      </c>
      <c r="M104" t="n">
        <v>1</v>
      </c>
      <c r="N104" t="inlineStr">
        <is>
          <t>M-2</t>
        </is>
      </c>
      <c r="O104" t="inlineStr">
        <is>
          <t>Muestra cilíndrica, carga axial, falla tipo L; Ø=45.9 mm; altura=43.4 mm; A/D=0.95; De²=2536 mm²; carga=892 kg; Is=35.2 kg/cm²</t>
        </is>
      </c>
      <c r="P104" t="inlineStr">
        <is>
          <t>29/09/2009</t>
        </is>
      </c>
      <c r="Q104" t="inlineStr">
        <is>
          <t>80</t>
        </is>
      </c>
      <c r="R104" t="inlineStr">
        <is>
          <t>sí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G2010</t>
        </is>
      </c>
      <c r="B105" t="inlineStr">
        <is>
          <t>2010_Golder_Caracterizacion ROM IPCC.pdf</t>
        </is>
      </c>
      <c r="C105" t="inlineStr">
        <is>
          <t>Intrusivo</t>
        </is>
      </c>
      <c r="D105" t="inlineStr">
        <is>
          <t>Intrusivo</t>
        </is>
      </c>
      <c r="E105" t="inlineStr">
        <is>
          <t>sin subtipo</t>
        </is>
      </c>
      <c r="F105" t="inlineStr">
        <is>
          <t>B</t>
        </is>
      </c>
      <c r="G105" t="inlineStr">
        <is>
          <t>Chancado (Fase B = «material chancado», p.1)</t>
        </is>
      </c>
      <c r="H105" t="inlineStr">
        <is>
          <t>Carga puntual</t>
        </is>
      </c>
      <c r="I105" t="inlineStr">
        <is>
          <t>ASTM D5731</t>
        </is>
      </c>
      <c r="J105" t="inlineStr">
        <is>
          <t>σc estimada (hoja)</t>
        </is>
      </c>
      <c r="K105" t="n">
        <v>846</v>
      </c>
      <c r="L105" t="inlineStr">
        <is>
          <t>kg/cm²</t>
        </is>
      </c>
      <c r="M105" t="n">
        <v>1</v>
      </c>
      <c r="N105" t="inlineStr">
        <is>
          <t>M-2</t>
        </is>
      </c>
      <c r="O105" t="inlineStr">
        <is>
          <t>Muestra cilíndrica, carga axial, falla tipo L; Ø=45.9 mm; altura=43.4 mm; A/D=0.95; De²=2536 mm²; carga=892 kg; Is=35.2 kg/cm²; σc=846 kg/cm² = 82.96 MPa</t>
        </is>
      </c>
      <c r="P105" t="inlineStr">
        <is>
          <t>29/09/2009</t>
        </is>
      </c>
      <c r="Q105" t="inlineStr">
        <is>
          <t>80</t>
        </is>
      </c>
      <c r="R105" t="inlineStr">
        <is>
          <t>sí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G2010</t>
        </is>
      </c>
      <c r="B106" t="inlineStr">
        <is>
          <t>2010_Golder_Caracterizacion ROM IPCC.pdf</t>
        </is>
      </c>
      <c r="C106" t="inlineStr">
        <is>
          <t>Intrusivo</t>
        </is>
      </c>
      <c r="D106" t="inlineStr">
        <is>
          <t>Intrusivo</t>
        </is>
      </c>
      <c r="E106" t="inlineStr">
        <is>
          <t>sin subtipo</t>
        </is>
      </c>
      <c r="F106" t="inlineStr">
        <is>
          <t>B</t>
        </is>
      </c>
      <c r="G106" t="inlineStr">
        <is>
          <t>Chancado (Fase B = «material chancado», p.1)</t>
        </is>
      </c>
      <c r="H106" t="inlineStr">
        <is>
          <t>Carga puntual</t>
        </is>
      </c>
      <c r="I106" t="inlineStr">
        <is>
          <t>ASTM D5731</t>
        </is>
      </c>
      <c r="J106" t="inlineStr">
        <is>
          <t>Is(50)</t>
        </is>
      </c>
      <c r="K106" t="n">
        <v>33.9</v>
      </c>
      <c r="L106" t="inlineStr">
        <is>
          <t>kg/cm²</t>
        </is>
      </c>
      <c r="M106" t="n">
        <v>1</v>
      </c>
      <c r="N106" t="inlineStr">
        <is>
          <t>M-3</t>
        </is>
      </c>
      <c r="O106" t="inlineStr">
        <is>
          <t>Muestra cilíndrica, carga axial, falla tipo L; Ø=46.0 mm; altura=42.9 mm; A/D=0.93; De²=2513 mm²; carga=852 kg; Is=33.9 kg/cm²</t>
        </is>
      </c>
      <c r="P106" t="inlineStr">
        <is>
          <t>29/09/2009</t>
        </is>
      </c>
      <c r="Q106" t="inlineStr">
        <is>
          <t>80</t>
        </is>
      </c>
      <c r="R106" t="inlineStr">
        <is>
          <t>sí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G2010</t>
        </is>
      </c>
      <c r="B107" t="inlineStr">
        <is>
          <t>2010_Golder_Caracterizacion ROM IPCC.pdf</t>
        </is>
      </c>
      <c r="C107" t="inlineStr">
        <is>
          <t>Intrusivo</t>
        </is>
      </c>
      <c r="D107" t="inlineStr">
        <is>
          <t>Intrusivo</t>
        </is>
      </c>
      <c r="E107" t="inlineStr">
        <is>
          <t>sin subtipo</t>
        </is>
      </c>
      <c r="F107" t="inlineStr">
        <is>
          <t>B</t>
        </is>
      </c>
      <c r="G107" t="inlineStr">
        <is>
          <t>Chancado (Fase B = «material chancado», p.1)</t>
        </is>
      </c>
      <c r="H107" t="inlineStr">
        <is>
          <t>Carga puntual</t>
        </is>
      </c>
      <c r="I107" t="inlineStr">
        <is>
          <t>ASTM D5731</t>
        </is>
      </c>
      <c r="J107" t="inlineStr">
        <is>
          <t>σc estimada (hoja)</t>
        </is>
      </c>
      <c r="K107" t="n">
        <v>815</v>
      </c>
      <c r="L107" t="inlineStr">
        <is>
          <t>kg/cm²</t>
        </is>
      </c>
      <c r="M107" t="n">
        <v>1</v>
      </c>
      <c r="N107" t="inlineStr">
        <is>
          <t>M-3</t>
        </is>
      </c>
      <c r="O107" t="inlineStr">
        <is>
          <t>Muestra cilíndrica, carga axial, falla tipo L; Ø=46.0 mm; altura=42.9 mm; A/D=0.93; De²=2513 mm²; carga=852 kg; Is=33.9 kg/cm²; σc=815 kg/cm² = 79.92 MPa</t>
        </is>
      </c>
      <c r="P107" t="inlineStr">
        <is>
          <t>29/09/2009</t>
        </is>
      </c>
      <c r="Q107" t="inlineStr">
        <is>
          <t>80</t>
        </is>
      </c>
      <c r="R107" t="inlineStr">
        <is>
          <t>sí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G2010</t>
        </is>
      </c>
      <c r="B108" t="inlineStr">
        <is>
          <t>2010_Golder_Caracterizacion ROM IPCC.pdf</t>
        </is>
      </c>
      <c r="C108" t="inlineStr">
        <is>
          <t>Intrusivo</t>
        </is>
      </c>
      <c r="D108" t="inlineStr">
        <is>
          <t>Intrusivo</t>
        </is>
      </c>
      <c r="E108" t="inlineStr">
        <is>
          <t>sin subtipo</t>
        </is>
      </c>
      <c r="F108" t="inlineStr">
        <is>
          <t>B</t>
        </is>
      </c>
      <c r="G108" t="inlineStr">
        <is>
          <t>Chancado (Fase B = «material chancado», p.1)</t>
        </is>
      </c>
      <c r="H108" t="inlineStr">
        <is>
          <t>Carga puntual</t>
        </is>
      </c>
      <c r="I108" t="inlineStr">
        <is>
          <t>ASTM D5731</t>
        </is>
      </c>
      <c r="J108" t="inlineStr">
        <is>
          <t>Is(50)</t>
        </is>
      </c>
      <c r="K108" t="n">
        <v>34</v>
      </c>
      <c r="L108" t="inlineStr">
        <is>
          <t>kg/cm²</t>
        </is>
      </c>
      <c r="M108" t="n">
        <v>1</v>
      </c>
      <c r="N108" t="inlineStr">
        <is>
          <t>M-4</t>
        </is>
      </c>
      <c r="O108" t="inlineStr">
        <is>
          <t>Muestra cilíndrica, carga axial, falla tipo L; Ø=46.0 mm; altura=44.3 mm; A/D=0.96; De²=2595 mm²; carga=874 kg; Is=33.7 kg/cm²</t>
        </is>
      </c>
      <c r="P108" t="inlineStr">
        <is>
          <t>29/09/2009</t>
        </is>
      </c>
      <c r="Q108" t="inlineStr">
        <is>
          <t>80</t>
        </is>
      </c>
      <c r="R108" t="inlineStr">
        <is>
          <t>sí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G2010</t>
        </is>
      </c>
      <c r="B109" t="inlineStr">
        <is>
          <t>2010_Golder_Caracterizacion ROM IPCC.pdf</t>
        </is>
      </c>
      <c r="C109" t="inlineStr">
        <is>
          <t>Intrusivo</t>
        </is>
      </c>
      <c r="D109" t="inlineStr">
        <is>
          <t>Intrusivo</t>
        </is>
      </c>
      <c r="E109" t="inlineStr">
        <is>
          <t>sin subtipo</t>
        </is>
      </c>
      <c r="F109" t="inlineStr">
        <is>
          <t>B</t>
        </is>
      </c>
      <c r="G109" t="inlineStr">
        <is>
          <t>Chancado (Fase B = «material chancado», p.1)</t>
        </is>
      </c>
      <c r="H109" t="inlineStr">
        <is>
          <t>Carga puntual</t>
        </is>
      </c>
      <c r="I109" t="inlineStr">
        <is>
          <t>ASTM D5731</t>
        </is>
      </c>
      <c r="J109" t="inlineStr">
        <is>
          <t>σc estimada (hoja)</t>
        </is>
      </c>
      <c r="K109" t="n">
        <v>815</v>
      </c>
      <c r="L109" t="inlineStr">
        <is>
          <t>kg/cm²</t>
        </is>
      </c>
      <c r="M109" t="n">
        <v>1</v>
      </c>
      <c r="N109" t="inlineStr">
        <is>
          <t>M-4</t>
        </is>
      </c>
      <c r="O109" t="inlineStr">
        <is>
          <t>Muestra cilíndrica, carga axial, falla tipo L; Ø=46.0 mm; altura=44.3 mm; A/D=0.96; De²=2595 mm²; carga=874 kg; Is=33.7 kg/cm²; σc=815 kg/cm² = 79.92 MPa</t>
        </is>
      </c>
      <c r="P109" t="inlineStr">
        <is>
          <t>29/09/2009</t>
        </is>
      </c>
      <c r="Q109" t="inlineStr">
        <is>
          <t>80</t>
        </is>
      </c>
      <c r="R109" t="inlineStr">
        <is>
          <t>sí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G2010</t>
        </is>
      </c>
      <c r="B110" t="inlineStr">
        <is>
          <t>2010_Golder_Caracterizacion ROM IPCC.pdf</t>
        </is>
      </c>
      <c r="C110" t="inlineStr">
        <is>
          <t>Intrusivo</t>
        </is>
      </c>
      <c r="D110" t="inlineStr">
        <is>
          <t>Intrusivo</t>
        </is>
      </c>
      <c r="E110" t="inlineStr">
        <is>
          <t>sin subtipo</t>
        </is>
      </c>
      <c r="F110" t="inlineStr">
        <is>
          <t>B</t>
        </is>
      </c>
      <c r="G110" t="inlineStr">
        <is>
          <t>Chancado (Fase B = «material chancado», p.1)</t>
        </is>
      </c>
      <c r="H110" t="inlineStr">
        <is>
          <t>Carga puntual</t>
        </is>
      </c>
      <c r="I110" t="inlineStr">
        <is>
          <t>ASTM D5731</t>
        </is>
      </c>
      <c r="J110" t="inlineStr">
        <is>
          <t>Is(50)</t>
        </is>
      </c>
      <c r="K110" t="n">
        <v>33.5</v>
      </c>
      <c r="L110" t="inlineStr">
        <is>
          <t>kg/cm²</t>
        </is>
      </c>
      <c r="M110" t="n">
        <v>1</v>
      </c>
      <c r="N110" t="inlineStr">
        <is>
          <t>M-5</t>
        </is>
      </c>
      <c r="O110" t="inlineStr">
        <is>
          <t>Muestra cilíndrica, carga axial, falla tipo L; Ø=46.0 mm; altura=43.0 mm; A/D=0.93; De²=2518 mm²; carga=841 kg; Is=33.4 kg/cm²</t>
        </is>
      </c>
      <c r="P110" t="inlineStr">
        <is>
          <t>29/09/2009</t>
        </is>
      </c>
      <c r="Q110" t="inlineStr">
        <is>
          <t>80</t>
        </is>
      </c>
      <c r="R110" t="inlineStr">
        <is>
          <t>sí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G2010</t>
        </is>
      </c>
      <c r="B111" t="inlineStr">
        <is>
          <t>2010_Golder_Caracterizacion ROM IPCC.pdf</t>
        </is>
      </c>
      <c r="C111" t="inlineStr">
        <is>
          <t>Intrusivo</t>
        </is>
      </c>
      <c r="D111" t="inlineStr">
        <is>
          <t>Intrusivo</t>
        </is>
      </c>
      <c r="E111" t="inlineStr">
        <is>
          <t>sin subtipo</t>
        </is>
      </c>
      <c r="F111" t="inlineStr">
        <is>
          <t>B</t>
        </is>
      </c>
      <c r="G111" t="inlineStr">
        <is>
          <t>Chancado (Fase B = «material chancado», p.1)</t>
        </is>
      </c>
      <c r="H111" t="inlineStr">
        <is>
          <t>Carga puntual</t>
        </is>
      </c>
      <c r="I111" t="inlineStr">
        <is>
          <t>ASTM D5731</t>
        </is>
      </c>
      <c r="J111" t="inlineStr">
        <is>
          <t>σc estimada (hoja)</t>
        </is>
      </c>
      <c r="K111" t="n">
        <v>803</v>
      </c>
      <c r="L111" t="inlineStr">
        <is>
          <t>kg/cm²</t>
        </is>
      </c>
      <c r="M111" t="n">
        <v>1</v>
      </c>
      <c r="N111" t="inlineStr">
        <is>
          <t>M-5</t>
        </is>
      </c>
      <c r="O111" t="inlineStr">
        <is>
          <t>Muestra cilíndrica, carga axial, falla tipo L; Ø=46.0 mm; altura=43.0 mm; A/D=0.93; De²=2518 mm²; carga=841 kg; Is=33.4 kg/cm²; σc=803 kg/cm² = 78.75 MPa</t>
        </is>
      </c>
      <c r="P111" t="inlineStr">
        <is>
          <t>29/09/2009</t>
        </is>
      </c>
      <c r="Q111" t="inlineStr">
        <is>
          <t>80</t>
        </is>
      </c>
      <c r="R111" t="inlineStr">
        <is>
          <t>sí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G2010</t>
        </is>
      </c>
      <c r="B112" t="inlineStr">
        <is>
          <t>2010_Golder_Caracterizacion ROM IPCC.pdf</t>
        </is>
      </c>
      <c r="C112" t="inlineStr">
        <is>
          <t>Intrusivo</t>
        </is>
      </c>
      <c r="D112" t="inlineStr">
        <is>
          <t>Intrusivo</t>
        </is>
      </c>
      <c r="E112" t="inlineStr">
        <is>
          <t>sin subtipo</t>
        </is>
      </c>
      <c r="F112" t="inlineStr">
        <is>
          <t>B</t>
        </is>
      </c>
      <c r="G112" t="inlineStr">
        <is>
          <t>Chancado (Fase B = «material chancado», p.1)</t>
        </is>
      </c>
      <c r="H112" t="inlineStr">
        <is>
          <t>Carga puntual</t>
        </is>
      </c>
      <c r="I112" t="inlineStr">
        <is>
          <t>ASTM D5731</t>
        </is>
      </c>
      <c r="J112" t="inlineStr">
        <is>
          <t>Is(50)</t>
        </is>
      </c>
      <c r="K112" t="n">
        <v>26.6</v>
      </c>
      <c r="L112" t="inlineStr">
        <is>
          <t>kg/cm²</t>
        </is>
      </c>
      <c r="M112" t="n">
        <v>1</v>
      </c>
      <c r="N112" t="inlineStr">
        <is>
          <t>M-6</t>
        </is>
      </c>
      <c r="O112" t="inlineStr">
        <is>
          <t>Muestra cilíndrica, carga axial, falla tipo L; Ø=46.0 mm; altura=45.3 mm; A/D=0.98; De²=2653 mm²; carga=698 kg; Is=26.3 kg/cm²</t>
        </is>
      </c>
      <c r="P112" t="inlineStr">
        <is>
          <t>29/09/2009</t>
        </is>
      </c>
      <c r="Q112" t="inlineStr">
        <is>
          <t>80</t>
        </is>
      </c>
      <c r="R112" t="inlineStr">
        <is>
          <t>sí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G2010</t>
        </is>
      </c>
      <c r="B113" t="inlineStr">
        <is>
          <t>2010_Golder_Caracterizacion ROM IPCC.pdf</t>
        </is>
      </c>
      <c r="C113" t="inlineStr">
        <is>
          <t>Intrusivo</t>
        </is>
      </c>
      <c r="D113" t="inlineStr">
        <is>
          <t>Intrusivo</t>
        </is>
      </c>
      <c r="E113" t="inlineStr">
        <is>
          <t>sin subtipo</t>
        </is>
      </c>
      <c r="F113" t="inlineStr">
        <is>
          <t>B</t>
        </is>
      </c>
      <c r="G113" t="inlineStr">
        <is>
          <t>Chancado (Fase B = «material chancado», p.1)</t>
        </is>
      </c>
      <c r="H113" t="inlineStr">
        <is>
          <t>Carga puntual</t>
        </is>
      </c>
      <c r="I113" t="inlineStr">
        <is>
          <t>ASTM D5731</t>
        </is>
      </c>
      <c r="J113" t="inlineStr">
        <is>
          <t>σc estimada (hoja)</t>
        </is>
      </c>
      <c r="K113" t="n">
        <v>640</v>
      </c>
      <c r="L113" t="inlineStr">
        <is>
          <t>kg/cm²</t>
        </is>
      </c>
      <c r="M113" t="n">
        <v>1</v>
      </c>
      <c r="N113" t="inlineStr">
        <is>
          <t>M-6</t>
        </is>
      </c>
      <c r="O113" t="inlineStr">
        <is>
          <t>Muestra cilíndrica, carga axial, falla tipo L; Ø=46.0 mm; altura=45.3 mm; A/D=0.98; De²=2653 mm²; carga=698 kg; Is=26.3 kg/cm²; σc=640 kg/cm² = 62.76 MPa</t>
        </is>
      </c>
      <c r="P113" t="inlineStr">
        <is>
          <t>29/09/2009</t>
        </is>
      </c>
      <c r="Q113" t="inlineStr">
        <is>
          <t>80</t>
        </is>
      </c>
      <c r="R113" t="inlineStr">
        <is>
          <t>sí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G2010</t>
        </is>
      </c>
      <c r="B114" t="inlineStr">
        <is>
          <t>2010_Golder_Caracterizacion ROM IPCC.pdf</t>
        </is>
      </c>
      <c r="C114" t="inlineStr">
        <is>
          <t>Intrusivo</t>
        </is>
      </c>
      <c r="D114" t="inlineStr">
        <is>
          <t>Intrusivo</t>
        </is>
      </c>
      <c r="E114" t="inlineStr">
        <is>
          <t>sin subtipo</t>
        </is>
      </c>
      <c r="F114" t="inlineStr">
        <is>
          <t>B</t>
        </is>
      </c>
      <c r="G114" t="inlineStr">
        <is>
          <t>Chancado (Fase B = «material chancado», p.1)</t>
        </is>
      </c>
      <c r="H114" t="inlineStr">
        <is>
          <t>Carga puntual</t>
        </is>
      </c>
      <c r="I114" t="inlineStr">
        <is>
          <t>ASTM D5731</t>
        </is>
      </c>
      <c r="J114" t="inlineStr">
        <is>
          <t>Is(50)</t>
        </is>
      </c>
      <c r="K114" t="n">
        <v>34.6</v>
      </c>
      <c r="L114" t="inlineStr">
        <is>
          <t>kg/cm²</t>
        </is>
      </c>
      <c r="M114" t="n">
        <v>1</v>
      </c>
      <c r="N114" t="inlineStr">
        <is>
          <t>M-7</t>
        </is>
      </c>
      <c r="O114" t="inlineStr">
        <is>
          <t>Muestra cilíndrica, carga axial, falla tipo L; Ø=46.0 mm; altura=44.9 mm; A/D=0.98; De²=2630 mm²; carga=900 kg; Is=34.2 kg/cm²</t>
        </is>
      </c>
      <c r="P114" t="inlineStr">
        <is>
          <t>29/09/2009</t>
        </is>
      </c>
      <c r="Q114" t="inlineStr">
        <is>
          <t>80</t>
        </is>
      </c>
      <c r="R114" t="inlineStr">
        <is>
          <t>sí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G2010</t>
        </is>
      </c>
      <c r="B115" t="inlineStr">
        <is>
          <t>2010_Golder_Caracterizacion ROM IPCC.pdf</t>
        </is>
      </c>
      <c r="C115" t="inlineStr">
        <is>
          <t>Intrusivo</t>
        </is>
      </c>
      <c r="D115" t="inlineStr">
        <is>
          <t>Intrusivo</t>
        </is>
      </c>
      <c r="E115" t="inlineStr">
        <is>
          <t>sin subtipo</t>
        </is>
      </c>
      <c r="F115" t="inlineStr">
        <is>
          <t>B</t>
        </is>
      </c>
      <c r="G115" t="inlineStr">
        <is>
          <t>Chancado (Fase B = «material chancado», p.1)</t>
        </is>
      </c>
      <c r="H115" t="inlineStr">
        <is>
          <t>Carga puntual</t>
        </is>
      </c>
      <c r="I115" t="inlineStr">
        <is>
          <t>ASTM D5731</t>
        </is>
      </c>
      <c r="J115" t="inlineStr">
        <is>
          <t>σc estimada (hoja)</t>
        </is>
      </c>
      <c r="K115" t="n">
        <v>831</v>
      </c>
      <c r="L115" t="inlineStr">
        <is>
          <t>kg/cm²</t>
        </is>
      </c>
      <c r="M115" t="n">
        <v>1</v>
      </c>
      <c r="N115" t="inlineStr">
        <is>
          <t>M-7</t>
        </is>
      </c>
      <c r="O115" t="inlineStr">
        <is>
          <t>Muestra cilíndrica, carga axial, falla tipo L; Ø=46.0 mm; altura=44.9 mm; A/D=0.98; De²=2630 mm²; carga=900 kg; Is=34.2 kg/cm²; σc=831 kg/cm² = 81.49 MPa</t>
        </is>
      </c>
      <c r="P115" t="inlineStr">
        <is>
          <t>29/09/2009</t>
        </is>
      </c>
      <c r="Q115" t="inlineStr">
        <is>
          <t>80</t>
        </is>
      </c>
      <c r="R115" t="inlineStr">
        <is>
          <t>sí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G2010</t>
        </is>
      </c>
      <c r="B116" t="inlineStr">
        <is>
          <t>2010_Golder_Caracterizacion ROM IPCC.pdf</t>
        </is>
      </c>
      <c r="C116" t="inlineStr">
        <is>
          <t>Intrusivo</t>
        </is>
      </c>
      <c r="D116" t="inlineStr">
        <is>
          <t>Intrusivo</t>
        </is>
      </c>
      <c r="E116" t="inlineStr">
        <is>
          <t>sin subtipo</t>
        </is>
      </c>
      <c r="F116" t="inlineStr">
        <is>
          <t>B</t>
        </is>
      </c>
      <c r="G116" t="inlineStr">
        <is>
          <t>Chancado (Fase B = «material chancado», p.1)</t>
        </is>
      </c>
      <c r="H116" t="inlineStr">
        <is>
          <t>Carga puntual</t>
        </is>
      </c>
      <c r="I116" t="inlineStr">
        <is>
          <t>ASTM D5731</t>
        </is>
      </c>
      <c r="J116" t="inlineStr">
        <is>
          <t>Is(50)</t>
        </is>
      </c>
      <c r="K116" t="n">
        <v>34.9</v>
      </c>
      <c r="L116" t="inlineStr">
        <is>
          <t>kg/cm²</t>
        </is>
      </c>
      <c r="M116" t="n">
        <v>1</v>
      </c>
      <c r="N116" t="inlineStr">
        <is>
          <t>M-8</t>
        </is>
      </c>
      <c r="O116" t="inlineStr">
        <is>
          <t>Muestra cilíndrica, carga axial, falla tipo L; Ø=46.0 mm; altura=45.5 mm; A/D=0.99; De²=2665 mm²; carga=917 kg; Is=34.4 kg/cm²</t>
        </is>
      </c>
      <c r="P116" t="inlineStr">
        <is>
          <t>29/09/2009</t>
        </is>
      </c>
      <c r="Q116" t="inlineStr">
        <is>
          <t>80</t>
        </is>
      </c>
      <c r="R116" t="inlineStr">
        <is>
          <t>sí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G2010</t>
        </is>
      </c>
      <c r="B117" t="inlineStr">
        <is>
          <t>2010_Golder_Caracterizacion ROM IPCC.pdf</t>
        </is>
      </c>
      <c r="C117" t="inlineStr">
        <is>
          <t>Intrusivo</t>
        </is>
      </c>
      <c r="D117" t="inlineStr">
        <is>
          <t>Intrusivo</t>
        </is>
      </c>
      <c r="E117" t="inlineStr">
        <is>
          <t>sin subtipo</t>
        </is>
      </c>
      <c r="F117" t="inlineStr">
        <is>
          <t>B</t>
        </is>
      </c>
      <c r="G117" t="inlineStr">
        <is>
          <t>Chancado (Fase B = «material chancado», p.1)</t>
        </is>
      </c>
      <c r="H117" t="inlineStr">
        <is>
          <t>Carga puntual</t>
        </is>
      </c>
      <c r="I117" t="inlineStr">
        <is>
          <t>ASTM D5731</t>
        </is>
      </c>
      <c r="J117" t="inlineStr">
        <is>
          <t>σc estimada (hoja)</t>
        </is>
      </c>
      <c r="K117" t="n">
        <v>838</v>
      </c>
      <c r="L117" t="inlineStr">
        <is>
          <t>kg/cm²</t>
        </is>
      </c>
      <c r="M117" t="n">
        <v>1</v>
      </c>
      <c r="N117" t="inlineStr">
        <is>
          <t>M-8</t>
        </is>
      </c>
      <c r="O117" t="inlineStr">
        <is>
          <t>Muestra cilíndrica, carga axial, falla tipo L; Ø=46.0 mm; altura=45.5 mm; A/D=0.99; De²=2665 mm²; carga=917 kg; Is=34.4 kg/cm²; σc=838 kg/cm² = 82.18 MPa</t>
        </is>
      </c>
      <c r="P117" t="inlineStr">
        <is>
          <t>29/09/2009</t>
        </is>
      </c>
      <c r="Q117" t="inlineStr">
        <is>
          <t>80</t>
        </is>
      </c>
      <c r="R117" t="inlineStr">
        <is>
          <t>sí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G2010</t>
        </is>
      </c>
      <c r="B118" t="inlineStr">
        <is>
          <t>2010_Golder_Caracterizacion ROM IPCC.pdf</t>
        </is>
      </c>
      <c r="C118" t="inlineStr">
        <is>
          <t>Intrusivo</t>
        </is>
      </c>
      <c r="D118" t="inlineStr">
        <is>
          <t>Intrusivo</t>
        </is>
      </c>
      <c r="E118" t="inlineStr">
        <is>
          <t>sin subtipo</t>
        </is>
      </c>
      <c r="F118" t="inlineStr">
        <is>
          <t>B</t>
        </is>
      </c>
      <c r="G118" t="inlineStr">
        <is>
          <t>Chancado (Fase B = «material chancado», p.1)</t>
        </is>
      </c>
      <c r="H118" t="inlineStr">
        <is>
          <t>Carga puntual</t>
        </is>
      </c>
      <c r="I118" t="inlineStr">
        <is>
          <t>ASTM D5731</t>
        </is>
      </c>
      <c r="J118" t="inlineStr">
        <is>
          <t>Is(50) promedio (calculado aquí de la hoja)</t>
        </is>
      </c>
      <c r="K118" t="n">
        <v>32.7</v>
      </c>
      <c r="L118" t="inlineStr">
        <is>
          <t>kg/cm²</t>
        </is>
      </c>
      <c r="M118" t="n">
        <v>8</v>
      </c>
      <c r="N118" t="inlineStr">
        <is>
          <t>promedio</t>
        </is>
      </c>
      <c r="O118" t="inlineStr">
        <is>
          <t>no informado como tal en el informe; promedio aritmético de las probetas</t>
        </is>
      </c>
      <c r="P118" t="inlineStr"/>
      <c r="Q118" t="inlineStr">
        <is>
          <t>80</t>
        </is>
      </c>
      <c r="R118" t="inlineStr">
        <is>
          <t>sí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G2010</t>
        </is>
      </c>
      <c r="B119" t="inlineStr">
        <is>
          <t>2010_Golder_Caracterizacion ROM IPCC.pdf</t>
        </is>
      </c>
      <c r="C119" t="inlineStr">
        <is>
          <t>Intrusivo</t>
        </is>
      </c>
      <c r="D119" t="inlineStr">
        <is>
          <t>Intrusivo</t>
        </is>
      </c>
      <c r="E119" t="inlineStr">
        <is>
          <t>sin subtipo</t>
        </is>
      </c>
      <c r="F119" t="inlineStr">
        <is>
          <t>B</t>
        </is>
      </c>
      <c r="G119" t="inlineStr">
        <is>
          <t>Chancado (Fase B = «material chancado», p.1)</t>
        </is>
      </c>
      <c r="H119" t="inlineStr">
        <is>
          <t>Carga puntual</t>
        </is>
      </c>
      <c r="I119" t="inlineStr">
        <is>
          <t>ASTM D5731</t>
        </is>
      </c>
      <c r="J119" t="inlineStr">
        <is>
          <t>σc estimada promedio (Tabla 2)</t>
        </is>
      </c>
      <c r="K119" t="n">
        <v>78.06</v>
      </c>
      <c r="L119" t="inlineStr">
        <is>
          <t>MPa</t>
        </is>
      </c>
      <c r="M119" t="n">
        <v>8</v>
      </c>
      <c r="N119" t="inlineStr">
        <is>
          <t>promedio</t>
        </is>
      </c>
      <c r="O119" t="inlineStr">
        <is>
          <t>promedio recalculado de la hoja = 784.9 kg/cm² = 76.97 MPa</t>
        </is>
      </c>
      <c r="P119" t="inlineStr"/>
      <c r="Q119" t="inlineStr">
        <is>
          <t>8;80</t>
        </is>
      </c>
      <c r="R119" t="inlineStr">
        <is>
          <t>sí</t>
        </is>
      </c>
      <c r="S119" t="inlineStr">
        <is>
          <t>DISCREPANCIA: el promedio de la hoja (784.9 kg/cm² = 76.97 MPa) no coincide con la Tabla 2 (78.06 MPa) ni con la Fig. 4.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G2010</t>
        </is>
      </c>
      <c r="B120" t="inlineStr">
        <is>
          <t>2010_Golder_Caracterizacion ROM IPCC.pdf</t>
        </is>
      </c>
      <c r="C120" t="inlineStr">
        <is>
          <t>Exoskarn Diopsido</t>
        </is>
      </c>
      <c r="D120" t="inlineStr">
        <is>
          <t>Skarn</t>
        </is>
      </c>
      <c r="E120" t="inlineStr">
        <is>
          <t>exoskarn diópsido</t>
        </is>
      </c>
      <c r="F120" t="inlineStr">
        <is>
          <t>B</t>
        </is>
      </c>
      <c r="G120" t="inlineStr">
        <is>
          <t>Chancado (Fase B = «material chancado», p.1)</t>
        </is>
      </c>
      <c r="H120" t="inlineStr">
        <is>
          <t>Carga puntual</t>
        </is>
      </c>
      <c r="I120" t="inlineStr">
        <is>
          <t>ASTM D5731</t>
        </is>
      </c>
      <c r="J120" t="inlineStr">
        <is>
          <t>Is(50)</t>
        </is>
      </c>
      <c r="K120" t="n">
        <v>56.8</v>
      </c>
      <c r="L120" t="inlineStr">
        <is>
          <t>kg/cm²</t>
        </is>
      </c>
      <c r="M120" t="n">
        <v>1</v>
      </c>
      <c r="N120" t="inlineStr">
        <is>
          <t>M-1</t>
        </is>
      </c>
      <c r="O120" t="inlineStr">
        <is>
          <t>Muestra cilíndrica, carga axial, falla tipo L; Ø=46.0 mm; altura=42.0 mm; A/D=0.91; De²=2460 mm²; carga=1403 kg; Is=57.0 kg/cm²</t>
        </is>
      </c>
      <c r="P120" t="inlineStr">
        <is>
          <t>29/09/2009</t>
        </is>
      </c>
      <c r="Q120" t="inlineStr">
        <is>
          <t>81</t>
        </is>
      </c>
      <c r="R120" t="inlineStr">
        <is>
          <t>sí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G2010</t>
        </is>
      </c>
      <c r="B121" t="inlineStr">
        <is>
          <t>2010_Golder_Caracterizacion ROM IPCC.pdf</t>
        </is>
      </c>
      <c r="C121" t="inlineStr">
        <is>
          <t>Exoskarn Diopsido</t>
        </is>
      </c>
      <c r="D121" t="inlineStr">
        <is>
          <t>Skarn</t>
        </is>
      </c>
      <c r="E121" t="inlineStr">
        <is>
          <t>exoskarn diópsido</t>
        </is>
      </c>
      <c r="F121" t="inlineStr">
        <is>
          <t>B</t>
        </is>
      </c>
      <c r="G121" t="inlineStr">
        <is>
          <t>Chancado (Fase B = «material chancado», p.1)</t>
        </is>
      </c>
      <c r="H121" t="inlineStr">
        <is>
          <t>Carga puntual</t>
        </is>
      </c>
      <c r="I121" t="inlineStr">
        <is>
          <t>ASTM D5731</t>
        </is>
      </c>
      <c r="J121" t="inlineStr">
        <is>
          <t>σc estimada (hoja)</t>
        </is>
      </c>
      <c r="K121" t="n">
        <v>1364</v>
      </c>
      <c r="L121" t="inlineStr">
        <is>
          <t>kg/cm²</t>
        </is>
      </c>
      <c r="M121" t="n">
        <v>1</v>
      </c>
      <c r="N121" t="inlineStr">
        <is>
          <t>M-1</t>
        </is>
      </c>
      <c r="O121" t="inlineStr">
        <is>
          <t>Muestra cilíndrica, carga axial, falla tipo L; Ø=46.0 mm; altura=42.0 mm; A/D=0.91; De²=2460 mm²; carga=1403 kg; Is=57.0 kg/cm²; σc=1364 kg/cm² = 133.76 MPa</t>
        </is>
      </c>
      <c r="P121" t="inlineStr">
        <is>
          <t>29/09/2009</t>
        </is>
      </c>
      <c r="Q121" t="inlineStr">
        <is>
          <t>81</t>
        </is>
      </c>
      <c r="R121" t="inlineStr">
        <is>
          <t>sí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G2010</t>
        </is>
      </c>
      <c r="B122" t="inlineStr">
        <is>
          <t>2010_Golder_Caracterizacion ROM IPCC.pdf</t>
        </is>
      </c>
      <c r="C122" t="inlineStr">
        <is>
          <t>Exoskarn Diopsido</t>
        </is>
      </c>
      <c r="D122" t="inlineStr">
        <is>
          <t>Skarn</t>
        </is>
      </c>
      <c r="E122" t="inlineStr">
        <is>
          <t>exoskarn diópsido</t>
        </is>
      </c>
      <c r="F122" t="inlineStr">
        <is>
          <t>B</t>
        </is>
      </c>
      <c r="G122" t="inlineStr">
        <is>
          <t>Chancado (Fase B = «material chancado», p.1)</t>
        </is>
      </c>
      <c r="H122" t="inlineStr">
        <is>
          <t>Carga puntual</t>
        </is>
      </c>
      <c r="I122" t="inlineStr">
        <is>
          <t>ASTM D5731</t>
        </is>
      </c>
      <c r="J122" t="inlineStr">
        <is>
          <t>Is(50)</t>
        </is>
      </c>
      <c r="K122" t="n">
        <v>53.5</v>
      </c>
      <c r="L122" t="inlineStr">
        <is>
          <t>kg/cm²</t>
        </is>
      </c>
      <c r="M122" t="n">
        <v>1</v>
      </c>
      <c r="N122" t="inlineStr">
        <is>
          <t>M-2</t>
        </is>
      </c>
      <c r="O122" t="inlineStr">
        <is>
          <t>Muestra cilíndrica, carga axial, falla tipo L; Ø=45.9 mm; altura=42.0 mm; A/D=0.92; De²=2455 mm²; carga=1318 kg; Is=53.7 kg/cm²</t>
        </is>
      </c>
      <c r="P122" t="inlineStr">
        <is>
          <t>29/09/2009</t>
        </is>
      </c>
      <c r="Q122" t="inlineStr">
        <is>
          <t>81</t>
        </is>
      </c>
      <c r="R122" t="inlineStr">
        <is>
          <t>sí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G2010</t>
        </is>
      </c>
      <c r="B123" t="inlineStr">
        <is>
          <t>2010_Golder_Caracterizacion ROM IPCC.pdf</t>
        </is>
      </c>
      <c r="C123" t="inlineStr">
        <is>
          <t>Exoskarn Diopsido</t>
        </is>
      </c>
      <c r="D123" t="inlineStr">
        <is>
          <t>Skarn</t>
        </is>
      </c>
      <c r="E123" t="inlineStr">
        <is>
          <t>exoskarn diópsido</t>
        </is>
      </c>
      <c r="F123" t="inlineStr">
        <is>
          <t>B</t>
        </is>
      </c>
      <c r="G123" t="inlineStr">
        <is>
          <t>Chancado (Fase B = «material chancado», p.1)</t>
        </is>
      </c>
      <c r="H123" t="inlineStr">
        <is>
          <t>Carga puntual</t>
        </is>
      </c>
      <c r="I123" t="inlineStr">
        <is>
          <t>ASTM D5731</t>
        </is>
      </c>
      <c r="J123" t="inlineStr">
        <is>
          <t>σc estimada (hoja)</t>
        </is>
      </c>
      <c r="K123" t="n">
        <v>1283</v>
      </c>
      <c r="L123" t="inlineStr">
        <is>
          <t>kg/cm²</t>
        </is>
      </c>
      <c r="M123" t="n">
        <v>1</v>
      </c>
      <c r="N123" t="inlineStr">
        <is>
          <t>M-2</t>
        </is>
      </c>
      <c r="O123" t="inlineStr">
        <is>
          <t>Muestra cilíndrica, carga axial, falla tipo L; Ø=45.9 mm; altura=42.0 mm; A/D=0.92; De²=2455 mm²; carga=1318 kg; Is=53.7 kg/cm²; σc=1283 kg/cm² = 125.82 MPa</t>
        </is>
      </c>
      <c r="P123" t="inlineStr">
        <is>
          <t>29/09/2009</t>
        </is>
      </c>
      <c r="Q123" t="inlineStr">
        <is>
          <t>81</t>
        </is>
      </c>
      <c r="R123" t="inlineStr">
        <is>
          <t>sí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G2010</t>
        </is>
      </c>
      <c r="B124" t="inlineStr">
        <is>
          <t>2010_Golder_Caracterizacion ROM IPCC.pdf</t>
        </is>
      </c>
      <c r="C124" t="inlineStr">
        <is>
          <t>Exoskarn Diopsido</t>
        </is>
      </c>
      <c r="D124" t="inlineStr">
        <is>
          <t>Skarn</t>
        </is>
      </c>
      <c r="E124" t="inlineStr">
        <is>
          <t>exoskarn diópsido</t>
        </is>
      </c>
      <c r="F124" t="inlineStr">
        <is>
          <t>B</t>
        </is>
      </c>
      <c r="G124" t="inlineStr">
        <is>
          <t>Chancado (Fase B = «material chancado», p.1)</t>
        </is>
      </c>
      <c r="H124" t="inlineStr">
        <is>
          <t>Carga puntual</t>
        </is>
      </c>
      <c r="I124" t="inlineStr">
        <is>
          <t>ASTM D5731</t>
        </is>
      </c>
      <c r="J124" t="inlineStr">
        <is>
          <t>Is(50)</t>
        </is>
      </c>
      <c r="K124" t="n">
        <v>62.2</v>
      </c>
      <c r="L124" t="inlineStr">
        <is>
          <t>kg/cm²</t>
        </is>
      </c>
      <c r="M124" t="n">
        <v>1</v>
      </c>
      <c r="N124" t="inlineStr">
        <is>
          <t>M-3</t>
        </is>
      </c>
      <c r="O124" t="inlineStr">
        <is>
          <t>Muestra cilíndrica, carga axial, falla tipo L; Ø=46.0 mm; altura=42.4 mm; A/D=0.92; De²=2483 mm²; carga=1546 kg; Is=62.3 kg/cm²</t>
        </is>
      </c>
      <c r="P124" t="inlineStr">
        <is>
          <t>29/09/2009</t>
        </is>
      </c>
      <c r="Q124" t="inlineStr">
        <is>
          <t>81</t>
        </is>
      </c>
      <c r="R124" t="inlineStr">
        <is>
          <t>sí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G2010</t>
        </is>
      </c>
      <c r="B125" t="inlineStr">
        <is>
          <t>2010_Golder_Caracterizacion ROM IPCC.pdf</t>
        </is>
      </c>
      <c r="C125" t="inlineStr">
        <is>
          <t>Exoskarn Diopsido</t>
        </is>
      </c>
      <c r="D125" t="inlineStr">
        <is>
          <t>Skarn</t>
        </is>
      </c>
      <c r="E125" t="inlineStr">
        <is>
          <t>exoskarn diópsido</t>
        </is>
      </c>
      <c r="F125" t="inlineStr">
        <is>
          <t>B</t>
        </is>
      </c>
      <c r="G125" t="inlineStr">
        <is>
          <t>Chancado (Fase B = «material chancado», p.1)</t>
        </is>
      </c>
      <c r="H125" t="inlineStr">
        <is>
          <t>Carga puntual</t>
        </is>
      </c>
      <c r="I125" t="inlineStr">
        <is>
          <t>ASTM D5731</t>
        </is>
      </c>
      <c r="J125" t="inlineStr">
        <is>
          <t>σc estimada (hoja)</t>
        </is>
      </c>
      <c r="K125" t="n">
        <v>1492</v>
      </c>
      <c r="L125" t="inlineStr">
        <is>
          <t>kg/cm²</t>
        </is>
      </c>
      <c r="M125" t="n">
        <v>1</v>
      </c>
      <c r="N125" t="inlineStr">
        <is>
          <t>M-3</t>
        </is>
      </c>
      <c r="O125" t="inlineStr">
        <is>
          <t>Muestra cilíndrica, carga axial, falla tipo L; Ø=46.0 mm; altura=42.4 mm; A/D=0.92; De²=2483 mm²; carga=1546 kg; Is=62.3 kg/cm²; σc=1492 kg/cm² = 146.32 MPa</t>
        </is>
      </c>
      <c r="P125" t="inlineStr">
        <is>
          <t>29/09/2009</t>
        </is>
      </c>
      <c r="Q125" t="inlineStr">
        <is>
          <t>81</t>
        </is>
      </c>
      <c r="R125" t="inlineStr">
        <is>
          <t>sí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G2010</t>
        </is>
      </c>
      <c r="B126" t="inlineStr">
        <is>
          <t>2010_Golder_Caracterizacion ROM IPCC.pdf</t>
        </is>
      </c>
      <c r="C126" t="inlineStr">
        <is>
          <t>Exoskarn Diopsido</t>
        </is>
      </c>
      <c r="D126" t="inlineStr">
        <is>
          <t>Skarn</t>
        </is>
      </c>
      <c r="E126" t="inlineStr">
        <is>
          <t>exoskarn diópsido</t>
        </is>
      </c>
      <c r="F126" t="inlineStr">
        <is>
          <t>B</t>
        </is>
      </c>
      <c r="G126" t="inlineStr">
        <is>
          <t>Chancado (Fase B = «material chancado», p.1)</t>
        </is>
      </c>
      <c r="H126" t="inlineStr">
        <is>
          <t>Carga puntual</t>
        </is>
      </c>
      <c r="I126" t="inlineStr">
        <is>
          <t>ASTM D5731</t>
        </is>
      </c>
      <c r="J126" t="inlineStr">
        <is>
          <t>Is(50)</t>
        </is>
      </c>
      <c r="K126" t="n">
        <v>34.3</v>
      </c>
      <c r="L126" t="inlineStr">
        <is>
          <t>kg/cm²</t>
        </is>
      </c>
      <c r="M126" t="n">
        <v>1</v>
      </c>
      <c r="N126" t="inlineStr">
        <is>
          <t>M-4</t>
        </is>
      </c>
      <c r="O126" t="inlineStr">
        <is>
          <t>Muestra cilíndrica, carga axial, falla tipo L; Ø=46.0 mm; altura=40.8 mm; A/D=0.89; De²=2390 mm²; carga=829 kg; Is=34.7 kg/cm²</t>
        </is>
      </c>
      <c r="P126" t="inlineStr">
        <is>
          <t>29/09/2009</t>
        </is>
      </c>
      <c r="Q126" t="inlineStr">
        <is>
          <t>81</t>
        </is>
      </c>
      <c r="R126" t="inlineStr">
        <is>
          <t>sí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G2010</t>
        </is>
      </c>
      <c r="B127" t="inlineStr">
        <is>
          <t>2010_Golder_Caracterizacion ROM IPCC.pdf</t>
        </is>
      </c>
      <c r="C127" t="inlineStr">
        <is>
          <t>Exoskarn Diopsido</t>
        </is>
      </c>
      <c r="D127" t="inlineStr">
        <is>
          <t>Skarn</t>
        </is>
      </c>
      <c r="E127" t="inlineStr">
        <is>
          <t>exoskarn diópsido</t>
        </is>
      </c>
      <c r="F127" t="inlineStr">
        <is>
          <t>B</t>
        </is>
      </c>
      <c r="G127" t="inlineStr">
        <is>
          <t>Chancado (Fase B = «material chancado», p.1)</t>
        </is>
      </c>
      <c r="H127" t="inlineStr">
        <is>
          <t>Carga puntual</t>
        </is>
      </c>
      <c r="I127" t="inlineStr">
        <is>
          <t>ASTM D5731</t>
        </is>
      </c>
      <c r="J127" t="inlineStr">
        <is>
          <t>σc estimada (hoja)</t>
        </is>
      </c>
      <c r="K127" t="n">
        <v>824</v>
      </c>
      <c r="L127" t="inlineStr">
        <is>
          <t>kg/cm²</t>
        </is>
      </c>
      <c r="M127" t="n">
        <v>1</v>
      </c>
      <c r="N127" t="inlineStr">
        <is>
          <t>M-4</t>
        </is>
      </c>
      <c r="O127" t="inlineStr">
        <is>
          <t>Muestra cilíndrica, carga axial, falla tipo L; Ø=46.0 mm; altura=40.8 mm; A/D=0.89; De²=2390 mm²; carga=829 kg; Is=34.7 kg/cm²; σc=824 kg/cm² = 80.81 MPa</t>
        </is>
      </c>
      <c r="P127" t="inlineStr">
        <is>
          <t>29/09/2009</t>
        </is>
      </c>
      <c r="Q127" t="inlineStr">
        <is>
          <t>81</t>
        </is>
      </c>
      <c r="R127" t="inlineStr">
        <is>
          <t>sí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G2010</t>
        </is>
      </c>
      <c r="B128" t="inlineStr">
        <is>
          <t>2010_Golder_Caracterizacion ROM IPCC.pdf</t>
        </is>
      </c>
      <c r="C128" t="inlineStr">
        <is>
          <t>Exoskarn Diopsido</t>
        </is>
      </c>
      <c r="D128" t="inlineStr">
        <is>
          <t>Skarn</t>
        </is>
      </c>
      <c r="E128" t="inlineStr">
        <is>
          <t>exoskarn diópsido</t>
        </is>
      </c>
      <c r="F128" t="inlineStr">
        <is>
          <t>B</t>
        </is>
      </c>
      <c r="G128" t="inlineStr">
        <is>
          <t>Chancado (Fase B = «material chancado», p.1)</t>
        </is>
      </c>
      <c r="H128" t="inlineStr">
        <is>
          <t>Carga puntual</t>
        </is>
      </c>
      <c r="I128" t="inlineStr">
        <is>
          <t>ASTM D5731</t>
        </is>
      </c>
      <c r="J128" t="inlineStr">
        <is>
          <t>Is(50)</t>
        </is>
      </c>
      <c r="K128" t="n">
        <v>45.3</v>
      </c>
      <c r="L128" t="inlineStr">
        <is>
          <t>kg/cm²</t>
        </is>
      </c>
      <c r="M128" t="n">
        <v>1</v>
      </c>
      <c r="N128" t="inlineStr">
        <is>
          <t>M-5</t>
        </is>
      </c>
      <c r="O128" t="inlineStr">
        <is>
          <t>Muestra cilíndrica, carga axial, falla tipo L; Ø=46.0 mm; altura=39.6 mm; A/D=0.86; De²=2319 mm²; carga=1068 kg; Is=46.1 kg/cm²</t>
        </is>
      </c>
      <c r="P128" t="inlineStr">
        <is>
          <t>29/09/2009</t>
        </is>
      </c>
      <c r="Q128" t="inlineStr">
        <is>
          <t>81</t>
        </is>
      </c>
      <c r="R128" t="inlineStr">
        <is>
          <t>sí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G2010</t>
        </is>
      </c>
      <c r="B129" t="inlineStr">
        <is>
          <t>2010_Golder_Caracterizacion ROM IPCC.pdf</t>
        </is>
      </c>
      <c r="C129" t="inlineStr">
        <is>
          <t>Exoskarn Diopsido</t>
        </is>
      </c>
      <c r="D129" t="inlineStr">
        <is>
          <t>Skarn</t>
        </is>
      </c>
      <c r="E129" t="inlineStr">
        <is>
          <t>exoskarn diópsido</t>
        </is>
      </c>
      <c r="F129" t="inlineStr">
        <is>
          <t>B</t>
        </is>
      </c>
      <c r="G129" t="inlineStr">
        <is>
          <t>Chancado (Fase B = «material chancado», p.1)</t>
        </is>
      </c>
      <c r="H129" t="inlineStr">
        <is>
          <t>Carga puntual</t>
        </is>
      </c>
      <c r="I129" t="inlineStr">
        <is>
          <t>ASTM D5731</t>
        </is>
      </c>
      <c r="J129" t="inlineStr">
        <is>
          <t>σc estimada (hoja)</t>
        </is>
      </c>
      <c r="K129" t="n">
        <v>1087</v>
      </c>
      <c r="L129" t="inlineStr">
        <is>
          <t>kg/cm²</t>
        </is>
      </c>
      <c r="M129" t="n">
        <v>1</v>
      </c>
      <c r="N129" t="inlineStr">
        <is>
          <t>M-5</t>
        </is>
      </c>
      <c r="O129" t="inlineStr">
        <is>
          <t>Muestra cilíndrica, carga axial, falla tipo L; Ø=46.0 mm; altura=39.6 mm; A/D=0.86; De²=2319 mm²; carga=1068 kg; Is=46.1 kg/cm²; σc=1087 kg/cm² = 106.60 MPa</t>
        </is>
      </c>
      <c r="P129" t="inlineStr">
        <is>
          <t>29/09/2009</t>
        </is>
      </c>
      <c r="Q129" t="inlineStr">
        <is>
          <t>81</t>
        </is>
      </c>
      <c r="R129" t="inlineStr">
        <is>
          <t>sí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G2010</t>
        </is>
      </c>
      <c r="B130" t="inlineStr">
        <is>
          <t>2010_Golder_Caracterizacion ROM IPCC.pdf</t>
        </is>
      </c>
      <c r="C130" t="inlineStr">
        <is>
          <t>Exoskarn Diopsido</t>
        </is>
      </c>
      <c r="D130" t="inlineStr">
        <is>
          <t>Skarn</t>
        </is>
      </c>
      <c r="E130" t="inlineStr">
        <is>
          <t>exoskarn diópsido</t>
        </is>
      </c>
      <c r="F130" t="inlineStr">
        <is>
          <t>B</t>
        </is>
      </c>
      <c r="G130" t="inlineStr">
        <is>
          <t>Chancado (Fase B = «material chancado», p.1)</t>
        </is>
      </c>
      <c r="H130" t="inlineStr">
        <is>
          <t>Carga puntual</t>
        </is>
      </c>
      <c r="I130" t="inlineStr">
        <is>
          <t>ASTM D5731</t>
        </is>
      </c>
      <c r="J130" t="inlineStr">
        <is>
          <t>Is(50)</t>
        </is>
      </c>
      <c r="K130" t="n">
        <v>59.6</v>
      </c>
      <c r="L130" t="inlineStr">
        <is>
          <t>kg/cm²</t>
        </is>
      </c>
      <c r="M130" t="n">
        <v>1</v>
      </c>
      <c r="N130" t="inlineStr">
        <is>
          <t>M-6</t>
        </is>
      </c>
      <c r="O130" t="inlineStr">
        <is>
          <t>Muestra cilíndrica, carga axial, falla tipo L; Ø=46.0 mm; altura=41.9 mm; A/D=0.91; De²=2454 mm²; carga=1468 kg; Is=59.8 kg/cm²</t>
        </is>
      </c>
      <c r="P130" t="inlineStr">
        <is>
          <t>29/09/2009</t>
        </is>
      </c>
      <c r="Q130" t="inlineStr">
        <is>
          <t>81</t>
        </is>
      </c>
      <c r="R130" t="inlineStr">
        <is>
          <t>sí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G2010</t>
        </is>
      </c>
      <c r="B131" t="inlineStr">
        <is>
          <t>2010_Golder_Caracterizacion ROM IPCC.pdf</t>
        </is>
      </c>
      <c r="C131" t="inlineStr">
        <is>
          <t>Exoskarn Diopsido</t>
        </is>
      </c>
      <c r="D131" t="inlineStr">
        <is>
          <t>Skarn</t>
        </is>
      </c>
      <c r="E131" t="inlineStr">
        <is>
          <t>exoskarn diópsido</t>
        </is>
      </c>
      <c r="F131" t="inlineStr">
        <is>
          <t>B</t>
        </is>
      </c>
      <c r="G131" t="inlineStr">
        <is>
          <t>Chancado (Fase B = «material chancado», p.1)</t>
        </is>
      </c>
      <c r="H131" t="inlineStr">
        <is>
          <t>Carga puntual</t>
        </is>
      </c>
      <c r="I131" t="inlineStr">
        <is>
          <t>ASTM D5731</t>
        </is>
      </c>
      <c r="J131" t="inlineStr">
        <is>
          <t>σc estimada (hoja)</t>
        </is>
      </c>
      <c r="K131" t="n">
        <v>1430</v>
      </c>
      <c r="L131" t="inlineStr">
        <is>
          <t>kg/cm²</t>
        </is>
      </c>
      <c r="M131" t="n">
        <v>1</v>
      </c>
      <c r="N131" t="inlineStr">
        <is>
          <t>M-6</t>
        </is>
      </c>
      <c r="O131" t="inlineStr">
        <is>
          <t>Muestra cilíndrica, carga axial, falla tipo L; Ø=46.0 mm; altura=41.9 mm; A/D=0.91; De²=2454 mm²; carga=1468 kg; Is=59.8 kg/cm²; σc=1430 kg/cm² = 140.24 MPa</t>
        </is>
      </c>
      <c r="P131" t="inlineStr">
        <is>
          <t>29/09/2009</t>
        </is>
      </c>
      <c r="Q131" t="inlineStr">
        <is>
          <t>81</t>
        </is>
      </c>
      <c r="R131" t="inlineStr">
        <is>
          <t>sí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G2010</t>
        </is>
      </c>
      <c r="B132" t="inlineStr">
        <is>
          <t>2010_Golder_Caracterizacion ROM IPCC.pdf</t>
        </is>
      </c>
      <c r="C132" t="inlineStr">
        <is>
          <t>Exoskarn Diopsido</t>
        </is>
      </c>
      <c r="D132" t="inlineStr">
        <is>
          <t>Skarn</t>
        </is>
      </c>
      <c r="E132" t="inlineStr">
        <is>
          <t>exoskarn diópsido</t>
        </is>
      </c>
      <c r="F132" t="inlineStr">
        <is>
          <t>B</t>
        </is>
      </c>
      <c r="G132" t="inlineStr">
        <is>
          <t>Chancado (Fase B = «material chancado», p.1)</t>
        </is>
      </c>
      <c r="H132" t="inlineStr">
        <is>
          <t>Carga puntual</t>
        </is>
      </c>
      <c r="I132" t="inlineStr">
        <is>
          <t>ASTM D5731</t>
        </is>
      </c>
      <c r="J132" t="inlineStr">
        <is>
          <t>Is(50)</t>
        </is>
      </c>
      <c r="K132" t="n">
        <v>62.8</v>
      </c>
      <c r="L132" t="inlineStr">
        <is>
          <t>kg/cm²</t>
        </is>
      </c>
      <c r="M132" t="n">
        <v>1</v>
      </c>
      <c r="N132" t="inlineStr">
        <is>
          <t>M-7</t>
        </is>
      </c>
      <c r="O132" t="inlineStr">
        <is>
          <t>Muestra cilíndrica, carga axial, falla tipo L; Ø=46.0 mm; altura=41.9 mm; A/D=0.91; De²=2454 mm²; carga=1548 kg; Is=63.1 kg/cm²</t>
        </is>
      </c>
      <c r="P132" t="inlineStr">
        <is>
          <t>29/09/2009</t>
        </is>
      </c>
      <c r="Q132" t="inlineStr">
        <is>
          <t>81</t>
        </is>
      </c>
      <c r="R132" t="inlineStr">
        <is>
          <t>sí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G2010</t>
        </is>
      </c>
      <c r="B133" t="inlineStr">
        <is>
          <t>2010_Golder_Caracterizacion ROM IPCC.pdf</t>
        </is>
      </c>
      <c r="C133" t="inlineStr">
        <is>
          <t>Exoskarn Diopsido</t>
        </is>
      </c>
      <c r="D133" t="inlineStr">
        <is>
          <t>Skarn</t>
        </is>
      </c>
      <c r="E133" t="inlineStr">
        <is>
          <t>exoskarn diópsido</t>
        </is>
      </c>
      <c r="F133" t="inlineStr">
        <is>
          <t>B</t>
        </is>
      </c>
      <c r="G133" t="inlineStr">
        <is>
          <t>Chancado (Fase B = «material chancado», p.1)</t>
        </is>
      </c>
      <c r="H133" t="inlineStr">
        <is>
          <t>Carga puntual</t>
        </is>
      </c>
      <c r="I133" t="inlineStr">
        <is>
          <t>ASTM D5731</t>
        </is>
      </c>
      <c r="J133" t="inlineStr">
        <is>
          <t>σc estimada (hoja)</t>
        </is>
      </c>
      <c r="K133" t="n">
        <v>1507</v>
      </c>
      <c r="L133" t="inlineStr">
        <is>
          <t>kg/cm²</t>
        </is>
      </c>
      <c r="M133" t="n">
        <v>1</v>
      </c>
      <c r="N133" t="inlineStr">
        <is>
          <t>M-7</t>
        </is>
      </c>
      <c r="O133" t="inlineStr">
        <is>
          <t>Muestra cilíndrica, carga axial, falla tipo L; Ø=46.0 mm; altura=41.9 mm; A/D=0.91; De²=2454 mm²; carga=1548 kg; Is=63.1 kg/cm²; σc=1507 kg/cm² = 147.79 MPa</t>
        </is>
      </c>
      <c r="P133" t="inlineStr">
        <is>
          <t>29/09/2009</t>
        </is>
      </c>
      <c r="Q133" t="inlineStr">
        <is>
          <t>81</t>
        </is>
      </c>
      <c r="R133" t="inlineStr">
        <is>
          <t>sí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G2010</t>
        </is>
      </c>
      <c r="B134" t="inlineStr">
        <is>
          <t>2010_Golder_Caracterizacion ROM IPCC.pdf</t>
        </is>
      </c>
      <c r="C134" t="inlineStr">
        <is>
          <t>Exoskarn Diopsido</t>
        </is>
      </c>
      <c r="D134" t="inlineStr">
        <is>
          <t>Skarn</t>
        </is>
      </c>
      <c r="E134" t="inlineStr">
        <is>
          <t>exoskarn diópsido</t>
        </is>
      </c>
      <c r="F134" t="inlineStr">
        <is>
          <t>B</t>
        </is>
      </c>
      <c r="G134" t="inlineStr">
        <is>
          <t>Chancado (Fase B = «material chancado», p.1)</t>
        </is>
      </c>
      <c r="H134" t="inlineStr">
        <is>
          <t>Carga puntual</t>
        </is>
      </c>
      <c r="I134" t="inlineStr">
        <is>
          <t>ASTM D5731</t>
        </is>
      </c>
      <c r="J134" t="inlineStr">
        <is>
          <t>Is(50)</t>
        </is>
      </c>
      <c r="K134" t="n">
        <v>49.7</v>
      </c>
      <c r="L134" t="inlineStr">
        <is>
          <t>kg/cm²</t>
        </is>
      </c>
      <c r="M134" t="n">
        <v>1</v>
      </c>
      <c r="N134" t="inlineStr">
        <is>
          <t>M-8</t>
        </is>
      </c>
      <c r="O134" t="inlineStr">
        <is>
          <t>Muestra cilíndrica, carga axial, falla tipo L; Ø=45.8 mm; altura=45.0 mm; A/D=0.98; De²=2624 mm²; carga=1290 kg; Is=49.2 kg/cm²</t>
        </is>
      </c>
      <c r="P134" t="inlineStr">
        <is>
          <t>29/09/2009</t>
        </is>
      </c>
      <c r="Q134" t="inlineStr">
        <is>
          <t>81</t>
        </is>
      </c>
      <c r="R134" t="inlineStr">
        <is>
          <t>sí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G2010</t>
        </is>
      </c>
      <c r="B135" t="inlineStr">
        <is>
          <t>2010_Golder_Caracterizacion ROM IPCC.pdf</t>
        </is>
      </c>
      <c r="C135" t="inlineStr">
        <is>
          <t>Exoskarn Diopsido</t>
        </is>
      </c>
      <c r="D135" t="inlineStr">
        <is>
          <t>Skarn</t>
        </is>
      </c>
      <c r="E135" t="inlineStr">
        <is>
          <t>exoskarn diópsido</t>
        </is>
      </c>
      <c r="F135" t="inlineStr">
        <is>
          <t>B</t>
        </is>
      </c>
      <c r="G135" t="inlineStr">
        <is>
          <t>Chancado (Fase B = «material chancado», p.1)</t>
        </is>
      </c>
      <c r="H135" t="inlineStr">
        <is>
          <t>Carga puntual</t>
        </is>
      </c>
      <c r="I135" t="inlineStr">
        <is>
          <t>ASTM D5731</t>
        </is>
      </c>
      <c r="J135" t="inlineStr">
        <is>
          <t>σc estimada (hoja)</t>
        </is>
      </c>
      <c r="K135" t="n">
        <v>1193</v>
      </c>
      <c r="L135" t="inlineStr">
        <is>
          <t>kg/cm²</t>
        </is>
      </c>
      <c r="M135" t="n">
        <v>1</v>
      </c>
      <c r="N135" t="inlineStr">
        <is>
          <t>M-8</t>
        </is>
      </c>
      <c r="O135" t="inlineStr">
        <is>
          <t>Muestra cilíndrica, carga axial, falla tipo L; Ø=45.8 mm; altura=45.0 mm; A/D=0.98; De²=2624 mm²; carga=1290 kg; Is=49.2 kg/cm²; σc=1193 kg/cm² = 116.99 MPa</t>
        </is>
      </c>
      <c r="P135" t="inlineStr">
        <is>
          <t>29/09/2009</t>
        </is>
      </c>
      <c r="Q135" t="inlineStr">
        <is>
          <t>81</t>
        </is>
      </c>
      <c r="R135" t="inlineStr">
        <is>
          <t>sí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G2010</t>
        </is>
      </c>
      <c r="B136" t="inlineStr">
        <is>
          <t>2010_Golder_Caracterizacion ROM IPCC.pdf</t>
        </is>
      </c>
      <c r="C136" t="inlineStr">
        <is>
          <t>Exoskarn Diopsido</t>
        </is>
      </c>
      <c r="D136" t="inlineStr">
        <is>
          <t>Skarn</t>
        </is>
      </c>
      <c r="E136" t="inlineStr">
        <is>
          <t>exoskarn diópsido</t>
        </is>
      </c>
      <c r="F136" t="inlineStr">
        <is>
          <t>B</t>
        </is>
      </c>
      <c r="G136" t="inlineStr">
        <is>
          <t>Chancado (Fase B = «material chancado», p.1)</t>
        </is>
      </c>
      <c r="H136" t="inlineStr">
        <is>
          <t>Carga puntual</t>
        </is>
      </c>
      <c r="I136" t="inlineStr">
        <is>
          <t>ASTM D5731</t>
        </is>
      </c>
      <c r="J136" t="inlineStr">
        <is>
          <t>Is(50) promedio (calculado aquí de la hoja)</t>
        </is>
      </c>
      <c r="K136" t="n">
        <v>53.03</v>
      </c>
      <c r="L136" t="inlineStr">
        <is>
          <t>kg/cm²</t>
        </is>
      </c>
      <c r="M136" t="n">
        <v>8</v>
      </c>
      <c r="N136" t="inlineStr">
        <is>
          <t>promedio</t>
        </is>
      </c>
      <c r="O136" t="inlineStr">
        <is>
          <t>no informado como tal en el informe; promedio aritmético de las probetas</t>
        </is>
      </c>
      <c r="P136" t="inlineStr"/>
      <c r="Q136" t="inlineStr">
        <is>
          <t>81</t>
        </is>
      </c>
      <c r="R136" t="inlineStr">
        <is>
          <t>sí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G2010</t>
        </is>
      </c>
      <c r="B137" t="inlineStr">
        <is>
          <t>2010_Golder_Caracterizacion ROM IPCC.pdf</t>
        </is>
      </c>
      <c r="C137" t="inlineStr">
        <is>
          <t>Exoskarn Diopsido</t>
        </is>
      </c>
      <c r="D137" t="inlineStr">
        <is>
          <t>Skarn</t>
        </is>
      </c>
      <c r="E137" t="inlineStr">
        <is>
          <t>exoskarn diópsido</t>
        </is>
      </c>
      <c r="F137" t="inlineStr">
        <is>
          <t>B</t>
        </is>
      </c>
      <c r="G137" t="inlineStr">
        <is>
          <t>Chancado (Fase B = «material chancado», p.1)</t>
        </is>
      </c>
      <c r="H137" t="inlineStr">
        <is>
          <t>Carga puntual</t>
        </is>
      </c>
      <c r="I137" t="inlineStr">
        <is>
          <t>ASTM D5731</t>
        </is>
      </c>
      <c r="J137" t="inlineStr">
        <is>
          <t>σc estimada promedio (Tabla 2)</t>
        </is>
      </c>
      <c r="K137" t="n">
        <v>124.78</v>
      </c>
      <c r="L137" t="inlineStr">
        <is>
          <t>MPa</t>
        </is>
      </c>
      <c r="M137" t="n">
        <v>8</v>
      </c>
      <c r="N137" t="inlineStr">
        <is>
          <t>promedio</t>
        </is>
      </c>
      <c r="O137" t="inlineStr">
        <is>
          <t>promedio recalculado de la hoja = 1272.5 kg/cm² = 124.79 MPa</t>
        </is>
      </c>
      <c r="P137" t="inlineStr"/>
      <c r="Q137" t="inlineStr">
        <is>
          <t>8;81</t>
        </is>
      </c>
      <c r="R137" t="inlineStr">
        <is>
          <t>sí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G2010</t>
        </is>
      </c>
      <c r="B138" t="inlineStr">
        <is>
          <t>2010_Golder_Caracterizacion ROM IPCC.pdf</t>
        </is>
      </c>
      <c r="C138" t="inlineStr">
        <is>
          <t>Mármol Negro</t>
        </is>
      </c>
      <c r="D138" t="inlineStr">
        <is>
          <t>Mármol</t>
        </is>
      </c>
      <c r="E138" t="inlineStr">
        <is>
          <t>mármol negro</t>
        </is>
      </c>
      <c r="F138" t="inlineStr">
        <is>
          <t>A</t>
        </is>
      </c>
      <c r="G138" t="inlineStr">
        <is>
          <t>ROM (Fase A = «material original procedente del tajo», p.1)</t>
        </is>
      </c>
      <c r="H138" t="inlineStr">
        <is>
          <t>Abrasión Los Ángeles</t>
        </is>
      </c>
      <c r="I138" t="inlineStr">
        <is>
          <t>ASTM C535 / NTP 400.020</t>
        </is>
      </c>
      <c r="J138" t="inlineStr">
        <is>
          <t>Desgaste por abrasión (1000 revoluciones)</t>
        </is>
      </c>
      <c r="K138" t="n">
        <v>62.1</v>
      </c>
      <c r="L138" t="inlineStr">
        <is>
          <t>%</t>
        </is>
      </c>
      <c r="M138" t="n">
        <v>1</v>
      </c>
      <c r="N138" t="inlineStr">
        <is>
          <t>única</t>
        </is>
      </c>
      <c r="O138" t="inlineStr">
        <is>
          <t>peso inicial 10104 g, final 3834 g, pérdida 6270 g; fracciones 3"-2½", 2½"-2", 2"-1½"</t>
        </is>
      </c>
      <c r="P138" t="inlineStr">
        <is>
          <t>04/07/2009</t>
        </is>
      </c>
      <c r="Q138" t="inlineStr">
        <is>
          <t>50;8</t>
        </is>
      </c>
      <c r="R138" t="inlineStr">
        <is>
          <t>sí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G2010</t>
        </is>
      </c>
      <c r="B139" t="inlineStr">
        <is>
          <t>2010_Golder_Caracterizacion ROM IPCC.pdf</t>
        </is>
      </c>
      <c r="C139" t="inlineStr">
        <is>
          <t>Hornfels Gris</t>
        </is>
      </c>
      <c r="D139" t="inlineStr">
        <is>
          <t>Hornfels</t>
        </is>
      </c>
      <c r="E139" t="inlineStr">
        <is>
          <t>hornfels gris</t>
        </is>
      </c>
      <c r="F139" t="inlineStr">
        <is>
          <t>A</t>
        </is>
      </c>
      <c r="G139" t="inlineStr">
        <is>
          <t>ROM (Fase A = «material original procedente del tajo», p.1)</t>
        </is>
      </c>
      <c r="H139" t="inlineStr">
        <is>
          <t>Abrasión Los Ángeles</t>
        </is>
      </c>
      <c r="I139" t="inlineStr">
        <is>
          <t>ASTM C535 / NTP 400.020</t>
        </is>
      </c>
      <c r="J139" t="inlineStr">
        <is>
          <t>Desgaste por abrasión (1000 revoluciones)</t>
        </is>
      </c>
      <c r="K139" t="n">
        <v>23.7</v>
      </c>
      <c r="L139" t="inlineStr">
        <is>
          <t>%</t>
        </is>
      </c>
      <c r="M139" t="n">
        <v>1</v>
      </c>
      <c r="N139" t="inlineStr">
        <is>
          <t>única</t>
        </is>
      </c>
      <c r="O139" t="inlineStr">
        <is>
          <t>peso inicial 10138 g, final 7738 g, pérdida 2400 g; fracciones 3"-2½", 2½"-2", 2"-1½"</t>
        </is>
      </c>
      <c r="P139" t="inlineStr">
        <is>
          <t>06/07/2009</t>
        </is>
      </c>
      <c r="Q139" t="inlineStr">
        <is>
          <t>51;8</t>
        </is>
      </c>
      <c r="R139" t="inlineStr">
        <is>
          <t>sí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G2010</t>
        </is>
      </c>
      <c r="B140" t="inlineStr">
        <is>
          <t>2010_Golder_Caracterizacion ROM IPCC.pdf</t>
        </is>
      </c>
      <c r="C140" t="inlineStr">
        <is>
          <t>Intrusivo</t>
        </is>
      </c>
      <c r="D140" t="inlineStr">
        <is>
          <t>Intrusivo</t>
        </is>
      </c>
      <c r="E140" t="inlineStr">
        <is>
          <t>sin subtipo</t>
        </is>
      </c>
      <c r="F140" t="inlineStr">
        <is>
          <t>A</t>
        </is>
      </c>
      <c r="G140" t="inlineStr">
        <is>
          <t>ROM (Fase A = «material original procedente del tajo», p.1)</t>
        </is>
      </c>
      <c r="H140" t="inlineStr">
        <is>
          <t>Abrasión Los Ángeles</t>
        </is>
      </c>
      <c r="I140" t="inlineStr">
        <is>
          <t>ASTM C535 / NTP 400.020</t>
        </is>
      </c>
      <c r="J140" t="inlineStr">
        <is>
          <t>Desgaste por abrasión (1000 revoluciones)</t>
        </is>
      </c>
      <c r="K140" t="n">
        <v>49.8</v>
      </c>
      <c r="L140" t="inlineStr">
        <is>
          <t>%</t>
        </is>
      </c>
      <c r="M140" t="n">
        <v>1</v>
      </c>
      <c r="N140" t="inlineStr">
        <is>
          <t>única</t>
        </is>
      </c>
      <c r="O140" t="inlineStr">
        <is>
          <t>peso inicial 10002 g, final 5024 g, pérdida 4978 g; fracciones 3"-2½", 2½"-2", 2"-1½"</t>
        </is>
      </c>
      <c r="P140" t="inlineStr">
        <is>
          <t>08/07/2009</t>
        </is>
      </c>
      <c r="Q140" t="inlineStr">
        <is>
          <t>52;8</t>
        </is>
      </c>
      <c r="R140" t="inlineStr">
        <is>
          <t>sí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G2010</t>
        </is>
      </c>
      <c r="B141" t="inlineStr">
        <is>
          <t>2010_Golder_Caracterizacion ROM IPCC.pdf</t>
        </is>
      </c>
      <c r="C141" t="inlineStr">
        <is>
          <t>Exoskarn Diopsido</t>
        </is>
      </c>
      <c r="D141" t="inlineStr">
        <is>
          <t>Skarn</t>
        </is>
      </c>
      <c r="E141" t="inlineStr">
        <is>
          <t>exoskarn diópsido</t>
        </is>
      </c>
      <c r="F141" t="inlineStr">
        <is>
          <t>A</t>
        </is>
      </c>
      <c r="G141" t="inlineStr">
        <is>
          <t>ROM (Fase A = «material original procedente del tajo», p.1)</t>
        </is>
      </c>
      <c r="H141" t="inlineStr">
        <is>
          <t>Abrasión Los Ángeles</t>
        </is>
      </c>
      <c r="I141" t="inlineStr">
        <is>
          <t>ASTM C535 / NTP 400.020</t>
        </is>
      </c>
      <c r="J141" t="inlineStr">
        <is>
          <t>Desgaste por abrasión (1000 revoluciones)</t>
        </is>
      </c>
      <c r="K141" t="n">
        <v>37</v>
      </c>
      <c r="L141" t="inlineStr">
        <is>
          <t>%</t>
        </is>
      </c>
      <c r="M141" t="n">
        <v>1</v>
      </c>
      <c r="N141" t="inlineStr">
        <is>
          <t>única</t>
        </is>
      </c>
      <c r="O141" t="inlineStr">
        <is>
          <t>peso inicial 10110 g, final 6367 g, pérdida 3743 g; fracciones 3"-2½", 2½"-2", 2"-1½"</t>
        </is>
      </c>
      <c r="P141" t="inlineStr">
        <is>
          <t>01/09/2009</t>
        </is>
      </c>
      <c r="Q141" t="inlineStr">
        <is>
          <t>53;8</t>
        </is>
      </c>
      <c r="R141" t="inlineStr">
        <is>
          <t>sí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G2010</t>
        </is>
      </c>
      <c r="B142" t="inlineStr">
        <is>
          <t>2010_Golder_Caracterizacion ROM IPCC.pdf</t>
        </is>
      </c>
      <c r="C142" t="inlineStr">
        <is>
          <t>Mármol Negro</t>
        </is>
      </c>
      <c r="D142" t="inlineStr">
        <is>
          <t>Mármol</t>
        </is>
      </c>
      <c r="E142" t="inlineStr">
        <is>
          <t>mármol negro</t>
        </is>
      </c>
      <c r="F142" t="inlineStr">
        <is>
          <t>B</t>
        </is>
      </c>
      <c r="G142" t="inlineStr">
        <is>
          <t>Chancado (Fase B = «material chancado», p.1)</t>
        </is>
      </c>
      <c r="H142" t="inlineStr">
        <is>
          <t>Abrasión Los Ángeles</t>
        </is>
      </c>
      <c r="I142" t="inlineStr">
        <is>
          <t>ASTM C535 / NTP 400.020</t>
        </is>
      </c>
      <c r="J142" t="inlineStr">
        <is>
          <t>Desgaste por abrasión (1000 revoluciones)</t>
        </is>
      </c>
      <c r="K142" t="n">
        <v>62.4</v>
      </c>
      <c r="L142" t="inlineStr">
        <is>
          <t>%</t>
        </is>
      </c>
      <c r="M142" t="n">
        <v>1</v>
      </c>
      <c r="N142" t="inlineStr">
        <is>
          <t>única</t>
        </is>
      </c>
      <c r="O142" t="inlineStr">
        <is>
          <t>peso inicial 10039 g, final 3776 g, pérdida 6263 g; fracciones 3"-2½", 2½"-2", 2"-1½"; Fase B: «Material chancado, en la planta secundaria»</t>
        </is>
      </c>
      <c r="P142" t="inlineStr">
        <is>
          <t>26/09/2009</t>
        </is>
      </c>
      <c r="Q142" t="inlineStr">
        <is>
          <t>54;8</t>
        </is>
      </c>
      <c r="R142" t="inlineStr">
        <is>
          <t>sí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G2010</t>
        </is>
      </c>
      <c r="B143" t="inlineStr">
        <is>
          <t>2010_Golder_Caracterizacion ROM IPCC.pdf</t>
        </is>
      </c>
      <c r="C143" t="inlineStr">
        <is>
          <t>Hornfels Gris</t>
        </is>
      </c>
      <c r="D143" t="inlineStr">
        <is>
          <t>Hornfels</t>
        </is>
      </c>
      <c r="E143" t="inlineStr">
        <is>
          <t>hornfels gris</t>
        </is>
      </c>
      <c r="F143" t="inlineStr">
        <is>
          <t>B</t>
        </is>
      </c>
      <c r="G143" t="inlineStr">
        <is>
          <t>Chancado (Fase B = «material chancado», p.1)</t>
        </is>
      </c>
      <c r="H143" t="inlineStr">
        <is>
          <t>Abrasión Los Ángeles</t>
        </is>
      </c>
      <c r="I143" t="inlineStr">
        <is>
          <t>ASTM C535 / NTP 400.020</t>
        </is>
      </c>
      <c r="J143" t="inlineStr">
        <is>
          <t>Desgaste por abrasión (1000 revoluciones)</t>
        </is>
      </c>
      <c r="K143" t="n">
        <v>20.3</v>
      </c>
      <c r="L143" t="inlineStr">
        <is>
          <t>%</t>
        </is>
      </c>
      <c r="M143" t="n">
        <v>1</v>
      </c>
      <c r="N143" t="inlineStr">
        <is>
          <t>única</t>
        </is>
      </c>
      <c r="O143" t="inlineStr">
        <is>
          <t>peso inicial 10018 g, final 7980 g, pérdida 2038 g; fracciones 3"-2½", 2½"-2", 2"-1½"; Fase B: «Material chancado, en la planta secundaria»</t>
        </is>
      </c>
      <c r="P143" t="inlineStr">
        <is>
          <t>26/09/2009</t>
        </is>
      </c>
      <c r="Q143" t="inlineStr">
        <is>
          <t>55;8</t>
        </is>
      </c>
      <c r="R143" t="inlineStr">
        <is>
          <t>sí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G2010</t>
        </is>
      </c>
      <c r="B144" t="inlineStr">
        <is>
          <t>2010_Golder_Caracterizacion ROM IPCC.pdf</t>
        </is>
      </c>
      <c r="C144" t="inlineStr">
        <is>
          <t>Intrusivo</t>
        </is>
      </c>
      <c r="D144" t="inlineStr">
        <is>
          <t>Intrusivo</t>
        </is>
      </c>
      <c r="E144" t="inlineStr">
        <is>
          <t>sin subtipo</t>
        </is>
      </c>
      <c r="F144" t="inlineStr">
        <is>
          <t>B</t>
        </is>
      </c>
      <c r="G144" t="inlineStr">
        <is>
          <t>Chancado (Fase B = «material chancado», p.1)</t>
        </is>
      </c>
      <c r="H144" t="inlineStr">
        <is>
          <t>Abrasión Los Ángeles</t>
        </is>
      </c>
      <c r="I144" t="inlineStr">
        <is>
          <t>ASTM C535 / NTP 400.020</t>
        </is>
      </c>
      <c r="J144" t="inlineStr">
        <is>
          <t>Desgaste por abrasión (1000 revoluciones)</t>
        </is>
      </c>
      <c r="K144" t="n">
        <v>32.2</v>
      </c>
      <c r="L144" t="inlineStr">
        <is>
          <t>%</t>
        </is>
      </c>
      <c r="M144" t="n">
        <v>1</v>
      </c>
      <c r="N144" t="inlineStr">
        <is>
          <t>única</t>
        </is>
      </c>
      <c r="O144" t="inlineStr">
        <is>
          <t>peso inicial 10035 g, final 6805 g, pérdida 3230 g; fracciones 3"-2½", 2½"-2", 2"-1½"; Fase B: «Material chancado, en la planta secundaria»</t>
        </is>
      </c>
      <c r="P144" t="inlineStr">
        <is>
          <t>26/09/2009</t>
        </is>
      </c>
      <c r="Q144" t="inlineStr">
        <is>
          <t>56;8</t>
        </is>
      </c>
      <c r="R144" t="inlineStr">
        <is>
          <t>sí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G2010</t>
        </is>
      </c>
      <c r="B145" t="inlineStr">
        <is>
          <t>2010_Golder_Caracterizacion ROM IPCC.pdf</t>
        </is>
      </c>
      <c r="C145" t="inlineStr">
        <is>
          <t>Exoskarn Diopsido</t>
        </is>
      </c>
      <c r="D145" t="inlineStr">
        <is>
          <t>Skarn</t>
        </is>
      </c>
      <c r="E145" t="inlineStr">
        <is>
          <t>exoskarn diópsido</t>
        </is>
      </c>
      <c r="F145" t="inlineStr">
        <is>
          <t>B</t>
        </is>
      </c>
      <c r="G145" t="inlineStr">
        <is>
          <t>Chancado (Fase B = «material chancado», p.1)</t>
        </is>
      </c>
      <c r="H145" t="inlineStr">
        <is>
          <t>Abrasión Los Ángeles</t>
        </is>
      </c>
      <c r="I145" t="inlineStr">
        <is>
          <t>ASTM C535 / NTP 400.020</t>
        </is>
      </c>
      <c r="J145" t="inlineStr">
        <is>
          <t>Desgaste por abrasión (1000 revoluciones)</t>
        </is>
      </c>
      <c r="K145" t="n">
        <v>27.6</v>
      </c>
      <c r="L145" t="inlineStr">
        <is>
          <t>%</t>
        </is>
      </c>
      <c r="M145" t="n">
        <v>1</v>
      </c>
      <c r="N145" t="inlineStr">
        <is>
          <t>única</t>
        </is>
      </c>
      <c r="O145" t="inlineStr">
        <is>
          <t>peso inicial 9999 g, final 7241 g, pérdida 2758 g; fracciones 3"-2½", 2½"-2", 2"-1½"; Fase B: «Material chancado, en la planta secundaria»</t>
        </is>
      </c>
      <c r="P145" t="inlineStr">
        <is>
          <t>26/09/2009</t>
        </is>
      </c>
      <c r="Q145" t="inlineStr">
        <is>
          <t>57;8</t>
        </is>
      </c>
      <c r="R145" t="inlineStr">
        <is>
          <t>sí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G2010</t>
        </is>
      </c>
      <c r="B146" t="inlineStr">
        <is>
          <t>2010_Golder_Caracterizacion ROM IPCC.pdf</t>
        </is>
      </c>
      <c r="C146" t="inlineStr">
        <is>
          <t>Mármol Negro</t>
        </is>
      </c>
      <c r="D146" t="inlineStr">
        <is>
          <t>Mármol</t>
        </is>
      </c>
      <c r="E146" t="inlineStr">
        <is>
          <t>mármol negro</t>
        </is>
      </c>
      <c r="F146" t="inlineStr">
        <is>
          <t>A</t>
        </is>
      </c>
      <c r="G146" t="inlineStr">
        <is>
          <t>ROM (Fase A = «material original procedente del tajo», p.1)</t>
        </is>
      </c>
      <c r="H146" t="inlineStr">
        <is>
          <t>Durabilidad (inalterabilidad)</t>
        </is>
      </c>
      <c r="I146" t="inlineStr">
        <is>
          <t>ASTM C88 / NTP 400.016</t>
        </is>
      </c>
      <c r="J146" t="inlineStr">
        <is>
          <t>Pérdida corregida total</t>
        </is>
      </c>
      <c r="K146" t="n">
        <v>43.4</v>
      </c>
      <c r="L146" t="inlineStr">
        <is>
          <t>%</t>
        </is>
      </c>
      <c r="M146" t="n">
        <v>1</v>
      </c>
      <c r="N146" t="inlineStr">
        <is>
          <t>única</t>
        </is>
      </c>
      <c r="O146" t="inlineStr">
        <is>
          <t>Sulfato de MAGNESIO (título de la hoja); solo se ensayó la gradación 2 (1½"-¾", 1504.49 g): pérdida 1½"-1" = 31.4 %, 1"-¾" = 67.6 %; corregidas 21.0 % + 22.3 %; la hoja cita el límite de 18 % (ASTM C33)</t>
        </is>
      </c>
      <c r="P146" t="inlineStr">
        <is>
          <t>10/09/2009</t>
        </is>
      </c>
      <c r="Q146" t="inlineStr">
        <is>
          <t>58;8</t>
        </is>
      </c>
      <c r="R146" t="inlineStr">
        <is>
          <t>sí</t>
        </is>
      </c>
      <c r="S146" t="inlineStr">
        <is>
          <t>El texto p.2 dice «Inalterabilidad en Sulfato de Sodio (ASTM C88)»; las 8 hojas dicen sulfato de magnesio.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G2010</t>
        </is>
      </c>
      <c r="B147" t="inlineStr">
        <is>
          <t>2010_Golder_Caracterizacion ROM IPCC.pdf</t>
        </is>
      </c>
      <c r="C147" t="inlineStr">
        <is>
          <t>Hornfels Gris</t>
        </is>
      </c>
      <c r="D147" t="inlineStr">
        <is>
          <t>Hornfels</t>
        </is>
      </c>
      <c r="E147" t="inlineStr">
        <is>
          <t>hornfels gris</t>
        </is>
      </c>
      <c r="F147" t="inlineStr">
        <is>
          <t>A</t>
        </is>
      </c>
      <c r="G147" t="inlineStr">
        <is>
          <t>ROM (Fase A = «material original procedente del tajo», p.1)</t>
        </is>
      </c>
      <c r="H147" t="inlineStr">
        <is>
          <t>Durabilidad (inalterabilidad)</t>
        </is>
      </c>
      <c r="I147" t="inlineStr">
        <is>
          <t>ASTM C88 / NTP 400.016</t>
        </is>
      </c>
      <c r="J147" t="inlineStr">
        <is>
          <t>Pérdida corregida total</t>
        </is>
      </c>
      <c r="K147" t="n">
        <v>0.7</v>
      </c>
      <c r="L147" t="inlineStr">
        <is>
          <t>%</t>
        </is>
      </c>
      <c r="M147" t="n">
        <v>1</v>
      </c>
      <c r="N147" t="inlineStr">
        <is>
          <t>única</t>
        </is>
      </c>
      <c r="O147" t="inlineStr">
        <is>
          <t>Sulfato de MAGNESIO (título de la hoja); solo se ensayó la gradación 2 (1½"-¾", 1510.85 g): pérdida 1½"-1" = 0.5 %, 1"-¾" = 1.2 %; corregidas 0.3 % + 0.4 %; la hoja cita el límite de 18 % (ASTM C33)</t>
        </is>
      </c>
      <c r="P147" t="inlineStr">
        <is>
          <t>10/09/2009</t>
        </is>
      </c>
      <c r="Q147" t="inlineStr">
        <is>
          <t>59;8</t>
        </is>
      </c>
      <c r="R147" t="inlineStr">
        <is>
          <t>sí</t>
        </is>
      </c>
      <c r="S147" t="inlineStr">
        <is>
          <t>El texto p.2 dice «Inalterabilidad en Sulfato de Sodio (ASTM C88)»; las 8 hojas dicen sulfato de magnesio.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G2010</t>
        </is>
      </c>
      <c r="B148" t="inlineStr">
        <is>
          <t>2010_Golder_Caracterizacion ROM IPCC.pdf</t>
        </is>
      </c>
      <c r="C148" t="inlineStr">
        <is>
          <t>Intrusivo</t>
        </is>
      </c>
      <c r="D148" t="inlineStr">
        <is>
          <t>Intrusivo</t>
        </is>
      </c>
      <c r="E148" t="inlineStr">
        <is>
          <t>sin subtipo</t>
        </is>
      </c>
      <c r="F148" t="inlineStr">
        <is>
          <t>A</t>
        </is>
      </c>
      <c r="G148" t="inlineStr">
        <is>
          <t>ROM (Fase A = «material original procedente del tajo», p.1)</t>
        </is>
      </c>
      <c r="H148" t="inlineStr">
        <is>
          <t>Durabilidad (inalterabilidad)</t>
        </is>
      </c>
      <c r="I148" t="inlineStr">
        <is>
          <t>ASTM C88 / NTP 400.016</t>
        </is>
      </c>
      <c r="J148" t="inlineStr">
        <is>
          <t>Pérdida corregida total</t>
        </is>
      </c>
      <c r="K148" t="n">
        <v>33.4</v>
      </c>
      <c r="L148" t="inlineStr">
        <is>
          <t>%</t>
        </is>
      </c>
      <c r="M148" t="n">
        <v>1</v>
      </c>
      <c r="N148" t="inlineStr">
        <is>
          <t>única</t>
        </is>
      </c>
      <c r="O148" t="inlineStr">
        <is>
          <t>Sulfato de MAGNESIO (título de la hoja); solo se ensayó la gradación 2 (1½"-¾", 1501.38 g): pérdida 1½"-1" = 35.3 %, 1"-¾" = 29.5 %; corregidas 23.6 % + 9.7 %; la hoja cita el límite de 18 % (ASTM C33)</t>
        </is>
      </c>
      <c r="P148" t="inlineStr">
        <is>
          <t>10/09/2009</t>
        </is>
      </c>
      <c r="Q148" t="inlineStr">
        <is>
          <t>60;8</t>
        </is>
      </c>
      <c r="R148" t="inlineStr">
        <is>
          <t>sí</t>
        </is>
      </c>
      <c r="S148" t="inlineStr">
        <is>
          <t>El texto p.2 dice «Inalterabilidad en Sulfato de Sodio (ASTM C88)»; las 8 hojas dicen sulfato de magnesio.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G2010</t>
        </is>
      </c>
      <c r="B149" t="inlineStr">
        <is>
          <t>2010_Golder_Caracterizacion ROM IPCC.pdf</t>
        </is>
      </c>
      <c r="C149" t="inlineStr">
        <is>
          <t>Exoskarn Diopsido</t>
        </is>
      </c>
      <c r="D149" t="inlineStr">
        <is>
          <t>Skarn</t>
        </is>
      </c>
      <c r="E149" t="inlineStr">
        <is>
          <t>exoskarn diópsido</t>
        </is>
      </c>
      <c r="F149" t="inlineStr">
        <is>
          <t>A</t>
        </is>
      </c>
      <c r="G149" t="inlineStr">
        <is>
          <t>ROM (Fase A = «material original procedente del tajo», p.1)</t>
        </is>
      </c>
      <c r="H149" t="inlineStr">
        <is>
          <t>Durabilidad (inalterabilidad)</t>
        </is>
      </c>
      <c r="I149" t="inlineStr">
        <is>
          <t>ASTM C88 / NTP 400.016</t>
        </is>
      </c>
      <c r="J149" t="inlineStr">
        <is>
          <t>Pérdida corregida total</t>
        </is>
      </c>
      <c r="K149" t="n">
        <v>5.9</v>
      </c>
      <c r="L149" t="inlineStr">
        <is>
          <t>%</t>
        </is>
      </c>
      <c r="M149" t="n">
        <v>1</v>
      </c>
      <c r="N149" t="inlineStr">
        <is>
          <t>única</t>
        </is>
      </c>
      <c r="O149" t="inlineStr">
        <is>
          <t>Sulfato de MAGNESIO (título de la hoja); solo se ensayó la gradación 2 (1½"-¾", 1505.55 g): pérdida 1½"-1" = 3.9 %, 1"-¾" = 9.9 %; corregidas 2.6 % + 3.3 %; la hoja cita el límite de 18 % (ASTM C33)</t>
        </is>
      </c>
      <c r="P149" t="inlineStr">
        <is>
          <t>10/09/2009</t>
        </is>
      </c>
      <c r="Q149" t="inlineStr">
        <is>
          <t>61;8</t>
        </is>
      </c>
      <c r="R149" t="inlineStr">
        <is>
          <t>sí</t>
        </is>
      </c>
      <c r="S149" t="inlineStr">
        <is>
          <t>El texto p.2 dice «Inalterabilidad en Sulfato de Sodio (ASTM C88)»; las 8 hojas dicen sulfato de magnesio.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G2010</t>
        </is>
      </c>
      <c r="B150" t="inlineStr">
        <is>
          <t>2010_Golder_Caracterizacion ROM IPCC.pdf</t>
        </is>
      </c>
      <c r="C150" t="inlineStr">
        <is>
          <t>Mármol Negro</t>
        </is>
      </c>
      <c r="D150" t="inlineStr">
        <is>
          <t>Mármol</t>
        </is>
      </c>
      <c r="E150" t="inlineStr">
        <is>
          <t>mármol negro</t>
        </is>
      </c>
      <c r="F150" t="inlineStr">
        <is>
          <t>B</t>
        </is>
      </c>
      <c r="G150" t="inlineStr">
        <is>
          <t>Chancado (Fase B = «material chancado», p.1)</t>
        </is>
      </c>
      <c r="H150" t="inlineStr">
        <is>
          <t>Durabilidad (inalterabilidad)</t>
        </is>
      </c>
      <c r="I150" t="inlineStr">
        <is>
          <t>ASTM C88 / NTP 400.016</t>
        </is>
      </c>
      <c r="J150" t="inlineStr">
        <is>
          <t>Pérdida corregida total</t>
        </is>
      </c>
      <c r="K150" t="n">
        <v>49.8</v>
      </c>
      <c r="L150" t="inlineStr">
        <is>
          <t>%</t>
        </is>
      </c>
      <c r="M150" t="n">
        <v>1</v>
      </c>
      <c r="N150" t="inlineStr">
        <is>
          <t>única</t>
        </is>
      </c>
      <c r="O150" t="inlineStr">
        <is>
          <t>Sulfato de MAGNESIO (título de la hoja); solo se ensayó la gradación 2 (1½"-¾", 1504.33 g): pérdida 1½"-1" = 53.1 %, 1"-¾" = 43.1 %; corregidas 35.6 % + 14.2 %; la hoja cita el límite de 18 % (ASTM C33)</t>
        </is>
      </c>
      <c r="P150" t="inlineStr">
        <is>
          <t>10/09/2009</t>
        </is>
      </c>
      <c r="Q150" t="inlineStr">
        <is>
          <t>62;8</t>
        </is>
      </c>
      <c r="R150" t="inlineStr">
        <is>
          <t>sí</t>
        </is>
      </c>
      <c r="S150" t="inlineStr">
        <is>
          <t>El texto p.2 dice «Inalterabilidad en Sulfato de Sodio (ASTM C88)»; las 8 hojas dicen sulfato de magnesio. Fecha de la hoja (10.09.09) anterior al muestreo de la Fase B (22-23/09/2009).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G2010</t>
        </is>
      </c>
      <c r="B151" t="inlineStr">
        <is>
          <t>2010_Golder_Caracterizacion ROM IPCC.pdf</t>
        </is>
      </c>
      <c r="C151" t="inlineStr">
        <is>
          <t>Hornfels Gris</t>
        </is>
      </c>
      <c r="D151" t="inlineStr">
        <is>
          <t>Hornfels</t>
        </is>
      </c>
      <c r="E151" t="inlineStr">
        <is>
          <t>hornfels gris</t>
        </is>
      </c>
      <c r="F151" t="inlineStr">
        <is>
          <t>B</t>
        </is>
      </c>
      <c r="G151" t="inlineStr">
        <is>
          <t>Chancado (Fase B = «material chancado», p.1)</t>
        </is>
      </c>
      <c r="H151" t="inlineStr">
        <is>
          <t>Durabilidad (inalterabilidad)</t>
        </is>
      </c>
      <c r="I151" t="inlineStr">
        <is>
          <t>ASTM C88 / NTP 400.016</t>
        </is>
      </c>
      <c r="J151" t="inlineStr">
        <is>
          <t>Pérdida corregida total</t>
        </is>
      </c>
      <c r="K151" t="n">
        <v>0.6</v>
      </c>
      <c r="L151" t="inlineStr">
        <is>
          <t>%</t>
        </is>
      </c>
      <c r="M151" t="n">
        <v>1</v>
      </c>
      <c r="N151" t="inlineStr">
        <is>
          <t>única</t>
        </is>
      </c>
      <c r="O151" t="inlineStr">
        <is>
          <t>Sulfato de MAGNESIO (título de la hoja); solo se ensayó la gradación 2 (1½"-¾", 1505.42 g): pérdida 1½"-1" = 0.5 %, 1"-¾" = 0.8 %; corregidas 0.4 % + 0.3 %; la hoja cita el límite de 18 % (ASTM C33)</t>
        </is>
      </c>
      <c r="P151" t="inlineStr">
        <is>
          <t>10/09/2009</t>
        </is>
      </c>
      <c r="Q151" t="inlineStr">
        <is>
          <t>63;8</t>
        </is>
      </c>
      <c r="R151" t="inlineStr">
        <is>
          <t>sí</t>
        </is>
      </c>
      <c r="S151" t="inlineStr">
        <is>
          <t>El texto p.2 dice «Inalterabilidad en Sulfato de Sodio (ASTM C88)»; las 8 hojas dicen sulfato de magnesio. Fecha de la hoja (10.09.09) anterior al muestreo de la Fase B (22-23/09/2009).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G2010</t>
        </is>
      </c>
      <c r="B152" t="inlineStr">
        <is>
          <t>2010_Golder_Caracterizacion ROM IPCC.pdf</t>
        </is>
      </c>
      <c r="C152" t="inlineStr">
        <is>
          <t>Intrusivo</t>
        </is>
      </c>
      <c r="D152" t="inlineStr">
        <is>
          <t>Intrusivo</t>
        </is>
      </c>
      <c r="E152" t="inlineStr">
        <is>
          <t>sin subtipo</t>
        </is>
      </c>
      <c r="F152" t="inlineStr">
        <is>
          <t>B</t>
        </is>
      </c>
      <c r="G152" t="inlineStr">
        <is>
          <t>Chancado (Fase B = «material chancado», p.1)</t>
        </is>
      </c>
      <c r="H152" t="inlineStr">
        <is>
          <t>Durabilidad (inalterabilidad)</t>
        </is>
      </c>
      <c r="I152" t="inlineStr">
        <is>
          <t>ASTM C88 / NTP 400.016</t>
        </is>
      </c>
      <c r="J152" t="inlineStr">
        <is>
          <t>Pérdida corregida total</t>
        </is>
      </c>
      <c r="K152" t="n">
        <v>18.6</v>
      </c>
      <c r="L152" t="inlineStr">
        <is>
          <t>%</t>
        </is>
      </c>
      <c r="M152" t="n">
        <v>1</v>
      </c>
      <c r="N152" t="inlineStr">
        <is>
          <t>única</t>
        </is>
      </c>
      <c r="O152" t="inlineStr">
        <is>
          <t>Sulfato de MAGNESIO (título de la hoja); solo se ensayó la gradación 2 (1½"-¾", 1508.5 g): pérdida 1½"-1" = 16.0 %, 1"-¾" = 23.7 %; corregidas 10.7 % + 7.8 %; la hoja cita el límite de 18 % (ASTM C33)</t>
        </is>
      </c>
      <c r="P152" t="inlineStr">
        <is>
          <t>10/09/2009</t>
        </is>
      </c>
      <c r="Q152" t="inlineStr">
        <is>
          <t>64;8</t>
        </is>
      </c>
      <c r="R152" t="inlineStr">
        <is>
          <t>sí</t>
        </is>
      </c>
      <c r="S152" t="inlineStr">
        <is>
          <t>El texto p.2 dice «Inalterabilidad en Sulfato de Sodio (ASTM C88)»; las 8 hojas dicen sulfato de magnesio. Fecha de la hoja (10.09.09) anterior al muestreo de la Fase B (22-23/09/2009).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G2010</t>
        </is>
      </c>
      <c r="B153" t="inlineStr">
        <is>
          <t>2010_Golder_Caracterizacion ROM IPCC.pdf</t>
        </is>
      </c>
      <c r="C153" t="inlineStr">
        <is>
          <t>Exoskarn Diopsido</t>
        </is>
      </c>
      <c r="D153" t="inlineStr">
        <is>
          <t>Skarn</t>
        </is>
      </c>
      <c r="E153" t="inlineStr">
        <is>
          <t>exoskarn diópsido</t>
        </is>
      </c>
      <c r="F153" t="inlineStr">
        <is>
          <t>B</t>
        </is>
      </c>
      <c r="G153" t="inlineStr">
        <is>
          <t>Chancado (Fase B = «material chancado», p.1)</t>
        </is>
      </c>
      <c r="H153" t="inlineStr">
        <is>
          <t>Durabilidad (inalterabilidad)</t>
        </is>
      </c>
      <c r="I153" t="inlineStr">
        <is>
          <t>ASTM C88 / NTP 400.016</t>
        </is>
      </c>
      <c r="J153" t="inlineStr">
        <is>
          <t>Pérdida corregida total</t>
        </is>
      </c>
      <c r="K153" t="n">
        <v>6.7</v>
      </c>
      <c r="L153" t="inlineStr">
        <is>
          <t>%</t>
        </is>
      </c>
      <c r="M153" t="n">
        <v>1</v>
      </c>
      <c r="N153" t="inlineStr">
        <is>
          <t>única</t>
        </is>
      </c>
      <c r="O153" t="inlineStr">
        <is>
          <t>Sulfato de MAGNESIO (título de la hoja); solo se ensayó la gradación 2 (1½"-¾", 1510.65 g): pérdida 1½"-1" = 5.1 %, 1"-¾" = 10.0 %; corregidas 3.4 % + 3.3 %; la hoja cita el límite de 18 % (ASTM C33)</t>
        </is>
      </c>
      <c r="P153" t="inlineStr">
        <is>
          <t>10/09/2009</t>
        </is>
      </c>
      <c r="Q153" t="inlineStr">
        <is>
          <t>65;8</t>
        </is>
      </c>
      <c r="R153" t="inlineStr">
        <is>
          <t>sí</t>
        </is>
      </c>
      <c r="S153" t="inlineStr">
        <is>
          <t>El texto p.2 dice «Inalterabilidad en Sulfato de Sodio (ASTM C88)»; las 8 hojas dicen sulfato de magnesio. Fecha de la hoja (10.09.09) anterior al muestreo de la Fase B (22-23/09/2009).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G2010</t>
        </is>
      </c>
      <c r="B154" t="inlineStr">
        <is>
          <t>2010_Golder_Caracterizacion ROM IPCC.pdf</t>
        </is>
      </c>
      <c r="C154" t="inlineStr">
        <is>
          <t>Hornfels Gris</t>
        </is>
      </c>
      <c r="D154" t="inlineStr">
        <is>
          <t>Hornfels</t>
        </is>
      </c>
      <c r="E154" t="inlineStr">
        <is>
          <t>hornfels gris</t>
        </is>
      </c>
      <c r="F154" t="inlineStr">
        <is>
          <t>A</t>
        </is>
      </c>
      <c r="G154" t="inlineStr">
        <is>
          <t>ROM (Fase A = «material original procedente del tajo», p.1)</t>
        </is>
      </c>
      <c r="H154" t="inlineStr">
        <is>
          <t>Gravedad específica agregado grueso</t>
        </is>
      </c>
      <c r="I154" t="inlineStr">
        <is>
          <t>ASTM C127 / NTP 400.021</t>
        </is>
      </c>
      <c r="J154" t="inlineStr">
        <is>
          <t>Gs bulk (PEM)</t>
        </is>
      </c>
      <c r="K154" t="n">
        <v>2.737</v>
      </c>
      <c r="L154" t="inlineStr">
        <is>
          <t>-</t>
        </is>
      </c>
      <c r="M154" t="n">
        <v>1</v>
      </c>
      <c r="N154" t="inlineStr">
        <is>
          <t>única</t>
        </is>
      </c>
      <c r="O154" t="inlineStr"/>
      <c r="P154" t="inlineStr">
        <is>
          <t>01/12/2009</t>
        </is>
      </c>
      <c r="Q154" t="inlineStr">
        <is>
          <t>48</t>
        </is>
      </c>
      <c r="R154" t="inlineStr">
        <is>
          <t>sí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G2010</t>
        </is>
      </c>
      <c r="B155" t="inlineStr">
        <is>
          <t>2010_Golder_Caracterizacion ROM IPCC.pdf</t>
        </is>
      </c>
      <c r="C155" t="inlineStr">
        <is>
          <t>Hornfels Gris</t>
        </is>
      </c>
      <c r="D155" t="inlineStr">
        <is>
          <t>Hornfels</t>
        </is>
      </c>
      <c r="E155" t="inlineStr">
        <is>
          <t>hornfels gris</t>
        </is>
      </c>
      <c r="F155" t="inlineStr">
        <is>
          <t>A</t>
        </is>
      </c>
      <c r="G155" t="inlineStr">
        <is>
          <t>ROM (Fase A = «material original procedente del tajo», p.1)</t>
        </is>
      </c>
      <c r="H155" t="inlineStr">
        <is>
          <t>Gravedad específica agregado grueso</t>
        </is>
      </c>
      <c r="I155" t="inlineStr">
        <is>
          <t>ASTM C127 / NTP 400.021</t>
        </is>
      </c>
      <c r="J155" t="inlineStr">
        <is>
          <t>Gs SSS</t>
        </is>
      </c>
      <c r="K155" t="n">
        <v>2.743</v>
      </c>
      <c r="L155" t="inlineStr">
        <is>
          <t>-</t>
        </is>
      </c>
      <c r="M155" t="n">
        <v>1</v>
      </c>
      <c r="N155" t="inlineStr">
        <is>
          <t>única</t>
        </is>
      </c>
      <c r="O155" t="inlineStr"/>
      <c r="P155" t="inlineStr">
        <is>
          <t>01/12/2009</t>
        </is>
      </c>
      <c r="Q155" t="inlineStr">
        <is>
          <t>48</t>
        </is>
      </c>
      <c r="R155" t="inlineStr">
        <is>
          <t>sí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G2010</t>
        </is>
      </c>
      <c r="B156" t="inlineStr">
        <is>
          <t>2010_Golder_Caracterizacion ROM IPCC.pdf</t>
        </is>
      </c>
      <c r="C156" t="inlineStr">
        <is>
          <t>Hornfels Gris</t>
        </is>
      </c>
      <c r="D156" t="inlineStr">
        <is>
          <t>Hornfels</t>
        </is>
      </c>
      <c r="E156" t="inlineStr">
        <is>
          <t>hornfels gris</t>
        </is>
      </c>
      <c r="F156" t="inlineStr">
        <is>
          <t>A</t>
        </is>
      </c>
      <c r="G156" t="inlineStr">
        <is>
          <t>ROM (Fase A = «material original procedente del tajo», p.1)</t>
        </is>
      </c>
      <c r="H156" t="inlineStr">
        <is>
          <t>Gravedad específica agregado grueso</t>
        </is>
      </c>
      <c r="I156" t="inlineStr">
        <is>
          <t>ASTM C127 / NTP 400.021</t>
        </is>
      </c>
      <c r="J156" t="inlineStr">
        <is>
          <t>Gs aparente (PEA)</t>
        </is>
      </c>
      <c r="K156" t="n">
        <v>2.755</v>
      </c>
      <c r="L156" t="inlineStr">
        <is>
          <t>-</t>
        </is>
      </c>
      <c r="M156" t="n">
        <v>1</v>
      </c>
      <c r="N156" t="inlineStr">
        <is>
          <t>única</t>
        </is>
      </c>
      <c r="O156" t="inlineStr"/>
      <c r="P156" t="inlineStr">
        <is>
          <t>01/12/2009</t>
        </is>
      </c>
      <c r="Q156" t="inlineStr">
        <is>
          <t>48</t>
        </is>
      </c>
      <c r="R156" t="inlineStr">
        <is>
          <t>sí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G2010</t>
        </is>
      </c>
      <c r="B157" t="inlineStr">
        <is>
          <t>2010_Golder_Caracterizacion ROM IPCC.pdf</t>
        </is>
      </c>
      <c r="C157" t="inlineStr">
        <is>
          <t>Hornfels Gris</t>
        </is>
      </c>
      <c r="D157" t="inlineStr">
        <is>
          <t>Hornfels</t>
        </is>
      </c>
      <c r="E157" t="inlineStr">
        <is>
          <t>hornfels gris</t>
        </is>
      </c>
      <c r="F157" t="inlineStr">
        <is>
          <t>A</t>
        </is>
      </c>
      <c r="G157" t="inlineStr">
        <is>
          <t>ROM (Fase A = «material original procedente del tajo», p.1)</t>
        </is>
      </c>
      <c r="H157" t="inlineStr">
        <is>
          <t>Absorción</t>
        </is>
      </c>
      <c r="I157" t="inlineStr">
        <is>
          <t>ASTM C127 / NTP 400.021</t>
        </is>
      </c>
      <c r="J157" t="inlineStr">
        <is>
          <t>Absorción</t>
        </is>
      </c>
      <c r="K157" t="n">
        <v>0.24</v>
      </c>
      <c r="L157" t="inlineStr">
        <is>
          <t>%</t>
        </is>
      </c>
      <c r="M157" t="n">
        <v>1</v>
      </c>
      <c r="N157" t="inlineStr">
        <is>
          <t>única</t>
        </is>
      </c>
      <c r="O157" t="inlineStr"/>
      <c r="P157" t="inlineStr">
        <is>
          <t>01/12/2009</t>
        </is>
      </c>
      <c r="Q157" t="inlineStr">
        <is>
          <t>48</t>
        </is>
      </c>
      <c r="R157" t="inlineStr">
        <is>
          <t>sí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G2010</t>
        </is>
      </c>
      <c r="B158" t="inlineStr">
        <is>
          <t>2010_Golder_Caracterizacion ROM IPCC.pdf</t>
        </is>
      </c>
      <c r="C158" t="inlineStr">
        <is>
          <t>Hornfels Gris</t>
        </is>
      </c>
      <c r="D158" t="inlineStr">
        <is>
          <t>Hornfels</t>
        </is>
      </c>
      <c r="E158" t="inlineStr">
        <is>
          <t>hornfels gris</t>
        </is>
      </c>
      <c r="F158" t="inlineStr">
        <is>
          <t>A</t>
        </is>
      </c>
      <c r="G158" t="inlineStr">
        <is>
          <t>ROM (Fase A = «material original procedente del tajo», p.1)</t>
        </is>
      </c>
      <c r="H158" t="inlineStr">
        <is>
          <t>Gravedad específica agregado grueso</t>
        </is>
      </c>
      <c r="I158" t="inlineStr">
        <is>
          <t>Tabla 2</t>
        </is>
      </c>
      <c r="J158" t="inlineStr">
        <is>
          <t>Gs material grueso (Tabla 2)</t>
        </is>
      </c>
      <c r="K158" t="n">
        <v>2.733</v>
      </c>
      <c r="L158" t="inlineStr">
        <is>
          <t>-</t>
        </is>
      </c>
      <c r="M158" t="n">
        <v>1</v>
      </c>
      <c r="N158" t="inlineStr">
        <is>
          <t>resumen</t>
        </is>
      </c>
      <c r="O158" t="inlineStr"/>
      <c r="P158" t="inlineStr"/>
      <c r="Q158" t="inlineStr">
        <is>
          <t>8</t>
        </is>
      </c>
      <c r="R158" t="inlineStr">
        <is>
          <t>sí</t>
        </is>
      </c>
      <c r="S158" t="inlineStr">
        <is>
          <t>DISCREPANCIA: Tabla 2 da Gs grueso 2.733; la hoja C127 da bulk 2.737 (ni SSS ni aparente coinciden).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G2010</t>
        </is>
      </c>
      <c r="B159" t="inlineStr">
        <is>
          <t>2010_Golder_Caracterizacion ROM IPCC.pdf</t>
        </is>
      </c>
      <c r="C159" t="inlineStr">
        <is>
          <t>Hornfels Gris</t>
        </is>
      </c>
      <c r="D159" t="inlineStr">
        <is>
          <t>Hornfels</t>
        </is>
      </c>
      <c r="E159" t="inlineStr">
        <is>
          <t>hornfels gris</t>
        </is>
      </c>
      <c r="F159" t="inlineStr">
        <is>
          <t>A</t>
        </is>
      </c>
      <c r="G159" t="inlineStr">
        <is>
          <t>ROM (Fase A = «material original procedente del tajo», p.1)</t>
        </is>
      </c>
      <c r="H159" t="inlineStr">
        <is>
          <t>Gravedad específica de sólidos</t>
        </is>
      </c>
      <c r="I159" t="inlineStr">
        <is>
          <t>ASTM D854</t>
        </is>
      </c>
      <c r="J159" t="inlineStr">
        <is>
          <t>Gs (fracción fina; fracción no especificada)</t>
        </is>
      </c>
      <c r="K159" t="n">
        <v>2.791</v>
      </c>
      <c r="L159" t="inlineStr">
        <is>
          <t>-</t>
        </is>
      </c>
      <c r="M159" t="n">
        <v>1</v>
      </c>
      <c r="N159" t="inlineStr">
        <is>
          <t>única</t>
        </is>
      </c>
      <c r="O159" t="inlineStr">
        <is>
          <t>picnómetro; muestra seca 30-80 g</t>
        </is>
      </c>
      <c r="P159" t="inlineStr"/>
      <c r="Q159" t="inlineStr">
        <is>
          <t>49</t>
        </is>
      </c>
      <c r="R159" t="inlineStr">
        <is>
          <t>sí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G2010</t>
        </is>
      </c>
      <c r="B160" t="inlineStr">
        <is>
          <t>2010_Golder_Caracterizacion ROM IPCC.pdf</t>
        </is>
      </c>
      <c r="C160" t="inlineStr">
        <is>
          <t>Hornfels Gris</t>
        </is>
      </c>
      <c r="D160" t="inlineStr">
        <is>
          <t>Hornfels</t>
        </is>
      </c>
      <c r="E160" t="inlineStr">
        <is>
          <t>hornfels gris</t>
        </is>
      </c>
      <c r="F160" t="inlineStr">
        <is>
          <t>A</t>
        </is>
      </c>
      <c r="G160" t="inlineStr">
        <is>
          <t>ROM (Fase A = «material original procedente del tajo», p.1)</t>
        </is>
      </c>
      <c r="H160" t="inlineStr">
        <is>
          <t>Gravedad específica de sólidos</t>
        </is>
      </c>
      <c r="I160" t="inlineStr">
        <is>
          <t>Tabla 2</t>
        </is>
      </c>
      <c r="J160" t="inlineStr">
        <is>
          <t>Gs material fino (Tabla 2)</t>
        </is>
      </c>
      <c r="K160" t="n">
        <v>2.791</v>
      </c>
      <c r="L160" t="inlineStr">
        <is>
          <t>-</t>
        </is>
      </c>
      <c r="M160" t="n">
        <v>1</v>
      </c>
      <c r="N160" t="inlineStr">
        <is>
          <t>resumen</t>
        </is>
      </c>
      <c r="O160" t="inlineStr"/>
      <c r="P160" t="inlineStr"/>
      <c r="Q160" t="inlineStr">
        <is>
          <t>8</t>
        </is>
      </c>
      <c r="R160" t="inlineStr">
        <is>
          <t>sí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G2010</t>
        </is>
      </c>
      <c r="B161" t="inlineStr">
        <is>
          <t>2010_Golder_Caracterizacion ROM IPCC.pdf</t>
        </is>
      </c>
      <c r="C161" t="inlineStr">
        <is>
          <t>Intrusivo</t>
        </is>
      </c>
      <c r="D161" t="inlineStr">
        <is>
          <t>Intrusivo</t>
        </is>
      </c>
      <c r="E161" t="inlineStr">
        <is>
          <t>sin subtipo</t>
        </is>
      </c>
      <c r="F161" t="inlineStr">
        <is>
          <t>A</t>
        </is>
      </c>
      <c r="G161" t="inlineStr">
        <is>
          <t>ROM (Fase A = «material original procedente del tajo», p.1)</t>
        </is>
      </c>
      <c r="H161" t="inlineStr">
        <is>
          <t>Gravedad específica agregado grueso</t>
        </is>
      </c>
      <c r="I161" t="inlineStr">
        <is>
          <t>ASTM C127 / NTP 400.021</t>
        </is>
      </c>
      <c r="J161" t="inlineStr">
        <is>
          <t>Gs bulk (PEM)</t>
        </is>
      </c>
      <c r="K161" t="n">
        <v>2.461</v>
      </c>
      <c r="L161" t="inlineStr">
        <is>
          <t>-</t>
        </is>
      </c>
      <c r="M161" t="n">
        <v>1</v>
      </c>
      <c r="N161" t="inlineStr">
        <is>
          <t>única</t>
        </is>
      </c>
      <c r="O161" t="inlineStr"/>
      <c r="P161" t="inlineStr">
        <is>
          <t>01/12/2009</t>
        </is>
      </c>
      <c r="Q161" t="inlineStr">
        <is>
          <t>48</t>
        </is>
      </c>
      <c r="R161" t="inlineStr">
        <is>
          <t>sí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G2010</t>
        </is>
      </c>
      <c r="B162" t="inlineStr">
        <is>
          <t>2010_Golder_Caracterizacion ROM IPCC.pdf</t>
        </is>
      </c>
      <c r="C162" t="inlineStr">
        <is>
          <t>Intrusivo</t>
        </is>
      </c>
      <c r="D162" t="inlineStr">
        <is>
          <t>Intrusivo</t>
        </is>
      </c>
      <c r="E162" t="inlineStr">
        <is>
          <t>sin subtipo</t>
        </is>
      </c>
      <c r="F162" t="inlineStr">
        <is>
          <t>A</t>
        </is>
      </c>
      <c r="G162" t="inlineStr">
        <is>
          <t>ROM (Fase A = «material original procedente del tajo», p.1)</t>
        </is>
      </c>
      <c r="H162" t="inlineStr">
        <is>
          <t>Gravedad específica agregado grueso</t>
        </is>
      </c>
      <c r="I162" t="inlineStr">
        <is>
          <t>ASTM C127 / NTP 400.021</t>
        </is>
      </c>
      <c r="J162" t="inlineStr">
        <is>
          <t>Gs SSS</t>
        </is>
      </c>
      <c r="K162" t="n">
        <v>2.502</v>
      </c>
      <c r="L162" t="inlineStr">
        <is>
          <t>-</t>
        </is>
      </c>
      <c r="M162" t="n">
        <v>1</v>
      </c>
      <c r="N162" t="inlineStr">
        <is>
          <t>única</t>
        </is>
      </c>
      <c r="O162" t="inlineStr"/>
      <c r="P162" t="inlineStr">
        <is>
          <t>01/12/2009</t>
        </is>
      </c>
      <c r="Q162" t="inlineStr">
        <is>
          <t>48</t>
        </is>
      </c>
      <c r="R162" t="inlineStr">
        <is>
          <t>sí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G2010</t>
        </is>
      </c>
      <c r="B163" t="inlineStr">
        <is>
          <t>2010_Golder_Caracterizacion ROM IPCC.pdf</t>
        </is>
      </c>
      <c r="C163" t="inlineStr">
        <is>
          <t>Intrusivo</t>
        </is>
      </c>
      <c r="D163" t="inlineStr">
        <is>
          <t>Intrusivo</t>
        </is>
      </c>
      <c r="E163" t="inlineStr">
        <is>
          <t>sin subtipo</t>
        </is>
      </c>
      <c r="F163" t="inlineStr">
        <is>
          <t>A</t>
        </is>
      </c>
      <c r="G163" t="inlineStr">
        <is>
          <t>ROM (Fase A = «material original procedente del tajo», p.1)</t>
        </is>
      </c>
      <c r="H163" t="inlineStr">
        <is>
          <t>Gravedad específica agregado grueso</t>
        </is>
      </c>
      <c r="I163" t="inlineStr">
        <is>
          <t>ASTM C127 / NTP 400.021</t>
        </is>
      </c>
      <c r="J163" t="inlineStr">
        <is>
          <t>Gs aparente (PEA)</t>
        </is>
      </c>
      <c r="K163" t="n">
        <v>2.566</v>
      </c>
      <c r="L163" t="inlineStr">
        <is>
          <t>-</t>
        </is>
      </c>
      <c r="M163" t="n">
        <v>1</v>
      </c>
      <c r="N163" t="inlineStr">
        <is>
          <t>única</t>
        </is>
      </c>
      <c r="O163" t="inlineStr"/>
      <c r="P163" t="inlineStr">
        <is>
          <t>01/12/2009</t>
        </is>
      </c>
      <c r="Q163" t="inlineStr">
        <is>
          <t>48</t>
        </is>
      </c>
      <c r="R163" t="inlineStr">
        <is>
          <t>sí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G2010</t>
        </is>
      </c>
      <c r="B164" t="inlineStr">
        <is>
          <t>2010_Golder_Caracterizacion ROM IPCC.pdf</t>
        </is>
      </c>
      <c r="C164" t="inlineStr">
        <is>
          <t>Intrusivo</t>
        </is>
      </c>
      <c r="D164" t="inlineStr">
        <is>
          <t>Intrusivo</t>
        </is>
      </c>
      <c r="E164" t="inlineStr">
        <is>
          <t>sin subtipo</t>
        </is>
      </c>
      <c r="F164" t="inlineStr">
        <is>
          <t>A</t>
        </is>
      </c>
      <c r="G164" t="inlineStr">
        <is>
          <t>ROM (Fase A = «material original procedente del tajo», p.1)</t>
        </is>
      </c>
      <c r="H164" t="inlineStr">
        <is>
          <t>Absorción</t>
        </is>
      </c>
      <c r="I164" t="inlineStr">
        <is>
          <t>ASTM C127 / NTP 400.021</t>
        </is>
      </c>
      <c r="J164" t="inlineStr">
        <is>
          <t>Absorción</t>
        </is>
      </c>
      <c r="K164" t="n">
        <v>1.66</v>
      </c>
      <c r="L164" t="inlineStr">
        <is>
          <t>%</t>
        </is>
      </c>
      <c r="M164" t="n">
        <v>1</v>
      </c>
      <c r="N164" t="inlineStr">
        <is>
          <t>única</t>
        </is>
      </c>
      <c r="O164" t="inlineStr"/>
      <c r="P164" t="inlineStr">
        <is>
          <t>01/12/2009</t>
        </is>
      </c>
      <c r="Q164" t="inlineStr">
        <is>
          <t>48</t>
        </is>
      </c>
      <c r="R164" t="inlineStr">
        <is>
          <t>sí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G2010</t>
        </is>
      </c>
      <c r="B165" t="inlineStr">
        <is>
          <t>2010_Golder_Caracterizacion ROM IPCC.pdf</t>
        </is>
      </c>
      <c r="C165" t="inlineStr">
        <is>
          <t>Intrusivo</t>
        </is>
      </c>
      <c r="D165" t="inlineStr">
        <is>
          <t>Intrusivo</t>
        </is>
      </c>
      <c r="E165" t="inlineStr">
        <is>
          <t>sin subtipo</t>
        </is>
      </c>
      <c r="F165" t="inlineStr">
        <is>
          <t>A</t>
        </is>
      </c>
      <c r="G165" t="inlineStr">
        <is>
          <t>ROM (Fase A = «material original procedente del tajo», p.1)</t>
        </is>
      </c>
      <c r="H165" t="inlineStr">
        <is>
          <t>Gravedad específica agregado grueso</t>
        </is>
      </c>
      <c r="I165" t="inlineStr">
        <is>
          <t>Tabla 2</t>
        </is>
      </c>
      <c r="J165" t="inlineStr">
        <is>
          <t>Gs material grueso (Tabla 2)</t>
        </is>
      </c>
      <c r="K165" t="n">
        <v>2.451</v>
      </c>
      <c r="L165" t="inlineStr">
        <is>
          <t>-</t>
        </is>
      </c>
      <c r="M165" t="n">
        <v>1</v>
      </c>
      <c r="N165" t="inlineStr">
        <is>
          <t>resumen</t>
        </is>
      </c>
      <c r="O165" t="inlineStr"/>
      <c r="P165" t="inlineStr"/>
      <c r="Q165" t="inlineStr">
        <is>
          <t>8</t>
        </is>
      </c>
      <c r="R165" t="inlineStr">
        <is>
          <t>sí</t>
        </is>
      </c>
      <c r="S165" t="inlineStr">
        <is>
          <t>DISCREPANCIA: Tabla 2 da Gs grueso 2.451; la hoja C127 da bulk 2.461 (ni SSS ni aparente coinciden).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G2010</t>
        </is>
      </c>
      <c r="B166" t="inlineStr">
        <is>
          <t>2010_Golder_Caracterizacion ROM IPCC.pdf</t>
        </is>
      </c>
      <c r="C166" t="inlineStr">
        <is>
          <t>Intrusivo</t>
        </is>
      </c>
      <c r="D166" t="inlineStr">
        <is>
          <t>Intrusivo</t>
        </is>
      </c>
      <c r="E166" t="inlineStr">
        <is>
          <t>sin subtipo</t>
        </is>
      </c>
      <c r="F166" t="inlineStr">
        <is>
          <t>A</t>
        </is>
      </c>
      <c r="G166" t="inlineStr">
        <is>
          <t>ROM (Fase A = «material original procedente del tajo», p.1)</t>
        </is>
      </c>
      <c r="H166" t="inlineStr">
        <is>
          <t>Gravedad específica de sólidos</t>
        </is>
      </c>
      <c r="I166" t="inlineStr">
        <is>
          <t>ASTM D854</t>
        </is>
      </c>
      <c r="J166" t="inlineStr">
        <is>
          <t>Gs (fracción fina; fracción no especificada)</t>
        </is>
      </c>
      <c r="K166" t="n">
        <v>2.674</v>
      </c>
      <c r="L166" t="inlineStr">
        <is>
          <t>-</t>
        </is>
      </c>
      <c r="M166" t="n">
        <v>1</v>
      </c>
      <c r="N166" t="inlineStr">
        <is>
          <t>única</t>
        </is>
      </c>
      <c r="O166" t="inlineStr">
        <is>
          <t>picnómetro; muestra seca 30-80 g</t>
        </is>
      </c>
      <c r="P166" t="inlineStr"/>
      <c r="Q166" t="inlineStr">
        <is>
          <t>49</t>
        </is>
      </c>
      <c r="R166" t="inlineStr">
        <is>
          <t>sí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G2010</t>
        </is>
      </c>
      <c r="B167" t="inlineStr">
        <is>
          <t>2010_Golder_Caracterizacion ROM IPCC.pdf</t>
        </is>
      </c>
      <c r="C167" t="inlineStr">
        <is>
          <t>Intrusivo</t>
        </is>
      </c>
      <c r="D167" t="inlineStr">
        <is>
          <t>Intrusivo</t>
        </is>
      </c>
      <c r="E167" t="inlineStr">
        <is>
          <t>sin subtipo</t>
        </is>
      </c>
      <c r="F167" t="inlineStr">
        <is>
          <t>A</t>
        </is>
      </c>
      <c r="G167" t="inlineStr">
        <is>
          <t>ROM (Fase A = «material original procedente del tajo», p.1)</t>
        </is>
      </c>
      <c r="H167" t="inlineStr">
        <is>
          <t>Gravedad específica de sólidos</t>
        </is>
      </c>
      <c r="I167" t="inlineStr">
        <is>
          <t>Tabla 2</t>
        </is>
      </c>
      <c r="J167" t="inlineStr">
        <is>
          <t>Gs material fino (Tabla 2)</t>
        </is>
      </c>
      <c r="K167" t="n">
        <v>2.674</v>
      </c>
      <c r="L167" t="inlineStr">
        <is>
          <t>-</t>
        </is>
      </c>
      <c r="M167" t="n">
        <v>1</v>
      </c>
      <c r="N167" t="inlineStr">
        <is>
          <t>resumen</t>
        </is>
      </c>
      <c r="O167" t="inlineStr"/>
      <c r="P167" t="inlineStr"/>
      <c r="Q167" t="inlineStr">
        <is>
          <t>8</t>
        </is>
      </c>
      <c r="R167" t="inlineStr">
        <is>
          <t>sí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G2010</t>
        </is>
      </c>
      <c r="B168" t="inlineStr">
        <is>
          <t>2010_Golder_Caracterizacion ROM IPCC.pdf</t>
        </is>
      </c>
      <c r="C168" t="inlineStr">
        <is>
          <t>Exoskarn Diopsido</t>
        </is>
      </c>
      <c r="D168" t="inlineStr">
        <is>
          <t>Skarn</t>
        </is>
      </c>
      <c r="E168" t="inlineStr">
        <is>
          <t>exoskarn diópsido</t>
        </is>
      </c>
      <c r="F168" t="inlineStr">
        <is>
          <t>A</t>
        </is>
      </c>
      <c r="G168" t="inlineStr">
        <is>
          <t>ROM (Fase A = «material original procedente del tajo», p.1)</t>
        </is>
      </c>
      <c r="H168" t="inlineStr">
        <is>
          <t>Gravedad específica agregado grueso</t>
        </is>
      </c>
      <c r="I168" t="inlineStr">
        <is>
          <t>ASTM C127 / NTP 400.021</t>
        </is>
      </c>
      <c r="J168" t="inlineStr">
        <is>
          <t>Gs bulk (PEM)</t>
        </is>
      </c>
      <c r="K168" t="n">
        <v>3.212</v>
      </c>
      <c r="L168" t="inlineStr">
        <is>
          <t>-</t>
        </is>
      </c>
      <c r="M168" t="n">
        <v>1</v>
      </c>
      <c r="N168" t="inlineStr">
        <is>
          <t>única</t>
        </is>
      </c>
      <c r="O168" t="inlineStr"/>
      <c r="P168" t="inlineStr">
        <is>
          <t>01/12/2009</t>
        </is>
      </c>
      <c r="Q168" t="inlineStr">
        <is>
          <t>48</t>
        </is>
      </c>
      <c r="R168" t="inlineStr">
        <is>
          <t>sí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G2010</t>
        </is>
      </c>
      <c r="B169" t="inlineStr">
        <is>
          <t>2010_Golder_Caracterizacion ROM IPCC.pdf</t>
        </is>
      </c>
      <c r="C169" t="inlineStr">
        <is>
          <t>Exoskarn Diopsido</t>
        </is>
      </c>
      <c r="D169" t="inlineStr">
        <is>
          <t>Skarn</t>
        </is>
      </c>
      <c r="E169" t="inlineStr">
        <is>
          <t>exoskarn diópsido</t>
        </is>
      </c>
      <c r="F169" t="inlineStr">
        <is>
          <t>A</t>
        </is>
      </c>
      <c r="G169" t="inlineStr">
        <is>
          <t>ROM (Fase A = «material original procedente del tajo», p.1)</t>
        </is>
      </c>
      <c r="H169" t="inlineStr">
        <is>
          <t>Gravedad específica agregado grueso</t>
        </is>
      </c>
      <c r="I169" t="inlineStr">
        <is>
          <t>ASTM C127 / NTP 400.021</t>
        </is>
      </c>
      <c r="J169" t="inlineStr">
        <is>
          <t>Gs SSS</t>
        </is>
      </c>
      <c r="K169" t="n">
        <v>3.259</v>
      </c>
      <c r="L169" t="inlineStr">
        <is>
          <t>-</t>
        </is>
      </c>
      <c r="M169" t="n">
        <v>1</v>
      </c>
      <c r="N169" t="inlineStr">
        <is>
          <t>única</t>
        </is>
      </c>
      <c r="O169" t="inlineStr"/>
      <c r="P169" t="inlineStr">
        <is>
          <t>01/12/2009</t>
        </is>
      </c>
      <c r="Q169" t="inlineStr">
        <is>
          <t>48</t>
        </is>
      </c>
      <c r="R169" t="inlineStr">
        <is>
          <t>sí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G2010</t>
        </is>
      </c>
      <c r="B170" t="inlineStr">
        <is>
          <t>2010_Golder_Caracterizacion ROM IPCC.pdf</t>
        </is>
      </c>
      <c r="C170" t="inlineStr">
        <is>
          <t>Exoskarn Diopsido</t>
        </is>
      </c>
      <c r="D170" t="inlineStr">
        <is>
          <t>Skarn</t>
        </is>
      </c>
      <c r="E170" t="inlineStr">
        <is>
          <t>exoskarn diópsido</t>
        </is>
      </c>
      <c r="F170" t="inlineStr">
        <is>
          <t>A</t>
        </is>
      </c>
      <c r="G170" t="inlineStr">
        <is>
          <t>ROM (Fase A = «material original procedente del tajo», p.1)</t>
        </is>
      </c>
      <c r="H170" t="inlineStr">
        <is>
          <t>Gravedad específica agregado grueso</t>
        </is>
      </c>
      <c r="I170" t="inlineStr">
        <is>
          <t>ASTM C127 / NTP 400.021</t>
        </is>
      </c>
      <c r="J170" t="inlineStr">
        <is>
          <t>Gs aparente (PEA)</t>
        </is>
      </c>
      <c r="K170" t="n">
        <v>3.368</v>
      </c>
      <c r="L170" t="inlineStr">
        <is>
          <t>-</t>
        </is>
      </c>
      <c r="M170" t="n">
        <v>1</v>
      </c>
      <c r="N170" t="inlineStr">
        <is>
          <t>única</t>
        </is>
      </c>
      <c r="O170" t="inlineStr"/>
      <c r="P170" t="inlineStr">
        <is>
          <t>01/12/2009</t>
        </is>
      </c>
      <c r="Q170" t="inlineStr">
        <is>
          <t>48</t>
        </is>
      </c>
      <c r="R170" t="inlineStr">
        <is>
          <t>sí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G2010</t>
        </is>
      </c>
      <c r="B171" t="inlineStr">
        <is>
          <t>2010_Golder_Caracterizacion ROM IPCC.pdf</t>
        </is>
      </c>
      <c r="C171" t="inlineStr">
        <is>
          <t>Exoskarn Diopsido</t>
        </is>
      </c>
      <c r="D171" t="inlineStr">
        <is>
          <t>Skarn</t>
        </is>
      </c>
      <c r="E171" t="inlineStr">
        <is>
          <t>exoskarn diópsido</t>
        </is>
      </c>
      <c r="F171" t="inlineStr">
        <is>
          <t>A</t>
        </is>
      </c>
      <c r="G171" t="inlineStr">
        <is>
          <t>ROM (Fase A = «material original procedente del tajo», p.1)</t>
        </is>
      </c>
      <c r="H171" t="inlineStr">
        <is>
          <t>Absorción</t>
        </is>
      </c>
      <c r="I171" t="inlineStr">
        <is>
          <t>ASTM C127 / NTP 400.021</t>
        </is>
      </c>
      <c r="J171" t="inlineStr">
        <is>
          <t>Absorción</t>
        </is>
      </c>
      <c r="K171" t="n">
        <v>1.44</v>
      </c>
      <c r="L171" t="inlineStr">
        <is>
          <t>%</t>
        </is>
      </c>
      <c r="M171" t="n">
        <v>1</v>
      </c>
      <c r="N171" t="inlineStr">
        <is>
          <t>única</t>
        </is>
      </c>
      <c r="O171" t="inlineStr"/>
      <c r="P171" t="inlineStr">
        <is>
          <t>01/12/2009</t>
        </is>
      </c>
      <c r="Q171" t="inlineStr">
        <is>
          <t>48</t>
        </is>
      </c>
      <c r="R171" t="inlineStr">
        <is>
          <t>sí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G2010</t>
        </is>
      </c>
      <c r="B172" t="inlineStr">
        <is>
          <t>2010_Golder_Caracterizacion ROM IPCC.pdf</t>
        </is>
      </c>
      <c r="C172" t="inlineStr">
        <is>
          <t>Exoskarn Diopsido</t>
        </is>
      </c>
      <c r="D172" t="inlineStr">
        <is>
          <t>Skarn</t>
        </is>
      </c>
      <c r="E172" t="inlineStr">
        <is>
          <t>exoskarn diópsido</t>
        </is>
      </c>
      <c r="F172" t="inlineStr">
        <is>
          <t>A</t>
        </is>
      </c>
      <c r="G172" t="inlineStr">
        <is>
          <t>ROM (Fase A = «material original procedente del tajo», p.1)</t>
        </is>
      </c>
      <c r="H172" t="inlineStr">
        <is>
          <t>Gravedad específica agregado grueso</t>
        </is>
      </c>
      <c r="I172" t="inlineStr">
        <is>
          <t>Tabla 2</t>
        </is>
      </c>
      <c r="J172" t="inlineStr">
        <is>
          <t>Gs material grueso (Tabla 2)</t>
        </is>
      </c>
      <c r="K172" t="n">
        <v>3.172</v>
      </c>
      <c r="L172" t="inlineStr">
        <is>
          <t>-</t>
        </is>
      </c>
      <c r="M172" t="n">
        <v>1</v>
      </c>
      <c r="N172" t="inlineStr">
        <is>
          <t>resumen</t>
        </is>
      </c>
      <c r="O172" t="inlineStr"/>
      <c r="P172" t="inlineStr"/>
      <c r="Q172" t="inlineStr">
        <is>
          <t>8</t>
        </is>
      </c>
      <c r="R172" t="inlineStr">
        <is>
          <t>sí</t>
        </is>
      </c>
      <c r="S172" t="inlineStr">
        <is>
          <t>DISCREPANCIA: Tabla 2 da Gs grueso 3.172; la hoja C127 da bulk 3.212 (ni SSS ni aparente coinciden).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G2010</t>
        </is>
      </c>
      <c r="B173" t="inlineStr">
        <is>
          <t>2010_Golder_Caracterizacion ROM IPCC.pdf</t>
        </is>
      </c>
      <c r="C173" t="inlineStr">
        <is>
          <t>Exoskarn Diopsido</t>
        </is>
      </c>
      <c r="D173" t="inlineStr">
        <is>
          <t>Skarn</t>
        </is>
      </c>
      <c r="E173" t="inlineStr">
        <is>
          <t>exoskarn diópsido</t>
        </is>
      </c>
      <c r="F173" t="inlineStr">
        <is>
          <t>A</t>
        </is>
      </c>
      <c r="G173" t="inlineStr">
        <is>
          <t>ROM (Fase A = «material original procedente del tajo», p.1)</t>
        </is>
      </c>
      <c r="H173" t="inlineStr">
        <is>
          <t>Gravedad específica de sólidos</t>
        </is>
      </c>
      <c r="I173" t="inlineStr">
        <is>
          <t>ASTM D854</t>
        </is>
      </c>
      <c r="J173" t="inlineStr">
        <is>
          <t>Gs (fracción fina; fracción no especificada)</t>
        </is>
      </c>
      <c r="K173" t="n">
        <v>3.484</v>
      </c>
      <c r="L173" t="inlineStr">
        <is>
          <t>-</t>
        </is>
      </c>
      <c r="M173" t="n">
        <v>1</v>
      </c>
      <c r="N173" t="inlineStr">
        <is>
          <t>única</t>
        </is>
      </c>
      <c r="O173" t="inlineStr">
        <is>
          <t>picnómetro; muestra seca 30-80 g</t>
        </is>
      </c>
      <c r="P173" t="inlineStr"/>
      <c r="Q173" t="inlineStr">
        <is>
          <t>49</t>
        </is>
      </c>
      <c r="R173" t="inlineStr">
        <is>
          <t>sí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G2010</t>
        </is>
      </c>
      <c r="B174" t="inlineStr">
        <is>
          <t>2010_Golder_Caracterizacion ROM IPCC.pdf</t>
        </is>
      </c>
      <c r="C174" t="inlineStr">
        <is>
          <t>Exoskarn Diopsido</t>
        </is>
      </c>
      <c r="D174" t="inlineStr">
        <is>
          <t>Skarn</t>
        </is>
      </c>
      <c r="E174" t="inlineStr">
        <is>
          <t>exoskarn diópsido</t>
        </is>
      </c>
      <c r="F174" t="inlineStr">
        <is>
          <t>A</t>
        </is>
      </c>
      <c r="G174" t="inlineStr">
        <is>
          <t>ROM (Fase A = «material original procedente del tajo», p.1)</t>
        </is>
      </c>
      <c r="H174" t="inlineStr">
        <is>
          <t>Gravedad específica de sólidos</t>
        </is>
      </c>
      <c r="I174" t="inlineStr">
        <is>
          <t>Tabla 2</t>
        </is>
      </c>
      <c r="J174" t="inlineStr">
        <is>
          <t>Gs material fino (Tabla 2)</t>
        </is>
      </c>
      <c r="K174" t="n">
        <v>3.484</v>
      </c>
      <c r="L174" t="inlineStr">
        <is>
          <t>-</t>
        </is>
      </c>
      <c r="M174" t="n">
        <v>1</v>
      </c>
      <c r="N174" t="inlineStr">
        <is>
          <t>resumen</t>
        </is>
      </c>
      <c r="O174" t="inlineStr"/>
      <c r="P174" t="inlineStr"/>
      <c r="Q174" t="inlineStr">
        <is>
          <t>8</t>
        </is>
      </c>
      <c r="R174" t="inlineStr">
        <is>
          <t>sí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G2010</t>
        </is>
      </c>
      <c r="B175" t="inlineStr">
        <is>
          <t>2010_Golder_Caracterizacion ROM IPCC.pdf</t>
        </is>
      </c>
      <c r="C175" t="inlineStr">
        <is>
          <t>Mármol Negro</t>
        </is>
      </c>
      <c r="D175" t="inlineStr">
        <is>
          <t>Mármol</t>
        </is>
      </c>
      <c r="E175" t="inlineStr">
        <is>
          <t>mármol negro</t>
        </is>
      </c>
      <c r="F175" t="inlineStr">
        <is>
          <t>A</t>
        </is>
      </c>
      <c r="G175" t="inlineStr">
        <is>
          <t>ROM (Fase A = «material original procedente del tajo», p.1)</t>
        </is>
      </c>
      <c r="H175" t="inlineStr">
        <is>
          <t>Gravedad específica agregado grueso</t>
        </is>
      </c>
      <c r="I175" t="inlineStr">
        <is>
          <t>ASTM C127 / NTP 400.021</t>
        </is>
      </c>
      <c r="J175" t="inlineStr">
        <is>
          <t>Gs bulk (PEM)</t>
        </is>
      </c>
      <c r="K175" t="n">
        <v>2.717</v>
      </c>
      <c r="L175" t="inlineStr">
        <is>
          <t>-</t>
        </is>
      </c>
      <c r="M175" t="n">
        <v>1</v>
      </c>
      <c r="N175" t="inlineStr">
        <is>
          <t>única</t>
        </is>
      </c>
      <c r="O175" t="inlineStr"/>
      <c r="P175" t="inlineStr">
        <is>
          <t>01/12/2009</t>
        </is>
      </c>
      <c r="Q175" t="inlineStr">
        <is>
          <t>48</t>
        </is>
      </c>
      <c r="R175" t="inlineStr">
        <is>
          <t>sí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G2010</t>
        </is>
      </c>
      <c r="B176" t="inlineStr">
        <is>
          <t>2010_Golder_Caracterizacion ROM IPCC.pdf</t>
        </is>
      </c>
      <c r="C176" t="inlineStr">
        <is>
          <t>Mármol Negro</t>
        </is>
      </c>
      <c r="D176" t="inlineStr">
        <is>
          <t>Mármol</t>
        </is>
      </c>
      <c r="E176" t="inlineStr">
        <is>
          <t>mármol negro</t>
        </is>
      </c>
      <c r="F176" t="inlineStr">
        <is>
          <t>A</t>
        </is>
      </c>
      <c r="G176" t="inlineStr">
        <is>
          <t>ROM (Fase A = «material original procedente del tajo», p.1)</t>
        </is>
      </c>
      <c r="H176" t="inlineStr">
        <is>
          <t>Gravedad específica agregado grueso</t>
        </is>
      </c>
      <c r="I176" t="inlineStr">
        <is>
          <t>ASTM C127 / NTP 400.021</t>
        </is>
      </c>
      <c r="J176" t="inlineStr">
        <is>
          <t>Gs SSS</t>
        </is>
      </c>
      <c r="K176" t="n">
        <v>2.727</v>
      </c>
      <c r="L176" t="inlineStr">
        <is>
          <t>-</t>
        </is>
      </c>
      <c r="M176" t="n">
        <v>1</v>
      </c>
      <c r="N176" t="inlineStr">
        <is>
          <t>única</t>
        </is>
      </c>
      <c r="O176" t="inlineStr"/>
      <c r="P176" t="inlineStr">
        <is>
          <t>01/12/2009</t>
        </is>
      </c>
      <c r="Q176" t="inlineStr">
        <is>
          <t>48</t>
        </is>
      </c>
      <c r="R176" t="inlineStr">
        <is>
          <t>sí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G2010</t>
        </is>
      </c>
      <c r="B177" t="inlineStr">
        <is>
          <t>2010_Golder_Caracterizacion ROM IPCC.pdf</t>
        </is>
      </c>
      <c r="C177" t="inlineStr">
        <is>
          <t>Mármol Negro</t>
        </is>
      </c>
      <c r="D177" t="inlineStr">
        <is>
          <t>Mármol</t>
        </is>
      </c>
      <c r="E177" t="inlineStr">
        <is>
          <t>mármol negro</t>
        </is>
      </c>
      <c r="F177" t="inlineStr">
        <is>
          <t>A</t>
        </is>
      </c>
      <c r="G177" t="inlineStr">
        <is>
          <t>ROM (Fase A = «material original procedente del tajo», p.1)</t>
        </is>
      </c>
      <c r="H177" t="inlineStr">
        <is>
          <t>Gravedad específica agregado grueso</t>
        </is>
      </c>
      <c r="I177" t="inlineStr">
        <is>
          <t>ASTM C127 / NTP 400.021</t>
        </is>
      </c>
      <c r="J177" t="inlineStr">
        <is>
          <t>Gs aparente (PEA)</t>
        </is>
      </c>
      <c r="K177" t="n">
        <v>2.743</v>
      </c>
      <c r="L177" t="inlineStr">
        <is>
          <t>-</t>
        </is>
      </c>
      <c r="M177" t="n">
        <v>1</v>
      </c>
      <c r="N177" t="inlineStr">
        <is>
          <t>única</t>
        </is>
      </c>
      <c r="O177" t="inlineStr"/>
      <c r="P177" t="inlineStr">
        <is>
          <t>01/12/2009</t>
        </is>
      </c>
      <c r="Q177" t="inlineStr">
        <is>
          <t>48</t>
        </is>
      </c>
      <c r="R177" t="inlineStr">
        <is>
          <t>sí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G2010</t>
        </is>
      </c>
      <c r="B178" t="inlineStr">
        <is>
          <t>2010_Golder_Caracterizacion ROM IPCC.pdf</t>
        </is>
      </c>
      <c r="C178" t="inlineStr">
        <is>
          <t>Mármol Negro</t>
        </is>
      </c>
      <c r="D178" t="inlineStr">
        <is>
          <t>Mármol</t>
        </is>
      </c>
      <c r="E178" t="inlineStr">
        <is>
          <t>mármol negro</t>
        </is>
      </c>
      <c r="F178" t="inlineStr">
        <is>
          <t>A</t>
        </is>
      </c>
      <c r="G178" t="inlineStr">
        <is>
          <t>ROM (Fase A = «material original procedente del tajo», p.1)</t>
        </is>
      </c>
      <c r="H178" t="inlineStr">
        <is>
          <t>Absorción</t>
        </is>
      </c>
      <c r="I178" t="inlineStr">
        <is>
          <t>ASTM C127 / NTP 400.021</t>
        </is>
      </c>
      <c r="J178" t="inlineStr">
        <is>
          <t>Absorción</t>
        </is>
      </c>
      <c r="K178" t="n">
        <v>0.34</v>
      </c>
      <c r="L178" t="inlineStr">
        <is>
          <t>%</t>
        </is>
      </c>
      <c r="M178" t="n">
        <v>1</v>
      </c>
      <c r="N178" t="inlineStr">
        <is>
          <t>única</t>
        </is>
      </c>
      <c r="O178" t="inlineStr"/>
      <c r="P178" t="inlineStr">
        <is>
          <t>01/12/2009</t>
        </is>
      </c>
      <c r="Q178" t="inlineStr">
        <is>
          <t>48</t>
        </is>
      </c>
      <c r="R178" t="inlineStr">
        <is>
          <t>sí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G2010</t>
        </is>
      </c>
      <c r="B179" t="inlineStr">
        <is>
          <t>2010_Golder_Caracterizacion ROM IPCC.pdf</t>
        </is>
      </c>
      <c r="C179" t="inlineStr">
        <is>
          <t>Mármol Negro</t>
        </is>
      </c>
      <c r="D179" t="inlineStr">
        <is>
          <t>Mármol</t>
        </is>
      </c>
      <c r="E179" t="inlineStr">
        <is>
          <t>mármol negro</t>
        </is>
      </c>
      <c r="F179" t="inlineStr">
        <is>
          <t>A</t>
        </is>
      </c>
      <c r="G179" t="inlineStr">
        <is>
          <t>ROM (Fase A = «material original procedente del tajo», p.1)</t>
        </is>
      </c>
      <c r="H179" t="inlineStr">
        <is>
          <t>Gravedad específica agregado grueso</t>
        </is>
      </c>
      <c r="I179" t="inlineStr">
        <is>
          <t>Tabla 2</t>
        </is>
      </c>
      <c r="J179" t="inlineStr">
        <is>
          <t>Gs material grueso (Tabla 2)</t>
        </is>
      </c>
      <c r="K179" t="n">
        <v>2.696</v>
      </c>
      <c r="L179" t="inlineStr">
        <is>
          <t>-</t>
        </is>
      </c>
      <c r="M179" t="n">
        <v>1</v>
      </c>
      <c r="N179" t="inlineStr">
        <is>
          <t>resumen</t>
        </is>
      </c>
      <c r="O179" t="inlineStr"/>
      <c r="P179" t="inlineStr"/>
      <c r="Q179" t="inlineStr">
        <is>
          <t>8</t>
        </is>
      </c>
      <c r="R179" t="inlineStr">
        <is>
          <t>sí</t>
        </is>
      </c>
      <c r="S179" t="inlineStr">
        <is>
          <t>DISCREPANCIA: Tabla 2 da Gs grueso 2.696; la hoja C127 da bulk 2.717 (ni SSS ni aparente coinciden).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G2010</t>
        </is>
      </c>
      <c r="B180" t="inlineStr">
        <is>
          <t>2010_Golder_Caracterizacion ROM IPCC.pdf</t>
        </is>
      </c>
      <c r="C180" t="inlineStr">
        <is>
          <t>Mármol Negro</t>
        </is>
      </c>
      <c r="D180" t="inlineStr">
        <is>
          <t>Mármol</t>
        </is>
      </c>
      <c r="E180" t="inlineStr">
        <is>
          <t>mármol negro</t>
        </is>
      </c>
      <c r="F180" t="inlineStr">
        <is>
          <t>A</t>
        </is>
      </c>
      <c r="G180" t="inlineStr">
        <is>
          <t>ROM (Fase A = «material original procedente del tajo», p.1)</t>
        </is>
      </c>
      <c r="H180" t="inlineStr">
        <is>
          <t>Gravedad específica de sólidos</t>
        </is>
      </c>
      <c r="I180" t="inlineStr">
        <is>
          <t>ASTM D854</t>
        </is>
      </c>
      <c r="J180" t="inlineStr">
        <is>
          <t>Gs (fracción fina; fracción no especificada)</t>
        </is>
      </c>
      <c r="K180" t="n">
        <v>2.763</v>
      </c>
      <c r="L180" t="inlineStr">
        <is>
          <t>-</t>
        </is>
      </c>
      <c r="M180" t="n">
        <v>1</v>
      </c>
      <c r="N180" t="inlineStr">
        <is>
          <t>única</t>
        </is>
      </c>
      <c r="O180" t="inlineStr">
        <is>
          <t>picnómetro; muestra seca 30-80 g</t>
        </is>
      </c>
      <c r="P180" t="inlineStr"/>
      <c r="Q180" t="inlineStr">
        <is>
          <t>49</t>
        </is>
      </c>
      <c r="R180" t="inlineStr">
        <is>
          <t>sí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G2010</t>
        </is>
      </c>
      <c r="B181" t="inlineStr">
        <is>
          <t>2010_Golder_Caracterizacion ROM IPCC.pdf</t>
        </is>
      </c>
      <c r="C181" t="inlineStr">
        <is>
          <t>Mármol Negro</t>
        </is>
      </c>
      <c r="D181" t="inlineStr">
        <is>
          <t>Mármol</t>
        </is>
      </c>
      <c r="E181" t="inlineStr">
        <is>
          <t>mármol negro</t>
        </is>
      </c>
      <c r="F181" t="inlineStr">
        <is>
          <t>A</t>
        </is>
      </c>
      <c r="G181" t="inlineStr">
        <is>
          <t>ROM (Fase A = «material original procedente del tajo», p.1)</t>
        </is>
      </c>
      <c r="H181" t="inlineStr">
        <is>
          <t>Gravedad específica de sólidos</t>
        </is>
      </c>
      <c r="I181" t="inlineStr">
        <is>
          <t>Tabla 2</t>
        </is>
      </c>
      <c r="J181" t="inlineStr">
        <is>
          <t>Gs material fino (Tabla 2)</t>
        </is>
      </c>
      <c r="K181" t="n">
        <v>2.763</v>
      </c>
      <c r="L181" t="inlineStr">
        <is>
          <t>-</t>
        </is>
      </c>
      <c r="M181" t="n">
        <v>1</v>
      </c>
      <c r="N181" t="inlineStr">
        <is>
          <t>resumen</t>
        </is>
      </c>
      <c r="O181" t="inlineStr"/>
      <c r="P181" t="inlineStr"/>
      <c r="Q181" t="inlineStr">
        <is>
          <t>8</t>
        </is>
      </c>
      <c r="R181" t="inlineStr">
        <is>
          <t>sí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G2010</t>
        </is>
      </c>
      <c r="B182" t="inlineStr">
        <is>
          <t>2010_Golder_Caracterizacion ROM IPCC.pdf</t>
        </is>
      </c>
      <c r="C182" t="inlineStr">
        <is>
          <t>Hornfels Gris</t>
        </is>
      </c>
      <c r="D182" t="inlineStr">
        <is>
          <t>Hornfels</t>
        </is>
      </c>
      <c r="E182" t="inlineStr">
        <is>
          <t>hornfels gris</t>
        </is>
      </c>
      <c r="F182" t="inlineStr">
        <is>
          <t>B</t>
        </is>
      </c>
      <c r="G182" t="inlineStr">
        <is>
          <t>Chancado (Fase B = «material chancado», p.1)</t>
        </is>
      </c>
      <c r="H182" t="inlineStr">
        <is>
          <t>Gravedad específica agregado grueso</t>
        </is>
      </c>
      <c r="I182" t="inlineStr">
        <is>
          <t>ASTM C127 / NTP 400.021</t>
        </is>
      </c>
      <c r="J182" t="inlineStr">
        <is>
          <t>Gs bulk (PEM)</t>
        </is>
      </c>
      <c r="K182" t="n">
        <v>2.74</v>
      </c>
      <c r="L182" t="inlineStr">
        <is>
          <t>-</t>
        </is>
      </c>
      <c r="M182" t="n">
        <v>1</v>
      </c>
      <c r="N182" t="inlineStr">
        <is>
          <t>única</t>
        </is>
      </c>
      <c r="O182" t="inlineStr"/>
      <c r="P182" t="inlineStr">
        <is>
          <t>01/12/2009</t>
        </is>
      </c>
      <c r="Q182" t="inlineStr">
        <is>
          <t>48</t>
        </is>
      </c>
      <c r="R182" t="inlineStr">
        <is>
          <t>sí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G2010</t>
        </is>
      </c>
      <c r="B183" t="inlineStr">
        <is>
          <t>2010_Golder_Caracterizacion ROM IPCC.pdf</t>
        </is>
      </c>
      <c r="C183" t="inlineStr">
        <is>
          <t>Hornfels Gris</t>
        </is>
      </c>
      <c r="D183" t="inlineStr">
        <is>
          <t>Hornfels</t>
        </is>
      </c>
      <c r="E183" t="inlineStr">
        <is>
          <t>hornfels gris</t>
        </is>
      </c>
      <c r="F183" t="inlineStr">
        <is>
          <t>B</t>
        </is>
      </c>
      <c r="G183" t="inlineStr">
        <is>
          <t>Chancado (Fase B = «material chancado», p.1)</t>
        </is>
      </c>
      <c r="H183" t="inlineStr">
        <is>
          <t>Gravedad específica agregado grueso</t>
        </is>
      </c>
      <c r="I183" t="inlineStr">
        <is>
          <t>ASTM C127 / NTP 400.021</t>
        </is>
      </c>
      <c r="J183" t="inlineStr">
        <is>
          <t>Gs SSS</t>
        </is>
      </c>
      <c r="K183" t="n">
        <v>2.744</v>
      </c>
      <c r="L183" t="inlineStr">
        <is>
          <t>-</t>
        </is>
      </c>
      <c r="M183" t="n">
        <v>1</v>
      </c>
      <c r="N183" t="inlineStr">
        <is>
          <t>única</t>
        </is>
      </c>
      <c r="O183" t="inlineStr"/>
      <c r="P183" t="inlineStr">
        <is>
          <t>01/12/2009</t>
        </is>
      </c>
      <c r="Q183" t="inlineStr">
        <is>
          <t>48</t>
        </is>
      </c>
      <c r="R183" t="inlineStr">
        <is>
          <t>sí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G2010</t>
        </is>
      </c>
      <c r="B184" t="inlineStr">
        <is>
          <t>2010_Golder_Caracterizacion ROM IPCC.pdf</t>
        </is>
      </c>
      <c r="C184" t="inlineStr">
        <is>
          <t>Hornfels Gris</t>
        </is>
      </c>
      <c r="D184" t="inlineStr">
        <is>
          <t>Hornfels</t>
        </is>
      </c>
      <c r="E184" t="inlineStr">
        <is>
          <t>hornfels gris</t>
        </is>
      </c>
      <c r="F184" t="inlineStr">
        <is>
          <t>B</t>
        </is>
      </c>
      <c r="G184" t="inlineStr">
        <is>
          <t>Chancado (Fase B = «material chancado», p.1)</t>
        </is>
      </c>
      <c r="H184" t="inlineStr">
        <is>
          <t>Gravedad específica agregado grueso</t>
        </is>
      </c>
      <c r="I184" t="inlineStr">
        <is>
          <t>ASTM C127 / NTP 400.021</t>
        </is>
      </c>
      <c r="J184" t="inlineStr">
        <is>
          <t>Gs aparente (PEA)</t>
        </is>
      </c>
      <c r="K184" t="n">
        <v>2.749</v>
      </c>
      <c r="L184" t="inlineStr">
        <is>
          <t>-</t>
        </is>
      </c>
      <c r="M184" t="n">
        <v>1</v>
      </c>
      <c r="N184" t="inlineStr">
        <is>
          <t>única</t>
        </is>
      </c>
      <c r="O184" t="inlineStr"/>
      <c r="P184" t="inlineStr">
        <is>
          <t>01/12/2009</t>
        </is>
      </c>
      <c r="Q184" t="inlineStr">
        <is>
          <t>48</t>
        </is>
      </c>
      <c r="R184" t="inlineStr">
        <is>
          <t>sí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G2010</t>
        </is>
      </c>
      <c r="B185" t="inlineStr">
        <is>
          <t>2010_Golder_Caracterizacion ROM IPCC.pdf</t>
        </is>
      </c>
      <c r="C185" t="inlineStr">
        <is>
          <t>Hornfels Gris</t>
        </is>
      </c>
      <c r="D185" t="inlineStr">
        <is>
          <t>Hornfels</t>
        </is>
      </c>
      <c r="E185" t="inlineStr">
        <is>
          <t>hornfels gris</t>
        </is>
      </c>
      <c r="F185" t="inlineStr">
        <is>
          <t>B</t>
        </is>
      </c>
      <c r="G185" t="inlineStr">
        <is>
          <t>Chancado (Fase B = «material chancado», p.1)</t>
        </is>
      </c>
      <c r="H185" t="inlineStr">
        <is>
          <t>Absorción</t>
        </is>
      </c>
      <c r="I185" t="inlineStr">
        <is>
          <t>ASTM C127 / NTP 400.021</t>
        </is>
      </c>
      <c r="J185" t="inlineStr">
        <is>
          <t>Absorción</t>
        </is>
      </c>
      <c r="K185" t="n">
        <v>0.12</v>
      </c>
      <c r="L185" t="inlineStr">
        <is>
          <t>%</t>
        </is>
      </c>
      <c r="M185" t="n">
        <v>1</v>
      </c>
      <c r="N185" t="inlineStr">
        <is>
          <t>única</t>
        </is>
      </c>
      <c r="O185" t="inlineStr"/>
      <c r="P185" t="inlineStr">
        <is>
          <t>01/12/2009</t>
        </is>
      </c>
      <c r="Q185" t="inlineStr">
        <is>
          <t>48</t>
        </is>
      </c>
      <c r="R185" t="inlineStr">
        <is>
          <t>sí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G2010</t>
        </is>
      </c>
      <c r="B186" t="inlineStr">
        <is>
          <t>2010_Golder_Caracterizacion ROM IPCC.pdf</t>
        </is>
      </c>
      <c r="C186" t="inlineStr">
        <is>
          <t>Hornfels Gris</t>
        </is>
      </c>
      <c r="D186" t="inlineStr">
        <is>
          <t>Hornfels</t>
        </is>
      </c>
      <c r="E186" t="inlineStr">
        <is>
          <t>hornfels gris</t>
        </is>
      </c>
      <c r="F186" t="inlineStr">
        <is>
          <t>B</t>
        </is>
      </c>
      <c r="G186" t="inlineStr">
        <is>
          <t>Chancado (Fase B = «material chancado», p.1)</t>
        </is>
      </c>
      <c r="H186" t="inlineStr">
        <is>
          <t>Gravedad específica agregado grueso</t>
        </is>
      </c>
      <c r="I186" t="inlineStr">
        <is>
          <t>Tabla 2</t>
        </is>
      </c>
      <c r="J186" t="inlineStr">
        <is>
          <t>Gs material grueso (Tabla 2)</t>
        </is>
      </c>
      <c r="K186" t="n">
        <v>2.74</v>
      </c>
      <c r="L186" t="inlineStr">
        <is>
          <t>-</t>
        </is>
      </c>
      <c r="M186" t="n">
        <v>1</v>
      </c>
      <c r="N186" t="inlineStr">
        <is>
          <t>resumen</t>
        </is>
      </c>
      <c r="O186" t="inlineStr"/>
      <c r="P186" t="inlineStr"/>
      <c r="Q186" t="inlineStr">
        <is>
          <t>8</t>
        </is>
      </c>
      <c r="R186" t="inlineStr">
        <is>
          <t>sí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G2010</t>
        </is>
      </c>
      <c r="B187" t="inlineStr">
        <is>
          <t>2010_Golder_Caracterizacion ROM IPCC.pdf</t>
        </is>
      </c>
      <c r="C187" t="inlineStr">
        <is>
          <t>Hornfels Gris</t>
        </is>
      </c>
      <c r="D187" t="inlineStr">
        <is>
          <t>Hornfels</t>
        </is>
      </c>
      <c r="E187" t="inlineStr">
        <is>
          <t>hornfels gris</t>
        </is>
      </c>
      <c r="F187" t="inlineStr">
        <is>
          <t>B</t>
        </is>
      </c>
      <c r="G187" t="inlineStr">
        <is>
          <t>Chancado (Fase B = «material chancado», p.1)</t>
        </is>
      </c>
      <c r="H187" t="inlineStr">
        <is>
          <t>Gravedad específica de sólidos</t>
        </is>
      </c>
      <c r="I187" t="inlineStr">
        <is>
          <t>ASTM D854</t>
        </is>
      </c>
      <c r="J187" t="inlineStr">
        <is>
          <t>Gs (fracción fina; fracción no especificada)</t>
        </is>
      </c>
      <c r="K187" t="n">
        <v>2.802</v>
      </c>
      <c r="L187" t="inlineStr">
        <is>
          <t>-</t>
        </is>
      </c>
      <c r="M187" t="n">
        <v>1</v>
      </c>
      <c r="N187" t="inlineStr">
        <is>
          <t>única</t>
        </is>
      </c>
      <c r="O187" t="inlineStr">
        <is>
          <t>picnómetro; muestra seca 30-80 g</t>
        </is>
      </c>
      <c r="P187" t="inlineStr"/>
      <c r="Q187" t="inlineStr">
        <is>
          <t>49</t>
        </is>
      </c>
      <c r="R187" t="inlineStr">
        <is>
          <t>sí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G2010</t>
        </is>
      </c>
      <c r="B188" t="inlineStr">
        <is>
          <t>2010_Golder_Caracterizacion ROM IPCC.pdf</t>
        </is>
      </c>
      <c r="C188" t="inlineStr">
        <is>
          <t>Hornfels Gris</t>
        </is>
      </c>
      <c r="D188" t="inlineStr">
        <is>
          <t>Hornfels</t>
        </is>
      </c>
      <c r="E188" t="inlineStr">
        <is>
          <t>hornfels gris</t>
        </is>
      </c>
      <c r="F188" t="inlineStr">
        <is>
          <t>B</t>
        </is>
      </c>
      <c r="G188" t="inlineStr">
        <is>
          <t>Chancado (Fase B = «material chancado», p.1)</t>
        </is>
      </c>
      <c r="H188" t="inlineStr">
        <is>
          <t>Gravedad específica de sólidos</t>
        </is>
      </c>
      <c r="I188" t="inlineStr">
        <is>
          <t>Tabla 2</t>
        </is>
      </c>
      <c r="J188" t="inlineStr">
        <is>
          <t>Gs material fino (Tabla 2)</t>
        </is>
      </c>
      <c r="K188" t="n">
        <v>2.802</v>
      </c>
      <c r="L188" t="inlineStr">
        <is>
          <t>-</t>
        </is>
      </c>
      <c r="M188" t="n">
        <v>1</v>
      </c>
      <c r="N188" t="inlineStr">
        <is>
          <t>resumen</t>
        </is>
      </c>
      <c r="O188" t="inlineStr"/>
      <c r="P188" t="inlineStr"/>
      <c r="Q188" t="inlineStr">
        <is>
          <t>8</t>
        </is>
      </c>
      <c r="R188" t="inlineStr">
        <is>
          <t>sí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G2010</t>
        </is>
      </c>
      <c r="B189" t="inlineStr">
        <is>
          <t>2010_Golder_Caracterizacion ROM IPCC.pdf</t>
        </is>
      </c>
      <c r="C189" t="inlineStr">
        <is>
          <t>Intrusivo</t>
        </is>
      </c>
      <c r="D189" t="inlineStr">
        <is>
          <t>Intrusivo</t>
        </is>
      </c>
      <c r="E189" t="inlineStr">
        <is>
          <t>sin subtipo</t>
        </is>
      </c>
      <c r="F189" t="inlineStr">
        <is>
          <t>B</t>
        </is>
      </c>
      <c r="G189" t="inlineStr">
        <is>
          <t>Chancado (Fase B = «material chancado», p.1)</t>
        </is>
      </c>
      <c r="H189" t="inlineStr">
        <is>
          <t>Gravedad específica agregado grueso</t>
        </is>
      </c>
      <c r="I189" t="inlineStr">
        <is>
          <t>ASTM C127 / NTP 400.021</t>
        </is>
      </c>
      <c r="J189" t="inlineStr">
        <is>
          <t>Gs bulk (PEM)</t>
        </is>
      </c>
      <c r="K189" t="n">
        <v>2.647</v>
      </c>
      <c r="L189" t="inlineStr">
        <is>
          <t>-</t>
        </is>
      </c>
      <c r="M189" t="n">
        <v>1</v>
      </c>
      <c r="N189" t="inlineStr">
        <is>
          <t>única</t>
        </is>
      </c>
      <c r="O189" t="inlineStr"/>
      <c r="P189" t="inlineStr">
        <is>
          <t>01/12/2009</t>
        </is>
      </c>
      <c r="Q189" t="inlineStr">
        <is>
          <t>48</t>
        </is>
      </c>
      <c r="R189" t="inlineStr">
        <is>
          <t>sí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G2010</t>
        </is>
      </c>
      <c r="B190" t="inlineStr">
        <is>
          <t>2010_Golder_Caracterizacion ROM IPCC.pdf</t>
        </is>
      </c>
      <c r="C190" t="inlineStr">
        <is>
          <t>Intrusivo</t>
        </is>
      </c>
      <c r="D190" t="inlineStr">
        <is>
          <t>Intrusivo</t>
        </is>
      </c>
      <c r="E190" t="inlineStr">
        <is>
          <t>sin subtipo</t>
        </is>
      </c>
      <c r="F190" t="inlineStr">
        <is>
          <t>B</t>
        </is>
      </c>
      <c r="G190" t="inlineStr">
        <is>
          <t>Chancado (Fase B = «material chancado», p.1)</t>
        </is>
      </c>
      <c r="H190" t="inlineStr">
        <is>
          <t>Gravedad específica agregado grueso</t>
        </is>
      </c>
      <c r="I190" t="inlineStr">
        <is>
          <t>ASTM C127 / NTP 400.021</t>
        </is>
      </c>
      <c r="J190" t="inlineStr">
        <is>
          <t>Gs SSS</t>
        </is>
      </c>
      <c r="K190" t="n">
        <v>2.704</v>
      </c>
      <c r="L190" t="inlineStr">
        <is>
          <t>-</t>
        </is>
      </c>
      <c r="M190" t="n">
        <v>1</v>
      </c>
      <c r="N190" t="inlineStr">
        <is>
          <t>única</t>
        </is>
      </c>
      <c r="O190" t="inlineStr"/>
      <c r="P190" t="inlineStr">
        <is>
          <t>01/12/2009</t>
        </is>
      </c>
      <c r="Q190" t="inlineStr">
        <is>
          <t>48</t>
        </is>
      </c>
      <c r="R190" t="inlineStr">
        <is>
          <t>sí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G2010</t>
        </is>
      </c>
      <c r="B191" t="inlineStr">
        <is>
          <t>2010_Golder_Caracterizacion ROM IPCC.pdf</t>
        </is>
      </c>
      <c r="C191" t="inlineStr">
        <is>
          <t>Intrusivo</t>
        </is>
      </c>
      <c r="D191" t="inlineStr">
        <is>
          <t>Intrusivo</t>
        </is>
      </c>
      <c r="E191" t="inlineStr">
        <is>
          <t>sin subtipo</t>
        </is>
      </c>
      <c r="F191" t="inlineStr">
        <is>
          <t>B</t>
        </is>
      </c>
      <c r="G191" t="inlineStr">
        <is>
          <t>Chancado (Fase B = «material chancado», p.1)</t>
        </is>
      </c>
      <c r="H191" t="inlineStr">
        <is>
          <t>Gravedad específica agregado grueso</t>
        </is>
      </c>
      <c r="I191" t="inlineStr">
        <is>
          <t>ASTM C127 / NTP 400.021</t>
        </is>
      </c>
      <c r="J191" t="inlineStr">
        <is>
          <t>Gs aparente (PEA)</t>
        </is>
      </c>
      <c r="K191" t="n">
        <v>2.808</v>
      </c>
      <c r="L191" t="inlineStr">
        <is>
          <t>-</t>
        </is>
      </c>
      <c r="M191" t="n">
        <v>1</v>
      </c>
      <c r="N191" t="inlineStr">
        <is>
          <t>única</t>
        </is>
      </c>
      <c r="O191" t="inlineStr"/>
      <c r="P191" t="inlineStr">
        <is>
          <t>01/12/2009</t>
        </is>
      </c>
      <c r="Q191" t="inlineStr">
        <is>
          <t>48</t>
        </is>
      </c>
      <c r="R191" t="inlineStr">
        <is>
          <t>sí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G2010</t>
        </is>
      </c>
      <c r="B192" t="inlineStr">
        <is>
          <t>2010_Golder_Caracterizacion ROM IPCC.pdf</t>
        </is>
      </c>
      <c r="C192" t="inlineStr">
        <is>
          <t>Intrusivo</t>
        </is>
      </c>
      <c r="D192" t="inlineStr">
        <is>
          <t>Intrusivo</t>
        </is>
      </c>
      <c r="E192" t="inlineStr">
        <is>
          <t>sin subtipo</t>
        </is>
      </c>
      <c r="F192" t="inlineStr">
        <is>
          <t>B</t>
        </is>
      </c>
      <c r="G192" t="inlineStr">
        <is>
          <t>Chancado (Fase B = «material chancado», p.1)</t>
        </is>
      </c>
      <c r="H192" t="inlineStr">
        <is>
          <t>Absorción</t>
        </is>
      </c>
      <c r="I192" t="inlineStr">
        <is>
          <t>ASTM C127 / NTP 400.021</t>
        </is>
      </c>
      <c r="J192" t="inlineStr">
        <is>
          <t>Absorción</t>
        </is>
      </c>
      <c r="K192" t="n">
        <v>2.17</v>
      </c>
      <c r="L192" t="inlineStr">
        <is>
          <t>%</t>
        </is>
      </c>
      <c r="M192" t="n">
        <v>1</v>
      </c>
      <c r="N192" t="inlineStr">
        <is>
          <t>única</t>
        </is>
      </c>
      <c r="O192" t="inlineStr"/>
      <c r="P192" t="inlineStr">
        <is>
          <t>01/12/2009</t>
        </is>
      </c>
      <c r="Q192" t="inlineStr">
        <is>
          <t>48</t>
        </is>
      </c>
      <c r="R192" t="inlineStr">
        <is>
          <t>sí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G2010</t>
        </is>
      </c>
      <c r="B193" t="inlineStr">
        <is>
          <t>2010_Golder_Caracterizacion ROM IPCC.pdf</t>
        </is>
      </c>
      <c r="C193" t="inlineStr">
        <is>
          <t>Intrusivo</t>
        </is>
      </c>
      <c r="D193" t="inlineStr">
        <is>
          <t>Intrusivo</t>
        </is>
      </c>
      <c r="E193" t="inlineStr">
        <is>
          <t>sin subtipo</t>
        </is>
      </c>
      <c r="F193" t="inlineStr">
        <is>
          <t>B</t>
        </is>
      </c>
      <c r="G193" t="inlineStr">
        <is>
          <t>Chancado (Fase B = «material chancado», p.1)</t>
        </is>
      </c>
      <c r="H193" t="inlineStr">
        <is>
          <t>Gravedad específica agregado grueso</t>
        </is>
      </c>
      <c r="I193" t="inlineStr">
        <is>
          <t>Tabla 2</t>
        </is>
      </c>
      <c r="J193" t="inlineStr">
        <is>
          <t>Gs material grueso (Tabla 2)</t>
        </is>
      </c>
      <c r="K193" t="n">
        <v>2.647</v>
      </c>
      <c r="L193" t="inlineStr">
        <is>
          <t>-</t>
        </is>
      </c>
      <c r="M193" t="n">
        <v>1</v>
      </c>
      <c r="N193" t="inlineStr">
        <is>
          <t>resumen</t>
        </is>
      </c>
      <c r="O193" t="inlineStr"/>
      <c r="P193" t="inlineStr"/>
      <c r="Q193" t="inlineStr">
        <is>
          <t>8</t>
        </is>
      </c>
      <c r="R193" t="inlineStr">
        <is>
          <t>sí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G2010</t>
        </is>
      </c>
      <c r="B194" t="inlineStr">
        <is>
          <t>2010_Golder_Caracterizacion ROM IPCC.pdf</t>
        </is>
      </c>
      <c r="C194" t="inlineStr">
        <is>
          <t>Intrusivo</t>
        </is>
      </c>
      <c r="D194" t="inlineStr">
        <is>
          <t>Intrusivo</t>
        </is>
      </c>
      <c r="E194" t="inlineStr">
        <is>
          <t>sin subtipo</t>
        </is>
      </c>
      <c r="F194" t="inlineStr">
        <is>
          <t>B</t>
        </is>
      </c>
      <c r="G194" t="inlineStr">
        <is>
          <t>Chancado (Fase B = «material chancado», p.1)</t>
        </is>
      </c>
      <c r="H194" t="inlineStr">
        <is>
          <t>Gravedad específica de sólidos</t>
        </is>
      </c>
      <c r="I194" t="inlineStr">
        <is>
          <t>ASTM D854</t>
        </is>
      </c>
      <c r="J194" t="inlineStr">
        <is>
          <t>Gs (fracción fina; fracción no especificada)</t>
        </is>
      </c>
      <c r="K194" t="n">
        <v>2.742</v>
      </c>
      <c r="L194" t="inlineStr">
        <is>
          <t>-</t>
        </is>
      </c>
      <c r="M194" t="n">
        <v>1</v>
      </c>
      <c r="N194" t="inlineStr">
        <is>
          <t>única</t>
        </is>
      </c>
      <c r="O194" t="inlineStr">
        <is>
          <t>picnómetro; muestra seca 30-80 g</t>
        </is>
      </c>
      <c r="P194" t="inlineStr"/>
      <c r="Q194" t="inlineStr">
        <is>
          <t>49</t>
        </is>
      </c>
      <c r="R194" t="inlineStr">
        <is>
          <t>sí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G2010</t>
        </is>
      </c>
      <c r="B195" t="inlineStr">
        <is>
          <t>2010_Golder_Caracterizacion ROM IPCC.pdf</t>
        </is>
      </c>
      <c r="C195" t="inlineStr">
        <is>
          <t>Intrusivo</t>
        </is>
      </c>
      <c r="D195" t="inlineStr">
        <is>
          <t>Intrusivo</t>
        </is>
      </c>
      <c r="E195" t="inlineStr">
        <is>
          <t>sin subtipo</t>
        </is>
      </c>
      <c r="F195" t="inlineStr">
        <is>
          <t>B</t>
        </is>
      </c>
      <c r="G195" t="inlineStr">
        <is>
          <t>Chancado (Fase B = «material chancado», p.1)</t>
        </is>
      </c>
      <c r="H195" t="inlineStr">
        <is>
          <t>Gravedad específica de sólidos</t>
        </is>
      </c>
      <c r="I195" t="inlineStr">
        <is>
          <t>Tabla 2</t>
        </is>
      </c>
      <c r="J195" t="inlineStr">
        <is>
          <t>Gs material fino (Tabla 2)</t>
        </is>
      </c>
      <c r="K195" t="n">
        <v>2.742</v>
      </c>
      <c r="L195" t="inlineStr">
        <is>
          <t>-</t>
        </is>
      </c>
      <c r="M195" t="n">
        <v>1</v>
      </c>
      <c r="N195" t="inlineStr">
        <is>
          <t>resumen</t>
        </is>
      </c>
      <c r="O195" t="inlineStr"/>
      <c r="P195" t="inlineStr"/>
      <c r="Q195" t="inlineStr">
        <is>
          <t>8</t>
        </is>
      </c>
      <c r="R195" t="inlineStr">
        <is>
          <t>sí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G2010</t>
        </is>
      </c>
      <c r="B196" t="inlineStr">
        <is>
          <t>2010_Golder_Caracterizacion ROM IPCC.pdf</t>
        </is>
      </c>
      <c r="C196" t="inlineStr">
        <is>
          <t>Exoskarn Diopsido</t>
        </is>
      </c>
      <c r="D196" t="inlineStr">
        <is>
          <t>Skarn</t>
        </is>
      </c>
      <c r="E196" t="inlineStr">
        <is>
          <t>exoskarn diópsido</t>
        </is>
      </c>
      <c r="F196" t="inlineStr">
        <is>
          <t>B</t>
        </is>
      </c>
      <c r="G196" t="inlineStr">
        <is>
          <t>Chancado (Fase B = «material chancado», p.1)</t>
        </is>
      </c>
      <c r="H196" t="inlineStr">
        <is>
          <t>Gravedad específica agregado grueso</t>
        </is>
      </c>
      <c r="I196" t="inlineStr">
        <is>
          <t>ASTM C127 / NTP 400.021</t>
        </is>
      </c>
      <c r="J196" t="inlineStr">
        <is>
          <t>Gs bulk (PEM)</t>
        </is>
      </c>
      <c r="K196" t="n">
        <v>3.102</v>
      </c>
      <c r="L196" t="inlineStr">
        <is>
          <t>-</t>
        </is>
      </c>
      <c r="M196" t="n">
        <v>1</v>
      </c>
      <c r="N196" t="inlineStr">
        <is>
          <t>única</t>
        </is>
      </c>
      <c r="O196" t="inlineStr"/>
      <c r="P196" t="inlineStr">
        <is>
          <t>01/12/2009</t>
        </is>
      </c>
      <c r="Q196" t="inlineStr">
        <is>
          <t>48</t>
        </is>
      </c>
      <c r="R196" t="inlineStr">
        <is>
          <t>sí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G2010</t>
        </is>
      </c>
      <c r="B197" t="inlineStr">
        <is>
          <t>2010_Golder_Caracterizacion ROM IPCC.pdf</t>
        </is>
      </c>
      <c r="C197" t="inlineStr">
        <is>
          <t>Exoskarn Diopsido</t>
        </is>
      </c>
      <c r="D197" t="inlineStr">
        <is>
          <t>Skarn</t>
        </is>
      </c>
      <c r="E197" t="inlineStr">
        <is>
          <t>exoskarn diópsido</t>
        </is>
      </c>
      <c r="F197" t="inlineStr">
        <is>
          <t>B</t>
        </is>
      </c>
      <c r="G197" t="inlineStr">
        <is>
          <t>Chancado (Fase B = «material chancado», p.1)</t>
        </is>
      </c>
      <c r="H197" t="inlineStr">
        <is>
          <t>Gravedad específica agregado grueso</t>
        </is>
      </c>
      <c r="I197" t="inlineStr">
        <is>
          <t>ASTM C127 / NTP 400.021</t>
        </is>
      </c>
      <c r="J197" t="inlineStr">
        <is>
          <t>Gs SSS</t>
        </is>
      </c>
      <c r="K197" t="n">
        <v>3.142</v>
      </c>
      <c r="L197" t="inlineStr">
        <is>
          <t>-</t>
        </is>
      </c>
      <c r="M197" t="n">
        <v>1</v>
      </c>
      <c r="N197" t="inlineStr">
        <is>
          <t>única</t>
        </is>
      </c>
      <c r="O197" t="inlineStr"/>
      <c r="P197" t="inlineStr">
        <is>
          <t>01/12/2009</t>
        </is>
      </c>
      <c r="Q197" t="inlineStr">
        <is>
          <t>48</t>
        </is>
      </c>
      <c r="R197" t="inlineStr">
        <is>
          <t>sí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G2010</t>
        </is>
      </c>
      <c r="B198" t="inlineStr">
        <is>
          <t>2010_Golder_Caracterizacion ROM IPCC.pdf</t>
        </is>
      </c>
      <c r="C198" t="inlineStr">
        <is>
          <t>Exoskarn Diopsido</t>
        </is>
      </c>
      <c r="D198" t="inlineStr">
        <is>
          <t>Skarn</t>
        </is>
      </c>
      <c r="E198" t="inlineStr">
        <is>
          <t>exoskarn diópsido</t>
        </is>
      </c>
      <c r="F198" t="inlineStr">
        <is>
          <t>B</t>
        </is>
      </c>
      <c r="G198" t="inlineStr">
        <is>
          <t>Chancado (Fase B = «material chancado», p.1)</t>
        </is>
      </c>
      <c r="H198" t="inlineStr">
        <is>
          <t>Gravedad específica agregado grueso</t>
        </is>
      </c>
      <c r="I198" t="inlineStr">
        <is>
          <t>ASTM C127 / NTP 400.021</t>
        </is>
      </c>
      <c r="J198" t="inlineStr">
        <is>
          <t>Gs aparente (PEA)</t>
        </is>
      </c>
      <c r="K198" t="n">
        <v>3.233</v>
      </c>
      <c r="L198" t="inlineStr">
        <is>
          <t>-</t>
        </is>
      </c>
      <c r="M198" t="n">
        <v>1</v>
      </c>
      <c r="N198" t="inlineStr">
        <is>
          <t>única</t>
        </is>
      </c>
      <c r="O198" t="inlineStr"/>
      <c r="P198" t="inlineStr">
        <is>
          <t>01/12/2009</t>
        </is>
      </c>
      <c r="Q198" t="inlineStr">
        <is>
          <t>48</t>
        </is>
      </c>
      <c r="R198" t="inlineStr">
        <is>
          <t>sí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G2010</t>
        </is>
      </c>
      <c r="B199" t="inlineStr">
        <is>
          <t>2010_Golder_Caracterizacion ROM IPCC.pdf</t>
        </is>
      </c>
      <c r="C199" t="inlineStr">
        <is>
          <t>Exoskarn Diopsido</t>
        </is>
      </c>
      <c r="D199" t="inlineStr">
        <is>
          <t>Skarn</t>
        </is>
      </c>
      <c r="E199" t="inlineStr">
        <is>
          <t>exoskarn diópsido</t>
        </is>
      </c>
      <c r="F199" t="inlineStr">
        <is>
          <t>B</t>
        </is>
      </c>
      <c r="G199" t="inlineStr">
        <is>
          <t>Chancado (Fase B = «material chancado», p.1)</t>
        </is>
      </c>
      <c r="H199" t="inlineStr">
        <is>
          <t>Absorción</t>
        </is>
      </c>
      <c r="I199" t="inlineStr">
        <is>
          <t>ASTM C127 / NTP 400.021</t>
        </is>
      </c>
      <c r="J199" t="inlineStr">
        <is>
          <t>Absorción</t>
        </is>
      </c>
      <c r="K199" t="n">
        <v>1.3</v>
      </c>
      <c r="L199" t="inlineStr">
        <is>
          <t>%</t>
        </is>
      </c>
      <c r="M199" t="n">
        <v>1</v>
      </c>
      <c r="N199" t="inlineStr">
        <is>
          <t>única</t>
        </is>
      </c>
      <c r="O199" t="inlineStr"/>
      <c r="P199" t="inlineStr">
        <is>
          <t>01/12/2009</t>
        </is>
      </c>
      <c r="Q199" t="inlineStr">
        <is>
          <t>48</t>
        </is>
      </c>
      <c r="R199" t="inlineStr">
        <is>
          <t>sí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G2010</t>
        </is>
      </c>
      <c r="B200" t="inlineStr">
        <is>
          <t>2010_Golder_Caracterizacion ROM IPCC.pdf</t>
        </is>
      </c>
      <c r="C200" t="inlineStr">
        <is>
          <t>Exoskarn Diopsido</t>
        </is>
      </c>
      <c r="D200" t="inlineStr">
        <is>
          <t>Skarn</t>
        </is>
      </c>
      <c r="E200" t="inlineStr">
        <is>
          <t>exoskarn diópsido</t>
        </is>
      </c>
      <c r="F200" t="inlineStr">
        <is>
          <t>B</t>
        </is>
      </c>
      <c r="G200" t="inlineStr">
        <is>
          <t>Chancado (Fase B = «material chancado», p.1)</t>
        </is>
      </c>
      <c r="H200" t="inlineStr">
        <is>
          <t>Gravedad específica agregado grueso</t>
        </is>
      </c>
      <c r="I200" t="inlineStr">
        <is>
          <t>Tabla 2</t>
        </is>
      </c>
      <c r="J200" t="inlineStr">
        <is>
          <t>Gs material grueso (Tabla 2)</t>
        </is>
      </c>
      <c r="K200" t="n">
        <v>3.102</v>
      </c>
      <c r="L200" t="inlineStr">
        <is>
          <t>-</t>
        </is>
      </c>
      <c r="M200" t="n">
        <v>1</v>
      </c>
      <c r="N200" t="inlineStr">
        <is>
          <t>resumen</t>
        </is>
      </c>
      <c r="O200" t="inlineStr"/>
      <c r="P200" t="inlineStr"/>
      <c r="Q200" t="inlineStr">
        <is>
          <t>8</t>
        </is>
      </c>
      <c r="R200" t="inlineStr">
        <is>
          <t>sí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G2010</t>
        </is>
      </c>
      <c r="B201" t="inlineStr">
        <is>
          <t>2010_Golder_Caracterizacion ROM IPCC.pdf</t>
        </is>
      </c>
      <c r="C201" t="inlineStr">
        <is>
          <t>Exoskarn Diopsido</t>
        </is>
      </c>
      <c r="D201" t="inlineStr">
        <is>
          <t>Skarn</t>
        </is>
      </c>
      <c r="E201" t="inlineStr">
        <is>
          <t>exoskarn diópsido</t>
        </is>
      </c>
      <c r="F201" t="inlineStr">
        <is>
          <t>B</t>
        </is>
      </c>
      <c r="G201" t="inlineStr">
        <is>
          <t>Chancado (Fase B = «material chancado», p.1)</t>
        </is>
      </c>
      <c r="H201" t="inlineStr">
        <is>
          <t>Gravedad específica de sólidos</t>
        </is>
      </c>
      <c r="I201" t="inlineStr">
        <is>
          <t>ASTM D854</t>
        </is>
      </c>
      <c r="J201" t="inlineStr">
        <is>
          <t>Gs (fracción fina; fracción no especificada)</t>
        </is>
      </c>
      <c r="K201" t="n">
        <v>3.338</v>
      </c>
      <c r="L201" t="inlineStr">
        <is>
          <t>-</t>
        </is>
      </c>
      <c r="M201" t="n">
        <v>1</v>
      </c>
      <c r="N201" t="inlineStr">
        <is>
          <t>única</t>
        </is>
      </c>
      <c r="O201" t="inlineStr">
        <is>
          <t>picnómetro; muestra seca 30-80 g</t>
        </is>
      </c>
      <c r="P201" t="inlineStr"/>
      <c r="Q201" t="inlineStr">
        <is>
          <t>49</t>
        </is>
      </c>
      <c r="R201" t="inlineStr">
        <is>
          <t>sí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G2010</t>
        </is>
      </c>
      <c r="B202" t="inlineStr">
        <is>
          <t>2010_Golder_Caracterizacion ROM IPCC.pdf</t>
        </is>
      </c>
      <c r="C202" t="inlineStr">
        <is>
          <t>Exoskarn Diopsido</t>
        </is>
      </c>
      <c r="D202" t="inlineStr">
        <is>
          <t>Skarn</t>
        </is>
      </c>
      <c r="E202" t="inlineStr">
        <is>
          <t>exoskarn diópsido</t>
        </is>
      </c>
      <c r="F202" t="inlineStr">
        <is>
          <t>B</t>
        </is>
      </c>
      <c r="G202" t="inlineStr">
        <is>
          <t>Chancado (Fase B = «material chancado», p.1)</t>
        </is>
      </c>
      <c r="H202" t="inlineStr">
        <is>
          <t>Gravedad específica de sólidos</t>
        </is>
      </c>
      <c r="I202" t="inlineStr">
        <is>
          <t>Tabla 2</t>
        </is>
      </c>
      <c r="J202" t="inlineStr">
        <is>
          <t>Gs material fino (Tabla 2)</t>
        </is>
      </c>
      <c r="K202" t="n">
        <v>3.338</v>
      </c>
      <c r="L202" t="inlineStr">
        <is>
          <t>-</t>
        </is>
      </c>
      <c r="M202" t="n">
        <v>1</v>
      </c>
      <c r="N202" t="inlineStr">
        <is>
          <t>resumen</t>
        </is>
      </c>
      <c r="O202" t="inlineStr"/>
      <c r="P202" t="inlineStr"/>
      <c r="Q202" t="inlineStr">
        <is>
          <t>8</t>
        </is>
      </c>
      <c r="R202" t="inlineStr">
        <is>
          <t>sí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G2010</t>
        </is>
      </c>
      <c r="B203" t="inlineStr">
        <is>
          <t>2010_Golder_Caracterizacion ROM IPCC.pdf</t>
        </is>
      </c>
      <c r="C203" t="inlineStr">
        <is>
          <t>Mármol Negro</t>
        </is>
      </c>
      <c r="D203" t="inlineStr">
        <is>
          <t>Mármol</t>
        </is>
      </c>
      <c r="E203" t="inlineStr">
        <is>
          <t>mármol negro</t>
        </is>
      </c>
      <c r="F203" t="inlineStr">
        <is>
          <t>B</t>
        </is>
      </c>
      <c r="G203" t="inlineStr">
        <is>
          <t>Chancado (Fase B = «material chancado», p.1)</t>
        </is>
      </c>
      <c r="H203" t="inlineStr">
        <is>
          <t>Gravedad específica agregado grueso</t>
        </is>
      </c>
      <c r="I203" t="inlineStr">
        <is>
          <t>ASTM C127 / NTP 400.021</t>
        </is>
      </c>
      <c r="J203" t="inlineStr">
        <is>
          <t>Gs bulk (PEM)</t>
        </is>
      </c>
      <c r="K203" t="n">
        <v>2.725</v>
      </c>
      <c r="L203" t="inlineStr">
        <is>
          <t>-</t>
        </is>
      </c>
      <c r="M203" t="n">
        <v>1</v>
      </c>
      <c r="N203" t="inlineStr">
        <is>
          <t>única</t>
        </is>
      </c>
      <c r="O203" t="inlineStr"/>
      <c r="P203" t="inlineStr">
        <is>
          <t>01/12/2009</t>
        </is>
      </c>
      <c r="Q203" t="inlineStr">
        <is>
          <t>48</t>
        </is>
      </c>
      <c r="R203" t="inlineStr">
        <is>
          <t>sí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G2010</t>
        </is>
      </c>
      <c r="B204" t="inlineStr">
        <is>
          <t>2010_Golder_Caracterizacion ROM IPCC.pdf</t>
        </is>
      </c>
      <c r="C204" t="inlineStr">
        <is>
          <t>Mármol Negro</t>
        </is>
      </c>
      <c r="D204" t="inlineStr">
        <is>
          <t>Mármol</t>
        </is>
      </c>
      <c r="E204" t="inlineStr">
        <is>
          <t>mármol negro</t>
        </is>
      </c>
      <c r="F204" t="inlineStr">
        <is>
          <t>B</t>
        </is>
      </c>
      <c r="G204" t="inlineStr">
        <is>
          <t>Chancado (Fase B = «material chancado», p.1)</t>
        </is>
      </c>
      <c r="H204" t="inlineStr">
        <is>
          <t>Gravedad específica agregado grueso</t>
        </is>
      </c>
      <c r="I204" t="inlineStr">
        <is>
          <t>ASTM C127 / NTP 400.021</t>
        </is>
      </c>
      <c r="J204" t="inlineStr">
        <is>
          <t>Gs SSS</t>
        </is>
      </c>
      <c r="K204" t="n">
        <v>2.734</v>
      </c>
      <c r="L204" t="inlineStr">
        <is>
          <t>-</t>
        </is>
      </c>
      <c r="M204" t="n">
        <v>1</v>
      </c>
      <c r="N204" t="inlineStr">
        <is>
          <t>única</t>
        </is>
      </c>
      <c r="O204" t="inlineStr"/>
      <c r="P204" t="inlineStr">
        <is>
          <t>01/12/2009</t>
        </is>
      </c>
      <c r="Q204" t="inlineStr">
        <is>
          <t>48</t>
        </is>
      </c>
      <c r="R204" t="inlineStr">
        <is>
          <t>sí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G2010</t>
        </is>
      </c>
      <c r="B205" t="inlineStr">
        <is>
          <t>2010_Golder_Caracterizacion ROM IPCC.pdf</t>
        </is>
      </c>
      <c r="C205" t="inlineStr">
        <is>
          <t>Mármol Negro</t>
        </is>
      </c>
      <c r="D205" t="inlineStr">
        <is>
          <t>Mármol</t>
        </is>
      </c>
      <c r="E205" t="inlineStr">
        <is>
          <t>mármol negro</t>
        </is>
      </c>
      <c r="F205" t="inlineStr">
        <is>
          <t>B</t>
        </is>
      </c>
      <c r="G205" t="inlineStr">
        <is>
          <t>Chancado (Fase B = «material chancado», p.1)</t>
        </is>
      </c>
      <c r="H205" t="inlineStr">
        <is>
          <t>Gravedad específica agregado grueso</t>
        </is>
      </c>
      <c r="I205" t="inlineStr">
        <is>
          <t>ASTM C127 / NTP 400.021</t>
        </is>
      </c>
      <c r="J205" t="inlineStr">
        <is>
          <t>Gs aparente (PEA)</t>
        </is>
      </c>
      <c r="K205" t="n">
        <v>2.75</v>
      </c>
      <c r="L205" t="inlineStr">
        <is>
          <t>-</t>
        </is>
      </c>
      <c r="M205" t="n">
        <v>1</v>
      </c>
      <c r="N205" t="inlineStr">
        <is>
          <t>única</t>
        </is>
      </c>
      <c r="O205" t="inlineStr"/>
      <c r="P205" t="inlineStr">
        <is>
          <t>01/12/2009</t>
        </is>
      </c>
      <c r="Q205" t="inlineStr">
        <is>
          <t>48</t>
        </is>
      </c>
      <c r="R205" t="inlineStr">
        <is>
          <t>sí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G2010</t>
        </is>
      </c>
      <c r="B206" t="inlineStr">
        <is>
          <t>2010_Golder_Caracterizacion ROM IPCC.pdf</t>
        </is>
      </c>
      <c r="C206" t="inlineStr">
        <is>
          <t>Mármol Negro</t>
        </is>
      </c>
      <c r="D206" t="inlineStr">
        <is>
          <t>Mármol</t>
        </is>
      </c>
      <c r="E206" t="inlineStr">
        <is>
          <t>mármol negro</t>
        </is>
      </c>
      <c r="F206" t="inlineStr">
        <is>
          <t>B</t>
        </is>
      </c>
      <c r="G206" t="inlineStr">
        <is>
          <t>Chancado (Fase B = «material chancado», p.1)</t>
        </is>
      </c>
      <c r="H206" t="inlineStr">
        <is>
          <t>Absorción</t>
        </is>
      </c>
      <c r="I206" t="inlineStr">
        <is>
          <t>ASTM C127 / NTP 400.021</t>
        </is>
      </c>
      <c r="J206" t="inlineStr">
        <is>
          <t>Absorción</t>
        </is>
      </c>
      <c r="K206" t="n">
        <v>0.33</v>
      </c>
      <c r="L206" t="inlineStr">
        <is>
          <t>%</t>
        </is>
      </c>
      <c r="M206" t="n">
        <v>1</v>
      </c>
      <c r="N206" t="inlineStr">
        <is>
          <t>única</t>
        </is>
      </c>
      <c r="O206" t="inlineStr"/>
      <c r="P206" t="inlineStr">
        <is>
          <t>01/12/2009</t>
        </is>
      </c>
      <c r="Q206" t="inlineStr">
        <is>
          <t>48</t>
        </is>
      </c>
      <c r="R206" t="inlineStr">
        <is>
          <t>sí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G2010</t>
        </is>
      </c>
      <c r="B207" t="inlineStr">
        <is>
          <t>2010_Golder_Caracterizacion ROM IPCC.pdf</t>
        </is>
      </c>
      <c r="C207" t="inlineStr">
        <is>
          <t>Mármol Negro</t>
        </is>
      </c>
      <c r="D207" t="inlineStr">
        <is>
          <t>Mármol</t>
        </is>
      </c>
      <c r="E207" t="inlineStr">
        <is>
          <t>mármol negro</t>
        </is>
      </c>
      <c r="F207" t="inlineStr">
        <is>
          <t>B</t>
        </is>
      </c>
      <c r="G207" t="inlineStr">
        <is>
          <t>Chancado (Fase B = «material chancado», p.1)</t>
        </is>
      </c>
      <c r="H207" t="inlineStr">
        <is>
          <t>Gravedad específica agregado grueso</t>
        </is>
      </c>
      <c r="I207" t="inlineStr">
        <is>
          <t>Tabla 2</t>
        </is>
      </c>
      <c r="J207" t="inlineStr">
        <is>
          <t>Gs material grueso (Tabla 2)</t>
        </is>
      </c>
      <c r="K207" t="n">
        <v>2.725</v>
      </c>
      <c r="L207" t="inlineStr">
        <is>
          <t>-</t>
        </is>
      </c>
      <c r="M207" t="n">
        <v>1</v>
      </c>
      <c r="N207" t="inlineStr">
        <is>
          <t>resumen</t>
        </is>
      </c>
      <c r="O207" t="inlineStr"/>
      <c r="P207" t="inlineStr"/>
      <c r="Q207" t="inlineStr">
        <is>
          <t>8</t>
        </is>
      </c>
      <c r="R207" t="inlineStr">
        <is>
          <t>sí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G2010</t>
        </is>
      </c>
      <c r="B208" t="inlineStr">
        <is>
          <t>2010_Golder_Caracterizacion ROM IPCC.pdf</t>
        </is>
      </c>
      <c r="C208" t="inlineStr">
        <is>
          <t>Mármol Negro</t>
        </is>
      </c>
      <c r="D208" t="inlineStr">
        <is>
          <t>Mármol</t>
        </is>
      </c>
      <c r="E208" t="inlineStr">
        <is>
          <t>mármol negro</t>
        </is>
      </c>
      <c r="F208" t="inlineStr">
        <is>
          <t>B</t>
        </is>
      </c>
      <c r="G208" t="inlineStr">
        <is>
          <t>Chancado (Fase B = «material chancado», p.1)</t>
        </is>
      </c>
      <c r="H208" t="inlineStr">
        <is>
          <t>Gravedad específica de sólidos</t>
        </is>
      </c>
      <c r="I208" t="inlineStr">
        <is>
          <t>ASTM D854</t>
        </is>
      </c>
      <c r="J208" t="inlineStr">
        <is>
          <t>Gs (fracción fina; fracción no especificada)</t>
        </is>
      </c>
      <c r="K208" t="n">
        <v>2.747</v>
      </c>
      <c r="L208" t="inlineStr">
        <is>
          <t>-</t>
        </is>
      </c>
      <c r="M208" t="n">
        <v>1</v>
      </c>
      <c r="N208" t="inlineStr">
        <is>
          <t>única</t>
        </is>
      </c>
      <c r="O208" t="inlineStr">
        <is>
          <t>picnómetro; muestra seca 30-80 g</t>
        </is>
      </c>
      <c r="P208" t="inlineStr"/>
      <c r="Q208" t="inlineStr">
        <is>
          <t>49</t>
        </is>
      </c>
      <c r="R208" t="inlineStr">
        <is>
          <t>sí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G2010</t>
        </is>
      </c>
      <c r="B209" t="inlineStr">
        <is>
          <t>2010_Golder_Caracterizacion ROM IPCC.pdf</t>
        </is>
      </c>
      <c r="C209" t="inlineStr">
        <is>
          <t>Mármol Negro</t>
        </is>
      </c>
      <c r="D209" t="inlineStr">
        <is>
          <t>Mármol</t>
        </is>
      </c>
      <c r="E209" t="inlineStr">
        <is>
          <t>mármol negro</t>
        </is>
      </c>
      <c r="F209" t="inlineStr">
        <is>
          <t>B</t>
        </is>
      </c>
      <c r="G209" t="inlineStr">
        <is>
          <t>Chancado (Fase B = «material chancado», p.1)</t>
        </is>
      </c>
      <c r="H209" t="inlineStr">
        <is>
          <t>Gravedad específica de sólidos</t>
        </is>
      </c>
      <c r="I209" t="inlineStr">
        <is>
          <t>Tabla 2</t>
        </is>
      </c>
      <c r="J209" t="inlineStr">
        <is>
          <t>Gs material fino (Tabla 2)</t>
        </is>
      </c>
      <c r="K209" t="n">
        <v>2.747</v>
      </c>
      <c r="L209" t="inlineStr">
        <is>
          <t>-</t>
        </is>
      </c>
      <c r="M209" t="n">
        <v>1</v>
      </c>
      <c r="N209" t="inlineStr">
        <is>
          <t>resumen</t>
        </is>
      </c>
      <c r="O209" t="inlineStr"/>
      <c r="P209" t="inlineStr"/>
      <c r="Q209" t="inlineStr">
        <is>
          <t>8</t>
        </is>
      </c>
      <c r="R209" t="inlineStr">
        <is>
          <t>sí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G2010</t>
        </is>
      </c>
      <c r="B210" t="inlineStr">
        <is>
          <t>2010_Golder_Caracterizacion ROM IPCC.pdf</t>
        </is>
      </c>
      <c r="C210" t="inlineStr">
        <is>
          <t>Mármol Negro</t>
        </is>
      </c>
      <c r="D210" t="inlineStr">
        <is>
          <t>Mármol</t>
        </is>
      </c>
      <c r="E210" t="inlineStr">
        <is>
          <t>mármol negro</t>
        </is>
      </c>
      <c r="F210" t="inlineStr">
        <is>
          <t>A</t>
        </is>
      </c>
      <c r="G210" t="inlineStr">
        <is>
          <t>ROM (Fase A = «material original procedente del tajo», p.1)</t>
        </is>
      </c>
      <c r="H210" t="inlineStr">
        <is>
          <t>Densidad in situ (reemplazo de agua)</t>
        </is>
      </c>
      <c r="I210" t="inlineStr">
        <is>
          <t>ASTM D5030-89</t>
        </is>
      </c>
      <c r="J210" t="inlineStr">
        <is>
          <t>Densidad húmeda</t>
        </is>
      </c>
      <c r="K210" t="n">
        <v>2.185</v>
      </c>
      <c r="L210" t="inlineStr">
        <is>
          <t>t/m³</t>
        </is>
      </c>
      <c r="M210" t="n">
        <v>1</v>
      </c>
      <c r="N210" t="inlineStr">
        <is>
          <t>única</t>
        </is>
      </c>
      <c r="O210" t="inlineStr">
        <is>
          <t>«Location: Parte baja chancadora secundaria»; «Lift: Material Chancado Fase A»; peso húmedo 1249.1 kg, w=2.4 %, peso seco 1220 kg, volumen de agua 571.7 L</t>
        </is>
      </c>
      <c r="P210" t="inlineStr">
        <is>
          <t>02/09/2009</t>
        </is>
      </c>
      <c r="Q210" t="inlineStr">
        <is>
          <t>35;8</t>
        </is>
      </c>
      <c r="R210" t="inlineStr">
        <is>
          <t>sí</t>
        </is>
      </c>
      <c r="S210" t="inlineStr">
        <is>
          <t>La hoja rotula la Fase A como «Material Chancado Fase A», en contradicción con p.1 (Fase A = material original del tajo).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G2010</t>
        </is>
      </c>
      <c r="B211" t="inlineStr">
        <is>
          <t>2010_Golder_Caracterizacion ROM IPCC.pdf</t>
        </is>
      </c>
      <c r="C211" t="inlineStr">
        <is>
          <t>Mármol Negro</t>
        </is>
      </c>
      <c r="D211" t="inlineStr">
        <is>
          <t>Mármol</t>
        </is>
      </c>
      <c r="E211" t="inlineStr">
        <is>
          <t>mármol negro</t>
        </is>
      </c>
      <c r="F211" t="inlineStr">
        <is>
          <t>A</t>
        </is>
      </c>
      <c r="G211" t="inlineStr">
        <is>
          <t>ROM (Fase A = «material original procedente del tajo», p.1)</t>
        </is>
      </c>
      <c r="H211" t="inlineStr">
        <is>
          <t>Densidad in situ (reemplazo de agua)</t>
        </is>
      </c>
      <c r="I211" t="inlineStr">
        <is>
          <t>ASTM D5030-89</t>
        </is>
      </c>
      <c r="J211" t="inlineStr">
        <is>
          <t>Densidad seca</t>
        </is>
      </c>
      <c r="K211" t="n">
        <v>2.135</v>
      </c>
      <c r="L211" t="inlineStr">
        <is>
          <t>t/m³</t>
        </is>
      </c>
      <c r="M211" t="n">
        <v>1</v>
      </c>
      <c r="N211" t="inlineStr">
        <is>
          <t>única</t>
        </is>
      </c>
      <c r="O211" t="inlineStr">
        <is>
          <t>«Location: Parte baja chancadora secundaria»; «Lift: Material Chancado Fase A»; peso húmedo 1249.1 kg, w=2.4 %, peso seco 1220 kg, volumen de agua 571.7 L</t>
        </is>
      </c>
      <c r="P211" t="inlineStr">
        <is>
          <t>02/09/2009</t>
        </is>
      </c>
      <c r="Q211" t="inlineStr">
        <is>
          <t>35;8</t>
        </is>
      </c>
      <c r="R211" t="inlineStr">
        <is>
          <t>sí</t>
        </is>
      </c>
      <c r="S211" t="inlineStr">
        <is>
          <t>La hoja rotula la Fase A como «Material Chancado Fase A», en contradicción con p.1 (Fase A = material original del tajo).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G2010</t>
        </is>
      </c>
      <c r="B212" t="inlineStr">
        <is>
          <t>2010_Golder_Caracterizacion ROM IPCC.pdf</t>
        </is>
      </c>
      <c r="C212" t="inlineStr">
        <is>
          <t>Hornfels Gris</t>
        </is>
      </c>
      <c r="D212" t="inlineStr">
        <is>
          <t>Hornfels</t>
        </is>
      </c>
      <c r="E212" t="inlineStr">
        <is>
          <t>hornfels gris</t>
        </is>
      </c>
      <c r="F212" t="inlineStr">
        <is>
          <t>A</t>
        </is>
      </c>
      <c r="G212" t="inlineStr">
        <is>
          <t>ROM (Fase A = «material original procedente del tajo», p.1)</t>
        </is>
      </c>
      <c r="H212" t="inlineStr">
        <is>
          <t>Densidad in situ (reemplazo de agua)</t>
        </is>
      </c>
      <c r="I212" t="inlineStr">
        <is>
          <t>ASTM D5030-89</t>
        </is>
      </c>
      <c r="J212" t="inlineStr">
        <is>
          <t>Densidad húmeda</t>
        </is>
      </c>
      <c r="K212" t="n">
        <v>2.055</v>
      </c>
      <c r="L212" t="inlineStr">
        <is>
          <t>t/m³</t>
        </is>
      </c>
      <c r="M212" t="n">
        <v>1</v>
      </c>
      <c r="N212" t="inlineStr">
        <is>
          <t>única</t>
        </is>
      </c>
      <c r="O212" t="inlineStr">
        <is>
          <t>«Location: Parte baja chancadora secundaria»; «Lift: Material Chancado Fase A»; peso húmedo 1460.1 kg, w=1.44 %, peso seco 1439 kg, volumen de agua 710.6 L</t>
        </is>
      </c>
      <c r="P212" t="inlineStr">
        <is>
          <t>02/09/2009</t>
        </is>
      </c>
      <c r="Q212" t="inlineStr">
        <is>
          <t>36;8</t>
        </is>
      </c>
      <c r="R212" t="inlineStr">
        <is>
          <t>sí</t>
        </is>
      </c>
      <c r="S212" t="inlineStr">
        <is>
          <t>La hoja rotula la Fase A como «Material Chancado Fase A», en contradicción con p.1 (Fase A = material original del tajo).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G2010</t>
        </is>
      </c>
      <c r="B213" t="inlineStr">
        <is>
          <t>2010_Golder_Caracterizacion ROM IPCC.pdf</t>
        </is>
      </c>
      <c r="C213" t="inlineStr">
        <is>
          <t>Hornfels Gris</t>
        </is>
      </c>
      <c r="D213" t="inlineStr">
        <is>
          <t>Hornfels</t>
        </is>
      </c>
      <c r="E213" t="inlineStr">
        <is>
          <t>hornfels gris</t>
        </is>
      </c>
      <c r="F213" t="inlineStr">
        <is>
          <t>A</t>
        </is>
      </c>
      <c r="G213" t="inlineStr">
        <is>
          <t>ROM (Fase A = «material original procedente del tajo», p.1)</t>
        </is>
      </c>
      <c r="H213" t="inlineStr">
        <is>
          <t>Densidad in situ (reemplazo de agua)</t>
        </is>
      </c>
      <c r="I213" t="inlineStr">
        <is>
          <t>ASTM D5030-89</t>
        </is>
      </c>
      <c r="J213" t="inlineStr">
        <is>
          <t>Densidad seca</t>
        </is>
      </c>
      <c r="K213" t="n">
        <v>2.026</v>
      </c>
      <c r="L213" t="inlineStr">
        <is>
          <t>t/m³</t>
        </is>
      </c>
      <c r="M213" t="n">
        <v>1</v>
      </c>
      <c r="N213" t="inlineStr">
        <is>
          <t>única</t>
        </is>
      </c>
      <c r="O213" t="inlineStr">
        <is>
          <t>«Location: Parte baja chancadora secundaria»; «Lift: Material Chancado Fase A»; peso húmedo 1460.1 kg, w=1.44 %, peso seco 1439 kg, volumen de agua 710.6 L</t>
        </is>
      </c>
      <c r="P213" t="inlineStr">
        <is>
          <t>02/09/2009</t>
        </is>
      </c>
      <c r="Q213" t="inlineStr">
        <is>
          <t>36;8</t>
        </is>
      </c>
      <c r="R213" t="inlineStr">
        <is>
          <t>sí</t>
        </is>
      </c>
      <c r="S213" t="inlineStr">
        <is>
          <t>La hoja rotula la Fase A como «Material Chancado Fase A», en contradicción con p.1 (Fase A = material original del tajo).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G2010</t>
        </is>
      </c>
      <c r="B214" t="inlineStr">
        <is>
          <t>2010_Golder_Caracterizacion ROM IPCC.pdf</t>
        </is>
      </c>
      <c r="C214" t="inlineStr">
        <is>
          <t>Intrusivo</t>
        </is>
      </c>
      <c r="D214" t="inlineStr">
        <is>
          <t>Intrusivo</t>
        </is>
      </c>
      <c r="E214" t="inlineStr">
        <is>
          <t>sin subtipo</t>
        </is>
      </c>
      <c r="F214" t="inlineStr">
        <is>
          <t>A</t>
        </is>
      </c>
      <c r="G214" t="inlineStr">
        <is>
          <t>ROM (Fase A = «material original procedente del tajo», p.1)</t>
        </is>
      </c>
      <c r="H214" t="inlineStr">
        <is>
          <t>Densidad in situ (reemplazo de agua)</t>
        </is>
      </c>
      <c r="I214" t="inlineStr">
        <is>
          <t>ASTM D5030-89</t>
        </is>
      </c>
      <c r="J214" t="inlineStr">
        <is>
          <t>Densidad húmeda</t>
        </is>
      </c>
      <c r="K214" t="n">
        <v>1.931</v>
      </c>
      <c r="L214" t="inlineStr">
        <is>
          <t>t/m³</t>
        </is>
      </c>
      <c r="M214" t="n">
        <v>1</v>
      </c>
      <c r="N214" t="inlineStr">
        <is>
          <t>única</t>
        </is>
      </c>
      <c r="O214" t="inlineStr">
        <is>
          <t>«Location: Parte baja chancadora secundaria»; «Lift: Material Chancado Fase A»; peso húmedo 1357.2 kg, w=3.5 %, peso seco 1311 kg, volumen de agua 702.9 L</t>
        </is>
      </c>
      <c r="P214" t="inlineStr">
        <is>
          <t>02/09/2009</t>
        </is>
      </c>
      <c r="Q214" t="inlineStr">
        <is>
          <t>37;8</t>
        </is>
      </c>
      <c r="R214" t="inlineStr">
        <is>
          <t>sí</t>
        </is>
      </c>
      <c r="S214" t="inlineStr">
        <is>
          <t>La hoja rotula la Fase A como «Material Chancado Fase A», en contradicción con p.1 (Fase A = material original del tajo).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G2010</t>
        </is>
      </c>
      <c r="B215" t="inlineStr">
        <is>
          <t>2010_Golder_Caracterizacion ROM IPCC.pdf</t>
        </is>
      </c>
      <c r="C215" t="inlineStr">
        <is>
          <t>Intrusivo</t>
        </is>
      </c>
      <c r="D215" t="inlineStr">
        <is>
          <t>Intrusivo</t>
        </is>
      </c>
      <c r="E215" t="inlineStr">
        <is>
          <t>sin subtipo</t>
        </is>
      </c>
      <c r="F215" t="inlineStr">
        <is>
          <t>A</t>
        </is>
      </c>
      <c r="G215" t="inlineStr">
        <is>
          <t>ROM (Fase A = «material original procedente del tajo», p.1)</t>
        </is>
      </c>
      <c r="H215" t="inlineStr">
        <is>
          <t>Densidad in situ (reemplazo de agua)</t>
        </is>
      </c>
      <c r="I215" t="inlineStr">
        <is>
          <t>ASTM D5030-89</t>
        </is>
      </c>
      <c r="J215" t="inlineStr">
        <is>
          <t>Densidad seca</t>
        </is>
      </c>
      <c r="K215" t="n">
        <v>1.865</v>
      </c>
      <c r="L215" t="inlineStr">
        <is>
          <t>t/m³</t>
        </is>
      </c>
      <c r="M215" t="n">
        <v>1</v>
      </c>
      <c r="N215" t="inlineStr">
        <is>
          <t>única</t>
        </is>
      </c>
      <c r="O215" t="inlineStr">
        <is>
          <t>«Location: Parte baja chancadora secundaria»; «Lift: Material Chancado Fase A»; peso húmedo 1357.2 kg, w=3.5 %, peso seco 1311 kg, volumen de agua 702.9 L</t>
        </is>
      </c>
      <c r="P215" t="inlineStr">
        <is>
          <t>02/09/2009</t>
        </is>
      </c>
      <c r="Q215" t="inlineStr">
        <is>
          <t>37;8</t>
        </is>
      </c>
      <c r="R215" t="inlineStr">
        <is>
          <t>sí</t>
        </is>
      </c>
      <c r="S215" t="inlineStr">
        <is>
          <t>La hoja rotula la Fase A como «Material Chancado Fase A», en contradicción con p.1 (Fase A = material original del tajo).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G2010</t>
        </is>
      </c>
      <c r="B216" t="inlineStr">
        <is>
          <t>2010_Golder_Caracterizacion ROM IPCC.pdf</t>
        </is>
      </c>
      <c r="C216" t="inlineStr">
        <is>
          <t>Exoskarn Diopsido</t>
        </is>
      </c>
      <c r="D216" t="inlineStr">
        <is>
          <t>Skarn</t>
        </is>
      </c>
      <c r="E216" t="inlineStr">
        <is>
          <t>exoskarn diópsido</t>
        </is>
      </c>
      <c r="F216" t="inlineStr">
        <is>
          <t>A</t>
        </is>
      </c>
      <c r="G216" t="inlineStr">
        <is>
          <t>ROM (Fase A = «material original procedente del tajo», p.1)</t>
        </is>
      </c>
      <c r="H216" t="inlineStr">
        <is>
          <t>Densidad in situ (reemplazo de agua)</t>
        </is>
      </c>
      <c r="I216" t="inlineStr">
        <is>
          <t>ASTM D5030-89</t>
        </is>
      </c>
      <c r="J216" t="inlineStr">
        <is>
          <t>Densidad húmeda</t>
        </is>
      </c>
      <c r="K216" t="n">
        <v>2.35</v>
      </c>
      <c r="L216" t="inlineStr">
        <is>
          <t>t/m³</t>
        </is>
      </c>
      <c r="M216" t="n">
        <v>1</v>
      </c>
      <c r="N216" t="inlineStr">
        <is>
          <t>única</t>
        </is>
      </c>
      <c r="O216" t="inlineStr">
        <is>
          <t>«Location: Parte baja chancadora secundaria»; «Lift: Material Chancado Fase A»; peso húmedo 1743.7 kg, w=3.4 %, peso seco 1687 kg, volumen de agua 742.1 L</t>
        </is>
      </c>
      <c r="P216" t="inlineStr">
        <is>
          <t>02/09/2009</t>
        </is>
      </c>
      <c r="Q216" t="inlineStr">
        <is>
          <t>38;8</t>
        </is>
      </c>
      <c r="R216" t="inlineStr">
        <is>
          <t>sí</t>
        </is>
      </c>
      <c r="S216" t="inlineStr">
        <is>
          <t>La hoja rotula la Fase A como «Material Chancado Fase A», en contradicción con p.1 (Fase A = material original del tajo).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G2010</t>
        </is>
      </c>
      <c r="B217" t="inlineStr">
        <is>
          <t>2010_Golder_Caracterizacion ROM IPCC.pdf</t>
        </is>
      </c>
      <c r="C217" t="inlineStr">
        <is>
          <t>Exoskarn Diopsido</t>
        </is>
      </c>
      <c r="D217" t="inlineStr">
        <is>
          <t>Skarn</t>
        </is>
      </c>
      <c r="E217" t="inlineStr">
        <is>
          <t>exoskarn diópsido</t>
        </is>
      </c>
      <c r="F217" t="inlineStr">
        <is>
          <t>A</t>
        </is>
      </c>
      <c r="G217" t="inlineStr">
        <is>
          <t>ROM (Fase A = «material original procedente del tajo», p.1)</t>
        </is>
      </c>
      <c r="H217" t="inlineStr">
        <is>
          <t>Densidad in situ (reemplazo de agua)</t>
        </is>
      </c>
      <c r="I217" t="inlineStr">
        <is>
          <t>ASTM D5030-89</t>
        </is>
      </c>
      <c r="J217" t="inlineStr">
        <is>
          <t>Densidad seca</t>
        </is>
      </c>
      <c r="K217" t="n">
        <v>2.273</v>
      </c>
      <c r="L217" t="inlineStr">
        <is>
          <t>t/m³</t>
        </is>
      </c>
      <c r="M217" t="n">
        <v>1</v>
      </c>
      <c r="N217" t="inlineStr">
        <is>
          <t>única</t>
        </is>
      </c>
      <c r="O217" t="inlineStr">
        <is>
          <t>«Location: Parte baja chancadora secundaria»; «Lift: Material Chancado Fase A»; peso húmedo 1743.7 kg, w=3.4 %, peso seco 1687 kg, volumen de agua 742.1 L</t>
        </is>
      </c>
      <c r="P217" t="inlineStr">
        <is>
          <t>02/09/2009</t>
        </is>
      </c>
      <c r="Q217" t="inlineStr">
        <is>
          <t>38;8</t>
        </is>
      </c>
      <c r="R217" t="inlineStr">
        <is>
          <t>sí</t>
        </is>
      </c>
      <c r="S217" t="inlineStr">
        <is>
          <t>La hoja rotula la Fase A como «Material Chancado Fase A», en contradicción con p.1 (Fase A = material original del tajo).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G2010</t>
        </is>
      </c>
      <c r="B218" t="inlineStr">
        <is>
          <t>2010_Golder_Caracterizacion ROM IPCC.pdf</t>
        </is>
      </c>
      <c r="C218" t="inlineStr">
        <is>
          <t>Mármol Negro</t>
        </is>
      </c>
      <c r="D218" t="inlineStr">
        <is>
          <t>Mármol</t>
        </is>
      </c>
      <c r="E218" t="inlineStr">
        <is>
          <t>mármol negro</t>
        </is>
      </c>
      <c r="F218" t="inlineStr">
        <is>
          <t>B</t>
        </is>
      </c>
      <c r="G218" t="inlineStr">
        <is>
          <t>Chancado (Fase B = «material chancado», p.1)</t>
        </is>
      </c>
      <c r="H218" t="inlineStr">
        <is>
          <t>Densidad in situ (reemplazo de agua)</t>
        </is>
      </c>
      <c r="I218" t="inlineStr">
        <is>
          <t>ASTM D5030-89</t>
        </is>
      </c>
      <c r="J218" t="inlineStr">
        <is>
          <t>Densidad húmeda</t>
        </is>
      </c>
      <c r="K218" t="n">
        <v>2.2</v>
      </c>
      <c r="L218" t="inlineStr">
        <is>
          <t>t/m³</t>
        </is>
      </c>
      <c r="M218" t="n">
        <v>1</v>
      </c>
      <c r="N218" t="inlineStr">
        <is>
          <t>única</t>
        </is>
      </c>
      <c r="O218" t="inlineStr">
        <is>
          <t>«Location: Parte baja chancadora secundaria»; «Lift: Material Chancado Fase B»; peso húmedo 837.2 kg, w=2.3 %, peso seco 818 kg, volumen de agua 380.5 L</t>
        </is>
      </c>
      <c r="P218" t="inlineStr">
        <is>
          <t>25/09/2009</t>
        </is>
      </c>
      <c r="Q218" t="inlineStr">
        <is>
          <t>39;8</t>
        </is>
      </c>
      <c r="R218" t="inlineStr">
        <is>
          <t>sí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G2010</t>
        </is>
      </c>
      <c r="B219" t="inlineStr">
        <is>
          <t>2010_Golder_Caracterizacion ROM IPCC.pdf</t>
        </is>
      </c>
      <c r="C219" t="inlineStr">
        <is>
          <t>Mármol Negro</t>
        </is>
      </c>
      <c r="D219" t="inlineStr">
        <is>
          <t>Mármol</t>
        </is>
      </c>
      <c r="E219" t="inlineStr">
        <is>
          <t>mármol negro</t>
        </is>
      </c>
      <c r="F219" t="inlineStr">
        <is>
          <t>B</t>
        </is>
      </c>
      <c r="G219" t="inlineStr">
        <is>
          <t>Chancado (Fase B = «material chancado», p.1)</t>
        </is>
      </c>
      <c r="H219" t="inlineStr">
        <is>
          <t>Densidad in situ (reemplazo de agua)</t>
        </is>
      </c>
      <c r="I219" t="inlineStr">
        <is>
          <t>ASTM D5030-89</t>
        </is>
      </c>
      <c r="J219" t="inlineStr">
        <is>
          <t>Densidad seca</t>
        </is>
      </c>
      <c r="K219" t="n">
        <v>2.151</v>
      </c>
      <c r="L219" t="inlineStr">
        <is>
          <t>t/m³</t>
        </is>
      </c>
      <c r="M219" t="n">
        <v>1</v>
      </c>
      <c r="N219" t="inlineStr">
        <is>
          <t>única</t>
        </is>
      </c>
      <c r="O219" t="inlineStr">
        <is>
          <t>«Location: Parte baja chancadora secundaria»; «Lift: Material Chancado Fase B»; peso húmedo 837.2 kg, w=2.3 %, peso seco 818 kg, volumen de agua 380.5 L</t>
        </is>
      </c>
      <c r="P219" t="inlineStr">
        <is>
          <t>25/09/2009</t>
        </is>
      </c>
      <c r="Q219" t="inlineStr">
        <is>
          <t>39;8</t>
        </is>
      </c>
      <c r="R219" t="inlineStr">
        <is>
          <t>sí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G2010</t>
        </is>
      </c>
      <c r="B220" t="inlineStr">
        <is>
          <t>2010_Golder_Caracterizacion ROM IPCC.pdf</t>
        </is>
      </c>
      <c r="C220" t="inlineStr">
        <is>
          <t>Hornfels Gris</t>
        </is>
      </c>
      <c r="D220" t="inlineStr">
        <is>
          <t>Hornfels</t>
        </is>
      </c>
      <c r="E220" t="inlineStr">
        <is>
          <t>hornfels gris</t>
        </is>
      </c>
      <c r="F220" t="inlineStr">
        <is>
          <t>B</t>
        </is>
      </c>
      <c r="G220" t="inlineStr">
        <is>
          <t>Chancado (Fase B = «material chancado», p.1)</t>
        </is>
      </c>
      <c r="H220" t="inlineStr">
        <is>
          <t>Densidad in situ (reemplazo de agua)</t>
        </is>
      </c>
      <c r="I220" t="inlineStr">
        <is>
          <t>ASTM D5030-89</t>
        </is>
      </c>
      <c r="J220" t="inlineStr">
        <is>
          <t>Densidad húmeda</t>
        </is>
      </c>
      <c r="K220" t="n">
        <v>2.162</v>
      </c>
      <c r="L220" t="inlineStr">
        <is>
          <t>t/m³</t>
        </is>
      </c>
      <c r="M220" t="n">
        <v>1</v>
      </c>
      <c r="N220" t="inlineStr">
        <is>
          <t>única</t>
        </is>
      </c>
      <c r="O220" t="inlineStr">
        <is>
          <t>«Location: Parte baja chancadora secundaria»; «Lift: Material Chancado Fase B»; peso húmedo 1053 kg, w=1.2 %, peso seco 1041 kg, volumen de agua 487 L</t>
        </is>
      </c>
      <c r="P220" t="inlineStr">
        <is>
          <t>25/09/2009</t>
        </is>
      </c>
      <c r="Q220" t="inlineStr">
        <is>
          <t>40;8</t>
        </is>
      </c>
      <c r="R220" t="inlineStr">
        <is>
          <t>sí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G2010</t>
        </is>
      </c>
      <c r="B221" t="inlineStr">
        <is>
          <t>2010_Golder_Caracterizacion ROM IPCC.pdf</t>
        </is>
      </c>
      <c r="C221" t="inlineStr">
        <is>
          <t>Hornfels Gris</t>
        </is>
      </c>
      <c r="D221" t="inlineStr">
        <is>
          <t>Hornfels</t>
        </is>
      </c>
      <c r="E221" t="inlineStr">
        <is>
          <t>hornfels gris</t>
        </is>
      </c>
      <c r="F221" t="inlineStr">
        <is>
          <t>B</t>
        </is>
      </c>
      <c r="G221" t="inlineStr">
        <is>
          <t>Chancado (Fase B = «material chancado», p.1)</t>
        </is>
      </c>
      <c r="H221" t="inlineStr">
        <is>
          <t>Densidad in situ (reemplazo de agua)</t>
        </is>
      </c>
      <c r="I221" t="inlineStr">
        <is>
          <t>ASTM D5030-89</t>
        </is>
      </c>
      <c r="J221" t="inlineStr">
        <is>
          <t>Densidad seca</t>
        </is>
      </c>
      <c r="K221" t="n">
        <v>2.137</v>
      </c>
      <c r="L221" t="inlineStr">
        <is>
          <t>t/m³</t>
        </is>
      </c>
      <c r="M221" t="n">
        <v>1</v>
      </c>
      <c r="N221" t="inlineStr">
        <is>
          <t>única</t>
        </is>
      </c>
      <c r="O221" t="inlineStr">
        <is>
          <t>«Location: Parte baja chancadora secundaria»; «Lift: Material Chancado Fase B»; peso húmedo 1053 kg, w=1.2 %, peso seco 1041 kg, volumen de agua 487 L</t>
        </is>
      </c>
      <c r="P221" t="inlineStr">
        <is>
          <t>25/09/2009</t>
        </is>
      </c>
      <c r="Q221" t="inlineStr">
        <is>
          <t>40;8</t>
        </is>
      </c>
      <c r="R221" t="inlineStr">
        <is>
          <t>sí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G2010</t>
        </is>
      </c>
      <c r="B222" t="inlineStr">
        <is>
          <t>2010_Golder_Caracterizacion ROM IPCC.pdf</t>
        </is>
      </c>
      <c r="C222" t="inlineStr">
        <is>
          <t>Intrusivo</t>
        </is>
      </c>
      <c r="D222" t="inlineStr">
        <is>
          <t>Intrusivo</t>
        </is>
      </c>
      <c r="E222" t="inlineStr">
        <is>
          <t>sin subtipo</t>
        </is>
      </c>
      <c r="F222" t="inlineStr">
        <is>
          <t>B</t>
        </is>
      </c>
      <c r="G222" t="inlineStr">
        <is>
          <t>Chancado (Fase B = «material chancado», p.1)</t>
        </is>
      </c>
      <c r="H222" t="inlineStr">
        <is>
          <t>Densidad in situ (reemplazo de agua)</t>
        </is>
      </c>
      <c r="I222" t="inlineStr">
        <is>
          <t>ASTM D5030-89</t>
        </is>
      </c>
      <c r="J222" t="inlineStr">
        <is>
          <t>Densidad húmeda</t>
        </is>
      </c>
      <c r="K222" t="n">
        <v>2.06</v>
      </c>
      <c r="L222" t="inlineStr">
        <is>
          <t>t/m³</t>
        </is>
      </c>
      <c r="M222" t="n">
        <v>1</v>
      </c>
      <c r="N222" t="inlineStr">
        <is>
          <t>única</t>
        </is>
      </c>
      <c r="O222" t="inlineStr">
        <is>
          <t>«Location: Parte baja chancadora secundaria»; «Lift: Material Chancado Fase B»; peso húmedo 1569.6 kg, w=2.0 %, peso seco 1539 kg, volumen de agua 762 L</t>
        </is>
      </c>
      <c r="P222" t="inlineStr">
        <is>
          <t>25/09/2009</t>
        </is>
      </c>
      <c r="Q222" t="inlineStr">
        <is>
          <t>41;8</t>
        </is>
      </c>
      <c r="R222" t="inlineStr">
        <is>
          <t>sí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G2010</t>
        </is>
      </c>
      <c r="B223" t="inlineStr">
        <is>
          <t>2010_Golder_Caracterizacion ROM IPCC.pdf</t>
        </is>
      </c>
      <c r="C223" t="inlineStr">
        <is>
          <t>Intrusivo</t>
        </is>
      </c>
      <c r="D223" t="inlineStr">
        <is>
          <t>Intrusivo</t>
        </is>
      </c>
      <c r="E223" t="inlineStr">
        <is>
          <t>sin subtipo</t>
        </is>
      </c>
      <c r="F223" t="inlineStr">
        <is>
          <t>B</t>
        </is>
      </c>
      <c r="G223" t="inlineStr">
        <is>
          <t>Chancado (Fase B = «material chancado», p.1)</t>
        </is>
      </c>
      <c r="H223" t="inlineStr">
        <is>
          <t>Densidad in situ (reemplazo de agua)</t>
        </is>
      </c>
      <c r="I223" t="inlineStr">
        <is>
          <t>ASTM D5030-89</t>
        </is>
      </c>
      <c r="J223" t="inlineStr">
        <is>
          <t>Densidad seca</t>
        </is>
      </c>
      <c r="K223" t="n">
        <v>2.019</v>
      </c>
      <c r="L223" t="inlineStr">
        <is>
          <t>t/m³</t>
        </is>
      </c>
      <c r="M223" t="n">
        <v>1</v>
      </c>
      <c r="N223" t="inlineStr">
        <is>
          <t>única</t>
        </is>
      </c>
      <c r="O223" t="inlineStr">
        <is>
          <t>«Location: Parte baja chancadora secundaria»; «Lift: Material Chancado Fase B»; peso húmedo 1569.6 kg, w=2.0 %, peso seco 1539 kg, volumen de agua 762 L</t>
        </is>
      </c>
      <c r="P223" t="inlineStr">
        <is>
          <t>25/09/2009</t>
        </is>
      </c>
      <c r="Q223" t="inlineStr">
        <is>
          <t>41;8</t>
        </is>
      </c>
      <c r="R223" t="inlineStr">
        <is>
          <t>sí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G2010</t>
        </is>
      </c>
      <c r="B224" t="inlineStr">
        <is>
          <t>2010_Golder_Caracterizacion ROM IPCC.pdf</t>
        </is>
      </c>
      <c r="C224" t="inlineStr">
        <is>
          <t>Exoskarn Diopsido</t>
        </is>
      </c>
      <c r="D224" t="inlineStr">
        <is>
          <t>Skarn</t>
        </is>
      </c>
      <c r="E224" t="inlineStr">
        <is>
          <t>exoskarn diópsido</t>
        </is>
      </c>
      <c r="F224" t="inlineStr">
        <is>
          <t>B</t>
        </is>
      </c>
      <c r="G224" t="inlineStr">
        <is>
          <t>Chancado (Fase B = «material chancado», p.1)</t>
        </is>
      </c>
      <c r="H224" t="inlineStr">
        <is>
          <t>Densidad in situ (reemplazo de agua)</t>
        </is>
      </c>
      <c r="I224" t="inlineStr">
        <is>
          <t>ASTM D5030-89</t>
        </is>
      </c>
      <c r="J224" t="inlineStr">
        <is>
          <t>Densidad húmeda</t>
        </is>
      </c>
      <c r="K224" t="n">
        <v>2.418</v>
      </c>
      <c r="L224" t="inlineStr">
        <is>
          <t>t/m³</t>
        </is>
      </c>
      <c r="M224" t="n">
        <v>1</v>
      </c>
      <c r="N224" t="inlineStr">
        <is>
          <t>única</t>
        </is>
      </c>
      <c r="O224" t="inlineStr">
        <is>
          <t>«Location: Parte baja chancadora secundaria»; «Lift: Material Chancado Fase B»; peso húmedo 1047 kg, w=2.6 %, peso seco 1020 kg, volumen de agua 433 L</t>
        </is>
      </c>
      <c r="P224" t="inlineStr">
        <is>
          <t>25/09/2009</t>
        </is>
      </c>
      <c r="Q224" t="inlineStr">
        <is>
          <t>42;8</t>
        </is>
      </c>
      <c r="R224" t="inlineStr">
        <is>
          <t>sí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G2010</t>
        </is>
      </c>
      <c r="B225" t="inlineStr">
        <is>
          <t>2010_Golder_Caracterizacion ROM IPCC.pdf</t>
        </is>
      </c>
      <c r="C225" t="inlineStr">
        <is>
          <t>Exoskarn Diopsido</t>
        </is>
      </c>
      <c r="D225" t="inlineStr">
        <is>
          <t>Skarn</t>
        </is>
      </c>
      <c r="E225" t="inlineStr">
        <is>
          <t>exoskarn diópsido</t>
        </is>
      </c>
      <c r="F225" t="inlineStr">
        <is>
          <t>B</t>
        </is>
      </c>
      <c r="G225" t="inlineStr">
        <is>
          <t>Chancado (Fase B = «material chancado», p.1)</t>
        </is>
      </c>
      <c r="H225" t="inlineStr">
        <is>
          <t>Densidad in situ (reemplazo de agua)</t>
        </is>
      </c>
      <c r="I225" t="inlineStr">
        <is>
          <t>ASTM D5030-89</t>
        </is>
      </c>
      <c r="J225" t="inlineStr">
        <is>
          <t>Densidad seca</t>
        </is>
      </c>
      <c r="K225" t="n">
        <v>2.357</v>
      </c>
      <c r="L225" t="inlineStr">
        <is>
          <t>t/m³</t>
        </is>
      </c>
      <c r="M225" t="n">
        <v>1</v>
      </c>
      <c r="N225" t="inlineStr">
        <is>
          <t>única</t>
        </is>
      </c>
      <c r="O225" t="inlineStr">
        <is>
          <t>«Location: Parte baja chancadora secundaria»; «Lift: Material Chancado Fase B»; peso húmedo 1047 kg, w=2.6 %, peso seco 1020 kg, volumen de agua 433 L</t>
        </is>
      </c>
      <c r="P225" t="inlineStr">
        <is>
          <t>25/09/2009</t>
        </is>
      </c>
      <c r="Q225" t="inlineStr">
        <is>
          <t>42;8</t>
        </is>
      </c>
      <c r="R225" t="inlineStr">
        <is>
          <t>sí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G2010</t>
        </is>
      </c>
      <c r="B226" t="inlineStr">
        <is>
          <t>2010_Golder_Caracterizacion ROM IPCC.pdf</t>
        </is>
      </c>
      <c r="C226" t="inlineStr">
        <is>
          <t>Exoskarn Diopsido</t>
        </is>
      </c>
      <c r="D226" t="inlineStr">
        <is>
          <t>Skarn</t>
        </is>
      </c>
      <c r="E226" t="inlineStr">
        <is>
          <t>exoskarn diópsido</t>
        </is>
      </c>
      <c r="F226" t="inlineStr">
        <is>
          <t>A</t>
        </is>
      </c>
      <c r="G226" t="inlineStr">
        <is>
          <t>ROM (Fase A = «material original procedente del tajo», p.1)</t>
        </is>
      </c>
      <c r="H226" t="inlineStr">
        <is>
          <t>Densidad mínima</t>
        </is>
      </c>
      <c r="I226" t="inlineStr">
        <is>
          <t>ASTM D4254</t>
        </is>
      </c>
      <c r="J226" t="inlineStr">
        <is>
          <t>γd mínima (promedio de 3)</t>
        </is>
      </c>
      <c r="K226" t="n">
        <v>2.175</v>
      </c>
      <c r="L226" t="inlineStr">
        <is>
          <t>g/cm³</t>
        </is>
      </c>
      <c r="M226" t="n">
        <v>3</v>
      </c>
      <c r="N226" t="inlineStr">
        <is>
          <t>promedio</t>
        </is>
      </c>
      <c r="O226" t="inlineStr">
        <is>
          <t>material preparado, pasante malla 5/8"</t>
        </is>
      </c>
      <c r="P226" t="inlineStr">
        <is>
          <t>18/12/2009</t>
        </is>
      </c>
      <c r="Q226" t="inlineStr">
        <is>
          <t>43</t>
        </is>
      </c>
      <c r="R226" t="inlineStr">
        <is>
          <t>sí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G2010</t>
        </is>
      </c>
      <c r="B227" t="inlineStr">
        <is>
          <t>2010_Golder_Caracterizacion ROM IPCC.pdf</t>
        </is>
      </c>
      <c r="C227" t="inlineStr">
        <is>
          <t>Exoskarn Diopsido</t>
        </is>
      </c>
      <c r="D227" t="inlineStr">
        <is>
          <t>Skarn</t>
        </is>
      </c>
      <c r="E227" t="inlineStr">
        <is>
          <t>exoskarn diópsido</t>
        </is>
      </c>
      <c r="F227" t="inlineStr">
        <is>
          <t>A</t>
        </is>
      </c>
      <c r="G227" t="inlineStr">
        <is>
          <t>ROM (Fase A = «material original procedente del tajo», p.1)</t>
        </is>
      </c>
      <c r="H227" t="inlineStr">
        <is>
          <t>Densidad máxima</t>
        </is>
      </c>
      <c r="I227" t="inlineStr">
        <is>
          <t>ASTM D4253</t>
        </is>
      </c>
      <c r="J227" t="inlineStr">
        <is>
          <t>γd máxima (promedio de 3)</t>
        </is>
      </c>
      <c r="K227" t="n">
        <v>2.621</v>
      </c>
      <c r="L227" t="inlineStr">
        <is>
          <t>g/cm³</t>
        </is>
      </c>
      <c r="M227" t="n">
        <v>3</v>
      </c>
      <c r="N227" t="inlineStr">
        <is>
          <t>promedio</t>
        </is>
      </c>
      <c r="O227" t="inlineStr">
        <is>
          <t>material preparado, pasante malla 5/8"</t>
        </is>
      </c>
      <c r="P227" t="inlineStr">
        <is>
          <t>18/12/2009</t>
        </is>
      </c>
      <c r="Q227" t="inlineStr">
        <is>
          <t>43</t>
        </is>
      </c>
      <c r="R227" t="inlineStr">
        <is>
          <t>sí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G2010</t>
        </is>
      </c>
      <c r="B228" t="inlineStr">
        <is>
          <t>2010_Golder_Caracterizacion ROM IPCC.pdf</t>
        </is>
      </c>
      <c r="C228" t="inlineStr">
        <is>
          <t>Mármol Negro</t>
        </is>
      </c>
      <c r="D228" t="inlineStr">
        <is>
          <t>Mármol</t>
        </is>
      </c>
      <c r="E228" t="inlineStr">
        <is>
          <t>mármol negro</t>
        </is>
      </c>
      <c r="F228" t="inlineStr">
        <is>
          <t>B</t>
        </is>
      </c>
      <c r="G228" t="inlineStr">
        <is>
          <t>Chancado (Fase B = «material chancado», p.1)</t>
        </is>
      </c>
      <c r="H228" t="inlineStr">
        <is>
          <t>Densidad mínima</t>
        </is>
      </c>
      <c r="I228" t="inlineStr">
        <is>
          <t>ASTM D4254</t>
        </is>
      </c>
      <c r="J228" t="inlineStr">
        <is>
          <t>γd mínima (promedio de 3)</t>
        </is>
      </c>
      <c r="K228" t="n">
        <v>1.821</v>
      </c>
      <c r="L228" t="inlineStr">
        <is>
          <t>g/cm³</t>
        </is>
      </c>
      <c r="M228" t="n">
        <v>3</v>
      </c>
      <c r="N228" t="inlineStr">
        <is>
          <t>promedio</t>
        </is>
      </c>
      <c r="O228" t="inlineStr">
        <is>
          <t>material preparado, pasante malla 5/8"</t>
        </is>
      </c>
      <c r="P228" t="inlineStr">
        <is>
          <t>18/12/2009</t>
        </is>
      </c>
      <c r="Q228" t="inlineStr">
        <is>
          <t>44</t>
        </is>
      </c>
      <c r="R228" t="inlineStr">
        <is>
          <t>sí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G2010</t>
        </is>
      </c>
      <c r="B229" t="inlineStr">
        <is>
          <t>2010_Golder_Caracterizacion ROM IPCC.pdf</t>
        </is>
      </c>
      <c r="C229" t="inlineStr">
        <is>
          <t>Mármol Negro</t>
        </is>
      </c>
      <c r="D229" t="inlineStr">
        <is>
          <t>Mármol</t>
        </is>
      </c>
      <c r="E229" t="inlineStr">
        <is>
          <t>mármol negro</t>
        </is>
      </c>
      <c r="F229" t="inlineStr">
        <is>
          <t>B</t>
        </is>
      </c>
      <c r="G229" t="inlineStr">
        <is>
          <t>Chancado (Fase B = «material chancado», p.1)</t>
        </is>
      </c>
      <c r="H229" t="inlineStr">
        <is>
          <t>Densidad máxima</t>
        </is>
      </c>
      <c r="I229" t="inlineStr">
        <is>
          <t>ASTM D4253</t>
        </is>
      </c>
      <c r="J229" t="inlineStr">
        <is>
          <t>γd máxima (promedio de 3)</t>
        </is>
      </c>
      <c r="K229" t="n">
        <v>2.236</v>
      </c>
      <c r="L229" t="inlineStr">
        <is>
          <t>g/cm³</t>
        </is>
      </c>
      <c r="M229" t="n">
        <v>3</v>
      </c>
      <c r="N229" t="inlineStr">
        <is>
          <t>promedio</t>
        </is>
      </c>
      <c r="O229" t="inlineStr">
        <is>
          <t>material preparado, pasante malla 5/8"</t>
        </is>
      </c>
      <c r="P229" t="inlineStr">
        <is>
          <t>18/12/2009</t>
        </is>
      </c>
      <c r="Q229" t="inlineStr">
        <is>
          <t>44</t>
        </is>
      </c>
      <c r="R229" t="inlineStr">
        <is>
          <t>sí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G2010</t>
        </is>
      </c>
      <c r="B230" t="inlineStr">
        <is>
          <t>2010_Golder_Caracterizacion ROM IPCC.pdf</t>
        </is>
      </c>
      <c r="C230" t="inlineStr">
        <is>
          <t>Hornfels Gris</t>
        </is>
      </c>
      <c r="D230" t="inlineStr">
        <is>
          <t>Hornfels</t>
        </is>
      </c>
      <c r="E230" t="inlineStr">
        <is>
          <t>hornfels gris</t>
        </is>
      </c>
      <c r="F230" t="inlineStr">
        <is>
          <t>B</t>
        </is>
      </c>
      <c r="G230" t="inlineStr">
        <is>
          <t>Chancado (Fase B = «material chancado», p.1)</t>
        </is>
      </c>
      <c r="H230" t="inlineStr">
        <is>
          <t>Densidad mínima</t>
        </is>
      </c>
      <c r="I230" t="inlineStr">
        <is>
          <t>ASTM D4254</t>
        </is>
      </c>
      <c r="J230" t="inlineStr">
        <is>
          <t>γd mínima (promedio de 3)</t>
        </is>
      </c>
      <c r="K230" t="n">
        <v>1.861</v>
      </c>
      <c r="L230" t="inlineStr">
        <is>
          <t>g/cm³</t>
        </is>
      </c>
      <c r="M230" t="n">
        <v>3</v>
      </c>
      <c r="N230" t="inlineStr">
        <is>
          <t>promedio</t>
        </is>
      </c>
      <c r="O230" t="inlineStr">
        <is>
          <t>material preparado, pasante malla 5/8"</t>
        </is>
      </c>
      <c r="P230" t="inlineStr">
        <is>
          <t>18/12/2009</t>
        </is>
      </c>
      <c r="Q230" t="inlineStr">
        <is>
          <t>45</t>
        </is>
      </c>
      <c r="R230" t="inlineStr">
        <is>
          <t>sí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G2010</t>
        </is>
      </c>
      <c r="B231" t="inlineStr">
        <is>
          <t>2010_Golder_Caracterizacion ROM IPCC.pdf</t>
        </is>
      </c>
      <c r="C231" t="inlineStr">
        <is>
          <t>Hornfels Gris</t>
        </is>
      </c>
      <c r="D231" t="inlineStr">
        <is>
          <t>Hornfels</t>
        </is>
      </c>
      <c r="E231" t="inlineStr">
        <is>
          <t>hornfels gris</t>
        </is>
      </c>
      <c r="F231" t="inlineStr">
        <is>
          <t>B</t>
        </is>
      </c>
      <c r="G231" t="inlineStr">
        <is>
          <t>Chancado (Fase B = «material chancado», p.1)</t>
        </is>
      </c>
      <c r="H231" t="inlineStr">
        <is>
          <t>Densidad máxima</t>
        </is>
      </c>
      <c r="I231" t="inlineStr">
        <is>
          <t>ASTM D4253</t>
        </is>
      </c>
      <c r="J231" t="inlineStr">
        <is>
          <t>γd máxima (promedio de 3)</t>
        </is>
      </c>
      <c r="K231" t="n">
        <v>2.308</v>
      </c>
      <c r="L231" t="inlineStr">
        <is>
          <t>g/cm³</t>
        </is>
      </c>
      <c r="M231" t="n">
        <v>3</v>
      </c>
      <c r="N231" t="inlineStr">
        <is>
          <t>promedio</t>
        </is>
      </c>
      <c r="O231" t="inlineStr">
        <is>
          <t>material preparado, pasante malla 5/8"</t>
        </is>
      </c>
      <c r="P231" t="inlineStr">
        <is>
          <t>18/12/2009</t>
        </is>
      </c>
      <c r="Q231" t="inlineStr">
        <is>
          <t>45</t>
        </is>
      </c>
      <c r="R231" t="inlineStr">
        <is>
          <t>sí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G2010</t>
        </is>
      </c>
      <c r="B232" t="inlineStr">
        <is>
          <t>2010_Golder_Caracterizacion ROM IPCC.pdf</t>
        </is>
      </c>
      <c r="C232" t="inlineStr">
        <is>
          <t>Intrusivo</t>
        </is>
      </c>
      <c r="D232" t="inlineStr">
        <is>
          <t>Intrusivo</t>
        </is>
      </c>
      <c r="E232" t="inlineStr">
        <is>
          <t>sin subtipo</t>
        </is>
      </c>
      <c r="F232" t="inlineStr">
        <is>
          <t>B</t>
        </is>
      </c>
      <c r="G232" t="inlineStr">
        <is>
          <t>Chancado (Fase B = «material chancado», p.1)</t>
        </is>
      </c>
      <c r="H232" t="inlineStr">
        <is>
          <t>Densidad mínima</t>
        </is>
      </c>
      <c r="I232" t="inlineStr">
        <is>
          <t>ASTM D4254</t>
        </is>
      </c>
      <c r="J232" t="inlineStr">
        <is>
          <t>γd mínima (promedio de 3)</t>
        </is>
      </c>
      <c r="K232" t="n">
        <v>1.833</v>
      </c>
      <c r="L232" t="inlineStr">
        <is>
          <t>g/cm³</t>
        </is>
      </c>
      <c r="M232" t="n">
        <v>3</v>
      </c>
      <c r="N232" t="inlineStr">
        <is>
          <t>promedio</t>
        </is>
      </c>
      <c r="O232" t="inlineStr">
        <is>
          <t>material preparado, pasante malla 5/8"</t>
        </is>
      </c>
      <c r="P232" t="inlineStr">
        <is>
          <t>18/12/2009</t>
        </is>
      </c>
      <c r="Q232" t="inlineStr">
        <is>
          <t>46</t>
        </is>
      </c>
      <c r="R232" t="inlineStr">
        <is>
          <t>sí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G2010</t>
        </is>
      </c>
      <c r="B233" t="inlineStr">
        <is>
          <t>2010_Golder_Caracterizacion ROM IPCC.pdf</t>
        </is>
      </c>
      <c r="C233" t="inlineStr">
        <is>
          <t>Intrusivo</t>
        </is>
      </c>
      <c r="D233" t="inlineStr">
        <is>
          <t>Intrusivo</t>
        </is>
      </c>
      <c r="E233" t="inlineStr">
        <is>
          <t>sin subtipo</t>
        </is>
      </c>
      <c r="F233" t="inlineStr">
        <is>
          <t>B</t>
        </is>
      </c>
      <c r="G233" t="inlineStr">
        <is>
          <t>Chancado (Fase B = «material chancado», p.1)</t>
        </is>
      </c>
      <c r="H233" t="inlineStr">
        <is>
          <t>Densidad máxima</t>
        </is>
      </c>
      <c r="I233" t="inlineStr">
        <is>
          <t>ASTM D4253</t>
        </is>
      </c>
      <c r="J233" t="inlineStr">
        <is>
          <t>γd máxima (promedio de 3)</t>
        </is>
      </c>
      <c r="K233" t="n">
        <v>2.237</v>
      </c>
      <c r="L233" t="inlineStr">
        <is>
          <t>g/cm³</t>
        </is>
      </c>
      <c r="M233" t="n">
        <v>3</v>
      </c>
      <c r="N233" t="inlineStr">
        <is>
          <t>promedio</t>
        </is>
      </c>
      <c r="O233" t="inlineStr">
        <is>
          <t>material preparado, pasante malla 5/8"</t>
        </is>
      </c>
      <c r="P233" t="inlineStr">
        <is>
          <t>18/12/2009</t>
        </is>
      </c>
      <c r="Q233" t="inlineStr">
        <is>
          <t>46</t>
        </is>
      </c>
      <c r="R233" t="inlineStr">
        <is>
          <t>sí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G2010</t>
        </is>
      </c>
      <c r="B234" t="inlineStr">
        <is>
          <t>2010_Golder_Caracterizacion ROM IPCC.pdf</t>
        </is>
      </c>
      <c r="C234" t="inlineStr">
        <is>
          <t>Exoskarn Diopsido</t>
        </is>
      </c>
      <c r="D234" t="inlineStr">
        <is>
          <t>Skarn</t>
        </is>
      </c>
      <c r="E234" t="inlineStr">
        <is>
          <t>exoskarn diópsido</t>
        </is>
      </c>
      <c r="F234" t="inlineStr">
        <is>
          <t>B</t>
        </is>
      </c>
      <c r="G234" t="inlineStr">
        <is>
          <t>Chancado (Fase B = «material chancado», p.1)</t>
        </is>
      </c>
      <c r="H234" t="inlineStr">
        <is>
          <t>Densidad mínima</t>
        </is>
      </c>
      <c r="I234" t="inlineStr">
        <is>
          <t>ASTM D4254</t>
        </is>
      </c>
      <c r="J234" t="inlineStr">
        <is>
          <t>γd mínima (promedio de 3)</t>
        </is>
      </c>
      <c r="K234" t="n">
        <v>2.161</v>
      </c>
      <c r="L234" t="inlineStr">
        <is>
          <t>g/cm³</t>
        </is>
      </c>
      <c r="M234" t="n">
        <v>3</v>
      </c>
      <c r="N234" t="inlineStr">
        <is>
          <t>promedio</t>
        </is>
      </c>
      <c r="O234" t="inlineStr">
        <is>
          <t>material preparado, pasante malla 5/8"</t>
        </is>
      </c>
      <c r="P234" t="inlineStr">
        <is>
          <t>18/12/2009</t>
        </is>
      </c>
      <c r="Q234" t="inlineStr">
        <is>
          <t>47</t>
        </is>
      </c>
      <c r="R234" t="inlineStr">
        <is>
          <t>sí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G2010</t>
        </is>
      </c>
      <c r="B235" t="inlineStr">
        <is>
          <t>2010_Golder_Caracterizacion ROM IPCC.pdf</t>
        </is>
      </c>
      <c r="C235" t="inlineStr">
        <is>
          <t>Exoskarn Diopsido</t>
        </is>
      </c>
      <c r="D235" t="inlineStr">
        <is>
          <t>Skarn</t>
        </is>
      </c>
      <c r="E235" t="inlineStr">
        <is>
          <t>exoskarn diópsido</t>
        </is>
      </c>
      <c r="F235" t="inlineStr">
        <is>
          <t>B</t>
        </is>
      </c>
      <c r="G235" t="inlineStr">
        <is>
          <t>Chancado (Fase B = «material chancado», p.1)</t>
        </is>
      </c>
      <c r="H235" t="inlineStr">
        <is>
          <t>Densidad máxima</t>
        </is>
      </c>
      <c r="I235" t="inlineStr">
        <is>
          <t>ASTM D4253</t>
        </is>
      </c>
      <c r="J235" t="inlineStr">
        <is>
          <t>γd máxima (promedio de 3)</t>
        </is>
      </c>
      <c r="K235" t="n">
        <v>2.647</v>
      </c>
      <c r="L235" t="inlineStr">
        <is>
          <t>g/cm³</t>
        </is>
      </c>
      <c r="M235" t="n">
        <v>3</v>
      </c>
      <c r="N235" t="inlineStr">
        <is>
          <t>promedio</t>
        </is>
      </c>
      <c r="O235" t="inlineStr">
        <is>
          <t>material preparado, pasante malla 5/8"</t>
        </is>
      </c>
      <c r="P235" t="inlineStr">
        <is>
          <t>18/12/2009</t>
        </is>
      </c>
      <c r="Q235" t="inlineStr">
        <is>
          <t>47</t>
        </is>
      </c>
      <c r="R235" t="inlineStr">
        <is>
          <t>sí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G2010</t>
        </is>
      </c>
      <c r="B236" t="inlineStr">
        <is>
          <t>2010_Golder_Caracterizacion ROM IPCC.pdf</t>
        </is>
      </c>
      <c r="C236" t="inlineStr">
        <is>
          <t>Intrusivo</t>
        </is>
      </c>
      <c r="D236" t="inlineStr">
        <is>
          <t>Intrusivo</t>
        </is>
      </c>
      <c r="E236" t="inlineStr">
        <is>
          <t>sin subtipo</t>
        </is>
      </c>
      <c r="F236" t="inlineStr">
        <is>
          <t>A</t>
        </is>
      </c>
      <c r="G236" t="inlineStr">
        <is>
          <t>ROM (Fase A = «material original procedente del tajo», p.1)</t>
        </is>
      </c>
      <c r="H236" t="inlineStr">
        <is>
          <t>Permeabilidad pared flexible</t>
        </is>
      </c>
      <c r="I236" t="inlineStr">
        <is>
          <t>ASTM D5084-03 método C</t>
        </is>
      </c>
      <c r="J236" t="inlineStr">
        <is>
          <t>k20</t>
        </is>
      </c>
      <c r="K236" t="n">
        <v>2.5e-06</v>
      </c>
      <c r="L236" t="inlineStr">
        <is>
          <t>m/s</t>
        </is>
      </c>
      <c r="M236" t="n">
        <v>1</v>
      </c>
      <c r="N236" t="inlineStr">
        <is>
          <t>única</t>
        </is>
      </c>
      <c r="O236" t="inlineStr">
        <is>
          <t>&lt;5/8"; γd 1.863→1.875; σ'=20 kPa; B=0.99</t>
        </is>
      </c>
      <c r="P236" t="inlineStr">
        <is>
          <t>03/11/2009</t>
        </is>
      </c>
      <c r="Q236" t="inlineStr">
        <is>
          <t>157;8</t>
        </is>
      </c>
      <c r="R236" t="inlineStr">
        <is>
          <t>sí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G2010</t>
        </is>
      </c>
      <c r="B237" t="inlineStr">
        <is>
          <t>2010_Golder_Caracterizacion ROM IPCC.pdf</t>
        </is>
      </c>
      <c r="C237" t="inlineStr">
        <is>
          <t>Hornfels Gris</t>
        </is>
      </c>
      <c r="D237" t="inlineStr">
        <is>
          <t>Hornfels</t>
        </is>
      </c>
      <c r="E237" t="inlineStr">
        <is>
          <t>hornfels gris</t>
        </is>
      </c>
      <c r="F237" t="inlineStr">
        <is>
          <t>A</t>
        </is>
      </c>
      <c r="G237" t="inlineStr">
        <is>
          <t>ROM (Fase A = «material original procedente del tajo», p.1)</t>
        </is>
      </c>
      <c r="H237" t="inlineStr">
        <is>
          <t>Permeabilidad pared flexible</t>
        </is>
      </c>
      <c r="I237" t="inlineStr">
        <is>
          <t>ASTM D5084-03 método C</t>
        </is>
      </c>
      <c r="J237" t="inlineStr">
        <is>
          <t>k20</t>
        </is>
      </c>
      <c r="K237" t="n">
        <v>3.3e-06</v>
      </c>
      <c r="L237" t="inlineStr">
        <is>
          <t>m/s</t>
        </is>
      </c>
      <c r="M237" t="n">
        <v>1</v>
      </c>
      <c r="N237" t="inlineStr">
        <is>
          <t>única</t>
        </is>
      </c>
      <c r="O237" t="inlineStr">
        <is>
          <t>&lt;5/8"; γd 2.026→2.037; σ'=20 kPa; B=0.96</t>
        </is>
      </c>
      <c r="P237" t="inlineStr">
        <is>
          <t>03/11/2009</t>
        </is>
      </c>
      <c r="Q237" t="inlineStr">
        <is>
          <t>158;8</t>
        </is>
      </c>
      <c r="R237" t="inlineStr">
        <is>
          <t>sí</t>
        </is>
      </c>
      <c r="S237" t="inlineStr">
        <is>
          <t>DISCREPANCIA: Tabla 2 da 3.20E-06 m/s; la hoja da 3.3E-06 (promedio de las 4 últimas lecturas).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G2010</t>
        </is>
      </c>
      <c r="B238" t="inlineStr">
        <is>
          <t>2010_Golder_Caracterizacion ROM IPCC.pdf</t>
        </is>
      </c>
      <c r="C238" t="inlineStr">
        <is>
          <t>Intrusivo</t>
        </is>
      </c>
      <c r="D238" t="inlineStr">
        <is>
          <t>Intrusivo</t>
        </is>
      </c>
      <c r="E238" t="inlineStr">
        <is>
          <t>sin subtipo</t>
        </is>
      </c>
      <c r="F238" t="inlineStr">
        <is>
          <t>B</t>
        </is>
      </c>
      <c r="G238" t="inlineStr">
        <is>
          <t>Chancado (Fase B = «material chancado», p.1)</t>
        </is>
      </c>
      <c r="H238" t="inlineStr">
        <is>
          <t>Permeabilidad pared flexible</t>
        </is>
      </c>
      <c r="I238" t="inlineStr">
        <is>
          <t>ASTM D5084-03 método C</t>
        </is>
      </c>
      <c r="J238" t="inlineStr">
        <is>
          <t>k20</t>
        </is>
      </c>
      <c r="K238" t="n">
        <v>2.2e-06</v>
      </c>
      <c r="L238" t="inlineStr">
        <is>
          <t>m/s</t>
        </is>
      </c>
      <c r="M238" t="n">
        <v>1</v>
      </c>
      <c r="N238" t="inlineStr">
        <is>
          <t>única</t>
        </is>
      </c>
      <c r="O238" t="inlineStr">
        <is>
          <t>γd 2.011→2.017; H=10.5 cm; σ'=20 kPa; B=0.96</t>
        </is>
      </c>
      <c r="P238" t="inlineStr">
        <is>
          <t>18/03/2010</t>
        </is>
      </c>
      <c r="Q238" t="inlineStr">
        <is>
          <t>159;8</t>
        </is>
      </c>
      <c r="R238" t="inlineStr">
        <is>
          <t>sí</t>
        </is>
      </c>
      <c r="S238" t="inlineStr">
        <is>
          <t>La Tabla 2 rotula la unidad de la Fase B como cm/s; la hoja da m/s.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G2010</t>
        </is>
      </c>
      <c r="B239" t="inlineStr">
        <is>
          <t>2010_Golder_Caracterizacion ROM IPCC.pdf</t>
        </is>
      </c>
      <c r="C239" t="inlineStr">
        <is>
          <t>Hornfels Gris</t>
        </is>
      </c>
      <c r="D239" t="inlineStr">
        <is>
          <t>Hornfels</t>
        </is>
      </c>
      <c r="E239" t="inlineStr">
        <is>
          <t>hornfels gris</t>
        </is>
      </c>
      <c r="F239" t="inlineStr">
        <is>
          <t>B</t>
        </is>
      </c>
      <c r="G239" t="inlineStr">
        <is>
          <t>Chancado (Fase B = «material chancado», p.1)</t>
        </is>
      </c>
      <c r="H239" t="inlineStr">
        <is>
          <t>Permeabilidad pared flexible</t>
        </is>
      </c>
      <c r="I239" t="inlineStr">
        <is>
          <t>ASTM D5084-03 método C</t>
        </is>
      </c>
      <c r="J239" t="inlineStr">
        <is>
          <t>k20</t>
        </is>
      </c>
      <c r="K239" t="n">
        <v>2.6e-06</v>
      </c>
      <c r="L239" t="inlineStr">
        <is>
          <t>m/s</t>
        </is>
      </c>
      <c r="M239" t="n">
        <v>1</v>
      </c>
      <c r="N239" t="inlineStr">
        <is>
          <t>única</t>
        </is>
      </c>
      <c r="O239" t="inlineStr">
        <is>
          <t>γd 2.136→2.163; H=10.5 cm; σ'=20 kPa; B=0.98</t>
        </is>
      </c>
      <c r="P239" t="inlineStr">
        <is>
          <t>18/03/2010</t>
        </is>
      </c>
      <c r="Q239" t="inlineStr">
        <is>
          <t>160;8</t>
        </is>
      </c>
      <c r="R239" t="inlineStr">
        <is>
          <t>sí</t>
        </is>
      </c>
      <c r="S239" t="inlineStr">
        <is>
          <t>La Tabla 2 rotula la unidad de la Fase B como cm/s; la hoja da m/s.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LE2</t>
        </is>
      </c>
      <c r="B240" t="inlineStr">
        <is>
          <t>Resultados Parametros  Geotecnicos LE2 (03092025).xlsx; hoja UCS col. E</t>
        </is>
      </c>
      <c r="C240" t="inlineStr"/>
      <c r="D240" t="inlineStr">
        <is>
          <t>Skarn</t>
        </is>
      </c>
      <c r="E240" t="inlineStr">
        <is>
          <t>endoskarn (sigla; no definida en el xlsx ni en texto de las pptx)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MPa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END</t>
        </is>
      </c>
      <c r="U240" t="inlineStr">
        <is>
          <t>UCS</t>
        </is>
      </c>
      <c r="V240" t="n">
        <v>312</v>
      </c>
      <c r="W240" t="n">
        <v>39.339</v>
      </c>
      <c r="X240" t="n">
        <v>28.1</v>
      </c>
      <c r="Y240" t="n">
        <v>21.969</v>
      </c>
      <c r="Z240" t="n">
        <v>11.9</v>
      </c>
      <c r="AA240" t="n">
        <v>59.568</v>
      </c>
      <c r="AB240" t="n">
        <v>34.236</v>
      </c>
      <c r="AC240" t="n">
        <v>3.893</v>
      </c>
      <c r="AD240" t="n">
        <v>255.8</v>
      </c>
      <c r="AE240" t="inlineStr">
        <is>
          <t>39.339</t>
        </is>
      </c>
      <c r="AF240" t="inlineStr">
        <is>
          <t>28.1</t>
        </is>
      </c>
      <c r="AG240" t="inlineStr">
        <is>
          <t>21.969</t>
        </is>
      </c>
      <c r="AH240" t="inlineStr">
        <is>
          <t>sí</t>
        </is>
      </c>
      <c r="AI240" t="inlineStr">
        <is>
          <t>ensayos de laboratorio en testigos (roca intacta); percentiles = PERCENTILE.INC</t>
        </is>
      </c>
    </row>
    <row r="241">
      <c r="A241" t="inlineStr">
        <is>
          <t>LE2</t>
        </is>
      </c>
      <c r="B241" t="inlineStr">
        <is>
          <t>Resultados Parametros  Geotecnicos LE2 (03092025).xlsx; hoja UCS col. E</t>
        </is>
      </c>
      <c r="C241" t="inlineStr"/>
      <c r="D241" t="inlineStr">
        <is>
          <t>Skarn</t>
        </is>
      </c>
      <c r="E241" t="inlineStr">
        <is>
          <t>exoskarn (sigla; no definida en texto)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MPa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EXO</t>
        </is>
      </c>
      <c r="U241" t="inlineStr">
        <is>
          <t>UCS</t>
        </is>
      </c>
      <c r="V241" t="n">
        <v>309</v>
      </c>
      <c r="W241" t="n">
        <v>72.681</v>
      </c>
      <c r="X241" t="n">
        <v>66.67700000000001</v>
      </c>
      <c r="Y241" t="n">
        <v>49.571</v>
      </c>
      <c r="Z241" t="n">
        <v>29.265</v>
      </c>
      <c r="AA241" t="n">
        <v>112.591</v>
      </c>
      <c r="AB241" t="n">
        <v>47.413</v>
      </c>
      <c r="AC241" t="n">
        <v>6.1</v>
      </c>
      <c r="AD241" t="n">
        <v>368.4</v>
      </c>
      <c r="AE241" t="inlineStr">
        <is>
          <t>72.681</t>
        </is>
      </c>
      <c r="AF241" t="inlineStr">
        <is>
          <t>66.677</t>
        </is>
      </c>
      <c r="AG241" t="inlineStr">
        <is>
          <t>49.571</t>
        </is>
      </c>
      <c r="AH241" t="inlineStr">
        <is>
          <t>sí</t>
        </is>
      </c>
      <c r="AI241" t="inlineStr">
        <is>
          <t>ensayos de laboratorio en testigos (roca intacta); percentiles = PERCENTILE.INC</t>
        </is>
      </c>
    </row>
    <row r="242">
      <c r="A242" t="inlineStr">
        <is>
          <t>LE2</t>
        </is>
      </c>
      <c r="B242" t="inlineStr">
        <is>
          <t>Resultados Parametros  Geotecnicos LE2 (03092025).xlsx; hoja UCS col. E</t>
        </is>
      </c>
      <c r="C242" t="inlineStr"/>
      <c r="D242" t="inlineStr">
        <is>
          <t>Hornfels</t>
        </is>
      </c>
      <c r="E242" t="inlineStr">
        <is>
          <t>hornfels (sigla; no definida en texto)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MPa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HRN</t>
        </is>
      </c>
      <c r="U242" t="inlineStr">
        <is>
          <t>UCS</t>
        </is>
      </c>
      <c r="V242" t="n">
        <v>275</v>
      </c>
      <c r="W242" t="n">
        <v>96.776</v>
      </c>
      <c r="X242" t="n">
        <v>75.2</v>
      </c>
      <c r="Y242" t="n">
        <v>58.16</v>
      </c>
      <c r="Z242" t="n">
        <v>39.213</v>
      </c>
      <c r="AA242" t="n">
        <v>163.86</v>
      </c>
      <c r="AB242" t="n">
        <v>58.143</v>
      </c>
      <c r="AC242" t="n">
        <v>20.8</v>
      </c>
      <c r="AD242" t="n">
        <v>264.4</v>
      </c>
      <c r="AE242" t="inlineStr">
        <is>
          <t>96.776</t>
        </is>
      </c>
      <c r="AF242" t="inlineStr">
        <is>
          <t>75.2</t>
        </is>
      </c>
      <c r="AG242" t="inlineStr">
        <is>
          <t>58.16</t>
        </is>
      </c>
      <c r="AH242" t="inlineStr">
        <is>
          <t>sí</t>
        </is>
      </c>
      <c r="AI242" t="inlineStr">
        <is>
          <t>ensayos de laboratorio en testigos (roca intacta); percentiles = PERCENTILE.INC</t>
        </is>
      </c>
    </row>
    <row r="243">
      <c r="A243" t="inlineStr">
        <is>
          <t>LE2</t>
        </is>
      </c>
      <c r="B243" t="inlineStr">
        <is>
          <t>Resultados Parametros  Geotecnicos LE2 (03092025).xlsx; hoja UCS col. E</t>
        </is>
      </c>
      <c r="C243" t="inlineStr"/>
      <c r="D243" t="inlineStr">
        <is>
          <t>Intrusivo</t>
        </is>
      </c>
      <c r="E243" t="inlineStr">
        <is>
          <t>intrusivo sin subtipo (sigla; no definida en texto)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MPa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INT</t>
        </is>
      </c>
      <c r="U243" t="inlineStr">
        <is>
          <t>UCS</t>
        </is>
      </c>
      <c r="V243" t="n">
        <v>379</v>
      </c>
      <c r="W243" t="n">
        <v>57.741</v>
      </c>
      <c r="X243" t="n">
        <v>50.6</v>
      </c>
      <c r="Y243" t="n">
        <v>39.53</v>
      </c>
      <c r="Z243" t="n">
        <v>25.776</v>
      </c>
      <c r="AA243" t="n">
        <v>89.245</v>
      </c>
      <c r="AB243" t="n">
        <v>38.418</v>
      </c>
      <c r="AC243" t="n">
        <v>6.3</v>
      </c>
      <c r="AD243" t="n">
        <v>280.4</v>
      </c>
      <c r="AE243" t="inlineStr">
        <is>
          <t>57.741</t>
        </is>
      </c>
      <c r="AF243" t="inlineStr">
        <is>
          <t>50.6</t>
        </is>
      </c>
      <c r="AG243" t="inlineStr">
        <is>
          <t>39.53</t>
        </is>
      </c>
      <c r="AH243" t="inlineStr">
        <is>
          <t>sí</t>
        </is>
      </c>
      <c r="AI243" t="inlineStr">
        <is>
          <t>ensayos de laboratorio en testigos (roca intacta); percentiles = PERCENTILE.INC</t>
        </is>
      </c>
    </row>
    <row r="244">
      <c r="A244" t="inlineStr">
        <is>
          <t>LE2</t>
        </is>
      </c>
      <c r="B244" t="inlineStr">
        <is>
          <t>Resultados Parametros  Geotecnicos LE2 (03092025).xlsx; hoja UCS col. E</t>
        </is>
      </c>
      <c r="C244" t="inlineStr"/>
      <c r="D244" t="inlineStr">
        <is>
          <t>Caliza</t>
        </is>
      </c>
      <c r="E244" t="inlineStr">
        <is>
          <t>«LMH Calizas Desmonte (limestone Hornfels)» (WSC lámina 12, texto); inclusión de mármol no confirmada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MPa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LMH</t>
        </is>
      </c>
      <c r="U244" t="inlineStr">
        <is>
          <t>UCS</t>
        </is>
      </c>
      <c r="V244" t="n">
        <v>1111</v>
      </c>
      <c r="W244" t="n">
        <v>68</v>
      </c>
      <c r="X244" t="n">
        <v>56.272</v>
      </c>
      <c r="Y244" t="n">
        <v>44.321</v>
      </c>
      <c r="Z244" t="n">
        <v>33.096</v>
      </c>
      <c r="AA244" t="n">
        <v>102.4</v>
      </c>
      <c r="AB244" t="n">
        <v>41.384</v>
      </c>
      <c r="AC244" t="n">
        <v>4.26</v>
      </c>
      <c r="AD244" t="n">
        <v>221.8</v>
      </c>
      <c r="AE244" t="inlineStr">
        <is>
          <t>68.0</t>
        </is>
      </c>
      <c r="AF244" t="inlineStr">
        <is>
          <t>56.272</t>
        </is>
      </c>
      <c r="AG244" t="inlineStr">
        <is>
          <t>44.321</t>
        </is>
      </c>
      <c r="AH244" t="inlineStr">
        <is>
          <t>sí</t>
        </is>
      </c>
      <c r="AI244" t="inlineStr">
        <is>
          <t>ensayos de laboratorio en testigos (roca intacta); percentiles = PERCENTILE.INC</t>
        </is>
      </c>
    </row>
    <row r="245">
      <c r="A245" t="inlineStr">
        <is>
          <t>LE2</t>
        </is>
      </c>
      <c r="B245" t="inlineStr">
        <is>
          <t>Resultados Parametros  Geotecnicos LE2 (03092025).xlsx; hoja UCS col. E</t>
        </is>
      </c>
      <c r="C245" t="inlineStr"/>
      <c r="D245" t="inlineStr">
        <is>
          <t>sin RMU</t>
        </is>
      </c>
      <c r="E245" t="inlineStr">
        <is>
          <t>registros con RMU «N/A» (UCS filas 2388-2393), fuera de las fórmulas del Resumen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MPa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N/A (sin RMU)</t>
        </is>
      </c>
      <c r="U245" t="inlineStr">
        <is>
          <t>UCS</t>
        </is>
      </c>
      <c r="V245" t="n">
        <v>6</v>
      </c>
      <c r="W245" t="n">
        <v>73.34999999999999</v>
      </c>
      <c r="X245" t="n">
        <v>73.09999999999999</v>
      </c>
      <c r="Y245" t="n">
        <v>57.075</v>
      </c>
      <c r="Z245" t="n">
        <v>52.74</v>
      </c>
      <c r="AA245" t="n">
        <v>91.36</v>
      </c>
      <c r="AB245" t="n">
        <v>21.02</v>
      </c>
      <c r="AC245" t="n">
        <v>52.5</v>
      </c>
      <c r="AD245" t="n">
        <v>99.2</v>
      </c>
      <c r="AE245" t="inlineStr">
        <is>
          <t>no aplica</t>
        </is>
      </c>
      <c r="AF245" t="inlineStr">
        <is>
          <t>no aplica</t>
        </is>
      </c>
      <c r="AG245" t="inlineStr">
        <is>
          <t>no aplica</t>
        </is>
      </c>
      <c r="AH245" t="inlineStr">
        <is>
          <t>no aplica</t>
        </is>
      </c>
      <c r="AI245" t="inlineStr">
        <is>
          <t>ensayos de laboratorio en testigos (roca intacta); percentiles = PERCENTILE.INC</t>
        </is>
      </c>
    </row>
    <row r="246">
      <c r="A246" t="inlineStr">
        <is>
          <t>LE2</t>
        </is>
      </c>
      <c r="B246" t="inlineStr">
        <is>
          <t>Resultados Parametros  Geotecnicos LE2 (03092025).xlsx; hoja UCS col. E</t>
        </is>
      </c>
      <c r="C246" t="inlineStr"/>
      <c r="D246" t="inlineStr">
        <is>
          <t>Skarn</t>
        </is>
      </c>
      <c r="E246" t="inlineStr">
        <is>
          <t>«XDP Exoskarn mayor desmonte» (WSC lámina 12, texto); la lámina lista «Exo Diopsídico» entre las litologías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MPa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ERROR del Resumen: P35 = 2021 porque la fórmula UCS!J2394 usa F2394:F2471 (columna Año). Correcto: 70,84 MPa. El error se repite en PGR lámina 4 y WSC lámina 12.</t>
        </is>
      </c>
      <c r="T246" t="inlineStr">
        <is>
          <t>XDP</t>
        </is>
      </c>
      <c r="U246" t="inlineStr">
        <is>
          <t>UCS</t>
        </is>
      </c>
      <c r="V246" t="n">
        <v>78</v>
      </c>
      <c r="W246" t="n">
        <v>98.68899999999999</v>
      </c>
      <c r="X246" t="n">
        <v>97.988</v>
      </c>
      <c r="Y246" t="n">
        <v>70.83799999999999</v>
      </c>
      <c r="Z246" t="n">
        <v>43.044</v>
      </c>
      <c r="AA246" t="n">
        <v>146.328</v>
      </c>
      <c r="AB246" t="n">
        <v>50.985</v>
      </c>
      <c r="AC246" t="n">
        <v>14.039</v>
      </c>
      <c r="AD246" t="n">
        <v>292.95</v>
      </c>
      <c r="AE246" t="inlineStr">
        <is>
          <t>98.689</t>
        </is>
      </c>
      <c r="AF246" t="inlineStr">
        <is>
          <t>97.988</t>
        </is>
      </c>
      <c r="AG246" t="inlineStr">
        <is>
          <t>2021</t>
        </is>
      </c>
      <c r="AH246" t="inlineStr">
        <is>
          <t>no (P35)</t>
        </is>
      </c>
      <c r="AI246" t="inlineStr">
        <is>
          <t>ensayos de laboratorio en testigos (roca intacta); percentiles = PERCENTILE.INC</t>
        </is>
      </c>
    </row>
    <row r="247">
      <c r="A247" t="inlineStr">
        <is>
          <t>LE2</t>
        </is>
      </c>
      <c r="B247" t="inlineStr">
        <is>
          <t>Resultados Parametros  Geotecnicos LE2 (03092025).xlsx; hoja PLTA col. C</t>
        </is>
      </c>
      <c r="C247" t="inlineStr"/>
      <c r="D247" t="inlineStr">
        <is>
          <t>Skarn</t>
        </is>
      </c>
      <c r="E247" t="inlineStr">
        <is>
          <t>endoskarn (sigla; no definida en el xlsx ni en texto de las pptx)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MPa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END</t>
        </is>
      </c>
      <c r="U247" t="inlineStr">
        <is>
          <t>Is50 axial</t>
        </is>
      </c>
      <c r="V247" t="n">
        <v>479</v>
      </c>
      <c r="W247" t="n">
        <v>2.77</v>
      </c>
      <c r="X247" t="n">
        <v>1.972</v>
      </c>
      <c r="Y247" t="n">
        <v>1.451</v>
      </c>
      <c r="Z247" t="n">
        <v>0.8080000000000001</v>
      </c>
      <c r="AA247" t="n">
        <v>5.07</v>
      </c>
      <c r="AB247" t="n">
        <v>2.357</v>
      </c>
      <c r="AC247" t="n">
        <v>0.066</v>
      </c>
      <c r="AD247" t="n">
        <v>14.29</v>
      </c>
      <c r="AE247" t="inlineStr">
        <is>
          <t>2.77</t>
        </is>
      </c>
      <c r="AF247" t="inlineStr">
        <is>
          <t>1.972</t>
        </is>
      </c>
      <c r="AG247" t="inlineStr">
        <is>
          <t>1.451</t>
        </is>
      </c>
      <c r="AH247" t="inlineStr">
        <is>
          <t>sí</t>
        </is>
      </c>
      <c r="AI247" t="inlineStr">
        <is>
          <t>ensayos de laboratorio en testigos (roca intacta); percentiles = PERCENTILE.INC</t>
        </is>
      </c>
    </row>
    <row r="248">
      <c r="A248" t="inlineStr">
        <is>
          <t>LE2</t>
        </is>
      </c>
      <c r="B248" t="inlineStr">
        <is>
          <t>Resultados Parametros  Geotecnicos LE2 (03092025).xlsx; hoja PLTA col. C</t>
        </is>
      </c>
      <c r="C248" t="inlineStr"/>
      <c r="D248" t="inlineStr">
        <is>
          <t>Skarn</t>
        </is>
      </c>
      <c r="E248" t="inlineStr">
        <is>
          <t>exoskarn (sigla; no definida en texto)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MPa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EXO</t>
        </is>
      </c>
      <c r="U248" t="inlineStr">
        <is>
          <t>Is50 axial</t>
        </is>
      </c>
      <c r="V248" t="n">
        <v>469</v>
      </c>
      <c r="W248" t="n">
        <v>5.075</v>
      </c>
      <c r="X248" t="n">
        <v>4.71</v>
      </c>
      <c r="Y248" t="n">
        <v>3.412</v>
      </c>
      <c r="Z248" t="n">
        <v>1.608</v>
      </c>
      <c r="AA248" t="n">
        <v>8.550000000000001</v>
      </c>
      <c r="AB248" t="n">
        <v>3.216</v>
      </c>
      <c r="AC248" t="n">
        <v>0.075</v>
      </c>
      <c r="AD248" t="n">
        <v>19.878</v>
      </c>
      <c r="AE248" t="inlineStr">
        <is>
          <t>5.075</t>
        </is>
      </c>
      <c r="AF248" t="inlineStr">
        <is>
          <t>4.71</t>
        </is>
      </c>
      <c r="AG248" t="inlineStr">
        <is>
          <t>3.412</t>
        </is>
      </c>
      <c r="AH248" t="inlineStr">
        <is>
          <t>sí</t>
        </is>
      </c>
      <c r="AI248" t="inlineStr">
        <is>
          <t>ensayos de laboratorio en testigos (roca intacta); percentiles = PERCENTILE.INC</t>
        </is>
      </c>
    </row>
    <row r="249">
      <c r="A249" t="inlineStr">
        <is>
          <t>LE2</t>
        </is>
      </c>
      <c r="B249" t="inlineStr">
        <is>
          <t>Resultados Parametros  Geotecnicos LE2 (03092025).xlsx; hoja PLTA col. C</t>
        </is>
      </c>
      <c r="C249" t="inlineStr"/>
      <c r="D249" t="inlineStr">
        <is>
          <t>Hornfels</t>
        </is>
      </c>
      <c r="E249" t="inlineStr">
        <is>
          <t>hornfels (sigla; no definida en texto)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MPa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El promedio del Resumen usa C950:C1478 y los percentiles C950:C1479; con todas las filas, la media es 5,435 (Resumen 5,437).</t>
        </is>
      </c>
      <c r="T249" t="inlineStr">
        <is>
          <t>HRN</t>
        </is>
      </c>
      <c r="U249" t="inlineStr">
        <is>
          <t>Is50 axial</t>
        </is>
      </c>
      <c r="V249" t="n">
        <v>530</v>
      </c>
      <c r="W249" t="n">
        <v>5.435</v>
      </c>
      <c r="X249" t="n">
        <v>4.872</v>
      </c>
      <c r="Y249" t="n">
        <v>4.28</v>
      </c>
      <c r="Z249" t="n">
        <v>3.54</v>
      </c>
      <c r="AA249" t="n">
        <v>7.111</v>
      </c>
      <c r="AB249" t="n">
        <v>2.697</v>
      </c>
      <c r="AC249" t="n">
        <v>0.285</v>
      </c>
      <c r="AD249" t="n">
        <v>25.976</v>
      </c>
      <c r="AE249" t="inlineStr">
        <is>
          <t>5.437</t>
        </is>
      </c>
      <c r="AF249" t="inlineStr">
        <is>
          <t>4.872</t>
        </is>
      </c>
      <c r="AG249" t="inlineStr">
        <is>
          <t>4.28</t>
        </is>
      </c>
      <c r="AH249" t="inlineStr">
        <is>
          <t>sí</t>
        </is>
      </c>
      <c r="AI249" t="inlineStr">
        <is>
          <t>ensayos de laboratorio en testigos (roca intacta); percentiles = PERCENTILE.INC</t>
        </is>
      </c>
    </row>
    <row r="250">
      <c r="A250" t="inlineStr">
        <is>
          <t>LE2</t>
        </is>
      </c>
      <c r="B250" t="inlineStr">
        <is>
          <t>Resultados Parametros  Geotecnicos LE2 (03092025).xlsx; hoja PLTA col. C</t>
        </is>
      </c>
      <c r="C250" t="inlineStr"/>
      <c r="D250" t="inlineStr">
        <is>
          <t>Intrusivo</t>
        </is>
      </c>
      <c r="E250" t="inlineStr">
        <is>
          <t>intrusivo sin subtipo (sigla; no definida en texto)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MPa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1 fila con «N/D» excluida (fila 1763).</t>
        </is>
      </c>
      <c r="T250" t="inlineStr">
        <is>
          <t>INT</t>
        </is>
      </c>
      <c r="U250" t="inlineStr">
        <is>
          <t>Is50 axial</t>
        </is>
      </c>
      <c r="V250" t="n">
        <v>486</v>
      </c>
      <c r="W250" t="n">
        <v>3.981</v>
      </c>
      <c r="X250" t="n">
        <v>3.477</v>
      </c>
      <c r="Y250" t="n">
        <v>2.145</v>
      </c>
      <c r="Z250" t="n">
        <v>0.928</v>
      </c>
      <c r="AA250" t="n">
        <v>7.255</v>
      </c>
      <c r="AB250" t="n">
        <v>2.913</v>
      </c>
      <c r="AC250" t="n">
        <v>0.063</v>
      </c>
      <c r="AD250" t="n">
        <v>13.334</v>
      </c>
      <c r="AE250" t="inlineStr">
        <is>
          <t>3.981</t>
        </is>
      </c>
      <c r="AF250" t="inlineStr">
        <is>
          <t>3.477</t>
        </is>
      </c>
      <c r="AG250" t="inlineStr">
        <is>
          <t>2.145</t>
        </is>
      </c>
      <c r="AH250" t="inlineStr">
        <is>
          <t>sí</t>
        </is>
      </c>
      <c r="AI250" t="inlineStr">
        <is>
          <t>ensayos de laboratorio en testigos (roca intacta); percentiles = PERCENTILE.INC</t>
        </is>
      </c>
    </row>
    <row r="251">
      <c r="A251" t="inlineStr">
        <is>
          <t>LE2</t>
        </is>
      </c>
      <c r="B251" t="inlineStr">
        <is>
          <t>Resultados Parametros  Geotecnicos LE2 (03092025).xlsx; hoja PLTA col. C</t>
        </is>
      </c>
      <c r="C251" t="inlineStr"/>
      <c r="D251" t="inlineStr">
        <is>
          <t>Caliza</t>
        </is>
      </c>
      <c r="E251" t="inlineStr">
        <is>
          <t>«LMH Calizas Desmonte (limestone Hornfels)» (WSC lámina 12, texto); inclusión de mármol no confirmada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MPa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LMH</t>
        </is>
      </c>
      <c r="U251" t="inlineStr">
        <is>
          <t>Is50 axial</t>
        </is>
      </c>
      <c r="V251" t="n">
        <v>2469</v>
      </c>
      <c r="W251" t="n">
        <v>3.681</v>
      </c>
      <c r="X251" t="n">
        <v>3.49</v>
      </c>
      <c r="Y251" t="n">
        <v>2.783</v>
      </c>
      <c r="Z251" t="n">
        <v>1.835</v>
      </c>
      <c r="AA251" t="n">
        <v>5.307</v>
      </c>
      <c r="AB251" t="n">
        <v>1.973</v>
      </c>
      <c r="AC251" t="n">
        <v>0.016</v>
      </c>
      <c r="AD251" t="n">
        <v>14.827</v>
      </c>
      <c r="AE251" t="inlineStr">
        <is>
          <t>3.681</t>
        </is>
      </c>
      <c r="AF251" t="inlineStr">
        <is>
          <t>3.49</t>
        </is>
      </c>
      <c r="AG251" t="inlineStr">
        <is>
          <t>2.783</t>
        </is>
      </c>
      <c r="AH251" t="inlineStr">
        <is>
          <t>sí</t>
        </is>
      </c>
      <c r="AI251" t="inlineStr">
        <is>
          <t>ensayos de laboratorio en testigos (roca intacta); percentiles = PERCENTILE.INC</t>
        </is>
      </c>
    </row>
    <row r="252">
      <c r="A252" t="inlineStr">
        <is>
          <t>LE2</t>
        </is>
      </c>
      <c r="B252" t="inlineStr">
        <is>
          <t>Resultados Parametros  Geotecnicos LE2 (03092025).xlsx; hoja PLTA col. C</t>
        </is>
      </c>
      <c r="C252" t="inlineStr"/>
      <c r="D252" t="inlineStr">
        <is>
          <t>sin RMU</t>
        </is>
      </c>
      <c r="E252" t="inlineStr">
        <is>
          <t>registros con RMU «N/D», fuera de las fórmulas del Resumen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MPa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N/D (sin RMU)</t>
        </is>
      </c>
      <c r="U252" t="inlineStr">
        <is>
          <t>Is50 axial</t>
        </is>
      </c>
      <c r="V252" t="n">
        <v>8</v>
      </c>
      <c r="W252" t="n">
        <v>4.591</v>
      </c>
      <c r="X252" t="n">
        <v>4.333</v>
      </c>
      <c r="Y252" t="n">
        <v>4.177</v>
      </c>
      <c r="Z252" t="n">
        <v>3.738</v>
      </c>
      <c r="AA252" t="n">
        <v>5.589</v>
      </c>
      <c r="AB252" t="n">
        <v>1.058</v>
      </c>
      <c r="AC252" t="n">
        <v>3.232</v>
      </c>
      <c r="AD252" t="n">
        <v>6.455</v>
      </c>
      <c r="AE252" t="inlineStr">
        <is>
          <t>no aplica</t>
        </is>
      </c>
      <c r="AF252" t="inlineStr">
        <is>
          <t>no aplica</t>
        </is>
      </c>
      <c r="AG252" t="inlineStr">
        <is>
          <t>no aplica</t>
        </is>
      </c>
      <c r="AH252" t="inlineStr">
        <is>
          <t>no aplica</t>
        </is>
      </c>
      <c r="AI252" t="inlineStr">
        <is>
          <t>ensayos de laboratorio en testigos (roca intacta); percentiles = PERCENTILE.INC</t>
        </is>
      </c>
    </row>
    <row r="253">
      <c r="A253" t="inlineStr">
        <is>
          <t>LE2</t>
        </is>
      </c>
      <c r="B253" t="inlineStr">
        <is>
          <t>Resultados Parametros  Geotecnicos LE2 (03092025).xlsx; hoja PLTA col. C</t>
        </is>
      </c>
      <c r="C253" t="inlineStr"/>
      <c r="D253" t="inlineStr">
        <is>
          <t>Skarn</t>
        </is>
      </c>
      <c r="E253" t="inlineStr">
        <is>
          <t>«XDP Exoskarn mayor desmonte» (WSC lámina 12, texto); la lámina lista «Exo Diopsídico» entre las litologías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MPa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XDP</t>
        </is>
      </c>
      <c r="U253" t="inlineStr">
        <is>
          <t>Is50 axial</t>
        </is>
      </c>
      <c r="V253" t="n">
        <v>216</v>
      </c>
      <c r="W253" t="n">
        <v>7.261</v>
      </c>
      <c r="X253" t="n">
        <v>6.849</v>
      </c>
      <c r="Y253" t="n">
        <v>4.879</v>
      </c>
      <c r="Z253" t="n">
        <v>3.19</v>
      </c>
      <c r="AA253" t="n">
        <v>12.002</v>
      </c>
      <c r="AB253" t="n">
        <v>4.21</v>
      </c>
      <c r="AC253" t="n">
        <v>0.203</v>
      </c>
      <c r="AD253" t="n">
        <v>18.922</v>
      </c>
      <c r="AE253" t="inlineStr">
        <is>
          <t>7.261</t>
        </is>
      </c>
      <c r="AF253" t="inlineStr">
        <is>
          <t>6.849</t>
        </is>
      </c>
      <c r="AG253" t="inlineStr">
        <is>
          <t>4.879</t>
        </is>
      </c>
      <c r="AH253" t="inlineStr">
        <is>
          <t>sí</t>
        </is>
      </c>
      <c r="AI253" t="inlineStr">
        <is>
          <t>ensayos de laboratorio en testigos (roca intacta); percentiles = PERCENTILE.INC</t>
        </is>
      </c>
    </row>
    <row r="254">
      <c r="A254" t="inlineStr">
        <is>
          <t>LE2</t>
        </is>
      </c>
      <c r="B254" t="inlineStr">
        <is>
          <t>Resultados Parametros  Geotecnicos LE2 (03092025).xlsx; hoja PLTD col. C</t>
        </is>
      </c>
      <c r="C254" t="inlineStr"/>
      <c r="D254" t="inlineStr">
        <is>
          <t>Skarn</t>
        </is>
      </c>
      <c r="E254" t="inlineStr">
        <is>
          <t>endoskarn (sigla; no definida en el xlsx ni en texto de las pptx)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MPa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2 filas sin valor numérico excluidas.</t>
        </is>
      </c>
      <c r="T254" t="inlineStr">
        <is>
          <t>END</t>
        </is>
      </c>
      <c r="U254" t="inlineStr">
        <is>
          <t>Is50 diametral</t>
        </is>
      </c>
      <c r="V254" t="n">
        <v>1442</v>
      </c>
      <c r="W254" t="n">
        <v>3.858</v>
      </c>
      <c r="X254" t="n">
        <v>2.648</v>
      </c>
      <c r="Y254" t="n">
        <v>1.74</v>
      </c>
      <c r="Z254" t="n">
        <v>1.087</v>
      </c>
      <c r="AA254" t="n">
        <v>6.725</v>
      </c>
      <c r="AB254" t="n">
        <v>4.154</v>
      </c>
      <c r="AC254" t="n">
        <v>0.048</v>
      </c>
      <c r="AD254" t="n">
        <v>36.45</v>
      </c>
      <c r="AE254" t="inlineStr">
        <is>
          <t>3.858</t>
        </is>
      </c>
      <c r="AF254" t="inlineStr">
        <is>
          <t>2.648</t>
        </is>
      </c>
      <c r="AG254" t="inlineStr">
        <is>
          <t>1.74</t>
        </is>
      </c>
      <c r="AH254" t="inlineStr">
        <is>
          <t>sí</t>
        </is>
      </c>
      <c r="AI254" t="inlineStr">
        <is>
          <t>ensayos de laboratorio en testigos (roca intacta); percentiles = PERCENTILE.INC</t>
        </is>
      </c>
    </row>
    <row r="255">
      <c r="A255" t="inlineStr">
        <is>
          <t>LE2</t>
        </is>
      </c>
      <c r="B255" t="inlineStr">
        <is>
          <t>Resultados Parametros  Geotecnicos LE2 (03092025).xlsx; hoja PLTD col. C</t>
        </is>
      </c>
      <c r="C255" t="inlineStr"/>
      <c r="D255" t="inlineStr">
        <is>
          <t>Skarn</t>
        </is>
      </c>
      <c r="E255" t="inlineStr">
        <is>
          <t>exoskarn (sigla; no definida en texto)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MPa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6 filas sin valor numérico excluidas.</t>
        </is>
      </c>
      <c r="T255" t="inlineStr">
        <is>
          <t>EXO</t>
        </is>
      </c>
      <c r="U255" t="inlineStr">
        <is>
          <t>Is50 diametral</t>
        </is>
      </c>
      <c r="V255" t="n">
        <v>1413</v>
      </c>
      <c r="W255" t="n">
        <v>6.459</v>
      </c>
      <c r="X255" t="n">
        <v>5.922</v>
      </c>
      <c r="Y255" t="n">
        <v>4.576</v>
      </c>
      <c r="Z255" t="n">
        <v>2.571</v>
      </c>
      <c r="AA255" t="n">
        <v>10.014</v>
      </c>
      <c r="AB255" t="n">
        <v>4.129</v>
      </c>
      <c r="AC255" t="n">
        <v>0.008999999999999999</v>
      </c>
      <c r="AD255" t="n">
        <v>43.543</v>
      </c>
      <c r="AE255" t="inlineStr">
        <is>
          <t>6.459</t>
        </is>
      </c>
      <c r="AF255" t="inlineStr">
        <is>
          <t>5.922</t>
        </is>
      </c>
      <c r="AG255" t="inlineStr">
        <is>
          <t>4.576</t>
        </is>
      </c>
      <c r="AH255" t="inlineStr">
        <is>
          <t>sí</t>
        </is>
      </c>
      <c r="AI255" t="inlineStr">
        <is>
          <t>ensayos de laboratorio en testigos (roca intacta); percentiles = PERCENTILE.INC</t>
        </is>
      </c>
    </row>
    <row r="256">
      <c r="A256" t="inlineStr">
        <is>
          <t>LE2</t>
        </is>
      </c>
      <c r="B256" t="inlineStr">
        <is>
          <t>Resultados Parametros  Geotecnicos LE2 (03092025).xlsx; hoja PLTD col. C</t>
        </is>
      </c>
      <c r="C256" t="inlineStr"/>
      <c r="D256" t="inlineStr">
        <is>
          <t>Hornfels</t>
        </is>
      </c>
      <c r="E256" t="inlineStr">
        <is>
          <t>hornfels (sigla; no definida en texto)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MPa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HRN</t>
        </is>
      </c>
      <c r="U256" t="inlineStr">
        <is>
          <t>Is50 diametral</t>
        </is>
      </c>
      <c r="V256" t="n">
        <v>1118</v>
      </c>
      <c r="W256" t="n">
        <v>5.618</v>
      </c>
      <c r="X256" t="n">
        <v>4.963</v>
      </c>
      <c r="Y256" t="n">
        <v>4.28</v>
      </c>
      <c r="Z256" t="n">
        <v>3.5</v>
      </c>
      <c r="AA256" t="n">
        <v>7.952</v>
      </c>
      <c r="AB256" t="n">
        <v>2.582</v>
      </c>
      <c r="AC256" t="n">
        <v>0.258</v>
      </c>
      <c r="AD256" t="n">
        <v>15.775</v>
      </c>
      <c r="AE256" t="inlineStr">
        <is>
          <t>5.618</t>
        </is>
      </c>
      <c r="AF256" t="inlineStr">
        <is>
          <t>4.963</t>
        </is>
      </c>
      <c r="AG256" t="inlineStr">
        <is>
          <t>4.28</t>
        </is>
      </c>
      <c r="AH256" t="inlineStr">
        <is>
          <t>sí</t>
        </is>
      </c>
      <c r="AI256" t="inlineStr">
        <is>
          <t>ensayos de laboratorio en testigos (roca intacta); percentiles = PERCENTILE.INC</t>
        </is>
      </c>
    </row>
    <row r="257">
      <c r="A257" t="inlineStr">
        <is>
          <t>LE2</t>
        </is>
      </c>
      <c r="B257" t="inlineStr">
        <is>
          <t>Resultados Parametros  Geotecnicos LE2 (03092025).xlsx; hoja PLTD col. C</t>
        </is>
      </c>
      <c r="C257" t="inlineStr"/>
      <c r="D257" t="inlineStr">
        <is>
          <t>Intrusivo</t>
        </is>
      </c>
      <c r="E257" t="inlineStr">
        <is>
          <t>intrusivo sin subtipo (sigla; no definida en texto)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MPa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1 filas sin valor numérico excluidas.</t>
        </is>
      </c>
      <c r="T257" t="inlineStr">
        <is>
          <t>INT</t>
        </is>
      </c>
      <c r="U257" t="inlineStr">
        <is>
          <t>Is50 diametral</t>
        </is>
      </c>
      <c r="V257" t="n">
        <v>2077</v>
      </c>
      <c r="W257" t="n">
        <v>5.661</v>
      </c>
      <c r="X257" t="n">
        <v>4.868</v>
      </c>
      <c r="Y257" t="n">
        <v>3.667</v>
      </c>
      <c r="Z257" t="n">
        <v>1.967</v>
      </c>
      <c r="AA257" t="n">
        <v>9.518000000000001</v>
      </c>
      <c r="AB257" t="n">
        <v>3.663</v>
      </c>
      <c r="AC257" t="n">
        <v>0.052</v>
      </c>
      <c r="AD257" t="n">
        <v>19.118</v>
      </c>
      <c r="AE257" t="inlineStr">
        <is>
          <t>5.661</t>
        </is>
      </c>
      <c r="AF257" t="inlineStr">
        <is>
          <t>4.868</t>
        </is>
      </c>
      <c r="AG257" t="inlineStr">
        <is>
          <t>3.667</t>
        </is>
      </c>
      <c r="AH257" t="inlineStr">
        <is>
          <t>sí</t>
        </is>
      </c>
      <c r="AI257" t="inlineStr">
        <is>
          <t>ensayos de laboratorio en testigos (roca intacta); percentiles = PERCENTILE.INC</t>
        </is>
      </c>
    </row>
    <row r="258">
      <c r="A258" t="inlineStr">
        <is>
          <t>LE2</t>
        </is>
      </c>
      <c r="B258" t="inlineStr">
        <is>
          <t>Resultados Parametros  Geotecnicos LE2 (03092025).xlsx; hoja PLTD col. C</t>
        </is>
      </c>
      <c r="C258" t="inlineStr"/>
      <c r="D258" t="inlineStr">
        <is>
          <t>Caliza</t>
        </is>
      </c>
      <c r="E258" t="inlineStr">
        <is>
          <t>«LMH Calizas Desmonte (limestone Hornfels)» (WSC lámina 12, texto); inclusión de mármol no confirmada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MPa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8 filas sin valor numérico excluidas.</t>
        </is>
      </c>
      <c r="T258" t="inlineStr">
        <is>
          <t>LMH</t>
        </is>
      </c>
      <c r="U258" t="inlineStr">
        <is>
          <t>Is50 diametral</t>
        </is>
      </c>
      <c r="V258" t="n">
        <v>7409</v>
      </c>
      <c r="W258" t="n">
        <v>3.813</v>
      </c>
      <c r="X258" t="n">
        <v>3.547</v>
      </c>
      <c r="Y258" t="n">
        <v>2.855</v>
      </c>
      <c r="Z258" t="n">
        <v>1.94</v>
      </c>
      <c r="AA258" t="n">
        <v>5.502</v>
      </c>
      <c r="AB258" t="n">
        <v>2.092</v>
      </c>
      <c r="AC258" t="n">
        <v>0.012</v>
      </c>
      <c r="AD258" t="n">
        <v>36.73</v>
      </c>
      <c r="AE258" t="inlineStr">
        <is>
          <t>3.813</t>
        </is>
      </c>
      <c r="AF258" t="inlineStr">
        <is>
          <t>3.547</t>
        </is>
      </c>
      <c r="AG258" t="inlineStr">
        <is>
          <t>2.855</t>
        </is>
      </c>
      <c r="AH258" t="inlineStr">
        <is>
          <t>sí</t>
        </is>
      </c>
      <c r="AI258" t="inlineStr">
        <is>
          <t>ensayos de laboratorio en testigos (roca intacta); percentiles = PERCENTILE.INC</t>
        </is>
      </c>
    </row>
    <row r="259">
      <c r="A259" t="inlineStr">
        <is>
          <t>LE2</t>
        </is>
      </c>
      <c r="B259" t="inlineStr">
        <is>
          <t>Resultados Parametros  Geotecnicos LE2 (03092025).xlsx; hoja PLTD col. C</t>
        </is>
      </c>
      <c r="C259" t="inlineStr"/>
      <c r="D259" t="inlineStr">
        <is>
          <t>sin RMU</t>
        </is>
      </c>
      <c r="E259" t="inlineStr">
        <is>
          <t>registros con RMU «N/D», fuera de las fórmulas del Resumen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MPa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N/D (sin RMU)</t>
        </is>
      </c>
      <c r="U259" t="inlineStr">
        <is>
          <t>Is50 diametral</t>
        </is>
      </c>
      <c r="V259" t="n">
        <v>2</v>
      </c>
      <c r="W259" t="n">
        <v>6.663</v>
      </c>
      <c r="X259" t="n">
        <v>6.663</v>
      </c>
      <c r="Y259" t="n">
        <v>6.227</v>
      </c>
      <c r="Z259" t="n">
        <v>5.675</v>
      </c>
      <c r="AA259" t="n">
        <v>7.65</v>
      </c>
      <c r="AB259" t="n">
        <v>2.054</v>
      </c>
      <c r="AC259" t="n">
        <v>5.211</v>
      </c>
      <c r="AD259" t="n">
        <v>8.115</v>
      </c>
      <c r="AE259" t="inlineStr">
        <is>
          <t>no aplica</t>
        </is>
      </c>
      <c r="AF259" t="inlineStr">
        <is>
          <t>no aplica</t>
        </is>
      </c>
      <c r="AG259" t="inlineStr">
        <is>
          <t>no aplica</t>
        </is>
      </c>
      <c r="AH259" t="inlineStr">
        <is>
          <t>no aplica</t>
        </is>
      </c>
      <c r="AI259" t="inlineStr">
        <is>
          <t>ensayos de laboratorio en testigos (roca intacta); percentiles = PERCENTILE.INC</t>
        </is>
      </c>
    </row>
    <row r="260">
      <c r="A260" t="inlineStr">
        <is>
          <t>LE2</t>
        </is>
      </c>
      <c r="B260" t="inlineStr">
        <is>
          <t>Resultados Parametros  Geotecnicos LE2 (03092025).xlsx; hoja PLTD col. C</t>
        </is>
      </c>
      <c r="C260" t="inlineStr"/>
      <c r="D260" t="inlineStr">
        <is>
          <t>Skarn</t>
        </is>
      </c>
      <c r="E260" t="inlineStr">
        <is>
          <t>«XDP Exoskarn mayor desmonte» (WSC lámina 12, texto); la lámina lista «Exo Diopsídico» entre las litologías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MPa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XDP</t>
        </is>
      </c>
      <c r="U260" t="inlineStr">
        <is>
          <t>Is50 diametral</t>
        </is>
      </c>
      <c r="V260" t="n">
        <v>510</v>
      </c>
      <c r="W260" t="n">
        <v>7.822</v>
      </c>
      <c r="X260" t="n">
        <v>7.18</v>
      </c>
      <c r="Y260" t="n">
        <v>5.685</v>
      </c>
      <c r="Z260" t="n">
        <v>3.784</v>
      </c>
      <c r="AA260" t="n">
        <v>12.1</v>
      </c>
      <c r="AB260" t="n">
        <v>3.99</v>
      </c>
      <c r="AC260" t="n">
        <v>0.8179999999999999</v>
      </c>
      <c r="AD260" t="n">
        <v>20.352</v>
      </c>
      <c r="AE260" t="inlineStr">
        <is>
          <t>7.822</t>
        </is>
      </c>
      <c r="AF260" t="inlineStr">
        <is>
          <t>7.18</t>
        </is>
      </c>
      <c r="AG260" t="inlineStr">
        <is>
          <t>5.685</t>
        </is>
      </c>
      <c r="AH260" t="inlineStr">
        <is>
          <t>sí</t>
        </is>
      </c>
      <c r="AI260" t="inlineStr">
        <is>
          <t>ensayos de laboratorio en testigos (roca intacta); percentiles = PERCENTILE.INC</t>
        </is>
      </c>
    </row>
    <row r="261">
      <c r="A261" t="inlineStr">
        <is>
          <t>LE2</t>
        </is>
      </c>
      <c r="B261" t="inlineStr">
        <is>
          <t>Resultados Parametros  Geotecnicos LE2 (03092025).xlsx; hoja Brazilian col. E</t>
        </is>
      </c>
      <c r="C261" t="inlineStr"/>
      <c r="D261" t="inlineStr">
        <is>
          <t>Skarn</t>
        </is>
      </c>
      <c r="E261" t="inlineStr">
        <is>
          <t>endoskarn (sigla; no definida en el xlsx ni en texto de las pptx)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MPa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END</t>
        </is>
      </c>
      <c r="U261" t="inlineStr">
        <is>
          <t>tracción brasileña</t>
        </is>
      </c>
      <c r="V261" t="n">
        <v>172</v>
      </c>
      <c r="W261" t="n">
        <v>4.247</v>
      </c>
      <c r="X261" t="n">
        <v>3.385</v>
      </c>
      <c r="Y261" t="n">
        <v>2.4</v>
      </c>
      <c r="Z261" t="n">
        <v>1.581</v>
      </c>
      <c r="AA261" t="n">
        <v>7.233</v>
      </c>
      <c r="AB261" t="n">
        <v>3.151</v>
      </c>
      <c r="AC261" t="n">
        <v>0.39</v>
      </c>
      <c r="AD261" t="n">
        <v>15.8</v>
      </c>
      <c r="AE261" t="inlineStr">
        <is>
          <t>4.247</t>
        </is>
      </c>
      <c r="AF261" t="inlineStr">
        <is>
          <t>3.385</t>
        </is>
      </c>
      <c r="AG261" t="inlineStr">
        <is>
          <t>2.4</t>
        </is>
      </c>
      <c r="AH261" t="inlineStr">
        <is>
          <t>sí</t>
        </is>
      </c>
      <c r="AI261" t="inlineStr">
        <is>
          <t>ensayos de laboratorio en testigos (roca intacta); percentiles = PERCENTILE.INC</t>
        </is>
      </c>
    </row>
    <row r="262">
      <c r="A262" t="inlineStr">
        <is>
          <t>LE2</t>
        </is>
      </c>
      <c r="B262" t="inlineStr">
        <is>
          <t>Resultados Parametros  Geotecnicos LE2 (03092025).xlsx; hoja Brazilian col. E</t>
        </is>
      </c>
      <c r="C262" t="inlineStr"/>
      <c r="D262" t="inlineStr">
        <is>
          <t>Skarn</t>
        </is>
      </c>
      <c r="E262" t="inlineStr">
        <is>
          <t>exoskarn (sigla; no definida en texto)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MPa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EXO</t>
        </is>
      </c>
      <c r="U262" t="inlineStr">
        <is>
          <t>tracción brasileña</t>
        </is>
      </c>
      <c r="V262" t="n">
        <v>184</v>
      </c>
      <c r="W262" t="n">
        <v>7.701</v>
      </c>
      <c r="X262" t="n">
        <v>7.15</v>
      </c>
      <c r="Y262" t="n">
        <v>6.042</v>
      </c>
      <c r="Z262" t="n">
        <v>4.352</v>
      </c>
      <c r="AA262" t="n">
        <v>11.986</v>
      </c>
      <c r="AB262" t="n">
        <v>3.886</v>
      </c>
      <c r="AC262" t="n">
        <v>0.48</v>
      </c>
      <c r="AD262" t="n">
        <v>19.69</v>
      </c>
      <c r="AE262" t="inlineStr">
        <is>
          <t>7.701</t>
        </is>
      </c>
      <c r="AF262" t="inlineStr">
        <is>
          <t>7.15</t>
        </is>
      </c>
      <c r="AG262" t="inlineStr">
        <is>
          <t>6.042</t>
        </is>
      </c>
      <c r="AH262" t="inlineStr">
        <is>
          <t>sí</t>
        </is>
      </c>
      <c r="AI262" t="inlineStr">
        <is>
          <t>ensayos de laboratorio en testigos (roca intacta); percentiles = PERCENTILE.INC</t>
        </is>
      </c>
    </row>
    <row r="263">
      <c r="A263" t="inlineStr">
        <is>
          <t>LE2</t>
        </is>
      </c>
      <c r="B263" t="inlineStr">
        <is>
          <t>Resultados Parametros  Geotecnicos LE2 (03092025).xlsx; hoja Brazilian col. E</t>
        </is>
      </c>
      <c r="C263" t="inlineStr"/>
      <c r="D263" t="inlineStr">
        <is>
          <t>Hornfels</t>
        </is>
      </c>
      <c r="E263" t="inlineStr">
        <is>
          <t>hornfels (sigla; no definida en texto)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MPa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HRN</t>
        </is>
      </c>
      <c r="U263" t="inlineStr">
        <is>
          <t>tracción brasileña</t>
        </is>
      </c>
      <c r="V263" t="n">
        <v>304</v>
      </c>
      <c r="W263" t="n">
        <v>9.785</v>
      </c>
      <c r="X263" t="n">
        <v>9.710000000000001</v>
      </c>
      <c r="Y263" t="n">
        <v>8.701000000000001</v>
      </c>
      <c r="Z263" t="n">
        <v>7.03</v>
      </c>
      <c r="AA263" t="n">
        <v>12.423</v>
      </c>
      <c r="AB263" t="n">
        <v>2.942</v>
      </c>
      <c r="AC263" t="n">
        <v>0.55</v>
      </c>
      <c r="AD263" t="n">
        <v>18.9</v>
      </c>
      <c r="AE263" t="inlineStr">
        <is>
          <t>9.785</t>
        </is>
      </c>
      <c r="AF263" t="inlineStr">
        <is>
          <t>9.71</t>
        </is>
      </c>
      <c r="AG263" t="inlineStr">
        <is>
          <t>8.701</t>
        </is>
      </c>
      <c r="AH263" t="inlineStr">
        <is>
          <t>sí</t>
        </is>
      </c>
      <c r="AI263" t="inlineStr">
        <is>
          <t>ensayos de laboratorio en testigos (roca intacta); percentiles = PERCENTILE.INC</t>
        </is>
      </c>
    </row>
    <row r="264">
      <c r="A264" t="inlineStr">
        <is>
          <t>LE2</t>
        </is>
      </c>
      <c r="B264" t="inlineStr">
        <is>
          <t>Resultados Parametros  Geotecnicos LE2 (03092025).xlsx; hoja Brazilian col. E</t>
        </is>
      </c>
      <c r="C264" t="inlineStr"/>
      <c r="D264" t="inlineStr">
        <is>
          <t>Intrusivo</t>
        </is>
      </c>
      <c r="E264" t="inlineStr">
        <is>
          <t>intrusivo sin subtipo (sigla; no definida en texto)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MPa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INT</t>
        </is>
      </c>
      <c r="U264" t="inlineStr">
        <is>
          <t>tracción brasileña</t>
        </is>
      </c>
      <c r="V264" t="n">
        <v>206</v>
      </c>
      <c r="W264" t="n">
        <v>7.412</v>
      </c>
      <c r="X264" t="n">
        <v>7.25</v>
      </c>
      <c r="Y264" t="n">
        <v>5.928</v>
      </c>
      <c r="Z264" t="n">
        <v>4.016</v>
      </c>
      <c r="AA264" t="n">
        <v>11.41</v>
      </c>
      <c r="AB264" t="n">
        <v>3.421</v>
      </c>
      <c r="AC264" t="n">
        <v>1.1</v>
      </c>
      <c r="AD264" t="n">
        <v>14.9</v>
      </c>
      <c r="AE264" t="inlineStr">
        <is>
          <t>7.412</t>
        </is>
      </c>
      <c r="AF264" t="inlineStr">
        <is>
          <t>7.25</t>
        </is>
      </c>
      <c r="AG264" t="inlineStr">
        <is>
          <t>5.928</t>
        </is>
      </c>
      <c r="AH264" t="inlineStr">
        <is>
          <t>sí</t>
        </is>
      </c>
      <c r="AI264" t="inlineStr">
        <is>
          <t>ensayos de laboratorio en testigos (roca intacta); percentiles = PERCENTILE.INC</t>
        </is>
      </c>
    </row>
    <row r="265">
      <c r="A265" t="inlineStr">
        <is>
          <t>LE2</t>
        </is>
      </c>
      <c r="B265" t="inlineStr">
        <is>
          <t>Resultados Parametros  Geotecnicos LE2 (03092025).xlsx; hoja Brazilian col. E</t>
        </is>
      </c>
      <c r="C265" t="inlineStr"/>
      <c r="D265" t="inlineStr">
        <is>
          <t>Caliza</t>
        </is>
      </c>
      <c r="E265" t="inlineStr">
        <is>
          <t>«LMH Calizas Desmonte (limestone Hornfels)» (WSC lámina 12, texto); inclusión de mármol no confirmada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MPa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LMH</t>
        </is>
      </c>
      <c r="U265" t="inlineStr">
        <is>
          <t>tracción brasileña</t>
        </is>
      </c>
      <c r="V265" t="n">
        <v>834</v>
      </c>
      <c r="W265" t="n">
        <v>6.647</v>
      </c>
      <c r="X265" t="n">
        <v>6.388</v>
      </c>
      <c r="Y265" t="n">
        <v>5.51</v>
      </c>
      <c r="Z265" t="n">
        <v>3.963</v>
      </c>
      <c r="AA265" t="n">
        <v>9.462</v>
      </c>
      <c r="AB265" t="n">
        <v>2.741</v>
      </c>
      <c r="AC265" t="n">
        <v>0.596</v>
      </c>
      <c r="AD265" t="n">
        <v>15.6</v>
      </c>
      <c r="AE265" t="inlineStr">
        <is>
          <t>6.647</t>
        </is>
      </c>
      <c r="AF265" t="inlineStr">
        <is>
          <t>6.388</t>
        </is>
      </c>
      <c r="AG265" t="inlineStr">
        <is>
          <t>5.51</t>
        </is>
      </c>
      <c r="AH265" t="inlineStr">
        <is>
          <t>sí</t>
        </is>
      </c>
      <c r="AI265" t="inlineStr">
        <is>
          <t>ensayos de laboratorio en testigos (roca intacta); percentiles = PERCENTILE.INC</t>
        </is>
      </c>
    </row>
    <row r="266">
      <c r="A266" t="inlineStr">
        <is>
          <t>LE2</t>
        </is>
      </c>
      <c r="B266" t="inlineStr">
        <is>
          <t>Resultados Parametros  Geotecnicos LE2 (03092025).xlsx; hoja Brazilian col. E</t>
        </is>
      </c>
      <c r="C266" t="inlineStr"/>
      <c r="D266" t="inlineStr">
        <is>
          <t>Skarn</t>
        </is>
      </c>
      <c r="E266" t="inlineStr">
        <is>
          <t>«XDP Exoskarn mayor desmonte» (WSC lámina 12, texto); la lámina lista «Exo Diopsídico» entre las litologías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MPa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XDP</t>
        </is>
      </c>
      <c r="U266" t="inlineStr">
        <is>
          <t>tracción brasileña</t>
        </is>
      </c>
      <c r="V266" t="n">
        <v>172</v>
      </c>
      <c r="W266" t="n">
        <v>8.941000000000001</v>
      </c>
      <c r="X266" t="n">
        <v>8.515000000000001</v>
      </c>
      <c r="Y266" t="n">
        <v>7.106</v>
      </c>
      <c r="Z266" t="n">
        <v>5.056</v>
      </c>
      <c r="AA266" t="n">
        <v>13.005</v>
      </c>
      <c r="AB266" t="n">
        <v>4.223</v>
      </c>
      <c r="AC266" t="n">
        <v>0.714</v>
      </c>
      <c r="AD266" t="n">
        <v>30.006</v>
      </c>
      <c r="AE266" t="inlineStr">
        <is>
          <t>8.941</t>
        </is>
      </c>
      <c r="AF266" t="inlineStr">
        <is>
          <t>8.515</t>
        </is>
      </c>
      <c r="AG266" t="inlineStr">
        <is>
          <t>7.106</t>
        </is>
      </c>
      <c r="AH266" t="inlineStr">
        <is>
          <t>sí</t>
        </is>
      </c>
      <c r="AI266" t="inlineStr">
        <is>
          <t>ensayos de laboratorio en testigos (roca intacta); percentiles = PERCENTILE.INC</t>
        </is>
      </c>
    </row>
    <row r="267">
      <c r="A267" t="inlineStr">
        <is>
          <t>LE2</t>
        </is>
      </c>
      <c r="B267" t="inlineStr">
        <is>
          <t>SIMULACIONES_MR2024_V3.csv (columnas MR24_RT, MR24_BD)</t>
        </is>
      </c>
      <c r="C267" t="inlineStr"/>
      <c r="D267" t="inlineStr">
        <is>
          <t>Mármol</t>
        </is>
      </c>
      <c r="E267" t="inlineStr">
        <is>
          <t>Marmol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t/m³ (unidad no indicada; presumible)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No hay densidad, Gs ni absorción por RMU en el xlsx. WSC lámina 8 solo da histogramas globales (pico en 2,70-2,72).</t>
        </is>
      </c>
      <c r="T267" t="inlineStr">
        <is>
          <t>MR24_RT 16</t>
        </is>
      </c>
      <c r="U267" t="inlineStr">
        <is>
          <t>densidad de bloque MR24_BD</t>
        </is>
      </c>
      <c r="V267" t="n">
        <v>110698</v>
      </c>
      <c r="W267" t="n">
        <v>2.712</v>
      </c>
      <c r="X267" t="n">
        <v>2.7</v>
      </c>
      <c r="Y267" t="inlineStr"/>
      <c r="Z267" t="n">
        <v>2.687</v>
      </c>
      <c r="AA267" t="n">
        <v>2.731</v>
      </c>
      <c r="AB267" t="inlineStr"/>
      <c r="AC267" t="n">
        <v>2.559</v>
      </c>
      <c r="AD267" t="n">
        <v>3.458</v>
      </c>
      <c r="AE267" t="inlineStr">
        <is>
          <t>no aplica</t>
        </is>
      </c>
      <c r="AF267" t="inlineStr">
        <is>
          <t>no aplica</t>
        </is>
      </c>
      <c r="AG267" t="inlineStr">
        <is>
          <t>no aplica</t>
        </is>
      </c>
      <c r="AH267" t="inlineStr">
        <is>
          <t>no aplica</t>
        </is>
      </c>
      <c r="AI267" t="inlineStr">
        <is>
          <t>MODELO de bloques (valor estimado, no ensayo); la litología se asignó al código RT porque el n de bloques y la media/desv. de MR24_UCS coinciden exactamente con la tabla de WSC lámina 12</t>
        </is>
      </c>
    </row>
    <row r="268">
      <c r="A268" t="inlineStr">
        <is>
          <t>LE2</t>
        </is>
      </c>
      <c r="B268" t="inlineStr">
        <is>
          <t>SIMULACIONES_MR2024_V3.csv (columnas MR24_RT, MR24_BD)</t>
        </is>
      </c>
      <c r="C268" t="inlineStr"/>
      <c r="D268" t="inlineStr">
        <is>
          <t>Mármol</t>
        </is>
      </c>
      <c r="E268" t="inlineStr">
        <is>
          <t>Marmol Diopsida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t/m³ (unidad no indicada; presumible)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No hay densidad, Gs ni absorción por RMU en el xlsx. WSC lámina 8 solo da histogramas globales (pico en 2,70-2,72).</t>
        </is>
      </c>
      <c r="T268" t="inlineStr">
        <is>
          <t>MR24_RT 19</t>
        </is>
      </c>
      <c r="U268" t="inlineStr">
        <is>
          <t>densidad de bloque MR24_BD</t>
        </is>
      </c>
      <c r="V268" t="n">
        <v>8020</v>
      </c>
      <c r="W268" t="n">
        <v>2.848</v>
      </c>
      <c r="X268" t="n">
        <v>2.851</v>
      </c>
      <c r="Y268" t="inlineStr"/>
      <c r="Z268" t="n">
        <v>2.79</v>
      </c>
      <c r="AA268" t="n">
        <v>2.902</v>
      </c>
      <c r="AB268" t="inlineStr"/>
      <c r="AC268" t="n">
        <v>2.62</v>
      </c>
      <c r="AD268" t="n">
        <v>3.195</v>
      </c>
      <c r="AE268" t="inlineStr">
        <is>
          <t>no aplica</t>
        </is>
      </c>
      <c r="AF268" t="inlineStr">
        <is>
          <t>no aplica</t>
        </is>
      </c>
      <c r="AG268" t="inlineStr">
        <is>
          <t>no aplica</t>
        </is>
      </c>
      <c r="AH268" t="inlineStr">
        <is>
          <t>no aplica</t>
        </is>
      </c>
      <c r="AI268" t="inlineStr">
        <is>
          <t>MODELO de bloques (valor estimado, no ensayo); la litología se asignó al código RT porque el n de bloques y la media/desv. de MR24_UCS coinciden exactamente con la tabla de WSC lámina 12</t>
        </is>
      </c>
    </row>
    <row r="269">
      <c r="A269" t="inlineStr">
        <is>
          <t>LE2</t>
        </is>
      </c>
      <c r="B269" t="inlineStr">
        <is>
          <t>SIMULACIONES_MR2024_V3.csv (columnas MR24_RT, MR24_BD)</t>
        </is>
      </c>
      <c r="C269" t="inlineStr"/>
      <c r="D269" t="inlineStr">
        <is>
          <t>Hornfels</t>
        </is>
      </c>
      <c r="E269" t="inlineStr">
        <is>
          <t>Horfels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t/m³ (unidad no indicada; presumible)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No hay densidad, Gs ni absorción por RMU en el xlsx. WSC lámina 8 solo da histogramas globales (pico en 2,70-2,72).</t>
        </is>
      </c>
      <c r="T269" t="inlineStr">
        <is>
          <t>MR24_RT 13</t>
        </is>
      </c>
      <c r="U269" t="inlineStr">
        <is>
          <t>densidad de bloque MR24_BD</t>
        </is>
      </c>
      <c r="V269" t="n">
        <v>48510</v>
      </c>
      <c r="W269" t="n">
        <v>2.706</v>
      </c>
      <c r="X269" t="n">
        <v>2.7</v>
      </c>
      <c r="Y269" t="inlineStr"/>
      <c r="Z269" t="n">
        <v>2.685</v>
      </c>
      <c r="AA269" t="n">
        <v>2.726</v>
      </c>
      <c r="AB269" t="inlineStr"/>
      <c r="AC269" t="n">
        <v>2.557</v>
      </c>
      <c r="AD269" t="n">
        <v>3.21</v>
      </c>
      <c r="AE269" t="inlineStr">
        <is>
          <t>no aplica</t>
        </is>
      </c>
      <c r="AF269" t="inlineStr">
        <is>
          <t>no aplica</t>
        </is>
      </c>
      <c r="AG269" t="inlineStr">
        <is>
          <t>no aplica</t>
        </is>
      </c>
      <c r="AH269" t="inlineStr">
        <is>
          <t>no aplica</t>
        </is>
      </c>
      <c r="AI269" t="inlineStr">
        <is>
          <t>MODELO de bloques (valor estimado, no ensayo); la litología se asignó al código RT porque el n de bloques y la media/desv. de MR24_UCS coinciden exactamente con la tabla de WSC lámina 12</t>
        </is>
      </c>
    </row>
    <row r="270">
      <c r="A270" t="inlineStr">
        <is>
          <t>LE2</t>
        </is>
      </c>
      <c r="B270" t="inlineStr">
        <is>
          <t>SIMULACIONES_MR2024_V3.csv (columnas MR24_RT, MR24_BD)</t>
        </is>
      </c>
      <c r="C270" t="inlineStr"/>
      <c r="D270" t="inlineStr">
        <is>
          <t>Hornfels</t>
        </is>
      </c>
      <c r="E270" t="inlineStr">
        <is>
          <t>Horfel Diopsida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t/m³ (unidad no indicada; presumible)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No hay densidad, Gs ni absorción por RMU en el xlsx. WSC lámina 8 solo da histogramas globales (pico en 2,70-2,72).</t>
        </is>
      </c>
      <c r="T270" t="inlineStr">
        <is>
          <t>MR24_RT 14</t>
        </is>
      </c>
      <c r="U270" t="inlineStr">
        <is>
          <t>densidad de bloque MR24_BD</t>
        </is>
      </c>
      <c r="V270" t="n">
        <v>9983</v>
      </c>
      <c r="W270" t="n">
        <v>2.86</v>
      </c>
      <c r="X270" t="n">
        <v>2.87</v>
      </c>
      <c r="Y270" t="inlineStr"/>
      <c r="Z270" t="n">
        <v>2.787</v>
      </c>
      <c r="AA270" t="n">
        <v>2.92</v>
      </c>
      <c r="AB270" t="inlineStr"/>
      <c r="AC270" t="n">
        <v>2.591</v>
      </c>
      <c r="AD270" t="n">
        <v>3.113</v>
      </c>
      <c r="AE270" t="inlineStr">
        <is>
          <t>no aplica</t>
        </is>
      </c>
      <c r="AF270" t="inlineStr">
        <is>
          <t>no aplica</t>
        </is>
      </c>
      <c r="AG270" t="inlineStr">
        <is>
          <t>no aplica</t>
        </is>
      </c>
      <c r="AH270" t="inlineStr">
        <is>
          <t>no aplica</t>
        </is>
      </c>
      <c r="AI270" t="inlineStr">
        <is>
          <t>MODELO de bloques (valor estimado, no ensayo); la litología se asignó al código RT porque el n de bloques y la media/desv. de MR24_UCS coinciden exactamente con la tabla de WSC lámina 12</t>
        </is>
      </c>
    </row>
    <row r="271">
      <c r="A271" t="inlineStr">
        <is>
          <t>LE2</t>
        </is>
      </c>
      <c r="B271" t="inlineStr">
        <is>
          <t>SIMULACIONES_MR2024_V3.csv (columnas MR24_RT, MR24_BD)</t>
        </is>
      </c>
      <c r="C271" t="inlineStr"/>
      <c r="D271" t="inlineStr">
        <is>
          <t>Intrusivo</t>
        </is>
      </c>
      <c r="E271" t="inlineStr">
        <is>
          <t>Intrusivo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t/m³ (unidad no indicada; presumible)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No hay densidad, Gs ni absorción por RMU en el xlsx. WSC lámina 8 solo da histogramas globales (pico en 2,70-2,72).</t>
        </is>
      </c>
      <c r="T271" t="inlineStr">
        <is>
          <t>MR24_RT 1</t>
        </is>
      </c>
      <c r="U271" t="inlineStr">
        <is>
          <t>densidad de bloque MR24_BD</t>
        </is>
      </c>
      <c r="V271" t="n">
        <v>46813</v>
      </c>
      <c r="W271" t="n">
        <v>2.461</v>
      </c>
      <c r="X271" t="n">
        <v>2.452</v>
      </c>
      <c r="Y271" t="inlineStr"/>
      <c r="Z271" t="n">
        <v>2.403</v>
      </c>
      <c r="AA271" t="n">
        <v>2.517</v>
      </c>
      <c r="AB271" t="inlineStr"/>
      <c r="AC271" t="n">
        <v>2.166</v>
      </c>
      <c r="AD271" t="n">
        <v>3.085</v>
      </c>
      <c r="AE271" t="inlineStr">
        <is>
          <t>no aplica</t>
        </is>
      </c>
      <c r="AF271" t="inlineStr">
        <is>
          <t>no aplica</t>
        </is>
      </c>
      <c r="AG271" t="inlineStr">
        <is>
          <t>no aplica</t>
        </is>
      </c>
      <c r="AH271" t="inlineStr">
        <is>
          <t>no aplica</t>
        </is>
      </c>
      <c r="AI271" t="inlineStr">
        <is>
          <t>MODELO de bloques (valor estimado, no ensayo); la litología se asignó al código RT porque el n de bloques y la media/desv. de MR24_UCS coinciden exactamente con la tabla de WSC lámina 12</t>
        </is>
      </c>
    </row>
    <row r="272">
      <c r="A272" t="inlineStr">
        <is>
          <t>LE2</t>
        </is>
      </c>
      <c r="B272" t="inlineStr">
        <is>
          <t>SIMULACIONES_MR2024_V3.csv (columnas MR24_RT, MR24_BD)</t>
        </is>
      </c>
      <c r="C272" t="inlineStr"/>
      <c r="D272" t="inlineStr">
        <is>
          <t>Intrusivo</t>
        </is>
      </c>
      <c r="E272" t="inlineStr">
        <is>
          <t>Intrus-Estruct-Tab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t/m³ (unidad no indicada; presumible)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No hay densidad, Gs ni absorción por RMU en el xlsx. WSC lámina 8 solo da histogramas globales (pico en 2,70-2,72).</t>
        </is>
      </c>
      <c r="T272" t="inlineStr">
        <is>
          <t>MR24_RT 2</t>
        </is>
      </c>
      <c r="U272" t="inlineStr">
        <is>
          <t>densidad de bloque MR24_BD</t>
        </is>
      </c>
      <c r="V272" t="n">
        <v>3137</v>
      </c>
      <c r="W272" t="n">
        <v>2.69</v>
      </c>
      <c r="X272" t="n">
        <v>2.667</v>
      </c>
      <c r="Y272" t="inlineStr"/>
      <c r="Z272" t="n">
        <v>2.631</v>
      </c>
      <c r="AA272" t="n">
        <v>2.72</v>
      </c>
      <c r="AB272" t="inlineStr"/>
      <c r="AC272" t="n">
        <v>2.542</v>
      </c>
      <c r="AD272" t="n">
        <v>3.44</v>
      </c>
      <c r="AE272" t="inlineStr">
        <is>
          <t>no aplica</t>
        </is>
      </c>
      <c r="AF272" t="inlineStr">
        <is>
          <t>no aplica</t>
        </is>
      </c>
      <c r="AG272" t="inlineStr">
        <is>
          <t>no aplica</t>
        </is>
      </c>
      <c r="AH272" t="inlineStr">
        <is>
          <t>no aplica</t>
        </is>
      </c>
      <c r="AI272" t="inlineStr">
        <is>
          <t>MODELO de bloques (valor estimado, no ensayo); la litología se asignó al código RT porque el n de bloques y la media/desv. de MR24_UCS coinciden exactamente con la tabla de WSC lámina 12</t>
        </is>
      </c>
    </row>
    <row r="273">
      <c r="A273" t="inlineStr">
        <is>
          <t>LE2</t>
        </is>
      </c>
      <c r="B273" t="inlineStr">
        <is>
          <t>SIMULACIONES_MR2024_V3.csv (columnas MR24_RT, MR24_BD)</t>
        </is>
      </c>
      <c r="C273" t="inlineStr"/>
      <c r="D273" t="inlineStr">
        <is>
          <t>Intrusivo</t>
        </is>
      </c>
      <c r="E273" t="inlineStr">
        <is>
          <t>Brechas-Intrus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t/m³ (unidad no indicada; presumible)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No hay densidad, Gs ni absorción por RMU en el xlsx. WSC lámina 8 solo da histogramas globales (pico en 2,70-2,72).</t>
        </is>
      </c>
      <c r="T273" t="inlineStr">
        <is>
          <t>MR24_RT 53</t>
        </is>
      </c>
      <c r="U273" t="inlineStr">
        <is>
          <t>densidad de bloque MR24_BD</t>
        </is>
      </c>
      <c r="V273" t="n">
        <v>403</v>
      </c>
      <c r="W273" t="n">
        <v>2.657</v>
      </c>
      <c r="X273" t="n">
        <v>2.619</v>
      </c>
      <c r="Y273" t="inlineStr"/>
      <c r="Z273" t="n">
        <v>2.505</v>
      </c>
      <c r="AA273" t="n">
        <v>2.824</v>
      </c>
      <c r="AB273" t="inlineStr"/>
      <c r="AC273" t="n">
        <v>2.368</v>
      </c>
      <c r="AD273" t="n">
        <v>3.351</v>
      </c>
      <c r="AE273" t="inlineStr">
        <is>
          <t>no aplica</t>
        </is>
      </c>
      <c r="AF273" t="inlineStr">
        <is>
          <t>no aplica</t>
        </is>
      </c>
      <c r="AG273" t="inlineStr">
        <is>
          <t>no aplica</t>
        </is>
      </c>
      <c r="AH273" t="inlineStr">
        <is>
          <t>no aplica</t>
        </is>
      </c>
      <c r="AI273" t="inlineStr">
        <is>
          <t>MODELO de bloques (valor estimado, no ensayo); la litología se asignó al código RT porque el n de bloques y la media/desv. de MR24_UCS coinciden exactamente con la tabla de WSC lámina 12</t>
        </is>
      </c>
    </row>
    <row r="274">
      <c r="A274" t="inlineStr">
        <is>
          <t>LE2</t>
        </is>
      </c>
      <c r="B274" t="inlineStr">
        <is>
          <t>SIMULACIONES_MR2024_V3.csv (columnas MR24_RT, MR24_BD)</t>
        </is>
      </c>
      <c r="C274" t="inlineStr"/>
      <c r="D274" t="inlineStr">
        <is>
          <t>Caliza</t>
        </is>
      </c>
      <c r="E274" t="inlineStr">
        <is>
          <t>Caliza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t/m³ (unidad no indicada; presumible)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No hay densidad, Gs ni absorción por RMU en el xlsx. WSC lámina 8 solo da histogramas globales (pico en 2,70-2,72).</t>
        </is>
      </c>
      <c r="T274" t="inlineStr">
        <is>
          <t>MR24_RT 10</t>
        </is>
      </c>
      <c r="U274" t="inlineStr">
        <is>
          <t>densidad de bloque MR24_BD</t>
        </is>
      </c>
      <c r="V274" t="n">
        <v>24434</v>
      </c>
      <c r="W274" t="n">
        <v>2.709</v>
      </c>
      <c r="X274" t="n">
        <v>2.71</v>
      </c>
      <c r="Y274" t="inlineStr"/>
      <c r="Z274" t="n">
        <v>2.699</v>
      </c>
      <c r="AA274" t="n">
        <v>2.717</v>
      </c>
      <c r="AB274" t="inlineStr"/>
      <c r="AC274" t="n">
        <v>2.633</v>
      </c>
      <c r="AD274" t="n">
        <v>2.752</v>
      </c>
      <c r="AE274" t="inlineStr">
        <is>
          <t>no aplica</t>
        </is>
      </c>
      <c r="AF274" t="inlineStr">
        <is>
          <t>no aplica</t>
        </is>
      </c>
      <c r="AG274" t="inlineStr">
        <is>
          <t>no aplica</t>
        </is>
      </c>
      <c r="AH274" t="inlineStr">
        <is>
          <t>no aplica</t>
        </is>
      </c>
      <c r="AI274" t="inlineStr">
        <is>
          <t>MODELO de bloques (valor estimado, no ensayo); la litología se asignó al código RT porque el n de bloques y la media/desv. de MR24_UCS coinciden exactamente con la tabla de WSC lámina 12</t>
        </is>
      </c>
    </row>
    <row r="275">
      <c r="A275" t="inlineStr">
        <is>
          <t>LE2</t>
        </is>
      </c>
      <c r="B275" t="inlineStr">
        <is>
          <t>SIMULACIONES_MR2024_V3.csv (columnas MR24_RT, MR24_BD)</t>
        </is>
      </c>
      <c r="C275" t="inlineStr"/>
      <c r="D275" t="inlineStr">
        <is>
          <t>Otra</t>
        </is>
      </c>
      <c r="E275" t="inlineStr">
        <is>
          <t>Margas-Limonitas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t/m³ (unidad no indicada; presumible)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No hay densidad, Gs ni absorción por RMU en el xlsx. WSC lámina 8 solo da histogramas globales (pico en 2,70-2,72).</t>
        </is>
      </c>
      <c r="T275" t="inlineStr">
        <is>
          <t>MR24_RT 11</t>
        </is>
      </c>
      <c r="U275" t="inlineStr">
        <is>
          <t>densidad de bloque MR24_BD</t>
        </is>
      </c>
      <c r="V275" t="n">
        <v>58104</v>
      </c>
      <c r="W275" t="n">
        <v>2.711</v>
      </c>
      <c r="X275" t="n">
        <v>2.71</v>
      </c>
      <c r="Y275" t="inlineStr"/>
      <c r="Z275" t="n">
        <v>2.703</v>
      </c>
      <c r="AA275" t="n">
        <v>2.723</v>
      </c>
      <c r="AB275" t="inlineStr"/>
      <c r="AC275" t="n">
        <v>2.59</v>
      </c>
      <c r="AD275" t="n">
        <v>2.77</v>
      </c>
      <c r="AE275" t="inlineStr">
        <is>
          <t>no aplica</t>
        </is>
      </c>
      <c r="AF275" t="inlineStr">
        <is>
          <t>no aplica</t>
        </is>
      </c>
      <c r="AG275" t="inlineStr">
        <is>
          <t>no aplica</t>
        </is>
      </c>
      <c r="AH275" t="inlineStr">
        <is>
          <t>no aplica</t>
        </is>
      </c>
      <c r="AI275" t="inlineStr">
        <is>
          <t>MODELO de bloques (valor estimado, no ensayo); la litología se asignó al código RT porque el n de bloques y la media/desv. de MR24_UCS coinciden exactamente con la tabla de WSC lámina 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fuente_id</t>
        </is>
      </c>
      <c r="B1" s="1" t="inlineStr">
        <is>
          <t>fuente</t>
        </is>
      </c>
      <c r="C1" s="1" t="inlineStr">
        <is>
          <t>anio</t>
        </is>
      </c>
      <c r="D1" s="1" t="inlineStr">
        <is>
          <t>autor_informe</t>
        </is>
      </c>
      <c r="E1" s="1" t="inlineStr">
        <is>
          <t>laboratorio</t>
        </is>
      </c>
      <c r="F1" s="1" t="inlineStr">
        <is>
          <t>set_id</t>
        </is>
      </c>
      <c r="G1" s="1" t="inlineStr">
        <is>
          <t>litologia_informe</t>
        </is>
      </c>
      <c r="H1" s="1" t="inlineStr">
        <is>
          <t>litologia</t>
        </is>
      </c>
      <c r="I1" s="1" t="inlineStr">
        <is>
          <t>litologia_detalle</t>
        </is>
      </c>
      <c r="J1" s="1" t="inlineStr">
        <is>
          <t>litologia_proporcion</t>
        </is>
      </c>
      <c r="K1" s="1" t="inlineStr">
        <is>
          <t>alteracion</t>
        </is>
      </c>
      <c r="L1" s="1" t="inlineStr">
        <is>
          <t>tipo_material</t>
        </is>
      </c>
      <c r="M1" s="1" t="inlineStr">
        <is>
          <t>clase_desmonte</t>
        </is>
      </c>
      <c r="N1" s="1" t="inlineStr">
        <is>
          <t>zona</t>
        </is>
      </c>
      <c r="O1" s="1" t="inlineStr">
        <is>
          <t>profundidad</t>
        </is>
      </c>
      <c r="P1" s="1" t="inlineStr">
        <is>
          <t>Dmax_mm</t>
        </is>
      </c>
      <c r="Q1" s="1" t="inlineStr">
        <is>
          <t>D10_mm</t>
        </is>
      </c>
      <c r="R1" s="1" t="inlineStr">
        <is>
          <t>D30_mm</t>
        </is>
      </c>
      <c r="S1" s="1" t="inlineStr">
        <is>
          <t>D50_mm</t>
        </is>
      </c>
      <c r="T1" s="1" t="inlineStr">
        <is>
          <t>D60_mm</t>
        </is>
      </c>
      <c r="U1" s="1" t="inlineStr">
        <is>
          <t>Cu</t>
        </is>
      </c>
      <c r="V1" s="1" t="inlineStr">
        <is>
          <t>Cc</t>
        </is>
      </c>
      <c r="W1" s="1" t="inlineStr">
        <is>
          <t>D10_interp_mm</t>
        </is>
      </c>
      <c r="X1" s="1" t="inlineStr">
        <is>
          <t>D30_interp_mm</t>
        </is>
      </c>
      <c r="Y1" s="1" t="inlineStr">
        <is>
          <t>D60_interp_mm</t>
        </is>
      </c>
      <c r="Z1" s="1" t="inlineStr">
        <is>
          <t>Cu_interp</t>
        </is>
      </c>
      <c r="AA1" s="1" t="inlineStr">
        <is>
          <t>Cc_interp</t>
        </is>
      </c>
      <c r="AB1" s="1" t="inlineStr">
        <is>
          <t>bolones_pct</t>
        </is>
      </c>
      <c r="AC1" s="1" t="inlineStr">
        <is>
          <t>grava_pct</t>
        </is>
      </c>
      <c r="AD1" s="1" t="inlineStr">
        <is>
          <t>arena_pct</t>
        </is>
      </c>
      <c r="AE1" s="1" t="inlineStr">
        <is>
          <t>finos_pct</t>
        </is>
      </c>
      <c r="AF1" s="1" t="inlineStr">
        <is>
          <t>granulometria_pct_pasa</t>
        </is>
      </c>
      <c r="AG1" s="1" t="inlineStr">
        <is>
          <t>LL</t>
        </is>
      </c>
      <c r="AH1" s="1" t="inlineStr">
        <is>
          <t>LP</t>
        </is>
      </c>
      <c r="AI1" s="1" t="inlineStr">
        <is>
          <t>IP</t>
        </is>
      </c>
      <c r="AJ1" s="1" t="inlineStr">
        <is>
          <t>SUCS</t>
        </is>
      </c>
      <c r="AK1" s="1" t="inlineStr">
        <is>
          <t>nombre_grupo</t>
        </is>
      </c>
      <c r="AL1" s="1" t="inlineStr">
        <is>
          <t>proctor_metodo</t>
        </is>
      </c>
      <c r="AM1" s="1" t="inlineStr">
        <is>
          <t>gamma_d_max_kNm3</t>
        </is>
      </c>
      <c r="AN1" s="1" t="inlineStr">
        <is>
          <t>rho_d_max_gcm3</t>
        </is>
      </c>
      <c r="AO1" s="1" t="inlineStr">
        <is>
          <t>w_opt_pct</t>
        </is>
      </c>
      <c r="AP1" s="1" t="inlineStr">
        <is>
          <t>gamma_d_max_corr_kNm3</t>
        </is>
      </c>
      <c r="AQ1" s="1" t="inlineStr">
        <is>
          <t>w_opt_corr_pct</t>
        </is>
      </c>
      <c r="AR1" s="1" t="inlineStr">
        <is>
          <t>Gs_bulk_sobretamano</t>
        </is>
      </c>
      <c r="AS1" s="1" t="inlineStr">
        <is>
          <t>w_sobretamano_pct</t>
        </is>
      </c>
      <c r="AT1" s="1" t="inlineStr">
        <is>
          <t>proctor_puntos_rho_gd_w</t>
        </is>
      </c>
      <c r="AU1" s="1" t="inlineStr">
        <is>
          <t>Gs</t>
        </is>
      </c>
      <c r="AV1" s="1" t="inlineStr">
        <is>
          <t>w_natural_pct</t>
        </is>
      </c>
      <c r="AW1" s="1" t="inlineStr">
        <is>
          <t>w_natural_calc_pct</t>
        </is>
      </c>
      <c r="AX1" s="1" t="inlineStr">
        <is>
          <t>TM_visual_CA</t>
        </is>
      </c>
      <c r="AY1" s="1" t="inlineStr">
        <is>
          <t>pagina</t>
        </is>
      </c>
      <c r="AZ1" s="1" t="inlineStr">
        <is>
          <t>verificado_imagen</t>
        </is>
      </c>
      <c r="BA1" s="1" t="inlineStr">
        <is>
          <t>notas</t>
        </is>
      </c>
      <c r="BB1" s="1" t="inlineStr">
        <is>
          <t>Gs_origen</t>
        </is>
      </c>
      <c r="BC1" s="1" t="inlineStr">
        <is>
          <t>Gs_linea_saturacion_calc</t>
        </is>
      </c>
      <c r="BD1" s="1" t="inlineStr">
        <is>
          <t>Gs_minimo_Sr1_Proctor_calc</t>
        </is>
      </c>
      <c r="BE1" s="1" t="inlineStr">
        <is>
          <t>retenido_19mm_pct</t>
        </is>
      </c>
      <c r="BF1" s="1" t="inlineStr">
        <is>
          <t>sobretamano_Pc_calc_pct</t>
        </is>
      </c>
      <c r="BG1" s="1" t="inlineStr">
        <is>
          <t>D10_verificado_mm</t>
        </is>
      </c>
      <c r="BH1" s="1" t="inlineStr">
        <is>
          <t>SUCS_verificacion</t>
        </is>
      </c>
      <c r="BI1" s="1" t="inlineStr">
        <is>
          <t>densidad_bloques_LE2_t_m3</t>
        </is>
      </c>
      <c r="BJ1" s="1" t="inlineStr">
        <is>
          <t>w_natural_condicion</t>
        </is>
      </c>
      <c r="BK1" s="1" t="inlineStr">
        <is>
          <t>notas_verificacion</t>
        </is>
      </c>
    </row>
    <row r="2">
      <c r="A2" t="inlineStr">
        <is>
          <t>A2024</t>
        </is>
      </c>
      <c r="B2" t="inlineStr">
        <is>
          <t>Marmol M-1 al M-13 SUCS.pdf | Marmol M-1 al M-13 Proctor estándar.pdf | Marmol M-1 al M-13 CA.pdf</t>
        </is>
      </c>
      <c r="C2" t="n">
        <v>2024</v>
      </c>
      <c r="D2" t="inlineStr">
        <is>
          <t>Anddes Geolab SAC; solicitud EPE-23.10.141 (informes _SUCS, _PR, _CA)</t>
        </is>
      </c>
      <c r="E2" t="inlineStr">
        <is>
          <t>Anddes Geolab SAC</t>
        </is>
      </c>
      <c r="F2" t="inlineStr">
        <is>
          <t>Ruma 01 (M-1 al M-13)</t>
        </is>
      </c>
      <c r="G2" t="inlineStr">
        <is>
          <t>Marmol</t>
        </is>
      </c>
      <c r="H2" t="inlineStr">
        <is>
          <t>Mármol</t>
        </is>
      </c>
      <c r="I2" t="inlineStr"/>
      <c r="J2" t="inlineStr"/>
      <c r="K2" t="inlineStr"/>
      <c r="L2" t="inlineStr"/>
      <c r="M2" t="inlineStr"/>
      <c r="N2" t="inlineStr">
        <is>
          <t>Patio de servicios / Botadero Este</t>
        </is>
      </c>
      <c r="O2" t="inlineStr">
        <is>
          <t>40,00-90,00 m</t>
        </is>
      </c>
      <c r="P2" t="n">
        <v>75</v>
      </c>
      <c r="Q2" t="n">
        <v>1.54</v>
      </c>
      <c r="R2" t="n">
        <v>2.76</v>
      </c>
      <c r="S2" t="n">
        <v>13.44</v>
      </c>
      <c r="T2" t="n">
        <v>22.04</v>
      </c>
      <c r="U2" t="n">
        <v>14.29</v>
      </c>
      <c r="V2" t="n">
        <v>0.22</v>
      </c>
      <c r="W2" t="n">
        <v>0.075</v>
      </c>
      <c r="X2" t="n">
        <v>2.77</v>
      </c>
      <c r="Y2" t="n">
        <v>22.23</v>
      </c>
      <c r="Z2" t="n">
        <v>296.3</v>
      </c>
      <c r="AA2" t="n">
        <v>4.59</v>
      </c>
      <c r="AB2" t="inlineStr">
        <is>
          <t>--</t>
        </is>
      </c>
      <c r="AC2" t="n">
        <v>65</v>
      </c>
      <c r="AD2" t="n">
        <v>25</v>
      </c>
      <c r="AE2" t="n">
        <v>10</v>
      </c>
      <c r="AF2" t="inlineStr">
        <is>
          <t>75 mm:100; 50 mm:85; 37.5 mm:75; 25 mm:63; 19 mm:56; 9.5 mm:44; 4.75 mm:35; 2.0 mm:27; 0.85 mm:22; 0.425 mm:18; 0.25 mm:15; 0.15 mm:13; 0.106 mm:12; 0.075 mm:10</t>
        </is>
      </c>
      <c r="AG2" t="inlineStr">
        <is>
          <t>NP</t>
        </is>
      </c>
      <c r="AH2" t="inlineStr">
        <is>
          <t>NP</t>
        </is>
      </c>
      <c r="AI2" t="inlineStr">
        <is>
          <t>NP</t>
        </is>
      </c>
      <c r="AJ2" t="inlineStr">
        <is>
          <t>GP-GM</t>
        </is>
      </c>
      <c r="AK2" t="inlineStr">
        <is>
          <t>Poorly graded gravel with silt and sand / Grava pobremente gradada con limo y arena</t>
        </is>
      </c>
      <c r="AL2" t="inlineStr">
        <is>
          <t>ASTM D698-12(2021) (fuera de método)</t>
        </is>
      </c>
      <c r="AM2" t="n">
        <v>23.78</v>
      </c>
      <c r="AN2" t="n">
        <v>2.425</v>
      </c>
      <c r="AO2" t="n">
        <v>6.8</v>
      </c>
      <c r="AP2" t="n">
        <v>25.754</v>
      </c>
      <c r="AQ2" t="n">
        <v>3.9</v>
      </c>
      <c r="AR2" t="n">
        <v>2.94</v>
      </c>
      <c r="AS2" t="n">
        <v>0.1</v>
      </c>
      <c r="AT2" t="inlineStr">
        <is>
          <t>2,4/23,1/3,6; 2,4/23,7/5,8; 2,4/23,7/7,7; 2,4/23,1/9,5</t>
        </is>
      </c>
      <c r="AU2" t="n">
        <v>3.06</v>
      </c>
      <c r="AV2" t="n">
        <v>3</v>
      </c>
      <c r="AW2" t="n">
        <v>2.94</v>
      </c>
      <c r="AX2" t="inlineStr">
        <is>
          <t>3 in</t>
        </is>
      </c>
      <c r="AY2" t="inlineStr">
        <is>
          <t>SUCS p.1 (granulometría), p.2 (límites, SUCS); Proctor p.1; CA p.1</t>
        </is>
      </c>
      <c r="AZ2" t="inlineStr">
        <is>
          <t>sí</t>
        </is>
      </c>
      <c r="BA2" t="inlineStr">
        <is>
          <t>Dmax = 75 mm (3 in, 100 % pasa); tamizado ASTM D6913 método A, muestra disturbada; D50 y columnas *_interp calculados por interpolación log-lineal de la curva (no informados); Gs no medido directamente: es el valor rotulado en la curva de 100 % saturación del Proctor (fracción no indicada); MDS y w óptimo sin corregir son la base de las probetas TX y LSDS (90 % MDS); también se informan valores corregidos por sobretamaño; w natural informado redondeado a entero; w_natural_calc = masa de agua / masa seca de la hoja CA; tipo_material no indicado: muestra de perforación (Perforaciones Geotécnicas e Hidrogeológicas 2023) en Patio de servicios / Botadero Este, 40-90 m; por su origen sería desmonte ya depositado en botadero (probablemente ROM), pero el informe no lo dice; D10 informado (1.54 mm) es incoherente con la curva (10 % pasa 0,075 mm), el D10 real es &lt;= 0,075 mm; Cu y Cc informados son dudosos; Proctor marcado «Fuera de método»</t>
        </is>
      </c>
      <c r="BB2" t="inlineStr">
        <is>
          <t>rótulo «Curva 100% saturación (Gs= x)» del gráfico Proctor; no hay ensayo ASTM D854; fracción &lt; 19 mm</t>
        </is>
      </c>
      <c r="BC2" t="n">
        <v>3.05</v>
      </c>
      <c r="BD2" t="n">
        <v>3.03</v>
      </c>
      <c r="BE2" t="n">
        <v>44</v>
      </c>
      <c r="BF2" t="n">
        <v>43.7</v>
      </c>
      <c r="BG2" t="inlineStr">
        <is>
          <t>0,075 (pasa 10 % por 0,075 mm; interpolación)</t>
        </is>
      </c>
      <c r="BH2" t="inlineStr">
        <is>
          <t>GP-GM verificable: con D10 = 0,075 mm, Cc ≈ 4,6 &gt; 3, así que es GP</t>
        </is>
      </c>
      <c r="BI2" t="inlineStr">
        <is>
          <t>Mármol P50 2,70 (P16-P84 2,69-2,73); Mármol diopsídico P50 2,85</t>
        </is>
      </c>
      <c r="BJ2" t="inlineStr">
        <is>
          <t>humedad de la muestra tal como se recibió (recepción 2023-11-23 o 2024-09-03, ensayo meses después); no es la humedad in situ</t>
        </is>
      </c>
      <c r="BK2" t="inlineStr">
        <is>
          <t>Verificado 2026-10-06 contra la imagen de SUCS p.1-2, Proctor p.1 y CA p.1. D10 = 1,54 mm (M, H, P1) es un valor erróneo del formato (idéntico en tres muestras); los Cu y Cc informados salen de él. «Fuera de método»/«Método C»: el % retenido en 3/4 in es 44 % (ASTM D698 Método C admite hasta 30 %). La corrección por sobretamaño del propio informe implica Pc = 43.7 %, igual al retenido en 3/4 in, de modo que el Proctor se hizo sobre la fracción &lt; 19 mm. La línea de saturación dibujada corresponde a Gs ≈ 3.05 (rótulo 3.06), y el punto Proctor más húmedo exige Gs ≥ 3.03 para que Sr ≤ 1.</t>
        </is>
      </c>
    </row>
    <row r="3">
      <c r="A3" t="inlineStr">
        <is>
          <t>A2024</t>
        </is>
      </c>
      <c r="B3" t="inlineStr">
        <is>
          <t>HORNFELS H-1 al H-12 SUCS.pdf | HORNFELS H-1 al H-12 Proctor estándar.pdf | HORNFELS H-1 al H-12 CA.pdf</t>
        </is>
      </c>
      <c r="C3" t="n">
        <v>2024</v>
      </c>
      <c r="D3" t="inlineStr">
        <is>
          <t>Anddes Geolab SAC; solicitud EPE-23.10.141 (informes _SUCS, _PR, _CA)</t>
        </is>
      </c>
      <c r="E3" t="inlineStr">
        <is>
          <t>Anddes Geolab SAC</t>
        </is>
      </c>
      <c r="F3" t="inlineStr">
        <is>
          <t>Ruma 02 (H-1 al H-12)</t>
        </is>
      </c>
      <c r="G3" t="inlineStr">
        <is>
          <t>HORNFELS</t>
        </is>
      </c>
      <c r="H3" t="inlineStr">
        <is>
          <t>Hornfels</t>
        </is>
      </c>
      <c r="I3" t="inlineStr"/>
      <c r="J3" t="inlineStr"/>
      <c r="K3" t="inlineStr"/>
      <c r="L3" t="inlineStr"/>
      <c r="M3" t="inlineStr"/>
      <c r="N3" t="inlineStr">
        <is>
          <t>Patio de servicios / Botadero Este</t>
        </is>
      </c>
      <c r="O3" t="inlineStr">
        <is>
          <t>40,00-90,00 m</t>
        </is>
      </c>
      <c r="P3" t="n">
        <v>75</v>
      </c>
      <c r="Q3" t="n">
        <v>1.54</v>
      </c>
      <c r="R3" t="n">
        <v>3.55</v>
      </c>
      <c r="S3" t="n">
        <v>12.87</v>
      </c>
      <c r="T3" t="n">
        <v>19.45</v>
      </c>
      <c r="U3" t="n">
        <v>12.61</v>
      </c>
      <c r="V3" t="n">
        <v>0.42</v>
      </c>
      <c r="W3" t="inlineStr"/>
      <c r="X3" t="n">
        <v>3.56</v>
      </c>
      <c r="Y3" t="n">
        <v>19.59</v>
      </c>
      <c r="Z3" t="inlineStr"/>
      <c r="AA3" t="inlineStr"/>
      <c r="AB3" t="inlineStr">
        <is>
          <t>--</t>
        </is>
      </c>
      <c r="AC3" t="n">
        <v>68</v>
      </c>
      <c r="AD3" t="n">
        <v>21</v>
      </c>
      <c r="AE3" t="n">
        <v>11</v>
      </c>
      <c r="AF3" t="inlineStr">
        <is>
          <t>75 mm:100; 50 mm:91; 37.5 mm:83; 25 mm:68; 19 mm:59; 9.5 mm:43; 4.75 mm:32; 2.0 mm:26; 0.85 mm:21; 0.425 mm:18; 0.25 mm:16; 0.15 mm:14; 0.106 mm:13; 0.075 mm:11</t>
        </is>
      </c>
      <c r="AG3" t="inlineStr">
        <is>
          <t>16</t>
        </is>
      </c>
      <c r="AH3" t="inlineStr">
        <is>
          <t>NP</t>
        </is>
      </c>
      <c r="AI3" t="inlineStr">
        <is>
          <t>NP</t>
        </is>
      </c>
      <c r="AJ3" t="inlineStr">
        <is>
          <t>GP-GM</t>
        </is>
      </c>
      <c r="AK3" t="inlineStr">
        <is>
          <t>Poorly graded gravel with silt and sand / Grava pobremente gradada con limo y arena</t>
        </is>
      </c>
      <c r="AL3" t="inlineStr">
        <is>
          <t>ASTM D698-12(2021) (fuera de método)</t>
        </is>
      </c>
      <c r="AM3" t="n">
        <v>22.876</v>
      </c>
      <c r="AN3" t="n">
        <v>2.333</v>
      </c>
      <c r="AO3" t="n">
        <v>7.7</v>
      </c>
      <c r="AP3" t="n">
        <v>24.533</v>
      </c>
      <c r="AQ3" t="n">
        <v>4.7</v>
      </c>
      <c r="AR3" t="n">
        <v>2.8</v>
      </c>
      <c r="AS3" t="n">
        <v>0.3</v>
      </c>
      <c r="AT3" t="inlineStr">
        <is>
          <t>2,2/21,9/4,4; 2,3/22,6/6,1; 2,3/22,9/8,1; 2,2/21,9/10,1</t>
        </is>
      </c>
      <c r="AU3" t="n">
        <v>2.94</v>
      </c>
      <c r="AV3" t="n">
        <v>3</v>
      </c>
      <c r="AW3" t="n">
        <v>3.28</v>
      </c>
      <c r="AX3" t="inlineStr">
        <is>
          <t>3 in</t>
        </is>
      </c>
      <c r="AY3" t="inlineStr">
        <is>
          <t>SUCS p.1 (granulometría), p.2 (límites, SUCS); Proctor p.1; CA p.1</t>
        </is>
      </c>
      <c r="AZ3" t="inlineStr">
        <is>
          <t>sí</t>
        </is>
      </c>
      <c r="BA3" t="inlineStr">
        <is>
          <t>Dmax = 75 mm (3 in, 100 % pasa); tamizado ASTM D6913 método A, muestra disturbada; D50 y columnas *_interp calculados por interpolación log-lineal de la curva (no informados); Gs no medido directamente: es el valor rotulado en la curva de 100 % saturación del Proctor (fracción no indicada); MDS y w óptimo sin corregir son la base de las probetas TX y LSDS (90 % MDS); también se informan valores corregidos por sobretamaño; w natural informado redondeado a entero; w_natural_calc = masa de agua / masa seca de la hoja CA; tipo_material no indicado: muestra de perforación en Patio de servicios / Botadero Este, 40-90 m; probablemente desmonte ROM de botadero, no confirmado por el informe; D10 informado (1.54 mm) es incoherente con la curva (11 % pasa 0,075 mm), el D10 real es &lt;= 0,075 mm; Cu y Cc informados son dudosos; D10_interp, Cu_interp y Cc_interp vacíos: 11 % pasa 0,075 mm, así que D10 &lt; 0,075 mm y queda fuera del rango del tamizado (requiere sedimentación); Proctor marcado «Fuera de método»; w óptimo de esta hoja Proctor (7.7 %) difiere del «óptimo» declarado y usado en el TX (6.0 %); el LSDS usa 7.7 %</t>
        </is>
      </c>
      <c r="BB3" t="inlineStr">
        <is>
          <t>rótulo «Curva 100% saturación (Gs= x)» del gráfico Proctor; no hay ensayo ASTM D854; fracción &lt; 19 mm</t>
        </is>
      </c>
      <c r="BC3" t="n">
        <v>2.93</v>
      </c>
      <c r="BD3" t="n">
        <v>2.88</v>
      </c>
      <c r="BE3" t="n">
        <v>41</v>
      </c>
      <c r="BF3" t="n">
        <v>40.4</v>
      </c>
      <c r="BG3" t="inlineStr">
        <is>
          <t>&lt; 0,075 (pasa 11 % por 0,075 mm; no medible por tamizado)</t>
        </is>
      </c>
      <c r="BH3" t="inlineStr">
        <is>
          <t>GP-GM se mantiene: con D10 &lt; 0,075 mm, Cc &gt; 8, así que es GP</t>
        </is>
      </c>
      <c r="BI3" t="inlineStr">
        <is>
          <t>Horfels P50 2,70 (2,69-2,73); Horfel diopsida P50 2,87</t>
        </is>
      </c>
      <c r="BJ3" t="inlineStr">
        <is>
          <t>humedad de la muestra tal como se recibió (recepción 2023-11-23 o 2024-09-03, ensayo meses después); no es la humedad in situ</t>
        </is>
      </c>
      <c r="BK3" t="inlineStr">
        <is>
          <t>Verificado 2026-10-06 contra la imagen de SUCS p.1-2, Proctor p.1 y CA p.1. D10 = 1,54 mm (M, H, P1) es un valor erróneo del formato (idéntico en tres muestras); los Cu y Cc informados salen de él. «Fuera de método»/«Método C»: el % retenido en 3/4 in es 41 % (ASTM D698 Método C admite hasta 30 %). La corrección por sobretamaño del propio informe implica Pc = 40.4 %, igual al retenido en 3/4 in, de modo que el Proctor se hizo sobre la fracción &lt; 19 mm. La línea de saturación dibujada corresponde a Gs ≈ 2.93 (rótulo 2.94), y el punto Proctor más húmedo exige Gs ≥ 2.88 para que Sr ≤ 1.</t>
        </is>
      </c>
    </row>
    <row r="4">
      <c r="A4" t="inlineStr">
        <is>
          <t>A2024</t>
        </is>
      </c>
      <c r="B4" t="inlineStr">
        <is>
          <t>Intrusivo I-1 al I-12 SUCS.pdf | Intrusivo I-1 al I-12 Proctor estándar.pdf | Intrusivo I-1 al I-12 CA.pdf</t>
        </is>
      </c>
      <c r="C4" t="n">
        <v>2024</v>
      </c>
      <c r="D4" t="inlineStr">
        <is>
          <t>Anddes Geolab SAC; solicitud EPE-23.10.141 (informes _SUCS, _PR, _CA)</t>
        </is>
      </c>
      <c r="E4" t="inlineStr">
        <is>
          <t>Anddes Geolab SAC</t>
        </is>
      </c>
      <c r="F4" t="inlineStr">
        <is>
          <t>Ruma 03 / Fase 10 A (I-1 al I-12)</t>
        </is>
      </c>
      <c r="G4" t="inlineStr">
        <is>
          <t>Intrusivo</t>
        </is>
      </c>
      <c r="H4" t="inlineStr">
        <is>
          <t>Intrusivo</t>
        </is>
      </c>
      <c r="I4" t="inlineStr"/>
      <c r="J4" t="inlineStr"/>
      <c r="K4" t="inlineStr"/>
      <c r="L4" t="inlineStr"/>
      <c r="M4" t="inlineStr"/>
      <c r="N4" t="inlineStr">
        <is>
          <t>Botadero Este</t>
        </is>
      </c>
      <c r="O4" t="inlineStr">
        <is>
          <t>20,00-60,00 m</t>
        </is>
      </c>
      <c r="P4" t="n">
        <v>75</v>
      </c>
      <c r="Q4" t="n">
        <v>0.13</v>
      </c>
      <c r="R4" t="n">
        <v>3.03</v>
      </c>
      <c r="S4" t="n">
        <v>9.92</v>
      </c>
      <c r="T4" t="n">
        <v>15.35</v>
      </c>
      <c r="U4" t="n">
        <v>121.26</v>
      </c>
      <c r="V4" t="n">
        <v>4.74</v>
      </c>
      <c r="W4" t="n">
        <v>0.126</v>
      </c>
      <c r="X4" t="n">
        <v>2.98</v>
      </c>
      <c r="Y4" t="n">
        <v>15.3</v>
      </c>
      <c r="Z4" t="n">
        <v>121.3</v>
      </c>
      <c r="AA4" t="n">
        <v>4.61</v>
      </c>
      <c r="AB4" t="inlineStr">
        <is>
          <t>--</t>
        </is>
      </c>
      <c r="AC4" t="n">
        <v>63</v>
      </c>
      <c r="AD4" t="n">
        <v>29</v>
      </c>
      <c r="AE4" t="n">
        <v>8</v>
      </c>
      <c r="AF4" t="inlineStr">
        <is>
          <t>75 mm:100; 50 mm:90; 37.5 mm:84; 25 mm:73; 19 mm:65; 9.5 mm:49; 4.75 mm:37; 2.0 mm:24; 0.85 mm:18; 0.425 mm:15; 0.25 mm:13; 0.15 mm:11; 0.106 mm:9; 0.075 mm:8</t>
        </is>
      </c>
      <c r="AG4" t="inlineStr">
        <is>
          <t>17</t>
        </is>
      </c>
      <c r="AH4" t="inlineStr">
        <is>
          <t>NP</t>
        </is>
      </c>
      <c r="AI4" t="inlineStr">
        <is>
          <t>NP</t>
        </is>
      </c>
      <c r="AJ4" t="inlineStr">
        <is>
          <t>GP-GM</t>
        </is>
      </c>
      <c r="AK4" t="inlineStr">
        <is>
          <t>Poorly graded gravel with silt and sand / Grava pobremente gradada con limo y arena</t>
        </is>
      </c>
      <c r="AL4" t="inlineStr">
        <is>
          <t>ASTM D698-12(2021) (fuera de método)</t>
        </is>
      </c>
      <c r="AM4" t="n">
        <v>20.93</v>
      </c>
      <c r="AN4" t="n">
        <v>2.134</v>
      </c>
      <c r="AO4" t="n">
        <v>9.800000000000001</v>
      </c>
      <c r="AP4" t="n">
        <v>22.23</v>
      </c>
      <c r="AQ4" t="n">
        <v>6.7</v>
      </c>
      <c r="AR4" t="n">
        <v>2.56</v>
      </c>
      <c r="AS4" t="n">
        <v>1</v>
      </c>
      <c r="AT4" t="inlineStr">
        <is>
          <t>2,0/19,2/5,0; 2,0/19,9/7,3; 2,1/20,8/9,0; 2,1/20,3/11,1</t>
        </is>
      </c>
      <c r="AU4" t="n">
        <v>2.75</v>
      </c>
      <c r="AV4" t="n">
        <v>5</v>
      </c>
      <c r="AW4" t="n">
        <v>5.11</v>
      </c>
      <c r="AX4" t="inlineStr">
        <is>
          <t>3 in</t>
        </is>
      </c>
      <c r="AY4" t="inlineStr">
        <is>
          <t>SUCS p.1 (granulometría), p.2 (límites, SUCS); Proctor p.1; CA p.1</t>
        </is>
      </c>
      <c r="AZ4" t="inlineStr">
        <is>
          <t>sí</t>
        </is>
      </c>
      <c r="BA4" t="inlineStr">
        <is>
          <t>Dmax = 75 mm (3 in, 100 % pasa); tamizado ASTM D6913 método A, muestra disturbada; D50 y columnas *_interp calculados por interpolación log-lineal de la curva (no informados); Gs no medido directamente: es el valor rotulado en la curva de 100 % saturación del Proctor (fracción no indicada); MDS y w óptimo sin corregir son la base de las probetas TX y LSDS (90 % MDS); también se informan valores corregidos por sobretamaño; w natural informado redondeado a entero; w_natural_calc = masa de agua / masa seca de la hoja CA; tipo_material no indicado: muestra de perforación en Botadero Este (Ruma 03 / Fase 10 A), 20-60 m; probablemente desmonte ROM de botadero, no confirmado por el informe; Proctor marcado «Fuera de método»; w óptimo de esta hoja Proctor (9.8 %) difiere del «óptimo» declarado y usado en el TX (8.0 %); el LSDS usa 9.8 %; SUCS, Proctor y CA listan I-1 a I-11 (el TX dice I-1 al I-12)</t>
        </is>
      </c>
      <c r="BB4" t="inlineStr">
        <is>
          <t>rótulo «Curva 100% saturación (Gs= x)» del gráfico Proctor; no hay ensayo ASTM D854; fracción &lt; 19 mm</t>
        </is>
      </c>
      <c r="BC4" t="n">
        <v>2.74</v>
      </c>
      <c r="BD4" t="n">
        <v>2.69</v>
      </c>
      <c r="BE4" t="n">
        <v>35</v>
      </c>
      <c r="BF4" t="n">
        <v>35.1</v>
      </c>
      <c r="BG4" t="inlineStr">
        <is>
          <t>0,126 (coincide con el 0,13 informado)</t>
        </is>
      </c>
      <c r="BH4" t="inlineStr">
        <is>
          <t>GP-GM verificable (Cc 4,6-4,7 &gt; 3)</t>
        </is>
      </c>
      <c r="BI4" t="inlineStr">
        <is>
          <t>Intrusivo P50 2,45 (2,40-2,52)</t>
        </is>
      </c>
      <c r="BJ4" t="inlineStr">
        <is>
          <t>humedad de la muestra tal como se recibió (recepción 2023-11-23 o 2024-09-03, ensayo meses después); no es la humedad in situ</t>
        </is>
      </c>
      <c r="BK4" t="inlineStr">
        <is>
          <t>Verificado 2026-10-06 contra la imagen de SUCS p.1-2, Proctor p.1 y CA p.1. D10 = 1,54 mm (M, H, P1) es un valor erróneo del formato (idéntico en tres muestras); los Cu y Cc informados salen de él. «Fuera de método»/«Método C»: el % retenido en 3/4 in es 35 % (ASTM D698 Método C admite hasta 30 %). La corrección por sobretamaño del propio informe implica Pc = 35.1 %, igual al retenido en 3/4 in, de modo que el Proctor se hizo sobre la fracción &lt; 19 mm. La línea de saturación dibujada corresponde a Gs ≈ 2.74 (rótulo 2.75), y el punto Proctor más húmedo exige Gs ≥ 2.69 para que Sr ≤ 1.</t>
        </is>
      </c>
    </row>
    <row r="5">
      <c r="A5" t="inlineStr">
        <is>
          <t>A2024</t>
        </is>
      </c>
      <c r="B5" t="inlineStr">
        <is>
          <t>Pila 01 Mármol + Hornfels SUCS.pdf | Pila 01 Mármol + Hornfels Proctor estándar.pdf | Pila 01 Mármol + Hornfels CA.pdf</t>
        </is>
      </c>
      <c r="C5" t="n">
        <v>2024</v>
      </c>
      <c r="D5" t="inlineStr">
        <is>
          <t>Anddes Geolab SAC; solicitud EPE-23.10.141 (informes _SUCS, _PR, _CA)</t>
        </is>
      </c>
      <c r="E5" t="inlineStr">
        <is>
          <t>Anddes Geolab SAC</t>
        </is>
      </c>
      <c r="F5" t="inlineStr">
        <is>
          <t>Pila 01 (MP1-B-M-1, MP1-B-M2, MP1-B-M3, MP1-H-Material B)</t>
        </is>
      </c>
      <c r="G5" t="inlineStr">
        <is>
          <t>Mármol + Hornfels</t>
        </is>
      </c>
      <c r="H5" t="inlineStr">
        <is>
          <t>Mezcla</t>
        </is>
      </c>
      <c r="I5" t="inlineStr"/>
      <c r="J5" t="inlineStr">
        <is>
          <t>Mármol + Hornfels, proporción no indicada</t>
        </is>
      </c>
      <c r="K5" t="inlineStr"/>
      <c r="L5" t="inlineStr"/>
      <c r="M5" t="inlineStr">
        <is>
          <t>B (inferido de «Material B» en el N° de muestra)</t>
        </is>
      </c>
      <c r="N5" t="inlineStr">
        <is>
          <t>Pilas Experimentales Medio Ambiente</t>
        </is>
      </c>
      <c r="O5" t="inlineStr">
        <is>
          <t>--</t>
        </is>
      </c>
      <c r="P5" t="n">
        <v>75</v>
      </c>
      <c r="Q5" t="n">
        <v>1.54</v>
      </c>
      <c r="R5" t="n">
        <v>1.47</v>
      </c>
      <c r="S5" t="n">
        <v>7.99</v>
      </c>
      <c r="T5" t="n">
        <v>12.51</v>
      </c>
      <c r="U5" t="n">
        <v>8.109999999999999</v>
      </c>
      <c r="V5" t="n">
        <v>0.11</v>
      </c>
      <c r="W5" t="inlineStr"/>
      <c r="X5" t="n">
        <v>1.5</v>
      </c>
      <c r="Y5" t="n">
        <v>12.64</v>
      </c>
      <c r="Z5" t="inlineStr"/>
      <c r="AA5" t="inlineStr"/>
      <c r="AB5" t="inlineStr">
        <is>
          <t>0</t>
        </is>
      </c>
      <c r="AC5" t="n">
        <v>59</v>
      </c>
      <c r="AD5" t="n">
        <v>30</v>
      </c>
      <c r="AE5" t="n">
        <v>11</v>
      </c>
      <c r="AF5" t="inlineStr">
        <is>
          <t>75 mm:100; 50 mm:93; 37.5 mm:87; 25 mm:78; 19 mm:70; 9.5 mm:53; 4.75 mm:41; 2.0 mm:32; 0.85 mm:26; 0.425 mm:22; 0.25 mm:19; 0.15 mm:16; 0.106 mm:13; 0.075 mm:11</t>
        </is>
      </c>
      <c r="AG5" t="inlineStr">
        <is>
          <t>NP</t>
        </is>
      </c>
      <c r="AH5" t="inlineStr">
        <is>
          <t>NP</t>
        </is>
      </c>
      <c r="AI5" t="inlineStr">
        <is>
          <t>NP</t>
        </is>
      </c>
      <c r="AJ5" t="inlineStr">
        <is>
          <t>GP-GM</t>
        </is>
      </c>
      <c r="AK5" t="inlineStr">
        <is>
          <t>Poorly graded gravel with silt and sand / Grava pobremente gradada con limo y arena</t>
        </is>
      </c>
      <c r="AL5" t="inlineStr">
        <is>
          <t>ASTM D698-12(2021) Método C</t>
        </is>
      </c>
      <c r="AM5" t="n">
        <v>22.819</v>
      </c>
      <c r="AN5" t="n">
        <v>2.327</v>
      </c>
      <c r="AO5" t="n">
        <v>7.4</v>
      </c>
      <c r="AP5" t="n">
        <v>24.012</v>
      </c>
      <c r="AQ5" t="n">
        <v>5.4</v>
      </c>
      <c r="AR5" t="n">
        <v>2.79</v>
      </c>
      <c r="AS5" t="n">
        <v>0.8</v>
      </c>
      <c r="AT5" t="inlineStr">
        <is>
          <t>2,2/21,9/3,4; 2,3/22,3/5,0; 2,3/22,8/7,1; 2,3/22,4/9,0</t>
        </is>
      </c>
      <c r="AU5" t="n">
        <v>2.9</v>
      </c>
      <c r="AV5" t="n">
        <v>3</v>
      </c>
      <c r="AW5" t="n">
        <v>2.81</v>
      </c>
      <c r="AX5" t="inlineStr">
        <is>
          <t>3 in</t>
        </is>
      </c>
      <c r="AY5" t="inlineStr">
        <is>
          <t>SUCS p.1 (granulometría), p.2 (límites, SUCS); Proctor p.1; CA p.1</t>
        </is>
      </c>
      <c r="AZ5" t="inlineStr">
        <is>
          <t>sí</t>
        </is>
      </c>
      <c r="BA5" t="inlineStr">
        <is>
          <t>Dmax = 75 mm (3 in, 100 % pasa); tamizado ASTM D6913 método A, muestra disturbada; D50 y columnas *_interp calculados por interpolación log-lineal de la curva (no informados); Gs no medido directamente: es el valor rotulado en la curva de 100 % saturación del Proctor (fracción no indicada); MDS y w óptimo sin corregir son la base de las probetas TX y LSDS (90 % MDS); también se informan valores corregidos por sobretamaño; w natural informado redondeado a entero; w_natural_calc = masa de agua / masa seca de la hoja CA; tipo_material no indicado: material de «Pilas Experimentales Medio Ambiente»; el informe no dice si es ROM, Chancado o Enrocado; D10 informado (1.54 mm) es incoherente con la curva (11 % pasa 0,075 mm), el D10 real es &lt;= 0,075 mm; Cu y Cc informados son dudosos; D10_interp, Cu_interp y Cc_interp vacíos: 11 % pasa 0,075 mm, así que D10 &lt; 0,075 mm y queda fuera del rango del tamizado (requiere sedimentación); D30 informado (1,47) menor que D10 informado (1,54): error del informe</t>
        </is>
      </c>
      <c r="BB5" t="inlineStr">
        <is>
          <t>rótulo «Curva 100% saturación (Gs= x)» del gráfico Proctor; no hay ensayo ASTM D854; fracción &lt; 19 mm</t>
        </is>
      </c>
      <c r="BC5" t="n">
        <v>2.89</v>
      </c>
      <c r="BD5" t="n">
        <v>2.87</v>
      </c>
      <c r="BE5" t="n">
        <v>30</v>
      </c>
      <c r="BF5" t="n">
        <v>29.9</v>
      </c>
      <c r="BG5" t="inlineStr">
        <is>
          <t>&lt; 0,075 (pasa 11 % por 0,075 mm; no medible por tamizado)</t>
        </is>
      </c>
      <c r="BH5" t="inlineStr">
        <is>
          <t>NO verificable: Cc = 0,11 sale del D10 erróneo; con D10 entre 0,059 y 0,075 mm sería Cc 2,4-3,0 (GW-GM) y con D10 &lt; 0,059 mm sería GP-GM</t>
        </is>
      </c>
      <c r="BI5" t="inlineStr">
        <is>
          <t>Mármol 2,70 / Horfels 2,70 (proporción de la mezcla no indicada)</t>
        </is>
      </c>
      <c r="BJ5" t="inlineStr">
        <is>
          <t>humedad de la muestra tal como se recibió (recepción 2023-11-23 o 2024-09-03, ensayo meses después); no es la humedad in situ</t>
        </is>
      </c>
      <c r="BK5" t="inlineStr">
        <is>
          <t>Verificado 2026-10-06 contra la imagen de SUCS p.1-2, Proctor p.1 y CA p.1. D10 = 1,54 mm (M, H, P1) es un valor erróneo del formato (idéntico en tres muestras); los Cu y Cc informados salen de él. «Fuera de método»/«Método C»: el % retenido en 3/4 in es 30 % (ASTM D698 Método C admite hasta 30 %). La corrección por sobretamaño del propio informe implica Pc = 29.9 %, igual al retenido en 3/4 in, de modo que el Proctor se hizo sobre la fracción &lt; 19 mm. La línea de saturación dibujada corresponde a Gs ≈ 2.89 (rótulo 2.9), y el punto Proctor más húmedo exige Gs ≥ 2.87 para que Sr ≤ 1.</t>
        </is>
      </c>
    </row>
    <row r="6">
      <c r="A6" t="inlineStr">
        <is>
          <t>A2024</t>
        </is>
      </c>
      <c r="B6" t="inlineStr">
        <is>
          <t>Pila 02 Intrusivo SUCS.pdf | Pila 02 Intrusivo Proctor estándar.pdf | Pila 02 Intrusivo CA.pdf</t>
        </is>
      </c>
      <c r="C6" t="n">
        <v>2024</v>
      </c>
      <c r="D6" t="inlineStr">
        <is>
          <t>Anddes Geolab SAC; solicitud EPE-23.10.141 (informes _SUCS, _PR, _CA)</t>
        </is>
      </c>
      <c r="E6" t="inlineStr">
        <is>
          <t>Anddes Geolab SAC</t>
        </is>
      </c>
      <c r="F6" t="inlineStr">
        <is>
          <t>Pila 02 (MP2-A-M-1 a MP2-A-M-5, MP2-H-Material A)</t>
        </is>
      </c>
      <c r="G6" t="inlineStr">
        <is>
          <t>Intrusivo</t>
        </is>
      </c>
      <c r="H6" t="inlineStr">
        <is>
          <t>Intrusivo</t>
        </is>
      </c>
      <c r="I6" t="inlineStr"/>
      <c r="J6" t="inlineStr"/>
      <c r="K6" t="inlineStr"/>
      <c r="L6" t="inlineStr"/>
      <c r="M6" t="inlineStr">
        <is>
          <t>A (inferido de «Material A» en el N° de muestra)</t>
        </is>
      </c>
      <c r="N6" t="inlineStr">
        <is>
          <t>Pilas Experimentales Medio Ambiente</t>
        </is>
      </c>
      <c r="O6" t="inlineStr">
        <is>
          <t>--</t>
        </is>
      </c>
      <c r="P6" t="n">
        <v>75</v>
      </c>
      <c r="Q6" t="n">
        <v>0.08</v>
      </c>
      <c r="R6" t="n">
        <v>1.45</v>
      </c>
      <c r="S6" t="n">
        <v>7.12</v>
      </c>
      <c r="T6" t="n">
        <v>11.49</v>
      </c>
      <c r="U6" t="n">
        <v>138.86</v>
      </c>
      <c r="V6" t="n">
        <v>2.21</v>
      </c>
      <c r="W6" t="n">
        <v>0.08400000000000001</v>
      </c>
      <c r="X6" t="n">
        <v>1.5</v>
      </c>
      <c r="Y6" t="n">
        <v>11.52</v>
      </c>
      <c r="Z6" t="n">
        <v>136.8</v>
      </c>
      <c r="AA6" t="n">
        <v>2.33</v>
      </c>
      <c r="AB6" t="inlineStr">
        <is>
          <t>1</t>
        </is>
      </c>
      <c r="AC6" t="n">
        <v>57</v>
      </c>
      <c r="AD6" t="n">
        <v>34</v>
      </c>
      <c r="AE6" t="n">
        <v>9</v>
      </c>
      <c r="AF6" t="inlineStr">
        <is>
          <t>75 mm:100; 50 mm:93; 37.5 mm:89; 25 mm:81; 19 mm:73; 9.5 mm:55; 4.75 mm:43; 2.0 mm:32; 0.85 mm:26; 0.425 mm:22; 0.25 mm:18; 0.15 mm:15; 0.106 mm:12; 0.075 mm:9</t>
        </is>
      </c>
      <c r="AG6" t="inlineStr">
        <is>
          <t>NP</t>
        </is>
      </c>
      <c r="AH6" t="inlineStr">
        <is>
          <t>NP</t>
        </is>
      </c>
      <c r="AI6" t="inlineStr">
        <is>
          <t>NP</t>
        </is>
      </c>
      <c r="AJ6" t="inlineStr">
        <is>
          <t>GW-GM</t>
        </is>
      </c>
      <c r="AK6" t="inlineStr">
        <is>
          <t>Well-graded gravel with silt and sand / Grava bien gradada con limo y arena</t>
        </is>
      </c>
      <c r="AL6" t="inlineStr">
        <is>
          <t>ASTM D698-12(2021) Método C</t>
        </is>
      </c>
      <c r="AM6" t="n">
        <v>19.951</v>
      </c>
      <c r="AN6" t="n">
        <v>2.034</v>
      </c>
      <c r="AO6" t="n">
        <v>11.1</v>
      </c>
      <c r="AP6" t="n">
        <v>20.797</v>
      </c>
      <c r="AQ6" t="n">
        <v>8.6</v>
      </c>
      <c r="AR6" t="n">
        <v>2.39</v>
      </c>
      <c r="AS6" t="n">
        <v>2</v>
      </c>
      <c r="AT6" t="inlineStr">
        <is>
          <t>2,0/19,4/7,1; 2,0/19,7/9,3; 2,0/20,0/11,0; 2,0/19,5/13,0</t>
        </is>
      </c>
      <c r="AU6" t="n">
        <v>2.74</v>
      </c>
      <c r="AV6" t="n">
        <v>6</v>
      </c>
      <c r="AW6" t="n">
        <v>5.52</v>
      </c>
      <c r="AX6" t="inlineStr">
        <is>
          <t>3 in</t>
        </is>
      </c>
      <c r="AY6" t="inlineStr">
        <is>
          <t>SUCS p.1 (granulometría), p.2 (límites, SUCS); Proctor p.1; CA p.1</t>
        </is>
      </c>
      <c r="AZ6" t="inlineStr">
        <is>
          <t>sí</t>
        </is>
      </c>
      <c r="BA6" t="inlineStr">
        <is>
          <t>Dmax = 75 mm (3 in, 100 % pasa); tamizado ASTM D6913 método A, muestra disturbada; D50 y columnas *_interp calculados por interpolación log-lineal de la curva (no informados); Gs no medido directamente: es el valor rotulado en la curva de 100 % saturación del Proctor (fracción no indicada); MDS y w óptimo sin corregir son la base de las probetas TX y LSDS (90 % MDS); también se informan valores corregidos por sobretamaño; w natural informado redondeado a entero; w_natural_calc = masa de agua / masa seca de la hoja CA; tipo_material no indicado: material de «Pilas Experimentales Medio Ambiente»; el informe no dice si es ROM, Chancado o Enrocado; bolonería 1 % pero pasa 100 % por 3 in; grava+arena+finos = 100</t>
        </is>
      </c>
      <c r="BB6" t="inlineStr">
        <is>
          <t>rótulo «Curva 100% saturación (Gs= x)» del gráfico Proctor; no hay ensayo ASTM D854; fracción &lt; 19 mm</t>
        </is>
      </c>
      <c r="BC6" t="n">
        <v>2.73</v>
      </c>
      <c r="BD6" t="n">
        <v>2.68</v>
      </c>
      <c r="BE6" t="n">
        <v>27</v>
      </c>
      <c r="BF6" t="n">
        <v>27.3</v>
      </c>
      <c r="BG6" t="inlineStr">
        <is>
          <t>0,084 (coincide con el 0,08 informado)</t>
        </is>
      </c>
      <c r="BH6" t="inlineStr">
        <is>
          <t>GW-GM verificable (Cu 137, Cc 2,3)</t>
        </is>
      </c>
      <c r="BI6" t="inlineStr">
        <is>
          <t>Intrusivo P50 2,45 (2,40-2,52)</t>
        </is>
      </c>
      <c r="BJ6" t="inlineStr">
        <is>
          <t>humedad de la muestra tal como se recibió (recepción 2023-11-23 o 2024-09-03, ensayo meses después); no es la humedad in situ</t>
        </is>
      </c>
      <c r="BK6" t="inlineStr">
        <is>
          <t>Verificado 2026-10-06 contra la imagen de SUCS p.1-2, Proctor p.1 y CA p.1. D10 = 1,54 mm (M, H, P1) es un valor erróneo del formato (idéntico en tres muestras); los Cu y Cc informados salen de él. «Fuera de método»/«Método C»: el % retenido en 3/4 in es 27 % (ASTM D698 Método C admite hasta 30 %). La corrección por sobretamaño del propio informe implica Pc = 27.3 %, igual al retenido en 3/4 in, de modo que el Proctor se hizo sobre la fracción &lt; 19 mm. La línea de saturación dibujada corresponde a Gs ≈ 2.73 (rótulo 2.74), y el punto Proctor más húmedo exige Gs ≥ 2.68 para que Sr ≤ 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fuente_id</t>
        </is>
      </c>
      <c r="B1" s="1" t="inlineStr">
        <is>
          <t>fuente</t>
        </is>
      </c>
      <c r="C1" s="1" t="inlineStr">
        <is>
          <t>hoja</t>
        </is>
      </c>
      <c r="D1" s="1" t="inlineStr">
        <is>
          <t>fila_excel</t>
        </is>
      </c>
      <c r="E1" s="1" t="inlineStr">
        <is>
          <t>clase_desmonte</t>
        </is>
      </c>
      <c r="F1" s="1" t="inlineStr">
        <is>
          <t>litologia</t>
        </is>
      </c>
      <c r="G1" s="1" t="inlineStr">
        <is>
          <t>litologia_detalle</t>
        </is>
      </c>
      <c r="H1" s="1" t="inlineStr">
        <is>
          <t>fecha_voladura</t>
        </is>
      </c>
      <c r="I1" s="1" t="inlineStr">
        <is>
          <t>fecha_analisis</t>
        </is>
      </c>
      <c r="J1" s="1" t="inlineStr">
        <is>
          <t>equipo</t>
        </is>
      </c>
      <c r="K1" s="1" t="inlineStr">
        <is>
          <t>fase</t>
        </is>
      </c>
      <c r="L1" s="1" t="inlineStr">
        <is>
          <t>proyecto_voladura</t>
        </is>
      </c>
      <c r="M1" s="1" t="inlineStr">
        <is>
          <t>poligono</t>
        </is>
      </c>
      <c r="N1" s="1" t="inlineStr">
        <is>
          <t>cota_banco_m</t>
        </is>
      </c>
      <c r="O1" s="1" t="inlineStr">
        <is>
          <t>clase_material_informe</t>
        </is>
      </c>
      <c r="P1" s="1" t="inlineStr">
        <is>
          <t>target_cm</t>
        </is>
      </c>
      <c r="Q1" s="1" t="inlineStr">
        <is>
          <t>clasificacion</t>
        </is>
      </c>
      <c r="R1" s="1" t="inlineStr">
        <is>
          <t>zona</t>
        </is>
      </c>
      <c r="S1" s="1" t="inlineStr">
        <is>
          <t>n_fotos</t>
        </is>
      </c>
      <c r="T1" s="1" t="inlineStr">
        <is>
          <t>Xc_cm</t>
        </is>
      </c>
      <c r="U1" s="1" t="inlineStr">
        <is>
          <t>b</t>
        </is>
      </c>
      <c r="V1" s="1" t="inlineStr">
        <is>
          <t>n_RR</t>
        </is>
      </c>
      <c r="W1" s="1" t="inlineStr">
        <is>
          <t>pasa_1cm_frac</t>
        </is>
      </c>
      <c r="X1" s="1" t="inlineStr">
        <is>
          <t>pasa_2cm_frac</t>
        </is>
      </c>
      <c r="Y1" s="1" t="inlineStr">
        <is>
          <t>P10_cm</t>
        </is>
      </c>
      <c r="Z1" s="1" t="inlineStr">
        <is>
          <t>P20_cm</t>
        </is>
      </c>
      <c r="AA1" s="1" t="inlineStr">
        <is>
          <t>P30_cm</t>
        </is>
      </c>
      <c r="AB1" s="1" t="inlineStr">
        <is>
          <t>P40_cm</t>
        </is>
      </c>
      <c r="AC1" s="1" t="inlineStr">
        <is>
          <t>P50_cm</t>
        </is>
      </c>
      <c r="AD1" s="1" t="inlineStr">
        <is>
          <t>P60_cm</t>
        </is>
      </c>
      <c r="AE1" s="1" t="inlineStr">
        <is>
          <t>P70_cm</t>
        </is>
      </c>
      <c r="AF1" s="1" t="inlineStr">
        <is>
          <t>P80_cm</t>
        </is>
      </c>
      <c r="AG1" s="1" t="inlineStr">
        <is>
          <t>P90_cm</t>
        </is>
      </c>
      <c r="AH1" s="1" t="inlineStr">
        <is>
          <t>Xmax_cm</t>
        </is>
      </c>
      <c r="AI1" s="1" t="inlineStr">
        <is>
          <t>dig_rate_t_h</t>
        </is>
      </c>
      <c r="AJ1" s="1" t="inlineStr">
        <is>
          <t>toneladas</t>
        </is>
      </c>
      <c r="AK1" s="1" t="inlineStr">
        <is>
          <t>kg_explosivo</t>
        </is>
      </c>
      <c r="AL1" s="1" t="inlineStr">
        <is>
          <t>factor_potencia_kg_t</t>
        </is>
      </c>
      <c r="AM1" s="1" t="inlineStr">
        <is>
          <t>factor_energia_MJ_t</t>
        </is>
      </c>
      <c r="AN1" s="1" t="inlineStr">
        <is>
          <t>altura_taladro_m</t>
        </is>
      </c>
      <c r="AO1" s="1" t="inlineStr">
        <is>
          <t>taco_m</t>
        </is>
      </c>
      <c r="AP1" s="1" t="inlineStr">
        <is>
          <t>diametro_taladro_in</t>
        </is>
      </c>
      <c r="AQ1" s="1" t="inlineStr">
        <is>
          <t>burden_m</t>
        </is>
      </c>
      <c r="AR1" s="1" t="inlineStr">
        <is>
          <t>espaciamiento_m</t>
        </is>
      </c>
      <c r="AS1" s="1" t="inlineStr">
        <is>
          <t>sobreperforacion_m</t>
        </is>
      </c>
      <c r="AT1" s="1" t="inlineStr">
        <is>
          <t>n_taladros</t>
        </is>
      </c>
      <c r="AU1" s="1" t="inlineStr">
        <is>
          <t>explosivo</t>
        </is>
      </c>
      <c r="AV1" s="1" t="inlineStr">
        <is>
          <t>combustible</t>
        </is>
      </c>
      <c r="AW1" s="1" t="inlineStr">
        <is>
          <t>modeloRR_pasa_0.5in</t>
        </is>
      </c>
      <c r="AX1" s="1" t="inlineStr">
        <is>
          <t>modeloRR_pasa_1in</t>
        </is>
      </c>
      <c r="AY1" s="1" t="inlineStr">
        <is>
          <t>modeloRR_pasa_2in</t>
        </is>
      </c>
      <c r="AZ1" s="1" t="inlineStr">
        <is>
          <t>modeloRR_pasa_4in</t>
        </is>
      </c>
      <c r="BA1" s="1" t="inlineStr">
        <is>
          <t>modeloRR_pasa_6in</t>
        </is>
      </c>
      <c r="BB1" s="1" t="inlineStr">
        <is>
          <t>Xc_in</t>
        </is>
      </c>
      <c r="BC1" s="1" t="inlineStr">
        <is>
          <t>modeloRR_P10_cm</t>
        </is>
      </c>
      <c r="BD1" s="1" t="inlineStr">
        <is>
          <t>modeloRR_P20_cm</t>
        </is>
      </c>
      <c r="BE1" s="1" t="inlineStr">
        <is>
          <t>modeloRR_P30_cm</t>
        </is>
      </c>
      <c r="BF1" s="1" t="inlineStr">
        <is>
          <t>modeloRR_P40_cm</t>
        </is>
      </c>
      <c r="BG1" s="1" t="inlineStr">
        <is>
          <t>modeloRR_P50_cm</t>
        </is>
      </c>
      <c r="BH1" s="1" t="inlineStr">
        <is>
          <t>modeloRR_P60_cm</t>
        </is>
      </c>
      <c r="BI1" s="1" t="inlineStr">
        <is>
          <t>modeloRR_P70_cm</t>
        </is>
      </c>
      <c r="BJ1" s="1" t="inlineStr">
        <is>
          <t>modeloRR_P80_cm</t>
        </is>
      </c>
      <c r="BK1" s="1" t="inlineStr">
        <is>
          <t>modeloRR_P90_cm</t>
        </is>
      </c>
      <c r="BL1" s="1" t="inlineStr">
        <is>
          <t>modeloRR_Xmax_cm</t>
        </is>
      </c>
      <c r="BM1" s="1" t="inlineStr">
        <is>
          <t>observacion</t>
        </is>
      </c>
      <c r="BN1" s="1" t="inlineStr">
        <is>
          <t>D10_mm</t>
        </is>
      </c>
      <c r="BO1" s="1" t="inlineStr">
        <is>
          <t>D50_mm</t>
        </is>
      </c>
      <c r="BP1" s="1" t="inlineStr">
        <is>
          <t>D80_mm</t>
        </is>
      </c>
      <c r="BQ1" s="1" t="inlineStr">
        <is>
          <t>D90_mm</t>
        </is>
      </c>
      <c r="BR1" s="1" t="inlineStr">
        <is>
          <t>Dmax_mm</t>
        </is>
      </c>
      <c r="BS1" s="1" t="inlineStr">
        <is>
          <t>notas</t>
        </is>
      </c>
    </row>
    <row r="2">
      <c r="A2" t="inlineStr">
        <is>
          <t>FRAG</t>
        </is>
      </c>
      <c r="B2" t="inlineStr">
        <is>
          <t>Fragmentación Desmonte 2025.xlsx</t>
        </is>
      </c>
      <c r="C2" t="inlineStr">
        <is>
          <t>ANÁLISIS DE FRAGMENTACIÓN</t>
        </is>
      </c>
      <c r="D2" t="n">
        <v>6</v>
      </c>
      <c r="E2" t="inlineStr">
        <is>
          <t>ROM (fragmentación post-voladura en el frente de carguío, por análisis de fotos)</t>
        </is>
      </c>
      <c r="F2" t="inlineStr"/>
      <c r="G2" t="inlineStr">
        <is>
          <t>no indicada en el archivo</t>
        </is>
      </c>
      <c r="H2" t="inlineStr">
        <is>
          <t>2024-12-31</t>
        </is>
      </c>
      <c r="I2" t="inlineStr">
        <is>
          <t>2025-01-03</t>
        </is>
      </c>
      <c r="J2" t="inlineStr">
        <is>
          <t>PALA 05</t>
        </is>
      </c>
      <c r="K2" t="n">
        <v>9</v>
      </c>
      <c r="L2" t="inlineStr">
        <is>
          <t>9-NP-3983-36</t>
        </is>
      </c>
      <c r="M2" t="n">
        <v>2</v>
      </c>
      <c r="N2" t="n">
        <v>3983</v>
      </c>
      <c r="O2" t="inlineStr">
        <is>
          <t>B</t>
        </is>
      </c>
      <c r="P2" t="n">
        <v>30</v>
      </c>
      <c r="Q2" t="inlineStr">
        <is>
          <t>Desmonte</t>
        </is>
      </c>
      <c r="R2" t="inlineStr">
        <is>
          <t>Producción</t>
        </is>
      </c>
      <c r="S2" t="n">
        <v>4</v>
      </c>
      <c r="T2" t="n">
        <v>8.699999999999999</v>
      </c>
      <c r="U2" t="n">
        <v>3</v>
      </c>
      <c r="V2" t="n">
        <v>0.8687319416526152</v>
      </c>
      <c r="W2" t="n">
        <v>0.136</v>
      </c>
      <c r="X2" t="n">
        <v>0.206</v>
      </c>
      <c r="Y2" t="n">
        <v>0.5</v>
      </c>
      <c r="Z2" t="n">
        <v>1.8</v>
      </c>
      <c r="AA2" t="n">
        <v>3.7</v>
      </c>
      <c r="AB2" t="n">
        <v>5.9</v>
      </c>
      <c r="AC2" t="n">
        <v>8.800000000000001</v>
      </c>
      <c r="AD2" t="n">
        <v>12.4</v>
      </c>
      <c r="AE2" t="n">
        <v>17.1</v>
      </c>
      <c r="AF2" t="n">
        <v>24.1</v>
      </c>
      <c r="AG2" t="n">
        <v>36.4</v>
      </c>
      <c r="AH2" t="n">
        <v>146.3</v>
      </c>
      <c r="AI2" t="inlineStr"/>
      <c r="AJ2" t="n">
        <v>200227.5</v>
      </c>
      <c r="AK2" t="n">
        <v>69996.749</v>
      </c>
      <c r="AL2" t="n">
        <v>0.3495860908216903</v>
      </c>
      <c r="AM2" t="inlineStr">
        <is>
          <t>1.080221020639023</t>
        </is>
      </c>
      <c r="AN2" t="inlineStr">
        <is>
          <t>17</t>
        </is>
      </c>
      <c r="AO2" t="inlineStr">
        <is>
          <t>7</t>
        </is>
      </c>
      <c r="AP2" t="inlineStr">
        <is>
          <t>12 1/4</t>
        </is>
      </c>
      <c r="AQ2" t="inlineStr">
        <is>
          <t>9</t>
        </is>
      </c>
      <c r="AR2" t="inlineStr">
        <is>
          <t>10.35</t>
        </is>
      </c>
      <c r="AS2" t="inlineStr">
        <is>
          <t>2</t>
        </is>
      </c>
      <c r="AT2" t="n">
        <v>85</v>
      </c>
      <c r="AU2" t="inlineStr">
        <is>
          <t>Vertex 70</t>
        </is>
      </c>
      <c r="AV2" t="inlineStr">
        <is>
          <t>50/50AR</t>
        </is>
      </c>
      <c r="AW2" t="n">
        <v>0.6608683688041577</v>
      </c>
      <c r="AX2" t="n">
        <v>0.7127324350970873</v>
      </c>
      <c r="AY2" t="n">
        <v>0.762785417675914</v>
      </c>
      <c r="AZ2" t="n">
        <v>0.8097894593316399</v>
      </c>
      <c r="BA2" t="n">
        <v>0.8353937416073148</v>
      </c>
      <c r="BB2" t="n">
        <v>3.4251968503937</v>
      </c>
      <c r="BC2" t="n">
        <v>0.6524102478904232</v>
      </c>
      <c r="BD2" t="n">
        <v>1.547649782371742</v>
      </c>
      <c r="BE2" t="n">
        <v>2.655454549381553</v>
      </c>
      <c r="BF2" t="n">
        <v>4.015235604552483</v>
      </c>
      <c r="BG2" t="n">
        <v>5.705490059997791</v>
      </c>
      <c r="BH2" t="n">
        <v>7.867117936248391</v>
      </c>
      <c r="BI2" t="n">
        <v>10.77252117957079</v>
      </c>
      <c r="BJ2" t="n">
        <v>15.04605306504483</v>
      </c>
      <c r="BK2" t="n">
        <v>22.72306138930018</v>
      </c>
      <c r="BL2" t="n">
        <v>80.47900161310905</v>
      </c>
      <c r="BM2" t="inlineStr"/>
      <c r="BN2" t="n">
        <v>5</v>
      </c>
      <c r="BO2" t="n">
        <v>88</v>
      </c>
      <c r="BP2" t="n">
        <v>241</v>
      </c>
      <c r="BQ2" t="n">
        <v>364</v>
      </c>
      <c r="BR2" t="n">
        <v>1463</v>
      </c>
      <c r="BS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">
      <c r="A3" t="inlineStr">
        <is>
          <t>FRAG</t>
        </is>
      </c>
      <c r="B3" t="inlineStr">
        <is>
          <t>Fragmentación Desmonte 2025.xlsx</t>
        </is>
      </c>
      <c r="C3" t="inlineStr">
        <is>
          <t>ANÁLISIS DE FRAGMENTACIÓN</t>
        </is>
      </c>
      <c r="D3" t="n">
        <v>7</v>
      </c>
      <c r="E3" t="inlineStr">
        <is>
          <t>ROM (fragmentación post-voladura en el frente de carguío, por análisis de fotos)</t>
        </is>
      </c>
      <c r="F3" t="inlineStr"/>
      <c r="G3" t="inlineStr">
        <is>
          <t>no indicada en el archivo</t>
        </is>
      </c>
      <c r="H3" t="inlineStr">
        <is>
          <t>2024-12-31</t>
        </is>
      </c>
      <c r="I3" t="inlineStr">
        <is>
          <t>2025-01-03</t>
        </is>
      </c>
      <c r="J3" t="inlineStr">
        <is>
          <t>PALA 05</t>
        </is>
      </c>
      <c r="K3" t="n">
        <v>9</v>
      </c>
      <c r="L3" t="inlineStr">
        <is>
          <t>9-NP-3983-36</t>
        </is>
      </c>
      <c r="M3" t="n">
        <v>3</v>
      </c>
      <c r="N3" t="n">
        <v>3983</v>
      </c>
      <c r="O3" t="inlineStr">
        <is>
          <t>C</t>
        </is>
      </c>
      <c r="P3" t="n">
        <v>30</v>
      </c>
      <c r="Q3" t="inlineStr">
        <is>
          <t>Desmonte</t>
        </is>
      </c>
      <c r="R3" t="inlineStr">
        <is>
          <t>Producción</t>
        </is>
      </c>
      <c r="S3" t="n">
        <v>5</v>
      </c>
      <c r="T3" t="n">
        <v>9.699999999999999</v>
      </c>
      <c r="U3" t="n">
        <v>3</v>
      </c>
      <c r="V3" t="n">
        <v>0.9467006111387248</v>
      </c>
      <c r="W3" t="n">
        <v>0.152</v>
      </c>
      <c r="X3" t="n">
        <v>0.215</v>
      </c>
      <c r="Y3" t="n">
        <v>0.4</v>
      </c>
      <c r="Z3" t="n">
        <v>1.7</v>
      </c>
      <c r="AA3" t="n">
        <v>3.7</v>
      </c>
      <c r="AB3" t="n">
        <v>6.4</v>
      </c>
      <c r="AC3" t="n">
        <v>9.699999999999999</v>
      </c>
      <c r="AD3" t="n">
        <v>13.9</v>
      </c>
      <c r="AE3" t="n">
        <v>19.4</v>
      </c>
      <c r="AF3" t="n">
        <v>27.1</v>
      </c>
      <c r="AG3" t="n">
        <v>39.9</v>
      </c>
      <c r="AH3" t="n">
        <v>111.1</v>
      </c>
      <c r="AI3" t="inlineStr"/>
      <c r="AJ3" t="n">
        <v>200227.5</v>
      </c>
      <c r="AK3" t="n">
        <v>69996.749</v>
      </c>
      <c r="AL3" t="n">
        <v>0.3495860908216903</v>
      </c>
      <c r="AM3" t="inlineStr">
        <is>
          <t>1.080221020639023</t>
        </is>
      </c>
      <c r="AN3" t="inlineStr">
        <is>
          <t>17</t>
        </is>
      </c>
      <c r="AO3" t="inlineStr">
        <is>
          <t>7</t>
        </is>
      </c>
      <c r="AP3" t="inlineStr">
        <is>
          <t>12 1/4</t>
        </is>
      </c>
      <c r="AQ3" t="inlineStr">
        <is>
          <t>9</t>
        </is>
      </c>
      <c r="AR3" t="inlineStr">
        <is>
          <t>10.35</t>
        </is>
      </c>
      <c r="AS3" t="inlineStr">
        <is>
          <t>2</t>
        </is>
      </c>
      <c r="AT3" t="n">
        <v>85</v>
      </c>
      <c r="AU3" t="inlineStr">
        <is>
          <t>Vertex 70</t>
        </is>
      </c>
      <c r="AV3" t="inlineStr">
        <is>
          <t>50/50AR</t>
        </is>
      </c>
      <c r="AW3" t="n">
        <v>0.655341862376505</v>
      </c>
      <c r="AX3" t="n">
        <v>0.7095675997767932</v>
      </c>
      <c r="AY3" t="n">
        <v>0.7619027913566848</v>
      </c>
      <c r="AZ3" t="n">
        <v>0.8109414681763376</v>
      </c>
      <c r="BA3" t="n">
        <v>0.8375561883785337</v>
      </c>
      <c r="BB3" t="n">
        <v>3.818897637795276</v>
      </c>
      <c r="BC3" t="n">
        <v>0.9003808255037187</v>
      </c>
      <c r="BD3" t="n">
        <v>1.989212931364837</v>
      </c>
      <c r="BE3" t="n">
        <v>3.264654414543301</v>
      </c>
      <c r="BF3" t="n">
        <v>4.771117533752551</v>
      </c>
      <c r="BG3" t="n">
        <v>6.586211069005202</v>
      </c>
      <c r="BH3" t="n">
        <v>8.844382094632099</v>
      </c>
      <c r="BI3" t="n">
        <v>11.8012264111574</v>
      </c>
      <c r="BJ3" t="n">
        <v>16.03547216621896</v>
      </c>
      <c r="BK3" t="n">
        <v>23.40885769441761</v>
      </c>
      <c r="BL3" t="n">
        <v>74.70737480049226</v>
      </c>
      <c r="BM3" t="inlineStr"/>
      <c r="BN3" t="n">
        <v>4</v>
      </c>
      <c r="BO3" t="n">
        <v>97</v>
      </c>
      <c r="BP3" t="n">
        <v>271</v>
      </c>
      <c r="BQ3" t="n">
        <v>399</v>
      </c>
      <c r="BR3" t="n">
        <v>1111</v>
      </c>
      <c r="BS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">
      <c r="A4" t="inlineStr">
        <is>
          <t>FRAG</t>
        </is>
      </c>
      <c r="B4" t="inlineStr">
        <is>
          <t>Fragmentación Desmonte 2025.xlsx</t>
        </is>
      </c>
      <c r="C4" t="inlineStr">
        <is>
          <t>ANÁLISIS DE FRAGMENTACIÓN</t>
        </is>
      </c>
      <c r="D4" t="n">
        <v>8</v>
      </c>
      <c r="E4" t="inlineStr">
        <is>
          <t>ROM (fragmentación post-voladura en el frente de carguío, por análisis de fotos)</t>
        </is>
      </c>
      <c r="F4" t="inlineStr"/>
      <c r="G4" t="inlineStr">
        <is>
          <t>no indicada en el archivo</t>
        </is>
      </c>
      <c r="H4" t="inlineStr">
        <is>
          <t>2025-01-02</t>
        </is>
      </c>
      <c r="I4" t="inlineStr">
        <is>
          <t>2025-01-04</t>
        </is>
      </c>
      <c r="J4" t="inlineStr">
        <is>
          <t>PALA 09</t>
        </is>
      </c>
      <c r="K4" t="n">
        <v>9</v>
      </c>
      <c r="L4" t="inlineStr">
        <is>
          <t>9-NP-3968-17</t>
        </is>
      </c>
      <c r="M4" t="n">
        <v>5</v>
      </c>
      <c r="N4" t="n">
        <v>3968</v>
      </c>
      <c r="O4" t="inlineStr">
        <is>
          <t>A</t>
        </is>
      </c>
      <c r="P4" t="n">
        <v>30</v>
      </c>
      <c r="Q4" t="inlineStr">
        <is>
          <t>Desmonte</t>
        </is>
      </c>
      <c r="R4" t="inlineStr">
        <is>
          <t>Producción</t>
        </is>
      </c>
      <c r="S4" t="n">
        <v>5</v>
      </c>
      <c r="T4" t="n">
        <v>7.8</v>
      </c>
      <c r="U4" t="n">
        <v>3</v>
      </c>
      <c r="V4" t="n">
        <v>1.022305765721282</v>
      </c>
      <c r="W4" t="n">
        <v>0.118</v>
      </c>
      <c r="X4" t="n">
        <v>0.189</v>
      </c>
      <c r="Y4" t="n">
        <v>0.7</v>
      </c>
      <c r="Z4" t="n">
        <v>2.1</v>
      </c>
      <c r="AA4" t="n">
        <v>3.8</v>
      </c>
      <c r="AB4" t="n">
        <v>5.7</v>
      </c>
      <c r="AC4" t="n">
        <v>7.9</v>
      </c>
      <c r="AD4" t="n">
        <v>10.4</v>
      </c>
      <c r="AE4" t="n">
        <v>13.6</v>
      </c>
      <c r="AF4" t="n">
        <v>17.9</v>
      </c>
      <c r="AG4" t="n">
        <v>24.8</v>
      </c>
      <c r="AH4" t="n">
        <v>69.09999999999999</v>
      </c>
      <c r="AI4" t="n">
        <v>13854.71115537848</v>
      </c>
      <c r="AJ4" t="n">
        <v>223987.5</v>
      </c>
      <c r="AK4" t="n">
        <v>137474</v>
      </c>
      <c r="AL4" t="n">
        <v>0.6137574641442045</v>
      </c>
      <c r="AM4" t="inlineStr">
        <is>
          <t>1.8965105642055917</t>
        </is>
      </c>
      <c r="AN4" t="inlineStr">
        <is>
          <t>16.5</t>
        </is>
      </c>
      <c r="AO4" t="inlineStr">
        <is>
          <t>5.5</t>
        </is>
      </c>
      <c r="AP4" t="inlineStr">
        <is>
          <t>12 1/4</t>
        </is>
      </c>
      <c r="AQ4" t="inlineStr">
        <is>
          <t>5.5</t>
        </is>
      </c>
      <c r="AR4" t="inlineStr">
        <is>
          <t>6.5</t>
        </is>
      </c>
      <c r="AS4" t="inlineStr">
        <is>
          <t>1.5</t>
        </is>
      </c>
      <c r="AT4" t="n">
        <v>141</v>
      </c>
      <c r="AU4" t="inlineStr">
        <is>
          <t>Vertex 70</t>
        </is>
      </c>
      <c r="AV4" t="inlineStr">
        <is>
          <t>50/50AR</t>
        </is>
      </c>
      <c r="AW4" t="n">
        <v>0.6472010879842809</v>
      </c>
      <c r="AX4" t="n">
        <v>0.6950749218916336</v>
      </c>
      <c r="AY4" t="n">
        <v>0.7417775662810759</v>
      </c>
      <c r="AZ4" t="n">
        <v>0.7863569144781553</v>
      </c>
      <c r="BA4" t="n">
        <v>0.8110697674098112</v>
      </c>
      <c r="BB4" t="n">
        <v>3.070866141732284</v>
      </c>
      <c r="BC4" t="n">
        <v>0.8631708277117698</v>
      </c>
      <c r="BD4" t="n">
        <v>1.798424581813125</v>
      </c>
      <c r="BE4" t="n">
        <v>2.845353316716138</v>
      </c>
      <c r="BF4" t="n">
        <v>4.043267705056094</v>
      </c>
      <c r="BG4" t="n">
        <v>5.449957365790296</v>
      </c>
      <c r="BH4" t="n">
        <v>7.160713448813548</v>
      </c>
      <c r="BI4" t="n">
        <v>9.353029377952836</v>
      </c>
      <c r="BJ4" t="n">
        <v>12.42394127168153</v>
      </c>
      <c r="BK4" t="n">
        <v>17.63628385975071</v>
      </c>
      <c r="BL4" t="n">
        <v>51.65566902804619</v>
      </c>
      <c r="BM4" t="inlineStr"/>
      <c r="BN4" t="n">
        <v>7</v>
      </c>
      <c r="BO4" t="n">
        <v>79</v>
      </c>
      <c r="BP4" t="n">
        <v>179</v>
      </c>
      <c r="BQ4" t="n">
        <v>248</v>
      </c>
      <c r="BR4" t="n">
        <v>691</v>
      </c>
      <c r="BS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">
      <c r="A5" t="inlineStr">
        <is>
          <t>FRAG</t>
        </is>
      </c>
      <c r="B5" t="inlineStr">
        <is>
          <t>Fragmentación Desmonte 2025.xlsx</t>
        </is>
      </c>
      <c r="C5" t="inlineStr">
        <is>
          <t>ANÁLISIS DE FRAGMENTACIÓN</t>
        </is>
      </c>
      <c r="D5" t="n">
        <v>9</v>
      </c>
      <c r="E5" t="inlineStr">
        <is>
          <t>ROM (fragmentación post-voladura en el frente de carguío, por análisis de fotos)</t>
        </is>
      </c>
      <c r="F5" t="inlineStr"/>
      <c r="G5" t="inlineStr">
        <is>
          <t>no indicada en el archivo</t>
        </is>
      </c>
      <c r="H5" t="inlineStr">
        <is>
          <t>2024-12-24</t>
        </is>
      </c>
      <c r="I5" t="inlineStr">
        <is>
          <t>2025-01-05</t>
        </is>
      </c>
      <c r="J5" t="inlineStr">
        <is>
          <t>PALA 10</t>
        </is>
      </c>
      <c r="K5" t="n">
        <v>8</v>
      </c>
      <c r="L5" t="inlineStr">
        <is>
          <t>8-NP-3773-14</t>
        </is>
      </c>
      <c r="M5" t="n">
        <v>4</v>
      </c>
      <c r="N5" t="n">
        <v>3773</v>
      </c>
      <c r="O5" t="inlineStr">
        <is>
          <t>A</t>
        </is>
      </c>
      <c r="P5" t="n">
        <v>30</v>
      </c>
      <c r="Q5" t="inlineStr">
        <is>
          <t>Desmonte</t>
        </is>
      </c>
      <c r="R5" t="inlineStr">
        <is>
          <t>Producción</t>
        </is>
      </c>
      <c r="S5" t="n">
        <v>7</v>
      </c>
      <c r="T5" t="n">
        <v>4.7</v>
      </c>
      <c r="U5" t="n">
        <v>4</v>
      </c>
      <c r="V5" t="n">
        <v>1.115599457839426</v>
      </c>
      <c r="W5" t="n">
        <v>0.177</v>
      </c>
      <c r="X5" t="n">
        <v>0.284</v>
      </c>
      <c r="Y5" t="n">
        <v>0.4</v>
      </c>
      <c r="Z5" t="n">
        <v>1.1</v>
      </c>
      <c r="AA5" t="n">
        <v>2.1</v>
      </c>
      <c r="AB5" t="n">
        <v>3.3</v>
      </c>
      <c r="AC5" t="n">
        <v>4.8</v>
      </c>
      <c r="AD5" t="n">
        <v>6.6</v>
      </c>
      <c r="AE5" t="n">
        <v>9.1</v>
      </c>
      <c r="AF5" t="n">
        <v>12.7</v>
      </c>
      <c r="AG5" t="n">
        <v>19.3</v>
      </c>
      <c r="AH5" t="n">
        <v>96.7</v>
      </c>
      <c r="AI5" t="inlineStr"/>
      <c r="AJ5" t="n">
        <v>431475</v>
      </c>
      <c r="AK5" t="n">
        <v>153880</v>
      </c>
      <c r="AL5" t="n">
        <v>0.3566371168665623</v>
      </c>
      <c r="AM5" t="inlineStr">
        <is>
          <t>1.1020086911176776</t>
        </is>
      </c>
      <c r="AN5" t="inlineStr">
        <is>
          <t>16.5</t>
        </is>
      </c>
      <c r="AO5" t="inlineStr">
        <is>
          <t>6.5</t>
        </is>
      </c>
      <c r="AP5" t="inlineStr">
        <is>
          <t>12 1/4</t>
        </is>
      </c>
      <c r="AQ5" t="inlineStr">
        <is>
          <t>6</t>
        </is>
      </c>
      <c r="AR5" t="inlineStr">
        <is>
          <t>7</t>
        </is>
      </c>
      <c r="AS5" t="inlineStr">
        <is>
          <t>1.5</t>
        </is>
      </c>
      <c r="AT5" t="n">
        <v>155</v>
      </c>
      <c r="AU5" t="inlineStr">
        <is>
          <t>Vertex 70</t>
        </is>
      </c>
      <c r="AV5" t="inlineStr">
        <is>
          <t>50/50AR</t>
        </is>
      </c>
      <c r="AW5" t="n">
        <v>0.6456604029473638</v>
      </c>
      <c r="AX5" t="n">
        <v>0.717259043950502</v>
      </c>
      <c r="AY5" t="n">
        <v>0.7852023376257896</v>
      </c>
      <c r="AZ5" t="n">
        <v>0.846290086058561</v>
      </c>
      <c r="BA5" t="n">
        <v>0.8776951551883198</v>
      </c>
      <c r="BB5" t="n">
        <v>1.850393700787402</v>
      </c>
      <c r="BC5" t="n">
        <v>0.6252400304835044</v>
      </c>
      <c r="BD5" t="n">
        <v>1.225130910980305</v>
      </c>
      <c r="BE5" t="n">
        <v>1.865367435369947</v>
      </c>
      <c r="BF5" t="n">
        <v>2.573946939577005</v>
      </c>
      <c r="BG5" t="n">
        <v>3.383896984350905</v>
      </c>
      <c r="BH5" t="n">
        <v>4.345755587900311</v>
      </c>
      <c r="BI5" t="n">
        <v>5.550868763330703</v>
      </c>
      <c r="BJ5" t="n">
        <v>7.200394789041911</v>
      </c>
      <c r="BK5" t="n">
        <v>9.926140511463135</v>
      </c>
      <c r="BL5" t="n">
        <v>26.57430549542034</v>
      </c>
      <c r="BM5" t="inlineStr"/>
      <c r="BN5" t="n">
        <v>4</v>
      </c>
      <c r="BO5" t="n">
        <v>48</v>
      </c>
      <c r="BP5" t="n">
        <v>127</v>
      </c>
      <c r="BQ5" t="n">
        <v>193</v>
      </c>
      <c r="BR5" t="n">
        <v>967</v>
      </c>
      <c r="BS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">
      <c r="A6" t="inlineStr">
        <is>
          <t>FRAG</t>
        </is>
      </c>
      <c r="B6" t="inlineStr">
        <is>
          <t>Fragmentación Desmonte 2025.xlsx</t>
        </is>
      </c>
      <c r="C6" t="inlineStr">
        <is>
          <t>ANÁLISIS DE FRAGMENTACIÓN</t>
        </is>
      </c>
      <c r="D6" t="n">
        <v>10</v>
      </c>
      <c r="E6" t="inlineStr">
        <is>
          <t>ROM (fragmentación post-voladura en el frente de carguío, por análisis de fotos)</t>
        </is>
      </c>
      <c r="F6" t="inlineStr"/>
      <c r="G6" t="inlineStr">
        <is>
          <t>no indicada en el archivo</t>
        </is>
      </c>
      <c r="H6" t="inlineStr">
        <is>
          <t>2024-12-24</t>
        </is>
      </c>
      <c r="I6" t="inlineStr">
        <is>
          <t>2025-01-06</t>
        </is>
      </c>
      <c r="J6" t="inlineStr">
        <is>
          <t>PALA 05</t>
        </is>
      </c>
      <c r="K6" t="n">
        <v>9</v>
      </c>
      <c r="L6" t="inlineStr">
        <is>
          <t>9-NP-3983-31</t>
        </is>
      </c>
      <c r="M6" t="n">
        <v>1</v>
      </c>
      <c r="N6" t="n">
        <v>3983</v>
      </c>
      <c r="O6" t="inlineStr">
        <is>
          <t>C</t>
        </is>
      </c>
      <c r="P6" t="n">
        <v>30</v>
      </c>
      <c r="Q6" t="inlineStr">
        <is>
          <t>Desmonte</t>
        </is>
      </c>
      <c r="R6" t="inlineStr">
        <is>
          <t>Producción</t>
        </is>
      </c>
      <c r="S6" t="n">
        <v>4</v>
      </c>
      <c r="T6" t="n">
        <v>9.199999999999999</v>
      </c>
      <c r="U6" t="n">
        <v>3</v>
      </c>
      <c r="V6" t="n">
        <v>0.9578020618972376</v>
      </c>
      <c r="W6" t="n">
        <v>0.126</v>
      </c>
      <c r="X6" t="n">
        <v>0.191</v>
      </c>
      <c r="Y6" t="n">
        <v>0.6</v>
      </c>
      <c r="Z6" t="n">
        <v>2.1</v>
      </c>
      <c r="AA6" t="n">
        <v>4</v>
      </c>
      <c r="AB6" t="n">
        <v>6.4</v>
      </c>
      <c r="AC6" t="n">
        <v>9.199999999999999</v>
      </c>
      <c r="AD6" t="n">
        <v>12.6</v>
      </c>
      <c r="AE6" t="n">
        <v>17</v>
      </c>
      <c r="AF6" t="n">
        <v>23.1</v>
      </c>
      <c r="AG6" t="n">
        <v>33.3</v>
      </c>
      <c r="AH6" t="n">
        <v>100.8</v>
      </c>
      <c r="AI6" t="inlineStr"/>
      <c r="AJ6" t="n">
        <v>396618.75</v>
      </c>
      <c r="AK6" t="n">
        <v>124472</v>
      </c>
      <c r="AL6" t="n">
        <v>0.3138328684662538</v>
      </c>
      <c r="AM6" t="inlineStr">
        <is>
          <t>0.9697435635607242</t>
        </is>
      </c>
      <c r="AN6" t="inlineStr">
        <is>
          <t>17</t>
        </is>
      </c>
      <c r="AO6" t="inlineStr">
        <is>
          <t>7</t>
        </is>
      </c>
      <c r="AP6" t="inlineStr">
        <is>
          <t>12 1/4</t>
        </is>
      </c>
      <c r="AQ6" t="inlineStr">
        <is>
          <t>9</t>
        </is>
      </c>
      <c r="AR6" t="inlineStr">
        <is>
          <t>10.35</t>
        </is>
      </c>
      <c r="AS6" t="inlineStr">
        <is>
          <t>2</t>
        </is>
      </c>
      <c r="AT6" t="n">
        <v>190</v>
      </c>
      <c r="AU6" t="inlineStr">
        <is>
          <t>Vertex 70</t>
        </is>
      </c>
      <c r="AV6" t="inlineStr">
        <is>
          <t>50/50AR</t>
        </is>
      </c>
      <c r="AW6" t="n">
        <v>0.6519347682157868</v>
      </c>
      <c r="AX6" t="n">
        <v>0.7002352578667626</v>
      </c>
      <c r="AY6" t="n">
        <v>0.7472353277453341</v>
      </c>
      <c r="AZ6" t="n">
        <v>0.7919498343803819</v>
      </c>
      <c r="BA6" t="n">
        <v>0.8166563361659619</v>
      </c>
      <c r="BB6" t="n">
        <v>3.622047244094488</v>
      </c>
      <c r="BC6" t="n">
        <v>0.8778246677570338</v>
      </c>
      <c r="BD6" t="n">
        <v>1.921643018352465</v>
      </c>
      <c r="BE6" t="n">
        <v>3.135702688780095</v>
      </c>
      <c r="BF6" t="n">
        <v>4.56255228669035</v>
      </c>
      <c r="BG6" t="n">
        <v>6.27480923387539</v>
      </c>
      <c r="BH6" t="n">
        <v>8.397469204450061</v>
      </c>
      <c r="BI6" t="n">
        <v>11.16750711363868</v>
      </c>
      <c r="BJ6" t="n">
        <v>15.12054735443468</v>
      </c>
      <c r="BK6" t="n">
        <v>21.97665915378646</v>
      </c>
      <c r="BL6" t="n">
        <v>69.19958415423034</v>
      </c>
      <c r="BM6" t="inlineStr"/>
      <c r="BN6" t="n">
        <v>6</v>
      </c>
      <c r="BO6" t="n">
        <v>92</v>
      </c>
      <c r="BP6" t="n">
        <v>231</v>
      </c>
      <c r="BQ6" t="n">
        <v>333</v>
      </c>
      <c r="BR6" t="n">
        <v>1008</v>
      </c>
      <c r="BS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">
      <c r="A7" t="inlineStr">
        <is>
          <t>FRAG</t>
        </is>
      </c>
      <c r="B7" t="inlineStr">
        <is>
          <t>Fragmentación Desmonte 2025.xlsx</t>
        </is>
      </c>
      <c r="C7" t="inlineStr">
        <is>
          <t>ANÁLISIS DE FRAGMENTACIÓN</t>
        </is>
      </c>
      <c r="D7" t="n">
        <v>11</v>
      </c>
      <c r="E7" t="inlineStr">
        <is>
          <t>ROM (fragmentación post-voladura en el frente de carguío, por análisis de fotos)</t>
        </is>
      </c>
      <c r="F7" t="inlineStr"/>
      <c r="G7" t="inlineStr">
        <is>
          <t>no indicada en el archivo</t>
        </is>
      </c>
      <c r="H7" t="inlineStr">
        <is>
          <t>2025-01-02</t>
        </is>
      </c>
      <c r="I7" t="inlineStr">
        <is>
          <t>2025-01-06</t>
        </is>
      </c>
      <c r="J7" t="inlineStr">
        <is>
          <t>PALA 09</t>
        </is>
      </c>
      <c r="K7" t="n">
        <v>9</v>
      </c>
      <c r="L7" t="inlineStr">
        <is>
          <t>9-NP-3968-17</t>
        </is>
      </c>
      <c r="M7" t="n">
        <v>4</v>
      </c>
      <c r="N7" t="n">
        <v>3968</v>
      </c>
      <c r="O7" t="inlineStr">
        <is>
          <t>A</t>
        </is>
      </c>
      <c r="P7" t="n">
        <v>30</v>
      </c>
      <c r="Q7" t="inlineStr">
        <is>
          <t>Desmonte</t>
        </is>
      </c>
      <c r="R7" t="inlineStr">
        <is>
          <t>Producción</t>
        </is>
      </c>
      <c r="S7" t="n">
        <v>9</v>
      </c>
      <c r="T7" t="n">
        <v>6.8</v>
      </c>
      <c r="U7" t="n">
        <v>3</v>
      </c>
      <c r="V7" t="n">
        <v>0.9414152772521974</v>
      </c>
      <c r="W7" t="n">
        <v>0.129</v>
      </c>
      <c r="X7" t="n">
        <v>0.21</v>
      </c>
      <c r="Y7" t="n">
        <v>0.6</v>
      </c>
      <c r="Z7" t="n">
        <v>1.8</v>
      </c>
      <c r="AA7" t="n">
        <v>3.2</v>
      </c>
      <c r="AB7" t="n">
        <v>4.9</v>
      </c>
      <c r="AC7" t="n">
        <v>6.8</v>
      </c>
      <c r="AD7" t="n">
        <v>9.1</v>
      </c>
      <c r="AE7" t="n">
        <v>12.1</v>
      </c>
      <c r="AF7" t="n">
        <v>16.2</v>
      </c>
      <c r="AG7" t="n">
        <v>23.2</v>
      </c>
      <c r="AH7" t="n">
        <v>79.59999999999999</v>
      </c>
      <c r="AI7" t="n">
        <v>12633.65157991451</v>
      </c>
      <c r="AJ7" t="n">
        <v>223987.5</v>
      </c>
      <c r="AK7" t="n">
        <v>137474</v>
      </c>
      <c r="AL7" t="n">
        <v>0.6137574641442045</v>
      </c>
      <c r="AM7" t="inlineStr">
        <is>
          <t>1.8965105642055917</t>
        </is>
      </c>
      <c r="AN7" t="inlineStr">
        <is>
          <t>16.5</t>
        </is>
      </c>
      <c r="AO7" t="inlineStr">
        <is>
          <t>5.5</t>
        </is>
      </c>
      <c r="AP7" t="inlineStr">
        <is>
          <t>12 1/4</t>
        </is>
      </c>
      <c r="AQ7" t="inlineStr">
        <is>
          <t>5.5</t>
        </is>
      </c>
      <c r="AR7" t="inlineStr">
        <is>
          <t>6.5</t>
        </is>
      </c>
      <c r="AS7" t="inlineStr">
        <is>
          <t>1.5</t>
        </is>
      </c>
      <c r="AT7" t="n">
        <v>141</v>
      </c>
      <c r="AU7" t="inlineStr">
        <is>
          <t>Vertex 70</t>
        </is>
      </c>
      <c r="AV7" t="inlineStr">
        <is>
          <t>50/50AR</t>
        </is>
      </c>
      <c r="AW7" t="n">
        <v>0.6552341993146248</v>
      </c>
      <c r="AX7" t="n">
        <v>0.7082172032978904</v>
      </c>
      <c r="AY7" t="n">
        <v>0.7594303392234796</v>
      </c>
      <c r="AZ7" t="n">
        <v>0.8075629860937155</v>
      </c>
      <c r="BA7" t="n">
        <v>0.8337821280241731</v>
      </c>
      <c r="BB7" t="n">
        <v>2.677165354330708</v>
      </c>
      <c r="BC7" t="n">
        <v>0.6228272103048742</v>
      </c>
      <c r="BD7" t="n">
        <v>1.382150532394664</v>
      </c>
      <c r="BE7" t="n">
        <v>2.274674318224663</v>
      </c>
      <c r="BF7" t="n">
        <v>3.331403638528744</v>
      </c>
      <c r="BG7" t="n">
        <v>4.607113017486126</v>
      </c>
      <c r="BH7" t="n">
        <v>6.196971804995913</v>
      </c>
      <c r="BI7" t="n">
        <v>8.282136884901602</v>
      </c>
      <c r="BJ7" t="n">
        <v>11.27313158151485</v>
      </c>
      <c r="BK7" t="n">
        <v>16.49170117365532</v>
      </c>
      <c r="BL7" t="n">
        <v>52.975881915957</v>
      </c>
      <c r="BM7" t="inlineStr"/>
      <c r="BN7" t="n">
        <v>6</v>
      </c>
      <c r="BO7" t="n">
        <v>68</v>
      </c>
      <c r="BP7" t="n">
        <v>162</v>
      </c>
      <c r="BQ7" t="n">
        <v>232</v>
      </c>
      <c r="BR7" t="n">
        <v>796</v>
      </c>
      <c r="BS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">
      <c r="A8" t="inlineStr">
        <is>
          <t>FRAG</t>
        </is>
      </c>
      <c r="B8" t="inlineStr">
        <is>
          <t>Fragmentación Desmonte 2025.xlsx</t>
        </is>
      </c>
      <c r="C8" t="inlineStr">
        <is>
          <t>ANÁLISIS DE FRAGMENTACIÓN</t>
        </is>
      </c>
      <c r="D8" t="n">
        <v>12</v>
      </c>
      <c r="E8" t="inlineStr">
        <is>
          <t>ROM (fragmentación post-voladura en el frente de carguío, por análisis de fotos)</t>
        </is>
      </c>
      <c r="F8" t="inlineStr"/>
      <c r="G8" t="inlineStr">
        <is>
          <t>no indicada en el archivo</t>
        </is>
      </c>
      <c r="H8" t="inlineStr">
        <is>
          <t>2025-01-04</t>
        </is>
      </c>
      <c r="I8" t="inlineStr">
        <is>
          <t>2025-01-08</t>
        </is>
      </c>
      <c r="J8" t="inlineStr">
        <is>
          <t>PALA 11</t>
        </is>
      </c>
      <c r="K8" t="n">
        <v>10</v>
      </c>
      <c r="L8" t="inlineStr">
        <is>
          <t>10-NP-4448-16</t>
        </is>
      </c>
      <c r="M8" t="n">
        <v>3</v>
      </c>
      <c r="N8" t="n">
        <v>4448</v>
      </c>
      <c r="O8" t="inlineStr">
        <is>
          <t>C</t>
        </is>
      </c>
      <c r="P8" t="n">
        <v>30</v>
      </c>
      <c r="Q8" t="inlineStr">
        <is>
          <t>Desmonte</t>
        </is>
      </c>
      <c r="R8" t="inlineStr">
        <is>
          <t>Producción</t>
        </is>
      </c>
      <c r="S8" t="n">
        <v>9</v>
      </c>
      <c r="T8" t="n">
        <v>12.6</v>
      </c>
      <c r="U8" t="n">
        <v>3</v>
      </c>
      <c r="V8" t="n">
        <v>1.131099447024844</v>
      </c>
      <c r="W8" t="n">
        <v>0.07099999999999999</v>
      </c>
      <c r="X8" t="n">
        <v>0.116</v>
      </c>
      <c r="Y8" t="n">
        <v>1.6</v>
      </c>
      <c r="Z8" t="n">
        <v>4.1</v>
      </c>
      <c r="AA8" t="n">
        <v>6.7</v>
      </c>
      <c r="AB8" t="n">
        <v>9.6</v>
      </c>
      <c r="AC8" t="n">
        <v>12.7</v>
      </c>
      <c r="AD8" t="n">
        <v>16.2</v>
      </c>
      <c r="AE8" t="n">
        <v>20.3</v>
      </c>
      <c r="AF8" t="n">
        <v>25.8</v>
      </c>
      <c r="AG8" t="n">
        <v>34.3</v>
      </c>
      <c r="AH8" t="n">
        <v>83.5</v>
      </c>
      <c r="AI8" t="inlineStr"/>
      <c r="AJ8" t="n">
        <v>401857.5</v>
      </c>
      <c r="AK8" t="n">
        <v>142452</v>
      </c>
      <c r="AL8" t="n">
        <v>0.3544838655493552</v>
      </c>
      <c r="AM8" t="inlineStr">
        <is>
          <t>-</t>
        </is>
      </c>
      <c r="AN8" t="inlineStr">
        <is>
          <t>17</t>
        </is>
      </c>
      <c r="AO8" t="inlineStr">
        <is>
          <t>7</t>
        </is>
      </c>
      <c r="AP8" t="inlineStr">
        <is>
          <t>12 1/4</t>
        </is>
      </c>
      <c r="AQ8" t="inlineStr">
        <is>
          <t>9</t>
        </is>
      </c>
      <c r="AR8" t="inlineStr">
        <is>
          <t>10.35</t>
        </is>
      </c>
      <c r="AS8" t="inlineStr">
        <is>
          <t>2</t>
        </is>
      </c>
      <c r="AT8" t="n">
        <v>192</v>
      </c>
      <c r="AU8" t="inlineStr">
        <is>
          <t>Vertex 70 / Emulgex 70</t>
        </is>
      </c>
      <c r="AV8" t="inlineStr">
        <is>
          <t>50/50AR</t>
        </is>
      </c>
      <c r="AW8" t="n">
        <v>0.637063203332806</v>
      </c>
      <c r="AX8" t="n">
        <v>0.6665909171885305</v>
      </c>
      <c r="AY8" t="n">
        <v>0.6958847135350991</v>
      </c>
      <c r="AZ8" t="n">
        <v>0.7247323797053578</v>
      </c>
      <c r="BA8" t="n">
        <v>0.7413127153907038</v>
      </c>
      <c r="BB8" t="n">
        <v>4.960629921259843</v>
      </c>
      <c r="BC8" t="n">
        <v>1.723155235580994</v>
      </c>
      <c r="BD8" t="n">
        <v>3.345467785913999</v>
      </c>
      <c r="BE8" t="n">
        <v>5.064501915935956</v>
      </c>
      <c r="BF8" t="n">
        <v>6.957539989908281</v>
      </c>
      <c r="BG8" t="n">
        <v>9.112657379159067</v>
      </c>
      <c r="BH8" t="n">
        <v>11.66284083268875</v>
      </c>
      <c r="BI8" t="n">
        <v>14.84716009317873</v>
      </c>
      <c r="BJ8" t="n">
        <v>19.19067772186082</v>
      </c>
      <c r="BK8" t="n">
        <v>26.33927566245935</v>
      </c>
      <c r="BL8" t="n">
        <v>69.57041769859545</v>
      </c>
      <c r="BM8" t="inlineStr"/>
      <c r="BN8" t="n">
        <v>16</v>
      </c>
      <c r="BO8" t="n">
        <v>127</v>
      </c>
      <c r="BP8" t="n">
        <v>258</v>
      </c>
      <c r="BQ8" t="n">
        <v>343</v>
      </c>
      <c r="BR8" t="n">
        <v>835</v>
      </c>
      <c r="BS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">
      <c r="A9" t="inlineStr">
        <is>
          <t>FRAG</t>
        </is>
      </c>
      <c r="B9" t="inlineStr">
        <is>
          <t>Fragmentación Desmonte 2025.xlsx</t>
        </is>
      </c>
      <c r="C9" t="inlineStr">
        <is>
          <t>ANÁLISIS DE FRAGMENTACIÓN</t>
        </is>
      </c>
      <c r="D9" t="n">
        <v>13</v>
      </c>
      <c r="E9" t="inlineStr">
        <is>
          <t>ROM (fragmentación post-voladura en el frente de carguío, por análisis de fotos)</t>
        </is>
      </c>
      <c r="F9" t="inlineStr"/>
      <c r="G9" t="inlineStr">
        <is>
          <t>no indicada en el archivo</t>
        </is>
      </c>
      <c r="H9" t="inlineStr">
        <is>
          <t>2025-01-05</t>
        </is>
      </c>
      <c r="I9" t="inlineStr">
        <is>
          <t>2025-01-09</t>
        </is>
      </c>
      <c r="J9" t="inlineStr">
        <is>
          <t>PALA 10</t>
        </is>
      </c>
      <c r="K9" t="n">
        <v>8</v>
      </c>
      <c r="L9" t="inlineStr">
        <is>
          <t>8-NP-3758-01</t>
        </is>
      </c>
      <c r="M9" t="n">
        <v>2</v>
      </c>
      <c r="N9" t="n">
        <v>3758</v>
      </c>
      <c r="O9" t="inlineStr">
        <is>
          <t>A</t>
        </is>
      </c>
      <c r="P9" t="n">
        <v>30</v>
      </c>
      <c r="Q9" t="inlineStr">
        <is>
          <t>Desmonte</t>
        </is>
      </c>
      <c r="R9" t="inlineStr">
        <is>
          <t>Producción</t>
        </is>
      </c>
      <c r="S9" t="n">
        <v>5</v>
      </c>
      <c r="T9" t="n">
        <v>4.4</v>
      </c>
      <c r="U9" t="n">
        <v>3</v>
      </c>
      <c r="V9" t="n">
        <v>0.92079734841439</v>
      </c>
      <c r="W9" t="n">
        <v>0.202</v>
      </c>
      <c r="X9" t="n">
        <v>0.308</v>
      </c>
      <c r="Y9" t="n">
        <v>0.3</v>
      </c>
      <c r="Z9" t="n">
        <v>0.9</v>
      </c>
      <c r="AA9" t="n">
        <v>1.9</v>
      </c>
      <c r="AB9" t="n">
        <v>3</v>
      </c>
      <c r="AC9" t="n">
        <v>4.5</v>
      </c>
      <c r="AD9" t="n">
        <v>6.3</v>
      </c>
      <c r="AE9" t="n">
        <v>8.6</v>
      </c>
      <c r="AF9" t="n">
        <v>11.9</v>
      </c>
      <c r="AG9" t="n">
        <v>17.6</v>
      </c>
      <c r="AH9" t="n">
        <v>57.6</v>
      </c>
      <c r="AI9" t="inlineStr"/>
      <c r="AJ9" t="n">
        <v>777273.75</v>
      </c>
      <c r="AK9" t="n">
        <v>145512</v>
      </c>
      <c r="AL9" t="n">
        <v>0.1872081747260859</v>
      </c>
      <c r="AM9" t="inlineStr">
        <is>
          <t>-</t>
        </is>
      </c>
      <c r="AN9" t="inlineStr">
        <is>
          <t>16.5</t>
        </is>
      </c>
      <c r="AO9" t="inlineStr">
        <is>
          <t>6.5</t>
        </is>
      </c>
      <c r="AP9" t="inlineStr">
        <is>
          <t>12 1/4</t>
        </is>
      </c>
      <c r="AQ9" t="inlineStr">
        <is>
          <t>6</t>
        </is>
      </c>
      <c r="AR9" t="inlineStr">
        <is>
          <t>7</t>
        </is>
      </c>
      <c r="AS9" t="inlineStr">
        <is>
          <t>1.5</t>
        </is>
      </c>
      <c r="AT9" t="n">
        <v>501</v>
      </c>
      <c r="AU9" t="inlineStr">
        <is>
          <t>Vertex 70 / Pirex 70</t>
        </is>
      </c>
      <c r="AV9" t="inlineStr">
        <is>
          <t>50/50AR</t>
        </is>
      </c>
      <c r="AW9" t="n">
        <v>0.6684914042562613</v>
      </c>
      <c r="AX9" t="n">
        <v>0.7450956714628177</v>
      </c>
      <c r="AY9" t="n">
        <v>0.8158800916977406</v>
      </c>
      <c r="AZ9" t="n">
        <v>0.8769159257165351</v>
      </c>
      <c r="BA9" t="n">
        <v>0.906849755190981</v>
      </c>
      <c r="BB9" t="n">
        <v>1.732283464566929</v>
      </c>
      <c r="BC9" t="n">
        <v>0.3820022477637897</v>
      </c>
      <c r="BD9" t="n">
        <v>0.862989098732775</v>
      </c>
      <c r="BE9" t="n">
        <v>1.436196539031473</v>
      </c>
      <c r="BF9" t="n">
        <v>2.121447749554339</v>
      </c>
      <c r="BG9" t="n">
        <v>2.955198742492228</v>
      </c>
      <c r="BH9" t="n">
        <v>4.001476336794754</v>
      </c>
      <c r="BI9" t="n">
        <v>5.382742697835424</v>
      </c>
      <c r="BJ9" t="n">
        <v>7.3774121685962</v>
      </c>
      <c r="BK9" t="n">
        <v>10.88490023621214</v>
      </c>
      <c r="BL9" t="n">
        <v>35.89098943845058</v>
      </c>
      <c r="BM9" t="inlineStr"/>
      <c r="BN9" t="n">
        <v>3</v>
      </c>
      <c r="BO9" t="n">
        <v>45</v>
      </c>
      <c r="BP9" t="n">
        <v>119</v>
      </c>
      <c r="BQ9" t="n">
        <v>176</v>
      </c>
      <c r="BR9" t="n">
        <v>576</v>
      </c>
      <c r="BS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">
      <c r="A10" t="inlineStr">
        <is>
          <t>FRAG</t>
        </is>
      </c>
      <c r="B10" t="inlineStr">
        <is>
          <t>Fragmentación Desmonte 2025.xlsx</t>
        </is>
      </c>
      <c r="C10" t="inlineStr">
        <is>
          <t>ANÁLISIS DE FRAGMENTACIÓN</t>
        </is>
      </c>
      <c r="D10" t="n">
        <v>14</v>
      </c>
      <c r="E10" t="inlineStr">
        <is>
          <t>ROM (fragmentación post-voladura en el frente de carguío, por análisis de fotos)</t>
        </is>
      </c>
      <c r="F10" t="inlineStr"/>
      <c r="G10" t="inlineStr">
        <is>
          <t>no indicada en el archivo</t>
        </is>
      </c>
      <c r="H10" t="inlineStr">
        <is>
          <t>2025-01-05</t>
        </is>
      </c>
      <c r="I10" t="inlineStr">
        <is>
          <t>2025-01-10</t>
        </is>
      </c>
      <c r="J10" t="inlineStr">
        <is>
          <t>PALA 08</t>
        </is>
      </c>
      <c r="K10" t="n">
        <v>9</v>
      </c>
      <c r="L10" t="inlineStr">
        <is>
          <t>9-NP-3968-15</t>
        </is>
      </c>
      <c r="M10" t="n">
        <v>1</v>
      </c>
      <c r="N10" t="n">
        <v>3968</v>
      </c>
      <c r="O10" t="inlineStr">
        <is>
          <t>C</t>
        </is>
      </c>
      <c r="P10" t="n">
        <v>30</v>
      </c>
      <c r="Q10" t="inlineStr">
        <is>
          <t>Desmonte</t>
        </is>
      </c>
      <c r="R10" t="inlineStr">
        <is>
          <t>Producción</t>
        </is>
      </c>
      <c r="S10" t="n">
        <v>4</v>
      </c>
      <c r="T10" t="n">
        <v>8.699999999999999</v>
      </c>
      <c r="U10" t="n">
        <v>3</v>
      </c>
      <c r="V10" t="n">
        <v>1.011325297302703</v>
      </c>
      <c r="W10" t="n">
        <v>0.13</v>
      </c>
      <c r="X10" t="n">
        <v>0.196</v>
      </c>
      <c r="Y10" t="n">
        <v>0.6</v>
      </c>
      <c r="Z10" t="n">
        <v>2</v>
      </c>
      <c r="AA10" t="n">
        <v>3.9</v>
      </c>
      <c r="AB10" t="n">
        <v>6.1</v>
      </c>
      <c r="AC10" t="n">
        <v>8.800000000000001</v>
      </c>
      <c r="AD10" t="n">
        <v>12</v>
      </c>
      <c r="AE10" t="n">
        <v>15.9</v>
      </c>
      <c r="AF10" t="n">
        <v>21.4</v>
      </c>
      <c r="AG10" t="n">
        <v>30.1</v>
      </c>
      <c r="AH10" t="n">
        <v>79.7</v>
      </c>
      <c r="AI10" t="n">
        <v>8598.51158442688</v>
      </c>
      <c r="AJ10" t="n">
        <v>777562.5</v>
      </c>
      <c r="AK10" t="n">
        <v>214835</v>
      </c>
      <c r="AL10" t="n">
        <v>0.276292902499799</v>
      </c>
      <c r="AM10" t="inlineStr">
        <is>
          <t>0.853745068724379</t>
        </is>
      </c>
      <c r="AN10" t="inlineStr">
        <is>
          <t>16.5</t>
        </is>
      </c>
      <c r="AO10" t="inlineStr">
        <is>
          <t>6.5</t>
        </is>
      </c>
      <c r="AP10" t="inlineStr">
        <is>
          <t>12 1/4</t>
        </is>
      </c>
      <c r="AQ10" t="inlineStr">
        <is>
          <t>6</t>
        </is>
      </c>
      <c r="AR10" t="inlineStr">
        <is>
          <t>7</t>
        </is>
      </c>
      <c r="AS10" t="inlineStr">
        <is>
          <t>1.5</t>
        </is>
      </c>
      <c r="AT10" t="n">
        <v>232</v>
      </c>
      <c r="AU10" t="inlineStr">
        <is>
          <t>Vertex 70</t>
        </is>
      </c>
      <c r="AV10" t="inlineStr">
        <is>
          <t>50/50AR</t>
        </is>
      </c>
      <c r="AW10" t="n">
        <v>0.6485371941525143</v>
      </c>
      <c r="AX10" t="n">
        <v>0.6981461686620534</v>
      </c>
      <c r="AY10" t="n">
        <v>0.7464300407923347</v>
      </c>
      <c r="AZ10" t="n">
        <v>0.7923254082754939</v>
      </c>
      <c r="BA10" t="n">
        <v>0.817643526745411</v>
      </c>
      <c r="BB10" t="n">
        <v>3.4251968503937</v>
      </c>
      <c r="BC10" t="n">
        <v>0.9400298698808808</v>
      </c>
      <c r="BD10" t="n">
        <v>1.974233207847177</v>
      </c>
      <c r="BE10" t="n">
        <v>3.139104089382594</v>
      </c>
      <c r="BF10" t="n">
        <v>4.47773952600959</v>
      </c>
      <c r="BG10" t="n">
        <v>6.055182333877765</v>
      </c>
      <c r="BH10" t="n">
        <v>7.979537415757024</v>
      </c>
      <c r="BI10" t="n">
        <v>10.45281216173024</v>
      </c>
      <c r="BJ10" t="n">
        <v>13.92768849075662</v>
      </c>
      <c r="BK10" t="n">
        <v>19.84626012375657</v>
      </c>
      <c r="BL10" t="n">
        <v>58.81077538825228</v>
      </c>
      <c r="BM10" t="inlineStr"/>
      <c r="BN10" t="n">
        <v>6</v>
      </c>
      <c r="BO10" t="n">
        <v>88</v>
      </c>
      <c r="BP10" t="n">
        <v>214</v>
      </c>
      <c r="BQ10" t="n">
        <v>301</v>
      </c>
      <c r="BR10" t="n">
        <v>797</v>
      </c>
      <c r="BS1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">
      <c r="A11" t="inlineStr">
        <is>
          <t>FRAG</t>
        </is>
      </c>
      <c r="B11" t="inlineStr">
        <is>
          <t>Fragmentación Desmonte 2025.xlsx</t>
        </is>
      </c>
      <c r="C11" t="inlineStr">
        <is>
          <t>ANÁLISIS DE FRAGMENTACIÓN</t>
        </is>
      </c>
      <c r="D11" t="n">
        <v>15</v>
      </c>
      <c r="E11" t="inlineStr">
        <is>
          <t>ROM (fragmentación post-voladura en el frente de carguío, por análisis de fotos)</t>
        </is>
      </c>
      <c r="F11" t="inlineStr"/>
      <c r="G11" t="inlineStr">
        <is>
          <t>no indicada en el archivo</t>
        </is>
      </c>
      <c r="H11" t="inlineStr">
        <is>
          <t>2025-01-07</t>
        </is>
      </c>
      <c r="I11" t="inlineStr">
        <is>
          <t>2025-01-10</t>
        </is>
      </c>
      <c r="J11" t="inlineStr">
        <is>
          <t>PALA 09</t>
        </is>
      </c>
      <c r="K11" t="n">
        <v>9</v>
      </c>
      <c r="L11" t="inlineStr">
        <is>
          <t>9-NP-3968-14</t>
        </is>
      </c>
      <c r="M11" t="n">
        <v>2</v>
      </c>
      <c r="N11" t="n">
        <v>3968</v>
      </c>
      <c r="O11" t="inlineStr">
        <is>
          <t>C</t>
        </is>
      </c>
      <c r="P11" t="n">
        <v>30</v>
      </c>
      <c r="Q11" t="inlineStr">
        <is>
          <t>Desmonte</t>
        </is>
      </c>
      <c r="R11" t="inlineStr">
        <is>
          <t>Producción</t>
        </is>
      </c>
      <c r="S11" t="n">
        <v>4</v>
      </c>
      <c r="T11" t="n">
        <v>11.5</v>
      </c>
      <c r="U11" t="n">
        <v>3</v>
      </c>
      <c r="V11" t="n">
        <v>1.109112689897938</v>
      </c>
      <c r="W11" t="n">
        <v>0.056</v>
      </c>
      <c r="X11" t="n">
        <v>0.099</v>
      </c>
      <c r="Y11" t="n">
        <v>2</v>
      </c>
      <c r="Z11" t="n">
        <v>4.3</v>
      </c>
      <c r="AA11" t="n">
        <v>6.6</v>
      </c>
      <c r="AB11" t="n">
        <v>9</v>
      </c>
      <c r="AC11" t="n">
        <v>11.5</v>
      </c>
      <c r="AD11" t="n">
        <v>14.4</v>
      </c>
      <c r="AE11" t="n">
        <v>17.7</v>
      </c>
      <c r="AF11" t="n">
        <v>22.1</v>
      </c>
      <c r="AG11" t="n">
        <v>29.1</v>
      </c>
      <c r="AH11" t="n">
        <v>79.5</v>
      </c>
      <c r="AI11" t="n">
        <v>11459.89115448805</v>
      </c>
      <c r="AJ11" t="n">
        <v>268455</v>
      </c>
      <c r="AK11" t="n">
        <v>83210.89999999999</v>
      </c>
      <c r="AL11" t="n">
        <v>0.3099621910562291</v>
      </c>
      <c r="AM11" t="inlineStr">
        <is>
          <t>-</t>
        </is>
      </c>
      <c r="AN11" t="inlineStr">
        <is>
          <t>17</t>
        </is>
      </c>
      <c r="AO11" t="inlineStr">
        <is>
          <t>7</t>
        </is>
      </c>
      <c r="AP11" t="inlineStr">
        <is>
          <t>12 1/4</t>
        </is>
      </c>
      <c r="AQ11" t="inlineStr">
        <is>
          <t>9</t>
        </is>
      </c>
      <c r="AR11" t="inlineStr">
        <is>
          <t>10.35</t>
        </is>
      </c>
      <c r="AS11" t="inlineStr">
        <is>
          <t>2</t>
        </is>
      </c>
      <c r="AT11" t="n">
        <v>150</v>
      </c>
      <c r="AU11" t="inlineStr">
        <is>
          <t>Emulgex 70</t>
        </is>
      </c>
      <c r="AV11" t="inlineStr">
        <is>
          <t>50/50AR</t>
        </is>
      </c>
      <c r="AW11" t="n">
        <v>0.6370537479964953</v>
      </c>
      <c r="AX11" t="n">
        <v>0.6622638461191712</v>
      </c>
      <c r="AY11" t="n">
        <v>0.6873258132824605</v>
      </c>
      <c r="AZ11" t="n">
        <v>0.7121090584517418</v>
      </c>
      <c r="BA11" t="n">
        <v>0.7264231881580169</v>
      </c>
      <c r="BB11" t="n">
        <v>4.52755905511811</v>
      </c>
      <c r="BC11" t="n">
        <v>1.511900033265372</v>
      </c>
      <c r="BD11" t="n">
        <v>2.974180943151439</v>
      </c>
      <c r="BE11" t="n">
        <v>4.539595221140834</v>
      </c>
      <c r="BF11" t="n">
        <v>6.275815549288228</v>
      </c>
      <c r="BG11" t="n">
        <v>8.263853925276957</v>
      </c>
      <c r="BH11" t="n">
        <v>10.62835951659132</v>
      </c>
      <c r="BI11" t="n">
        <v>13.59513676142152</v>
      </c>
      <c r="BJ11" t="n">
        <v>17.66199655991092</v>
      </c>
      <c r="BK11" t="n">
        <v>24.39379348695663</v>
      </c>
      <c r="BL11" t="n">
        <v>65.68439286176957</v>
      </c>
      <c r="BM11" t="inlineStr"/>
      <c r="BN11" t="n">
        <v>20</v>
      </c>
      <c r="BO11" t="n">
        <v>115</v>
      </c>
      <c r="BP11" t="n">
        <v>221</v>
      </c>
      <c r="BQ11" t="n">
        <v>291</v>
      </c>
      <c r="BR11" t="n">
        <v>795</v>
      </c>
      <c r="BS1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">
      <c r="A12" t="inlineStr">
        <is>
          <t>FRAG</t>
        </is>
      </c>
      <c r="B12" t="inlineStr">
        <is>
          <t>Fragmentación Desmonte 2025.xlsx</t>
        </is>
      </c>
      <c r="C12" t="inlineStr">
        <is>
          <t>ANÁLISIS DE FRAGMENTACIÓN</t>
        </is>
      </c>
      <c r="D12" t="n">
        <v>16</v>
      </c>
      <c r="E12" t="inlineStr">
        <is>
          <t>ROM (fragmentación post-voladura en el frente de carguío, por análisis de fotos)</t>
        </is>
      </c>
      <c r="F12" t="inlineStr"/>
      <c r="G12" t="inlineStr">
        <is>
          <t>no indicada en el archivo</t>
        </is>
      </c>
      <c r="H12" t="inlineStr">
        <is>
          <t>2025-01-07</t>
        </is>
      </c>
      <c r="I12" t="inlineStr">
        <is>
          <t>2025-01-11</t>
        </is>
      </c>
      <c r="J12" t="inlineStr">
        <is>
          <t>PALA 08</t>
        </is>
      </c>
      <c r="K12" t="n">
        <v>9</v>
      </c>
      <c r="L12" t="inlineStr">
        <is>
          <t>9-NP-3968-14</t>
        </is>
      </c>
      <c r="M12" t="n">
        <v>4</v>
      </c>
      <c r="N12" t="n">
        <v>3968</v>
      </c>
      <c r="O12" t="inlineStr">
        <is>
          <t>A</t>
        </is>
      </c>
      <c r="P12" t="n">
        <v>30</v>
      </c>
      <c r="Q12" t="inlineStr">
        <is>
          <t>Desmonte</t>
        </is>
      </c>
      <c r="R12" t="inlineStr">
        <is>
          <t>Trim</t>
        </is>
      </c>
      <c r="S12" t="n">
        <v>4</v>
      </c>
      <c r="T12" t="n">
        <v>13.4</v>
      </c>
      <c r="U12" t="n">
        <v>3</v>
      </c>
      <c r="V12" t="n">
        <v>1.122072802124424</v>
      </c>
      <c r="W12" t="n">
        <v>0.08</v>
      </c>
      <c r="X12" t="n">
        <v>0.124</v>
      </c>
      <c r="Y12" t="n">
        <v>1.4</v>
      </c>
      <c r="Z12" t="n">
        <v>3.9</v>
      </c>
      <c r="AA12" t="n">
        <v>6.8</v>
      </c>
      <c r="AB12" t="n">
        <v>10</v>
      </c>
      <c r="AC12" t="n">
        <v>13.4</v>
      </c>
      <c r="AD12" t="n">
        <v>17.4</v>
      </c>
      <c r="AE12" t="n">
        <v>22.2</v>
      </c>
      <c r="AF12" t="n">
        <v>28.4</v>
      </c>
      <c r="AG12" t="n">
        <v>38.1</v>
      </c>
      <c r="AH12" t="n">
        <v>89.90000000000001</v>
      </c>
      <c r="AI12" t="n">
        <v>11207.86399858332</v>
      </c>
      <c r="AJ12" t="n">
        <v>268455</v>
      </c>
      <c r="AK12" t="n">
        <v>83210.89999999999</v>
      </c>
      <c r="AL12" t="n">
        <v>0.3099621910562291</v>
      </c>
      <c r="AM12" t="inlineStr">
        <is>
          <t>-</t>
        </is>
      </c>
      <c r="AN12" t="inlineStr">
        <is>
          <t xml:space="preserve"> - </t>
        </is>
      </c>
      <c r="AO12" t="inlineStr">
        <is>
          <t xml:space="preserve"> - </t>
        </is>
      </c>
      <c r="AP12" t="inlineStr">
        <is>
          <t>9 7/8</t>
        </is>
      </c>
      <c r="AQ12" t="inlineStr">
        <is>
          <t xml:space="preserve"> - </t>
        </is>
      </c>
      <c r="AR12" t="inlineStr">
        <is>
          <t xml:space="preserve"> - </t>
        </is>
      </c>
      <c r="AS12" t="inlineStr">
        <is>
          <t xml:space="preserve"> - </t>
        </is>
      </c>
      <c r="AT12" t="n">
        <v>150</v>
      </c>
      <c r="AU12" t="inlineStr">
        <is>
          <t>Emulgex 70</t>
        </is>
      </c>
      <c r="AV12" t="inlineStr">
        <is>
          <t>50/50AR</t>
        </is>
      </c>
      <c r="AW12" t="n">
        <v>0.6377695154572257</v>
      </c>
      <c r="AX12" t="n">
        <v>0.6693237767674007</v>
      </c>
      <c r="AY12" t="n">
        <v>0.7005885737164558</v>
      </c>
      <c r="AZ12" t="n">
        <v>0.7313032892439446</v>
      </c>
      <c r="BA12" t="n">
        <v>0.7489077098320882</v>
      </c>
      <c r="BB12" t="n">
        <v>5.275590551181103</v>
      </c>
      <c r="BC12" t="n">
        <v>1.803465080352475</v>
      </c>
      <c r="BD12" t="n">
        <v>3.520125125167713</v>
      </c>
      <c r="BE12" t="n">
        <v>5.346710405811636</v>
      </c>
      <c r="BF12" t="n">
        <v>7.364023040302063</v>
      </c>
      <c r="BG12" t="n">
        <v>9.66600938402286</v>
      </c>
      <c r="BH12" t="n">
        <v>12.39562915400689</v>
      </c>
      <c r="BI12" t="n">
        <v>15.8106966923819</v>
      </c>
      <c r="BJ12" t="n">
        <v>20.47832710525066</v>
      </c>
      <c r="BK12" t="n">
        <v>28.17826406127722</v>
      </c>
      <c r="BL12" t="n">
        <v>75.01159569765659</v>
      </c>
      <c r="BM12" t="inlineStr"/>
      <c r="BN12" t="n">
        <v>14</v>
      </c>
      <c r="BO12" t="n">
        <v>134</v>
      </c>
      <c r="BP12" t="n">
        <v>284</v>
      </c>
      <c r="BQ12" t="n">
        <v>381</v>
      </c>
      <c r="BR12" t="n">
        <v>899</v>
      </c>
      <c r="BS1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">
      <c r="A13" t="inlineStr">
        <is>
          <t>FRAG</t>
        </is>
      </c>
      <c r="B13" t="inlineStr">
        <is>
          <t>Fragmentación Desmonte 2025.xlsx</t>
        </is>
      </c>
      <c r="C13" t="inlineStr">
        <is>
          <t>ANÁLISIS DE FRAGMENTACIÓN</t>
        </is>
      </c>
      <c r="D13" t="n">
        <v>17</v>
      </c>
      <c r="E13" t="inlineStr">
        <is>
          <t>ROM (fragmentación post-voladura en el frente de carguío, por análisis de fotos)</t>
        </is>
      </c>
      <c r="F13" t="inlineStr"/>
      <c r="G13" t="inlineStr">
        <is>
          <t>no indicada en el archivo</t>
        </is>
      </c>
      <c r="H13" t="inlineStr">
        <is>
          <t>2025-01-07</t>
        </is>
      </c>
      <c r="I13" t="inlineStr">
        <is>
          <t>2025-01-12</t>
        </is>
      </c>
      <c r="J13" t="inlineStr">
        <is>
          <t>PALA 08</t>
        </is>
      </c>
      <c r="K13" t="n">
        <v>9</v>
      </c>
      <c r="L13" t="inlineStr">
        <is>
          <t>9-NP-3968-14</t>
        </is>
      </c>
      <c r="M13" t="n">
        <v>7</v>
      </c>
      <c r="N13" t="n">
        <v>3968</v>
      </c>
      <c r="O13" t="inlineStr">
        <is>
          <t>C</t>
        </is>
      </c>
      <c r="P13" t="n">
        <v>30</v>
      </c>
      <c r="Q13" t="inlineStr">
        <is>
          <t>Desmonte</t>
        </is>
      </c>
      <c r="R13" t="inlineStr">
        <is>
          <t>Producción</t>
        </is>
      </c>
      <c r="S13" t="n">
        <v>3</v>
      </c>
      <c r="T13" t="n">
        <v>8.1</v>
      </c>
      <c r="U13" t="n">
        <v>3</v>
      </c>
      <c r="V13" t="n">
        <v>1.052991707033014</v>
      </c>
      <c r="W13" t="n">
        <v>0.096</v>
      </c>
      <c r="X13" t="n">
        <v>0.162</v>
      </c>
      <c r="Y13" t="n">
        <v>1</v>
      </c>
      <c r="Z13" t="n">
        <v>2.6</v>
      </c>
      <c r="AA13" t="n">
        <v>4.3</v>
      </c>
      <c r="AB13" t="n">
        <v>6.1</v>
      </c>
      <c r="AC13" t="n">
        <v>8.199999999999999</v>
      </c>
      <c r="AD13" t="n">
        <v>10.6</v>
      </c>
      <c r="AE13" t="n">
        <v>13.5</v>
      </c>
      <c r="AF13" t="n">
        <v>17.3</v>
      </c>
      <c r="AG13" t="n">
        <v>23.5</v>
      </c>
      <c r="AH13" t="n">
        <v>65.5</v>
      </c>
      <c r="AI13" t="n">
        <v>11525.34100293307</v>
      </c>
      <c r="AJ13" t="n">
        <v>268455</v>
      </c>
      <c r="AK13" t="n">
        <v>83210.89999999999</v>
      </c>
      <c r="AL13" t="n">
        <v>0.3099621910562291</v>
      </c>
      <c r="AM13" t="inlineStr">
        <is>
          <t>-</t>
        </is>
      </c>
      <c r="AN13" t="inlineStr">
        <is>
          <t>17</t>
        </is>
      </c>
      <c r="AO13" t="inlineStr">
        <is>
          <t>7</t>
        </is>
      </c>
      <c r="AP13" t="inlineStr">
        <is>
          <t>12 1/4</t>
        </is>
      </c>
      <c r="AQ13" t="inlineStr">
        <is>
          <t>9</t>
        </is>
      </c>
      <c r="AR13" t="inlineStr">
        <is>
          <t>10.35</t>
        </is>
      </c>
      <c r="AS13" t="inlineStr">
        <is>
          <t>2</t>
        </is>
      </c>
      <c r="AT13" t="n">
        <v>150</v>
      </c>
      <c r="AU13" t="inlineStr">
        <is>
          <t>Emulgex 70</t>
        </is>
      </c>
      <c r="AV13" t="inlineStr">
        <is>
          <t>50/50AR</t>
        </is>
      </c>
      <c r="AW13" t="n">
        <v>0.643286109314355</v>
      </c>
      <c r="AX13" t="n">
        <v>0.6844130540880684</v>
      </c>
      <c r="AY13" t="n">
        <v>0.724833355323485</v>
      </c>
      <c r="AZ13" t="n">
        <v>0.7639527331207669</v>
      </c>
      <c r="BA13" t="n">
        <v>0.7859912801000322</v>
      </c>
      <c r="BB13" t="n">
        <v>3.188976377952756</v>
      </c>
      <c r="BC13" t="n">
        <v>0.9557549330919406</v>
      </c>
      <c r="BD13" t="n">
        <v>1.949179298498266</v>
      </c>
      <c r="BE13" t="n">
        <v>3.0429124636989</v>
      </c>
      <c r="BF13" t="n">
        <v>4.279951450864329</v>
      </c>
      <c r="BG13" t="n">
        <v>5.719010888231507</v>
      </c>
      <c r="BH13" t="n">
        <v>7.454679620188148</v>
      </c>
      <c r="BI13" t="n">
        <v>9.661502473020686</v>
      </c>
      <c r="BJ13" t="n">
        <v>12.72794780328595</v>
      </c>
      <c r="BK13" t="n">
        <v>17.88431199710067</v>
      </c>
      <c r="BL13" t="n">
        <v>50.7671064505492</v>
      </c>
      <c r="BM13" t="inlineStr"/>
      <c r="BN13" t="n">
        <v>10</v>
      </c>
      <c r="BO13" t="n">
        <v>82</v>
      </c>
      <c r="BP13" t="n">
        <v>173</v>
      </c>
      <c r="BQ13" t="n">
        <v>235</v>
      </c>
      <c r="BR13" t="n">
        <v>655</v>
      </c>
      <c r="BS1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">
      <c r="A14" t="inlineStr">
        <is>
          <t>FRAG</t>
        </is>
      </c>
      <c r="B14" t="inlineStr">
        <is>
          <t>Fragmentación Desmonte 2025.xlsx</t>
        </is>
      </c>
      <c r="C14" t="inlineStr">
        <is>
          <t>ANÁLISIS DE FRAGMENTACIÓN</t>
        </is>
      </c>
      <c r="D14" t="n">
        <v>18</v>
      </c>
      <c r="E14" t="inlineStr">
        <is>
          <t>ROM (fragmentación post-voladura en el frente de carguío, por análisis de fotos)</t>
        </is>
      </c>
      <c r="F14" t="inlineStr"/>
      <c r="G14" t="inlineStr">
        <is>
          <t>no indicada en el archivo</t>
        </is>
      </c>
      <c r="H14" t="inlineStr">
        <is>
          <t>2025-01-07</t>
        </is>
      </c>
      <c r="I14" t="inlineStr">
        <is>
          <t>2025-01-12</t>
        </is>
      </c>
      <c r="J14" t="inlineStr">
        <is>
          <t>PALA 08</t>
        </is>
      </c>
      <c r="K14" t="n">
        <v>9</v>
      </c>
      <c r="L14" t="inlineStr">
        <is>
          <t>9-NP-3968-14</t>
        </is>
      </c>
      <c r="M14" t="n">
        <v>6</v>
      </c>
      <c r="N14" t="n">
        <v>3968</v>
      </c>
      <c r="O14" t="inlineStr">
        <is>
          <t>B</t>
        </is>
      </c>
      <c r="P14" t="n">
        <v>30</v>
      </c>
      <c r="Q14" t="inlineStr">
        <is>
          <t>Desmonte</t>
        </is>
      </c>
      <c r="R14" t="inlineStr">
        <is>
          <t>Trim</t>
        </is>
      </c>
      <c r="S14" t="n">
        <v>3</v>
      </c>
      <c r="T14" t="n">
        <v>13.3</v>
      </c>
      <c r="U14" t="n">
        <v>2</v>
      </c>
      <c r="V14" t="n">
        <v>0.7688324907842411</v>
      </c>
      <c r="W14" t="n">
        <v>0.139</v>
      </c>
      <c r="X14" t="n">
        <v>0.188</v>
      </c>
      <c r="Y14" t="n">
        <v>0.4</v>
      </c>
      <c r="Z14" t="n">
        <v>2.2</v>
      </c>
      <c r="AA14" t="n">
        <v>5.1</v>
      </c>
      <c r="AB14" t="n">
        <v>8.9</v>
      </c>
      <c r="AC14" t="n">
        <v>13.3</v>
      </c>
      <c r="AD14" t="n">
        <v>18.6</v>
      </c>
      <c r="AE14" t="n">
        <v>24.9</v>
      </c>
      <c r="AF14" t="n">
        <v>33.1</v>
      </c>
      <c r="AG14" t="n">
        <v>44.9</v>
      </c>
      <c r="AH14" t="n">
        <v>83.40000000000001</v>
      </c>
      <c r="AI14" t="n">
        <v>10327.64574255094</v>
      </c>
      <c r="AJ14" t="n">
        <v>268455</v>
      </c>
      <c r="AK14" t="n">
        <v>83210.89999999999</v>
      </c>
      <c r="AL14" t="n">
        <v>0.3099621910562291</v>
      </c>
      <c r="AM14" t="inlineStr">
        <is>
          <t>-</t>
        </is>
      </c>
      <c r="AN14" t="inlineStr">
        <is>
          <t xml:space="preserve"> - </t>
        </is>
      </c>
      <c r="AO14" t="inlineStr">
        <is>
          <t xml:space="preserve"> - </t>
        </is>
      </c>
      <c r="AP14" t="inlineStr">
        <is>
          <t>9 7/8</t>
        </is>
      </c>
      <c r="AQ14" t="inlineStr">
        <is>
          <t xml:space="preserve"> - </t>
        </is>
      </c>
      <c r="AR14" t="inlineStr">
        <is>
          <t xml:space="preserve"> - </t>
        </is>
      </c>
      <c r="AS14" t="inlineStr">
        <is>
          <t xml:space="preserve"> - </t>
        </is>
      </c>
      <c r="AT14" t="n">
        <v>150</v>
      </c>
      <c r="AU14" t="inlineStr">
        <is>
          <t>Emulgex 70</t>
        </is>
      </c>
      <c r="AV14" t="inlineStr">
        <is>
          <t>50/50AR</t>
        </is>
      </c>
      <c r="AW14" t="n">
        <v>0.6667798937260225</v>
      </c>
      <c r="AX14" t="n">
        <v>0.714041299418457</v>
      </c>
      <c r="AY14" t="n">
        <v>0.7597685989611455</v>
      </c>
      <c r="AZ14" t="n">
        <v>0.8030192737457873</v>
      </c>
      <c r="BA14" t="n">
        <v>0.8268045620520945</v>
      </c>
      <c r="BB14" t="n">
        <v>5.236220472440945</v>
      </c>
      <c r="BC14" t="n">
        <v>0.7123193264007442</v>
      </c>
      <c r="BD14" t="n">
        <v>1.890482209765886</v>
      </c>
      <c r="BE14" t="n">
        <v>3.479401175930545</v>
      </c>
      <c r="BF14" t="n">
        <v>5.551491210150799</v>
      </c>
      <c r="BG14" t="n">
        <v>8.256909907107362</v>
      </c>
      <c r="BH14" t="n">
        <v>11.87050935452612</v>
      </c>
      <c r="BI14" t="n">
        <v>16.93197472793308</v>
      </c>
      <c r="BJ14" t="n">
        <v>24.69831465685727</v>
      </c>
      <c r="BK14" t="n">
        <v>39.35282973568438</v>
      </c>
      <c r="BL14" t="n">
        <v>164.2687339097825</v>
      </c>
      <c r="BM14" t="inlineStr">
        <is>
          <t>Material grueso de la buffer</t>
        </is>
      </c>
      <c r="BN14" t="n">
        <v>4</v>
      </c>
      <c r="BO14" t="n">
        <v>133</v>
      </c>
      <c r="BP14" t="n">
        <v>331</v>
      </c>
      <c r="BQ14" t="n">
        <v>449</v>
      </c>
      <c r="BR14" t="n">
        <v>834</v>
      </c>
      <c r="BS1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">
      <c r="A15" t="inlineStr">
        <is>
          <t>FRAG</t>
        </is>
      </c>
      <c r="B15" t="inlineStr">
        <is>
          <t>Fragmentación Desmonte 2025.xlsx</t>
        </is>
      </c>
      <c r="C15" t="inlineStr">
        <is>
          <t>ANÁLISIS DE FRAGMENTACIÓN</t>
        </is>
      </c>
      <c r="D15" t="n">
        <v>19</v>
      </c>
      <c r="E15" t="inlineStr">
        <is>
          <t>ROM (fragmentación post-voladura en el frente de carguío, por análisis de fotos)</t>
        </is>
      </c>
      <c r="F15" t="inlineStr"/>
      <c r="G15" t="inlineStr">
        <is>
          <t>no indicada en el archivo</t>
        </is>
      </c>
      <c r="H15" t="inlineStr">
        <is>
          <t>2025-01-09</t>
        </is>
      </c>
      <c r="I15" t="inlineStr">
        <is>
          <t>2025-01-13</t>
        </is>
      </c>
      <c r="J15" t="inlineStr">
        <is>
          <t>PALA 13</t>
        </is>
      </c>
      <c r="K15" t="n">
        <v>10</v>
      </c>
      <c r="L15" t="inlineStr">
        <is>
          <t>10-NP-4433-10</t>
        </is>
      </c>
      <c r="M15" t="n">
        <v>1</v>
      </c>
      <c r="N15" t="n">
        <v>4433</v>
      </c>
      <c r="O15" t="inlineStr">
        <is>
          <t>C1</t>
        </is>
      </c>
      <c r="P15" t="n">
        <v>30</v>
      </c>
      <c r="Q15" t="inlineStr">
        <is>
          <t>Desmonte</t>
        </is>
      </c>
      <c r="R15" t="inlineStr">
        <is>
          <t>Producción</t>
        </is>
      </c>
      <c r="S15" t="n">
        <v>2</v>
      </c>
      <c r="T15" t="n">
        <v>8.9</v>
      </c>
      <c r="U15" t="n">
        <v>3</v>
      </c>
      <c r="V15" t="n">
        <v>1.113369996259048</v>
      </c>
      <c r="W15" t="n">
        <v>0.091</v>
      </c>
      <c r="X15" t="n">
        <v>0.15</v>
      </c>
      <c r="Y15" t="n">
        <v>1.1</v>
      </c>
      <c r="Z15" t="n">
        <v>2.8</v>
      </c>
      <c r="AA15" t="n">
        <v>4.7</v>
      </c>
      <c r="AB15" t="n">
        <v>6.8</v>
      </c>
      <c r="AC15" t="n">
        <v>9</v>
      </c>
      <c r="AD15" t="n">
        <v>11.5</v>
      </c>
      <c r="AE15" t="n">
        <v>14.6</v>
      </c>
      <c r="AF15" t="n">
        <v>18.5</v>
      </c>
      <c r="AG15" t="n">
        <v>24.8</v>
      </c>
      <c r="AH15" t="n">
        <v>61.6</v>
      </c>
      <c r="AI15" t="inlineStr"/>
      <c r="AJ15" t="n">
        <v>306776.25</v>
      </c>
      <c r="AK15" t="n">
        <v>86583</v>
      </c>
      <c r="AL15" t="n">
        <v>0.2822350165633748</v>
      </c>
      <c r="AM15" t="inlineStr">
        <is>
          <t>0.8721062011808279</t>
        </is>
      </c>
      <c r="AN15" t="inlineStr">
        <is>
          <t>17</t>
        </is>
      </c>
      <c r="AO15" t="inlineStr">
        <is>
          <t>7</t>
        </is>
      </c>
      <c r="AP15" t="inlineStr">
        <is>
          <t>12 1/4</t>
        </is>
      </c>
      <c r="AQ15" t="inlineStr">
        <is>
          <t>9</t>
        </is>
      </c>
      <c r="AR15" t="inlineStr">
        <is>
          <t>10.35</t>
        </is>
      </c>
      <c r="AS15" t="inlineStr">
        <is>
          <t>2</t>
        </is>
      </c>
      <c r="AT15" t="n">
        <v>86</v>
      </c>
      <c r="AU15" t="inlineStr">
        <is>
          <t>Vertex 70</t>
        </is>
      </c>
      <c r="AV15" t="inlineStr">
        <is>
          <t>100D2</t>
        </is>
      </c>
      <c r="AW15" t="n">
        <v>0.6393834292749417</v>
      </c>
      <c r="AX15" t="n">
        <v>0.6775135970939482</v>
      </c>
      <c r="AY15" t="n">
        <v>0.7151217698723091</v>
      </c>
      <c r="AZ15" t="n">
        <v>0.7517401058893151</v>
      </c>
      <c r="BA15" t="n">
        <v>0.7725097681598772</v>
      </c>
      <c r="BB15" t="n">
        <v>3.503937007874016</v>
      </c>
      <c r="BC15" t="n">
        <v>1.179192424988853</v>
      </c>
      <c r="BD15" t="n">
        <v>2.313691165068371</v>
      </c>
      <c r="BE15" t="n">
        <v>3.525761178595807</v>
      </c>
      <c r="BF15" t="n">
        <v>4.868196534731508</v>
      </c>
      <c r="BG15" t="n">
        <v>6.403590798008315</v>
      </c>
      <c r="BH15" t="n">
        <v>8.227905549623012</v>
      </c>
      <c r="BI15" t="n">
        <v>10.51472239640165</v>
      </c>
      <c r="BJ15" t="n">
        <v>13.64644180179905</v>
      </c>
      <c r="BK15" t="n">
        <v>18.82446863893281</v>
      </c>
      <c r="BL15" t="n">
        <v>50.49642579567182</v>
      </c>
      <c r="BM15" t="inlineStr"/>
      <c r="BN15" t="n">
        <v>11</v>
      </c>
      <c r="BO15" t="n">
        <v>90</v>
      </c>
      <c r="BP15" t="n">
        <v>185</v>
      </c>
      <c r="BQ15" t="n">
        <v>248</v>
      </c>
      <c r="BR15" t="n">
        <v>616</v>
      </c>
      <c r="BS1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">
      <c r="A16" t="inlineStr">
        <is>
          <t>FRAG</t>
        </is>
      </c>
      <c r="B16" t="inlineStr">
        <is>
          <t>Fragmentación Desmonte 2025.xlsx</t>
        </is>
      </c>
      <c r="C16" t="inlineStr">
        <is>
          <t>ANÁLISIS DE FRAGMENTACIÓN</t>
        </is>
      </c>
      <c r="D16" t="n">
        <v>20</v>
      </c>
      <c r="E16" t="inlineStr">
        <is>
          <t>ROM (fragmentación post-voladura en el frente de carguío, por análisis de fotos)</t>
        </is>
      </c>
      <c r="F16" t="inlineStr"/>
      <c r="G16" t="inlineStr">
        <is>
          <t>no indicada en el archivo</t>
        </is>
      </c>
      <c r="H16" t="inlineStr">
        <is>
          <t>2025-01-09</t>
        </is>
      </c>
      <c r="I16" t="inlineStr">
        <is>
          <t>2025-01-13</t>
        </is>
      </c>
      <c r="J16" t="inlineStr">
        <is>
          <t>PALA 13</t>
        </is>
      </c>
      <c r="K16" t="n">
        <v>10</v>
      </c>
      <c r="L16" t="inlineStr">
        <is>
          <t>10-NP-4433-10</t>
        </is>
      </c>
      <c r="M16" t="n">
        <v>2</v>
      </c>
      <c r="N16" t="n">
        <v>4433</v>
      </c>
      <c r="O16" t="inlineStr">
        <is>
          <t>A</t>
        </is>
      </c>
      <c r="P16" t="n">
        <v>30</v>
      </c>
      <c r="Q16" t="inlineStr">
        <is>
          <t>Desmonte</t>
        </is>
      </c>
      <c r="R16" t="inlineStr">
        <is>
          <t>Producción</t>
        </is>
      </c>
      <c r="S16" t="n">
        <v>3</v>
      </c>
      <c r="T16" t="n">
        <v>8.800000000000001</v>
      </c>
      <c r="U16" t="n">
        <v>3</v>
      </c>
      <c r="V16" t="n">
        <v>1.10655264307921</v>
      </c>
      <c r="W16" t="n">
        <v>0.123</v>
      </c>
      <c r="X16" t="n">
        <v>0.186</v>
      </c>
      <c r="Y16" t="n">
        <v>0.6</v>
      </c>
      <c r="Z16" t="n">
        <v>2.2</v>
      </c>
      <c r="AA16" t="n">
        <v>4.1</v>
      </c>
      <c r="AB16" t="n">
        <v>6.3</v>
      </c>
      <c r="AC16" t="n">
        <v>8.9</v>
      </c>
      <c r="AD16" t="n">
        <v>11.8</v>
      </c>
      <c r="AE16" t="n">
        <v>15.4</v>
      </c>
      <c r="AF16" t="n">
        <v>20.1</v>
      </c>
      <c r="AG16" t="n">
        <v>27.3</v>
      </c>
      <c r="AH16" t="n">
        <v>61.9</v>
      </c>
      <c r="AI16" t="inlineStr"/>
      <c r="AJ16" t="n">
        <v>306776.25</v>
      </c>
      <c r="AK16" t="n">
        <v>86583</v>
      </c>
      <c r="AL16" t="n">
        <v>0.2822350165633748</v>
      </c>
      <c r="AM16" t="inlineStr">
        <is>
          <t>0.8721062011808279</t>
        </is>
      </c>
      <c r="AN16" t="inlineStr">
        <is>
          <t>17</t>
        </is>
      </c>
      <c r="AO16" t="inlineStr">
        <is>
          <t>7</t>
        </is>
      </c>
      <c r="AP16" t="inlineStr">
        <is>
          <t>12 1/4</t>
        </is>
      </c>
      <c r="AQ16" t="inlineStr">
        <is>
          <t>9</t>
        </is>
      </c>
      <c r="AR16" t="inlineStr">
        <is>
          <t>10.35</t>
        </is>
      </c>
      <c r="AS16" t="inlineStr">
        <is>
          <t>2</t>
        </is>
      </c>
      <c r="AT16" t="n">
        <v>86</v>
      </c>
      <c r="AU16" t="inlineStr">
        <is>
          <t>Vertex 70</t>
        </is>
      </c>
      <c r="AV16" t="inlineStr">
        <is>
          <t>100D2</t>
        </is>
      </c>
      <c r="AW16" t="n">
        <v>0.6415463374153816</v>
      </c>
      <c r="AX16" t="n">
        <v>0.688741889488244</v>
      </c>
      <c r="AY16" t="n">
        <v>0.7349233752926065</v>
      </c>
      <c r="AZ16" t="n">
        <v>0.7791871584892395</v>
      </c>
      <c r="BA16" t="n">
        <v>0.8038268088801015</v>
      </c>
      <c r="BB16" t="n">
        <v>3.464566929133858</v>
      </c>
      <c r="BC16" t="n">
        <v>1.151514154953956</v>
      </c>
      <c r="BD16" t="n">
        <v>2.268785352123669</v>
      </c>
      <c r="BE16" t="n">
        <v>3.466315052039754</v>
      </c>
      <c r="BF16" t="n">
        <v>4.795638954814227</v>
      </c>
      <c r="BG16" t="n">
        <v>6.318812030943262</v>
      </c>
      <c r="BH16" t="n">
        <v>8.131522580404866</v>
      </c>
      <c r="BI16" t="n">
        <v>10.40726404955658</v>
      </c>
      <c r="BJ16" t="n">
        <v>13.52868970949205</v>
      </c>
      <c r="BK16" t="n">
        <v>18.6990581403172</v>
      </c>
      <c r="BL16" t="n">
        <v>50.46587661921315</v>
      </c>
      <c r="BM16" t="inlineStr"/>
      <c r="BN16" t="n">
        <v>6</v>
      </c>
      <c r="BO16" t="n">
        <v>89</v>
      </c>
      <c r="BP16" t="n">
        <v>201</v>
      </c>
      <c r="BQ16" t="n">
        <v>273</v>
      </c>
      <c r="BR16" t="n">
        <v>619</v>
      </c>
      <c r="BS1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">
      <c r="A17" t="inlineStr">
        <is>
          <t>FRAG</t>
        </is>
      </c>
      <c r="B17" t="inlineStr">
        <is>
          <t>Fragmentación Desmonte 2025.xlsx</t>
        </is>
      </c>
      <c r="C17" t="inlineStr">
        <is>
          <t>ANÁLISIS DE FRAGMENTACIÓN</t>
        </is>
      </c>
      <c r="D17" t="n">
        <v>21</v>
      </c>
      <c r="E17" t="inlineStr">
        <is>
          <t>ROM (fragmentación post-voladura en el frente de carguío, por análisis de fotos)</t>
        </is>
      </c>
      <c r="F17" t="inlineStr"/>
      <c r="G17" t="inlineStr">
        <is>
          <t>no indicada en el archivo</t>
        </is>
      </c>
      <c r="H17" t="inlineStr">
        <is>
          <t>2024-12-26</t>
        </is>
      </c>
      <c r="I17" t="inlineStr">
        <is>
          <t>2025-01-13</t>
        </is>
      </c>
      <c r="J17" t="inlineStr">
        <is>
          <t>PALA 13</t>
        </is>
      </c>
      <c r="K17" t="n">
        <v>10</v>
      </c>
      <c r="L17" t="inlineStr">
        <is>
          <t>10-NP-4433-07</t>
        </is>
      </c>
      <c r="M17" t="n">
        <v>4</v>
      </c>
      <c r="N17" t="n">
        <v>4433</v>
      </c>
      <c r="O17" t="inlineStr">
        <is>
          <t>A</t>
        </is>
      </c>
      <c r="P17" t="n">
        <v>30</v>
      </c>
      <c r="Q17" t="inlineStr">
        <is>
          <t>Desmonte</t>
        </is>
      </c>
      <c r="R17" t="inlineStr">
        <is>
          <t>Producción</t>
        </is>
      </c>
      <c r="S17" t="n">
        <v>2</v>
      </c>
      <c r="T17" t="n">
        <v>9.6</v>
      </c>
      <c r="U17" t="n">
        <v>3</v>
      </c>
      <c r="V17" t="n">
        <v>1.283112672978233</v>
      </c>
      <c r="W17" t="n">
        <v>0.094</v>
      </c>
      <c r="X17" t="n">
        <v>0.149</v>
      </c>
      <c r="Y17" t="n">
        <v>1</v>
      </c>
      <c r="Z17" t="n">
        <v>3</v>
      </c>
      <c r="AA17" t="n">
        <v>5.1</v>
      </c>
      <c r="AB17" t="n">
        <v>7.3</v>
      </c>
      <c r="AC17" t="n">
        <v>9.699999999999999</v>
      </c>
      <c r="AD17" t="n">
        <v>12.3</v>
      </c>
      <c r="AE17" t="n">
        <v>15.4</v>
      </c>
      <c r="AF17" t="n">
        <v>19.2</v>
      </c>
      <c r="AG17" t="n">
        <v>24.8</v>
      </c>
      <c r="AH17" t="n">
        <v>48.5</v>
      </c>
      <c r="AI17" t="inlineStr"/>
      <c r="AJ17" t="n">
        <v>600806.25</v>
      </c>
      <c r="AK17" t="n">
        <v>156907</v>
      </c>
      <c r="AL17" t="n">
        <v>0.2611607319331315</v>
      </c>
      <c r="AM17" t="inlineStr">
        <is>
          <t>0.8069866616733764</t>
        </is>
      </c>
      <c r="AN17" t="inlineStr">
        <is>
          <t>17</t>
        </is>
      </c>
      <c r="AO17" t="inlineStr">
        <is>
          <t>7</t>
        </is>
      </c>
      <c r="AP17" t="inlineStr">
        <is>
          <t>12 1/4</t>
        </is>
      </c>
      <c r="AQ17" t="inlineStr">
        <is>
          <t>9</t>
        </is>
      </c>
      <c r="AR17" t="inlineStr">
        <is>
          <t>10.35</t>
        </is>
      </c>
      <c r="AS17" t="inlineStr">
        <is>
          <t>2</t>
        </is>
      </c>
      <c r="AT17" t="n">
        <v>164</v>
      </c>
      <c r="AU17" t="inlineStr">
        <is>
          <t>Vertex 70</t>
        </is>
      </c>
      <c r="AV17" t="inlineStr">
        <is>
          <t>50/50AR</t>
        </is>
      </c>
      <c r="AW17" t="n">
        <v>0.6315575091948102</v>
      </c>
      <c r="AX17" t="n">
        <v>0.669485547350445</v>
      </c>
      <c r="AY17" t="n">
        <v>0.7069929520074409</v>
      </c>
      <c r="AZ17" t="n">
        <v>0.7436259538486703</v>
      </c>
      <c r="BA17" t="n">
        <v>0.7644621162627325</v>
      </c>
      <c r="BB17" t="n">
        <v>3.779527559055118</v>
      </c>
      <c r="BC17" t="n">
        <v>1.66184520838206</v>
      </c>
      <c r="BD17" t="n">
        <v>2.982547181145745</v>
      </c>
      <c r="BE17" t="n">
        <v>4.29865650635792</v>
      </c>
      <c r="BF17" t="n">
        <v>5.687378683610885</v>
      </c>
      <c r="BG17" t="n">
        <v>7.214691985399661</v>
      </c>
      <c r="BH17" t="n">
        <v>8.967712961428685</v>
      </c>
      <c r="BI17" t="n">
        <v>11.09430818877304</v>
      </c>
      <c r="BJ17" t="n">
        <v>13.9105333230263</v>
      </c>
      <c r="BK17" t="n">
        <v>18.38932392265115</v>
      </c>
      <c r="BL17" t="n">
        <v>43.292483013498</v>
      </c>
      <c r="BM17" t="inlineStr"/>
      <c r="BN17" t="n">
        <v>10</v>
      </c>
      <c r="BO17" t="n">
        <v>97</v>
      </c>
      <c r="BP17" t="n">
        <v>192</v>
      </c>
      <c r="BQ17" t="n">
        <v>248</v>
      </c>
      <c r="BR17" t="n">
        <v>485</v>
      </c>
      <c r="BS1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">
      <c r="A18" t="inlineStr">
        <is>
          <t>FRAG</t>
        </is>
      </c>
      <c r="B18" t="inlineStr">
        <is>
          <t>Fragmentación Desmonte 2025.xlsx</t>
        </is>
      </c>
      <c r="C18" t="inlineStr">
        <is>
          <t>ANÁLISIS DE FRAGMENTACIÓN</t>
        </is>
      </c>
      <c r="D18" t="n">
        <v>22</v>
      </c>
      <c r="E18" t="inlineStr">
        <is>
          <t>ROM (fragmentación post-voladura en el frente de carguío, por análisis de fotos)</t>
        </is>
      </c>
      <c r="F18" t="inlineStr"/>
      <c r="G18" t="inlineStr">
        <is>
          <t>no indicada en el archivo</t>
        </is>
      </c>
      <c r="H18" t="inlineStr">
        <is>
          <t>2025-01-11</t>
        </is>
      </c>
      <c r="I18" t="inlineStr">
        <is>
          <t>2025-01-15</t>
        </is>
      </c>
      <c r="J18" t="inlineStr">
        <is>
          <t>PALA 09</t>
        </is>
      </c>
      <c r="K18" t="n">
        <v>9</v>
      </c>
      <c r="L18" t="inlineStr">
        <is>
          <t>9-NP-3953-05</t>
        </is>
      </c>
      <c r="M18" t="n">
        <v>4</v>
      </c>
      <c r="N18" t="n">
        <v>3953</v>
      </c>
      <c r="O18" t="inlineStr">
        <is>
          <t>A</t>
        </is>
      </c>
      <c r="P18" t="n">
        <v>30</v>
      </c>
      <c r="Q18" t="inlineStr">
        <is>
          <t>Desmonte</t>
        </is>
      </c>
      <c r="R18" t="inlineStr">
        <is>
          <t>Producción/Cresta</t>
        </is>
      </c>
      <c r="S18" t="n">
        <v>4</v>
      </c>
      <c r="T18" t="n">
        <v>9.5</v>
      </c>
      <c r="U18" t="n">
        <v>3</v>
      </c>
      <c r="V18" t="n">
        <v>0.9657680773672196</v>
      </c>
      <c r="W18" t="n">
        <v>0.14</v>
      </c>
      <c r="X18" t="n">
        <v>0.204</v>
      </c>
      <c r="Y18" t="n">
        <v>0.5</v>
      </c>
      <c r="Z18" t="n">
        <v>1.9</v>
      </c>
      <c r="AA18" t="n">
        <v>3.9</v>
      </c>
      <c r="AB18" t="n">
        <v>6.5</v>
      </c>
      <c r="AC18" t="n">
        <v>9.6</v>
      </c>
      <c r="AD18" t="n">
        <v>13.4</v>
      </c>
      <c r="AE18" t="n">
        <v>18.4</v>
      </c>
      <c r="AF18" t="n">
        <v>25.3</v>
      </c>
      <c r="AG18" t="n">
        <v>36.7</v>
      </c>
      <c r="AH18" t="n">
        <v>102</v>
      </c>
      <c r="AI18" t="n">
        <v>13321.02738598321</v>
      </c>
      <c r="AJ18" t="n">
        <v>615925</v>
      </c>
      <c r="AK18" t="n">
        <v>479455</v>
      </c>
      <c r="AL18" t="n">
        <v>0.7784308154401915</v>
      </c>
      <c r="AM18" t="inlineStr">
        <is>
          <t>2.405351219710192</t>
        </is>
      </c>
      <c r="AN18" t="inlineStr">
        <is>
          <t xml:space="preserve"> - </t>
        </is>
      </c>
      <c r="AO18" t="inlineStr">
        <is>
          <t xml:space="preserve"> - </t>
        </is>
      </c>
      <c r="AP18" t="inlineStr">
        <is>
          <t>9 7/8</t>
        </is>
      </c>
      <c r="AQ18" t="inlineStr">
        <is>
          <t xml:space="preserve"> - </t>
        </is>
      </c>
      <c r="AR18" t="inlineStr">
        <is>
          <t xml:space="preserve"> - </t>
        </is>
      </c>
      <c r="AS18" t="inlineStr">
        <is>
          <t xml:space="preserve"> - </t>
        </is>
      </c>
      <c r="AT18" t="n">
        <v>451</v>
      </c>
      <c r="AU18" t="inlineStr">
        <is>
          <t>Vertex 70</t>
        </is>
      </c>
      <c r="AV18" t="inlineStr">
        <is>
          <t>100D2</t>
        </is>
      </c>
      <c r="AW18" t="n">
        <v>0.6526613395871028</v>
      </c>
      <c r="AX18" t="n">
        <v>0.704199298296541</v>
      </c>
      <c r="AY18" t="n">
        <v>0.7541611500614863</v>
      </c>
      <c r="AZ18" t="n">
        <v>0.8013457507996097</v>
      </c>
      <c r="BA18" t="n">
        <v>0.827188996791832</v>
      </c>
      <c r="BB18" t="n">
        <v>3.740157480314961</v>
      </c>
      <c r="BC18" t="n">
        <v>0.9241873805910192</v>
      </c>
      <c r="BD18" t="n">
        <v>2.010103101061086</v>
      </c>
      <c r="BE18" t="n">
        <v>3.266828853103831</v>
      </c>
      <c r="BF18" t="n">
        <v>4.738664065723106</v>
      </c>
      <c r="BG18" t="n">
        <v>6.499906056172938</v>
      </c>
      <c r="BH18" t="n">
        <v>8.677830408402336</v>
      </c>
      <c r="BI18" t="n">
        <v>11.51324544530014</v>
      </c>
      <c r="BJ18" t="n">
        <v>15.54975172374007</v>
      </c>
      <c r="BK18" t="n">
        <v>22.53087880668841</v>
      </c>
      <c r="BL18" t="n">
        <v>70.27665533996222</v>
      </c>
      <c r="BM18" t="inlineStr"/>
      <c r="BN18" t="n">
        <v>5</v>
      </c>
      <c r="BO18" t="n">
        <v>96</v>
      </c>
      <c r="BP18" t="n">
        <v>253</v>
      </c>
      <c r="BQ18" t="n">
        <v>367</v>
      </c>
      <c r="BR18" t="n">
        <v>1020</v>
      </c>
      <c r="BS1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">
      <c r="A19" t="inlineStr">
        <is>
          <t>FRAG</t>
        </is>
      </c>
      <c r="B19" t="inlineStr">
        <is>
          <t>Fragmentación Desmonte 2025.xlsx</t>
        </is>
      </c>
      <c r="C19" t="inlineStr">
        <is>
          <t>ANÁLISIS DE FRAGMENTACIÓN</t>
        </is>
      </c>
      <c r="D19" t="n">
        <v>23</v>
      </c>
      <c r="E19" t="inlineStr">
        <is>
          <t>ROM (fragmentación post-voladura en el frente de carguío, por análisis de fotos)</t>
        </is>
      </c>
      <c r="F19" t="inlineStr"/>
      <c r="G19" t="inlineStr">
        <is>
          <t>no indicada en el archivo</t>
        </is>
      </c>
      <c r="H19" t="inlineStr">
        <is>
          <t>2025-01-11</t>
        </is>
      </c>
      <c r="I19" t="inlineStr">
        <is>
          <t>2025-01-16</t>
        </is>
      </c>
      <c r="J19" t="inlineStr">
        <is>
          <t>PALA 09</t>
        </is>
      </c>
      <c r="K19" t="n">
        <v>9</v>
      </c>
      <c r="L19" t="inlineStr">
        <is>
          <t>9-NP-3953-05</t>
        </is>
      </c>
      <c r="M19" t="n">
        <v>7</v>
      </c>
      <c r="N19" t="n">
        <v>3953</v>
      </c>
      <c r="O19" t="inlineStr">
        <is>
          <t>A</t>
        </is>
      </c>
      <c r="P19" t="n">
        <v>30</v>
      </c>
      <c r="Q19" t="inlineStr">
        <is>
          <t>Desmonte</t>
        </is>
      </c>
      <c r="R19" t="inlineStr">
        <is>
          <t>Producción</t>
        </is>
      </c>
      <c r="S19" t="n">
        <v>3</v>
      </c>
      <c r="T19" t="n">
        <v>8.199999999999999</v>
      </c>
      <c r="U19" t="n">
        <v>3</v>
      </c>
      <c r="V19" t="n">
        <v>1.226153324517124</v>
      </c>
      <c r="W19" t="n">
        <v>0.106</v>
      </c>
      <c r="X19" t="n">
        <v>0.17</v>
      </c>
      <c r="Y19" t="n">
        <v>0.9</v>
      </c>
      <c r="Z19" t="n">
        <v>2.5</v>
      </c>
      <c r="AA19" t="n">
        <v>4.2</v>
      </c>
      <c r="AB19" t="n">
        <v>6.2</v>
      </c>
      <c r="AC19" t="n">
        <v>8.300000000000001</v>
      </c>
      <c r="AD19" t="n">
        <v>10.6</v>
      </c>
      <c r="AE19" t="n">
        <v>13.3</v>
      </c>
      <c r="AF19" t="n">
        <v>16.8</v>
      </c>
      <c r="AG19" t="n">
        <v>22</v>
      </c>
      <c r="AH19" t="n">
        <v>45.4</v>
      </c>
      <c r="AI19" t="n">
        <v>12611.95922989808</v>
      </c>
      <c r="AJ19" t="n">
        <v>615925</v>
      </c>
      <c r="AK19" t="n">
        <v>479455</v>
      </c>
      <c r="AL19" t="n">
        <v>0.7784308154401915</v>
      </c>
      <c r="AM19" t="inlineStr">
        <is>
          <t>2.405351219710192</t>
        </is>
      </c>
      <c r="AN19" t="inlineStr">
        <is>
          <t>16.5</t>
        </is>
      </c>
      <c r="AO19" t="inlineStr">
        <is>
          <t>5.5</t>
        </is>
      </c>
      <c r="AP19" t="inlineStr">
        <is>
          <t>12 1/4</t>
        </is>
      </c>
      <c r="AQ19" t="inlineStr">
        <is>
          <t>5</t>
        </is>
      </c>
      <c r="AR19" t="inlineStr">
        <is>
          <t>6</t>
        </is>
      </c>
      <c r="AS19" t="inlineStr">
        <is>
          <t>1.5</t>
        </is>
      </c>
      <c r="AT19" t="n">
        <v>451</v>
      </c>
      <c r="AU19" t="inlineStr">
        <is>
          <t>Vertex 70</t>
        </is>
      </c>
      <c r="AV19" t="inlineStr">
        <is>
          <t>100D2</t>
        </is>
      </c>
      <c r="AW19" t="n">
        <v>0.6343178718769803</v>
      </c>
      <c r="AX19" t="n">
        <v>0.6775472011367423</v>
      </c>
      <c r="AY19" t="n">
        <v>0.7201046569910725</v>
      </c>
      <c r="AZ19" t="n">
        <v>0.7613080407037169</v>
      </c>
      <c r="BA19" t="n">
        <v>0.7845035295280441</v>
      </c>
      <c r="BB19" t="n">
        <v>3.228346456692913</v>
      </c>
      <c r="BC19" t="n">
        <v>1.30842944773415</v>
      </c>
      <c r="BD19" t="n">
        <v>2.412937928362964</v>
      </c>
      <c r="BE19" t="n">
        <v>3.537251028832869</v>
      </c>
      <c r="BF19" t="n">
        <v>4.741252626834413</v>
      </c>
      <c r="BG19" t="n">
        <v>6.081317439405725</v>
      </c>
      <c r="BH19" t="n">
        <v>7.635716142885384</v>
      </c>
      <c r="BI19" t="n">
        <v>9.540287971494555</v>
      </c>
      <c r="BJ19" t="n">
        <v>12.08839979346503</v>
      </c>
      <c r="BK19" t="n">
        <v>16.18907388836667</v>
      </c>
      <c r="BL19" t="n">
        <v>39.65905769169501</v>
      </c>
      <c r="BM19" t="inlineStr"/>
      <c r="BN19" t="n">
        <v>9</v>
      </c>
      <c r="BO19" t="n">
        <v>83</v>
      </c>
      <c r="BP19" t="n">
        <v>168</v>
      </c>
      <c r="BQ19" t="n">
        <v>220</v>
      </c>
      <c r="BR19" t="n">
        <v>454</v>
      </c>
      <c r="BS1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">
      <c r="A20" t="inlineStr">
        <is>
          <t>FRAG</t>
        </is>
      </c>
      <c r="B20" t="inlineStr">
        <is>
          <t>Fragmentación Desmonte 2025.xlsx</t>
        </is>
      </c>
      <c r="C20" t="inlineStr">
        <is>
          <t>ANÁLISIS DE FRAGMENTACIÓN</t>
        </is>
      </c>
      <c r="D20" t="n">
        <v>24</v>
      </c>
      <c r="E20" t="inlineStr">
        <is>
          <t>ROM (fragmentación post-voladura en el frente de carguío, por análisis de fotos)</t>
        </is>
      </c>
      <c r="F20" t="inlineStr"/>
      <c r="G20" t="inlineStr">
        <is>
          <t>no indicada en el archivo</t>
        </is>
      </c>
      <c r="H20" t="inlineStr">
        <is>
          <t>2025-01-11</t>
        </is>
      </c>
      <c r="I20" t="inlineStr">
        <is>
          <t>2025-01-16</t>
        </is>
      </c>
      <c r="J20" t="inlineStr">
        <is>
          <t>PALA 09</t>
        </is>
      </c>
      <c r="K20" t="n">
        <v>9</v>
      </c>
      <c r="L20" t="inlineStr">
        <is>
          <t>9-NP-3953-05</t>
        </is>
      </c>
      <c r="M20" t="n">
        <v>4</v>
      </c>
      <c r="N20" t="n">
        <v>3953</v>
      </c>
      <c r="O20" t="inlineStr">
        <is>
          <t>A</t>
        </is>
      </c>
      <c r="P20" t="n">
        <v>30</v>
      </c>
      <c r="Q20" t="inlineStr">
        <is>
          <t>Desmonte</t>
        </is>
      </c>
      <c r="R20" t="inlineStr">
        <is>
          <t>Producción</t>
        </is>
      </c>
      <c r="S20" t="n">
        <v>5</v>
      </c>
      <c r="T20" t="n">
        <v>10</v>
      </c>
      <c r="U20" t="n">
        <v>3</v>
      </c>
      <c r="V20" t="n">
        <v>0.9901679054650626</v>
      </c>
      <c r="W20" t="n">
        <v>0.134</v>
      </c>
      <c r="X20" t="n">
        <v>0.195</v>
      </c>
      <c r="Y20" t="n">
        <v>0.5</v>
      </c>
      <c r="Z20" t="n">
        <v>2</v>
      </c>
      <c r="AA20" t="n">
        <v>4.2</v>
      </c>
      <c r="AB20" t="n">
        <v>6.8</v>
      </c>
      <c r="AC20" t="n">
        <v>10.1</v>
      </c>
      <c r="AD20" t="n">
        <v>14</v>
      </c>
      <c r="AE20" t="n">
        <v>19</v>
      </c>
      <c r="AF20" t="n">
        <v>25.9</v>
      </c>
      <c r="AG20" t="n">
        <v>37.1</v>
      </c>
      <c r="AH20" t="n">
        <v>98.2</v>
      </c>
      <c r="AI20" t="n">
        <v>13321.02738598321</v>
      </c>
      <c r="AJ20" t="n">
        <v>615925</v>
      </c>
      <c r="AK20" t="n">
        <v>479455</v>
      </c>
      <c r="AL20" t="n">
        <v>0.7784308154401915</v>
      </c>
      <c r="AM20" t="inlineStr">
        <is>
          <t>2.405351219710192</t>
        </is>
      </c>
      <c r="AN20" t="inlineStr">
        <is>
          <t>16.5</t>
        </is>
      </c>
      <c r="AO20" t="inlineStr">
        <is>
          <t>5.5</t>
        </is>
      </c>
      <c r="AP20" t="inlineStr">
        <is>
          <t>12 1/4</t>
        </is>
      </c>
      <c r="AQ20" t="inlineStr">
        <is>
          <t>5</t>
        </is>
      </c>
      <c r="AR20" t="inlineStr">
        <is>
          <t>6</t>
        </is>
      </c>
      <c r="AS20" t="inlineStr">
        <is>
          <t>1.5</t>
        </is>
      </c>
      <c r="AT20" t="n">
        <v>451</v>
      </c>
      <c r="AU20" t="inlineStr">
        <is>
          <t>Vertex 70</t>
        </is>
      </c>
      <c r="AV20" t="inlineStr">
        <is>
          <t>100D2</t>
        </is>
      </c>
      <c r="AW20" t="n">
        <v>0.6499685094230209</v>
      </c>
      <c r="AX20" t="n">
        <v>0.6993034795404318</v>
      </c>
      <c r="AY20" t="n">
        <v>0.7473024834618686</v>
      </c>
      <c r="AZ20" t="n">
        <v>0.7929177375479396</v>
      </c>
      <c r="BA20" t="n">
        <v>0.8180809118624386</v>
      </c>
      <c r="BB20" t="n">
        <v>3.937007874015748</v>
      </c>
      <c r="BC20" t="n">
        <v>1.030322889473288</v>
      </c>
      <c r="BD20" t="n">
        <v>2.19844680952544</v>
      </c>
      <c r="BE20" t="n">
        <v>3.53042339129427</v>
      </c>
      <c r="BF20" t="n">
        <v>5.074297221995641</v>
      </c>
      <c r="BG20" t="n">
        <v>6.906291447003484</v>
      </c>
      <c r="BH20" t="n">
        <v>9.154956705662224</v>
      </c>
      <c r="BI20" t="n">
        <v>12.06194040672193</v>
      </c>
      <c r="BJ20" t="n">
        <v>16.17061158750704</v>
      </c>
      <c r="BK20" t="n">
        <v>23.21733622434066</v>
      </c>
      <c r="BL20" t="n">
        <v>70.41599624360167</v>
      </c>
      <c r="BM20" t="inlineStr"/>
      <c r="BN20" t="n">
        <v>5</v>
      </c>
      <c r="BO20" t="n">
        <v>101</v>
      </c>
      <c r="BP20" t="n">
        <v>259</v>
      </c>
      <c r="BQ20" t="n">
        <v>371</v>
      </c>
      <c r="BR20" t="n">
        <v>982</v>
      </c>
      <c r="BS2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">
      <c r="A21" t="inlineStr">
        <is>
          <t>FRAG</t>
        </is>
      </c>
      <c r="B21" t="inlineStr">
        <is>
          <t>Fragmentación Desmonte 2025.xlsx</t>
        </is>
      </c>
      <c r="C21" t="inlineStr">
        <is>
          <t>ANÁLISIS DE FRAGMENTACIÓN</t>
        </is>
      </c>
      <c r="D21" t="n">
        <v>25</v>
      </c>
      <c r="E21" t="inlineStr">
        <is>
          <t>ROM (fragmentación post-voladura en el frente de carguío, por análisis de fotos)</t>
        </is>
      </c>
      <c r="F21" t="inlineStr"/>
      <c r="G21" t="inlineStr">
        <is>
          <t>no indicada en el archivo</t>
        </is>
      </c>
      <c r="H21" t="inlineStr">
        <is>
          <t>2024-11-20</t>
        </is>
      </c>
      <c r="I21" t="inlineStr">
        <is>
          <t>2025-01-16</t>
        </is>
      </c>
      <c r="J21" t="inlineStr">
        <is>
          <t>PALA 05</t>
        </is>
      </c>
      <c r="K21" t="n">
        <v>9</v>
      </c>
      <c r="L21" t="inlineStr">
        <is>
          <t>9-NP-3968-03</t>
        </is>
      </c>
      <c r="M21" t="n">
        <v>2</v>
      </c>
      <c r="N21" t="n">
        <v>3968</v>
      </c>
      <c r="O21" t="inlineStr">
        <is>
          <t>C</t>
        </is>
      </c>
      <c r="P21" t="n">
        <v>30</v>
      </c>
      <c r="Q21" t="inlineStr">
        <is>
          <t>Desmonte</t>
        </is>
      </c>
      <c r="R21" t="inlineStr">
        <is>
          <t>Producción</t>
        </is>
      </c>
      <c r="S21" t="n">
        <v>4</v>
      </c>
      <c r="T21" t="n">
        <v>4.7</v>
      </c>
      <c r="U21" t="n">
        <v>3</v>
      </c>
      <c r="V21" t="n">
        <v>0.9080980903604876</v>
      </c>
      <c r="W21" t="n">
        <v>0.197</v>
      </c>
      <c r="X21" t="n">
        <v>0.3</v>
      </c>
      <c r="Y21" t="n">
        <v>0.3</v>
      </c>
      <c r="Z21" t="n">
        <v>1</v>
      </c>
      <c r="AA21" t="n">
        <v>1.9</v>
      </c>
      <c r="AB21" t="n">
        <v>3.2</v>
      </c>
      <c r="AC21" t="n">
        <v>4.7</v>
      </c>
      <c r="AD21" t="n">
        <v>6.6</v>
      </c>
      <c r="AE21" t="n">
        <v>9.1</v>
      </c>
      <c r="AF21" t="n">
        <v>12.7</v>
      </c>
      <c r="AG21" t="n">
        <v>18.9</v>
      </c>
      <c r="AH21" t="n">
        <v>63.8</v>
      </c>
      <c r="AI21" t="n">
        <v>10037.10208330588</v>
      </c>
      <c r="AJ21" t="n">
        <v>646016.25</v>
      </c>
      <c r="AK21" t="n">
        <v>217847</v>
      </c>
      <c r="AL21" t="n">
        <v>0.3372159756043288</v>
      </c>
      <c r="AM21" t="inlineStr">
        <is>
          <t>1.0419973646173761</t>
        </is>
      </c>
      <c r="AN21" t="inlineStr">
        <is>
          <t>16.5</t>
        </is>
      </c>
      <c r="AO21" t="inlineStr">
        <is>
          <t>6.5</t>
        </is>
      </c>
      <c r="AP21" t="inlineStr">
        <is>
          <t>12 1/4</t>
        </is>
      </c>
      <c r="AQ21" t="inlineStr">
        <is>
          <t>6</t>
        </is>
      </c>
      <c r="AR21" t="inlineStr">
        <is>
          <t>7</t>
        </is>
      </c>
      <c r="AS21" t="inlineStr">
        <is>
          <t>1.5</t>
        </is>
      </c>
      <c r="AT21" t="n">
        <v>247</v>
      </c>
      <c r="AU21" t="inlineStr">
        <is>
          <t>Vertex 70</t>
        </is>
      </c>
      <c r="AV21" t="inlineStr">
        <is>
          <t>50/50AR</t>
        </is>
      </c>
      <c r="AW21" t="n">
        <v>0.6690747956581176</v>
      </c>
      <c r="AX21" t="n">
        <v>0.7437180129145915</v>
      </c>
      <c r="AY21" t="n">
        <v>0.8129117249889009</v>
      </c>
      <c r="AZ21" t="n">
        <v>0.8730057076559115</v>
      </c>
      <c r="BA21" t="n">
        <v>0.9027563088204988</v>
      </c>
      <c r="BB21" t="n">
        <v>1.850393700787402</v>
      </c>
      <c r="BC21" t="n">
        <v>0.3943375947094444</v>
      </c>
      <c r="BD21" t="n">
        <v>0.9010672898704384</v>
      </c>
      <c r="BE21" t="n">
        <v>1.510286262250132</v>
      </c>
      <c r="BF21" t="n">
        <v>2.243091352163938</v>
      </c>
      <c r="BG21" t="n">
        <v>3.139167127832917</v>
      </c>
      <c r="BH21" t="n">
        <v>4.268633038383714</v>
      </c>
      <c r="BI21" t="n">
        <v>5.765980300223561</v>
      </c>
      <c r="BJ21" t="n">
        <v>7.937578979292335</v>
      </c>
      <c r="BK21" t="n">
        <v>11.77526595390273</v>
      </c>
      <c r="BL21" t="n">
        <v>39.48006895172313</v>
      </c>
      <c r="BM21" t="inlineStr"/>
      <c r="BN21" t="n">
        <v>3</v>
      </c>
      <c r="BO21" t="n">
        <v>47</v>
      </c>
      <c r="BP21" t="n">
        <v>127</v>
      </c>
      <c r="BQ21" t="n">
        <v>189</v>
      </c>
      <c r="BR21" t="n">
        <v>638</v>
      </c>
      <c r="BS2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">
      <c r="A22" t="inlineStr">
        <is>
          <t>FRAG</t>
        </is>
      </c>
      <c r="B22" t="inlineStr">
        <is>
          <t>Fragmentación Desmonte 2025.xlsx</t>
        </is>
      </c>
      <c r="C22" t="inlineStr">
        <is>
          <t>ANÁLISIS DE FRAGMENTACIÓN</t>
        </is>
      </c>
      <c r="D22" t="n">
        <v>26</v>
      </c>
      <c r="E22" t="inlineStr">
        <is>
          <t>ROM (fragmentación post-voladura en el frente de carguío, por análisis de fotos)</t>
        </is>
      </c>
      <c r="F22" t="inlineStr"/>
      <c r="G22" t="inlineStr">
        <is>
          <t>no indicada en el archivo</t>
        </is>
      </c>
      <c r="H22" t="inlineStr">
        <is>
          <t>2025-01-15</t>
        </is>
      </c>
      <c r="I22" t="inlineStr">
        <is>
          <t>2025-01-17</t>
        </is>
      </c>
      <c r="J22" t="inlineStr">
        <is>
          <t>PALA 10</t>
        </is>
      </c>
      <c r="K22" t="n">
        <v>8</v>
      </c>
      <c r="L22" t="inlineStr">
        <is>
          <t>8-NP-3773-19</t>
        </is>
      </c>
      <c r="M22" t="n">
        <v>5</v>
      </c>
      <c r="N22" t="n">
        <v>3773</v>
      </c>
      <c r="O22" t="inlineStr">
        <is>
          <t>A</t>
        </is>
      </c>
      <c r="P22" t="n">
        <v>30</v>
      </c>
      <c r="Q22" t="inlineStr">
        <is>
          <t>Desmonte</t>
        </is>
      </c>
      <c r="R22" t="inlineStr">
        <is>
          <t>Producción</t>
        </is>
      </c>
      <c r="S22" t="n">
        <v>5</v>
      </c>
      <c r="T22" t="n">
        <v>3.5</v>
      </c>
      <c r="U22" t="n">
        <v>3</v>
      </c>
      <c r="V22" t="n">
        <v>0.8560050059741208</v>
      </c>
      <c r="W22" t="n">
        <v>0.266</v>
      </c>
      <c r="X22" t="n">
        <v>0.377</v>
      </c>
      <c r="Y22" t="n">
        <v>0.1</v>
      </c>
      <c r="Z22" t="n">
        <v>0.5</v>
      </c>
      <c r="AA22" t="n">
        <v>1.2</v>
      </c>
      <c r="AB22" t="n">
        <v>2.2</v>
      </c>
      <c r="AC22" t="n">
        <v>3.5</v>
      </c>
      <c r="AD22" t="n">
        <v>5.3</v>
      </c>
      <c r="AE22" t="n">
        <v>7.7</v>
      </c>
      <c r="AF22" t="n">
        <v>11.3</v>
      </c>
      <c r="AG22" t="n">
        <v>17.8</v>
      </c>
      <c r="AH22" t="n">
        <v>62.6</v>
      </c>
      <c r="AI22" t="inlineStr"/>
      <c r="AJ22" t="n">
        <v>709912.5</v>
      </c>
      <c r="AK22" t="n">
        <v>287014</v>
      </c>
      <c r="AL22" t="n">
        <v>0.4042948954976845</v>
      </c>
      <c r="AM22" t="inlineStr">
        <is>
          <t>1.2492712270878454</t>
        </is>
      </c>
      <c r="AN22" t="inlineStr">
        <is>
          <t>16.5</t>
        </is>
      </c>
      <c r="AO22" t="inlineStr">
        <is>
          <t>6.5</t>
        </is>
      </c>
      <c r="AP22" t="inlineStr">
        <is>
          <t>12 1/4</t>
        </is>
      </c>
      <c r="AQ22" t="inlineStr">
        <is>
          <t>6</t>
        </is>
      </c>
      <c r="AR22" t="inlineStr">
        <is>
          <t>7</t>
        </is>
      </c>
      <c r="AS22" t="inlineStr">
        <is>
          <t>1.5</t>
        </is>
      </c>
      <c r="AT22" t="n">
        <v>329</v>
      </c>
      <c r="AU22" t="inlineStr">
        <is>
          <t>Vertex 70</t>
        </is>
      </c>
      <c r="AV22" t="inlineStr">
        <is>
          <t>48/52AR</t>
        </is>
      </c>
      <c r="AW22" t="n">
        <v>0.686624716912107</v>
      </c>
      <c r="AX22" t="n">
        <v>0.7783997647198664</v>
      </c>
      <c r="AY22" t="n">
        <v>0.858703234195883</v>
      </c>
      <c r="AZ22" t="n">
        <v>0.9212357947419751</v>
      </c>
      <c r="BA22" t="n">
        <v>0.9482340611634648</v>
      </c>
      <c r="BB22" t="n">
        <v>1.377952755905512</v>
      </c>
      <c r="BC22" t="n">
        <v>0.2525476207764353</v>
      </c>
      <c r="BD22" t="n">
        <v>0.6068381735934882</v>
      </c>
      <c r="BE22" t="n">
        <v>1.049603033129103</v>
      </c>
      <c r="BF22" t="n">
        <v>1.59686089762088</v>
      </c>
      <c r="BG22" t="n">
        <v>2.280959465645924</v>
      </c>
      <c r="BH22" t="n">
        <v>3.16020077293131</v>
      </c>
      <c r="BI22" t="n">
        <v>4.347562705897031</v>
      </c>
      <c r="BJ22" t="n">
        <v>6.102509819758438</v>
      </c>
      <c r="BK22" t="n">
        <v>9.272882117158106</v>
      </c>
      <c r="BL22" t="n">
        <v>33.46540787454371</v>
      </c>
      <c r="BM22" t="inlineStr"/>
      <c r="BN22" t="n">
        <v>1</v>
      </c>
      <c r="BO22" t="n">
        <v>35</v>
      </c>
      <c r="BP22" t="n">
        <v>113</v>
      </c>
      <c r="BQ22" t="n">
        <v>178</v>
      </c>
      <c r="BR22" t="n">
        <v>626</v>
      </c>
      <c r="BS2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">
      <c r="A23" t="inlineStr">
        <is>
          <t>FRAG</t>
        </is>
      </c>
      <c r="B23" t="inlineStr">
        <is>
          <t>Fragmentación Desmonte 2025.xlsx</t>
        </is>
      </c>
      <c r="C23" t="inlineStr">
        <is>
          <t>ANÁLISIS DE FRAGMENTACIÓN</t>
        </is>
      </c>
      <c r="D23" t="n">
        <v>27</v>
      </c>
      <c r="E23" t="inlineStr">
        <is>
          <t>ROM (fragmentación post-voladura en el frente de carguío, por análisis de fotos)</t>
        </is>
      </c>
      <c r="F23" t="inlineStr"/>
      <c r="G23" t="inlineStr">
        <is>
          <t>no indicada en el archivo</t>
        </is>
      </c>
      <c r="H23" t="inlineStr">
        <is>
          <t>2025-01-15</t>
        </is>
      </c>
      <c r="I23" t="inlineStr">
        <is>
          <t>2025-01-17</t>
        </is>
      </c>
      <c r="J23" t="inlineStr">
        <is>
          <t>PALA 07</t>
        </is>
      </c>
      <c r="K23" t="n">
        <v>8</v>
      </c>
      <c r="L23" t="inlineStr">
        <is>
          <t>8-NP-3773-19</t>
        </is>
      </c>
      <c r="M23" t="n">
        <v>5</v>
      </c>
      <c r="N23" t="n">
        <v>3773</v>
      </c>
      <c r="O23" t="inlineStr">
        <is>
          <t>A</t>
        </is>
      </c>
      <c r="P23" t="n">
        <v>30</v>
      </c>
      <c r="Q23" t="inlineStr">
        <is>
          <t>Desmonte</t>
        </is>
      </c>
      <c r="R23" t="inlineStr">
        <is>
          <t>Producción</t>
        </is>
      </c>
      <c r="S23" t="n">
        <v>2</v>
      </c>
      <c r="T23" t="n">
        <v>8.9</v>
      </c>
      <c r="U23" t="n">
        <v>2</v>
      </c>
      <c r="V23" t="n">
        <v>0.6597422000962203</v>
      </c>
      <c r="W23" t="n">
        <v>0.185</v>
      </c>
      <c r="X23" t="n">
        <v>0.249</v>
      </c>
      <c r="Y23" t="n">
        <v>0.2</v>
      </c>
      <c r="Z23" t="n">
        <v>1.1</v>
      </c>
      <c r="AA23" t="n">
        <v>3</v>
      </c>
      <c r="AB23" t="n">
        <v>5.6</v>
      </c>
      <c r="AC23" t="n">
        <v>8.9</v>
      </c>
      <c r="AD23" t="n">
        <v>13.2</v>
      </c>
      <c r="AE23" t="n">
        <v>18.8</v>
      </c>
      <c r="AF23" t="n">
        <v>26.5</v>
      </c>
      <c r="AG23" t="n">
        <v>38.6</v>
      </c>
      <c r="AH23" t="n">
        <v>86.7</v>
      </c>
      <c r="AI23" t="inlineStr"/>
      <c r="AJ23" t="n">
        <v>709912.5</v>
      </c>
      <c r="AK23" t="n">
        <v>287014</v>
      </c>
      <c r="AL23" t="n">
        <v>0.4042948954976845</v>
      </c>
      <c r="AM23" t="inlineStr">
        <is>
          <t>1.2492712270878454</t>
        </is>
      </c>
      <c r="AN23" t="inlineStr">
        <is>
          <t>16.5</t>
        </is>
      </c>
      <c r="AO23" t="inlineStr">
        <is>
          <t>6.5</t>
        </is>
      </c>
      <c r="AP23" t="inlineStr">
        <is>
          <t>12 1/4</t>
        </is>
      </c>
      <c r="AQ23" t="inlineStr">
        <is>
          <t>6</t>
        </is>
      </c>
      <c r="AR23" t="inlineStr">
        <is>
          <t>7</t>
        </is>
      </c>
      <c r="AS23" t="inlineStr">
        <is>
          <t>1.5</t>
        </is>
      </c>
      <c r="AT23" t="n">
        <v>329</v>
      </c>
      <c r="AU23" t="inlineStr">
        <is>
          <t>Vertex 70</t>
        </is>
      </c>
      <c r="AV23" t="inlineStr">
        <is>
          <t>48/52AR</t>
        </is>
      </c>
      <c r="AW23" t="n">
        <v>0.691836857267613</v>
      </c>
      <c r="AX23" t="n">
        <v>0.7531258518674702</v>
      </c>
      <c r="AY23" t="n">
        <v>0.810317054828501</v>
      </c>
      <c r="AZ23" t="n">
        <v>0.8613177079903918</v>
      </c>
      <c r="BA23" t="n">
        <v>0.8875718459496387</v>
      </c>
      <c r="BB23" t="n">
        <v>3.503937007874016</v>
      </c>
      <c r="BC23" t="n">
        <v>0.2937786936517229</v>
      </c>
      <c r="BD23" t="n">
        <v>0.9162435009407836</v>
      </c>
      <c r="BE23" t="n">
        <v>1.865305968643796</v>
      </c>
      <c r="BF23" t="n">
        <v>3.21518662845161</v>
      </c>
      <c r="BG23" t="n">
        <v>5.106486900337502</v>
      </c>
      <c r="BH23" t="n">
        <v>7.795468404680847</v>
      </c>
      <c r="BI23" t="n">
        <v>11.79191165604544</v>
      </c>
      <c r="BJ23" t="n">
        <v>18.30860009784826</v>
      </c>
      <c r="BK23" t="n">
        <v>31.50765700323877</v>
      </c>
      <c r="BL23" t="n">
        <v>166.5749089985956</v>
      </c>
      <c r="BM23" t="inlineStr"/>
      <c r="BN23" t="n">
        <v>2</v>
      </c>
      <c r="BO23" t="n">
        <v>89</v>
      </c>
      <c r="BP23" t="n">
        <v>265</v>
      </c>
      <c r="BQ23" t="n">
        <v>386</v>
      </c>
      <c r="BR23" t="n">
        <v>867</v>
      </c>
      <c r="BS2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">
      <c r="A24" t="inlineStr">
        <is>
          <t>FRAG</t>
        </is>
      </c>
      <c r="B24" t="inlineStr">
        <is>
          <t>Fragmentación Desmonte 2025.xlsx</t>
        </is>
      </c>
      <c r="C24" t="inlineStr">
        <is>
          <t>ANÁLISIS DE FRAGMENTACIÓN</t>
        </is>
      </c>
      <c r="D24" t="n">
        <v>28</v>
      </c>
      <c r="E24" t="inlineStr">
        <is>
          <t>ROM (fragmentación post-voladura en el frente de carguío, por análisis de fotos)</t>
        </is>
      </c>
      <c r="F24" t="inlineStr"/>
      <c r="G24" t="inlineStr">
        <is>
          <t>no indicada en el archivo</t>
        </is>
      </c>
      <c r="H24" t="inlineStr">
        <is>
          <t>2025-01-16</t>
        </is>
      </c>
      <c r="I24" t="inlineStr">
        <is>
          <t>2025-01-18</t>
        </is>
      </c>
      <c r="J24" t="inlineStr">
        <is>
          <t>PALA 09</t>
        </is>
      </c>
      <c r="K24" t="n">
        <v>9</v>
      </c>
      <c r="L24" t="inlineStr">
        <is>
          <t>9-NP-3953-06</t>
        </is>
      </c>
      <c r="M24" t="n">
        <v>2</v>
      </c>
      <c r="N24" t="n">
        <v>3953</v>
      </c>
      <c r="O24" t="inlineStr">
        <is>
          <t>B</t>
        </is>
      </c>
      <c r="P24" t="n">
        <v>30</v>
      </c>
      <c r="Q24" t="inlineStr">
        <is>
          <t>Desmonte</t>
        </is>
      </c>
      <c r="R24" t="inlineStr">
        <is>
          <t>Producción</t>
        </is>
      </c>
      <c r="S24" t="n">
        <v>6</v>
      </c>
      <c r="T24" t="n">
        <v>6.9</v>
      </c>
      <c r="U24" t="n">
        <v>3</v>
      </c>
      <c r="V24" t="n">
        <v>1.029682099799312</v>
      </c>
      <c r="W24" t="n">
        <v>0.153</v>
      </c>
      <c r="X24" t="n">
        <v>0.23</v>
      </c>
      <c r="Y24" t="n">
        <v>0.4</v>
      </c>
      <c r="Z24" t="n">
        <v>1.5</v>
      </c>
      <c r="AA24" t="n">
        <v>3</v>
      </c>
      <c r="AB24" t="n">
        <v>4.8</v>
      </c>
      <c r="AC24" t="n">
        <v>6.9</v>
      </c>
      <c r="AD24" t="n">
        <v>9.5</v>
      </c>
      <c r="AE24" t="n">
        <v>12.6</v>
      </c>
      <c r="AF24" t="n">
        <v>16.9</v>
      </c>
      <c r="AG24" t="n">
        <v>23.7</v>
      </c>
      <c r="AH24" t="n">
        <v>59</v>
      </c>
      <c r="AI24" t="n">
        <v>11452.85470981265</v>
      </c>
      <c r="AJ24" t="n">
        <v>389853.75</v>
      </c>
      <c r="AK24" t="n">
        <v>171720</v>
      </c>
      <c r="AL24" t="n">
        <v>0.440472869633805</v>
      </c>
      <c r="AM24" t="inlineStr">
        <is>
          <t>1.3610611671684572</t>
        </is>
      </c>
      <c r="AN24" t="inlineStr">
        <is>
          <t>16.5</t>
        </is>
      </c>
      <c r="AO24" t="inlineStr">
        <is>
          <t>6.5</t>
        </is>
      </c>
      <c r="AP24" t="inlineStr">
        <is>
          <t>12 1/4</t>
        </is>
      </c>
      <c r="AQ24" t="inlineStr">
        <is>
          <t>6</t>
        </is>
      </c>
      <c r="AR24" t="inlineStr">
        <is>
          <t>7</t>
        </is>
      </c>
      <c r="AS24" t="inlineStr">
        <is>
          <t>1.5</t>
        </is>
      </c>
      <c r="AT24" t="n">
        <v>180</v>
      </c>
      <c r="AU24" t="inlineStr">
        <is>
          <t>Vertex 70</t>
        </is>
      </c>
      <c r="AV24" t="inlineStr">
        <is>
          <t>49/51AR</t>
        </is>
      </c>
      <c r="AW24" t="n">
        <v>0.6498624360529198</v>
      </c>
      <c r="AX24" t="n">
        <v>0.707943265041465</v>
      </c>
      <c r="AY24" t="n">
        <v>0.7639079947859166</v>
      </c>
      <c r="AZ24" t="n">
        <v>0.8160381299099615</v>
      </c>
      <c r="BA24" t="n">
        <v>0.8440951862827386</v>
      </c>
      <c r="BB24" t="n">
        <v>2.716535433070866</v>
      </c>
      <c r="BC24" t="n">
        <v>0.7757105970953651</v>
      </c>
      <c r="BD24" t="n">
        <v>1.607723815297741</v>
      </c>
      <c r="BE24" t="n">
        <v>2.535292622417267</v>
      </c>
      <c r="BF24" t="n">
        <v>3.593612404050272</v>
      </c>
      <c r="BG24" t="n">
        <v>4.833514121963871</v>
      </c>
      <c r="BH24" t="n">
        <v>6.338358955377283</v>
      </c>
      <c r="BI24" t="n">
        <v>8.263078404805192</v>
      </c>
      <c r="BJ24" t="n">
        <v>10.95382075233533</v>
      </c>
      <c r="BK24" t="n">
        <v>15.51041363693506</v>
      </c>
      <c r="BL24" t="n">
        <v>45.0807272175226</v>
      </c>
      <c r="BM24" t="inlineStr"/>
      <c r="BN24" t="n">
        <v>4</v>
      </c>
      <c r="BO24" t="n">
        <v>69</v>
      </c>
      <c r="BP24" t="n">
        <v>169</v>
      </c>
      <c r="BQ24" t="n">
        <v>237</v>
      </c>
      <c r="BR24" t="n">
        <v>590</v>
      </c>
      <c r="BS2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">
      <c r="A25" t="inlineStr">
        <is>
          <t>FRAG</t>
        </is>
      </c>
      <c r="B25" t="inlineStr">
        <is>
          <t>Fragmentación Desmonte 2025.xlsx</t>
        </is>
      </c>
      <c r="C25" t="inlineStr">
        <is>
          <t>ANÁLISIS DE FRAGMENTACIÓN</t>
        </is>
      </c>
      <c r="D25" t="n">
        <v>29</v>
      </c>
      <c r="E25" t="inlineStr">
        <is>
          <t>ROM (fragmentación post-voladura en el frente de carguío, por análisis de fotos)</t>
        </is>
      </c>
      <c r="F25" t="inlineStr"/>
      <c r="G25" t="inlineStr">
        <is>
          <t>no indicada en el archivo</t>
        </is>
      </c>
      <c r="H25" t="inlineStr">
        <is>
          <t>2025-01-17</t>
        </is>
      </c>
      <c r="I25" t="inlineStr">
        <is>
          <t>2025-01-18</t>
        </is>
      </c>
      <c r="J25" t="inlineStr">
        <is>
          <t>PALA 08</t>
        </is>
      </c>
      <c r="K25" t="n">
        <v>9</v>
      </c>
      <c r="L25" t="inlineStr">
        <is>
          <t>9-NP-3983-37</t>
        </is>
      </c>
      <c r="M25" t="n">
        <v>1</v>
      </c>
      <c r="N25" t="n">
        <v>3983</v>
      </c>
      <c r="O25" t="inlineStr">
        <is>
          <t>C</t>
        </is>
      </c>
      <c r="P25" t="n">
        <v>30</v>
      </c>
      <c r="Q25" t="inlineStr">
        <is>
          <t>Desmonte</t>
        </is>
      </c>
      <c r="R25" t="inlineStr">
        <is>
          <t>Producción</t>
        </is>
      </c>
      <c r="S25" t="n">
        <v>3</v>
      </c>
      <c r="T25" t="n">
        <v>9.1</v>
      </c>
      <c r="U25" t="n">
        <v>3</v>
      </c>
      <c r="V25" t="n">
        <v>1.102560787001627</v>
      </c>
      <c r="W25" t="n">
        <v>0.114</v>
      </c>
      <c r="X25" t="n">
        <v>0.175</v>
      </c>
      <c r="Y25" t="n">
        <v>0.8</v>
      </c>
      <c r="Z25" t="n">
        <v>2.4</v>
      </c>
      <c r="AA25" t="n">
        <v>4.4</v>
      </c>
      <c r="AB25" t="n">
        <v>6.6</v>
      </c>
      <c r="AC25" t="n">
        <v>9.199999999999999</v>
      </c>
      <c r="AD25" t="n">
        <v>12.2</v>
      </c>
      <c r="AE25" t="n">
        <v>15.7</v>
      </c>
      <c r="AF25" t="n">
        <v>20.5</v>
      </c>
      <c r="AG25" t="n">
        <v>27.8</v>
      </c>
      <c r="AH25" t="n">
        <v>64.59999999999999</v>
      </c>
      <c r="AI25" t="inlineStr"/>
      <c r="AJ25" t="n">
        <v>137486.25</v>
      </c>
      <c r="AK25" t="n">
        <v>41676</v>
      </c>
      <c r="AL25" t="n">
        <v>0.3031284946676486</v>
      </c>
      <c r="AM25" t="inlineStr">
        <is>
          <t>0.9366670485230341</t>
        </is>
      </c>
      <c r="AN25" t="inlineStr">
        <is>
          <t>17</t>
        </is>
      </c>
      <c r="AO25" t="inlineStr">
        <is>
          <t>7</t>
        </is>
      </c>
      <c r="AP25" t="inlineStr">
        <is>
          <t>12 1/4</t>
        </is>
      </c>
      <c r="AQ25" t="inlineStr">
        <is>
          <t>9</t>
        </is>
      </c>
      <c r="AR25" t="inlineStr">
        <is>
          <t>10.35</t>
        </is>
      </c>
      <c r="AS25" t="inlineStr">
        <is>
          <t>2</t>
        </is>
      </c>
      <c r="AT25" t="n">
        <v>45</v>
      </c>
      <c r="AU25" t="inlineStr">
        <is>
          <t>Vertex 70</t>
        </is>
      </c>
      <c r="AV25" t="inlineStr">
        <is>
          <t>51D2/49AR</t>
        </is>
      </c>
      <c r="AW25" t="n">
        <v>0.6412216062800355</v>
      </c>
      <c r="AX25" t="n">
        <v>0.6856490932044803</v>
      </c>
      <c r="AY25" t="n">
        <v>0.7292308973635286</v>
      </c>
      <c r="AZ25" t="n">
        <v>0.7712165593423177</v>
      </c>
      <c r="BA25" t="n">
        <v>0.7947324727850733</v>
      </c>
      <c r="BB25" t="n">
        <v>3.582677165354331</v>
      </c>
      <c r="BC25" t="n">
        <v>1.18203489919575</v>
      </c>
      <c r="BD25" t="n">
        <v>2.334644513462149</v>
      </c>
      <c r="BE25" t="n">
        <v>3.572414415284907</v>
      </c>
      <c r="BF25" t="n">
        <v>4.948239323953874</v>
      </c>
      <c r="BG25" t="n">
        <v>6.526394967484808</v>
      </c>
      <c r="BH25" t="n">
        <v>8.406328731049943</v>
      </c>
      <c r="BI25" t="n">
        <v>10.76859548996608</v>
      </c>
      <c r="BJ25" t="n">
        <v>14.01169495915216</v>
      </c>
      <c r="BK25" t="n">
        <v>19.38936500254256</v>
      </c>
      <c r="BL25" t="n">
        <v>52.51734589760012</v>
      </c>
      <c r="BM25" t="inlineStr"/>
      <c r="BN25" t="n">
        <v>8</v>
      </c>
      <c r="BO25" t="n">
        <v>92</v>
      </c>
      <c r="BP25" t="n">
        <v>205</v>
      </c>
      <c r="BQ25" t="n">
        <v>278</v>
      </c>
      <c r="BR25" t="n">
        <v>646</v>
      </c>
      <c r="BS2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">
      <c r="A26" t="inlineStr">
        <is>
          <t>FRAG</t>
        </is>
      </c>
      <c r="B26" t="inlineStr">
        <is>
          <t>Fragmentación Desmonte 2025.xlsx</t>
        </is>
      </c>
      <c r="C26" t="inlineStr">
        <is>
          <t>ANÁLISIS DE FRAGMENTACIÓN</t>
        </is>
      </c>
      <c r="D26" t="n">
        <v>30</v>
      </c>
      <c r="E26" t="inlineStr">
        <is>
          <t>ROM (fragmentación post-voladura en el frente de carguío, por análisis de fotos)</t>
        </is>
      </c>
      <c r="F26" t="inlineStr"/>
      <c r="G26" t="inlineStr">
        <is>
          <t>no indicada en el archivo</t>
        </is>
      </c>
      <c r="H26" t="inlineStr">
        <is>
          <t>2024-12-29</t>
        </is>
      </c>
      <c r="I26" t="inlineStr">
        <is>
          <t>2025-01-18</t>
        </is>
      </c>
      <c r="J26" t="inlineStr">
        <is>
          <t>PALA 08</t>
        </is>
      </c>
      <c r="K26" t="n">
        <v>9</v>
      </c>
      <c r="L26" t="inlineStr">
        <is>
          <t>9-NP-3983-35</t>
        </is>
      </c>
      <c r="M26" t="n">
        <v>2</v>
      </c>
      <c r="N26" t="n">
        <v>3983</v>
      </c>
      <c r="O26" t="inlineStr">
        <is>
          <t>A</t>
        </is>
      </c>
      <c r="P26" t="n">
        <v>30</v>
      </c>
      <c r="Q26" t="inlineStr">
        <is>
          <t>Desmonte</t>
        </is>
      </c>
      <c r="R26" t="inlineStr">
        <is>
          <t>Producción</t>
        </is>
      </c>
      <c r="S26" t="n">
        <v>3</v>
      </c>
      <c r="T26" t="n">
        <v>10.1</v>
      </c>
      <c r="U26" t="n">
        <v>2</v>
      </c>
      <c r="V26" t="n">
        <v>0.8283293030866281</v>
      </c>
      <c r="W26" t="n">
        <v>0.138</v>
      </c>
      <c r="X26" t="n">
        <v>0.195</v>
      </c>
      <c r="Y26" t="n">
        <v>0.5</v>
      </c>
      <c r="Z26" t="n">
        <v>2</v>
      </c>
      <c r="AA26" t="n">
        <v>4.3</v>
      </c>
      <c r="AB26" t="n">
        <v>7</v>
      </c>
      <c r="AC26" t="n">
        <v>10.2</v>
      </c>
      <c r="AD26" t="n">
        <v>13.7</v>
      </c>
      <c r="AE26" t="n">
        <v>17.9</v>
      </c>
      <c r="AF26" t="n">
        <v>23.1</v>
      </c>
      <c r="AG26" t="n">
        <v>30.6</v>
      </c>
      <c r="AH26" t="n">
        <v>54.3</v>
      </c>
      <c r="AI26" t="inlineStr"/>
      <c r="AJ26" t="n">
        <v>343117.5</v>
      </c>
      <c r="AK26" t="n">
        <v>106063</v>
      </c>
      <c r="AL26" t="n">
        <v>0.3091156819456891</v>
      </c>
      <c r="AM26" t="inlineStr">
        <is>
          <t>0.9551674572121794</t>
        </is>
      </c>
      <c r="AN26" t="inlineStr">
        <is>
          <t>17</t>
        </is>
      </c>
      <c r="AO26" t="inlineStr">
        <is>
          <t>7</t>
        </is>
      </c>
      <c r="AP26" t="inlineStr">
        <is>
          <t>12 1/4</t>
        </is>
      </c>
      <c r="AQ26" t="inlineStr">
        <is>
          <t>9</t>
        </is>
      </c>
      <c r="AR26" t="inlineStr">
        <is>
          <t>10.35</t>
        </is>
      </c>
      <c r="AS26" t="inlineStr">
        <is>
          <t>2</t>
        </is>
      </c>
      <c r="AT26" t="n">
        <v>161</v>
      </c>
      <c r="AU26" t="inlineStr">
        <is>
          <t>Vertex 70</t>
        </is>
      </c>
      <c r="AV26" t="inlineStr">
        <is>
          <t>50/50AR</t>
        </is>
      </c>
      <c r="AW26" t="n">
        <v>0.6627417676949239</v>
      </c>
      <c r="AX26" t="n">
        <v>0.7118309485163714</v>
      </c>
      <c r="AY26" t="n">
        <v>0.7593170912675087</v>
      </c>
      <c r="AZ26" t="n">
        <v>0.8041491617555803</v>
      </c>
      <c r="BA26" t="n">
        <v>0.8287351250766992</v>
      </c>
      <c r="BB26" t="n">
        <v>3.976377952755905</v>
      </c>
      <c r="BC26" t="n">
        <v>0.6674979000481931</v>
      </c>
      <c r="BD26" t="n">
        <v>1.651582423481717</v>
      </c>
      <c r="BE26" t="n">
        <v>2.909395548669703</v>
      </c>
      <c r="BF26" t="n">
        <v>4.488836153574242</v>
      </c>
      <c r="BG26" t="n">
        <v>6.488704813702713</v>
      </c>
      <c r="BH26" t="n">
        <v>9.088371956661952</v>
      </c>
      <c r="BI26" t="n">
        <v>12.63705290106288</v>
      </c>
      <c r="BJ26" t="n">
        <v>17.94025853847248</v>
      </c>
      <c r="BK26" t="n">
        <v>27.64432709120524</v>
      </c>
      <c r="BL26" t="n">
        <v>104.1382655830634</v>
      </c>
      <c r="BM26" t="inlineStr"/>
      <c r="BN26" t="n">
        <v>5</v>
      </c>
      <c r="BO26" t="n">
        <v>102</v>
      </c>
      <c r="BP26" t="n">
        <v>231</v>
      </c>
      <c r="BQ26" t="n">
        <v>306</v>
      </c>
      <c r="BR26" t="n">
        <v>543</v>
      </c>
      <c r="BS2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">
      <c r="A27" t="inlineStr">
        <is>
          <t>FRAG</t>
        </is>
      </c>
      <c r="B27" t="inlineStr">
        <is>
          <t>Fragmentación Desmonte 2025.xlsx</t>
        </is>
      </c>
      <c r="C27" t="inlineStr">
        <is>
          <t>ANÁLISIS DE FRAGMENTACIÓN</t>
        </is>
      </c>
      <c r="D27" t="n">
        <v>31</v>
      </c>
      <c r="E27" t="inlineStr">
        <is>
          <t>ROM (fragmentación post-voladura en el frente de carguío, por análisis de fotos)</t>
        </is>
      </c>
      <c r="F27" t="inlineStr"/>
      <c r="G27" t="inlineStr">
        <is>
          <t>no indicada en el archivo</t>
        </is>
      </c>
      <c r="H27" t="inlineStr">
        <is>
          <t>2025-01-17</t>
        </is>
      </c>
      <c r="I27" t="inlineStr">
        <is>
          <t>2025-01-19</t>
        </is>
      </c>
      <c r="J27" t="inlineStr">
        <is>
          <t>PALA 06</t>
        </is>
      </c>
      <c r="K27" t="n">
        <v>10</v>
      </c>
      <c r="L27" t="inlineStr">
        <is>
          <t>10-NP-4433-11</t>
        </is>
      </c>
      <c r="M27" t="n">
        <v>2</v>
      </c>
      <c r="N27" t="n">
        <v>4433</v>
      </c>
      <c r="O27" t="inlineStr">
        <is>
          <t>A</t>
        </is>
      </c>
      <c r="P27" t="n">
        <v>30</v>
      </c>
      <c r="Q27" t="inlineStr">
        <is>
          <t>Desmonte</t>
        </is>
      </c>
      <c r="R27" t="inlineStr">
        <is>
          <t>Producción</t>
        </is>
      </c>
      <c r="S27" t="n">
        <v>4</v>
      </c>
      <c r="T27" t="n">
        <v>3.6</v>
      </c>
      <c r="U27" t="n">
        <v>3</v>
      </c>
      <c r="V27" t="n">
        <v>0.8872046455515302</v>
      </c>
      <c r="W27" t="n">
        <v>0.245</v>
      </c>
      <c r="X27" t="n">
        <v>0.359</v>
      </c>
      <c r="Y27" t="n">
        <v>0.2</v>
      </c>
      <c r="Z27" t="n">
        <v>0.6</v>
      </c>
      <c r="AA27" t="n">
        <v>1.4</v>
      </c>
      <c r="AB27" t="n">
        <v>2.4</v>
      </c>
      <c r="AC27" t="n">
        <v>3.7</v>
      </c>
      <c r="AD27" t="n">
        <v>5.3</v>
      </c>
      <c r="AE27" t="n">
        <v>7.5</v>
      </c>
      <c r="AF27" t="n">
        <v>10.8</v>
      </c>
      <c r="AG27" t="n">
        <v>16.4</v>
      </c>
      <c r="AH27" t="n">
        <v>55.7</v>
      </c>
      <c r="AI27" t="inlineStr"/>
      <c r="AJ27" t="n">
        <v>522183.75</v>
      </c>
      <c r="AK27" t="n">
        <v>113400</v>
      </c>
      <c r="AL27" t="n">
        <v>0.2171649347571616</v>
      </c>
      <c r="AM27" t="inlineStr">
        <is>
          <t>0.6710396483996295</t>
        </is>
      </c>
      <c r="AN27" t="inlineStr">
        <is>
          <t>17</t>
        </is>
      </c>
      <c r="AO27" t="inlineStr">
        <is>
          <t>7</t>
        </is>
      </c>
      <c r="AP27" t="inlineStr">
        <is>
          <t>12 1/4</t>
        </is>
      </c>
      <c r="AQ27" t="inlineStr">
        <is>
          <t>9</t>
        </is>
      </c>
      <c r="AR27" t="inlineStr">
        <is>
          <t>10.35</t>
        </is>
      </c>
      <c r="AS27" t="inlineStr">
        <is>
          <t>2</t>
        </is>
      </c>
      <c r="AT27" t="n">
        <v>265</v>
      </c>
      <c r="AU27" t="inlineStr">
        <is>
          <t>Vertex 70</t>
        </is>
      </c>
      <c r="AV27" t="inlineStr">
        <is>
          <t>48D2/52AR</t>
        </is>
      </c>
      <c r="AW27" t="n">
        <v>0.6793582468297223</v>
      </c>
      <c r="AX27" t="n">
        <v>0.7674840956644378</v>
      </c>
      <c r="AY27" t="n">
        <v>0.8460242413491764</v>
      </c>
      <c r="AZ27" t="n">
        <v>0.9092434662301192</v>
      </c>
      <c r="BA27" t="n">
        <v>0.9376856030185762</v>
      </c>
      <c r="BB27" t="n">
        <v>1.417322834645669</v>
      </c>
      <c r="BC27" t="n">
        <v>0.2849232500124238</v>
      </c>
      <c r="BD27" t="n">
        <v>0.663848039352772</v>
      </c>
      <c r="BE27" t="n">
        <v>1.126297139088273</v>
      </c>
      <c r="BF27" t="n">
        <v>1.688442310497953</v>
      </c>
      <c r="BG27" t="n">
        <v>2.381722725841713</v>
      </c>
      <c r="BH27" t="n">
        <v>3.262187145087226</v>
      </c>
      <c r="BI27" t="n">
        <v>4.437807224700232</v>
      </c>
      <c r="BJ27" t="n">
        <v>6.155344920396177</v>
      </c>
      <c r="BK27" t="n">
        <v>9.21655719822537</v>
      </c>
      <c r="BL27" t="n">
        <v>31.79428818574926</v>
      </c>
      <c r="BM27" t="inlineStr"/>
      <c r="BN27" t="n">
        <v>2</v>
      </c>
      <c r="BO27" t="n">
        <v>37</v>
      </c>
      <c r="BP27" t="n">
        <v>108</v>
      </c>
      <c r="BQ27" t="n">
        <v>164</v>
      </c>
      <c r="BR27" t="n">
        <v>557</v>
      </c>
      <c r="BS2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">
      <c r="A28" t="inlineStr">
        <is>
          <t>FRAG</t>
        </is>
      </c>
      <c r="B28" t="inlineStr">
        <is>
          <t>Fragmentación Desmonte 2025.xlsx</t>
        </is>
      </c>
      <c r="C28" t="inlineStr">
        <is>
          <t>ANÁLISIS DE FRAGMENTACIÓN</t>
        </is>
      </c>
      <c r="D28" t="n">
        <v>32</v>
      </c>
      <c r="E28" t="inlineStr">
        <is>
          <t>ROM (fragmentación post-voladura en el frente de carguío, por análisis de fotos)</t>
        </is>
      </c>
      <c r="F28" t="inlineStr"/>
      <c r="G28" t="inlineStr">
        <is>
          <t>no indicada en el archivo</t>
        </is>
      </c>
      <c r="H28" t="inlineStr">
        <is>
          <t>2025-01-17</t>
        </is>
      </c>
      <c r="I28" t="inlineStr">
        <is>
          <t>2025-01-19</t>
        </is>
      </c>
      <c r="J28" t="inlineStr">
        <is>
          <t>PALA 11</t>
        </is>
      </c>
      <c r="K28" t="n">
        <v>10</v>
      </c>
      <c r="L28" t="inlineStr">
        <is>
          <t>10-NP-4433-11</t>
        </is>
      </c>
      <c r="M28" t="n">
        <v>4</v>
      </c>
      <c r="N28" t="n">
        <v>4433</v>
      </c>
      <c r="O28" t="inlineStr">
        <is>
          <t>A</t>
        </is>
      </c>
      <c r="P28" t="n">
        <v>30</v>
      </c>
      <c r="Q28" t="inlineStr">
        <is>
          <t>Desmonte</t>
        </is>
      </c>
      <c r="R28" t="inlineStr">
        <is>
          <t>Producción</t>
        </is>
      </c>
      <c r="S28" t="n">
        <v>7</v>
      </c>
      <c r="T28" t="n">
        <v>3</v>
      </c>
      <c r="U28" t="n">
        <v>3</v>
      </c>
      <c r="V28" t="n">
        <v>0.8373290811749422</v>
      </c>
      <c r="W28" t="n">
        <v>0.246</v>
      </c>
      <c r="X28" t="n">
        <v>0.384</v>
      </c>
      <c r="Y28" t="n">
        <v>0.2</v>
      </c>
      <c r="Z28" t="n">
        <v>0.7</v>
      </c>
      <c r="AA28" t="n">
        <v>1.3</v>
      </c>
      <c r="AB28" t="n">
        <v>2.1</v>
      </c>
      <c r="AC28" t="n">
        <v>3.1</v>
      </c>
      <c r="AD28" t="n">
        <v>4.3</v>
      </c>
      <c r="AE28" t="n">
        <v>6</v>
      </c>
      <c r="AF28" t="n">
        <v>8.5</v>
      </c>
      <c r="AG28" t="n">
        <v>13</v>
      </c>
      <c r="AH28" t="n">
        <v>62.2</v>
      </c>
      <c r="AI28" t="inlineStr"/>
      <c r="AJ28" t="n">
        <v>522183.75</v>
      </c>
      <c r="AK28" t="n">
        <v>113400</v>
      </c>
      <c r="AL28" t="n">
        <v>0.2171649347571616</v>
      </c>
      <c r="AM28" t="inlineStr">
        <is>
          <t>0.6710396483996295</t>
        </is>
      </c>
      <c r="AN28" t="inlineStr">
        <is>
          <t>17</t>
        </is>
      </c>
      <c r="AO28" t="inlineStr">
        <is>
          <t>7</t>
        </is>
      </c>
      <c r="AP28" t="inlineStr">
        <is>
          <t>12 1/4</t>
        </is>
      </c>
      <c r="AQ28" t="inlineStr">
        <is>
          <t>9</t>
        </is>
      </c>
      <c r="AR28" t="inlineStr">
        <is>
          <t>10.35</t>
        </is>
      </c>
      <c r="AS28" t="inlineStr">
        <is>
          <t>2</t>
        </is>
      </c>
      <c r="AT28" t="n">
        <v>265</v>
      </c>
      <c r="AU28" t="inlineStr">
        <is>
          <t>Vertex 70</t>
        </is>
      </c>
      <c r="AV28" t="inlineStr">
        <is>
          <t>48D2/52AR</t>
        </is>
      </c>
      <c r="AW28" t="n">
        <v>0.6907052460196906</v>
      </c>
      <c r="AX28" t="n">
        <v>0.7837484929513108</v>
      </c>
      <c r="AY28" t="n">
        <v>0.864433731264971</v>
      </c>
      <c r="AZ28" t="n">
        <v>0.9262949928693456</v>
      </c>
      <c r="BA28" t="n">
        <v>0.9524993327120272</v>
      </c>
      <c r="BB28" t="n">
        <v>1.181102362204724</v>
      </c>
      <c r="BC28" t="n">
        <v>0.2041414879395418</v>
      </c>
      <c r="BD28" t="n">
        <v>0.5002104294701101</v>
      </c>
      <c r="BE28" t="n">
        <v>0.875814742833931</v>
      </c>
      <c r="BF28" t="n">
        <v>1.344989879605532</v>
      </c>
      <c r="BG28" t="n">
        <v>1.936525892454524</v>
      </c>
      <c r="BH28" t="n">
        <v>2.702580385879228</v>
      </c>
      <c r="BI28" t="n">
        <v>3.744549899319789</v>
      </c>
      <c r="BJ28" t="n">
        <v>5.295985951873711</v>
      </c>
      <c r="BK28" t="n">
        <v>8.122802283765298</v>
      </c>
      <c r="BL28" t="n">
        <v>30.16610174765233</v>
      </c>
      <c r="BM28" t="inlineStr"/>
      <c r="BN28" t="n">
        <v>2</v>
      </c>
      <c r="BO28" t="n">
        <v>31</v>
      </c>
      <c r="BP28" t="n">
        <v>85</v>
      </c>
      <c r="BQ28" t="n">
        <v>130</v>
      </c>
      <c r="BR28" t="n">
        <v>622</v>
      </c>
      <c r="BS2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">
      <c r="A29" t="inlineStr">
        <is>
          <t>FRAG</t>
        </is>
      </c>
      <c r="B29" t="inlineStr">
        <is>
          <t>Fragmentación Desmonte 2025.xlsx</t>
        </is>
      </c>
      <c r="C29" t="inlineStr">
        <is>
          <t>ANÁLISIS DE FRAGMENTACIÓN</t>
        </is>
      </c>
      <c r="D29" t="n">
        <v>33</v>
      </c>
      <c r="E29" t="inlineStr">
        <is>
          <t>ROM (fragmentación post-voladura en el frente de carguío, por análisis de fotos)</t>
        </is>
      </c>
      <c r="F29" t="inlineStr"/>
      <c r="G29" t="inlineStr">
        <is>
          <t>no indicada en el archivo</t>
        </is>
      </c>
      <c r="H29" t="inlineStr">
        <is>
          <t>2025-01-16</t>
        </is>
      </c>
      <c r="I29" t="inlineStr">
        <is>
          <t>2025-01-20</t>
        </is>
      </c>
      <c r="J29" t="inlineStr">
        <is>
          <t>PALA 09</t>
        </is>
      </c>
      <c r="K29" t="n">
        <v>9</v>
      </c>
      <c r="L29" t="inlineStr">
        <is>
          <t>9-NP-3953-06</t>
        </is>
      </c>
      <c r="M29" t="n">
        <v>3</v>
      </c>
      <c r="N29" t="n">
        <v>3953</v>
      </c>
      <c r="O29" t="inlineStr">
        <is>
          <t>C</t>
        </is>
      </c>
      <c r="P29" t="n">
        <v>30</v>
      </c>
      <c r="Q29" t="inlineStr">
        <is>
          <t>Desmonte</t>
        </is>
      </c>
      <c r="R29" t="inlineStr">
        <is>
          <t>Producción</t>
        </is>
      </c>
      <c r="S29" t="n">
        <v>4</v>
      </c>
      <c r="T29" t="n">
        <v>6.6</v>
      </c>
      <c r="U29" t="n">
        <v>3</v>
      </c>
      <c r="V29" t="n">
        <v>0.9561033235923868</v>
      </c>
      <c r="W29" t="n">
        <v>0.136</v>
      </c>
      <c r="X29" t="n">
        <v>0.217</v>
      </c>
      <c r="Y29" t="n">
        <v>0.6</v>
      </c>
      <c r="Z29" t="n">
        <v>1.7</v>
      </c>
      <c r="AA29" t="n">
        <v>3.1</v>
      </c>
      <c r="AB29" t="n">
        <v>4.8</v>
      </c>
      <c r="AC29" t="n">
        <v>6.7</v>
      </c>
      <c r="AD29" t="n">
        <v>9</v>
      </c>
      <c r="AE29" t="n">
        <v>12</v>
      </c>
      <c r="AF29" t="n">
        <v>16.1</v>
      </c>
      <c r="AG29" t="n">
        <v>22.9</v>
      </c>
      <c r="AH29" t="n">
        <v>73.90000000000001</v>
      </c>
      <c r="AI29" t="n">
        <v>12774.21387368733</v>
      </c>
      <c r="AJ29" t="n">
        <v>389853.75</v>
      </c>
      <c r="AK29" t="n">
        <v>171720</v>
      </c>
      <c r="AL29" t="n">
        <v>0.440472869633805</v>
      </c>
      <c r="AM29" t="inlineStr">
        <is>
          <t>1.3610611671684572</t>
        </is>
      </c>
      <c r="AN29" t="inlineStr">
        <is>
          <t>16.5</t>
        </is>
      </c>
      <c r="AO29" t="inlineStr">
        <is>
          <t>6.5</t>
        </is>
      </c>
      <c r="AP29" t="inlineStr">
        <is>
          <t>12 1/4</t>
        </is>
      </c>
      <c r="AQ29" t="inlineStr">
        <is>
          <t>6</t>
        </is>
      </c>
      <c r="AR29" t="inlineStr">
        <is>
          <t>7</t>
        </is>
      </c>
      <c r="AS29" t="inlineStr">
        <is>
          <t>1.5</t>
        </is>
      </c>
      <c r="AT29" t="n">
        <v>180</v>
      </c>
      <c r="AU29" t="inlineStr">
        <is>
          <t>Vertex 70</t>
        </is>
      </c>
      <c r="AV29" t="inlineStr">
        <is>
          <t>49/51AR</t>
        </is>
      </c>
      <c r="AW29" t="n">
        <v>0.6547701923301725</v>
      </c>
      <c r="AX29" t="n">
        <v>0.7095062820435989</v>
      </c>
      <c r="AY29" t="n">
        <v>0.7623180154778653</v>
      </c>
      <c r="AZ29" t="n">
        <v>0.8117601120721444</v>
      </c>
      <c r="BA29" t="n">
        <v>0.8385623275108818</v>
      </c>
      <c r="BB29" t="n">
        <v>2.598425196850393</v>
      </c>
      <c r="BC29" t="n">
        <v>0.627120428587573</v>
      </c>
      <c r="BD29" t="n">
        <v>1.37473958782328</v>
      </c>
      <c r="BE29" t="n">
        <v>2.245227994185457</v>
      </c>
      <c r="BF29" t="n">
        <v>3.269059355612469</v>
      </c>
      <c r="BG29" t="n">
        <v>4.498434125032345</v>
      </c>
      <c r="BH29" t="n">
        <v>6.023294522466651</v>
      </c>
      <c r="BI29" t="n">
        <v>8.014231633608352</v>
      </c>
      <c r="BJ29" t="n">
        <v>10.85692913860396</v>
      </c>
      <c r="BK29" t="n">
        <v>15.79027500916393</v>
      </c>
      <c r="BL29" t="n">
        <v>49.82147373044615</v>
      </c>
      <c r="BM29" t="inlineStr"/>
      <c r="BN29" t="n">
        <v>6</v>
      </c>
      <c r="BO29" t="n">
        <v>67</v>
      </c>
      <c r="BP29" t="n">
        <v>161</v>
      </c>
      <c r="BQ29" t="n">
        <v>229</v>
      </c>
      <c r="BR29" t="n">
        <v>739</v>
      </c>
      <c r="BS2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">
      <c r="A30" t="inlineStr">
        <is>
          <t>FRAG</t>
        </is>
      </c>
      <c r="B30" t="inlineStr">
        <is>
          <t>Fragmentación Desmonte 2025.xlsx</t>
        </is>
      </c>
      <c r="C30" t="inlineStr">
        <is>
          <t>ANÁLISIS DE FRAGMENTACIÓN</t>
        </is>
      </c>
      <c r="D30" t="n">
        <v>34</v>
      </c>
      <c r="E30" t="inlineStr">
        <is>
          <t>ROM (fragmentación post-voladura en el frente de carguío, por análisis de fotos)</t>
        </is>
      </c>
      <c r="F30" t="inlineStr"/>
      <c r="G30" t="inlineStr">
        <is>
          <t>no indicada en el archivo</t>
        </is>
      </c>
      <c r="H30" t="inlineStr">
        <is>
          <t>2025-01-16</t>
        </is>
      </c>
      <c r="I30" t="inlineStr">
        <is>
          <t>2025-01-20</t>
        </is>
      </c>
      <c r="J30" t="inlineStr">
        <is>
          <t>PALA 09</t>
        </is>
      </c>
      <c r="K30" t="n">
        <v>9</v>
      </c>
      <c r="L30" t="inlineStr">
        <is>
          <t>9-NP-3953-06</t>
        </is>
      </c>
      <c r="M30" t="n">
        <v>1</v>
      </c>
      <c r="N30" t="n">
        <v>3953</v>
      </c>
      <c r="O30" t="inlineStr">
        <is>
          <t>A</t>
        </is>
      </c>
      <c r="P30" t="n">
        <v>30</v>
      </c>
      <c r="Q30" t="inlineStr">
        <is>
          <t>Desmonte</t>
        </is>
      </c>
      <c r="R30" t="inlineStr">
        <is>
          <t>Producción</t>
        </is>
      </c>
      <c r="S30" t="n">
        <v>3</v>
      </c>
      <c r="T30" t="n">
        <v>5.9</v>
      </c>
      <c r="U30" t="n">
        <v>3</v>
      </c>
      <c r="V30" t="n">
        <v>0.98173798101828</v>
      </c>
      <c r="W30" t="n">
        <v>0.168</v>
      </c>
      <c r="X30" t="n">
        <v>0.254</v>
      </c>
      <c r="Y30" t="n">
        <v>0.4</v>
      </c>
      <c r="Z30" t="n">
        <v>1.3</v>
      </c>
      <c r="AA30" t="n">
        <v>2.6</v>
      </c>
      <c r="AB30" t="n">
        <v>4.1</v>
      </c>
      <c r="AC30" t="n">
        <v>6</v>
      </c>
      <c r="AD30" t="n">
        <v>8.300000000000001</v>
      </c>
      <c r="AE30" t="n">
        <v>11.2</v>
      </c>
      <c r="AF30" t="n">
        <v>15.2</v>
      </c>
      <c r="AG30" t="n">
        <v>21.7</v>
      </c>
      <c r="AH30" t="n">
        <v>60.1</v>
      </c>
      <c r="AI30" t="n">
        <v>15278.73763751527</v>
      </c>
      <c r="AJ30" t="n">
        <v>389853.75</v>
      </c>
      <c r="AK30" t="n">
        <v>171720</v>
      </c>
      <c r="AL30" t="n">
        <v>0.440472869633805</v>
      </c>
      <c r="AM30" t="inlineStr">
        <is>
          <t>1.3610611671684572</t>
        </is>
      </c>
      <c r="AN30" t="inlineStr">
        <is>
          <t>16.5</t>
        </is>
      </c>
      <c r="AO30" t="inlineStr">
        <is>
          <t>6.5</t>
        </is>
      </c>
      <c r="AP30" t="inlineStr">
        <is>
          <t>12 1/4</t>
        </is>
      </c>
      <c r="AQ30" t="inlineStr">
        <is>
          <t>6</t>
        </is>
      </c>
      <c r="AR30" t="inlineStr">
        <is>
          <t>7</t>
        </is>
      </c>
      <c r="AS30" t="inlineStr">
        <is>
          <t>1.5</t>
        </is>
      </c>
      <c r="AT30" t="n">
        <v>180</v>
      </c>
      <c r="AU30" t="inlineStr">
        <is>
          <t>Vertex 70</t>
        </is>
      </c>
      <c r="AV30" t="inlineStr">
        <is>
          <t>49/51AR</t>
        </is>
      </c>
      <c r="AW30" t="n">
        <v>0.6561594123605922</v>
      </c>
      <c r="AX30" t="n">
        <v>0.7200362666125399</v>
      </c>
      <c r="AY30" t="n">
        <v>0.780889110078992</v>
      </c>
      <c r="AZ30" t="n">
        <v>0.8364178448012423</v>
      </c>
      <c r="BA30" t="n">
        <v>0.8655863522174793</v>
      </c>
      <c r="BB30" t="n">
        <v>2.322834645669292</v>
      </c>
      <c r="BC30" t="n">
        <v>0.5961424154497107</v>
      </c>
      <c r="BD30" t="n">
        <v>1.280321085438977</v>
      </c>
      <c r="BE30" t="n">
        <v>2.064410749483206</v>
      </c>
      <c r="BF30" t="n">
        <v>2.976446319560571</v>
      </c>
      <c r="BG30" t="n">
        <v>4.06178144986324</v>
      </c>
      <c r="BH30" t="n">
        <v>5.39733108120055</v>
      </c>
      <c r="BI30" t="n">
        <v>7.128009960277855</v>
      </c>
      <c r="BJ30" t="n">
        <v>9.58011530177826</v>
      </c>
      <c r="BK30" t="n">
        <v>13.79766310393483</v>
      </c>
      <c r="BL30" t="n">
        <v>42.24760259140511</v>
      </c>
      <c r="BM30" t="inlineStr"/>
      <c r="BN30" t="n">
        <v>4</v>
      </c>
      <c r="BO30" t="n">
        <v>60</v>
      </c>
      <c r="BP30" t="n">
        <v>152</v>
      </c>
      <c r="BQ30" t="n">
        <v>217</v>
      </c>
      <c r="BR30" t="n">
        <v>601</v>
      </c>
      <c r="BS3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">
      <c r="A31" t="inlineStr">
        <is>
          <t>FRAG</t>
        </is>
      </c>
      <c r="B31" t="inlineStr">
        <is>
          <t>Fragmentación Desmonte 2025.xlsx</t>
        </is>
      </c>
      <c r="C31" t="inlineStr">
        <is>
          <t>ANÁLISIS DE FRAGMENTACIÓN</t>
        </is>
      </c>
      <c r="D31" t="n">
        <v>35</v>
      </c>
      <c r="E31" t="inlineStr">
        <is>
          <t>ROM (fragmentación post-voladura en el frente de carguío, por análisis de fotos)</t>
        </is>
      </c>
      <c r="F31" t="inlineStr"/>
      <c r="G31" t="inlineStr">
        <is>
          <t>no indicada en el archivo</t>
        </is>
      </c>
      <c r="H31" t="inlineStr">
        <is>
          <t>2024-12-29</t>
        </is>
      </c>
      <c r="I31" t="inlineStr">
        <is>
          <t>2025-01-20</t>
        </is>
      </c>
      <c r="J31" t="inlineStr">
        <is>
          <t>PALA 08</t>
        </is>
      </c>
      <c r="K31" t="n">
        <v>9</v>
      </c>
      <c r="L31" t="inlineStr">
        <is>
          <t>9-NP-3983-35</t>
        </is>
      </c>
      <c r="M31" t="n">
        <v>2</v>
      </c>
      <c r="N31" t="n">
        <v>3983</v>
      </c>
      <c r="O31" t="inlineStr">
        <is>
          <t>A</t>
        </is>
      </c>
      <c r="P31" t="n">
        <v>30</v>
      </c>
      <c r="Q31" t="inlineStr">
        <is>
          <t>Desmonte</t>
        </is>
      </c>
      <c r="R31" t="inlineStr">
        <is>
          <t>Producción</t>
        </is>
      </c>
      <c r="S31" t="n">
        <v>3</v>
      </c>
      <c r="T31" t="n">
        <v>3.1</v>
      </c>
      <c r="U31" t="n">
        <v>3</v>
      </c>
      <c r="V31" t="n">
        <v>0.8891612429104562</v>
      </c>
      <c r="W31" t="n">
        <v>0.254</v>
      </c>
      <c r="X31" t="n">
        <v>0.383</v>
      </c>
      <c r="Y31" t="n">
        <v>0.2</v>
      </c>
      <c r="Z31" t="n">
        <v>0.6</v>
      </c>
      <c r="AA31" t="n">
        <v>1.3</v>
      </c>
      <c r="AB31" t="n">
        <v>2.1</v>
      </c>
      <c r="AC31" t="n">
        <v>3.1</v>
      </c>
      <c r="AD31" t="n">
        <v>4.5</v>
      </c>
      <c r="AE31" t="n">
        <v>6.3</v>
      </c>
      <c r="AF31" t="n">
        <v>8.800000000000001</v>
      </c>
      <c r="AG31" t="n">
        <v>13.3</v>
      </c>
      <c r="AH31" t="n">
        <v>46.2</v>
      </c>
      <c r="AI31" t="inlineStr"/>
      <c r="AJ31" t="n">
        <v>343117.5</v>
      </c>
      <c r="AK31" t="n">
        <v>106063</v>
      </c>
      <c r="AL31" t="n">
        <v>0.3091156819456891</v>
      </c>
      <c r="AM31" t="inlineStr">
        <is>
          <t>0.9551674572121794</t>
        </is>
      </c>
      <c r="AN31" t="inlineStr">
        <is>
          <t>17</t>
        </is>
      </c>
      <c r="AO31" t="inlineStr">
        <is>
          <t>7</t>
        </is>
      </c>
      <c r="AP31" t="inlineStr">
        <is>
          <t>12 1/4</t>
        </is>
      </c>
      <c r="AQ31" t="inlineStr">
        <is>
          <t>9</t>
        </is>
      </c>
      <c r="AR31" t="inlineStr">
        <is>
          <t>10.35</t>
        </is>
      </c>
      <c r="AS31" t="inlineStr">
        <is>
          <t>2</t>
        </is>
      </c>
      <c r="AT31" t="n">
        <v>161</v>
      </c>
      <c r="AU31" t="inlineStr">
        <is>
          <t>Vertex 70</t>
        </is>
      </c>
      <c r="AV31" t="inlineStr">
        <is>
          <t>50/50AR</t>
        </is>
      </c>
      <c r="AW31" t="n">
        <v>0.6821886589043982</v>
      </c>
      <c r="AX31" t="n">
        <v>0.7757132446623732</v>
      </c>
      <c r="AY31" t="n">
        <v>0.8576311444041517</v>
      </c>
      <c r="AZ31" t="n">
        <v>0.9212935724251488</v>
      </c>
      <c r="BA31" t="n">
        <v>0.948650101523424</v>
      </c>
      <c r="BB31" t="n">
        <v>1.220472440944882</v>
      </c>
      <c r="BC31" t="n">
        <v>0.2467238282657652</v>
      </c>
      <c r="BD31" t="n">
        <v>0.5737775475623244</v>
      </c>
      <c r="BE31" t="n">
        <v>0.9723500798195684</v>
      </c>
      <c r="BF31" t="n">
        <v>1.45636079443738</v>
      </c>
      <c r="BG31" t="n">
        <v>2.05279314068759</v>
      </c>
      <c r="BH31" t="n">
        <v>2.809714756476338</v>
      </c>
      <c r="BI31" t="n">
        <v>3.819686112068548</v>
      </c>
      <c r="BJ31" t="n">
        <v>5.29418339284409</v>
      </c>
      <c r="BK31" t="n">
        <v>7.920079242082063</v>
      </c>
      <c r="BL31" t="n">
        <v>27.2474915132564</v>
      </c>
      <c r="BM31" t="inlineStr"/>
      <c r="BN31" t="n">
        <v>2</v>
      </c>
      <c r="BO31" t="n">
        <v>31</v>
      </c>
      <c r="BP31" t="n">
        <v>88</v>
      </c>
      <c r="BQ31" t="n">
        <v>133</v>
      </c>
      <c r="BR31" t="n">
        <v>462</v>
      </c>
      <c r="BS3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2">
      <c r="A32" t="inlineStr">
        <is>
          <t>FRAG</t>
        </is>
      </c>
      <c r="B32" t="inlineStr">
        <is>
          <t>Fragmentación Desmonte 2025.xlsx</t>
        </is>
      </c>
      <c r="C32" t="inlineStr">
        <is>
          <t>ANÁLISIS DE FRAGMENTACIÓN</t>
        </is>
      </c>
      <c r="D32" t="n">
        <v>36</v>
      </c>
      <c r="E32" t="inlineStr">
        <is>
          <t>ROM (fragmentación post-voladura en el frente de carguío, por análisis de fotos)</t>
        </is>
      </c>
      <c r="F32" t="inlineStr"/>
      <c r="G32" t="inlineStr">
        <is>
          <t>no indicada en el archivo</t>
        </is>
      </c>
      <c r="H32" t="inlineStr">
        <is>
          <t>2025-01-09</t>
        </is>
      </c>
      <c r="I32" t="inlineStr">
        <is>
          <t>2025-01-21</t>
        </is>
      </c>
      <c r="J32" t="inlineStr">
        <is>
          <t>PALA 13</t>
        </is>
      </c>
      <c r="K32" t="n">
        <v>10</v>
      </c>
      <c r="L32" t="inlineStr">
        <is>
          <t>10-NP-4433-10</t>
        </is>
      </c>
      <c r="M32" t="n">
        <v>1</v>
      </c>
      <c r="N32" t="n">
        <v>4433</v>
      </c>
      <c r="O32" t="inlineStr">
        <is>
          <t>C1</t>
        </is>
      </c>
      <c r="P32" t="n">
        <v>30</v>
      </c>
      <c r="Q32" t="inlineStr">
        <is>
          <t>Desmonte</t>
        </is>
      </c>
      <c r="R32" t="inlineStr">
        <is>
          <t>Producción</t>
        </is>
      </c>
      <c r="S32" t="n">
        <v>4</v>
      </c>
      <c r="T32" t="n">
        <v>5.7</v>
      </c>
      <c r="U32" t="n">
        <v>3</v>
      </c>
      <c r="V32" t="n">
        <v>0.9702174437125622</v>
      </c>
      <c r="W32" t="n">
        <v>0.184</v>
      </c>
      <c r="X32" t="n">
        <v>0.272</v>
      </c>
      <c r="Y32" t="n">
        <v>0.3</v>
      </c>
      <c r="Z32" t="n">
        <v>1.1</v>
      </c>
      <c r="AA32" t="n">
        <v>2.3</v>
      </c>
      <c r="AB32" t="n">
        <v>3.9</v>
      </c>
      <c r="AC32" t="n">
        <v>5.8</v>
      </c>
      <c r="AD32" t="n">
        <v>8.1</v>
      </c>
      <c r="AE32" t="n">
        <v>11.2</v>
      </c>
      <c r="AF32" t="n">
        <v>15.4</v>
      </c>
      <c r="AG32" t="n">
        <v>22.3</v>
      </c>
      <c r="AH32" t="n">
        <v>60.6</v>
      </c>
      <c r="AI32" t="inlineStr"/>
      <c r="AJ32" t="n">
        <v>306776.25</v>
      </c>
      <c r="AK32" t="n">
        <v>86583</v>
      </c>
      <c r="AL32" t="n">
        <v>0.2822350165633748</v>
      </c>
      <c r="AM32" t="inlineStr">
        <is>
          <t>0.8721062011808279</t>
        </is>
      </c>
      <c r="AN32" t="inlineStr">
        <is>
          <t>17</t>
        </is>
      </c>
      <c r="AO32" t="inlineStr">
        <is>
          <t>7</t>
        </is>
      </c>
      <c r="AP32" t="inlineStr">
        <is>
          <t>12 1/4</t>
        </is>
      </c>
      <c r="AQ32" t="inlineStr">
        <is>
          <t>9</t>
        </is>
      </c>
      <c r="AR32" t="inlineStr">
        <is>
          <t>10.35</t>
        </is>
      </c>
      <c r="AS32" t="inlineStr">
        <is>
          <t>2</t>
        </is>
      </c>
      <c r="AT32" t="n">
        <v>86</v>
      </c>
      <c r="AU32" t="inlineStr">
        <is>
          <t>Vertex 70</t>
        </is>
      </c>
      <c r="AV32" t="inlineStr">
        <is>
          <t>100D2</t>
        </is>
      </c>
      <c r="AW32" t="n">
        <v>0.6590382623054643</v>
      </c>
      <c r="AX32" t="n">
        <v>0.7272585552341473</v>
      </c>
      <c r="AY32" t="n">
        <v>0.7917042308234603</v>
      </c>
      <c r="AZ32" t="n">
        <v>0.8495750536243704</v>
      </c>
      <c r="BA32" t="n">
        <v>0.8793861845453174</v>
      </c>
      <c r="BB32" t="n">
        <v>2.244094488188976</v>
      </c>
      <c r="BC32" t="n">
        <v>0.560469645233118</v>
      </c>
      <c r="BD32" t="n">
        <v>1.214682654266102</v>
      </c>
      <c r="BE32" t="n">
        <v>1.969716240086238</v>
      </c>
      <c r="BF32" t="n">
        <v>2.852281851792738</v>
      </c>
      <c r="BG32" t="n">
        <v>3.906736949989321</v>
      </c>
      <c r="BH32" t="n">
        <v>5.208860104243578</v>
      </c>
      <c r="BI32" t="n">
        <v>6.90186095189264</v>
      </c>
      <c r="BJ32" t="n">
        <v>9.308791810514991</v>
      </c>
      <c r="BK32" t="n">
        <v>13.46509436967818</v>
      </c>
      <c r="BL32" t="n">
        <v>41.78079936498112</v>
      </c>
      <c r="BM32" t="inlineStr"/>
      <c r="BN32" t="n">
        <v>3</v>
      </c>
      <c r="BO32" t="n">
        <v>58</v>
      </c>
      <c r="BP32" t="n">
        <v>154</v>
      </c>
      <c r="BQ32" t="n">
        <v>223</v>
      </c>
      <c r="BR32" t="n">
        <v>606</v>
      </c>
      <c r="BS3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3">
      <c r="A33" t="inlineStr">
        <is>
          <t>FRAG</t>
        </is>
      </c>
      <c r="B33" t="inlineStr">
        <is>
          <t>Fragmentación Desmonte 2025.xlsx</t>
        </is>
      </c>
      <c r="C33" t="inlineStr">
        <is>
          <t>ANÁLISIS DE FRAGMENTACIÓN</t>
        </is>
      </c>
      <c r="D33" t="n">
        <v>37</v>
      </c>
      <c r="E33" t="inlineStr">
        <is>
          <t>ROM (fragmentación post-voladura en el frente de carguío, por análisis de fotos)</t>
        </is>
      </c>
      <c r="F33" t="inlineStr"/>
      <c r="G33" t="inlineStr">
        <is>
          <t>no indicada en el archivo</t>
        </is>
      </c>
      <c r="H33" t="inlineStr">
        <is>
          <t>2024-12-28</t>
        </is>
      </c>
      <c r="I33" t="inlineStr">
        <is>
          <t>2025-01-21</t>
        </is>
      </c>
      <c r="J33" t="inlineStr">
        <is>
          <t>PALA 14</t>
        </is>
      </c>
      <c r="K33" t="n">
        <v>10</v>
      </c>
      <c r="L33" t="inlineStr">
        <is>
          <t>10-NP-4433-08</t>
        </is>
      </c>
      <c r="M33" t="n">
        <v>3</v>
      </c>
      <c r="N33" t="n">
        <v>4433</v>
      </c>
      <c r="O33" t="inlineStr">
        <is>
          <t>C</t>
        </is>
      </c>
      <c r="P33" t="n">
        <v>30</v>
      </c>
      <c r="Q33" t="inlineStr">
        <is>
          <t>Desmonte</t>
        </is>
      </c>
      <c r="R33" t="inlineStr">
        <is>
          <t>Producción</t>
        </is>
      </c>
      <c r="S33" t="n">
        <v>4</v>
      </c>
      <c r="T33" t="n">
        <v>6.7</v>
      </c>
      <c r="U33" t="n">
        <v>2</v>
      </c>
      <c r="V33" t="n">
        <v>0.7025199217630125</v>
      </c>
      <c r="W33" t="n">
        <v>0.167</v>
      </c>
      <c r="X33" t="n">
        <v>0.245</v>
      </c>
      <c r="Y33" t="n">
        <v>0.3</v>
      </c>
      <c r="Z33" t="n">
        <v>1.3</v>
      </c>
      <c r="AA33" t="n">
        <v>2.8</v>
      </c>
      <c r="AB33" t="n">
        <v>4.6</v>
      </c>
      <c r="AC33" t="n">
        <v>6.7</v>
      </c>
      <c r="AD33" t="n">
        <v>9.300000000000001</v>
      </c>
      <c r="AE33" t="n">
        <v>12.5</v>
      </c>
      <c r="AF33" t="n">
        <v>16.8</v>
      </c>
      <c r="AG33" t="n">
        <v>23.5</v>
      </c>
      <c r="AH33" t="n">
        <v>53.4</v>
      </c>
      <c r="AI33" t="inlineStr"/>
      <c r="AJ33" t="n">
        <v>595320</v>
      </c>
      <c r="AK33" t="n">
        <v>88739</v>
      </c>
      <c r="AL33" t="n">
        <v>0.1490610092051333</v>
      </c>
      <c r="AM33" t="inlineStr">
        <is>
          <t>0.4605985184438621</t>
        </is>
      </c>
      <c r="AN33" t="inlineStr">
        <is>
          <t>17</t>
        </is>
      </c>
      <c r="AO33" t="inlineStr">
        <is>
          <t>7</t>
        </is>
      </c>
      <c r="AP33" t="inlineStr">
        <is>
          <t>12 1/4</t>
        </is>
      </c>
      <c r="AQ33" t="inlineStr">
        <is>
          <t>9</t>
        </is>
      </c>
      <c r="AR33" t="inlineStr">
        <is>
          <t>10.35</t>
        </is>
      </c>
      <c r="AS33" t="inlineStr">
        <is>
          <t>2</t>
        </is>
      </c>
      <c r="AT33" t="n">
        <v>110</v>
      </c>
      <c r="AU33" t="inlineStr">
        <is>
          <t>Vertex 70</t>
        </is>
      </c>
      <c r="AV33" t="inlineStr">
        <is>
          <t>50/50AR</t>
        </is>
      </c>
      <c r="AW33" t="n">
        <v>0.6852931441407386</v>
      </c>
      <c r="AX33" t="n">
        <v>0.7459189519706622</v>
      </c>
      <c r="AY33" t="n">
        <v>0.8028317684417371</v>
      </c>
      <c r="AZ33" t="n">
        <v>0.8540122696663773</v>
      </c>
      <c r="BA33" t="n">
        <v>0.8805909988110915</v>
      </c>
      <c r="BB33" t="n">
        <v>2.637795275590551</v>
      </c>
      <c r="BC33" t="n">
        <v>0.2722127104109739</v>
      </c>
      <c r="BD33" t="n">
        <v>0.7921711479124041</v>
      </c>
      <c r="BE33" t="n">
        <v>1.544395405995066</v>
      </c>
      <c r="BF33" t="n">
        <v>2.57523202083198</v>
      </c>
      <c r="BG33" t="n">
        <v>3.976474982100679</v>
      </c>
      <c r="BH33" t="n">
        <v>5.916041364235162</v>
      </c>
      <c r="BI33" t="n">
        <v>8.726264731022299</v>
      </c>
      <c r="BJ33" t="n">
        <v>13.19060297136123</v>
      </c>
      <c r="BK33" t="n">
        <v>21.96188952317768</v>
      </c>
      <c r="BL33" t="n">
        <v>104.9123477952372</v>
      </c>
      <c r="BM33" t="inlineStr"/>
      <c r="BN33" t="n">
        <v>3</v>
      </c>
      <c r="BO33" t="n">
        <v>67</v>
      </c>
      <c r="BP33" t="n">
        <v>168</v>
      </c>
      <c r="BQ33" t="n">
        <v>235</v>
      </c>
      <c r="BR33" t="n">
        <v>534</v>
      </c>
      <c r="BS3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4">
      <c r="A34" t="inlineStr">
        <is>
          <t>FRAG</t>
        </is>
      </c>
      <c r="B34" t="inlineStr">
        <is>
          <t>Fragmentación Desmonte 2025.xlsx</t>
        </is>
      </c>
      <c r="C34" t="inlineStr">
        <is>
          <t>ANÁLISIS DE FRAGMENTACIÓN</t>
        </is>
      </c>
      <c r="D34" t="n">
        <v>38</v>
      </c>
      <c r="E34" t="inlineStr">
        <is>
          <t>ROM (fragmentación post-voladura en el frente de carguío, por análisis de fotos)</t>
        </is>
      </c>
      <c r="F34" t="inlineStr"/>
      <c r="G34" t="inlineStr">
        <is>
          <t>no indicada en el archivo</t>
        </is>
      </c>
      <c r="H34" t="inlineStr">
        <is>
          <t>2025-01-15</t>
        </is>
      </c>
      <c r="I34" t="inlineStr">
        <is>
          <t>2025-01-23</t>
        </is>
      </c>
      <c r="J34" t="inlineStr">
        <is>
          <t>PALA 05</t>
        </is>
      </c>
      <c r="K34" t="n">
        <v>9</v>
      </c>
      <c r="L34" t="inlineStr">
        <is>
          <t>9-NP-3968-18</t>
        </is>
      </c>
      <c r="M34" t="n">
        <v>1</v>
      </c>
      <c r="N34" t="n">
        <v>3968</v>
      </c>
      <c r="O34" t="inlineStr">
        <is>
          <t>A</t>
        </is>
      </c>
      <c r="P34" t="n">
        <v>30</v>
      </c>
      <c r="Q34" t="inlineStr">
        <is>
          <t>Desmonte</t>
        </is>
      </c>
      <c r="R34" t="inlineStr">
        <is>
          <t>Producción</t>
        </is>
      </c>
      <c r="S34" t="n">
        <v>6</v>
      </c>
      <c r="T34" t="n">
        <v>13.4</v>
      </c>
      <c r="U34" t="n">
        <v>3</v>
      </c>
      <c r="V34" t="n">
        <v>1.031792799547426</v>
      </c>
      <c r="W34" t="n">
        <v>0.08</v>
      </c>
      <c r="X34" t="n">
        <v>0.134</v>
      </c>
      <c r="Y34" t="n">
        <v>1.2</v>
      </c>
      <c r="Z34" t="n">
        <v>3.6</v>
      </c>
      <c r="AA34" t="n">
        <v>6.5</v>
      </c>
      <c r="AB34" t="n">
        <v>9.800000000000001</v>
      </c>
      <c r="AC34" t="n">
        <v>13.5</v>
      </c>
      <c r="AD34" t="n">
        <v>17.8</v>
      </c>
      <c r="AE34" t="n">
        <v>23.3</v>
      </c>
      <c r="AF34" t="n">
        <v>30.5</v>
      </c>
      <c r="AG34" t="n">
        <v>42.3</v>
      </c>
      <c r="AH34" t="n">
        <v>114.7</v>
      </c>
      <c r="AI34" t="n">
        <v>11872.06917675887</v>
      </c>
      <c r="AJ34" t="n">
        <v>645933.75</v>
      </c>
      <c r="AK34" t="n">
        <v>379613</v>
      </c>
      <c r="AL34" t="n">
        <v>0.5876964936419563</v>
      </c>
      <c r="AM34" t="inlineStr">
        <is>
          <t>1.815982165353645</t>
        </is>
      </c>
      <c r="AN34" t="inlineStr">
        <is>
          <t>16.5</t>
        </is>
      </c>
      <c r="AO34" t="inlineStr">
        <is>
          <t>6.5</t>
        </is>
      </c>
      <c r="AP34" t="inlineStr">
        <is>
          <t>12 1/4</t>
        </is>
      </c>
      <c r="AQ34" t="inlineStr">
        <is>
          <t>6</t>
        </is>
      </c>
      <c r="AR34" t="inlineStr">
        <is>
          <t>7</t>
        </is>
      </c>
      <c r="AS34" t="inlineStr">
        <is>
          <t>1.5</t>
        </is>
      </c>
      <c r="AT34" t="n">
        <v>386</v>
      </c>
      <c r="AU34" t="inlineStr">
        <is>
          <t>Vertex 70</t>
        </is>
      </c>
      <c r="AV34" t="inlineStr">
        <is>
          <t>48/52AR</t>
        </is>
      </c>
      <c r="AW34" t="n">
        <v>0.642358912622756</v>
      </c>
      <c r="AX34" t="n">
        <v>0.6764185792729405</v>
      </c>
      <c r="AY34" t="n">
        <v>0.7100725541064787</v>
      </c>
      <c r="AZ34" t="n">
        <v>0.7429882917206787</v>
      </c>
      <c r="BA34" t="n">
        <v>0.7617640053878727</v>
      </c>
      <c r="BB34" t="n">
        <v>5.275590551181103</v>
      </c>
      <c r="BC34" t="n">
        <v>1.513202573606217</v>
      </c>
      <c r="BD34" t="n">
        <v>3.131564172210779</v>
      </c>
      <c r="BE34" t="n">
        <v>4.93370635187267</v>
      </c>
      <c r="BF34" t="n">
        <v>6.988219117646051</v>
      </c>
      <c r="BG34" t="n">
        <v>9.393662020053728</v>
      </c>
      <c r="BH34" t="n">
        <v>12.31141487079668</v>
      </c>
      <c r="BI34" t="n">
        <v>16.04122094442678</v>
      </c>
      <c r="BJ34" t="n">
        <v>21.25253495872234</v>
      </c>
      <c r="BK34" t="n">
        <v>30.07180358222879</v>
      </c>
      <c r="BL34" t="n">
        <v>87.21257628599427</v>
      </c>
      <c r="BM34" t="inlineStr"/>
      <c r="BN34" t="n">
        <v>12</v>
      </c>
      <c r="BO34" t="n">
        <v>135</v>
      </c>
      <c r="BP34" t="n">
        <v>305</v>
      </c>
      <c r="BQ34" t="n">
        <v>423</v>
      </c>
      <c r="BR34" t="n">
        <v>1147</v>
      </c>
      <c r="BS3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5">
      <c r="A35" t="inlineStr">
        <is>
          <t>FRAG</t>
        </is>
      </c>
      <c r="B35" t="inlineStr">
        <is>
          <t>Fragmentación Desmonte 2025.xlsx</t>
        </is>
      </c>
      <c r="C35" t="inlineStr">
        <is>
          <t>ANÁLISIS DE FRAGMENTACIÓN</t>
        </is>
      </c>
      <c r="D35" t="n">
        <v>39</v>
      </c>
      <c r="E35" t="inlineStr">
        <is>
          <t>ROM (fragmentación post-voladura en el frente de carguío, por análisis de fotos)</t>
        </is>
      </c>
      <c r="F35" t="inlineStr"/>
      <c r="G35" t="inlineStr">
        <is>
          <t>no indicada en el archivo</t>
        </is>
      </c>
      <c r="H35" t="inlineStr">
        <is>
          <t>2025-01-22</t>
        </is>
      </c>
      <c r="I35" t="inlineStr">
        <is>
          <t>2025-01-23</t>
        </is>
      </c>
      <c r="J35" t="inlineStr">
        <is>
          <t>PALA 08</t>
        </is>
      </c>
      <c r="K35" t="n">
        <v>9</v>
      </c>
      <c r="L35" t="inlineStr">
        <is>
          <t>9-NP-3968-23</t>
        </is>
      </c>
      <c r="M35" t="n">
        <v>3</v>
      </c>
      <c r="N35" t="n">
        <v>3968</v>
      </c>
      <c r="O35" t="inlineStr">
        <is>
          <t>C</t>
        </is>
      </c>
      <c r="P35" t="n">
        <v>30</v>
      </c>
      <c r="Q35" t="inlineStr">
        <is>
          <t>Desmonte</t>
        </is>
      </c>
      <c r="R35" t="inlineStr">
        <is>
          <t>Producción</t>
        </is>
      </c>
      <c r="S35" t="n">
        <v>9</v>
      </c>
      <c r="T35" t="n">
        <v>5.9</v>
      </c>
      <c r="U35" t="n">
        <v>2</v>
      </c>
      <c r="V35" t="n">
        <v>0.6217478664617031</v>
      </c>
      <c r="W35" t="n">
        <v>0.226</v>
      </c>
      <c r="X35" t="n">
        <v>0.305</v>
      </c>
      <c r="Y35" t="n">
        <v>0.1</v>
      </c>
      <c r="Z35" t="n">
        <v>0.7</v>
      </c>
      <c r="AA35" t="n">
        <v>1.9</v>
      </c>
      <c r="AB35" t="n">
        <v>3.6</v>
      </c>
      <c r="AC35" t="n">
        <v>6</v>
      </c>
      <c r="AD35" t="n">
        <v>9.1</v>
      </c>
      <c r="AE35" t="n">
        <v>13.3</v>
      </c>
      <c r="AF35" t="n">
        <v>19.3</v>
      </c>
      <c r="AG35" t="n">
        <v>29.1</v>
      </c>
      <c r="AH35" t="n">
        <v>72.90000000000001</v>
      </c>
      <c r="AI35" t="n">
        <v>9339.907452038931</v>
      </c>
      <c r="AJ35" t="n">
        <v>586876</v>
      </c>
      <c r="AK35" t="n">
        <v>177755</v>
      </c>
      <c r="AL35" t="n">
        <v>0.3028834029675775</v>
      </c>
      <c r="AM35" t="inlineStr">
        <is>
          <t>0.9359097151698144</t>
        </is>
      </c>
      <c r="AN35" t="inlineStr">
        <is>
          <t>17</t>
        </is>
      </c>
      <c r="AO35" t="inlineStr">
        <is>
          <t>7</t>
        </is>
      </c>
      <c r="AP35" t="inlineStr">
        <is>
          <t>12 1/4</t>
        </is>
      </c>
      <c r="AQ35" t="inlineStr">
        <is>
          <t>9</t>
        </is>
      </c>
      <c r="AR35" t="inlineStr">
        <is>
          <t>10.35</t>
        </is>
      </c>
      <c r="AS35" t="inlineStr">
        <is>
          <t>2</t>
        </is>
      </c>
      <c r="AT35" t="n">
        <v>197</v>
      </c>
      <c r="AU35" t="inlineStr">
        <is>
          <t>Vertex 70</t>
        </is>
      </c>
      <c r="AV35" t="inlineStr">
        <is>
          <t>52AR/48D2</t>
        </is>
      </c>
      <c r="AW35" t="n">
        <v>0.7115954656014003</v>
      </c>
      <c r="AX35" t="n">
        <v>0.784783030940911</v>
      </c>
      <c r="AY35" t="n">
        <v>0.8500925529061046</v>
      </c>
      <c r="AZ35" t="n">
        <v>0.9041048525708636</v>
      </c>
      <c r="BA35" t="n">
        <v>0.9295693738236186</v>
      </c>
      <c r="BB35" t="n">
        <v>2.322834645669292</v>
      </c>
      <c r="BC35" t="n">
        <v>0.1581092992322426</v>
      </c>
      <c r="BD35" t="n">
        <v>0.5286098517405222</v>
      </c>
      <c r="BE35" t="n">
        <v>1.123934854880509</v>
      </c>
      <c r="BF35" t="n">
        <v>2.002842605343385</v>
      </c>
      <c r="BG35" t="n">
        <v>3.272205845405484</v>
      </c>
      <c r="BH35" t="n">
        <v>5.126105474478282</v>
      </c>
      <c r="BI35" t="n">
        <v>7.952677601324159</v>
      </c>
      <c r="BJ35" t="n">
        <v>12.68412268910479</v>
      </c>
      <c r="BK35" t="n">
        <v>22.56464472363155</v>
      </c>
      <c r="BL35" t="n">
        <v>132.0734552374967</v>
      </c>
      <c r="BM35" t="inlineStr"/>
      <c r="BN35" t="n">
        <v>1</v>
      </c>
      <c r="BO35" t="n">
        <v>60</v>
      </c>
      <c r="BP35" t="n">
        <v>193</v>
      </c>
      <c r="BQ35" t="n">
        <v>291</v>
      </c>
      <c r="BR35" t="n">
        <v>729</v>
      </c>
      <c r="BS3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6">
      <c r="A36" t="inlineStr">
        <is>
          <t>FRAG</t>
        </is>
      </c>
      <c r="B36" t="inlineStr">
        <is>
          <t>Fragmentación Desmonte 2025.xlsx</t>
        </is>
      </c>
      <c r="C36" t="inlineStr">
        <is>
          <t>ANÁLISIS DE FRAGMENTACIÓN</t>
        </is>
      </c>
      <c r="D36" t="n">
        <v>40</v>
      </c>
      <c r="E36" t="inlineStr">
        <is>
          <t>ROM (fragmentación post-voladura en el frente de carguío, por análisis de fotos)</t>
        </is>
      </c>
      <c r="F36" t="inlineStr"/>
      <c r="G36" t="inlineStr">
        <is>
          <t>no indicada en el archivo</t>
        </is>
      </c>
      <c r="H36" t="inlineStr">
        <is>
          <t>2025-01-15</t>
        </is>
      </c>
      <c r="I36" t="inlineStr">
        <is>
          <t>2025-01-24</t>
        </is>
      </c>
      <c r="J36" t="inlineStr">
        <is>
          <t>PALA 10</t>
        </is>
      </c>
      <c r="K36" t="n">
        <v>8</v>
      </c>
      <c r="L36" t="inlineStr">
        <is>
          <t>8-NP-3773-19</t>
        </is>
      </c>
      <c r="M36" t="n">
        <v>5</v>
      </c>
      <c r="N36" t="n">
        <v>3773</v>
      </c>
      <c r="O36" t="inlineStr">
        <is>
          <t>A</t>
        </is>
      </c>
      <c r="P36" t="n">
        <v>30</v>
      </c>
      <c r="Q36" t="inlineStr">
        <is>
          <t>Desmonte</t>
        </is>
      </c>
      <c r="R36" t="inlineStr">
        <is>
          <t>Producción</t>
        </is>
      </c>
      <c r="S36" t="n">
        <v>7</v>
      </c>
      <c r="T36" t="n">
        <v>2.5</v>
      </c>
      <c r="U36" t="n">
        <v>4</v>
      </c>
      <c r="V36" t="n">
        <v>1.123269163851165</v>
      </c>
      <c r="W36" t="n">
        <v>0.246</v>
      </c>
      <c r="X36" t="n">
        <v>0.416</v>
      </c>
      <c r="Y36" t="n">
        <v>0.3</v>
      </c>
      <c r="Z36" t="n">
        <v>0.7</v>
      </c>
      <c r="AA36" t="n">
        <v>1.2</v>
      </c>
      <c r="AB36" t="n">
        <v>1.8</v>
      </c>
      <c r="AC36" t="n">
        <v>2.6</v>
      </c>
      <c r="AD36" t="n">
        <v>3.4</v>
      </c>
      <c r="AE36" t="n">
        <v>4.6</v>
      </c>
      <c r="AF36" t="n">
        <v>6.3</v>
      </c>
      <c r="AG36" t="n">
        <v>9.4</v>
      </c>
      <c r="AH36" t="n">
        <v>50.5</v>
      </c>
      <c r="AI36" t="inlineStr"/>
      <c r="AJ36" t="n">
        <v>709912.5</v>
      </c>
      <c r="AK36" t="n">
        <v>287014</v>
      </c>
      <c r="AL36" t="n">
        <v>0.4042948954976845</v>
      </c>
      <c r="AM36" t="inlineStr">
        <is>
          <t>1.2492712270878454</t>
        </is>
      </c>
      <c r="AN36" t="inlineStr">
        <is>
          <t>16.5</t>
        </is>
      </c>
      <c r="AO36" t="inlineStr">
        <is>
          <t>6.5</t>
        </is>
      </c>
      <c r="AP36" t="inlineStr">
        <is>
          <t>12 1/4</t>
        </is>
      </c>
      <c r="AQ36" t="inlineStr">
        <is>
          <t>6</t>
        </is>
      </c>
      <c r="AR36" t="inlineStr">
        <is>
          <t>7</t>
        </is>
      </c>
      <c r="AS36" t="inlineStr">
        <is>
          <t>1.5</t>
        </is>
      </c>
      <c r="AT36" t="n">
        <v>329</v>
      </c>
      <c r="AU36" t="inlineStr">
        <is>
          <t>Vertex 70</t>
        </is>
      </c>
      <c r="AV36" t="inlineStr">
        <is>
          <t>48/52AR</t>
        </is>
      </c>
      <c r="AW36" t="n">
        <v>0.6509012910905451</v>
      </c>
      <c r="AX36" t="n">
        <v>0.7544211532355191</v>
      </c>
      <c r="AY36" t="n">
        <v>0.846404446301577</v>
      </c>
      <c r="AZ36" t="n">
        <v>0.9178802657423686</v>
      </c>
      <c r="BA36" t="n">
        <v>0.9481205806585588</v>
      </c>
      <c r="BB36" t="n">
        <v>0.984251968503937</v>
      </c>
      <c r="BC36" t="n">
        <v>0.3371868444018633</v>
      </c>
      <c r="BD36" t="n">
        <v>0.6576754565606421</v>
      </c>
      <c r="BE36" t="n">
        <v>0.9984972085778278</v>
      </c>
      <c r="BF36" t="n">
        <v>1.374761168212055</v>
      </c>
      <c r="BG36" t="n">
        <v>1.803987446943081</v>
      </c>
      <c r="BH36" t="n">
        <v>2.312809289676807</v>
      </c>
      <c r="BI36" t="n">
        <v>2.949237153418482</v>
      </c>
      <c r="BJ36" t="n">
        <v>3.818858009363253</v>
      </c>
      <c r="BK36" t="n">
        <v>5.252978579819755</v>
      </c>
      <c r="BL36" t="n">
        <v>13.96905142085731</v>
      </c>
      <c r="BM36" t="inlineStr"/>
      <c r="BN36" t="n">
        <v>3</v>
      </c>
      <c r="BO36" t="n">
        <v>26</v>
      </c>
      <c r="BP36" t="n">
        <v>63</v>
      </c>
      <c r="BQ36" t="n">
        <v>94</v>
      </c>
      <c r="BR36" t="n">
        <v>505</v>
      </c>
      <c r="BS3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7">
      <c r="A37" t="inlineStr">
        <is>
          <t>FRAG</t>
        </is>
      </c>
      <c r="B37" t="inlineStr">
        <is>
          <t>Fragmentación Desmonte 2025.xlsx</t>
        </is>
      </c>
      <c r="C37" t="inlineStr">
        <is>
          <t>ANÁLISIS DE FRAGMENTACIÓN</t>
        </is>
      </c>
      <c r="D37" t="n">
        <v>41</v>
      </c>
      <c r="E37" t="inlineStr">
        <is>
          <t>ROM (fragmentación post-voladura en el frente de carguío, por análisis de fotos)</t>
        </is>
      </c>
      <c r="F37" t="inlineStr"/>
      <c r="G37" t="inlineStr">
        <is>
          <t>no indicada en el archivo</t>
        </is>
      </c>
      <c r="H37" t="inlineStr">
        <is>
          <t>2025-01-15</t>
        </is>
      </c>
      <c r="I37" t="inlineStr">
        <is>
          <t>2025-01-25</t>
        </is>
      </c>
      <c r="J37" t="inlineStr">
        <is>
          <t>PALA 05</t>
        </is>
      </c>
      <c r="K37" t="n">
        <v>9</v>
      </c>
      <c r="L37" t="inlineStr">
        <is>
          <t>9-NP-3968-18</t>
        </is>
      </c>
      <c r="M37" t="n">
        <v>2</v>
      </c>
      <c r="N37" t="n">
        <v>3968</v>
      </c>
      <c r="O37" t="inlineStr">
        <is>
          <t>C</t>
        </is>
      </c>
      <c r="P37" t="n">
        <v>30</v>
      </c>
      <c r="Q37" t="inlineStr">
        <is>
          <t>Desmonte</t>
        </is>
      </c>
      <c r="R37" t="inlineStr">
        <is>
          <t>Producción</t>
        </is>
      </c>
      <c r="S37" t="n">
        <v>9</v>
      </c>
      <c r="T37" t="n">
        <v>10.9</v>
      </c>
      <c r="U37" t="n">
        <v>2</v>
      </c>
      <c r="V37" t="n">
        <v>0.6898131581804584</v>
      </c>
      <c r="W37" t="n">
        <v>0.149</v>
      </c>
      <c r="X37" t="n">
        <v>0.207</v>
      </c>
      <c r="Y37" t="n">
        <v>0.4</v>
      </c>
      <c r="Z37" t="n">
        <v>1.8</v>
      </c>
      <c r="AA37" t="n">
        <v>4.1</v>
      </c>
      <c r="AB37" t="n">
        <v>7.2</v>
      </c>
      <c r="AC37" t="n">
        <v>10.9</v>
      </c>
      <c r="AD37" t="n">
        <v>15.5</v>
      </c>
      <c r="AE37" t="n">
        <v>21.3</v>
      </c>
      <c r="AF37" t="n">
        <v>29.1</v>
      </c>
      <c r="AG37" t="n">
        <v>41.2</v>
      </c>
      <c r="AH37" t="n">
        <v>91.8</v>
      </c>
      <c r="AI37" t="n">
        <v>11375.24258791895</v>
      </c>
      <c r="AJ37" t="n">
        <v>645933.75</v>
      </c>
      <c r="AK37" t="n">
        <v>379613</v>
      </c>
      <c r="AL37" t="n">
        <v>0.5876964936419563</v>
      </c>
      <c r="AM37" t="inlineStr">
        <is>
          <t>1.815982165353645</t>
        </is>
      </c>
      <c r="AN37" t="inlineStr">
        <is>
          <t>16.5</t>
        </is>
      </c>
      <c r="AO37" t="inlineStr">
        <is>
          <t>6.5</t>
        </is>
      </c>
      <c r="AP37" t="inlineStr">
        <is>
          <t>12 1/4</t>
        </is>
      </c>
      <c r="AQ37" t="inlineStr">
        <is>
          <t>6</t>
        </is>
      </c>
      <c r="AR37" t="inlineStr">
        <is>
          <t>7</t>
        </is>
      </c>
      <c r="AS37" t="inlineStr">
        <is>
          <t>1.5</t>
        </is>
      </c>
      <c r="AT37" t="n">
        <v>386</v>
      </c>
      <c r="AU37" t="inlineStr">
        <is>
          <t>Vertex 70</t>
        </is>
      </c>
      <c r="AV37" t="inlineStr">
        <is>
          <t>48/52AR</t>
        </is>
      </c>
      <c r="AW37" t="n">
        <v>0.678472113211299</v>
      </c>
      <c r="AX37" t="n">
        <v>0.7301082127643328</v>
      </c>
      <c r="AY37" t="n">
        <v>0.7794888623354238</v>
      </c>
      <c r="AZ37" t="n">
        <v>0.8253649410828092</v>
      </c>
      <c r="BA37" t="n">
        <v>0.850108537945068</v>
      </c>
      <c r="BB37" t="n">
        <v>4.291338582677166</v>
      </c>
      <c r="BC37" t="n">
        <v>0.4174783830600798</v>
      </c>
      <c r="BD37" t="n">
        <v>1.239053673845346</v>
      </c>
      <c r="BE37" t="n">
        <v>2.445515702150949</v>
      </c>
      <c r="BF37" t="n">
        <v>4.116411233121726</v>
      </c>
      <c r="BG37" t="n">
        <v>6.407317965797607</v>
      </c>
      <c r="BH37" t="n">
        <v>9.602567800062868</v>
      </c>
      <c r="BI37" t="n">
        <v>14.26572696742228</v>
      </c>
      <c r="BJ37" t="n">
        <v>21.72878754369972</v>
      </c>
      <c r="BK37" t="n">
        <v>36.51900689291166</v>
      </c>
      <c r="BL37" t="n">
        <v>179.5503811284751</v>
      </c>
      <c r="BM37" t="inlineStr"/>
      <c r="BN37" t="n">
        <v>4</v>
      </c>
      <c r="BO37" t="n">
        <v>109</v>
      </c>
      <c r="BP37" t="n">
        <v>291</v>
      </c>
      <c r="BQ37" t="n">
        <v>412</v>
      </c>
      <c r="BR37" t="n">
        <v>918</v>
      </c>
      <c r="BS3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8">
      <c r="A38" t="inlineStr">
        <is>
          <t>FRAG</t>
        </is>
      </c>
      <c r="B38" t="inlineStr">
        <is>
          <t>Fragmentación Desmonte 2025.xlsx</t>
        </is>
      </c>
      <c r="C38" t="inlineStr">
        <is>
          <t>ANÁLISIS DE FRAGMENTACIÓN</t>
        </is>
      </c>
      <c r="D38" t="n">
        <v>42</v>
      </c>
      <c r="E38" t="inlineStr">
        <is>
          <t>ROM (fragmentación post-voladura en el frente de carguío, por análisis de fotos)</t>
        </is>
      </c>
      <c r="F38" t="inlineStr"/>
      <c r="G38" t="inlineStr">
        <is>
          <t>no indicada en el archivo</t>
        </is>
      </c>
      <c r="H38" t="inlineStr">
        <is>
          <t>2025-01-17</t>
        </is>
      </c>
      <c r="I38" t="inlineStr">
        <is>
          <t>2025-01-25</t>
        </is>
      </c>
      <c r="J38" t="inlineStr">
        <is>
          <t>PALA 06</t>
        </is>
      </c>
      <c r="K38" t="n">
        <v>10</v>
      </c>
      <c r="L38" t="inlineStr">
        <is>
          <t>10-NP-4433-11</t>
        </is>
      </c>
      <c r="M38" t="n">
        <v>4</v>
      </c>
      <c r="N38" t="n">
        <v>4433</v>
      </c>
      <c r="O38" t="inlineStr">
        <is>
          <t>A</t>
        </is>
      </c>
      <c r="P38" t="n">
        <v>30</v>
      </c>
      <c r="Q38" t="inlineStr">
        <is>
          <t>Desmonte</t>
        </is>
      </c>
      <c r="R38" t="inlineStr">
        <is>
          <t>Producción</t>
        </is>
      </c>
      <c r="S38" t="n">
        <v>4</v>
      </c>
      <c r="T38" t="n">
        <v>4.2</v>
      </c>
      <c r="U38" t="n">
        <v>3</v>
      </c>
      <c r="V38" t="n">
        <v>0.7182449991484318</v>
      </c>
      <c r="W38" t="n">
        <v>0.248</v>
      </c>
      <c r="X38" t="n">
        <v>0.351</v>
      </c>
      <c r="Y38" t="n">
        <v>0.2</v>
      </c>
      <c r="Z38" t="n">
        <v>0.6</v>
      </c>
      <c r="AA38" t="n">
        <v>1.4</v>
      </c>
      <c r="AB38" t="n">
        <v>2.6</v>
      </c>
      <c r="AC38" t="n">
        <v>4.3</v>
      </c>
      <c r="AD38" t="n">
        <v>6.7</v>
      </c>
      <c r="AE38" t="n">
        <v>10.3</v>
      </c>
      <c r="AF38" t="n">
        <v>16.3</v>
      </c>
      <c r="AG38" t="n">
        <v>28.8</v>
      </c>
      <c r="AH38" t="n">
        <v>243.4</v>
      </c>
      <c r="AI38" t="inlineStr"/>
      <c r="AJ38" t="n">
        <v>522183.75</v>
      </c>
      <c r="AK38" t="n">
        <v>113400</v>
      </c>
      <c r="AL38" t="n">
        <v>0.2171649347571616</v>
      </c>
      <c r="AM38" t="inlineStr">
        <is>
          <t>0.6710396483996295</t>
        </is>
      </c>
      <c r="AN38" t="inlineStr">
        <is>
          <t>17</t>
        </is>
      </c>
      <c r="AO38" t="inlineStr">
        <is>
          <t>7</t>
        </is>
      </c>
      <c r="AP38" t="inlineStr">
        <is>
          <t>12 1/4</t>
        </is>
      </c>
      <c r="AQ38" t="inlineStr">
        <is>
          <t>9</t>
        </is>
      </c>
      <c r="AR38" t="inlineStr">
        <is>
          <t>10.35</t>
        </is>
      </c>
      <c r="AS38" t="inlineStr">
        <is>
          <t>2</t>
        </is>
      </c>
      <c r="AT38" t="n">
        <v>265</v>
      </c>
      <c r="AU38" t="inlineStr">
        <is>
          <t>Vertex 70</t>
        </is>
      </c>
      <c r="AV38" t="inlineStr">
        <is>
          <t>48D2/52AR</t>
        </is>
      </c>
      <c r="AW38" t="n">
        <v>0.705204012280676</v>
      </c>
      <c r="AX38" t="n">
        <v>0.7894262363848479</v>
      </c>
      <c r="AY38" t="n">
        <v>0.8628992731536291</v>
      </c>
      <c r="AZ38" t="n">
        <v>0.9206873979720251</v>
      </c>
      <c r="BA38" t="n">
        <v>0.9461725604404976</v>
      </c>
      <c r="BB38" t="n">
        <v>1.653543307086614</v>
      </c>
      <c r="BC38" t="n">
        <v>0.1830377795892646</v>
      </c>
      <c r="BD38" t="n">
        <v>0.5203488701094982</v>
      </c>
      <c r="BE38" t="n">
        <v>0.9997380770166556</v>
      </c>
      <c r="BF38" t="n">
        <v>1.648475194562539</v>
      </c>
      <c r="BG38" t="n">
        <v>2.521351256896858</v>
      </c>
      <c r="BH38" t="n">
        <v>3.718680844969054</v>
      </c>
      <c r="BI38" t="n">
        <v>5.438642166193804</v>
      </c>
      <c r="BJ38" t="n">
        <v>8.147009391181138</v>
      </c>
      <c r="BK38" t="n">
        <v>13.41392530730552</v>
      </c>
      <c r="BL38" t="n">
        <v>61.92178896021064</v>
      </c>
      <c r="BM38" t="inlineStr"/>
      <c r="BN38" t="n">
        <v>2</v>
      </c>
      <c r="BO38" t="n">
        <v>43</v>
      </c>
      <c r="BP38" t="n">
        <v>163</v>
      </c>
      <c r="BQ38" t="n">
        <v>288</v>
      </c>
      <c r="BR38" t="n">
        <v>2434</v>
      </c>
      <c r="BS3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9">
      <c r="A39" t="inlineStr">
        <is>
          <t>FRAG</t>
        </is>
      </c>
      <c r="B39" t="inlineStr">
        <is>
          <t>Fragmentación Desmonte 2025.xlsx</t>
        </is>
      </c>
      <c r="C39" t="inlineStr">
        <is>
          <t>ANÁLISIS DE FRAGMENTACIÓN</t>
        </is>
      </c>
      <c r="D39" t="n">
        <v>43</v>
      </c>
      <c r="E39" t="inlineStr">
        <is>
          <t>ROM (fragmentación post-voladura en el frente de carguío, por análisis de fotos)</t>
        </is>
      </c>
      <c r="F39" t="inlineStr"/>
      <c r="G39" t="inlineStr">
        <is>
          <t>no indicada en el archivo</t>
        </is>
      </c>
      <c r="H39" t="inlineStr">
        <is>
          <t>2025-01-19</t>
        </is>
      </c>
      <c r="I39" t="inlineStr">
        <is>
          <t>2025-01-25</t>
        </is>
      </c>
      <c r="J39" t="inlineStr">
        <is>
          <t>PALA 15</t>
        </is>
      </c>
      <c r="K39" t="n">
        <v>10</v>
      </c>
      <c r="L39" t="inlineStr">
        <is>
          <t>10-NP-4433-12</t>
        </is>
      </c>
      <c r="M39" t="n">
        <v>2</v>
      </c>
      <c r="N39" t="n">
        <v>4433</v>
      </c>
      <c r="O39" t="inlineStr">
        <is>
          <t>C</t>
        </is>
      </c>
      <c r="P39" t="n">
        <v>30</v>
      </c>
      <c r="Q39" t="inlineStr">
        <is>
          <t>Desmonte</t>
        </is>
      </c>
      <c r="R39" t="inlineStr">
        <is>
          <t>Producción</t>
        </is>
      </c>
      <c r="S39" t="n">
        <v>6</v>
      </c>
      <c r="T39" t="n">
        <v>5.6</v>
      </c>
      <c r="U39" t="n">
        <v>3</v>
      </c>
      <c r="V39" t="n">
        <v>0.9847191437638492</v>
      </c>
      <c r="W39" t="n">
        <v>0.167</v>
      </c>
      <c r="X39" t="n">
        <v>0.257</v>
      </c>
      <c r="Y39" t="n">
        <v>0.4</v>
      </c>
      <c r="Z39" t="n">
        <v>1.3</v>
      </c>
      <c r="AA39" t="n">
        <v>2.5</v>
      </c>
      <c r="AB39" t="n">
        <v>3.9</v>
      </c>
      <c r="AC39" t="n">
        <v>5.6</v>
      </c>
      <c r="AD39" t="n">
        <v>7.7</v>
      </c>
      <c r="AE39" t="n">
        <v>10.3</v>
      </c>
      <c r="AF39" t="n">
        <v>14</v>
      </c>
      <c r="AG39" t="n">
        <v>19.9</v>
      </c>
      <c r="AH39" t="n">
        <v>55.5</v>
      </c>
      <c r="AI39" t="inlineStr"/>
      <c r="AJ39" t="n">
        <v>444427.5</v>
      </c>
      <c r="AK39" t="n">
        <v>153437</v>
      </c>
      <c r="AL39" t="n">
        <v>0.3452464125194773</v>
      </c>
      <c r="AM39" t="inlineStr">
        <is>
          <t>1.0668114146851848</t>
        </is>
      </c>
      <c r="AN39" t="inlineStr">
        <is>
          <t>17</t>
        </is>
      </c>
      <c r="AO39" t="inlineStr">
        <is>
          <t>7</t>
        </is>
      </c>
      <c r="AP39" t="inlineStr">
        <is>
          <t>12 1/4</t>
        </is>
      </c>
      <c r="AQ39" t="inlineStr">
        <is>
          <t>9</t>
        </is>
      </c>
      <c r="AR39" t="inlineStr">
        <is>
          <t>10.35</t>
        </is>
      </c>
      <c r="AS39" t="inlineStr">
        <is>
          <t>2</t>
        </is>
      </c>
      <c r="AT39" t="n">
        <v>185</v>
      </c>
      <c r="AU39" t="inlineStr">
        <is>
          <t>Vertex 70</t>
        </is>
      </c>
      <c r="AV39" t="inlineStr">
        <is>
          <t>51AR/49D2</t>
        </is>
      </c>
      <c r="AW39" t="n">
        <v>0.6561568850378289</v>
      </c>
      <c r="AX39" t="n">
        <v>0.7207747585353033</v>
      </c>
      <c r="AY39" t="n">
        <v>0.7822687781423305</v>
      </c>
      <c r="AZ39" t="n">
        <v>0.8382586471978345</v>
      </c>
      <c r="BA39" t="n">
        <v>0.8675878234106922</v>
      </c>
      <c r="BB39" t="n">
        <v>2.204724409448819</v>
      </c>
      <c r="BC39" t="n">
        <v>0.5697703497693489</v>
      </c>
      <c r="BD39" t="n">
        <v>1.220853941302758</v>
      </c>
      <c r="BE39" t="n">
        <v>1.965679923032847</v>
      </c>
      <c r="BF39" t="n">
        <v>2.830959660196782</v>
      </c>
      <c r="BG39" t="n">
        <v>3.85960997414303</v>
      </c>
      <c r="BH39" t="n">
        <v>5.124271760264259</v>
      </c>
      <c r="BI39" t="n">
        <v>6.761697106049496</v>
      </c>
      <c r="BJ39" t="n">
        <v>9.079656567774498</v>
      </c>
      <c r="BK39" t="n">
        <v>13.06244795485608</v>
      </c>
      <c r="BL39" t="n">
        <v>39.86114669130232</v>
      </c>
      <c r="BM39" t="inlineStr"/>
      <c r="BN39" t="n">
        <v>4</v>
      </c>
      <c r="BO39" t="n">
        <v>56</v>
      </c>
      <c r="BP39" t="n">
        <v>140</v>
      </c>
      <c r="BQ39" t="n">
        <v>199</v>
      </c>
      <c r="BR39" t="n">
        <v>555</v>
      </c>
      <c r="BS3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0">
      <c r="A40" t="inlineStr">
        <is>
          <t>FRAG</t>
        </is>
      </c>
      <c r="B40" t="inlineStr">
        <is>
          <t>Fragmentación Desmonte 2025.xlsx</t>
        </is>
      </c>
      <c r="C40" t="inlineStr">
        <is>
          <t>ANÁLISIS DE FRAGMENTACIÓN</t>
        </is>
      </c>
      <c r="D40" t="n">
        <v>44</v>
      </c>
      <c r="E40" t="inlineStr">
        <is>
          <t>ROM (fragmentación post-voladura en el frente de carguío, por análisis de fotos)</t>
        </is>
      </c>
      <c r="F40" t="inlineStr"/>
      <c r="G40" t="inlineStr">
        <is>
          <t>no indicada en el archivo</t>
        </is>
      </c>
      <c r="H40" t="inlineStr">
        <is>
          <t>2025-01-19</t>
        </is>
      </c>
      <c r="I40" t="inlineStr">
        <is>
          <t>2025-01-26</t>
        </is>
      </c>
      <c r="J40" t="inlineStr">
        <is>
          <t>PALA 05</t>
        </is>
      </c>
      <c r="K40" t="n">
        <v>9</v>
      </c>
      <c r="L40" t="inlineStr">
        <is>
          <t>9-NP-3968-22</t>
        </is>
      </c>
      <c r="M40" t="n">
        <v>2</v>
      </c>
      <c r="N40" t="n">
        <v>3968</v>
      </c>
      <c r="O40" t="inlineStr">
        <is>
          <t>C</t>
        </is>
      </c>
      <c r="P40" t="n">
        <v>30</v>
      </c>
      <c r="Q40" t="inlineStr">
        <is>
          <t>Desmonte</t>
        </is>
      </c>
      <c r="R40" t="inlineStr">
        <is>
          <t>Producción</t>
        </is>
      </c>
      <c r="S40" t="n">
        <v>4</v>
      </c>
      <c r="T40" t="n">
        <v>7.8</v>
      </c>
      <c r="U40" t="n">
        <v>3</v>
      </c>
      <c r="V40" t="n">
        <v>0.9066106765150396</v>
      </c>
      <c r="W40" t="n">
        <v>0.122</v>
      </c>
      <c r="X40" t="n">
        <v>0.196</v>
      </c>
      <c r="Y40" t="n">
        <v>0.7</v>
      </c>
      <c r="Z40" t="n">
        <v>2</v>
      </c>
      <c r="AA40" t="n">
        <v>3.7</v>
      </c>
      <c r="AB40" t="n">
        <v>5.6</v>
      </c>
      <c r="AC40" t="n">
        <v>7.9</v>
      </c>
      <c r="AD40" t="n">
        <v>10.7</v>
      </c>
      <c r="AE40" t="n">
        <v>14.3</v>
      </c>
      <c r="AF40" t="n">
        <v>19.5</v>
      </c>
      <c r="AG40" t="n">
        <v>28.4</v>
      </c>
      <c r="AH40" t="n">
        <v>108</v>
      </c>
      <c r="AI40" t="n">
        <v>9385.025643896948</v>
      </c>
      <c r="AJ40" t="n">
        <v>983317.5</v>
      </c>
      <c r="AK40" t="n">
        <v>247347</v>
      </c>
      <c r="AL40" t="n">
        <v>0.2515433723085372</v>
      </c>
      <c r="AM40" t="inlineStr">
        <is>
          <t>0.7772690204333799</t>
        </is>
      </c>
      <c r="AN40" t="inlineStr">
        <is>
          <t>16.5</t>
        </is>
      </c>
      <c r="AO40" t="inlineStr">
        <is>
          <t>6.5</t>
        </is>
      </c>
      <c r="AP40" t="inlineStr">
        <is>
          <t>12 1/4</t>
        </is>
      </c>
      <c r="AQ40" t="inlineStr">
        <is>
          <t>6</t>
        </is>
      </c>
      <c r="AR40" t="inlineStr">
        <is>
          <t>7</t>
        </is>
      </c>
      <c r="AS40" t="inlineStr">
        <is>
          <t>1.5</t>
        </is>
      </c>
      <c r="AT40" t="n">
        <v>247</v>
      </c>
      <c r="AU40" t="inlineStr">
        <is>
          <t>Vertex 70</t>
        </is>
      </c>
      <c r="AV40" t="inlineStr">
        <is>
          <t>51AR/49D2</t>
        </is>
      </c>
      <c r="AW40" t="n">
        <v>0.6564060283189116</v>
      </c>
      <c r="AX40" t="n">
        <v>0.705875056231049</v>
      </c>
      <c r="AY40" t="n">
        <v>0.7538534629774466</v>
      </c>
      <c r="AZ40" t="n">
        <v>0.7992749746192422</v>
      </c>
      <c r="BA40" t="n">
        <v>0.8242413653428194</v>
      </c>
      <c r="BB40" t="n">
        <v>3.070866141732284</v>
      </c>
      <c r="BC40" t="n">
        <v>0.6517773013846975</v>
      </c>
      <c r="BD40" t="n">
        <v>1.491341412141441</v>
      </c>
      <c r="BE40" t="n">
        <v>2.50176851303824</v>
      </c>
      <c r="BF40" t="n">
        <v>3.71806220542845</v>
      </c>
      <c r="BG40" t="n">
        <v>5.206233079161558</v>
      </c>
      <c r="BH40" t="n">
        <v>7.082995615329367</v>
      </c>
      <c r="BI40" t="n">
        <v>9.572283368244909</v>
      </c>
      <c r="BJ40" t="n">
        <v>13.18433398231809</v>
      </c>
      <c r="BK40" t="n">
        <v>19.5713990865464</v>
      </c>
      <c r="BL40" t="n">
        <v>65.74928736468357</v>
      </c>
      <c r="BM40" t="inlineStr"/>
      <c r="BN40" t="n">
        <v>7</v>
      </c>
      <c r="BO40" t="n">
        <v>79</v>
      </c>
      <c r="BP40" t="n">
        <v>195</v>
      </c>
      <c r="BQ40" t="n">
        <v>284</v>
      </c>
      <c r="BR40" t="n">
        <v>1080</v>
      </c>
      <c r="BS4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1">
      <c r="A41" t="inlineStr">
        <is>
          <t>FRAG</t>
        </is>
      </c>
      <c r="B41" t="inlineStr">
        <is>
          <t>Fragmentación Desmonte 2025.xlsx</t>
        </is>
      </c>
      <c r="C41" t="inlineStr">
        <is>
          <t>ANÁLISIS DE FRAGMENTACIÓN</t>
        </is>
      </c>
      <c r="D41" t="n">
        <v>45</v>
      </c>
      <c r="E41" t="inlineStr">
        <is>
          <t>ROM (fragmentación post-voladura en el frente de carguío, por análisis de fotos)</t>
        </is>
      </c>
      <c r="F41" t="inlineStr"/>
      <c r="G41" t="inlineStr">
        <is>
          <t>no indicada en el archivo</t>
        </is>
      </c>
      <c r="H41" t="inlineStr">
        <is>
          <t>2025-01-22</t>
        </is>
      </c>
      <c r="I41" t="inlineStr">
        <is>
          <t>2025-01-26</t>
        </is>
      </c>
      <c r="J41" t="inlineStr">
        <is>
          <t>PALA 08</t>
        </is>
      </c>
      <c r="K41" t="n">
        <v>9</v>
      </c>
      <c r="L41" t="inlineStr">
        <is>
          <t>9-NP-3968-23</t>
        </is>
      </c>
      <c r="M41" t="n">
        <v>3</v>
      </c>
      <c r="N41" t="n">
        <v>3968</v>
      </c>
      <c r="O41" t="inlineStr">
        <is>
          <t>C</t>
        </is>
      </c>
      <c r="P41" t="n">
        <v>30</v>
      </c>
      <c r="Q41" t="inlineStr">
        <is>
          <t>Desmonte</t>
        </is>
      </c>
      <c r="R41" t="inlineStr">
        <is>
          <t>Producción</t>
        </is>
      </c>
      <c r="S41" t="n">
        <v>9</v>
      </c>
      <c r="T41" t="n">
        <v>13.2</v>
      </c>
      <c r="U41" t="n">
        <v>3</v>
      </c>
      <c r="V41" t="n">
        <v>0.978239333594035</v>
      </c>
      <c r="W41" t="n">
        <v>0.101</v>
      </c>
      <c r="X41" t="n">
        <v>0.151</v>
      </c>
      <c r="Y41" t="n">
        <v>0.9</v>
      </c>
      <c r="Z41" t="n">
        <v>3.1</v>
      </c>
      <c r="AA41" t="n">
        <v>5.9</v>
      </c>
      <c r="AB41" t="n">
        <v>9.300000000000001</v>
      </c>
      <c r="AC41" t="n">
        <v>13.2</v>
      </c>
      <c r="AD41" t="n">
        <v>18</v>
      </c>
      <c r="AE41" t="n">
        <v>24.1</v>
      </c>
      <c r="AF41" t="n">
        <v>32.4</v>
      </c>
      <c r="AG41" t="n">
        <v>46.1</v>
      </c>
      <c r="AH41" t="n">
        <v>133.9</v>
      </c>
      <c r="AI41" t="n">
        <v>9339.907452038931</v>
      </c>
      <c r="AJ41" t="n">
        <v>586876</v>
      </c>
      <c r="AK41" t="n">
        <v>177755</v>
      </c>
      <c r="AL41" t="n">
        <v>0.3028834029675775</v>
      </c>
      <c r="AM41" t="inlineStr">
        <is>
          <t>0.9359097151698144</t>
        </is>
      </c>
      <c r="AN41" t="inlineStr">
        <is>
          <t>17</t>
        </is>
      </c>
      <c r="AO41" t="inlineStr">
        <is>
          <t>7</t>
        </is>
      </c>
      <c r="AP41" t="inlineStr">
        <is>
          <t>12 1/4</t>
        </is>
      </c>
      <c r="AQ41" t="inlineStr">
        <is>
          <t>9</t>
        </is>
      </c>
      <c r="AR41" t="inlineStr">
        <is>
          <t>10.35</t>
        </is>
      </c>
      <c r="AS41" t="inlineStr">
        <is>
          <t>2</t>
        </is>
      </c>
      <c r="AT41" t="n">
        <v>197</v>
      </c>
      <c r="AU41" t="inlineStr">
        <is>
          <t>Vertex 70</t>
        </is>
      </c>
      <c r="AV41" t="inlineStr">
        <is>
          <t>52AR/48D2</t>
        </is>
      </c>
      <c r="AW41" t="n">
        <v>0.646616255091082</v>
      </c>
      <c r="AX41" t="n">
        <v>0.6849346654027548</v>
      </c>
      <c r="AY41" t="n">
        <v>0.7226330366843652</v>
      </c>
      <c r="AZ41" t="n">
        <v>0.7592301842105004</v>
      </c>
      <c r="BA41" t="n">
        <v>0.7799317346019051</v>
      </c>
      <c r="BB41" t="n">
        <v>5.196850393700787</v>
      </c>
      <c r="BC41" t="n">
        <v>1.322852905760013</v>
      </c>
      <c r="BD41" t="n">
        <v>2.848837704437364</v>
      </c>
      <c r="BE41" t="n">
        <v>4.601367909549158</v>
      </c>
      <c r="BF41" t="n">
        <v>6.642892288680608</v>
      </c>
      <c r="BG41" t="n">
        <v>9.075250012349406</v>
      </c>
      <c r="BH41" t="n">
        <v>12.07153967182738</v>
      </c>
      <c r="BI41" t="n">
        <v>15.95820001956789</v>
      </c>
      <c r="BJ41" t="n">
        <v>21.47066868464968</v>
      </c>
      <c r="BK41" t="n">
        <v>30.96328347396629</v>
      </c>
      <c r="BL41" t="n">
        <v>95.18788896913168</v>
      </c>
      <c r="BM41" t="inlineStr"/>
      <c r="BN41" t="n">
        <v>9</v>
      </c>
      <c r="BO41" t="n">
        <v>132</v>
      </c>
      <c r="BP41" t="n">
        <v>324</v>
      </c>
      <c r="BQ41" t="n">
        <v>461</v>
      </c>
      <c r="BR41" t="n">
        <v>1339</v>
      </c>
      <c r="BS4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2">
      <c r="A42" t="inlineStr">
        <is>
          <t>FRAG</t>
        </is>
      </c>
      <c r="B42" t="inlineStr">
        <is>
          <t>Fragmentación Desmonte 2025.xlsx</t>
        </is>
      </c>
      <c r="C42" t="inlineStr">
        <is>
          <t>ANÁLISIS DE FRAGMENTACIÓN</t>
        </is>
      </c>
      <c r="D42" t="n">
        <v>46</v>
      </c>
      <c r="E42" t="inlineStr">
        <is>
          <t>ROM (fragmentación post-voladura en el frente de carguío, por análisis de fotos)</t>
        </is>
      </c>
      <c r="F42" t="inlineStr"/>
      <c r="G42" t="inlineStr">
        <is>
          <t>no indicada en el archivo</t>
        </is>
      </c>
      <c r="H42" t="inlineStr">
        <is>
          <t>2025-01-21</t>
        </is>
      </c>
      <c r="I42" t="inlineStr">
        <is>
          <t>2025-01-26</t>
        </is>
      </c>
      <c r="J42" t="inlineStr">
        <is>
          <t>PALA 09</t>
        </is>
      </c>
      <c r="K42" t="n">
        <v>9</v>
      </c>
      <c r="L42" t="inlineStr">
        <is>
          <t>9-NP-3953-07</t>
        </is>
      </c>
      <c r="M42" t="n">
        <v>4</v>
      </c>
      <c r="N42" t="n">
        <v>3953</v>
      </c>
      <c r="O42" t="inlineStr">
        <is>
          <t>A</t>
        </is>
      </c>
      <c r="P42" t="n">
        <v>30</v>
      </c>
      <c r="Q42" t="inlineStr">
        <is>
          <t>Desmonte</t>
        </is>
      </c>
      <c r="R42" t="inlineStr">
        <is>
          <t>Producción</t>
        </is>
      </c>
      <c r="S42" t="n">
        <v>4</v>
      </c>
      <c r="T42" t="n">
        <v>7.8</v>
      </c>
      <c r="U42" t="n">
        <v>3</v>
      </c>
      <c r="V42" t="n">
        <v>0.941874428935382</v>
      </c>
      <c r="W42" t="n">
        <v>0.113</v>
      </c>
      <c r="X42" t="n">
        <v>0.185</v>
      </c>
      <c r="Y42" t="n">
        <v>0.8</v>
      </c>
      <c r="Z42" t="n">
        <v>2.2</v>
      </c>
      <c r="AA42" t="n">
        <v>3.8</v>
      </c>
      <c r="AB42" t="n">
        <v>5.7</v>
      </c>
      <c r="AC42" t="n">
        <v>7.9</v>
      </c>
      <c r="AD42" t="n">
        <v>10.5</v>
      </c>
      <c r="AE42" t="n">
        <v>13.8</v>
      </c>
      <c r="AF42" t="n">
        <v>18.5</v>
      </c>
      <c r="AG42" t="n">
        <v>26.3</v>
      </c>
      <c r="AH42" t="n">
        <v>92.3</v>
      </c>
      <c r="AI42" t="n">
        <v>13170.70098741236</v>
      </c>
      <c r="AJ42" t="n">
        <v>723813.75</v>
      </c>
      <c r="AK42" t="n">
        <v>349561</v>
      </c>
      <c r="AL42" t="n">
        <v>0.4829432986040953</v>
      </c>
      <c r="AM42" t="inlineStr">
        <is>
          <t>1.4922947926866545</t>
        </is>
      </c>
      <c r="AN42" t="inlineStr">
        <is>
          <t>16.5</t>
        </is>
      </c>
      <c r="AO42" t="inlineStr">
        <is>
          <t>6.5</t>
        </is>
      </c>
      <c r="AP42" t="inlineStr">
        <is>
          <t>12 1/4</t>
        </is>
      </c>
      <c r="AQ42" t="inlineStr">
        <is>
          <t>6</t>
        </is>
      </c>
      <c r="AR42" t="inlineStr">
        <is>
          <t>7</t>
        </is>
      </c>
      <c r="AS42" t="inlineStr">
        <is>
          <t>1.5</t>
        </is>
      </c>
      <c r="AT42" t="n">
        <v>364</v>
      </c>
      <c r="AU42" t="inlineStr">
        <is>
          <t>Vertex 70</t>
        </is>
      </c>
      <c r="AV42" t="inlineStr">
        <is>
          <t>52AR/48D2</t>
        </is>
      </c>
      <c r="AW42" t="n">
        <v>0.6524525121810104</v>
      </c>
      <c r="AX42" t="n">
        <v>0.6992420614811223</v>
      </c>
      <c r="AY42" t="n">
        <v>0.7448307470020237</v>
      </c>
      <c r="AZ42" t="n">
        <v>0.788323624081689</v>
      </c>
      <c r="BA42" t="n">
        <v>0.8124379675684538</v>
      </c>
      <c r="BB42" t="n">
        <v>3.070866141732284</v>
      </c>
      <c r="BC42" t="n">
        <v>0.7152524407421833</v>
      </c>
      <c r="BD42" t="n">
        <v>1.58663983545121</v>
      </c>
      <c r="BE42" t="n">
        <v>2.610578507264361</v>
      </c>
      <c r="BF42" t="n">
        <v>3.822645361385996</v>
      </c>
      <c r="BG42" t="n">
        <v>5.285632697886863</v>
      </c>
      <c r="BH42" t="n">
        <v>7.108612980335828</v>
      </c>
      <c r="BI42" t="n">
        <v>9.499185067550268</v>
      </c>
      <c r="BJ42" t="n">
        <v>12.92775893985791</v>
      </c>
      <c r="BK42" t="n">
        <v>18.90878322367109</v>
      </c>
      <c r="BL42" t="n">
        <v>60.70567000732882</v>
      </c>
      <c r="BM42" t="inlineStr"/>
      <c r="BN42" t="n">
        <v>8</v>
      </c>
      <c r="BO42" t="n">
        <v>79</v>
      </c>
      <c r="BP42" t="n">
        <v>185</v>
      </c>
      <c r="BQ42" t="n">
        <v>263</v>
      </c>
      <c r="BR42" t="n">
        <v>923</v>
      </c>
      <c r="BS4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3">
      <c r="A43" t="inlineStr">
        <is>
          <t>FRAG</t>
        </is>
      </c>
      <c r="B43" t="inlineStr">
        <is>
          <t>Fragmentación Desmonte 2025.xlsx</t>
        </is>
      </c>
      <c r="C43" t="inlineStr">
        <is>
          <t>ANÁLISIS DE FRAGMENTACIÓN</t>
        </is>
      </c>
      <c r="D43" t="n">
        <v>47</v>
      </c>
      <c r="E43" t="inlineStr">
        <is>
          <t>ROM (fragmentación post-voladura en el frente de carguío, por análisis de fotos)</t>
        </is>
      </c>
      <c r="F43" t="inlineStr"/>
      <c r="G43" t="inlineStr">
        <is>
          <t>no indicada en el archivo</t>
        </is>
      </c>
      <c r="H43" t="inlineStr">
        <is>
          <t>2025-01-21</t>
        </is>
      </c>
      <c r="I43" t="inlineStr">
        <is>
          <t>2025-01-27</t>
        </is>
      </c>
      <c r="J43" t="inlineStr">
        <is>
          <t>PALA 07</t>
        </is>
      </c>
      <c r="K43" t="n">
        <v>8</v>
      </c>
      <c r="L43" t="inlineStr">
        <is>
          <t>8-NP-3773-24</t>
        </is>
      </c>
      <c r="M43" t="n">
        <v>3</v>
      </c>
      <c r="N43" t="n">
        <v>3773</v>
      </c>
      <c r="O43" t="inlineStr">
        <is>
          <t>A</t>
        </is>
      </c>
      <c r="P43" t="n">
        <v>30</v>
      </c>
      <c r="Q43" t="inlineStr">
        <is>
          <t>Desmonte</t>
        </is>
      </c>
      <c r="R43" t="inlineStr">
        <is>
          <t>Trim</t>
        </is>
      </c>
      <c r="S43" t="n">
        <v>5</v>
      </c>
      <c r="T43" t="n">
        <v>9.699999999999999</v>
      </c>
      <c r="U43" t="n">
        <v>2</v>
      </c>
      <c r="V43" t="n">
        <v>0.6646057840603946</v>
      </c>
      <c r="W43" t="n">
        <v>0.177</v>
      </c>
      <c r="X43" t="n">
        <v>0.239</v>
      </c>
      <c r="Y43" t="n">
        <v>0.2</v>
      </c>
      <c r="Z43" t="n">
        <v>1.3</v>
      </c>
      <c r="AA43" t="n">
        <v>3.3</v>
      </c>
      <c r="AB43" t="n">
        <v>6.1</v>
      </c>
      <c r="AC43" t="n">
        <v>9.800000000000001</v>
      </c>
      <c r="AD43" t="n">
        <v>14.5</v>
      </c>
      <c r="AE43" t="n">
        <v>20.5</v>
      </c>
      <c r="AF43" t="n">
        <v>28.8</v>
      </c>
      <c r="AG43" t="n">
        <v>41.7</v>
      </c>
      <c r="AH43" t="n">
        <v>93.09999999999999</v>
      </c>
      <c r="AI43" t="inlineStr"/>
      <c r="AJ43" t="n">
        <v>264165</v>
      </c>
      <c r="AK43" t="n">
        <v>94847</v>
      </c>
      <c r="AL43" t="n">
        <v>0.3590445365585902</v>
      </c>
      <c r="AM43" t="inlineStr">
        <is>
          <t>-</t>
        </is>
      </c>
      <c r="AN43" t="inlineStr">
        <is>
          <t xml:space="preserve"> - </t>
        </is>
      </c>
      <c r="AO43" t="inlineStr">
        <is>
          <t xml:space="preserve"> - </t>
        </is>
      </c>
      <c r="AP43" t="inlineStr">
        <is>
          <t>9 7/8</t>
        </is>
      </c>
      <c r="AQ43" t="inlineStr">
        <is>
          <t xml:space="preserve"> - </t>
        </is>
      </c>
      <c r="AR43" t="inlineStr">
        <is>
          <t xml:space="preserve"> - </t>
        </is>
      </c>
      <c r="AS43" t="inlineStr">
        <is>
          <t xml:space="preserve"> - </t>
        </is>
      </c>
      <c r="AT43" t="n">
        <v>203</v>
      </c>
      <c r="AU43" t="inlineStr">
        <is>
          <t>Emulgex 70</t>
        </is>
      </c>
      <c r="AV43" t="inlineStr">
        <is>
          <t>52AR/48D2</t>
        </is>
      </c>
      <c r="AW43" t="n">
        <v>0.6888221911166759</v>
      </c>
      <c r="AX43" t="n">
        <v>0.7478483704303112</v>
      </c>
      <c r="AY43" t="n">
        <v>0.8032763456996725</v>
      </c>
      <c r="AZ43" t="n">
        <v>0.853233256955561</v>
      </c>
      <c r="BA43" t="n">
        <v>0.8792669413450105</v>
      </c>
      <c r="BB43" t="n">
        <v>3.818897637795276</v>
      </c>
      <c r="BC43" t="n">
        <v>0.3282786841004376</v>
      </c>
      <c r="BD43" t="n">
        <v>1.015355845147388</v>
      </c>
      <c r="BE43" t="n">
        <v>2.056355008736076</v>
      </c>
      <c r="BF43" t="n">
        <v>3.530399192077255</v>
      </c>
      <c r="BG43" t="n">
        <v>5.588169195840432</v>
      </c>
      <c r="BH43" t="n">
        <v>8.50442739768874</v>
      </c>
      <c r="BI43" t="n">
        <v>12.82542387975524</v>
      </c>
      <c r="BJ43" t="n">
        <v>19.84926330184198</v>
      </c>
      <c r="BK43" t="n">
        <v>34.02358438362757</v>
      </c>
      <c r="BL43" t="n">
        <v>177.6974565610438</v>
      </c>
      <c r="BM43" t="inlineStr"/>
      <c r="BN43" t="n">
        <v>2</v>
      </c>
      <c r="BO43" t="n">
        <v>98</v>
      </c>
      <c r="BP43" t="n">
        <v>288</v>
      </c>
      <c r="BQ43" t="n">
        <v>417</v>
      </c>
      <c r="BR43" t="n">
        <v>931</v>
      </c>
      <c r="BS4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4">
      <c r="A44" t="inlineStr">
        <is>
          <t>FRAG</t>
        </is>
      </c>
      <c r="B44" t="inlineStr">
        <is>
          <t>Fragmentación Desmonte 2025.xlsx</t>
        </is>
      </c>
      <c r="C44" t="inlineStr">
        <is>
          <t>ANÁLISIS DE FRAGMENTACIÓN</t>
        </is>
      </c>
      <c r="D44" t="n">
        <v>48</v>
      </c>
      <c r="E44" t="inlineStr">
        <is>
          <t>ROM (fragmentación post-voladura en el frente de carguío, por análisis de fotos)</t>
        </is>
      </c>
      <c r="F44" t="inlineStr"/>
      <c r="G44" t="inlineStr">
        <is>
          <t>no indicada en el archivo</t>
        </is>
      </c>
      <c r="H44" t="inlineStr">
        <is>
          <t>2025-01-19</t>
        </is>
      </c>
      <c r="I44" t="inlineStr">
        <is>
          <t>2025-01-28</t>
        </is>
      </c>
      <c r="J44" t="inlineStr">
        <is>
          <t>PALA 05</t>
        </is>
      </c>
      <c r="K44" t="n">
        <v>9</v>
      </c>
      <c r="L44" t="inlineStr">
        <is>
          <t>9-NP-3968-22</t>
        </is>
      </c>
      <c r="M44" t="n">
        <v>2</v>
      </c>
      <c r="N44" t="n">
        <v>3968</v>
      </c>
      <c r="O44" t="inlineStr">
        <is>
          <t>C</t>
        </is>
      </c>
      <c r="P44" t="n">
        <v>30</v>
      </c>
      <c r="Q44" t="inlineStr">
        <is>
          <t>Desmonte</t>
        </is>
      </c>
      <c r="R44" t="inlineStr">
        <is>
          <t>Producción</t>
        </is>
      </c>
      <c r="S44" t="n">
        <v>5</v>
      </c>
      <c r="T44" t="n">
        <v>9.1</v>
      </c>
      <c r="U44" t="n">
        <v>3</v>
      </c>
      <c r="V44" t="n">
        <v>0.9900939605800384</v>
      </c>
      <c r="W44" t="n">
        <v>0.13</v>
      </c>
      <c r="X44" t="n">
        <v>0.195</v>
      </c>
      <c r="Y44" t="n">
        <v>0.6</v>
      </c>
      <c r="Z44" t="n">
        <v>2</v>
      </c>
      <c r="AA44" t="n">
        <v>4</v>
      </c>
      <c r="AB44" t="n">
        <v>6.3</v>
      </c>
      <c r="AC44" t="n">
        <v>9.1</v>
      </c>
      <c r="AD44" t="n">
        <v>12.5</v>
      </c>
      <c r="AE44" t="n">
        <v>16.7</v>
      </c>
      <c r="AF44" t="n">
        <v>22.6</v>
      </c>
      <c r="AG44" t="n">
        <v>32.2</v>
      </c>
      <c r="AH44" t="n">
        <v>88.5</v>
      </c>
      <c r="AI44" t="n">
        <v>9385.025643896948</v>
      </c>
      <c r="AJ44" t="n">
        <v>983317.5</v>
      </c>
      <c r="AK44" t="n">
        <v>247347</v>
      </c>
      <c r="AL44" t="n">
        <v>0.2515433723085372</v>
      </c>
      <c r="AM44" t="inlineStr">
        <is>
          <t>0.7772690204333799</t>
        </is>
      </c>
      <c r="AN44" t="inlineStr">
        <is>
          <t>16.5</t>
        </is>
      </c>
      <c r="AO44" t="inlineStr">
        <is>
          <t>6.5</t>
        </is>
      </c>
      <c r="AP44" t="inlineStr">
        <is>
          <t>12 1/4</t>
        </is>
      </c>
      <c r="AQ44" t="inlineStr">
        <is>
          <t>6</t>
        </is>
      </c>
      <c r="AR44" t="inlineStr">
        <is>
          <t>7</t>
        </is>
      </c>
      <c r="AS44" t="inlineStr">
        <is>
          <t>1.5</t>
        </is>
      </c>
      <c r="AT44" t="n">
        <v>247</v>
      </c>
      <c r="AU44" t="inlineStr">
        <is>
          <t>Vertex 70</t>
        </is>
      </c>
      <c r="AV44" t="inlineStr">
        <is>
          <t>51AR/49D2</t>
        </is>
      </c>
      <c r="AW44" t="n">
        <v>0.6499738604307929</v>
      </c>
      <c r="AX44" t="n">
        <v>0.6993087416178789</v>
      </c>
      <c r="AY44" t="n">
        <v>0.7473075455547098</v>
      </c>
      <c r="AZ44" t="n">
        <v>0.7929224862208144</v>
      </c>
      <c r="BA44" t="n">
        <v>0.8180854267299261</v>
      </c>
      <c r="BB44" t="n">
        <v>3.582677165354331</v>
      </c>
      <c r="BC44" t="n">
        <v>0.93743469864561</v>
      </c>
      <c r="BD44" t="n">
        <v>2.000360273219322</v>
      </c>
      <c r="BE44" t="n">
        <v>3.212435479689346</v>
      </c>
      <c r="BF44" t="n">
        <v>4.617376522595601</v>
      </c>
      <c r="BG44" t="n">
        <v>6.284551479715725</v>
      </c>
      <c r="BH44" t="n">
        <v>8.330955668592299</v>
      </c>
      <c r="BI44" t="n">
        <v>10.97651945284959</v>
      </c>
      <c r="BJ44" t="n">
        <v>14.71578474722004</v>
      </c>
      <c r="BK44" t="n">
        <v>21.12910511193053</v>
      </c>
      <c r="BL44" t="n">
        <v>64.08789813901457</v>
      </c>
      <c r="BM44" t="inlineStr"/>
      <c r="BN44" t="n">
        <v>6</v>
      </c>
      <c r="BO44" t="n">
        <v>91</v>
      </c>
      <c r="BP44" t="n">
        <v>226</v>
      </c>
      <c r="BQ44" t="n">
        <v>322</v>
      </c>
      <c r="BR44" t="n">
        <v>885</v>
      </c>
      <c r="BS4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5">
      <c r="A45" t="inlineStr">
        <is>
          <t>FRAG</t>
        </is>
      </c>
      <c r="B45" t="inlineStr">
        <is>
          <t>Fragmentación Desmonte 2025.xlsx</t>
        </is>
      </c>
      <c r="C45" t="inlineStr">
        <is>
          <t>ANÁLISIS DE FRAGMENTACIÓN</t>
        </is>
      </c>
      <c r="D45" t="n">
        <v>49</v>
      </c>
      <c r="E45" t="inlineStr">
        <is>
          <t>ROM (fragmentación post-voladura en el frente de carguío, por análisis de fotos)</t>
        </is>
      </c>
      <c r="F45" t="inlineStr"/>
      <c r="G45" t="inlineStr">
        <is>
          <t>no indicada en el archivo</t>
        </is>
      </c>
      <c r="H45" t="inlineStr">
        <is>
          <t>2025-01-22</t>
        </is>
      </c>
      <c r="I45" t="inlineStr">
        <is>
          <t>2025-01-28</t>
        </is>
      </c>
      <c r="J45" t="inlineStr">
        <is>
          <t>PALA 08</t>
        </is>
      </c>
      <c r="K45" t="n">
        <v>9</v>
      </c>
      <c r="L45" t="inlineStr">
        <is>
          <t>9-NP-3968-23</t>
        </is>
      </c>
      <c r="M45" t="n">
        <v>2</v>
      </c>
      <c r="N45" t="n">
        <v>3968</v>
      </c>
      <c r="O45" t="inlineStr">
        <is>
          <t>A</t>
        </is>
      </c>
      <c r="P45" t="n">
        <v>30</v>
      </c>
      <c r="Q45" t="inlineStr">
        <is>
          <t>Desmonte</t>
        </is>
      </c>
      <c r="R45" t="inlineStr">
        <is>
          <t>Producción</t>
        </is>
      </c>
      <c r="S45" t="n">
        <v>6</v>
      </c>
      <c r="T45" t="n">
        <v>12</v>
      </c>
      <c r="U45" t="n">
        <v>3</v>
      </c>
      <c r="V45" t="n">
        <v>1.028931877802373</v>
      </c>
      <c r="W45" t="n">
        <v>0.098</v>
      </c>
      <c r="X45" t="n">
        <v>0.149</v>
      </c>
      <c r="Y45" t="n">
        <v>1</v>
      </c>
      <c r="Z45" t="n">
        <v>3.1</v>
      </c>
      <c r="AA45" t="n">
        <v>5.7</v>
      </c>
      <c r="AB45" t="n">
        <v>8.699999999999999</v>
      </c>
      <c r="AC45" t="n">
        <v>12.1</v>
      </c>
      <c r="AD45" t="n">
        <v>16.1</v>
      </c>
      <c r="AE45" t="n">
        <v>21.1</v>
      </c>
      <c r="AF45" t="n">
        <v>27.9</v>
      </c>
      <c r="AG45" t="n">
        <v>38.8</v>
      </c>
      <c r="AH45" t="n">
        <v>103.7</v>
      </c>
      <c r="AI45" t="n">
        <v>9339.907452038931</v>
      </c>
      <c r="AJ45" t="n">
        <v>586876</v>
      </c>
      <c r="AK45" t="n">
        <v>177755</v>
      </c>
      <c r="AL45" t="n">
        <v>0.3028834029675775</v>
      </c>
      <c r="AM45" t="inlineStr">
        <is>
          <t>0.9359097151698144</t>
        </is>
      </c>
      <c r="AN45" t="inlineStr">
        <is>
          <t>17</t>
        </is>
      </c>
      <c r="AO45" t="inlineStr">
        <is>
          <t>7</t>
        </is>
      </c>
      <c r="AP45" t="inlineStr">
        <is>
          <t>12 1/4</t>
        </is>
      </c>
      <c r="AQ45" t="inlineStr">
        <is>
          <t>9</t>
        </is>
      </c>
      <c r="AR45" t="inlineStr">
        <is>
          <t>10.35</t>
        </is>
      </c>
      <c r="AS45" t="inlineStr">
        <is>
          <t>2</t>
        </is>
      </c>
      <c r="AT45" t="n">
        <v>197</v>
      </c>
      <c r="AU45" t="inlineStr">
        <is>
          <t>Vertex 70</t>
        </is>
      </c>
      <c r="AV45" t="inlineStr">
        <is>
          <t>52AR/48D2</t>
        </is>
      </c>
      <c r="AW45" t="n">
        <v>0.643656768719036</v>
      </c>
      <c r="AX45" t="n">
        <v>0.6814984723609747</v>
      </c>
      <c r="AY45" t="n">
        <v>0.7187777146285861</v>
      </c>
      <c r="AZ45" t="n">
        <v>0.7550338991016206</v>
      </c>
      <c r="BA45" t="n">
        <v>0.7755799713318088</v>
      </c>
      <c r="BB45" t="n">
        <v>4.724409448818897</v>
      </c>
      <c r="BC45" t="n">
        <v>1.34691388303678</v>
      </c>
      <c r="BD45" t="n">
        <v>2.79307326086497</v>
      </c>
      <c r="BE45" t="n">
        <v>4.405986967741577</v>
      </c>
      <c r="BF45" t="n">
        <v>6.246788674577766</v>
      </c>
      <c r="BG45" t="n">
        <v>8.403930152720084</v>
      </c>
      <c r="BH45" t="n">
        <v>11.02255060492752</v>
      </c>
      <c r="BI45" t="n">
        <v>14.37246018752522</v>
      </c>
      <c r="BJ45" t="n">
        <v>19.0565436086097</v>
      </c>
      <c r="BK45" t="n">
        <v>26.99056795040375</v>
      </c>
      <c r="BL45" t="n">
        <v>78.50863209473007</v>
      </c>
      <c r="BM45" t="inlineStr"/>
      <c r="BN45" t="n">
        <v>10</v>
      </c>
      <c r="BO45" t="n">
        <v>121</v>
      </c>
      <c r="BP45" t="n">
        <v>279</v>
      </c>
      <c r="BQ45" t="n">
        <v>388</v>
      </c>
      <c r="BR45" t="n">
        <v>1037</v>
      </c>
      <c r="BS4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6">
      <c r="A46" t="inlineStr">
        <is>
          <t>FRAG</t>
        </is>
      </c>
      <c r="B46" t="inlineStr">
        <is>
          <t>Fragmentación Desmonte 2025.xlsx</t>
        </is>
      </c>
      <c r="C46" t="inlineStr">
        <is>
          <t>ANÁLISIS DE FRAGMENTACIÓN</t>
        </is>
      </c>
      <c r="D46" t="n">
        <v>50</v>
      </c>
      <c r="E46" t="inlineStr">
        <is>
          <t>ROM (fragmentación post-voladura en el frente de carguío, por análisis de fotos)</t>
        </is>
      </c>
      <c r="F46" t="inlineStr"/>
      <c r="G46" t="inlineStr">
        <is>
          <t>no indicada en el archivo</t>
        </is>
      </c>
      <c r="H46" t="inlineStr">
        <is>
          <t>2024-12-19</t>
        </is>
      </c>
      <c r="I46" t="inlineStr">
        <is>
          <t>2025-01-29</t>
        </is>
      </c>
      <c r="J46" t="inlineStr">
        <is>
          <t>PALA 11</t>
        </is>
      </c>
      <c r="K46" t="n">
        <v>10</v>
      </c>
      <c r="L46" t="inlineStr">
        <is>
          <t>10-NP-4433-06</t>
        </is>
      </c>
      <c r="M46" t="n">
        <v>1</v>
      </c>
      <c r="N46" t="n">
        <v>4433</v>
      </c>
      <c r="O46" t="inlineStr">
        <is>
          <t>A</t>
        </is>
      </c>
      <c r="P46" t="n">
        <v>30</v>
      </c>
      <c r="Q46" t="inlineStr">
        <is>
          <t>Desmonte</t>
        </is>
      </c>
      <c r="R46" t="inlineStr">
        <is>
          <t>Producción</t>
        </is>
      </c>
      <c r="S46" t="n">
        <v>5</v>
      </c>
      <c r="T46" t="n">
        <v>5.3</v>
      </c>
      <c r="U46" t="n">
        <v>3</v>
      </c>
      <c r="V46" t="n">
        <v>0.9297531904351432</v>
      </c>
      <c r="W46" t="n">
        <v>0.143</v>
      </c>
      <c r="X46" t="n">
        <v>0.241</v>
      </c>
      <c r="Y46" t="n">
        <v>0.6</v>
      </c>
      <c r="Z46" t="n">
        <v>1.5</v>
      </c>
      <c r="AA46" t="n">
        <v>2.6</v>
      </c>
      <c r="AB46" t="n">
        <v>3.9</v>
      </c>
      <c r="AC46" t="n">
        <v>5.3</v>
      </c>
      <c r="AD46" t="n">
        <v>7.1</v>
      </c>
      <c r="AE46" t="n">
        <v>9.300000000000001</v>
      </c>
      <c r="AF46" t="n">
        <v>12.4</v>
      </c>
      <c r="AG46" t="n">
        <v>17.7</v>
      </c>
      <c r="AH46" t="n">
        <v>65.2</v>
      </c>
      <c r="AI46" t="inlineStr"/>
      <c r="AJ46" t="n">
        <v>563928.75</v>
      </c>
      <c r="AK46" t="n">
        <v>273178</v>
      </c>
      <c r="AL46" t="n">
        <v>0.4844193526221176</v>
      </c>
      <c r="AM46" t="inlineStr">
        <is>
          <t>1.4968557996023435</t>
        </is>
      </c>
      <c r="AN46" t="inlineStr">
        <is>
          <t>17</t>
        </is>
      </c>
      <c r="AO46" t="inlineStr">
        <is>
          <t>7</t>
        </is>
      </c>
      <c r="AP46" t="inlineStr">
        <is>
          <t>12 1/4</t>
        </is>
      </c>
      <c r="AQ46" t="inlineStr">
        <is>
          <t>9</t>
        </is>
      </c>
      <c r="AR46" t="inlineStr">
        <is>
          <t>10.35</t>
        </is>
      </c>
      <c r="AS46" t="inlineStr">
        <is>
          <t>2</t>
        </is>
      </c>
      <c r="AT46" t="n">
        <v>302</v>
      </c>
      <c r="AU46" t="inlineStr">
        <is>
          <t>Vertex 70</t>
        </is>
      </c>
      <c r="AV46" t="inlineStr">
        <is>
          <t>50/50AR</t>
        </is>
      </c>
      <c r="AW46" t="n">
        <v>0.6597426158619061</v>
      </c>
      <c r="AX46" t="n">
        <v>0.7203049586770227</v>
      </c>
      <c r="AY46" t="n">
        <v>0.7781365978241932</v>
      </c>
      <c r="AZ46" t="n">
        <v>0.8312683737790507</v>
      </c>
      <c r="BA46" t="n">
        <v>0.8594381059078193</v>
      </c>
      <c r="BB46" t="n">
        <v>2.086614173228346</v>
      </c>
      <c r="BC46" t="n">
        <v>0.4710997926243881</v>
      </c>
      <c r="BD46" t="n">
        <v>1.055949102435172</v>
      </c>
      <c r="BE46" t="n">
        <v>1.7487219496592</v>
      </c>
      <c r="BF46" t="n">
        <v>2.573400036795906</v>
      </c>
      <c r="BG46" t="n">
        <v>3.573345562615777</v>
      </c>
      <c r="BH46" t="n">
        <v>4.824370100003299</v>
      </c>
      <c r="BI46" t="n">
        <v>6.471179992104941</v>
      </c>
      <c r="BJ46" t="n">
        <v>8.842299366289669</v>
      </c>
      <c r="BK46" t="n">
        <v>12.99746015638001</v>
      </c>
      <c r="BL46" t="n">
        <v>42.36705635058373</v>
      </c>
      <c r="BM46" t="inlineStr"/>
      <c r="BN46" t="n">
        <v>6</v>
      </c>
      <c r="BO46" t="n">
        <v>53</v>
      </c>
      <c r="BP46" t="n">
        <v>124</v>
      </c>
      <c r="BQ46" t="n">
        <v>177</v>
      </c>
      <c r="BR46" t="n">
        <v>652</v>
      </c>
      <c r="BS4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7">
      <c r="A47" t="inlineStr">
        <is>
          <t>FRAG</t>
        </is>
      </c>
      <c r="B47" t="inlineStr">
        <is>
          <t>Fragmentación Desmonte 2025.xlsx</t>
        </is>
      </c>
      <c r="C47" t="inlineStr">
        <is>
          <t>ANÁLISIS DE FRAGMENTACIÓN</t>
        </is>
      </c>
      <c r="D47" t="n">
        <v>51</v>
      </c>
      <c r="E47" t="inlineStr">
        <is>
          <t>ROM (fragmentación post-voladura en el frente de carguío, por análisis de fotos)</t>
        </is>
      </c>
      <c r="F47" t="inlineStr"/>
      <c r="G47" t="inlineStr">
        <is>
          <t>no indicada en el archivo</t>
        </is>
      </c>
      <c r="H47" t="inlineStr">
        <is>
          <t>2025-01-27</t>
        </is>
      </c>
      <c r="I47" t="inlineStr">
        <is>
          <t>2025-01-31</t>
        </is>
      </c>
      <c r="J47" t="inlineStr">
        <is>
          <t>PALA 15</t>
        </is>
      </c>
      <c r="K47" t="n">
        <v>10</v>
      </c>
      <c r="L47" t="inlineStr">
        <is>
          <t>10-NP-4433-17</t>
        </is>
      </c>
      <c r="M47" t="n">
        <v>3</v>
      </c>
      <c r="N47" t="n">
        <v>4433</v>
      </c>
      <c r="O47" t="inlineStr">
        <is>
          <t>C1</t>
        </is>
      </c>
      <c r="P47" t="n">
        <v>30</v>
      </c>
      <c r="Q47" t="inlineStr">
        <is>
          <t>Desmonte</t>
        </is>
      </c>
      <c r="R47" t="inlineStr">
        <is>
          <t>Producción</t>
        </is>
      </c>
      <c r="S47" t="n">
        <v>10</v>
      </c>
      <c r="T47" t="n">
        <v>7.6</v>
      </c>
      <c r="U47" t="n">
        <v>3</v>
      </c>
      <c r="V47" t="n">
        <v>1.002444134022968</v>
      </c>
      <c r="W47" t="n">
        <v>0.091</v>
      </c>
      <c r="X47" t="n">
        <v>0.16</v>
      </c>
      <c r="Y47" t="n">
        <v>1.1</v>
      </c>
      <c r="Z47" t="n">
        <v>2.5</v>
      </c>
      <c r="AA47" t="n">
        <v>4.1</v>
      </c>
      <c r="AB47" t="n">
        <v>5.8</v>
      </c>
      <c r="AC47" t="n">
        <v>7.7</v>
      </c>
      <c r="AD47" t="n">
        <v>9.800000000000001</v>
      </c>
      <c r="AE47" t="n">
        <v>12.5</v>
      </c>
      <c r="AF47" t="n">
        <v>16.1</v>
      </c>
      <c r="AG47" t="n">
        <v>22</v>
      </c>
      <c r="AH47" t="n">
        <v>71.8</v>
      </c>
      <c r="AI47" t="inlineStr"/>
      <c r="AJ47" t="n">
        <v>1434221.25</v>
      </c>
      <c r="AK47" t="n">
        <v>439237</v>
      </c>
      <c r="AL47" t="n">
        <v>0.3062547009396214</v>
      </c>
      <c r="AM47" t="inlineStr">
        <is>
          <t>-</t>
        </is>
      </c>
      <c r="AN47" t="inlineStr">
        <is>
          <t>17</t>
        </is>
      </c>
      <c r="AO47" t="inlineStr">
        <is>
          <t>7</t>
        </is>
      </c>
      <c r="AP47" t="inlineStr">
        <is>
          <t>12 1/4</t>
        </is>
      </c>
      <c r="AQ47" t="inlineStr">
        <is>
          <t>9</t>
        </is>
      </c>
      <c r="AR47" t="inlineStr">
        <is>
          <t>10.35</t>
        </is>
      </c>
      <c r="AS47" t="inlineStr">
        <is>
          <t>2</t>
        </is>
      </c>
      <c r="AT47" t="n">
        <v>472</v>
      </c>
      <c r="AU47" t="inlineStr">
        <is>
          <t>Vertex 70 / Vertex 70 + BEN</t>
        </is>
      </c>
      <c r="AV47" t="inlineStr">
        <is>
          <t>50/50AR</t>
        </is>
      </c>
      <c r="AW47" t="n">
        <v>0.6460422192607382</v>
      </c>
      <c r="AX47" t="n">
        <v>0.6866358778552385</v>
      </c>
      <c r="AY47" t="n">
        <v>0.7265094448354736</v>
      </c>
      <c r="AZ47" t="n">
        <v>0.7650892397074993</v>
      </c>
      <c r="BA47" t="n">
        <v>0.7868243146340266</v>
      </c>
      <c r="BB47" t="n">
        <v>2.992125984251969</v>
      </c>
      <c r="BC47" t="n">
        <v>0.8051454850530371</v>
      </c>
      <c r="BD47" t="n">
        <v>1.702104414527516</v>
      </c>
      <c r="BE47" t="n">
        <v>2.717551803435125</v>
      </c>
      <c r="BF47" t="n">
        <v>3.888638292567128</v>
      </c>
      <c r="BG47" t="n">
        <v>5.27262820717081</v>
      </c>
      <c r="BH47" t="n">
        <v>6.965294049999668</v>
      </c>
      <c r="BI47" t="n">
        <v>9.146052959459784</v>
      </c>
      <c r="BJ47" t="n">
        <v>12.21754400330348</v>
      </c>
      <c r="BK47" t="n">
        <v>17.46409703732163</v>
      </c>
      <c r="BL47" t="n">
        <v>52.25214044845759</v>
      </c>
      <c r="BM47" t="inlineStr"/>
      <c r="BN47" t="n">
        <v>11</v>
      </c>
      <c r="BO47" t="n">
        <v>77</v>
      </c>
      <c r="BP47" t="n">
        <v>161</v>
      </c>
      <c r="BQ47" t="n">
        <v>220</v>
      </c>
      <c r="BR47" t="n">
        <v>718</v>
      </c>
      <c r="BS4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8">
      <c r="A48" t="inlineStr">
        <is>
          <t>FRAG</t>
        </is>
      </c>
      <c r="B48" t="inlineStr">
        <is>
          <t>Fragmentación Desmonte 2025.xlsx</t>
        </is>
      </c>
      <c r="C48" t="inlineStr">
        <is>
          <t>ANÁLISIS DE FRAGMENTACIÓN</t>
        </is>
      </c>
      <c r="D48" t="n">
        <v>52</v>
      </c>
      <c r="E48" t="inlineStr">
        <is>
          <t>ROM (fragmentación post-voladura en el frente de carguío, por análisis de fotos)</t>
        </is>
      </c>
      <c r="F48" t="inlineStr"/>
      <c r="G48" t="inlineStr">
        <is>
          <t>no indicada en el archivo</t>
        </is>
      </c>
      <c r="H48" t="inlineStr">
        <is>
          <t>2025-01-27</t>
        </is>
      </c>
      <c r="I48" t="inlineStr">
        <is>
          <t>2025-02-01</t>
        </is>
      </c>
      <c r="J48" t="inlineStr">
        <is>
          <t>PALA 11</t>
        </is>
      </c>
      <c r="K48" t="n">
        <v>10</v>
      </c>
      <c r="L48" t="inlineStr">
        <is>
          <t>10-NP-4433-17</t>
        </is>
      </c>
      <c r="M48" t="n">
        <v>4</v>
      </c>
      <c r="N48" t="n">
        <v>4433</v>
      </c>
      <c r="O48" t="inlineStr">
        <is>
          <t>C</t>
        </is>
      </c>
      <c r="P48" t="n">
        <v>30</v>
      </c>
      <c r="Q48" t="inlineStr">
        <is>
          <t>Desmonte</t>
        </is>
      </c>
      <c r="R48" t="inlineStr">
        <is>
          <t>Producción</t>
        </is>
      </c>
      <c r="S48" t="n">
        <v>3</v>
      </c>
      <c r="T48" t="n">
        <v>4.6</v>
      </c>
      <c r="U48" t="n">
        <v>3</v>
      </c>
      <c r="V48" t="n">
        <v>0.9602843704816356</v>
      </c>
      <c r="W48" t="n">
        <v>0.182</v>
      </c>
      <c r="X48" t="n">
        <v>0.286</v>
      </c>
      <c r="Y48" t="n">
        <v>0.3</v>
      </c>
      <c r="Z48" t="n">
        <v>1.1</v>
      </c>
      <c r="AA48" t="n">
        <v>2.1</v>
      </c>
      <c r="AB48" t="n">
        <v>3.3</v>
      </c>
      <c r="AC48" t="n">
        <v>4.7</v>
      </c>
      <c r="AD48" t="n">
        <v>6.4</v>
      </c>
      <c r="AE48" t="n">
        <v>8.6</v>
      </c>
      <c r="AF48" t="n">
        <v>11.6</v>
      </c>
      <c r="AG48" t="n">
        <v>16.7</v>
      </c>
      <c r="AH48" t="n">
        <v>51</v>
      </c>
      <c r="AI48" t="inlineStr"/>
      <c r="AJ48" t="n">
        <v>1434221.25</v>
      </c>
      <c r="AK48" t="n">
        <v>439237</v>
      </c>
      <c r="AL48" t="n">
        <v>0.3062547009396214</v>
      </c>
      <c r="AM48" t="inlineStr">
        <is>
          <t>-</t>
        </is>
      </c>
      <c r="AN48" t="inlineStr">
        <is>
          <t>17</t>
        </is>
      </c>
      <c r="AO48" t="inlineStr">
        <is>
          <t>7</t>
        </is>
      </c>
      <c r="AP48" t="inlineStr">
        <is>
          <t>12 1/4</t>
        </is>
      </c>
      <c r="AQ48" t="inlineStr">
        <is>
          <t>9</t>
        </is>
      </c>
      <c r="AR48" t="inlineStr">
        <is>
          <t>10.35</t>
        </is>
      </c>
      <c r="AS48" t="inlineStr">
        <is>
          <t>2</t>
        </is>
      </c>
      <c r="AT48" t="n">
        <v>472</v>
      </c>
      <c r="AU48" t="inlineStr">
        <is>
          <t>Vertex 70 / Vertex 70 + BEN</t>
        </is>
      </c>
      <c r="AV48" t="inlineStr">
        <is>
          <t>50/50AR</t>
        </is>
      </c>
      <c r="AW48" t="n">
        <v>0.6615002947482387</v>
      </c>
      <c r="AX48" t="n">
        <v>0.733061291743325</v>
      </c>
      <c r="AY48" t="n">
        <v>0.8001752096600241</v>
      </c>
      <c r="AZ48" t="n">
        <v>0.8596174338506539</v>
      </c>
      <c r="BA48" t="n">
        <v>0.8897263812578147</v>
      </c>
      <c r="BB48" t="n">
        <v>1.811023622047244</v>
      </c>
      <c r="BC48" t="n">
        <v>0.4415861456728905</v>
      </c>
      <c r="BD48" t="n">
        <v>0.9647189190127636</v>
      </c>
      <c r="BE48" t="n">
        <v>1.572219707196049</v>
      </c>
      <c r="BF48" t="n">
        <v>2.285415611299374</v>
      </c>
      <c r="BG48" t="n">
        <v>3.140509568105226</v>
      </c>
      <c r="BH48" t="n">
        <v>4.199725362101544</v>
      </c>
      <c r="BI48" t="n">
        <v>5.580956906399967</v>
      </c>
      <c r="BJ48" t="n">
        <v>7.550569900220514</v>
      </c>
      <c r="BK48" t="n">
        <v>10.96362337016648</v>
      </c>
      <c r="BL48" t="n">
        <v>34.41979165471022</v>
      </c>
      <c r="BM48" t="inlineStr"/>
      <c r="BN48" t="n">
        <v>3</v>
      </c>
      <c r="BO48" t="n">
        <v>47</v>
      </c>
      <c r="BP48" t="n">
        <v>116</v>
      </c>
      <c r="BQ48" t="n">
        <v>167</v>
      </c>
      <c r="BR48" t="n">
        <v>510</v>
      </c>
      <c r="BS4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49">
      <c r="A49" t="inlineStr">
        <is>
          <t>FRAG</t>
        </is>
      </c>
      <c r="B49" t="inlineStr">
        <is>
          <t>Fragmentación Desmonte 2025.xlsx</t>
        </is>
      </c>
      <c r="C49" t="inlineStr">
        <is>
          <t>ANÁLISIS DE FRAGMENTACIÓN</t>
        </is>
      </c>
      <c r="D49" t="n">
        <v>53</v>
      </c>
      <c r="E49" t="inlineStr">
        <is>
          <t>ROM (fragmentación post-voladura en el frente de carguío, por análisis de fotos)</t>
        </is>
      </c>
      <c r="F49" t="inlineStr"/>
      <c r="G49" t="inlineStr">
        <is>
          <t>no indicada en el archivo</t>
        </is>
      </c>
      <c r="H49" t="inlineStr">
        <is>
          <t>2025-01-19</t>
        </is>
      </c>
      <c r="I49" t="inlineStr">
        <is>
          <t>2025-02-01</t>
        </is>
      </c>
      <c r="J49" t="inlineStr">
        <is>
          <t>PALA 11</t>
        </is>
      </c>
      <c r="K49" t="n">
        <v>10</v>
      </c>
      <c r="L49" t="inlineStr">
        <is>
          <t>10-NP-4433-13</t>
        </is>
      </c>
      <c r="M49" t="n">
        <v>3</v>
      </c>
      <c r="N49" t="n">
        <v>4433</v>
      </c>
      <c r="O49" t="inlineStr">
        <is>
          <t>C1</t>
        </is>
      </c>
      <c r="P49" t="n">
        <v>30</v>
      </c>
      <c r="Q49" t="inlineStr">
        <is>
          <t>Desmonte</t>
        </is>
      </c>
      <c r="R49" t="inlineStr">
        <is>
          <t>Producción</t>
        </is>
      </c>
      <c r="S49" t="n">
        <v>3</v>
      </c>
      <c r="T49" t="n">
        <v>8.199999999999999</v>
      </c>
      <c r="U49" t="n">
        <v>3</v>
      </c>
      <c r="V49" t="n">
        <v>0.943556390854552</v>
      </c>
      <c r="W49" t="n">
        <v>0.121</v>
      </c>
      <c r="X49" t="n">
        <v>0.19</v>
      </c>
      <c r="Y49" t="n">
        <v>0.7</v>
      </c>
      <c r="Z49" t="n">
        <v>2.1</v>
      </c>
      <c r="AA49" t="n">
        <v>3.8</v>
      </c>
      <c r="AB49" t="n">
        <v>5.9</v>
      </c>
      <c r="AC49" t="n">
        <v>8.300000000000001</v>
      </c>
      <c r="AD49" t="n">
        <v>11.2</v>
      </c>
      <c r="AE49" t="n">
        <v>14.9</v>
      </c>
      <c r="AF49" t="n">
        <v>20.1</v>
      </c>
      <c r="AG49" t="n">
        <v>28.9</v>
      </c>
      <c r="AH49" t="n">
        <v>96.3</v>
      </c>
      <c r="AI49" t="inlineStr"/>
      <c r="AJ49" t="n">
        <v>822937.5</v>
      </c>
      <c r="AK49" t="n">
        <v>218477</v>
      </c>
      <c r="AL49" t="n">
        <v>0.2654843168527379</v>
      </c>
      <c r="AM49" t="inlineStr">
        <is>
          <t>0.82034653907496</t>
        </is>
      </c>
      <c r="AN49" t="inlineStr">
        <is>
          <t>17</t>
        </is>
      </c>
      <c r="AO49" t="inlineStr">
        <is>
          <t>7</t>
        </is>
      </c>
      <c r="AP49" t="inlineStr">
        <is>
          <t>12 1/4</t>
        </is>
      </c>
      <c r="AQ49" t="inlineStr">
        <is>
          <t>9</t>
        </is>
      </c>
      <c r="AR49" t="inlineStr">
        <is>
          <t>10.35</t>
        </is>
      </c>
      <c r="AS49" t="inlineStr">
        <is>
          <t>2</t>
        </is>
      </c>
      <c r="AT49" t="n">
        <v>220</v>
      </c>
      <c r="AU49" t="inlineStr">
        <is>
          <t>Vertex 70</t>
        </is>
      </c>
      <c r="AV49" t="inlineStr">
        <is>
          <t>51AR/49D2</t>
        </is>
      </c>
      <c r="AW49" t="n">
        <v>0.6528769246985227</v>
      </c>
      <c r="AX49" t="n">
        <v>0.7009111433534299</v>
      </c>
      <c r="AY49" t="n">
        <v>0.7476449933642688</v>
      </c>
      <c r="AZ49" t="n">
        <v>0.79210841902448</v>
      </c>
      <c r="BA49" t="n">
        <v>0.816681252818815</v>
      </c>
      <c r="BB49" t="n">
        <v>3.228346456692913</v>
      </c>
      <c r="BC49" t="n">
        <v>0.7551413689638834</v>
      </c>
      <c r="BD49" t="n">
        <v>1.672747782187734</v>
      </c>
      <c r="BE49" t="n">
        <v>2.749814323462689</v>
      </c>
      <c r="BF49" t="n">
        <v>4.023790652171288</v>
      </c>
      <c r="BG49" t="n">
        <v>5.560546557850423</v>
      </c>
      <c r="BH49" t="n">
        <v>7.474393792197586</v>
      </c>
      <c r="BI49" t="n">
        <v>9.982815041152712</v>
      </c>
      <c r="BJ49" t="n">
        <v>13.57848592929503</v>
      </c>
      <c r="BK49" t="n">
        <v>19.84711146869332</v>
      </c>
      <c r="BL49" t="n">
        <v>63.5857781301951</v>
      </c>
      <c r="BM49" t="inlineStr"/>
      <c r="BN49" t="n">
        <v>7</v>
      </c>
      <c r="BO49" t="n">
        <v>83</v>
      </c>
      <c r="BP49" t="n">
        <v>201</v>
      </c>
      <c r="BQ49" t="n">
        <v>289</v>
      </c>
      <c r="BR49" t="n">
        <v>963</v>
      </c>
      <c r="BS4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0">
      <c r="A50" t="inlineStr">
        <is>
          <t>FRAG</t>
        </is>
      </c>
      <c r="B50" t="inlineStr">
        <is>
          <t>Fragmentación Desmonte 2025.xlsx</t>
        </is>
      </c>
      <c r="C50" t="inlineStr">
        <is>
          <t>ANÁLISIS DE FRAGMENTACIÓN</t>
        </is>
      </c>
      <c r="D50" t="n">
        <v>54</v>
      </c>
      <c r="E50" t="inlineStr">
        <is>
          <t>ROM (fragmentación post-voladura en el frente de carguío, por análisis de fotos)</t>
        </is>
      </c>
      <c r="F50" t="inlineStr"/>
      <c r="G50" t="inlineStr">
        <is>
          <t>no indicada en el archivo</t>
        </is>
      </c>
      <c r="H50" t="inlineStr">
        <is>
          <t>2025-01-19</t>
        </is>
      </c>
      <c r="I50" t="inlineStr">
        <is>
          <t>2025-02-01</t>
        </is>
      </c>
      <c r="J50" t="inlineStr">
        <is>
          <t>PALA 11</t>
        </is>
      </c>
      <c r="K50" t="n">
        <v>10</v>
      </c>
      <c r="L50" t="inlineStr">
        <is>
          <t>10-NP-4433-13</t>
        </is>
      </c>
      <c r="M50" t="n">
        <v>2</v>
      </c>
      <c r="N50" t="n">
        <v>4433</v>
      </c>
      <c r="O50" t="inlineStr">
        <is>
          <t>C</t>
        </is>
      </c>
      <c r="P50" t="n">
        <v>30</v>
      </c>
      <c r="Q50" t="inlineStr">
        <is>
          <t>Desmonte</t>
        </is>
      </c>
      <c r="R50" t="inlineStr">
        <is>
          <t>Producción</t>
        </is>
      </c>
      <c r="S50" t="n">
        <v>3</v>
      </c>
      <c r="T50" t="n">
        <v>10</v>
      </c>
      <c r="U50" t="n">
        <v>3</v>
      </c>
      <c r="V50" t="n">
        <v>1.019281146558748</v>
      </c>
      <c r="W50" t="n">
        <v>0.075</v>
      </c>
      <c r="X50" t="n">
        <v>0.129</v>
      </c>
      <c r="Y50" t="n">
        <v>1.4</v>
      </c>
      <c r="Z50" t="n">
        <v>3.3</v>
      </c>
      <c r="AA50" t="n">
        <v>5.4</v>
      </c>
      <c r="AB50" t="n">
        <v>7.6</v>
      </c>
      <c r="AC50" t="n">
        <v>10</v>
      </c>
      <c r="AD50" t="n">
        <v>12.8</v>
      </c>
      <c r="AE50" t="n">
        <v>16.2</v>
      </c>
      <c r="AF50" t="n">
        <v>20.9</v>
      </c>
      <c r="AG50" t="n">
        <v>28.4</v>
      </c>
      <c r="AH50" t="n">
        <v>88.3</v>
      </c>
      <c r="AI50" t="inlineStr"/>
      <c r="AJ50" t="n">
        <v>822937.5</v>
      </c>
      <c r="AK50" t="n">
        <v>218477</v>
      </c>
      <c r="AL50" t="n">
        <v>0.2654843168527379</v>
      </c>
      <c r="AM50" t="inlineStr">
        <is>
          <t>0.82034653907496</t>
        </is>
      </c>
      <c r="AN50" t="inlineStr">
        <is>
          <t>17</t>
        </is>
      </c>
      <c r="AO50" t="inlineStr">
        <is>
          <t>7</t>
        </is>
      </c>
      <c r="AP50" t="inlineStr">
        <is>
          <t>12 1/4</t>
        </is>
      </c>
      <c r="AQ50" t="inlineStr">
        <is>
          <t>9</t>
        </is>
      </c>
      <c r="AR50" t="inlineStr">
        <is>
          <t>10.35</t>
        </is>
      </c>
      <c r="AS50" t="inlineStr">
        <is>
          <t>2</t>
        </is>
      </c>
      <c r="AT50" t="n">
        <v>220</v>
      </c>
      <c r="AU50" t="inlineStr">
        <is>
          <t>Vertex 70</t>
        </is>
      </c>
      <c r="AV50" t="inlineStr">
        <is>
          <t>51AR/49D2</t>
        </is>
      </c>
      <c r="AW50" t="n">
        <v>0.6425557369137255</v>
      </c>
      <c r="AX50" t="n">
        <v>0.675348459511997</v>
      </c>
      <c r="AY50" t="n">
        <v>0.7077747914062631</v>
      </c>
      <c r="AZ50" t="n">
        <v>0.7395386208489551</v>
      </c>
      <c r="BA50" t="n">
        <v>0.7576904869501699</v>
      </c>
      <c r="BB50" t="n">
        <v>3.937007874015748</v>
      </c>
      <c r="BC50" t="n">
        <v>1.099424269049218</v>
      </c>
      <c r="BD50" t="n">
        <v>2.295655894616734</v>
      </c>
      <c r="BE50" t="n">
        <v>3.636989100454224</v>
      </c>
      <c r="BF50" t="n">
        <v>5.173579291238244</v>
      </c>
      <c r="BG50" t="n">
        <v>6.97969544583389</v>
      </c>
      <c r="BH50" t="n">
        <v>9.17807258066089</v>
      </c>
      <c r="BI50" t="n">
        <v>11.99752596318781</v>
      </c>
      <c r="BJ50" t="n">
        <v>15.95014706570759</v>
      </c>
      <c r="BK50" t="n">
        <v>22.66542494678328</v>
      </c>
      <c r="BL50" t="n">
        <v>66.59777139457684</v>
      </c>
      <c r="BM50" t="inlineStr"/>
      <c r="BN50" t="n">
        <v>14</v>
      </c>
      <c r="BO50" t="n">
        <v>100</v>
      </c>
      <c r="BP50" t="n">
        <v>209</v>
      </c>
      <c r="BQ50" t="n">
        <v>284</v>
      </c>
      <c r="BR50" t="n">
        <v>883</v>
      </c>
      <c r="BS5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1">
      <c r="A51" t="inlineStr">
        <is>
          <t>FRAG</t>
        </is>
      </c>
      <c r="B51" t="inlineStr">
        <is>
          <t>Fragmentación Desmonte 2025.xlsx</t>
        </is>
      </c>
      <c r="C51" t="inlineStr">
        <is>
          <t>ANÁLISIS DE FRAGMENTACIÓN</t>
        </is>
      </c>
      <c r="D51" t="n">
        <v>55</v>
      </c>
      <c r="E51" t="inlineStr">
        <is>
          <t>ROM (fragmentación post-voladura en el frente de carguío, por análisis de fotos)</t>
        </is>
      </c>
      <c r="F51" t="inlineStr"/>
      <c r="G51" t="inlineStr">
        <is>
          <t>no indicada en el archivo</t>
        </is>
      </c>
      <c r="H51" t="inlineStr">
        <is>
          <t>2025-01-19</t>
        </is>
      </c>
      <c r="I51" t="inlineStr">
        <is>
          <t>2025-02-01</t>
        </is>
      </c>
      <c r="J51" t="inlineStr">
        <is>
          <t>PALA 06</t>
        </is>
      </c>
      <c r="K51" t="n">
        <v>10</v>
      </c>
      <c r="L51" t="inlineStr">
        <is>
          <t>10-NP-4433-13</t>
        </is>
      </c>
      <c r="M51" t="n">
        <v>1</v>
      </c>
      <c r="N51" t="n">
        <v>4433</v>
      </c>
      <c r="O51" t="inlineStr">
        <is>
          <t>C1</t>
        </is>
      </c>
      <c r="P51" t="n">
        <v>30</v>
      </c>
      <c r="Q51" t="inlineStr">
        <is>
          <t>Desmonte</t>
        </is>
      </c>
      <c r="R51" t="inlineStr">
        <is>
          <t>Producción</t>
        </is>
      </c>
      <c r="S51" t="n">
        <v>2</v>
      </c>
      <c r="T51" t="n">
        <v>9</v>
      </c>
      <c r="U51" t="n">
        <v>2</v>
      </c>
      <c r="V51" t="n">
        <v>0.8427633442645056</v>
      </c>
      <c r="W51" t="n">
        <v>0.116</v>
      </c>
      <c r="X51" t="n">
        <v>0.176</v>
      </c>
      <c r="Y51" t="n">
        <v>0.7</v>
      </c>
      <c r="Z51" t="n">
        <v>2.4</v>
      </c>
      <c r="AA51" t="n">
        <v>4.4</v>
      </c>
      <c r="AB51" t="n">
        <v>6.6</v>
      </c>
      <c r="AC51" t="n">
        <v>9</v>
      </c>
      <c r="AD51" t="n">
        <v>11.7</v>
      </c>
      <c r="AE51" t="n">
        <v>14.9</v>
      </c>
      <c r="AF51" t="n">
        <v>18.8</v>
      </c>
      <c r="AG51" t="n">
        <v>24.6</v>
      </c>
      <c r="AH51" t="n">
        <v>46.3</v>
      </c>
      <c r="AI51" t="inlineStr"/>
      <c r="AJ51" t="n">
        <v>822937.5</v>
      </c>
      <c r="AK51" t="n">
        <v>218477</v>
      </c>
      <c r="AL51" t="n">
        <v>0.2654843168527379</v>
      </c>
      <c r="AM51" t="inlineStr">
        <is>
          <t>0.82034653907496</t>
        </is>
      </c>
      <c r="AN51" t="inlineStr">
        <is>
          <t>17</t>
        </is>
      </c>
      <c r="AO51" t="inlineStr">
        <is>
          <t>7</t>
        </is>
      </c>
      <c r="AP51" t="inlineStr">
        <is>
          <t>12 1/4</t>
        </is>
      </c>
      <c r="AQ51" t="inlineStr">
        <is>
          <t>9</t>
        </is>
      </c>
      <c r="AR51" t="inlineStr">
        <is>
          <t>10.35</t>
        </is>
      </c>
      <c r="AS51" t="inlineStr">
        <is>
          <t>2</t>
        </is>
      </c>
      <c r="AT51" t="n">
        <v>220</v>
      </c>
      <c r="AU51" t="inlineStr">
        <is>
          <t>Vertex 70</t>
        </is>
      </c>
      <c r="AV51" t="inlineStr">
        <is>
          <t>51AR/49D2</t>
        </is>
      </c>
      <c r="AW51" t="n">
        <v>0.6586488512240893</v>
      </c>
      <c r="AX51" t="n">
        <v>0.7030826699734386</v>
      </c>
      <c r="AY51" t="n">
        <v>0.7463636599712111</v>
      </c>
      <c r="AZ51" t="n">
        <v>0.7877197568287759</v>
      </c>
      <c r="BA51" t="n">
        <v>0.8107128095755798</v>
      </c>
      <c r="BB51" t="n">
        <v>3.543307086614173</v>
      </c>
      <c r="BC51" t="n">
        <v>0.6231301210277962</v>
      </c>
      <c r="BD51" t="n">
        <v>1.518065301605402</v>
      </c>
      <c r="BE51" t="n">
        <v>2.648386645163798</v>
      </c>
      <c r="BF51" t="n">
        <v>4.0558960944709</v>
      </c>
      <c r="BG51" t="n">
        <v>5.825998153031354</v>
      </c>
      <c r="BH51" t="n">
        <v>8.113201294508862</v>
      </c>
      <c r="BI51" t="n">
        <v>11.21760284273016</v>
      </c>
      <c r="BJ51" t="n">
        <v>15.82983948939104</v>
      </c>
      <c r="BK51" t="n">
        <v>24.21239593354117</v>
      </c>
      <c r="BL51" t="n">
        <v>89.16139107945904</v>
      </c>
      <c r="BM51" t="inlineStr"/>
      <c r="BN51" t="n">
        <v>7</v>
      </c>
      <c r="BO51" t="n">
        <v>90</v>
      </c>
      <c r="BP51" t="n">
        <v>188</v>
      </c>
      <c r="BQ51" t="n">
        <v>246</v>
      </c>
      <c r="BR51" t="n">
        <v>463</v>
      </c>
      <c r="BS5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2">
      <c r="A52" t="inlineStr">
        <is>
          <t>FRAG</t>
        </is>
      </c>
      <c r="B52" t="inlineStr">
        <is>
          <t>Fragmentación Desmonte 2025.xlsx</t>
        </is>
      </c>
      <c r="C52" t="inlineStr">
        <is>
          <t>ANÁLISIS DE FRAGMENTACIÓN</t>
        </is>
      </c>
      <c r="D52" t="n">
        <v>56</v>
      </c>
      <c r="E52" t="inlineStr">
        <is>
          <t>ROM (fragmentación post-voladura en el frente de carguío, por análisis de fotos)</t>
        </is>
      </c>
      <c r="F52" t="inlineStr"/>
      <c r="G52" t="inlineStr">
        <is>
          <t>no indicada en el archivo</t>
        </is>
      </c>
      <c r="H52" t="inlineStr">
        <is>
          <t>2025-01-27</t>
        </is>
      </c>
      <c r="I52" t="inlineStr">
        <is>
          <t>2025-02-01</t>
        </is>
      </c>
      <c r="J52" t="inlineStr">
        <is>
          <t>PALA 06</t>
        </is>
      </c>
      <c r="K52" t="n">
        <v>10</v>
      </c>
      <c r="L52" t="inlineStr">
        <is>
          <t>10-NP-4433-17</t>
        </is>
      </c>
      <c r="M52" t="n">
        <v>3</v>
      </c>
      <c r="N52" t="n">
        <v>4433</v>
      </c>
      <c r="O52" t="inlineStr">
        <is>
          <t>C1</t>
        </is>
      </c>
      <c r="P52" t="n">
        <v>30</v>
      </c>
      <c r="Q52" t="inlineStr">
        <is>
          <t>Desmonte</t>
        </is>
      </c>
      <c r="R52" t="inlineStr">
        <is>
          <t>Producción</t>
        </is>
      </c>
      <c r="S52" t="n">
        <v>2</v>
      </c>
      <c r="T52" t="n">
        <v>5.7</v>
      </c>
      <c r="U52" t="n">
        <v>3</v>
      </c>
      <c r="V52" t="n">
        <v>0.9871908036578902</v>
      </c>
      <c r="W52" t="n">
        <v>0.15</v>
      </c>
      <c r="X52" t="n">
        <v>0.241</v>
      </c>
      <c r="Y52" t="n">
        <v>0.5</v>
      </c>
      <c r="Z52" t="n">
        <v>1.5</v>
      </c>
      <c r="AA52" t="n">
        <v>2.7</v>
      </c>
      <c r="AB52" t="n">
        <v>4.1</v>
      </c>
      <c r="AC52" t="n">
        <v>5.7</v>
      </c>
      <c r="AD52" t="n">
        <v>7.7</v>
      </c>
      <c r="AE52" t="n">
        <v>10.2</v>
      </c>
      <c r="AF52" t="n">
        <v>13.6</v>
      </c>
      <c r="AG52" t="n">
        <v>19.1</v>
      </c>
      <c r="AH52" t="n">
        <v>56</v>
      </c>
      <c r="AI52" t="inlineStr"/>
      <c r="AJ52" t="n">
        <v>1434221.25</v>
      </c>
      <c r="AK52" t="n">
        <v>439237</v>
      </c>
      <c r="AL52" t="n">
        <v>0.3062547009396214</v>
      </c>
      <c r="AM52" t="inlineStr">
        <is>
          <t>-</t>
        </is>
      </c>
      <c r="AN52" t="inlineStr">
        <is>
          <t>17</t>
        </is>
      </c>
      <c r="AO52" t="inlineStr">
        <is>
          <t>7</t>
        </is>
      </c>
      <c r="AP52" t="inlineStr">
        <is>
          <t>12 1/4</t>
        </is>
      </c>
      <c r="AQ52" t="inlineStr">
        <is>
          <t>9</t>
        </is>
      </c>
      <c r="AR52" t="inlineStr">
        <is>
          <t>10.35</t>
        </is>
      </c>
      <c r="AS52" t="inlineStr">
        <is>
          <t>2</t>
        </is>
      </c>
      <c r="AT52" t="n">
        <v>472</v>
      </c>
      <c r="AU52" t="inlineStr">
        <is>
          <t>Vertex 70 / Vertex 70 + BEN</t>
        </is>
      </c>
      <c r="AV52" t="inlineStr">
        <is>
          <t>50/50AR</t>
        </is>
      </c>
      <c r="AW52" t="n">
        <v>0.6544406087171586</v>
      </c>
      <c r="AX52" t="n">
        <v>0.7151469994251897</v>
      </c>
      <c r="AY52" t="n">
        <v>0.7732931919369772</v>
      </c>
      <c r="AZ52" t="n">
        <v>0.8269065726420332</v>
      </c>
      <c r="BA52" t="n">
        <v>0.8554262400589461</v>
      </c>
      <c r="BB52" t="n">
        <v>2.244094488188976</v>
      </c>
      <c r="BC52" t="n">
        <v>0.5832726291349772</v>
      </c>
      <c r="BD52" t="n">
        <v>1.247403094141015</v>
      </c>
      <c r="BE52" t="n">
        <v>2.006032731319237</v>
      </c>
      <c r="BF52" t="n">
        <v>2.886438114911413</v>
      </c>
      <c r="BG52" t="n">
        <v>3.932194245328564</v>
      </c>
      <c r="BH52" t="n">
        <v>5.216936087326564</v>
      </c>
      <c r="BI52" t="n">
        <v>6.879194147065599</v>
      </c>
      <c r="BJ52" t="n">
        <v>9.230617694125346</v>
      </c>
      <c r="BK52" t="n">
        <v>13.26754099165823</v>
      </c>
      <c r="BL52" t="n">
        <v>40.37407006292477</v>
      </c>
      <c r="BM52" t="inlineStr"/>
      <c r="BN52" t="n">
        <v>5</v>
      </c>
      <c r="BO52" t="n">
        <v>57</v>
      </c>
      <c r="BP52" t="n">
        <v>136</v>
      </c>
      <c r="BQ52" t="n">
        <v>191</v>
      </c>
      <c r="BR52" t="n">
        <v>560</v>
      </c>
      <c r="BS5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3">
      <c r="A53" t="inlineStr">
        <is>
          <t>FRAG</t>
        </is>
      </c>
      <c r="B53" t="inlineStr">
        <is>
          <t>Fragmentación Desmonte 2025.xlsx</t>
        </is>
      </c>
      <c r="C53" t="inlineStr">
        <is>
          <t>ANÁLISIS DE FRAGMENTACIÓN</t>
        </is>
      </c>
      <c r="D53" t="n">
        <v>57</v>
      </c>
      <c r="E53" t="inlineStr">
        <is>
          <t>ROM (fragmentación post-voladura en el frente de carguío, por análisis de fotos)</t>
        </is>
      </c>
      <c r="F53" t="inlineStr"/>
      <c r="G53" t="inlineStr">
        <is>
          <t>no indicada en el archivo</t>
        </is>
      </c>
      <c r="H53" t="inlineStr">
        <is>
          <t>2025-01-27</t>
        </is>
      </c>
      <c r="I53" t="inlineStr">
        <is>
          <t>2025-02-01</t>
        </is>
      </c>
      <c r="J53" t="inlineStr">
        <is>
          <t>PALA 06</t>
        </is>
      </c>
      <c r="K53" t="n">
        <v>10</v>
      </c>
      <c r="L53" t="inlineStr">
        <is>
          <t>10-NP-4433-17</t>
        </is>
      </c>
      <c r="M53" t="n">
        <v>1</v>
      </c>
      <c r="N53" t="n">
        <v>4433</v>
      </c>
      <c r="O53" t="inlineStr">
        <is>
          <t>C</t>
        </is>
      </c>
      <c r="P53" t="n">
        <v>30</v>
      </c>
      <c r="Q53" t="inlineStr">
        <is>
          <t>Desmonte</t>
        </is>
      </c>
      <c r="R53" t="inlineStr">
        <is>
          <t>Producción</t>
        </is>
      </c>
      <c r="S53" t="n">
        <v>2</v>
      </c>
      <c r="T53" t="n">
        <v>7</v>
      </c>
      <c r="U53" t="n">
        <v>3</v>
      </c>
      <c r="V53" t="n">
        <v>0.9110672324294338</v>
      </c>
      <c r="W53" t="n">
        <v>0.157</v>
      </c>
      <c r="X53" t="n">
        <v>0.237</v>
      </c>
      <c r="Y53" t="n">
        <v>0.4</v>
      </c>
      <c r="Z53" t="n">
        <v>1.4</v>
      </c>
      <c r="AA53" t="n">
        <v>2.9</v>
      </c>
      <c r="AB53" t="n">
        <v>4.8</v>
      </c>
      <c r="AC53" t="n">
        <v>7</v>
      </c>
      <c r="AD53" t="n">
        <v>9.9</v>
      </c>
      <c r="AE53" t="n">
        <v>13.6</v>
      </c>
      <c r="AF53" t="n">
        <v>18.9</v>
      </c>
      <c r="AG53" t="n">
        <v>27.9</v>
      </c>
      <c r="AH53" t="n">
        <v>93.7</v>
      </c>
      <c r="AI53" t="inlineStr"/>
      <c r="AJ53" t="n">
        <v>1434221.25</v>
      </c>
      <c r="AK53" t="n">
        <v>439237</v>
      </c>
      <c r="AL53" t="n">
        <v>0.3062547009396214</v>
      </c>
      <c r="AM53" t="inlineStr">
        <is>
          <t>-</t>
        </is>
      </c>
      <c r="AN53" t="inlineStr">
        <is>
          <t>17</t>
        </is>
      </c>
      <c r="AO53" t="inlineStr">
        <is>
          <t>7</t>
        </is>
      </c>
      <c r="AP53" t="inlineStr">
        <is>
          <t>12 1/4</t>
        </is>
      </c>
      <c r="AQ53" t="inlineStr">
        <is>
          <t>9</t>
        </is>
      </c>
      <c r="AR53" t="inlineStr">
        <is>
          <t>10.35</t>
        </is>
      </c>
      <c r="AS53" t="inlineStr">
        <is>
          <t>2</t>
        </is>
      </c>
      <c r="AT53" t="n">
        <v>472</v>
      </c>
      <c r="AU53" t="inlineStr">
        <is>
          <t>Vertex 70 / Vertex 70 + BEN</t>
        </is>
      </c>
      <c r="AV53" t="inlineStr">
        <is>
          <t>50/50AR</t>
        </is>
      </c>
      <c r="AW53" t="n">
        <v>0.661049861549644</v>
      </c>
      <c r="AX53" t="n">
        <v>0.7205870423773164</v>
      </c>
      <c r="AY53" t="n">
        <v>0.7774745294712918</v>
      </c>
      <c r="AZ53" t="n">
        <v>0.8298385055429669</v>
      </c>
      <c r="BA53" t="n">
        <v>0.857674419052015</v>
      </c>
      <c r="BB53" t="n">
        <v>2.755905511811024</v>
      </c>
      <c r="BC53" t="n">
        <v>0.5920736956927048</v>
      </c>
      <c r="BD53" t="n">
        <v>1.349258613153296</v>
      </c>
      <c r="BE53" t="n">
        <v>2.257700102781483</v>
      </c>
      <c r="BF53" t="n">
        <v>3.348837626301245</v>
      </c>
      <c r="BG53" t="n">
        <v>4.681509011387049</v>
      </c>
      <c r="BH53" t="n">
        <v>6.359533478837897</v>
      </c>
      <c r="BI53" t="n">
        <v>8.581911274401129</v>
      </c>
      <c r="BJ53" t="n">
        <v>11.80175329025828</v>
      </c>
      <c r="BK53" t="n">
        <v>17.48521559597432</v>
      </c>
      <c r="BL53" t="n">
        <v>58.39368494080093</v>
      </c>
      <c r="BM53" t="inlineStr"/>
      <c r="BN53" t="n">
        <v>4</v>
      </c>
      <c r="BO53" t="n">
        <v>70</v>
      </c>
      <c r="BP53" t="n">
        <v>189</v>
      </c>
      <c r="BQ53" t="n">
        <v>279</v>
      </c>
      <c r="BR53" t="n">
        <v>937</v>
      </c>
      <c r="BS5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4">
      <c r="A54" t="inlineStr">
        <is>
          <t>FRAG</t>
        </is>
      </c>
      <c r="B54" t="inlineStr">
        <is>
          <t>Fragmentación Desmonte 2025.xlsx</t>
        </is>
      </c>
      <c r="C54" t="inlineStr">
        <is>
          <t>ANÁLISIS DE FRAGMENTACIÓN</t>
        </is>
      </c>
      <c r="D54" t="n">
        <v>58</v>
      </c>
      <c r="E54" t="inlineStr">
        <is>
          <t>ROM (fragmentación post-voladura en el frente de carguío, por análisis de fotos)</t>
        </is>
      </c>
      <c r="F54" t="inlineStr"/>
      <c r="G54" t="inlineStr">
        <is>
          <t>no indicada en el archivo</t>
        </is>
      </c>
      <c r="H54" t="inlineStr">
        <is>
          <t>2024-12-20</t>
        </is>
      </c>
      <c r="I54" t="inlineStr">
        <is>
          <t>2025-02-01</t>
        </is>
      </c>
      <c r="J54" t="inlineStr">
        <is>
          <t>PALA 09</t>
        </is>
      </c>
      <c r="K54" t="n">
        <v>9</v>
      </c>
      <c r="L54" t="inlineStr">
        <is>
          <t>9-NP-3953-01</t>
        </is>
      </c>
      <c r="M54" t="n">
        <v>3</v>
      </c>
      <c r="N54" t="n">
        <v>3953</v>
      </c>
      <c r="O54" t="inlineStr">
        <is>
          <t>A</t>
        </is>
      </c>
      <c r="P54" t="n">
        <v>30</v>
      </c>
      <c r="Q54" t="inlineStr">
        <is>
          <t>Desmonte</t>
        </is>
      </c>
      <c r="R54" t="inlineStr">
        <is>
          <t>Producción</t>
        </is>
      </c>
      <c r="S54" t="n">
        <v>3</v>
      </c>
      <c r="T54" t="n">
        <v>5.2</v>
      </c>
      <c r="U54" t="n">
        <v>3</v>
      </c>
      <c r="V54" t="n">
        <v>1.038031158728231</v>
      </c>
      <c r="W54" t="n">
        <v>0.123</v>
      </c>
      <c r="X54" t="n">
        <v>0.22</v>
      </c>
      <c r="Y54" t="n">
        <v>0.7</v>
      </c>
      <c r="Z54" t="n">
        <v>1.7</v>
      </c>
      <c r="AA54" t="n">
        <v>2.8</v>
      </c>
      <c r="AB54" t="n">
        <v>4</v>
      </c>
      <c r="AC54" t="n">
        <v>5.3</v>
      </c>
      <c r="AD54" t="n">
        <v>6.8</v>
      </c>
      <c r="AE54" t="n">
        <v>8.6</v>
      </c>
      <c r="AF54" t="n">
        <v>11</v>
      </c>
      <c r="AG54" t="n">
        <v>15</v>
      </c>
      <c r="AH54" t="n">
        <v>44.2</v>
      </c>
      <c r="AI54" t="n">
        <v>14959.3368923855</v>
      </c>
      <c r="AJ54" t="n">
        <v>384986.25</v>
      </c>
      <c r="AK54" t="n">
        <v>263310</v>
      </c>
      <c r="AL54" t="n">
        <v>0.6839465045829559</v>
      </c>
      <c r="AM54" t="inlineStr">
        <is>
          <t>2.1133946991613333</t>
        </is>
      </c>
      <c r="AN54" t="inlineStr">
        <is>
          <t>16.5</t>
        </is>
      </c>
      <c r="AO54" t="inlineStr">
        <is>
          <t>5.5</t>
        </is>
      </c>
      <c r="AP54" t="inlineStr">
        <is>
          <t>12 1/4</t>
        </is>
      </c>
      <c r="AQ54" t="inlineStr">
        <is>
          <t>5.5</t>
        </is>
      </c>
      <c r="AR54" t="inlineStr">
        <is>
          <t>6.5</t>
        </is>
      </c>
      <c r="AS54" t="inlineStr">
        <is>
          <t>1.5</t>
        </is>
      </c>
      <c r="AT54" t="n">
        <v>261</v>
      </c>
      <c r="AU54" t="inlineStr">
        <is>
          <t>Vertex 70</t>
        </is>
      </c>
      <c r="AV54" t="inlineStr">
        <is>
          <t>50/50AR</t>
        </is>
      </c>
      <c r="AW54" t="n">
        <v>0.6484387058450589</v>
      </c>
      <c r="AX54" t="n">
        <v>0.7040542006589411</v>
      </c>
      <c r="AY54" t="n">
        <v>0.7578396331326941</v>
      </c>
      <c r="AZ54" t="n">
        <v>0.808290270218005</v>
      </c>
      <c r="BA54" t="n">
        <v>0.8356712550283482</v>
      </c>
      <c r="BB54" t="n">
        <v>2.047244094488189</v>
      </c>
      <c r="BC54" t="n">
        <v>0.5949605159344473</v>
      </c>
      <c r="BD54" t="n">
        <v>1.22589735711807</v>
      </c>
      <c r="BE54" t="n">
        <v>1.926103781356596</v>
      </c>
      <c r="BF54" t="n">
        <v>2.722477251969476</v>
      </c>
      <c r="BG54" t="n">
        <v>3.653091974471063</v>
      </c>
      <c r="BH54" t="n">
        <v>4.779997321930458</v>
      </c>
      <c r="BI54" t="n">
        <v>6.218224599406062</v>
      </c>
      <c r="BJ54" t="n">
        <v>8.224423890269176</v>
      </c>
      <c r="BK54" t="n">
        <v>11.61310233563948</v>
      </c>
      <c r="BL54" t="n">
        <v>33.46484698417161</v>
      </c>
      <c r="BM54" t="inlineStr"/>
      <c r="BN54" t="n">
        <v>7</v>
      </c>
      <c r="BO54" t="n">
        <v>53</v>
      </c>
      <c r="BP54" t="n">
        <v>110</v>
      </c>
      <c r="BQ54" t="n">
        <v>150</v>
      </c>
      <c r="BR54" t="n">
        <v>442</v>
      </c>
      <c r="BS5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5">
      <c r="A55" t="inlineStr">
        <is>
          <t>FRAG</t>
        </is>
      </c>
      <c r="B55" t="inlineStr">
        <is>
          <t>Fragmentación Desmonte 2025.xlsx</t>
        </is>
      </c>
      <c r="C55" t="inlineStr">
        <is>
          <t>ANÁLISIS DE FRAGMENTACIÓN</t>
        </is>
      </c>
      <c r="D55" t="n">
        <v>59</v>
      </c>
      <c r="E55" t="inlineStr">
        <is>
          <t>ROM (fragmentación post-voladura en el frente de carguío, por análisis de fotos)</t>
        </is>
      </c>
      <c r="F55" t="inlineStr"/>
      <c r="G55" t="inlineStr">
        <is>
          <t>no indicada en el archivo</t>
        </is>
      </c>
      <c r="H55" t="inlineStr">
        <is>
          <t>2025-01-25</t>
        </is>
      </c>
      <c r="I55" t="inlineStr">
        <is>
          <t>2025-02-01</t>
        </is>
      </c>
      <c r="J55" t="inlineStr">
        <is>
          <t>PALA 09</t>
        </is>
      </c>
      <c r="K55" t="n">
        <v>9</v>
      </c>
      <c r="L55" t="inlineStr">
        <is>
          <t>9-NP-3953-08</t>
        </is>
      </c>
      <c r="M55" t="n">
        <v>2</v>
      </c>
      <c r="N55" t="n">
        <v>3953</v>
      </c>
      <c r="O55" t="inlineStr">
        <is>
          <t>A</t>
        </is>
      </c>
      <c r="P55" t="n">
        <v>30</v>
      </c>
      <c r="Q55" t="inlineStr">
        <is>
          <t>Desmonte</t>
        </is>
      </c>
      <c r="R55" t="inlineStr">
        <is>
          <t>Producción</t>
        </is>
      </c>
      <c r="S55" t="n">
        <v>2</v>
      </c>
      <c r="T55" t="n">
        <v>8.5</v>
      </c>
      <c r="U55" t="n">
        <v>3</v>
      </c>
      <c r="V55" t="n">
        <v>1.048371342410341</v>
      </c>
      <c r="W55" t="n">
        <v>0.092</v>
      </c>
      <c r="X55" t="n">
        <v>0.155</v>
      </c>
      <c r="Y55" t="n">
        <v>1.1</v>
      </c>
      <c r="Z55" t="n">
        <v>2.7</v>
      </c>
      <c r="AA55" t="n">
        <v>4.5</v>
      </c>
      <c r="AB55" t="n">
        <v>6.4</v>
      </c>
      <c r="AC55" t="n">
        <v>8.6</v>
      </c>
      <c r="AD55" t="n">
        <v>11</v>
      </c>
      <c r="AE55" t="n">
        <v>14</v>
      </c>
      <c r="AF55" t="n">
        <v>18.1</v>
      </c>
      <c r="AG55" t="n">
        <v>24.6</v>
      </c>
      <c r="AH55" t="n">
        <v>69.59999999999999</v>
      </c>
      <c r="AI55" t="n">
        <v>12109.87346970202</v>
      </c>
      <c r="AJ55" t="n">
        <v>634837.5</v>
      </c>
      <c r="AK55" t="n">
        <v>241216</v>
      </c>
      <c r="AL55" t="n">
        <v>0.3799649516608581</v>
      </c>
      <c r="AM55" t="inlineStr">
        <is>
          <t>1.1740917006320515</t>
        </is>
      </c>
      <c r="AN55" t="inlineStr">
        <is>
          <t>17</t>
        </is>
      </c>
      <c r="AO55" t="inlineStr">
        <is>
          <t>7</t>
        </is>
      </c>
      <c r="AP55" t="inlineStr">
        <is>
          <t>12 1/4</t>
        </is>
      </c>
      <c r="AQ55" t="inlineStr">
        <is>
          <t>6</t>
        </is>
      </c>
      <c r="AR55" t="inlineStr">
        <is>
          <t>7</t>
        </is>
      </c>
      <c r="AS55" t="inlineStr">
        <is>
          <t>2</t>
        </is>
      </c>
      <c r="AT55" t="n">
        <v>267</v>
      </c>
      <c r="AU55" t="inlineStr">
        <is>
          <t>Vertex 70</t>
        </is>
      </c>
      <c r="AV55" t="inlineStr">
        <is>
          <t>52AR/48D2</t>
        </is>
      </c>
      <c r="AW55" t="n">
        <v>0.6430544294446644</v>
      </c>
      <c r="AX55" t="n">
        <v>0.682416894217448</v>
      </c>
      <c r="AY55" t="n">
        <v>0.721158602423642</v>
      </c>
      <c r="AZ55" t="n">
        <v>0.758760303935515</v>
      </c>
      <c r="BA55" t="n">
        <v>0.7800155770355655</v>
      </c>
      <c r="BB55" t="n">
        <v>3.346456692913386</v>
      </c>
      <c r="BC55" t="n">
        <v>0.9935505744818208</v>
      </c>
      <c r="BD55" t="n">
        <v>2.03263438056025</v>
      </c>
      <c r="BE55" t="n">
        <v>3.179431342542795</v>
      </c>
      <c r="BF55" t="n">
        <v>4.478697767137096</v>
      </c>
      <c r="BG55" t="n">
        <v>5.992232039262599</v>
      </c>
      <c r="BH55" t="n">
        <v>7.819950154165662</v>
      </c>
      <c r="BI55" t="n">
        <v>10.14649366662464</v>
      </c>
      <c r="BJ55" t="n">
        <v>13.38311793728383</v>
      </c>
      <c r="BK55" t="n">
        <v>18.83311503788136</v>
      </c>
      <c r="BL55" t="n">
        <v>53.70679941401594</v>
      </c>
      <c r="BM55" t="inlineStr"/>
      <c r="BN55" t="n">
        <v>11</v>
      </c>
      <c r="BO55" t="n">
        <v>86</v>
      </c>
      <c r="BP55" t="n">
        <v>181</v>
      </c>
      <c r="BQ55" t="n">
        <v>246</v>
      </c>
      <c r="BR55" t="n">
        <v>696</v>
      </c>
      <c r="BS5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6">
      <c r="A56" t="inlineStr">
        <is>
          <t>FRAG</t>
        </is>
      </c>
      <c r="B56" t="inlineStr">
        <is>
          <t>Fragmentación Desmonte 2025.xlsx</t>
        </is>
      </c>
      <c r="C56" t="inlineStr">
        <is>
          <t>ANÁLISIS DE FRAGMENTACIÓN</t>
        </is>
      </c>
      <c r="D56" t="n">
        <v>60</v>
      </c>
      <c r="E56" t="inlineStr">
        <is>
          <t>ROM (fragmentación post-voladura en el frente de carguío, por análisis de fotos)</t>
        </is>
      </c>
      <c r="F56" t="inlineStr"/>
      <c r="G56" t="inlineStr">
        <is>
          <t>no indicada en el archivo</t>
        </is>
      </c>
      <c r="H56" t="inlineStr">
        <is>
          <t>2025-01-30</t>
        </is>
      </c>
      <c r="I56" t="inlineStr">
        <is>
          <t>2025-02-01</t>
        </is>
      </c>
      <c r="J56" t="inlineStr">
        <is>
          <t>PALA 09</t>
        </is>
      </c>
      <c r="K56" t="n">
        <v>9</v>
      </c>
      <c r="L56" t="inlineStr">
        <is>
          <t>9-NP-3953-11</t>
        </is>
      </c>
      <c r="M56" t="n">
        <v>2</v>
      </c>
      <c r="N56" t="n">
        <v>3953</v>
      </c>
      <c r="O56" t="inlineStr">
        <is>
          <t>A</t>
        </is>
      </c>
      <c r="P56" t="n">
        <v>30</v>
      </c>
      <c r="Q56" t="inlineStr">
        <is>
          <t>Desmonte</t>
        </is>
      </c>
      <c r="R56" t="inlineStr">
        <is>
          <t>Producción</t>
        </is>
      </c>
      <c r="S56" t="n">
        <v>3</v>
      </c>
      <c r="T56" t="n">
        <v>13.6</v>
      </c>
      <c r="U56" t="n">
        <v>2</v>
      </c>
      <c r="V56" t="n">
        <v>0.7749372414929533</v>
      </c>
      <c r="W56" t="n">
        <v>0.099</v>
      </c>
      <c r="X56" t="n">
        <v>0.145</v>
      </c>
      <c r="Y56" t="n">
        <v>1</v>
      </c>
      <c r="Z56" t="n">
        <v>3.4</v>
      </c>
      <c r="AA56" t="n">
        <v>6.4</v>
      </c>
      <c r="AB56" t="n">
        <v>9.800000000000001</v>
      </c>
      <c r="AC56" t="n">
        <v>13.6</v>
      </c>
      <c r="AD56" t="n">
        <v>18</v>
      </c>
      <c r="AE56" t="n">
        <v>23.3</v>
      </c>
      <c r="AF56" t="n">
        <v>30.1</v>
      </c>
      <c r="AG56" t="n">
        <v>40.3</v>
      </c>
      <c r="AH56" t="n">
        <v>83.7</v>
      </c>
      <c r="AI56" t="n">
        <v>11467.85704243175</v>
      </c>
      <c r="AJ56" t="n">
        <v>174570</v>
      </c>
      <c r="AK56" t="n">
        <v>51831</v>
      </c>
      <c r="AL56" t="n">
        <v>0.2969066849974222</v>
      </c>
      <c r="AM56" t="inlineStr">
        <is>
          <t>0.9174416566420346</t>
        </is>
      </c>
      <c r="AN56" t="inlineStr">
        <is>
          <t>16.5</t>
        </is>
      </c>
      <c r="AO56" t="inlineStr">
        <is>
          <t>6.5</t>
        </is>
      </c>
      <c r="AP56" t="inlineStr">
        <is>
          <t>12 1/4</t>
        </is>
      </c>
      <c r="AQ56" t="inlineStr">
        <is>
          <t>6</t>
        </is>
      </c>
      <c r="AR56" t="inlineStr">
        <is>
          <t>7</t>
        </is>
      </c>
      <c r="AS56" t="inlineStr">
        <is>
          <t>1.5</t>
        </is>
      </c>
      <c r="AT56" t="n">
        <v>54</v>
      </c>
      <c r="AU56" t="inlineStr">
        <is>
          <t>Vertex 70</t>
        </is>
      </c>
      <c r="AV56" t="inlineStr">
        <is>
          <t>50/50AR</t>
        </is>
      </c>
      <c r="AW56" t="n">
        <v>0.6584483128197871</v>
      </c>
      <c r="AX56" t="n">
        <v>0.6951203206179994</v>
      </c>
      <c r="AY56" t="n">
        <v>0.7311035639599706</v>
      </c>
      <c r="AZ56" t="n">
        <v>0.7659682929743873</v>
      </c>
      <c r="BA56" t="n">
        <v>0.7856709331043481</v>
      </c>
      <c r="BB56" t="n">
        <v>5.354330708661417</v>
      </c>
      <c r="BC56" t="n">
        <v>0.7453770051905235</v>
      </c>
      <c r="BD56" t="n">
        <v>1.96306419800719</v>
      </c>
      <c r="BE56" t="n">
        <v>3.595666054557911</v>
      </c>
      <c r="BF56" t="n">
        <v>5.715919023175045</v>
      </c>
      <c r="BG56" t="n">
        <v>8.474923237204028</v>
      </c>
      <c r="BH56" t="n">
        <v>12.14914296357688</v>
      </c>
      <c r="BI56" t="n">
        <v>17.28099925114607</v>
      </c>
      <c r="BJ56" t="n">
        <v>25.13257156042847</v>
      </c>
      <c r="BK56" t="n">
        <v>39.89806569242894</v>
      </c>
      <c r="BL56" t="n">
        <v>164.6804433533966</v>
      </c>
      <c r="BM56" t="inlineStr"/>
      <c r="BN56" t="n">
        <v>10</v>
      </c>
      <c r="BO56" t="n">
        <v>136</v>
      </c>
      <c r="BP56" t="n">
        <v>301</v>
      </c>
      <c r="BQ56" t="n">
        <v>403</v>
      </c>
      <c r="BR56" t="n">
        <v>837</v>
      </c>
      <c r="BS5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7">
      <c r="A57" t="inlineStr">
        <is>
          <t>FRAG</t>
        </is>
      </c>
      <c r="B57" t="inlineStr">
        <is>
          <t>Fragmentación Desmonte 2025.xlsx</t>
        </is>
      </c>
      <c r="C57" t="inlineStr">
        <is>
          <t>ANÁLISIS DE FRAGMENTACIÓN</t>
        </is>
      </c>
      <c r="D57" t="n">
        <v>61</v>
      </c>
      <c r="E57" t="inlineStr">
        <is>
          <t>ROM (fragmentación post-voladura en el frente de carguío, por análisis de fotos)</t>
        </is>
      </c>
      <c r="F57" t="inlineStr"/>
      <c r="G57" t="inlineStr">
        <is>
          <t>no indicada en el archivo</t>
        </is>
      </c>
      <c r="H57" t="inlineStr">
        <is>
          <t>2025-01-30</t>
        </is>
      </c>
      <c r="I57" t="inlineStr">
        <is>
          <t>2025-02-01</t>
        </is>
      </c>
      <c r="J57" t="inlineStr">
        <is>
          <t>PALA 09</t>
        </is>
      </c>
      <c r="K57" t="n">
        <v>9</v>
      </c>
      <c r="L57" t="inlineStr">
        <is>
          <t>9-NP-3953-11</t>
        </is>
      </c>
      <c r="M57" t="n">
        <v>1</v>
      </c>
      <c r="N57" t="n">
        <v>3953</v>
      </c>
      <c r="O57" t="inlineStr">
        <is>
          <t>C</t>
        </is>
      </c>
      <c r="P57" t="n">
        <v>30</v>
      </c>
      <c r="Q57" t="inlineStr">
        <is>
          <t>Desmonte</t>
        </is>
      </c>
      <c r="R57" t="inlineStr">
        <is>
          <t>Producción</t>
        </is>
      </c>
      <c r="S57" t="n">
        <v>4</v>
      </c>
      <c r="T57" t="n">
        <v>15.9</v>
      </c>
      <c r="U57" t="n">
        <v>3</v>
      </c>
      <c r="V57" t="n">
        <v>0.9717821432702272</v>
      </c>
      <c r="W57" t="n">
        <v>0.061</v>
      </c>
      <c r="X57" t="n">
        <v>0.1</v>
      </c>
      <c r="Y57" t="n">
        <v>1.9</v>
      </c>
      <c r="Z57" t="n">
        <v>4.9</v>
      </c>
      <c r="AA57" t="n">
        <v>8.199999999999999</v>
      </c>
      <c r="AB57" t="n">
        <v>11.9</v>
      </c>
      <c r="AC57" t="n">
        <v>16</v>
      </c>
      <c r="AD57" t="n">
        <v>20.8</v>
      </c>
      <c r="AE57" t="n">
        <v>26.8</v>
      </c>
      <c r="AF57" t="n">
        <v>35</v>
      </c>
      <c r="AG57" t="n">
        <v>48.7</v>
      </c>
      <c r="AH57" t="n">
        <v>166.2</v>
      </c>
      <c r="AI57" t="n">
        <v>11745.11642949546</v>
      </c>
      <c r="AJ57" t="n">
        <v>174570</v>
      </c>
      <c r="AK57" t="n">
        <v>51831</v>
      </c>
      <c r="AL57" t="n">
        <v>0.2969066849974222</v>
      </c>
      <c r="AM57" t="inlineStr">
        <is>
          <t>0.9174416566420346</t>
        </is>
      </c>
      <c r="AN57" t="inlineStr">
        <is>
          <t>16.5</t>
        </is>
      </c>
      <c r="AO57" t="inlineStr">
        <is>
          <t>6.5</t>
        </is>
      </c>
      <c r="AP57" t="inlineStr">
        <is>
          <t>12 1/4</t>
        </is>
      </c>
      <c r="AQ57" t="inlineStr">
        <is>
          <t>6</t>
        </is>
      </c>
      <c r="AR57" t="inlineStr">
        <is>
          <t>7</t>
        </is>
      </c>
      <c r="AS57" t="inlineStr">
        <is>
          <t>1.5</t>
        </is>
      </c>
      <c r="AT57" t="n">
        <v>54</v>
      </c>
      <c r="AU57" t="inlineStr">
        <is>
          <t>Vertex 70</t>
        </is>
      </c>
      <c r="AV57" t="inlineStr">
        <is>
          <t>50/50AR</t>
        </is>
      </c>
      <c r="AW57" t="n">
        <v>0.6419653205387923</v>
      </c>
      <c r="AX57" t="n">
        <v>0.6674103315332118</v>
      </c>
      <c r="AY57" t="n">
        <v>0.6926774061153143</v>
      </c>
      <c r="AZ57" t="n">
        <v>0.7176307681263485</v>
      </c>
      <c r="BA57" t="n">
        <v>0.7320261993313057</v>
      </c>
      <c r="BB57" t="n">
        <v>6.25984251968504</v>
      </c>
      <c r="BC57" t="n">
        <v>1.569265004169932</v>
      </c>
      <c r="BD57" t="n">
        <v>3.396770161422005</v>
      </c>
      <c r="BE57" t="n">
        <v>5.503880104953377</v>
      </c>
      <c r="BF57" t="n">
        <v>7.96523963839341</v>
      </c>
      <c r="BG57" t="n">
        <v>10.90437048185978</v>
      </c>
      <c r="BH57" t="n">
        <v>14.5320863672447</v>
      </c>
      <c r="BI57" t="n">
        <v>19.24662949142039</v>
      </c>
      <c r="BJ57" t="n">
        <v>25.9461304848481</v>
      </c>
      <c r="BK57" t="n">
        <v>37.50857382703714</v>
      </c>
      <c r="BL57" t="n">
        <v>116.1732350972668</v>
      </c>
      <c r="BM57" t="inlineStr"/>
      <c r="BN57" t="n">
        <v>19</v>
      </c>
      <c r="BO57" t="n">
        <v>160</v>
      </c>
      <c r="BP57" t="n">
        <v>350</v>
      </c>
      <c r="BQ57" t="n">
        <v>487</v>
      </c>
      <c r="BR57" t="n">
        <v>1662</v>
      </c>
      <c r="BS5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8">
      <c r="A58" t="inlineStr">
        <is>
          <t>FRAG</t>
        </is>
      </c>
      <c r="B58" t="inlineStr">
        <is>
          <t>Fragmentación Desmonte 2025.xlsx</t>
        </is>
      </c>
      <c r="C58" t="inlineStr">
        <is>
          <t>ANÁLISIS DE FRAGMENTACIÓN</t>
        </is>
      </c>
      <c r="D58" t="n">
        <v>62</v>
      </c>
      <c r="E58" t="inlineStr">
        <is>
          <t>ROM (fragmentación post-voladura en el frente de carguío, por análisis de fotos)</t>
        </is>
      </c>
      <c r="F58" t="inlineStr"/>
      <c r="G58" t="inlineStr">
        <is>
          <t>no indicada en el archivo</t>
        </is>
      </c>
      <c r="H58" t="inlineStr">
        <is>
          <t>2025-01-21</t>
        </is>
      </c>
      <c r="I58" t="inlineStr">
        <is>
          <t>2025-02-01</t>
        </is>
      </c>
      <c r="J58" t="inlineStr">
        <is>
          <t>PALA 09</t>
        </is>
      </c>
      <c r="K58" t="n">
        <v>9</v>
      </c>
      <c r="L58" t="inlineStr">
        <is>
          <t>9-NP-3953-07</t>
        </is>
      </c>
      <c r="M58" t="n">
        <v>6</v>
      </c>
      <c r="N58" t="n">
        <v>3953</v>
      </c>
      <c r="O58" t="inlineStr">
        <is>
          <t>C</t>
        </is>
      </c>
      <c r="P58" t="n">
        <v>30</v>
      </c>
      <c r="Q58" t="inlineStr">
        <is>
          <t>Desmonte</t>
        </is>
      </c>
      <c r="R58" t="inlineStr">
        <is>
          <t>Producción</t>
        </is>
      </c>
      <c r="S58" t="n">
        <v>3</v>
      </c>
      <c r="T58" t="n">
        <v>11.7</v>
      </c>
      <c r="U58" t="n">
        <v>3</v>
      </c>
      <c r="V58" t="n">
        <v>1.167328491463756</v>
      </c>
      <c r="W58" t="n">
        <v>0.08599999999999999</v>
      </c>
      <c r="X58" t="n">
        <v>0.135</v>
      </c>
      <c r="Y58" t="n">
        <v>1.2</v>
      </c>
      <c r="Z58" t="n">
        <v>3.5</v>
      </c>
      <c r="AA58" t="n">
        <v>6</v>
      </c>
      <c r="AB58" t="n">
        <v>8.699999999999999</v>
      </c>
      <c r="AC58" t="n">
        <v>11.7</v>
      </c>
      <c r="AD58" t="n">
        <v>15.1</v>
      </c>
      <c r="AE58" t="n">
        <v>19.1</v>
      </c>
      <c r="AF58" t="n">
        <v>24.3</v>
      </c>
      <c r="AG58" t="n">
        <v>32.2</v>
      </c>
      <c r="AH58" t="n">
        <v>71.3</v>
      </c>
      <c r="AI58" t="n">
        <v>11273.2548322595</v>
      </c>
      <c r="AJ58" t="n">
        <v>723813.75</v>
      </c>
      <c r="AK58" t="n">
        <v>349561</v>
      </c>
      <c r="AL58" t="n">
        <v>0.4829432986040953</v>
      </c>
      <c r="AM58" t="inlineStr">
        <is>
          <t>1.4922947926866545</t>
        </is>
      </c>
      <c r="AN58" t="inlineStr">
        <is>
          <t>16.5</t>
        </is>
      </c>
      <c r="AO58" t="inlineStr">
        <is>
          <t>6.5</t>
        </is>
      </c>
      <c r="AP58" t="inlineStr">
        <is>
          <t>12 1/4</t>
        </is>
      </c>
      <c r="AQ58" t="inlineStr">
        <is>
          <t>6</t>
        </is>
      </c>
      <c r="AR58" t="inlineStr">
        <is>
          <t>7</t>
        </is>
      </c>
      <c r="AS58" t="inlineStr">
        <is>
          <t>1.5</t>
        </is>
      </c>
      <c r="AT58" t="n">
        <v>364</v>
      </c>
      <c r="AU58" t="inlineStr">
        <is>
          <t>Vertex 70</t>
        </is>
      </c>
      <c r="AV58" t="inlineStr">
        <is>
          <t>52AR/48D2</t>
        </is>
      </c>
      <c r="AW58" t="n">
        <v>0.6363070756388214</v>
      </c>
      <c r="AX58" t="n">
        <v>0.6706587742203015</v>
      </c>
      <c r="AY58" t="n">
        <v>0.7046543042234703</v>
      </c>
      <c r="AZ58" t="n">
        <v>0.7379561999647773</v>
      </c>
      <c r="BA58" t="n">
        <v>0.75697581178456</v>
      </c>
      <c r="BB58" t="n">
        <v>4.606299212598425</v>
      </c>
      <c r="BC58" t="n">
        <v>1.701986598920564</v>
      </c>
      <c r="BD58" t="n">
        <v>3.237025689991616</v>
      </c>
      <c r="BE58" t="n">
        <v>4.837679573506468</v>
      </c>
      <c r="BF58" t="n">
        <v>6.58075370106714</v>
      </c>
      <c r="BG58" t="n">
        <v>8.547279298239967</v>
      </c>
      <c r="BH58" t="n">
        <v>10.85578968978515</v>
      </c>
      <c r="BI58" t="n">
        <v>13.71660694545648</v>
      </c>
      <c r="BJ58" t="n">
        <v>17.5887413951145</v>
      </c>
      <c r="BK58" t="n">
        <v>23.90454207847784</v>
      </c>
      <c r="BL58" t="n">
        <v>61.26460543854125</v>
      </c>
      <c r="BM58" t="inlineStr"/>
      <c r="BN58" t="n">
        <v>12</v>
      </c>
      <c r="BO58" t="n">
        <v>117</v>
      </c>
      <c r="BP58" t="n">
        <v>243</v>
      </c>
      <c r="BQ58" t="n">
        <v>322</v>
      </c>
      <c r="BR58" t="n">
        <v>713</v>
      </c>
      <c r="BS5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59">
      <c r="A59" t="inlineStr">
        <is>
          <t>FRAG</t>
        </is>
      </c>
      <c r="B59" t="inlineStr">
        <is>
          <t>Fragmentación Desmonte 2025.xlsx</t>
        </is>
      </c>
      <c r="C59" t="inlineStr">
        <is>
          <t>ANÁLISIS DE FRAGMENTACIÓN</t>
        </is>
      </c>
      <c r="D59" t="n">
        <v>63</v>
      </c>
      <c r="E59" t="inlineStr">
        <is>
          <t>ROM (fragmentación post-voladura en el frente de carguío, por análisis de fotos)</t>
        </is>
      </c>
      <c r="F59" t="inlineStr"/>
      <c r="G59" t="inlineStr">
        <is>
          <t>no indicada en el archivo</t>
        </is>
      </c>
      <c r="H59" t="inlineStr">
        <is>
          <t>2025-01-10</t>
        </is>
      </c>
      <c r="I59" t="inlineStr">
        <is>
          <t>2025-02-02</t>
        </is>
      </c>
      <c r="J59" t="inlineStr">
        <is>
          <t>PALA 10</t>
        </is>
      </c>
      <c r="K59" t="n">
        <v>8</v>
      </c>
      <c r="L59" t="inlineStr">
        <is>
          <t>8-NP-3773-18</t>
        </is>
      </c>
      <c r="M59" t="n">
        <v>9</v>
      </c>
      <c r="N59" t="n">
        <v>3773</v>
      </c>
      <c r="O59" t="inlineStr">
        <is>
          <t>A</t>
        </is>
      </c>
      <c r="P59" t="n">
        <v>30</v>
      </c>
      <c r="Q59" t="inlineStr">
        <is>
          <t>Desmonte</t>
        </is>
      </c>
      <c r="R59" t="inlineStr">
        <is>
          <t>Producción Rampa</t>
        </is>
      </c>
      <c r="S59" t="n">
        <v>2</v>
      </c>
      <c r="T59" t="n">
        <v>4.2</v>
      </c>
      <c r="U59" t="n">
        <v>2</v>
      </c>
      <c r="V59" t="n">
        <v>0.6766243963561875</v>
      </c>
      <c r="W59" t="n">
        <v>0.247</v>
      </c>
      <c r="X59" t="n">
        <v>0.345</v>
      </c>
      <c r="Y59" t="n">
        <v>0.1</v>
      </c>
      <c r="Z59" t="n">
        <v>0.6</v>
      </c>
      <c r="AA59" t="n">
        <v>1.4</v>
      </c>
      <c r="AB59" t="n">
        <v>2.7</v>
      </c>
      <c r="AC59" t="n">
        <v>4.2</v>
      </c>
      <c r="AD59" t="n">
        <v>6.2</v>
      </c>
      <c r="AE59" t="n">
        <v>8.699999999999999</v>
      </c>
      <c r="AF59" t="n">
        <v>12.1</v>
      </c>
      <c r="AG59" t="n">
        <v>17.3</v>
      </c>
      <c r="AH59" t="n">
        <v>37.6</v>
      </c>
      <c r="AI59" t="inlineStr"/>
      <c r="AJ59" t="n">
        <v>306776.25</v>
      </c>
      <c r="AK59" t="n">
        <v>122393.832</v>
      </c>
      <c r="AL59" t="n">
        <v>0.3989677558155169</v>
      </c>
      <c r="AM59" t="inlineStr">
        <is>
          <t>1.2328103654699474</t>
        </is>
      </c>
      <c r="AN59" t="inlineStr">
        <is>
          <t xml:space="preserve"> - </t>
        </is>
      </c>
      <c r="AO59" t="inlineStr">
        <is>
          <t xml:space="preserve"> - </t>
        </is>
      </c>
      <c r="AP59" t="inlineStr">
        <is>
          <t>9 7/8</t>
        </is>
      </c>
      <c r="AQ59" t="inlineStr">
        <is>
          <t xml:space="preserve"> - </t>
        </is>
      </c>
      <c r="AR59" t="inlineStr">
        <is>
          <t xml:space="preserve"> - </t>
        </is>
      </c>
      <c r="AS59" t="inlineStr">
        <is>
          <t xml:space="preserve"> - </t>
        </is>
      </c>
      <c r="AT59" t="n">
        <v>459</v>
      </c>
      <c r="AU59" t="inlineStr">
        <is>
          <t>Vertex 70</t>
        </is>
      </c>
      <c r="AV59" t="inlineStr">
        <is>
          <t>100D2</t>
        </is>
      </c>
      <c r="AW59" t="n">
        <v>0.7113762831851405</v>
      </c>
      <c r="AX59" t="n">
        <v>0.7936805465106467</v>
      </c>
      <c r="AY59" t="n">
        <v>0.865301569756644</v>
      </c>
      <c r="AZ59" t="n">
        <v>0.9216283540564943</v>
      </c>
      <c r="BA59" t="n">
        <v>0.946528087089431</v>
      </c>
      <c r="BB59" t="n">
        <v>1.653543307086614</v>
      </c>
      <c r="BC59" t="n">
        <v>0.1509526242918115</v>
      </c>
      <c r="BD59" t="n">
        <v>0.4576209609876624</v>
      </c>
      <c r="BE59" t="n">
        <v>0.9152544489911898</v>
      </c>
      <c r="BF59" t="n">
        <v>1.556317604115669</v>
      </c>
      <c r="BG59" t="n">
        <v>2.443437788130194</v>
      </c>
      <c r="BH59" t="n">
        <v>3.690943118777289</v>
      </c>
      <c r="BI59" t="n">
        <v>5.525793861564857</v>
      </c>
      <c r="BJ59" t="n">
        <v>8.485906927504915</v>
      </c>
      <c r="BK59" t="n">
        <v>14.40710935745696</v>
      </c>
      <c r="BL59" t="n">
        <v>73.06782918487836</v>
      </c>
      <c r="BM59" t="inlineStr"/>
      <c r="BN59" t="n">
        <v>1</v>
      </c>
      <c r="BO59" t="n">
        <v>42</v>
      </c>
      <c r="BP59" t="n">
        <v>121</v>
      </c>
      <c r="BQ59" t="n">
        <v>173</v>
      </c>
      <c r="BR59" t="n">
        <v>376</v>
      </c>
      <c r="BS5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0">
      <c r="A60" t="inlineStr">
        <is>
          <t>FRAG</t>
        </is>
      </c>
      <c r="B60" t="inlineStr">
        <is>
          <t>Fragmentación Desmonte 2025.xlsx</t>
        </is>
      </c>
      <c r="C60" t="inlineStr">
        <is>
          <t>ANÁLISIS DE FRAGMENTACIÓN</t>
        </is>
      </c>
      <c r="D60" t="n">
        <v>64</v>
      </c>
      <c r="E60" t="inlineStr">
        <is>
          <t>ROM (fragmentación post-voladura en el frente de carguío, por análisis de fotos)</t>
        </is>
      </c>
      <c r="F60" t="inlineStr"/>
      <c r="G60" t="inlineStr">
        <is>
          <t>no indicada en el archivo</t>
        </is>
      </c>
      <c r="H60" t="inlineStr">
        <is>
          <t>2025-01-21</t>
        </is>
      </c>
      <c r="I60" t="inlineStr">
        <is>
          <t>2025-02-02</t>
        </is>
      </c>
      <c r="J60" t="inlineStr">
        <is>
          <t>PALA 10</t>
        </is>
      </c>
      <c r="K60" t="n">
        <v>8</v>
      </c>
      <c r="L60" t="inlineStr">
        <is>
          <t>8-NP-3773-25</t>
        </is>
      </c>
      <c r="M60" t="n">
        <v>1</v>
      </c>
      <c r="N60" t="n">
        <v>3773</v>
      </c>
      <c r="O60" t="inlineStr">
        <is>
          <t>A</t>
        </is>
      </c>
      <c r="P60" t="n">
        <v>30</v>
      </c>
      <c r="Q60" t="inlineStr">
        <is>
          <t>Desmonte</t>
        </is>
      </c>
      <c r="R60" t="inlineStr">
        <is>
          <t>Trim</t>
        </is>
      </c>
      <c r="S60" t="n">
        <v>2</v>
      </c>
      <c r="T60" t="n">
        <v>3.9</v>
      </c>
      <c r="U60" t="n">
        <v>2</v>
      </c>
      <c r="V60" t="n">
        <v>0.7581538243615525</v>
      </c>
      <c r="W60" t="n">
        <v>0.233</v>
      </c>
      <c r="X60" t="n">
        <v>0.338</v>
      </c>
      <c r="Y60" t="n">
        <v>0.2</v>
      </c>
      <c r="Z60" t="n">
        <v>0.7</v>
      </c>
      <c r="AA60" t="n">
        <v>1.6</v>
      </c>
      <c r="AB60" t="n">
        <v>2.6</v>
      </c>
      <c r="AC60" t="n">
        <v>3.9</v>
      </c>
      <c r="AD60" t="n">
        <v>5.5</v>
      </c>
      <c r="AE60" t="n">
        <v>7.4</v>
      </c>
      <c r="AF60" t="n">
        <v>9.800000000000001</v>
      </c>
      <c r="AG60" t="n">
        <v>13.4</v>
      </c>
      <c r="AH60" t="n">
        <v>25.3</v>
      </c>
      <c r="AI60" t="inlineStr"/>
      <c r="AJ60" t="n">
        <v>63648.75</v>
      </c>
      <c r="AK60" t="n">
        <v>28091</v>
      </c>
      <c r="AL60" t="n">
        <v>0.441344095524264</v>
      </c>
      <c r="AM60" t="inlineStr">
        <is>
          <t>-</t>
        </is>
      </c>
      <c r="AN60" t="inlineStr">
        <is>
          <t xml:space="preserve"> - </t>
        </is>
      </c>
      <c r="AO60" t="inlineStr">
        <is>
          <t xml:space="preserve"> - </t>
        </is>
      </c>
      <c r="AP60" t="inlineStr">
        <is>
          <t>9 7/8</t>
        </is>
      </c>
      <c r="AQ60" t="inlineStr">
        <is>
          <t xml:space="preserve"> - </t>
        </is>
      </c>
      <c r="AR60" t="inlineStr">
        <is>
          <t xml:space="preserve"> - </t>
        </is>
      </c>
      <c r="AS60" t="inlineStr">
        <is>
          <t xml:space="preserve"> - </t>
        </is>
      </c>
      <c r="AT60" t="n">
        <v>47</v>
      </c>
      <c r="AU60" t="inlineStr">
        <is>
          <t>Emulgex 70</t>
        </is>
      </c>
      <c r="AV60" t="inlineStr">
        <is>
          <t>52AR/48D2</t>
        </is>
      </c>
      <c r="AW60" t="n">
        <v>0.6959293752109206</v>
      </c>
      <c r="AX60" t="n">
        <v>0.7779360177755289</v>
      </c>
      <c r="AY60" t="n">
        <v>0.8507390080873289</v>
      </c>
      <c r="AZ60" t="n">
        <v>0.909663014707086</v>
      </c>
      <c r="BA60" t="n">
        <v>0.9365399013222616</v>
      </c>
      <c r="BB60" t="n">
        <v>1.535433070866142</v>
      </c>
      <c r="BC60" t="n">
        <v>0.2004393795906039</v>
      </c>
      <c r="BD60" t="n">
        <v>0.539326248500028</v>
      </c>
      <c r="BE60" t="n">
        <v>1.001186670604069</v>
      </c>
      <c r="BF60" t="n">
        <v>1.607970760724622</v>
      </c>
      <c r="BG60" t="n">
        <v>2.404996328503546</v>
      </c>
      <c r="BH60" t="n">
        <v>3.475255718273701</v>
      </c>
      <c r="BI60" t="n">
        <v>4.981928423642786</v>
      </c>
      <c r="BJ60" t="n">
        <v>7.305779811282899</v>
      </c>
      <c r="BK60" t="n">
        <v>11.71722479933036</v>
      </c>
      <c r="BL60" t="n">
        <v>49.90506401136759</v>
      </c>
      <c r="BM60" t="inlineStr"/>
      <c r="BN60" t="n">
        <v>2</v>
      </c>
      <c r="BO60" t="n">
        <v>39</v>
      </c>
      <c r="BP60" t="n">
        <v>98</v>
      </c>
      <c r="BQ60" t="n">
        <v>134</v>
      </c>
      <c r="BR60" t="n">
        <v>253</v>
      </c>
      <c r="BS6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1">
      <c r="A61" t="inlineStr">
        <is>
          <t>FRAG</t>
        </is>
      </c>
      <c r="B61" t="inlineStr">
        <is>
          <t>Fragmentación Desmonte 2025.xlsx</t>
        </is>
      </c>
      <c r="C61" t="inlineStr">
        <is>
          <t>ANÁLISIS DE FRAGMENTACIÓN</t>
        </is>
      </c>
      <c r="D61" t="n">
        <v>65</v>
      </c>
      <c r="E61" t="inlineStr">
        <is>
          <t>ROM (fragmentación post-voladura en el frente de carguío, por análisis de fotos)</t>
        </is>
      </c>
      <c r="F61" t="inlineStr"/>
      <c r="G61" t="inlineStr">
        <is>
          <t>no indicada en el archivo</t>
        </is>
      </c>
      <c r="H61" t="inlineStr">
        <is>
          <t>2025-01-31</t>
        </is>
      </c>
      <c r="I61" t="inlineStr">
        <is>
          <t>2025-02-03</t>
        </is>
      </c>
      <c r="J61" t="inlineStr">
        <is>
          <t>PALA 09</t>
        </is>
      </c>
      <c r="K61" t="n">
        <v>9</v>
      </c>
      <c r="L61" t="inlineStr">
        <is>
          <t>9-NP-3953-09</t>
        </is>
      </c>
      <c r="M61" t="n">
        <v>1</v>
      </c>
      <c r="N61" t="n">
        <v>3953</v>
      </c>
      <c r="O61" t="inlineStr">
        <is>
          <t>A</t>
        </is>
      </c>
      <c r="P61" t="n">
        <v>30</v>
      </c>
      <c r="Q61" t="inlineStr">
        <is>
          <t>Desmonte</t>
        </is>
      </c>
      <c r="R61" t="inlineStr">
        <is>
          <t>Trim</t>
        </is>
      </c>
      <c r="S61" t="n">
        <v>5</v>
      </c>
      <c r="T61" t="n">
        <v>14.5</v>
      </c>
      <c r="U61" t="n">
        <v>3</v>
      </c>
      <c r="V61" t="n">
        <v>1.278484182390578</v>
      </c>
      <c r="W61" t="n">
        <v>0.045</v>
      </c>
      <c r="X61" t="n">
        <v>0.077</v>
      </c>
      <c r="Y61" t="n">
        <v>2.7</v>
      </c>
      <c r="Z61" t="n">
        <v>5.7</v>
      </c>
      <c r="AA61" t="n">
        <v>8.699999999999999</v>
      </c>
      <c r="AB61" t="n">
        <v>11.6</v>
      </c>
      <c r="AC61" t="n">
        <v>14.6</v>
      </c>
      <c r="AD61" t="n">
        <v>17.9</v>
      </c>
      <c r="AE61" t="n">
        <v>21.6</v>
      </c>
      <c r="AF61" t="n">
        <v>26.4</v>
      </c>
      <c r="AG61" t="n">
        <v>33.6</v>
      </c>
      <c r="AH61" t="n">
        <v>73.5</v>
      </c>
      <c r="AI61" t="n">
        <v>11950.29101807987</v>
      </c>
      <c r="AJ61" t="n">
        <v>430320</v>
      </c>
      <c r="AK61" t="n">
        <v>123476</v>
      </c>
      <c r="AL61" t="n">
        <v>0.286939951663878</v>
      </c>
      <c r="AM61" t="inlineStr">
        <is>
          <t>-</t>
        </is>
      </c>
      <c r="AN61" t="inlineStr">
        <is>
          <t xml:space="preserve"> - </t>
        </is>
      </c>
      <c r="AO61" t="inlineStr">
        <is>
          <t xml:space="preserve"> - </t>
        </is>
      </c>
      <c r="AP61" t="inlineStr">
        <is>
          <t>9 7/8</t>
        </is>
      </c>
      <c r="AQ61" t="inlineStr">
        <is>
          <t xml:space="preserve"> - </t>
        </is>
      </c>
      <c r="AR61" t="inlineStr">
        <is>
          <t xml:space="preserve"> - </t>
        </is>
      </c>
      <c r="AS61" t="inlineStr">
        <is>
          <t xml:space="preserve"> - </t>
        </is>
      </c>
      <c r="AT61" t="n">
        <v>203</v>
      </c>
      <c r="AU61" t="inlineStr">
        <is>
          <t>Emulgex 70</t>
        </is>
      </c>
      <c r="AV61" t="inlineStr">
        <is>
          <t>50/50AR</t>
        </is>
      </c>
      <c r="AW61" t="n">
        <v>0.6319319526662797</v>
      </c>
      <c r="AX61" t="n">
        <v>0.6515573638149146</v>
      </c>
      <c r="AY61" t="n">
        <v>0.6711257526109773</v>
      </c>
      <c r="AZ61" t="n">
        <v>0.6905771902411003</v>
      </c>
      <c r="BA61" t="n">
        <v>0.7018766029975441</v>
      </c>
      <c r="BB61" t="n">
        <v>5.708661417322834</v>
      </c>
      <c r="BC61" t="n">
        <v>2.494191697861366</v>
      </c>
      <c r="BD61" t="n">
        <v>4.485864239536887</v>
      </c>
      <c r="BE61" t="n">
        <v>6.473903954028631</v>
      </c>
      <c r="BF61" t="n">
        <v>8.574045976975295</v>
      </c>
      <c r="BG61" t="n">
        <v>10.88592790382929</v>
      </c>
      <c r="BH61" t="n">
        <v>13.54164253210985</v>
      </c>
      <c r="BI61" t="n">
        <v>16.76580670023129</v>
      </c>
      <c r="BJ61" t="n">
        <v>21.03893153665042</v>
      </c>
      <c r="BK61" t="n">
        <v>27.84098021342239</v>
      </c>
      <c r="BL61" t="n">
        <v>65.74722831140312</v>
      </c>
      <c r="BM61" t="inlineStr"/>
      <c r="BN61" t="n">
        <v>27</v>
      </c>
      <c r="BO61" t="n">
        <v>146</v>
      </c>
      <c r="BP61" t="n">
        <v>264</v>
      </c>
      <c r="BQ61" t="n">
        <v>336</v>
      </c>
      <c r="BR61" t="n">
        <v>735</v>
      </c>
      <c r="BS6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2">
      <c r="A62" t="inlineStr">
        <is>
          <t>FRAG</t>
        </is>
      </c>
      <c r="B62" t="inlineStr">
        <is>
          <t>Fragmentación Desmonte 2025.xlsx</t>
        </is>
      </c>
      <c r="C62" t="inlineStr">
        <is>
          <t>ANÁLISIS DE FRAGMENTACIÓN</t>
        </is>
      </c>
      <c r="D62" t="n">
        <v>66</v>
      </c>
      <c r="E62" t="inlineStr">
        <is>
          <t>ROM (fragmentación post-voladura en el frente de carguío, por análisis de fotos)</t>
        </is>
      </c>
      <c r="F62" t="inlineStr"/>
      <c r="G62" t="inlineStr">
        <is>
          <t>no indicada en el archivo</t>
        </is>
      </c>
      <c r="H62" t="inlineStr">
        <is>
          <t>2025-01-30</t>
        </is>
      </c>
      <c r="I62" t="inlineStr">
        <is>
          <t>2025-02-03</t>
        </is>
      </c>
      <c r="J62" t="inlineStr">
        <is>
          <t>PALA 05</t>
        </is>
      </c>
      <c r="K62" t="n">
        <v>9</v>
      </c>
      <c r="L62" t="inlineStr">
        <is>
          <t>9-NP-3968-24</t>
        </is>
      </c>
      <c r="M62" t="n">
        <v>1</v>
      </c>
      <c r="N62" t="n">
        <v>3968</v>
      </c>
      <c r="O62" t="inlineStr">
        <is>
          <t>C</t>
        </is>
      </c>
      <c r="P62" t="n">
        <v>30</v>
      </c>
      <c r="Q62" t="inlineStr">
        <is>
          <t>Desmonte</t>
        </is>
      </c>
      <c r="R62" t="inlineStr">
        <is>
          <t>Trim</t>
        </is>
      </c>
      <c r="S62" t="n">
        <v>4</v>
      </c>
      <c r="T62" t="n">
        <v>11.8</v>
      </c>
      <c r="U62" t="n">
        <v>2</v>
      </c>
      <c r="V62" t="n">
        <v>0.7446255496301167</v>
      </c>
      <c r="W62" t="n">
        <v>0.118</v>
      </c>
      <c r="X62" t="n">
        <v>0.171</v>
      </c>
      <c r="Y62" t="n">
        <v>0.7</v>
      </c>
      <c r="Z62" t="n">
        <v>2.6</v>
      </c>
      <c r="AA62" t="n">
        <v>5.2</v>
      </c>
      <c r="AB62" t="n">
        <v>8.300000000000001</v>
      </c>
      <c r="AC62" t="n">
        <v>11.8</v>
      </c>
      <c r="AD62" t="n">
        <v>16</v>
      </c>
      <c r="AE62" t="n">
        <v>21.1</v>
      </c>
      <c r="AF62" t="n">
        <v>27.7</v>
      </c>
      <c r="AG62" t="n">
        <v>37.7</v>
      </c>
      <c r="AH62" t="n">
        <v>80.09999999999999</v>
      </c>
      <c r="AI62" t="n">
        <v>8580.326578308077</v>
      </c>
      <c r="AJ62" t="n">
        <v>411468.75</v>
      </c>
      <c r="AK62" t="n">
        <v>85241</v>
      </c>
      <c r="AL62" t="n">
        <v>0.2071627553732817</v>
      </c>
      <c r="AM62" t="inlineStr">
        <is>
          <t>-</t>
        </is>
      </c>
      <c r="AN62" t="inlineStr">
        <is>
          <t xml:space="preserve"> - </t>
        </is>
      </c>
      <c r="AO62" t="inlineStr">
        <is>
          <t xml:space="preserve"> - </t>
        </is>
      </c>
      <c r="AP62" t="inlineStr">
        <is>
          <t>9 7/8</t>
        </is>
      </c>
      <c r="AQ62" t="inlineStr">
        <is>
          <t xml:space="preserve"> - </t>
        </is>
      </c>
      <c r="AR62" t="inlineStr">
        <is>
          <t xml:space="preserve"> - </t>
        </is>
      </c>
      <c r="AS62" t="inlineStr">
        <is>
          <t xml:space="preserve"> - </t>
        </is>
      </c>
      <c r="AT62" t="n">
        <v>137</v>
      </c>
      <c r="AU62" t="inlineStr">
        <is>
          <t>Emulgex 70</t>
        </is>
      </c>
      <c r="AV62" t="inlineStr">
        <is>
          <t>50/50AR</t>
        </is>
      </c>
      <c r="AW62" t="n">
        <v>0.6656585482530093</v>
      </c>
      <c r="AX62" t="n">
        <v>0.7087170969006124</v>
      </c>
      <c r="AY62" t="n">
        <v>0.7505950029728491</v>
      </c>
      <c r="AZ62" t="n">
        <v>0.790582704074908</v>
      </c>
      <c r="BA62" t="n">
        <v>0.8128176709369012</v>
      </c>
      <c r="BB62" t="n">
        <v>4.645669291338583</v>
      </c>
      <c r="BC62" t="n">
        <v>0.5746197631174705</v>
      </c>
      <c r="BD62" t="n">
        <v>1.574196237365873</v>
      </c>
      <c r="BE62" t="n">
        <v>2.955312565062494</v>
      </c>
      <c r="BF62" t="n">
        <v>4.787455935444378</v>
      </c>
      <c r="BG62" t="n">
        <v>7.213025476776858</v>
      </c>
      <c r="BH62" t="n">
        <v>10.4928715934774</v>
      </c>
      <c r="BI62" t="n">
        <v>15.14072696708444</v>
      </c>
      <c r="BJ62" t="n">
        <v>22.35818687018648</v>
      </c>
      <c r="BK62" t="n">
        <v>36.16779697079468</v>
      </c>
      <c r="BL62" t="n">
        <v>158.1522316722522</v>
      </c>
      <c r="BM62" t="inlineStr"/>
      <c r="BN62" t="n">
        <v>7</v>
      </c>
      <c r="BO62" t="n">
        <v>118</v>
      </c>
      <c r="BP62" t="n">
        <v>277</v>
      </c>
      <c r="BQ62" t="n">
        <v>377</v>
      </c>
      <c r="BR62" t="n">
        <v>801</v>
      </c>
      <c r="BS6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3">
      <c r="A63" t="inlineStr">
        <is>
          <t>FRAG</t>
        </is>
      </c>
      <c r="B63" t="inlineStr">
        <is>
          <t>Fragmentación Desmonte 2025.xlsx</t>
        </is>
      </c>
      <c r="C63" t="inlineStr">
        <is>
          <t>ANÁLISIS DE FRAGMENTACIÓN</t>
        </is>
      </c>
      <c r="D63" t="n">
        <v>67</v>
      </c>
      <c r="E63" t="inlineStr">
        <is>
          <t>ROM (fragmentación post-voladura en el frente de carguío, por análisis de fotos)</t>
        </is>
      </c>
      <c r="F63" t="inlineStr"/>
      <c r="G63" t="inlineStr">
        <is>
          <t>no indicada en el archivo</t>
        </is>
      </c>
      <c r="H63" t="inlineStr">
        <is>
          <t>2025-01-27</t>
        </is>
      </c>
      <c r="I63" t="inlineStr">
        <is>
          <t>2025-02-04</t>
        </is>
      </c>
      <c r="J63" t="inlineStr">
        <is>
          <t>PALA 14</t>
        </is>
      </c>
      <c r="K63" t="n">
        <v>10</v>
      </c>
      <c r="L63" t="inlineStr">
        <is>
          <t>10-NP-4433-17</t>
        </is>
      </c>
      <c r="M63" t="n">
        <v>3</v>
      </c>
      <c r="N63" t="n">
        <v>4433</v>
      </c>
      <c r="O63" t="inlineStr">
        <is>
          <t>C1</t>
        </is>
      </c>
      <c r="P63" t="n">
        <v>30</v>
      </c>
      <c r="Q63" t="inlineStr">
        <is>
          <t>Desmonte</t>
        </is>
      </c>
      <c r="R63" t="inlineStr">
        <is>
          <t>Producción</t>
        </is>
      </c>
      <c r="S63" t="n">
        <v>5</v>
      </c>
      <c r="T63" t="n">
        <v>8.800000000000001</v>
      </c>
      <c r="U63" t="n">
        <v>2</v>
      </c>
      <c r="V63" t="n">
        <v>0.7887755272688413</v>
      </c>
      <c r="W63" t="n">
        <v>0.135</v>
      </c>
      <c r="X63" t="n">
        <v>0.198</v>
      </c>
      <c r="Y63" t="n">
        <v>0.5</v>
      </c>
      <c r="Z63" t="n">
        <v>2</v>
      </c>
      <c r="AA63" t="n">
        <v>3.9</v>
      </c>
      <c r="AB63" t="n">
        <v>6.2</v>
      </c>
      <c r="AC63" t="n">
        <v>8.800000000000001</v>
      </c>
      <c r="AD63" t="n">
        <v>11.8</v>
      </c>
      <c r="AE63" t="n">
        <v>15.4</v>
      </c>
      <c r="AF63" t="n">
        <v>20</v>
      </c>
      <c r="AG63" t="n">
        <v>26.7</v>
      </c>
      <c r="AH63" t="n">
        <v>52</v>
      </c>
      <c r="AI63" t="inlineStr"/>
      <c r="AJ63" t="n">
        <v>1434221.25</v>
      </c>
      <c r="AK63" t="n">
        <v>439237</v>
      </c>
      <c r="AL63" t="n">
        <v>0.3062547009396214</v>
      </c>
      <c r="AM63" t="inlineStr">
        <is>
          <t>-</t>
        </is>
      </c>
      <c r="AN63" t="inlineStr">
        <is>
          <t>17</t>
        </is>
      </c>
      <c r="AO63" t="inlineStr">
        <is>
          <t>7</t>
        </is>
      </c>
      <c r="AP63" t="inlineStr">
        <is>
          <t>12 1/4</t>
        </is>
      </c>
      <c r="AQ63" t="inlineStr">
        <is>
          <t>9</t>
        </is>
      </c>
      <c r="AR63" t="inlineStr">
        <is>
          <t>10.35</t>
        </is>
      </c>
      <c r="AS63" t="inlineStr">
        <is>
          <t>2</t>
        </is>
      </c>
      <c r="AT63" t="n">
        <v>472</v>
      </c>
      <c r="AU63" t="inlineStr">
        <is>
          <t>Vertex 70 / Vertex 70 + BEN</t>
        </is>
      </c>
      <c r="AV63" t="inlineStr">
        <is>
          <t>50/50AR</t>
        </is>
      </c>
      <c r="AW63" t="n">
        <v>0.6667610259947052</v>
      </c>
      <c r="AX63" t="n">
        <v>0.7165021217432972</v>
      </c>
      <c r="AY63" t="n">
        <v>0.7644863707375718</v>
      </c>
      <c r="AZ63" t="n">
        <v>0.8096139190594072</v>
      </c>
      <c r="BA63" t="n">
        <v>0.834263578581294</v>
      </c>
      <c r="BB63" t="n">
        <v>3.464566929133858</v>
      </c>
      <c r="BC63" t="n">
        <v>0.5075111748187587</v>
      </c>
      <c r="BD63" t="n">
        <v>1.314092202987449</v>
      </c>
      <c r="BE63" t="n">
        <v>2.381547968379602</v>
      </c>
      <c r="BF63" t="n">
        <v>3.755210821366194</v>
      </c>
      <c r="BG63" t="n">
        <v>5.529465231934785</v>
      </c>
      <c r="BH63" t="n">
        <v>7.876784153677174</v>
      </c>
      <c r="BI63" t="n">
        <v>11.13493055423852</v>
      </c>
      <c r="BJ63" t="n">
        <v>16.08798819267404</v>
      </c>
      <c r="BK63" t="n">
        <v>25.33350658595013</v>
      </c>
      <c r="BL63" t="n">
        <v>101.9961594755015</v>
      </c>
      <c r="BM63" t="inlineStr"/>
      <c r="BN63" t="n">
        <v>5</v>
      </c>
      <c r="BO63" t="n">
        <v>88</v>
      </c>
      <c r="BP63" t="n">
        <v>200</v>
      </c>
      <c r="BQ63" t="n">
        <v>267</v>
      </c>
      <c r="BR63" t="n">
        <v>520</v>
      </c>
      <c r="BS6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4">
      <c r="A64" t="inlineStr">
        <is>
          <t>FRAG</t>
        </is>
      </c>
      <c r="B64" t="inlineStr">
        <is>
          <t>Fragmentación Desmonte 2025.xlsx</t>
        </is>
      </c>
      <c r="C64" t="inlineStr">
        <is>
          <t>ANÁLISIS DE FRAGMENTACIÓN</t>
        </is>
      </c>
      <c r="D64" t="n">
        <v>68</v>
      </c>
      <c r="E64" t="inlineStr">
        <is>
          <t>ROM (fragmentación post-voladura en el frente de carguío, por análisis de fotos)</t>
        </is>
      </c>
      <c r="F64" t="inlineStr"/>
      <c r="G64" t="inlineStr">
        <is>
          <t>no indicada en el archivo</t>
        </is>
      </c>
      <c r="H64" t="inlineStr">
        <is>
          <t>2025-01-27</t>
        </is>
      </c>
      <c r="I64" t="inlineStr">
        <is>
          <t>2025-02-04</t>
        </is>
      </c>
      <c r="J64" t="inlineStr">
        <is>
          <t>PALA 14</t>
        </is>
      </c>
      <c r="K64" t="n">
        <v>10</v>
      </c>
      <c r="L64" t="inlineStr">
        <is>
          <t>10-NP-4433-17</t>
        </is>
      </c>
      <c r="M64" t="n">
        <v>2</v>
      </c>
      <c r="N64" t="n">
        <v>4433</v>
      </c>
      <c r="O64" t="inlineStr">
        <is>
          <t>A</t>
        </is>
      </c>
      <c r="P64" t="n">
        <v>30</v>
      </c>
      <c r="Q64" t="inlineStr">
        <is>
          <t>Desmonte</t>
        </is>
      </c>
      <c r="R64" t="inlineStr">
        <is>
          <t>Producción</t>
        </is>
      </c>
      <c r="S64" t="n">
        <v>2</v>
      </c>
      <c r="T64" t="n">
        <v>6.6</v>
      </c>
      <c r="U64" t="n">
        <v>2</v>
      </c>
      <c r="V64" t="n">
        <v>0.7025199217630125</v>
      </c>
      <c r="W64" t="n">
        <v>0.179</v>
      </c>
      <c r="X64" t="n">
        <v>0.257</v>
      </c>
      <c r="Y64" t="n">
        <v>0.3</v>
      </c>
      <c r="Z64" t="n">
        <v>1.2</v>
      </c>
      <c r="AA64" t="n">
        <v>2.6</v>
      </c>
      <c r="AB64" t="n">
        <v>4.5</v>
      </c>
      <c r="AC64" t="n">
        <v>6.7</v>
      </c>
      <c r="AD64" t="n">
        <v>9.4</v>
      </c>
      <c r="AE64" t="n">
        <v>12.8</v>
      </c>
      <c r="AF64" t="n">
        <v>17.3</v>
      </c>
      <c r="AG64" t="n">
        <v>24.4</v>
      </c>
      <c r="AH64" t="n">
        <v>53.4</v>
      </c>
      <c r="AI64" t="inlineStr"/>
      <c r="AJ64" t="n">
        <v>1434221.25</v>
      </c>
      <c r="AK64" t="n">
        <v>439237</v>
      </c>
      <c r="AL64" t="n">
        <v>0.3062547009396214</v>
      </c>
      <c r="AM64" t="inlineStr">
        <is>
          <t>-</t>
        </is>
      </c>
      <c r="AN64" t="inlineStr">
        <is>
          <t>17</t>
        </is>
      </c>
      <c r="AO64" t="inlineStr">
        <is>
          <t>7</t>
        </is>
      </c>
      <c r="AP64" t="inlineStr">
        <is>
          <t>12 1/4</t>
        </is>
      </c>
      <c r="AQ64" t="inlineStr">
        <is>
          <t>9</t>
        </is>
      </c>
      <c r="AR64" t="inlineStr">
        <is>
          <t>10.35</t>
        </is>
      </c>
      <c r="AS64" t="inlineStr">
        <is>
          <t>2</t>
        </is>
      </c>
      <c r="AT64" t="n">
        <v>472</v>
      </c>
      <c r="AU64" t="inlineStr">
        <is>
          <t>Vertex 70 / Vertex 70 + BEN</t>
        </is>
      </c>
      <c r="AV64" t="inlineStr">
        <is>
          <t>50/50AR</t>
        </is>
      </c>
      <c r="AW64" t="n">
        <v>0.6878768128436203</v>
      </c>
      <c r="AX64" t="n">
        <v>0.7512723556097437</v>
      </c>
      <c r="AY64" t="n">
        <v>0.8103750136140981</v>
      </c>
      <c r="AZ64" t="n">
        <v>0.8628829224466754</v>
      </c>
      <c r="BA64" t="n">
        <v>0.8897647395160908</v>
      </c>
      <c r="BB64" t="n">
        <v>2.598425196850393</v>
      </c>
      <c r="BC64" t="n">
        <v>0.2681498341361832</v>
      </c>
      <c r="BD64" t="n">
        <v>0.7803476979435622</v>
      </c>
      <c r="BE64" t="n">
        <v>1.521344728293647</v>
      </c>
      <c r="BF64" t="n">
        <v>2.536795722013592</v>
      </c>
      <c r="BG64" t="n">
        <v>3.917124609233504</v>
      </c>
      <c r="BH64" t="n">
        <v>5.82774223939583</v>
      </c>
      <c r="BI64" t="n">
        <v>8.596021973842861</v>
      </c>
      <c r="BJ64" t="n">
        <v>12.99372830014688</v>
      </c>
      <c r="BK64" t="n">
        <v>21.63410012730936</v>
      </c>
      <c r="BL64" t="n">
        <v>103.3464918579948</v>
      </c>
      <c r="BM64" t="inlineStr"/>
      <c r="BN64" t="n">
        <v>3</v>
      </c>
      <c r="BO64" t="n">
        <v>67</v>
      </c>
      <c r="BP64" t="n">
        <v>173</v>
      </c>
      <c r="BQ64" t="n">
        <v>244</v>
      </c>
      <c r="BR64" t="n">
        <v>534</v>
      </c>
      <c r="BS6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5">
      <c r="A65" t="inlineStr">
        <is>
          <t>FRAG</t>
        </is>
      </c>
      <c r="B65" t="inlineStr">
        <is>
          <t>Fragmentación Desmonte 2025.xlsx</t>
        </is>
      </c>
      <c r="C65" t="inlineStr">
        <is>
          <t>ANÁLISIS DE FRAGMENTACIÓN</t>
        </is>
      </c>
      <c r="D65" t="n">
        <v>69</v>
      </c>
      <c r="E65" t="inlineStr">
        <is>
          <t>ROM (fragmentación post-voladura en el frente de carguío, por análisis de fotos)</t>
        </is>
      </c>
      <c r="F65" t="inlineStr"/>
      <c r="G65" t="inlineStr">
        <is>
          <t>no indicada en el archivo</t>
        </is>
      </c>
      <c r="H65" t="inlineStr">
        <is>
          <t>2025-01-27</t>
        </is>
      </c>
      <c r="I65" t="inlineStr">
        <is>
          <t>2025-02-04</t>
        </is>
      </c>
      <c r="J65" t="inlineStr">
        <is>
          <t>PALA 14</t>
        </is>
      </c>
      <c r="K65" t="n">
        <v>10</v>
      </c>
      <c r="L65" t="inlineStr">
        <is>
          <t>10-NP-4433-17</t>
        </is>
      </c>
      <c r="M65" t="n">
        <v>1</v>
      </c>
      <c r="N65" t="n">
        <v>4433</v>
      </c>
      <c r="O65" t="inlineStr">
        <is>
          <t>C</t>
        </is>
      </c>
      <c r="P65" t="n">
        <v>30</v>
      </c>
      <c r="Q65" t="inlineStr">
        <is>
          <t>Desmonte</t>
        </is>
      </c>
      <c r="R65" t="inlineStr">
        <is>
          <t>Producción</t>
        </is>
      </c>
      <c r="S65" t="n">
        <v>3</v>
      </c>
      <c r="T65" t="n">
        <v>5.7</v>
      </c>
      <c r="U65" t="n">
        <v>3</v>
      </c>
      <c r="V65" t="n">
        <v>1.013887723273858</v>
      </c>
      <c r="W65" t="n">
        <v>0.163</v>
      </c>
      <c r="X65" t="n">
        <v>0.252</v>
      </c>
      <c r="Y65" t="n">
        <v>0.4</v>
      </c>
      <c r="Z65" t="n">
        <v>1.3</v>
      </c>
      <c r="AA65" t="n">
        <v>2.6</v>
      </c>
      <c r="AB65" t="n">
        <v>4</v>
      </c>
      <c r="AC65" t="n">
        <v>5.7</v>
      </c>
      <c r="AD65" t="n">
        <v>7.8</v>
      </c>
      <c r="AE65" t="n">
        <v>10.4</v>
      </c>
      <c r="AF65" t="n">
        <v>13.9</v>
      </c>
      <c r="AG65" t="n">
        <v>19.5</v>
      </c>
      <c r="AH65" t="n">
        <v>51.2</v>
      </c>
      <c r="AI65" t="inlineStr"/>
      <c r="AJ65" t="n">
        <v>1434221.25</v>
      </c>
      <c r="AK65" t="n">
        <v>439237</v>
      </c>
      <c r="AL65" t="n">
        <v>0.3062547009396214</v>
      </c>
      <c r="AM65" t="inlineStr">
        <is>
          <t>-</t>
        </is>
      </c>
      <c r="AN65" t="inlineStr">
        <is>
          <t>17</t>
        </is>
      </c>
      <c r="AO65" t="inlineStr">
        <is>
          <t>7</t>
        </is>
      </c>
      <c r="AP65" t="inlineStr">
        <is>
          <t>12 1/4</t>
        </is>
      </c>
      <c r="AQ65" t="inlineStr">
        <is>
          <t>9</t>
        </is>
      </c>
      <c r="AR65" t="inlineStr">
        <is>
          <t>10.35</t>
        </is>
      </c>
      <c r="AS65" t="inlineStr">
        <is>
          <t>2</t>
        </is>
      </c>
      <c r="AT65" t="n">
        <v>472</v>
      </c>
      <c r="AU65" t="inlineStr">
        <is>
          <t>Vertex 70 / Vertex 70 + BEN</t>
        </is>
      </c>
      <c r="AV65" t="inlineStr">
        <is>
          <t>50/50AR</t>
        </is>
      </c>
      <c r="AW65" t="n">
        <v>0.6529887914351589</v>
      </c>
      <c r="AX65" t="n">
        <v>0.7164596232913487</v>
      </c>
      <c r="AY65" t="n">
        <v>0.7770832417464425</v>
      </c>
      <c r="AZ65" t="n">
        <v>0.8326093129927564</v>
      </c>
      <c r="BA65" t="n">
        <v>0.861891465380235</v>
      </c>
      <c r="BB65" t="n">
        <v>2.244094488188976</v>
      </c>
      <c r="BC65" t="n">
        <v>0.6193549446046563</v>
      </c>
      <c r="BD65" t="n">
        <v>1.298320635371001</v>
      </c>
      <c r="BE65" t="n">
        <v>2.061959836374472</v>
      </c>
      <c r="BF65" t="n">
        <v>2.938620227143586</v>
      </c>
      <c r="BG65" t="n">
        <v>3.970823737019919</v>
      </c>
      <c r="BH65" t="n">
        <v>5.22911506276693</v>
      </c>
      <c r="BI65" t="n">
        <v>6.845218038157919</v>
      </c>
      <c r="BJ65" t="n">
        <v>9.114191800619484</v>
      </c>
      <c r="BK65" t="n">
        <v>12.97564921720767</v>
      </c>
      <c r="BL65" t="n">
        <v>38.3455511585137</v>
      </c>
      <c r="BM65" t="inlineStr"/>
      <c r="BN65" t="n">
        <v>4</v>
      </c>
      <c r="BO65" t="n">
        <v>57</v>
      </c>
      <c r="BP65" t="n">
        <v>139</v>
      </c>
      <c r="BQ65" t="n">
        <v>195</v>
      </c>
      <c r="BR65" t="n">
        <v>512</v>
      </c>
      <c r="BS6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6">
      <c r="A66" t="inlineStr">
        <is>
          <t>FRAG</t>
        </is>
      </c>
      <c r="B66" t="inlineStr">
        <is>
          <t>Fragmentación Desmonte 2025.xlsx</t>
        </is>
      </c>
      <c r="C66" t="inlineStr">
        <is>
          <t>ANÁLISIS DE FRAGMENTACIÓN</t>
        </is>
      </c>
      <c r="D66" t="n">
        <v>70</v>
      </c>
      <c r="E66" t="inlineStr">
        <is>
          <t>ROM (fragmentación post-voladura en el frente de carguío, por análisis de fotos)</t>
        </is>
      </c>
      <c r="F66" t="inlineStr"/>
      <c r="G66" t="inlineStr">
        <is>
          <t>no indicada en el archivo</t>
        </is>
      </c>
      <c r="H66" t="inlineStr">
        <is>
          <t>2025-01-27</t>
        </is>
      </c>
      <c r="I66" t="inlineStr">
        <is>
          <t>2025-02-04</t>
        </is>
      </c>
      <c r="J66" t="inlineStr">
        <is>
          <t>PALA 14</t>
        </is>
      </c>
      <c r="K66" t="n">
        <v>10</v>
      </c>
      <c r="L66" t="inlineStr">
        <is>
          <t>10-NP-4433-17</t>
        </is>
      </c>
      <c r="M66" t="n">
        <v>2</v>
      </c>
      <c r="N66" t="n">
        <v>4433</v>
      </c>
      <c r="O66" t="inlineStr">
        <is>
          <t>A</t>
        </is>
      </c>
      <c r="P66" t="n">
        <v>30</v>
      </c>
      <c r="Q66" t="inlineStr">
        <is>
          <t>Desmonte</t>
        </is>
      </c>
      <c r="R66" t="inlineStr">
        <is>
          <t>Producción</t>
        </is>
      </c>
      <c r="S66" t="n">
        <v>1</v>
      </c>
      <c r="T66" t="n">
        <v>7.4</v>
      </c>
      <c r="U66" t="n">
        <v>2</v>
      </c>
      <c r="V66" t="n">
        <v>0.8370573639076366</v>
      </c>
      <c r="W66" t="n">
        <v>0.125</v>
      </c>
      <c r="X66" t="n">
        <v>0.195</v>
      </c>
      <c r="Y66" t="n">
        <v>0.6</v>
      </c>
      <c r="Z66" t="n">
        <v>2</v>
      </c>
      <c r="AA66" t="n">
        <v>3.7</v>
      </c>
      <c r="AB66" t="n">
        <v>5.5</v>
      </c>
      <c r="AC66" t="n">
        <v>7.5</v>
      </c>
      <c r="AD66" t="n">
        <v>9.699999999999999</v>
      </c>
      <c r="AE66" t="n">
        <v>12.3</v>
      </c>
      <c r="AF66" t="n">
        <v>15.6</v>
      </c>
      <c r="AG66" t="n">
        <v>20.3</v>
      </c>
      <c r="AH66" t="n">
        <v>39.1</v>
      </c>
      <c r="AI66" t="inlineStr"/>
      <c r="AJ66" t="n">
        <v>1434221.25</v>
      </c>
      <c r="AK66" t="n">
        <v>439237</v>
      </c>
      <c r="AL66" t="n">
        <v>0.3062547009396214</v>
      </c>
      <c r="AM66" t="inlineStr">
        <is>
          <t>-</t>
        </is>
      </c>
      <c r="AN66" t="inlineStr">
        <is>
          <t>17</t>
        </is>
      </c>
      <c r="AO66" t="inlineStr">
        <is>
          <t>7</t>
        </is>
      </c>
      <c r="AP66" t="inlineStr">
        <is>
          <t>12 1/4</t>
        </is>
      </c>
      <c r="AQ66" t="inlineStr">
        <is>
          <t>9</t>
        </is>
      </c>
      <c r="AR66" t="inlineStr">
        <is>
          <t>10.35</t>
        </is>
      </c>
      <c r="AS66" t="inlineStr">
        <is>
          <t>2</t>
        </is>
      </c>
      <c r="AT66" t="n">
        <v>472</v>
      </c>
      <c r="AU66" t="inlineStr">
        <is>
          <t>Vertex 70 / Vertex 70 + BEN</t>
        </is>
      </c>
      <c r="AV66" t="inlineStr">
        <is>
          <t>50/50AR</t>
        </is>
      </c>
      <c r="AW66" t="n">
        <v>0.6619924530799381</v>
      </c>
      <c r="AX66" t="n">
        <v>0.7110979221382182</v>
      </c>
      <c r="AY66" t="n">
        <v>0.7586161231872577</v>
      </c>
      <c r="AZ66" t="n">
        <v>0.803496075241664</v>
      </c>
      <c r="BA66" t="n">
        <v>0.8281169508569348</v>
      </c>
      <c r="BB66" t="n">
        <v>2.913385826771654</v>
      </c>
      <c r="BC66" t="n">
        <v>0.5031098953617251</v>
      </c>
      <c r="BD66" t="n">
        <v>1.233135132596118</v>
      </c>
      <c r="BE66" t="n">
        <v>2.159479793159536</v>
      </c>
      <c r="BF66" t="n">
        <v>3.316777866474001</v>
      </c>
      <c r="BG66" t="n">
        <v>4.776085198993944</v>
      </c>
      <c r="BH66" t="n">
        <v>6.6661390258534</v>
      </c>
      <c r="BI66" t="n">
        <v>9.237221128207477</v>
      </c>
      <c r="BJ66" t="n">
        <v>13.06584228189915</v>
      </c>
      <c r="BK66" t="n">
        <v>20.04272504158127</v>
      </c>
      <c r="BL66" t="n">
        <v>74.4654888752185</v>
      </c>
      <c r="BM66" t="inlineStr"/>
      <c r="BN66" t="n">
        <v>6</v>
      </c>
      <c r="BO66" t="n">
        <v>75</v>
      </c>
      <c r="BP66" t="n">
        <v>156</v>
      </c>
      <c r="BQ66" t="n">
        <v>203</v>
      </c>
      <c r="BR66" t="n">
        <v>391</v>
      </c>
      <c r="BS6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7">
      <c r="A67" t="inlineStr">
        <is>
          <t>FRAG</t>
        </is>
      </c>
      <c r="B67" t="inlineStr">
        <is>
          <t>Fragmentación Desmonte 2025.xlsx</t>
        </is>
      </c>
      <c r="C67" t="inlineStr">
        <is>
          <t>ANÁLISIS DE FRAGMENTACIÓN</t>
        </is>
      </c>
      <c r="D67" t="n">
        <v>71</v>
      </c>
      <c r="E67" t="inlineStr">
        <is>
          <t>ROM (fragmentación post-voladura en el frente de carguío, por análisis de fotos)</t>
        </is>
      </c>
      <c r="F67" t="inlineStr"/>
      <c r="G67" t="inlineStr">
        <is>
          <t>no indicada en el archivo</t>
        </is>
      </c>
      <c r="H67" t="inlineStr">
        <is>
          <t>2025-01-27</t>
        </is>
      </c>
      <c r="I67" t="inlineStr">
        <is>
          <t>2025-02-04</t>
        </is>
      </c>
      <c r="J67" t="inlineStr">
        <is>
          <t>PALA 06</t>
        </is>
      </c>
      <c r="K67" t="n">
        <v>10</v>
      </c>
      <c r="L67" t="inlineStr">
        <is>
          <t>10-NP-4433-17</t>
        </is>
      </c>
      <c r="M67" t="n">
        <v>3</v>
      </c>
      <c r="N67" t="n">
        <v>4433</v>
      </c>
      <c r="O67" t="inlineStr">
        <is>
          <t>C1</t>
        </is>
      </c>
      <c r="P67" t="n">
        <v>30</v>
      </c>
      <c r="Q67" t="inlineStr">
        <is>
          <t>Desmonte</t>
        </is>
      </c>
      <c r="R67" t="inlineStr">
        <is>
          <t>Producción</t>
        </is>
      </c>
      <c r="S67" t="n">
        <v>3</v>
      </c>
      <c r="T67" t="n">
        <v>6.9</v>
      </c>
      <c r="U67" t="n">
        <v>3</v>
      </c>
      <c r="V67" t="n">
        <v>1.170392345895008</v>
      </c>
      <c r="W67" t="n">
        <v>0.128</v>
      </c>
      <c r="X67" t="n">
        <v>0.203</v>
      </c>
      <c r="Y67" t="n">
        <v>0.6</v>
      </c>
      <c r="Z67" t="n">
        <v>1.9</v>
      </c>
      <c r="AA67" t="n">
        <v>3.4</v>
      </c>
      <c r="AB67" t="n">
        <v>5.1</v>
      </c>
      <c r="AC67" t="n">
        <v>7</v>
      </c>
      <c r="AD67" t="n">
        <v>9.1</v>
      </c>
      <c r="AE67" t="n">
        <v>11.6</v>
      </c>
      <c r="AF67" t="n">
        <v>14.9</v>
      </c>
      <c r="AG67" t="n">
        <v>19.8</v>
      </c>
      <c r="AH67" t="n">
        <v>42.4</v>
      </c>
      <c r="AI67" t="inlineStr"/>
      <c r="AJ67" t="n">
        <v>1434221.25</v>
      </c>
      <c r="AK67" t="n">
        <v>439237</v>
      </c>
      <c r="AL67" t="n">
        <v>0.3062547009396214</v>
      </c>
      <c r="AM67" t="inlineStr">
        <is>
          <t>-</t>
        </is>
      </c>
      <c r="AN67" t="inlineStr">
        <is>
          <t>17</t>
        </is>
      </c>
      <c r="AO67" t="inlineStr">
        <is>
          <t>7</t>
        </is>
      </c>
      <c r="AP67" t="inlineStr">
        <is>
          <t>12 1/4</t>
        </is>
      </c>
      <c r="AQ67" t="inlineStr">
        <is>
          <t>9</t>
        </is>
      </c>
      <c r="AR67" t="inlineStr">
        <is>
          <t>10.35</t>
        </is>
      </c>
      <c r="AS67" t="inlineStr">
        <is>
          <t>2</t>
        </is>
      </c>
      <c r="AT67" t="n">
        <v>472</v>
      </c>
      <c r="AU67" t="inlineStr">
        <is>
          <t>Vertex 70 / Vertex 70 + BEN</t>
        </is>
      </c>
      <c r="AV67" t="inlineStr">
        <is>
          <t>50/50AR</t>
        </is>
      </c>
      <c r="AW67" t="n">
        <v>0.6382199428194034</v>
      </c>
      <c r="AX67" t="n">
        <v>0.689736815460767</v>
      </c>
      <c r="AY67" t="n">
        <v>0.7400223419745136</v>
      </c>
      <c r="AZ67" t="n">
        <v>0.7879008104219759</v>
      </c>
      <c r="BA67" t="n">
        <v>0.8143214943701886</v>
      </c>
      <c r="BB67" t="n">
        <v>2.716535433070866</v>
      </c>
      <c r="BC67" t="n">
        <v>1.008813919961191</v>
      </c>
      <c r="BD67" t="n">
        <v>1.91544731956164</v>
      </c>
      <c r="BE67" t="n">
        <v>2.859594035939977</v>
      </c>
      <c r="BF67" t="n">
        <v>3.886807937510064</v>
      </c>
      <c r="BG67" t="n">
        <v>5.044847965335992</v>
      </c>
      <c r="BH67" t="n">
        <v>6.40338762876047</v>
      </c>
      <c r="BI67" t="n">
        <v>8.085914324821925</v>
      </c>
      <c r="BJ67" t="n">
        <v>10.36178349739597</v>
      </c>
      <c r="BK67" t="n">
        <v>14.071207525754</v>
      </c>
      <c r="BL67" t="n">
        <v>35.97415558334484</v>
      </c>
      <c r="BM67" t="inlineStr"/>
      <c r="BN67" t="n">
        <v>6</v>
      </c>
      <c r="BO67" t="n">
        <v>70</v>
      </c>
      <c r="BP67" t="n">
        <v>149</v>
      </c>
      <c r="BQ67" t="n">
        <v>198</v>
      </c>
      <c r="BR67" t="n">
        <v>424</v>
      </c>
      <c r="BS6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8">
      <c r="A68" t="inlineStr">
        <is>
          <t>FRAG</t>
        </is>
      </c>
      <c r="B68" t="inlineStr">
        <is>
          <t>Fragmentación Desmonte 2025.xlsx</t>
        </is>
      </c>
      <c r="C68" t="inlineStr">
        <is>
          <t>ANÁLISIS DE FRAGMENTACIÓN</t>
        </is>
      </c>
      <c r="D68" t="n">
        <v>72</v>
      </c>
      <c r="E68" t="inlineStr">
        <is>
          <t>ROM (fragmentación post-voladura en el frente de carguío, por análisis de fotos)</t>
        </is>
      </c>
      <c r="F68" t="inlineStr"/>
      <c r="G68" t="inlineStr">
        <is>
          <t>no indicada en el archivo</t>
        </is>
      </c>
      <c r="H68" t="inlineStr">
        <is>
          <t>2025-01-27</t>
        </is>
      </c>
      <c r="I68" t="inlineStr">
        <is>
          <t>2025-02-04</t>
        </is>
      </c>
      <c r="J68" t="inlineStr">
        <is>
          <t>PALA 06</t>
        </is>
      </c>
      <c r="K68" t="n">
        <v>10</v>
      </c>
      <c r="L68" t="inlineStr">
        <is>
          <t>10-NP-4433-17</t>
        </is>
      </c>
      <c r="M68" t="n">
        <v>1</v>
      </c>
      <c r="N68" t="n">
        <v>4433</v>
      </c>
      <c r="O68" t="inlineStr">
        <is>
          <t>C</t>
        </is>
      </c>
      <c r="P68" t="n">
        <v>30</v>
      </c>
      <c r="Q68" t="inlineStr">
        <is>
          <t>Desmonte</t>
        </is>
      </c>
      <c r="R68" t="inlineStr">
        <is>
          <t>Producción/Cresta</t>
        </is>
      </c>
      <c r="S68" t="n">
        <v>2</v>
      </c>
      <c r="T68" t="n">
        <v>11.9</v>
      </c>
      <c r="U68" t="n">
        <v>2</v>
      </c>
      <c r="V68" t="n">
        <v>0.7208449085440943</v>
      </c>
      <c r="W68" t="n">
        <v>0.12</v>
      </c>
      <c r="X68" t="n">
        <v>0.173</v>
      </c>
      <c r="Y68" t="n">
        <v>0.6</v>
      </c>
      <c r="Z68" t="n">
        <v>2.5</v>
      </c>
      <c r="AA68" t="n">
        <v>5.1</v>
      </c>
      <c r="AB68" t="n">
        <v>8.300000000000001</v>
      </c>
      <c r="AC68" t="n">
        <v>11.9</v>
      </c>
      <c r="AD68" t="n">
        <v>16.3</v>
      </c>
      <c r="AE68" t="n">
        <v>21.6</v>
      </c>
      <c r="AF68" t="n">
        <v>28.6</v>
      </c>
      <c r="AG68" t="n">
        <v>39.5</v>
      </c>
      <c r="AH68" t="n">
        <v>88.09999999999999</v>
      </c>
      <c r="AI68" t="inlineStr"/>
      <c r="AJ68" t="n">
        <v>1434221.25</v>
      </c>
      <c r="AK68" t="n">
        <v>439237</v>
      </c>
      <c r="AL68" t="n">
        <v>0.3062547009396214</v>
      </c>
      <c r="AM68" t="inlineStr">
        <is>
          <t>-</t>
        </is>
      </c>
      <c r="AN68" t="inlineStr">
        <is>
          <t xml:space="preserve"> - </t>
        </is>
      </c>
      <c r="AO68" t="inlineStr">
        <is>
          <t xml:space="preserve"> - </t>
        </is>
      </c>
      <c r="AP68" t="inlineStr">
        <is>
          <t>9 7/8</t>
        </is>
      </c>
      <c r="AQ68" t="inlineStr">
        <is>
          <t xml:space="preserve"> - </t>
        </is>
      </c>
      <c r="AR68" t="inlineStr">
        <is>
          <t xml:space="preserve"> - </t>
        </is>
      </c>
      <c r="AS68" t="inlineStr">
        <is>
          <t xml:space="preserve"> - </t>
        </is>
      </c>
      <c r="AT68" t="n">
        <v>472</v>
      </c>
      <c r="AU68" t="inlineStr">
        <is>
          <t>Vertex 70 / Vertex 70 + BEN</t>
        </is>
      </c>
      <c r="AV68" t="inlineStr">
        <is>
          <t>50/50AR</t>
        </is>
      </c>
      <c r="AW68" t="n">
        <v>0.6681057144828729</v>
      </c>
      <c r="AX68" t="n">
        <v>0.7116134850354116</v>
      </c>
      <c r="AY68" t="n">
        <v>0.7538637754687055</v>
      </c>
      <c r="AZ68" t="n">
        <v>0.7941214755831236</v>
      </c>
      <c r="BA68" t="n">
        <v>0.8164581350360729</v>
      </c>
      <c r="BB68" t="n">
        <v>4.68503937007874</v>
      </c>
      <c r="BC68" t="n">
        <v>0.5245007930012806</v>
      </c>
      <c r="BD68" t="n">
        <v>1.485468504592735</v>
      </c>
      <c r="BE68" t="n">
        <v>2.847293396169043</v>
      </c>
      <c r="BF68" t="n">
        <v>4.686461256182681</v>
      </c>
      <c r="BG68" t="n">
        <v>7.156988800879212</v>
      </c>
      <c r="BH68" t="n">
        <v>10.54088880587154</v>
      </c>
      <c r="BI68" t="n">
        <v>15.39512892571845</v>
      </c>
      <c r="BJ68" t="n">
        <v>23.02809692224556</v>
      </c>
      <c r="BK68" t="n">
        <v>37.84727758856548</v>
      </c>
      <c r="BL68" t="n">
        <v>173.750608997994</v>
      </c>
      <c r="BM68" t="inlineStr"/>
      <c r="BN68" t="n">
        <v>6</v>
      </c>
      <c r="BO68" t="n">
        <v>119</v>
      </c>
      <c r="BP68" t="n">
        <v>286</v>
      </c>
      <c r="BQ68" t="n">
        <v>395</v>
      </c>
      <c r="BR68" t="n">
        <v>881</v>
      </c>
      <c r="BS6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69">
      <c r="A69" t="inlineStr">
        <is>
          <t>FRAG</t>
        </is>
      </c>
      <c r="B69" t="inlineStr">
        <is>
          <t>Fragmentación Desmonte 2025.xlsx</t>
        </is>
      </c>
      <c r="C69" t="inlineStr">
        <is>
          <t>ANÁLISIS DE FRAGMENTACIÓN</t>
        </is>
      </c>
      <c r="D69" t="n">
        <v>73</v>
      </c>
      <c r="E69" t="inlineStr">
        <is>
          <t>ROM (fragmentación post-voladura en el frente de carguío, por análisis de fotos)</t>
        </is>
      </c>
      <c r="F69" t="inlineStr"/>
      <c r="G69" t="inlineStr">
        <is>
          <t>no indicada en el archivo</t>
        </is>
      </c>
      <c r="H69" t="inlineStr">
        <is>
          <t>2025-01-27</t>
        </is>
      </c>
      <c r="I69" t="inlineStr">
        <is>
          <t>2025-02-04</t>
        </is>
      </c>
      <c r="J69" t="inlineStr">
        <is>
          <t>PALA 11</t>
        </is>
      </c>
      <c r="K69" t="n">
        <v>10</v>
      </c>
      <c r="L69" t="inlineStr">
        <is>
          <t>10-NP-4433-17</t>
        </is>
      </c>
      <c r="M69" t="n">
        <v>4</v>
      </c>
      <c r="N69" t="n">
        <v>4433</v>
      </c>
      <c r="O69" t="inlineStr">
        <is>
          <t>C</t>
        </is>
      </c>
      <c r="P69" t="n">
        <v>30</v>
      </c>
      <c r="Q69" t="inlineStr">
        <is>
          <t>Desmonte</t>
        </is>
      </c>
      <c r="R69" t="inlineStr">
        <is>
          <t>Producción</t>
        </is>
      </c>
      <c r="S69" t="n">
        <v>6</v>
      </c>
      <c r="T69" t="n">
        <v>8.300000000000001</v>
      </c>
      <c r="U69" t="n">
        <v>3</v>
      </c>
      <c r="V69" t="n">
        <v>1.044617687981226</v>
      </c>
      <c r="W69" t="n">
        <v>0.133</v>
      </c>
      <c r="X69" t="n">
        <v>0.201</v>
      </c>
      <c r="Y69" t="n">
        <v>0.6</v>
      </c>
      <c r="Z69" t="n">
        <v>1.9</v>
      </c>
      <c r="AA69" t="n">
        <v>3.7</v>
      </c>
      <c r="AB69" t="n">
        <v>5.8</v>
      </c>
      <c r="AC69" t="n">
        <v>8.300000000000001</v>
      </c>
      <c r="AD69" t="n">
        <v>11.2</v>
      </c>
      <c r="AE69" t="n">
        <v>14.9</v>
      </c>
      <c r="AF69" t="n">
        <v>19.8</v>
      </c>
      <c r="AG69" t="n">
        <v>27.5</v>
      </c>
      <c r="AH69" t="n">
        <v>67.90000000000001</v>
      </c>
      <c r="AI69" t="inlineStr"/>
      <c r="AJ69" t="n">
        <v>1434221.25</v>
      </c>
      <c r="AK69" t="n">
        <v>439237</v>
      </c>
      <c r="AL69" t="n">
        <v>0.3062547009396214</v>
      </c>
      <c r="AM69" t="inlineStr">
        <is>
          <t>-</t>
        </is>
      </c>
      <c r="AN69" t="inlineStr">
        <is>
          <t>17</t>
        </is>
      </c>
      <c r="AO69" t="inlineStr">
        <is>
          <t>7</t>
        </is>
      </c>
      <c r="AP69" t="inlineStr">
        <is>
          <t>12 1/4</t>
        </is>
      </c>
      <c r="AQ69" t="inlineStr">
        <is>
          <t>9</t>
        </is>
      </c>
      <c r="AR69" t="inlineStr">
        <is>
          <t>10.35</t>
        </is>
      </c>
      <c r="AS69" t="inlineStr">
        <is>
          <t>2</t>
        </is>
      </c>
      <c r="AT69" t="n">
        <v>472</v>
      </c>
      <c r="AU69" t="inlineStr">
        <is>
          <t>Vertex 70 / Vertex 70 + BEN</t>
        </is>
      </c>
      <c r="AV69" t="inlineStr">
        <is>
          <t>50/50AR</t>
        </is>
      </c>
      <c r="AW69" t="n">
        <v>0.6465629032777647</v>
      </c>
      <c r="AX69" t="n">
        <v>0.6974569911388635</v>
      </c>
      <c r="AY69" t="n">
        <v>0.7469726474730263</v>
      </c>
      <c r="AZ69" t="n">
        <v>0.7939635382102118</v>
      </c>
      <c r="BA69" t="n">
        <v>0.8198268820298287</v>
      </c>
      <c r="BB69" t="n">
        <v>3.267716535433072</v>
      </c>
      <c r="BC69" t="n">
        <v>0.9627185514598836</v>
      </c>
      <c r="BD69" t="n">
        <v>1.974629788954803</v>
      </c>
      <c r="BE69" t="n">
        <v>3.093670221135364</v>
      </c>
      <c r="BF69" t="n">
        <v>4.363259245177632</v>
      </c>
      <c r="BG69" t="n">
        <v>5.843892425976881</v>
      </c>
      <c r="BH69" t="n">
        <v>7.633663630184211</v>
      </c>
      <c r="BI69" t="n">
        <v>9.9140583735773</v>
      </c>
      <c r="BJ69" t="n">
        <v>13.08955417046786</v>
      </c>
      <c r="BK69" t="n">
        <v>18.44262910907086</v>
      </c>
      <c r="BL69" t="n">
        <v>52.79165710515178</v>
      </c>
      <c r="BM69" t="inlineStr"/>
      <c r="BN69" t="n">
        <v>6</v>
      </c>
      <c r="BO69" t="n">
        <v>83</v>
      </c>
      <c r="BP69" t="n">
        <v>198</v>
      </c>
      <c r="BQ69" t="n">
        <v>275</v>
      </c>
      <c r="BR69" t="n">
        <v>679</v>
      </c>
      <c r="BS6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0">
      <c r="A70" t="inlineStr">
        <is>
          <t>FRAG</t>
        </is>
      </c>
      <c r="B70" t="inlineStr">
        <is>
          <t>Fragmentación Desmonte 2025.xlsx</t>
        </is>
      </c>
      <c r="C70" t="inlineStr">
        <is>
          <t>ANÁLISIS DE FRAGMENTACIÓN</t>
        </is>
      </c>
      <c r="D70" t="n">
        <v>74</v>
      </c>
      <c r="E70" t="inlineStr">
        <is>
          <t>ROM (fragmentación post-voladura en el frente de carguío, por análisis de fotos)</t>
        </is>
      </c>
      <c r="F70" t="inlineStr"/>
      <c r="G70" t="inlineStr">
        <is>
          <t>no indicada en el archivo</t>
        </is>
      </c>
      <c r="H70" t="inlineStr">
        <is>
          <t>2025-01-27</t>
        </is>
      </c>
      <c r="I70" t="inlineStr">
        <is>
          <t>2025-02-05</t>
        </is>
      </c>
      <c r="J70" t="inlineStr">
        <is>
          <t>PALA 11</t>
        </is>
      </c>
      <c r="K70" t="n">
        <v>10</v>
      </c>
      <c r="L70" t="inlineStr">
        <is>
          <t>10-NP-4433-17</t>
        </is>
      </c>
      <c r="M70" t="n">
        <v>1</v>
      </c>
      <c r="N70" t="n">
        <v>4433</v>
      </c>
      <c r="O70" t="inlineStr">
        <is>
          <t>C</t>
        </is>
      </c>
      <c r="P70" t="n">
        <v>30</v>
      </c>
      <c r="Q70" t="inlineStr">
        <is>
          <t>Desmonte</t>
        </is>
      </c>
      <c r="R70" t="inlineStr">
        <is>
          <t>Producción</t>
        </is>
      </c>
      <c r="S70" t="n">
        <v>3</v>
      </c>
      <c r="T70" t="n">
        <v>7</v>
      </c>
      <c r="U70" t="n">
        <v>3</v>
      </c>
      <c r="V70" t="n">
        <v>1.257565869121841</v>
      </c>
      <c r="W70" t="n">
        <v>0.113</v>
      </c>
      <c r="X70" t="n">
        <v>0.185</v>
      </c>
      <c r="Y70" t="n">
        <v>0.8</v>
      </c>
      <c r="Z70" t="n">
        <v>2.2</v>
      </c>
      <c r="AA70" t="n">
        <v>3.7</v>
      </c>
      <c r="AB70" t="n">
        <v>5.3</v>
      </c>
      <c r="AC70" t="n">
        <v>7.1</v>
      </c>
      <c r="AD70" t="n">
        <v>9</v>
      </c>
      <c r="AE70" t="n">
        <v>11.2</v>
      </c>
      <c r="AF70" t="n">
        <v>14.1</v>
      </c>
      <c r="AG70" t="n">
        <v>18.3</v>
      </c>
      <c r="AH70" t="n">
        <v>36.9</v>
      </c>
      <c r="AI70" t="inlineStr"/>
      <c r="AJ70" t="n">
        <v>1434221.25</v>
      </c>
      <c r="AK70" t="n">
        <v>439237</v>
      </c>
      <c r="AL70" t="n">
        <v>0.3062547009396214</v>
      </c>
      <c r="AM70" t="inlineStr">
        <is>
          <t>-</t>
        </is>
      </c>
      <c r="AN70" t="inlineStr">
        <is>
          <t>17</t>
        </is>
      </c>
      <c r="AO70" t="inlineStr">
        <is>
          <t>7</t>
        </is>
      </c>
      <c r="AP70" t="inlineStr">
        <is>
          <t>12 1/4</t>
        </is>
      </c>
      <c r="AQ70" t="inlineStr">
        <is>
          <t>9</t>
        </is>
      </c>
      <c r="AR70" t="inlineStr">
        <is>
          <t>10.35</t>
        </is>
      </c>
      <c r="AS70" t="inlineStr">
        <is>
          <t>2</t>
        </is>
      </c>
      <c r="AT70" t="n">
        <v>472</v>
      </c>
      <c r="AU70" t="inlineStr">
        <is>
          <t>Vertex 70 / Vertex 70 + BEN</t>
        </is>
      </c>
      <c r="AV70" t="inlineStr">
        <is>
          <t>50/50AR</t>
        </is>
      </c>
      <c r="AW70" t="n">
        <v>0.6327901711828205</v>
      </c>
      <c r="AX70" t="n">
        <v>0.6798251696070701</v>
      </c>
      <c r="AY70" t="n">
        <v>0.7260219563243591</v>
      </c>
      <c r="AZ70" t="n">
        <v>0.7704983921294055</v>
      </c>
      <c r="BA70" t="n">
        <v>0.7953586170714009</v>
      </c>
      <c r="BB70" t="n">
        <v>2.755905511811024</v>
      </c>
      <c r="BC70" t="n">
        <v>1.169349206405044</v>
      </c>
      <c r="BD70" t="n">
        <v>2.12373728620789</v>
      </c>
      <c r="BE70" t="n">
        <v>3.083692356203248</v>
      </c>
      <c r="BF70" t="n">
        <v>4.103177172882994</v>
      </c>
      <c r="BG70" t="n">
        <v>5.230274949203205</v>
      </c>
      <c r="BH70" t="n">
        <v>6.529913220131045</v>
      </c>
      <c r="BI70" t="n">
        <v>8.113409040187456</v>
      </c>
      <c r="BJ70" t="n">
        <v>10.21980699114648</v>
      </c>
      <c r="BK70" t="n">
        <v>13.58711458571252</v>
      </c>
      <c r="BL70" t="n">
        <v>32.54826516841857</v>
      </c>
      <c r="BM70" t="inlineStr"/>
      <c r="BN70" t="n">
        <v>8</v>
      </c>
      <c r="BO70" t="n">
        <v>71</v>
      </c>
      <c r="BP70" t="n">
        <v>141</v>
      </c>
      <c r="BQ70" t="n">
        <v>183</v>
      </c>
      <c r="BR70" t="n">
        <v>369</v>
      </c>
      <c r="BS7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1">
      <c r="A71" t="inlineStr">
        <is>
          <t>FRAG</t>
        </is>
      </c>
      <c r="B71" t="inlineStr">
        <is>
          <t>Fragmentación Desmonte 2025.xlsx</t>
        </is>
      </c>
      <c r="C71" t="inlineStr">
        <is>
          <t>ANÁLISIS DE FRAGMENTACIÓN</t>
        </is>
      </c>
      <c r="D71" t="n">
        <v>75</v>
      </c>
      <c r="E71" t="inlineStr">
        <is>
          <t>ROM (fragmentación post-voladura en el frente de carguío, por análisis de fotos)</t>
        </is>
      </c>
      <c r="F71" t="inlineStr"/>
      <c r="G71" t="inlineStr">
        <is>
          <t>no indicada en el archivo</t>
        </is>
      </c>
      <c r="H71" t="inlineStr">
        <is>
          <t>2025-01-27</t>
        </is>
      </c>
      <c r="I71" t="inlineStr">
        <is>
          <t>2025-02-05</t>
        </is>
      </c>
      <c r="J71" t="inlineStr">
        <is>
          <t>PALA 06</t>
        </is>
      </c>
      <c r="K71" t="n">
        <v>10</v>
      </c>
      <c r="L71" t="inlineStr">
        <is>
          <t>10-NP-4433-17</t>
        </is>
      </c>
      <c r="M71" t="n">
        <v>3</v>
      </c>
      <c r="N71" t="n">
        <v>4433</v>
      </c>
      <c r="O71" t="inlineStr">
        <is>
          <t>C1</t>
        </is>
      </c>
      <c r="P71" t="n">
        <v>30</v>
      </c>
      <c r="Q71" t="inlineStr">
        <is>
          <t>Desmonte</t>
        </is>
      </c>
      <c r="R71" t="inlineStr">
        <is>
          <t>Producción</t>
        </is>
      </c>
      <c r="S71" t="n">
        <v>6</v>
      </c>
      <c r="T71" t="n">
        <v>8.199999999999999</v>
      </c>
      <c r="U71" t="n">
        <v>3</v>
      </c>
      <c r="V71" t="n">
        <v>1.05244948772169</v>
      </c>
      <c r="W71" t="n">
        <v>0.128</v>
      </c>
      <c r="X71" t="n">
        <v>0.196</v>
      </c>
      <c r="Y71" t="n">
        <v>0.6</v>
      </c>
      <c r="Z71" t="n">
        <v>2</v>
      </c>
      <c r="AA71" t="n">
        <v>3.8</v>
      </c>
      <c r="AB71" t="n">
        <v>5.9</v>
      </c>
      <c r="AC71" t="n">
        <v>8.199999999999999</v>
      </c>
      <c r="AD71" t="n">
        <v>11.1</v>
      </c>
      <c r="AE71" t="n">
        <v>14.6</v>
      </c>
      <c r="AF71" t="n">
        <v>19.2</v>
      </c>
      <c r="AG71" t="n">
        <v>26.6</v>
      </c>
      <c r="AH71" t="n">
        <v>65.59999999999999</v>
      </c>
      <c r="AI71" t="inlineStr"/>
      <c r="AJ71" t="n">
        <v>1434221.25</v>
      </c>
      <c r="AK71" t="n">
        <v>439237</v>
      </c>
      <c r="AL71" t="n">
        <v>0.3062547009396214</v>
      </c>
      <c r="AM71" t="inlineStr">
        <is>
          <t>-</t>
        </is>
      </c>
      <c r="AN71" t="inlineStr">
        <is>
          <t>17</t>
        </is>
      </c>
      <c r="AO71" t="inlineStr">
        <is>
          <t>7</t>
        </is>
      </c>
      <c r="AP71" t="inlineStr">
        <is>
          <t>12 1/4</t>
        </is>
      </c>
      <c r="AQ71" t="inlineStr">
        <is>
          <t>9</t>
        </is>
      </c>
      <c r="AR71" t="inlineStr">
        <is>
          <t>10.35</t>
        </is>
      </c>
      <c r="AS71" t="inlineStr">
        <is>
          <t>2</t>
        </is>
      </c>
      <c r="AT71" t="n">
        <v>472</v>
      </c>
      <c r="AU71" t="inlineStr">
        <is>
          <t>Vertex 70 / Vertex 70 + BEN</t>
        </is>
      </c>
      <c r="AV71" t="inlineStr">
        <is>
          <t>50/50AR</t>
        </is>
      </c>
      <c r="AW71" t="n">
        <v>0.6456656351488215</v>
      </c>
      <c r="AX71" t="n">
        <v>0.6953193728356876</v>
      </c>
      <c r="AY71" t="n">
        <v>0.7437080136045844</v>
      </c>
      <c r="AZ71" t="n">
        <v>0.7897696607663514</v>
      </c>
      <c r="BA71" t="n">
        <v>0.8152124995973922</v>
      </c>
      <c r="BB71" t="n">
        <v>3.228346456692913</v>
      </c>
      <c r="BC71" t="n">
        <v>0.9664896491415076</v>
      </c>
      <c r="BD71" t="n">
        <v>1.971795655947182</v>
      </c>
      <c r="BE71" t="n">
        <v>3.078925871376415</v>
      </c>
      <c r="BF71" t="n">
        <v>4.331366594081702</v>
      </c>
      <c r="BG71" t="n">
        <v>5.788577837774772</v>
      </c>
      <c r="BH71" t="n">
        <v>7.546389915013047</v>
      </c>
      <c r="BI71" t="n">
        <v>9.781668628197725</v>
      </c>
      <c r="BJ71" t="n">
        <v>12.8880834263206</v>
      </c>
      <c r="BK71" t="n">
        <v>18.11249558035575</v>
      </c>
      <c r="BL71" t="n">
        <v>51.44248112367985</v>
      </c>
      <c r="BM71" t="inlineStr"/>
      <c r="BN71" t="n">
        <v>6</v>
      </c>
      <c r="BO71" t="n">
        <v>82</v>
      </c>
      <c r="BP71" t="n">
        <v>192</v>
      </c>
      <c r="BQ71" t="n">
        <v>266</v>
      </c>
      <c r="BR71" t="n">
        <v>656</v>
      </c>
      <c r="BS7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2">
      <c r="A72" t="inlineStr">
        <is>
          <t>FRAG</t>
        </is>
      </c>
      <c r="B72" t="inlineStr">
        <is>
          <t>Fragmentación Desmonte 2025.xlsx</t>
        </is>
      </c>
      <c r="C72" t="inlineStr">
        <is>
          <t>ANÁLISIS DE FRAGMENTACIÓN</t>
        </is>
      </c>
      <c r="D72" t="n">
        <v>76</v>
      </c>
      <c r="E72" t="inlineStr">
        <is>
          <t>ROM (fragmentación post-voladura en el frente de carguío, por análisis de fotos)</t>
        </is>
      </c>
      <c r="F72" t="inlineStr"/>
      <c r="G72" t="inlineStr">
        <is>
          <t>no indicada en el archivo</t>
        </is>
      </c>
      <c r="H72" t="inlineStr">
        <is>
          <t>2025-02-04</t>
        </is>
      </c>
      <c r="I72" t="inlineStr">
        <is>
          <t>2025-02-06</t>
        </is>
      </c>
      <c r="J72" t="inlineStr">
        <is>
          <t>PALA 09</t>
        </is>
      </c>
      <c r="K72" t="n">
        <v>9</v>
      </c>
      <c r="L72" t="inlineStr">
        <is>
          <t>9-NP-3953-12</t>
        </is>
      </c>
      <c r="M72" t="n">
        <v>1</v>
      </c>
      <c r="N72" t="n">
        <v>3953</v>
      </c>
      <c r="O72" t="inlineStr">
        <is>
          <t>C</t>
        </is>
      </c>
      <c r="P72" t="n">
        <v>30</v>
      </c>
      <c r="Q72" t="inlineStr">
        <is>
          <t>Desmonte</t>
        </is>
      </c>
      <c r="R72" t="inlineStr">
        <is>
          <t>Producción</t>
        </is>
      </c>
      <c r="S72" t="n">
        <v>4</v>
      </c>
      <c r="T72" t="n">
        <v>12.5</v>
      </c>
      <c r="U72" t="n">
        <v>2</v>
      </c>
      <c r="V72" t="n">
        <v>0.9226701070758716</v>
      </c>
      <c r="W72" t="n">
        <v>0.08699999999999999</v>
      </c>
      <c r="X72" t="n">
        <v>0.132</v>
      </c>
      <c r="Y72" t="n">
        <v>1.2</v>
      </c>
      <c r="Z72" t="n">
        <v>3.7</v>
      </c>
      <c r="AA72" t="n">
        <v>6.5</v>
      </c>
      <c r="AB72" t="n">
        <v>9.4</v>
      </c>
      <c r="AC72" t="n">
        <v>12.5</v>
      </c>
      <c r="AD72" t="n">
        <v>15.9</v>
      </c>
      <c r="AE72" t="n">
        <v>19.8</v>
      </c>
      <c r="AF72" t="n">
        <v>24.5</v>
      </c>
      <c r="AG72" t="n">
        <v>31.1</v>
      </c>
      <c r="AH72" t="n">
        <v>54.8</v>
      </c>
      <c r="AI72" t="n">
        <v>10289.21620455018</v>
      </c>
      <c r="AJ72" t="n">
        <v>792495</v>
      </c>
      <c r="AK72" t="n">
        <v>119477.75</v>
      </c>
      <c r="AL72" t="n">
        <v>0.1507615190001199</v>
      </c>
      <c r="AM72" t="inlineStr">
        <is>
          <t>0.4658530937103704</t>
        </is>
      </c>
      <c r="AN72" t="inlineStr">
        <is>
          <t>17</t>
        </is>
      </c>
      <c r="AO72" t="inlineStr">
        <is>
          <t>7</t>
        </is>
      </c>
      <c r="AP72" t="inlineStr">
        <is>
          <t>12 1/4</t>
        </is>
      </c>
      <c r="AQ72" t="inlineStr">
        <is>
          <t>9</t>
        </is>
      </c>
      <c r="AR72" t="inlineStr">
        <is>
          <t>10.35</t>
        </is>
      </c>
      <c r="AS72" t="inlineStr">
        <is>
          <t>2</t>
        </is>
      </c>
      <c r="AT72" t="n">
        <v>122</v>
      </c>
      <c r="AU72" t="inlineStr">
        <is>
          <t>Vertex 70</t>
        </is>
      </c>
      <c r="AV72" t="inlineStr">
        <is>
          <t>50/50AR</t>
        </is>
      </c>
      <c r="AW72" t="n">
        <v>0.647630879969044</v>
      </c>
      <c r="AX72" t="n">
        <v>0.6811437714640027</v>
      </c>
      <c r="AY72" t="n">
        <v>0.714218931363847</v>
      </c>
      <c r="AZ72" t="n">
        <v>0.7465367143154646</v>
      </c>
      <c r="BA72" t="n">
        <v>0.7649595708114787</v>
      </c>
      <c r="BB72" t="n">
        <v>4.921259842519685</v>
      </c>
      <c r="BC72" t="n">
        <v>1.090630324848719</v>
      </c>
      <c r="BD72" t="n">
        <v>2.459793014318662</v>
      </c>
      <c r="BE72" t="n">
        <v>4.089386314229158</v>
      </c>
      <c r="BF72" t="n">
        <v>6.035770688810898</v>
      </c>
      <c r="BG72" t="n">
        <v>8.402236445091992</v>
      </c>
      <c r="BH72" t="n">
        <v>11.37002133564002</v>
      </c>
      <c r="BI72" t="n">
        <v>15.28562684791096</v>
      </c>
      <c r="BJ72" t="n">
        <v>20.93658340779007</v>
      </c>
      <c r="BK72" t="n">
        <v>30.86621353244642</v>
      </c>
      <c r="BL72" t="n">
        <v>101.529585838129</v>
      </c>
      <c r="BM72" t="inlineStr"/>
      <c r="BN72" t="n">
        <v>12</v>
      </c>
      <c r="BO72" t="n">
        <v>125</v>
      </c>
      <c r="BP72" t="n">
        <v>245</v>
      </c>
      <c r="BQ72" t="n">
        <v>311</v>
      </c>
      <c r="BR72" t="n">
        <v>548</v>
      </c>
      <c r="BS7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3">
      <c r="A73" t="inlineStr">
        <is>
          <t>FRAG</t>
        </is>
      </c>
      <c r="B73" t="inlineStr">
        <is>
          <t>Fragmentación Desmonte 2025.xlsx</t>
        </is>
      </c>
      <c r="C73" t="inlineStr">
        <is>
          <t>ANÁLISIS DE FRAGMENTACIÓN</t>
        </is>
      </c>
      <c r="D73" t="n">
        <v>77</v>
      </c>
      <c r="E73" t="inlineStr">
        <is>
          <t>ROM (fragmentación post-voladura en el frente de carguío, por análisis de fotos)</t>
        </is>
      </c>
      <c r="F73" t="inlineStr"/>
      <c r="G73" t="inlineStr">
        <is>
          <t>no indicada en el archivo</t>
        </is>
      </c>
      <c r="H73" t="inlineStr">
        <is>
          <t>2025-01-25</t>
        </is>
      </c>
      <c r="I73" t="inlineStr">
        <is>
          <t>2025-02-06</t>
        </is>
      </c>
      <c r="J73" t="inlineStr">
        <is>
          <t>PALA 09</t>
        </is>
      </c>
      <c r="K73" t="n">
        <v>9</v>
      </c>
      <c r="L73" t="inlineStr">
        <is>
          <t>9-NP-3953-08</t>
        </is>
      </c>
      <c r="M73" t="n">
        <v>3</v>
      </c>
      <c r="N73" t="n">
        <v>3953</v>
      </c>
      <c r="O73" t="inlineStr">
        <is>
          <t>C</t>
        </is>
      </c>
      <c r="P73" t="n">
        <v>30</v>
      </c>
      <c r="Q73" t="inlineStr">
        <is>
          <t>Desmonte</t>
        </is>
      </c>
      <c r="R73" t="inlineStr">
        <is>
          <t>Producción</t>
        </is>
      </c>
      <c r="S73" t="n">
        <v>4</v>
      </c>
      <c r="T73" t="n">
        <v>9.300000000000001</v>
      </c>
      <c r="U73" t="n">
        <v>3</v>
      </c>
      <c r="V73" t="n">
        <v>1.128936198667129</v>
      </c>
      <c r="W73" t="n">
        <v>0.093</v>
      </c>
      <c r="X73" t="n">
        <v>0.151</v>
      </c>
      <c r="Y73" t="n">
        <v>1.1</v>
      </c>
      <c r="Z73" t="n">
        <v>2.9</v>
      </c>
      <c r="AA73" t="n">
        <v>4.9</v>
      </c>
      <c r="AB73" t="n">
        <v>7</v>
      </c>
      <c r="AC73" t="n">
        <v>9.4</v>
      </c>
      <c r="AD73" t="n">
        <v>12</v>
      </c>
      <c r="AE73" t="n">
        <v>15.3</v>
      </c>
      <c r="AF73" t="n">
        <v>19.4</v>
      </c>
      <c r="AG73" t="n">
        <v>26</v>
      </c>
      <c r="AH73" t="n">
        <v>62.1</v>
      </c>
      <c r="AI73" t="n">
        <v>11137.71693358264</v>
      </c>
      <c r="AJ73" t="n">
        <v>634837.5</v>
      </c>
      <c r="AK73" t="n">
        <v>241216</v>
      </c>
      <c r="AL73" t="n">
        <v>0.3799649516608581</v>
      </c>
      <c r="AM73" t="inlineStr">
        <is>
          <t>1.1740917006320515</t>
        </is>
      </c>
      <c r="AN73" t="inlineStr">
        <is>
          <t>17</t>
        </is>
      </c>
      <c r="AO73" t="inlineStr">
        <is>
          <t>7</t>
        </is>
      </c>
      <c r="AP73" t="inlineStr">
        <is>
          <t>12 1/4</t>
        </is>
      </c>
      <c r="AQ73" t="inlineStr">
        <is>
          <t>6</t>
        </is>
      </c>
      <c r="AR73" t="inlineStr">
        <is>
          <t>7</t>
        </is>
      </c>
      <c r="AS73" t="inlineStr">
        <is>
          <t>2</t>
        </is>
      </c>
      <c r="AT73" t="n">
        <v>267</v>
      </c>
      <c r="AU73" t="inlineStr">
        <is>
          <t>Vertex 70</t>
        </is>
      </c>
      <c r="AV73" t="inlineStr">
        <is>
          <t>52AR/48D2</t>
        </is>
      </c>
      <c r="AW73" t="n">
        <v>0.6386607083551693</v>
      </c>
      <c r="AX73" t="n">
        <v>0.6770494218031816</v>
      </c>
      <c r="AY73" t="n">
        <v>0.7149147732686441</v>
      </c>
      <c r="AZ73" t="n">
        <v>0.7517797218144946</v>
      </c>
      <c r="BA73" t="n">
        <v>0.7726848991370574</v>
      </c>
      <c r="BB73" t="n">
        <v>3.661417322834646</v>
      </c>
      <c r="BC73" t="n">
        <v>1.267013192283166</v>
      </c>
      <c r="BD73" t="n">
        <v>2.4630073040693</v>
      </c>
      <c r="BE73" t="n">
        <v>3.731561925772907</v>
      </c>
      <c r="BF73" t="n">
        <v>5.129486635439154</v>
      </c>
      <c r="BG73" t="n">
        <v>6.721834098434549</v>
      </c>
      <c r="BH73" t="n">
        <v>8.607012489070083</v>
      </c>
      <c r="BI73" t="n">
        <v>10.96206484317306</v>
      </c>
      <c r="BJ73" t="n">
        <v>14.17597178447811</v>
      </c>
      <c r="BK73" t="n">
        <v>19.46838188294879</v>
      </c>
      <c r="BL73" t="n">
        <v>51.51799180484359</v>
      </c>
      <c r="BM73" t="inlineStr"/>
      <c r="BN73" t="n">
        <v>11</v>
      </c>
      <c r="BO73" t="n">
        <v>94</v>
      </c>
      <c r="BP73" t="n">
        <v>194</v>
      </c>
      <c r="BQ73" t="n">
        <v>260</v>
      </c>
      <c r="BR73" t="n">
        <v>621</v>
      </c>
      <c r="BS7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4">
      <c r="A74" t="inlineStr">
        <is>
          <t>FRAG</t>
        </is>
      </c>
      <c r="B74" t="inlineStr">
        <is>
          <t>Fragmentación Desmonte 2025.xlsx</t>
        </is>
      </c>
      <c r="C74" t="inlineStr">
        <is>
          <t>ANÁLISIS DE FRAGMENTACIÓN</t>
        </is>
      </c>
      <c r="D74" t="n">
        <v>78</v>
      </c>
      <c r="E74" t="inlineStr">
        <is>
          <t>ROM (fragmentación post-voladura en el frente de carguío, por análisis de fotos)</t>
        </is>
      </c>
      <c r="F74" t="inlineStr"/>
      <c r="G74" t="inlineStr">
        <is>
          <t>no indicada en el archivo</t>
        </is>
      </c>
      <c r="H74" t="inlineStr">
        <is>
          <t>2025-01-27</t>
        </is>
      </c>
      <c r="I74" t="inlineStr">
        <is>
          <t>2025-02-06</t>
        </is>
      </c>
      <c r="J74" t="inlineStr">
        <is>
          <t>PALA 11</t>
        </is>
      </c>
      <c r="K74" t="n">
        <v>10</v>
      </c>
      <c r="L74" t="inlineStr">
        <is>
          <t>10-NP-4433-17</t>
        </is>
      </c>
      <c r="M74" t="n">
        <v>1</v>
      </c>
      <c r="N74" t="n">
        <v>4433</v>
      </c>
      <c r="O74" t="inlineStr">
        <is>
          <t>C</t>
        </is>
      </c>
      <c r="P74" t="n">
        <v>30</v>
      </c>
      <c r="Q74" t="inlineStr">
        <is>
          <t>Desmonte</t>
        </is>
      </c>
      <c r="R74" t="inlineStr">
        <is>
          <t>Producción</t>
        </is>
      </c>
      <c r="S74" t="n">
        <v>13</v>
      </c>
      <c r="T74" t="n">
        <v>7.9</v>
      </c>
      <c r="U74" t="n">
        <v>3</v>
      </c>
      <c r="V74" t="n">
        <v>1.065294540243497</v>
      </c>
      <c r="W74" t="n">
        <v>0.116</v>
      </c>
      <c r="X74" t="n">
        <v>0.185</v>
      </c>
      <c r="Y74" t="n">
        <v>0.7</v>
      </c>
      <c r="Z74" t="n">
        <v>2.2</v>
      </c>
      <c r="AA74" t="n">
        <v>3.9</v>
      </c>
      <c r="AB74" t="n">
        <v>5.8</v>
      </c>
      <c r="AC74" t="n">
        <v>7.9</v>
      </c>
      <c r="AD74" t="n">
        <v>10.5</v>
      </c>
      <c r="AE74" t="n">
        <v>13.5</v>
      </c>
      <c r="AF74" t="n">
        <v>17.6</v>
      </c>
      <c r="AG74" t="n">
        <v>24.1</v>
      </c>
      <c r="AH74" t="n">
        <v>61</v>
      </c>
      <c r="AI74" t="inlineStr"/>
      <c r="AJ74" t="n">
        <v>1434221.25</v>
      </c>
      <c r="AK74" t="n">
        <v>439237</v>
      </c>
      <c r="AL74" t="n">
        <v>0.3062547009396214</v>
      </c>
      <c r="AM74" t="inlineStr">
        <is>
          <t>-</t>
        </is>
      </c>
      <c r="AN74" t="inlineStr">
        <is>
          <t>17</t>
        </is>
      </c>
      <c r="AO74" t="inlineStr">
        <is>
          <t>7</t>
        </is>
      </c>
      <c r="AP74" t="inlineStr">
        <is>
          <t>12 1/4</t>
        </is>
      </c>
      <c r="AQ74" t="inlineStr">
        <is>
          <t>9</t>
        </is>
      </c>
      <c r="AR74" t="inlineStr">
        <is>
          <t>10.35</t>
        </is>
      </c>
      <c r="AS74" t="inlineStr">
        <is>
          <t>2</t>
        </is>
      </c>
      <c r="AT74" t="n">
        <v>472</v>
      </c>
      <c r="AU74" t="inlineStr">
        <is>
          <t>Vertex 70 / Vertex 70 + BEN</t>
        </is>
      </c>
      <c r="AV74" t="inlineStr">
        <is>
          <t>50/50AR</t>
        </is>
      </c>
      <c r="AW74" t="n">
        <v>0.6440806341618899</v>
      </c>
      <c r="AX74" t="n">
        <v>0.6909925818503255</v>
      </c>
      <c r="AY74" t="n">
        <v>0.7368593187145704</v>
      </c>
      <c r="AZ74" t="n">
        <v>0.7807902477810125</v>
      </c>
      <c r="BA74" t="n">
        <v>0.805232964214076</v>
      </c>
      <c r="BB74" t="n">
        <v>3.110236220472441</v>
      </c>
      <c r="BC74" t="n">
        <v>0.95544891392526</v>
      </c>
      <c r="BD74" t="n">
        <v>1.932583692897601</v>
      </c>
      <c r="BE74" t="n">
        <v>3.001525337667481</v>
      </c>
      <c r="BF74" t="n">
        <v>4.205139964177897</v>
      </c>
      <c r="BG74" t="n">
        <v>5.600267269784712</v>
      </c>
      <c r="BH74" t="n">
        <v>7.277587881088624</v>
      </c>
      <c r="BI74" t="n">
        <v>9.403782431193587</v>
      </c>
      <c r="BJ74" t="n">
        <v>12.3490555325777</v>
      </c>
      <c r="BK74" t="n">
        <v>17.28389755559811</v>
      </c>
      <c r="BL74" t="n">
        <v>48.4751314121477</v>
      </c>
      <c r="BM74" t="inlineStr"/>
      <c r="BN74" t="n">
        <v>7</v>
      </c>
      <c r="BO74" t="n">
        <v>79</v>
      </c>
      <c r="BP74" t="n">
        <v>176</v>
      </c>
      <c r="BQ74" t="n">
        <v>241</v>
      </c>
      <c r="BR74" t="n">
        <v>610</v>
      </c>
      <c r="BS7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5">
      <c r="A75" t="inlineStr">
        <is>
          <t>FRAG</t>
        </is>
      </c>
      <c r="B75" t="inlineStr">
        <is>
          <t>Fragmentación Desmonte 2025.xlsx</t>
        </is>
      </c>
      <c r="C75" t="inlineStr">
        <is>
          <t>ANÁLISIS DE FRAGMENTACIÓN</t>
        </is>
      </c>
      <c r="D75" t="n">
        <v>79</v>
      </c>
      <c r="E75" t="inlineStr">
        <is>
          <t>ROM (fragmentación post-voladura en el frente de carguío, por análisis de fotos)</t>
        </is>
      </c>
      <c r="F75" t="inlineStr"/>
      <c r="G75" t="inlineStr">
        <is>
          <t>no indicada en el archivo</t>
        </is>
      </c>
      <c r="H75" t="inlineStr">
        <is>
          <t>2025-01-27</t>
        </is>
      </c>
      <c r="I75" t="inlineStr">
        <is>
          <t>2025-02-07</t>
        </is>
      </c>
      <c r="J75" t="inlineStr">
        <is>
          <t>PALA 11</t>
        </is>
      </c>
      <c r="K75" t="n">
        <v>10</v>
      </c>
      <c r="L75" t="inlineStr">
        <is>
          <t>10-NP-4433-17</t>
        </is>
      </c>
      <c r="M75" t="n">
        <v>1</v>
      </c>
      <c r="N75" t="n">
        <v>4433</v>
      </c>
      <c r="O75" t="inlineStr">
        <is>
          <t>C</t>
        </is>
      </c>
      <c r="P75" t="n">
        <v>30</v>
      </c>
      <c r="Q75" t="inlineStr">
        <is>
          <t>Desmonte</t>
        </is>
      </c>
      <c r="R75" t="inlineStr">
        <is>
          <t>Producción</t>
        </is>
      </c>
      <c r="S75" t="n">
        <v>4</v>
      </c>
      <c r="T75" t="n">
        <v>12</v>
      </c>
      <c r="U75" t="n">
        <v>3</v>
      </c>
      <c r="V75" t="n">
        <v>1.109355367538517</v>
      </c>
      <c r="W75" t="n">
        <v>0.103</v>
      </c>
      <c r="X75" t="n">
        <v>0.154</v>
      </c>
      <c r="Y75" t="n">
        <v>0.9</v>
      </c>
      <c r="Z75" t="n">
        <v>3</v>
      </c>
      <c r="AA75" t="n">
        <v>5.6</v>
      </c>
      <c r="AB75" t="n">
        <v>8.6</v>
      </c>
      <c r="AC75" t="n">
        <v>12.1</v>
      </c>
      <c r="AD75" t="n">
        <v>16.1</v>
      </c>
      <c r="AE75" t="n">
        <v>20.9</v>
      </c>
      <c r="AF75" t="n">
        <v>27.2</v>
      </c>
      <c r="AG75" t="n">
        <v>37</v>
      </c>
      <c r="AH75" t="n">
        <v>83.59999999999999</v>
      </c>
      <c r="AI75" t="inlineStr"/>
      <c r="AJ75" t="n">
        <v>1434221.25</v>
      </c>
      <c r="AK75" t="n">
        <v>439237</v>
      </c>
      <c r="AL75" t="n">
        <v>0.3062547009396214</v>
      </c>
      <c r="AM75" t="inlineStr">
        <is>
          <t>-</t>
        </is>
      </c>
      <c r="AN75" t="inlineStr">
        <is>
          <t>17</t>
        </is>
      </c>
      <c r="AO75" t="inlineStr">
        <is>
          <t>7</t>
        </is>
      </c>
      <c r="AP75" t="inlineStr">
        <is>
          <t>12 1/4</t>
        </is>
      </c>
      <c r="AQ75" t="inlineStr">
        <is>
          <t>9</t>
        </is>
      </c>
      <c r="AR75" t="inlineStr">
        <is>
          <t>10.35</t>
        </is>
      </c>
      <c r="AS75" t="inlineStr">
        <is>
          <t>2</t>
        </is>
      </c>
      <c r="AT75" t="n">
        <v>472</v>
      </c>
      <c r="AU75" t="inlineStr">
        <is>
          <t>Vertex 70 / Vertex 70 + BEN</t>
        </is>
      </c>
      <c r="AV75" t="inlineStr">
        <is>
          <t>50/50AR</t>
        </is>
      </c>
      <c r="AW75" t="n">
        <v>0.6397816880799256</v>
      </c>
      <c r="AX75" t="n">
        <v>0.6789202848094712</v>
      </c>
      <c r="AY75" t="n">
        <v>0.717490699852148</v>
      </c>
      <c r="AZ75" t="n">
        <v>0.7549856492009059</v>
      </c>
      <c r="BA75" t="n">
        <v>0.7762125573446654</v>
      </c>
      <c r="BB75" t="n">
        <v>4.724409448818897</v>
      </c>
      <c r="BC75" t="n">
        <v>1.578335206908202</v>
      </c>
      <c r="BD75" t="n">
        <v>3.104411432135666</v>
      </c>
      <c r="BE75" t="n">
        <v>4.737932217293358</v>
      </c>
      <c r="BF75" t="n">
        <v>6.549544772831061</v>
      </c>
      <c r="BG75" t="n">
        <v>8.623775304267717</v>
      </c>
      <c r="BH75" t="n">
        <v>11.09065333399291</v>
      </c>
      <c r="BI75" t="n">
        <v>14.18571028672716</v>
      </c>
      <c r="BJ75" t="n">
        <v>18.42817968433159</v>
      </c>
      <c r="BK75" t="n">
        <v>25.45020629620061</v>
      </c>
      <c r="BL75" t="n">
        <v>68.51411452118316</v>
      </c>
      <c r="BM75" t="inlineStr"/>
      <c r="BN75" t="n">
        <v>9</v>
      </c>
      <c r="BO75" t="n">
        <v>121</v>
      </c>
      <c r="BP75" t="n">
        <v>272</v>
      </c>
      <c r="BQ75" t="n">
        <v>370</v>
      </c>
      <c r="BR75" t="n">
        <v>836</v>
      </c>
      <c r="BS7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6">
      <c r="A76" t="inlineStr">
        <is>
          <t>FRAG</t>
        </is>
      </c>
      <c r="B76" t="inlineStr">
        <is>
          <t>Fragmentación Desmonte 2025.xlsx</t>
        </is>
      </c>
      <c r="C76" t="inlineStr">
        <is>
          <t>ANÁLISIS DE FRAGMENTACIÓN</t>
        </is>
      </c>
      <c r="D76" t="n">
        <v>80</v>
      </c>
      <c r="E76" t="inlineStr">
        <is>
          <t>ROM (fragmentación post-voladura en el frente de carguío, por análisis de fotos)</t>
        </is>
      </c>
      <c r="F76" t="inlineStr"/>
      <c r="G76" t="inlineStr">
        <is>
          <t>no indicada en el archivo</t>
        </is>
      </c>
      <c r="H76" t="inlineStr">
        <is>
          <t>2025-01-28</t>
        </is>
      </c>
      <c r="I76" t="inlineStr">
        <is>
          <t>2025-02-07</t>
        </is>
      </c>
      <c r="J76" t="inlineStr">
        <is>
          <t>SP</t>
        </is>
      </c>
      <c r="K76" t="n">
        <v>8</v>
      </c>
      <c r="L76" t="inlineStr">
        <is>
          <t>8-NP-3758-12</t>
        </is>
      </c>
      <c r="M76" t="n">
        <v>1</v>
      </c>
      <c r="N76" t="n">
        <v>3758</v>
      </c>
      <c r="O76" t="inlineStr">
        <is>
          <t>A</t>
        </is>
      </c>
      <c r="P76" t="n">
        <v>30</v>
      </c>
      <c r="Q76" t="inlineStr">
        <is>
          <t>Desmonte</t>
        </is>
      </c>
      <c r="R76" t="inlineStr">
        <is>
          <t>Producción</t>
        </is>
      </c>
      <c r="S76" t="n">
        <v>10</v>
      </c>
      <c r="T76" t="n">
        <v>4.2</v>
      </c>
      <c r="U76" t="n">
        <v>2</v>
      </c>
      <c r="V76" t="n">
        <v>0.6982449959811813</v>
      </c>
      <c r="W76" t="n">
        <v>0.218</v>
      </c>
      <c r="X76" t="n">
        <v>0.321</v>
      </c>
      <c r="Y76" t="n">
        <v>0.2</v>
      </c>
      <c r="Z76" t="n">
        <v>0.8</v>
      </c>
      <c r="AA76" t="n">
        <v>1.7</v>
      </c>
      <c r="AB76" t="n">
        <v>2.9</v>
      </c>
      <c r="AC76" t="n">
        <v>4.3</v>
      </c>
      <c r="AD76" t="n">
        <v>6</v>
      </c>
      <c r="AE76" t="n">
        <v>8.1</v>
      </c>
      <c r="AF76" t="n">
        <v>11</v>
      </c>
      <c r="AG76" t="n">
        <v>15.5</v>
      </c>
      <c r="AH76" t="n">
        <v>34.9</v>
      </c>
      <c r="AI76" t="inlineStr"/>
      <c r="AJ76" t="n">
        <v>237558.75</v>
      </c>
      <c r="AK76" t="n">
        <v>56136</v>
      </c>
      <c r="AL76" t="n">
        <v>0.236303651202071</v>
      </c>
      <c r="AM76" t="inlineStr">
        <is>
          <t>-</t>
        </is>
      </c>
      <c r="AN76" t="inlineStr">
        <is>
          <t>16.5</t>
        </is>
      </c>
      <c r="AO76" t="inlineStr">
        <is>
          <t>6.5</t>
        </is>
      </c>
      <c r="AP76" t="inlineStr">
        <is>
          <t>12 1/4</t>
        </is>
      </c>
      <c r="AQ76" t="inlineStr">
        <is>
          <t>6</t>
        </is>
      </c>
      <c r="AR76" t="inlineStr">
        <is>
          <t>7</t>
        </is>
      </c>
      <c r="AS76" t="inlineStr">
        <is>
          <t>1.5</t>
        </is>
      </c>
      <c r="AT76" t="n">
        <v>66</v>
      </c>
      <c r="AU76" t="inlineStr">
        <is>
          <t>Vertex 100</t>
        </is>
      </c>
      <c r="AV76" t="inlineStr">
        <is>
          <t>-</t>
        </is>
      </c>
      <c r="AW76" t="n">
        <v>0.7023087040868039</v>
      </c>
      <c r="AX76" t="n">
        <v>0.7798946004120557</v>
      </c>
      <c r="AY76" t="n">
        <v>0.8490556668078576</v>
      </c>
      <c r="AZ76" t="n">
        <v>0.9057717458524124</v>
      </c>
      <c r="BA76" t="n">
        <v>0.93214402429087</v>
      </c>
      <c r="BB76" t="n">
        <v>1.653543307086614</v>
      </c>
      <c r="BC76" t="n">
        <v>0.1673268475643846</v>
      </c>
      <c r="BD76" t="n">
        <v>0.4901358734421374</v>
      </c>
      <c r="BE76" t="n">
        <v>0.9594693194133772</v>
      </c>
      <c r="BF76" t="n">
        <v>1.604901854192607</v>
      </c>
      <c r="BG76" t="n">
        <v>2.484766326793128</v>
      </c>
      <c r="BH76" t="n">
        <v>3.70573887724584</v>
      </c>
      <c r="BI76" t="n">
        <v>5.479052194674853</v>
      </c>
      <c r="BJ76" t="n">
        <v>8.303100224532233</v>
      </c>
      <c r="BK76" t="n">
        <v>13.86758579842013</v>
      </c>
      <c r="BL76" t="n">
        <v>66.88301251039016</v>
      </c>
      <c r="BM76" t="inlineStr"/>
      <c r="BN76" t="n">
        <v>2</v>
      </c>
      <c r="BO76" t="n">
        <v>43</v>
      </c>
      <c r="BP76" t="n">
        <v>110</v>
      </c>
      <c r="BQ76" t="n">
        <v>155</v>
      </c>
      <c r="BR76" t="n">
        <v>349</v>
      </c>
      <c r="BS7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7">
      <c r="A77" t="inlineStr">
        <is>
          <t>FRAG</t>
        </is>
      </c>
      <c r="B77" t="inlineStr">
        <is>
          <t>Fragmentación Desmonte 2025.xlsx</t>
        </is>
      </c>
      <c r="C77" t="inlineStr">
        <is>
          <t>ANÁLISIS DE FRAGMENTACIÓN</t>
        </is>
      </c>
      <c r="D77" t="n">
        <v>81</v>
      </c>
      <c r="E77" t="inlineStr">
        <is>
          <t>ROM (fragmentación post-voladura en el frente de carguío, por análisis de fotos)</t>
        </is>
      </c>
      <c r="F77" t="inlineStr"/>
      <c r="G77" t="inlineStr">
        <is>
          <t>no indicada en el archivo</t>
        </is>
      </c>
      <c r="H77" t="inlineStr">
        <is>
          <t>2025-01-20</t>
        </is>
      </c>
      <c r="I77" t="inlineStr">
        <is>
          <t>2025-02-07</t>
        </is>
      </c>
      <c r="J77" t="inlineStr">
        <is>
          <t>PALA 07</t>
        </is>
      </c>
      <c r="K77" t="n">
        <v>8</v>
      </c>
      <c r="L77" t="inlineStr">
        <is>
          <t>8-NP-3758-04</t>
        </is>
      </c>
      <c r="M77" t="n">
        <v>6</v>
      </c>
      <c r="N77" t="n">
        <v>3758</v>
      </c>
      <c r="O77" t="inlineStr">
        <is>
          <t>A</t>
        </is>
      </c>
      <c r="P77" t="n">
        <v>30</v>
      </c>
      <c r="Q77" t="inlineStr">
        <is>
          <t>Desmonte</t>
        </is>
      </c>
      <c r="R77" t="inlineStr">
        <is>
          <t>Producción</t>
        </is>
      </c>
      <c r="S77" t="n">
        <v>5</v>
      </c>
      <c r="T77" t="n">
        <v>5.7</v>
      </c>
      <c r="U77" t="n">
        <v>2</v>
      </c>
      <c r="V77" t="n">
        <v>0.6014612011833338</v>
      </c>
      <c r="W77" t="n">
        <v>0.245</v>
      </c>
      <c r="X77" t="n">
        <v>0.326</v>
      </c>
      <c r="Y77" t="n">
        <v>0.1</v>
      </c>
      <c r="Z77" t="n">
        <v>0.5</v>
      </c>
      <c r="AA77" t="n">
        <v>1.6</v>
      </c>
      <c r="AB77" t="n">
        <v>3.3</v>
      </c>
      <c r="AC77" t="n">
        <v>5.7</v>
      </c>
      <c r="AD77" t="n">
        <v>9.1</v>
      </c>
      <c r="AE77" t="n">
        <v>13.8</v>
      </c>
      <c r="AF77" t="n">
        <v>20.5</v>
      </c>
      <c r="AG77" t="n">
        <v>31.7</v>
      </c>
      <c r="AH77" t="n">
        <v>79.59999999999999</v>
      </c>
      <c r="AI77" t="inlineStr"/>
      <c r="AJ77" t="n">
        <v>1105665</v>
      </c>
      <c r="AK77" t="n">
        <v>574504</v>
      </c>
      <c r="AL77" t="n">
        <v>0.5196004214658146</v>
      </c>
      <c r="AM77" t="inlineStr">
        <is>
          <t>1.6055653023293672</t>
        </is>
      </c>
      <c r="AN77" t="inlineStr">
        <is>
          <t>16.5</t>
        </is>
      </c>
      <c r="AO77" t="inlineStr">
        <is>
          <t>6.5</t>
        </is>
      </c>
      <c r="AP77" t="inlineStr">
        <is>
          <t>12 1/4</t>
        </is>
      </c>
      <c r="AQ77" t="inlineStr">
        <is>
          <t>7</t>
        </is>
      </c>
      <c r="AR77" t="inlineStr">
        <is>
          <t>8</t>
        </is>
      </c>
      <c r="AS77" t="inlineStr">
        <is>
          <t>1.5</t>
        </is>
      </c>
      <c r="AT77" t="n">
        <v>668</v>
      </c>
      <c r="AU77" t="inlineStr">
        <is>
          <t>Vertex 70</t>
        </is>
      </c>
      <c r="AV77" t="inlineStr">
        <is>
          <t>51AR/49D2</t>
        </is>
      </c>
      <c r="AW77" t="n">
        <v>0.7208217945774829</v>
      </c>
      <c r="AX77" t="n">
        <v>0.7979800882222575</v>
      </c>
      <c r="AY77" t="n">
        <v>0.8653244788421959</v>
      </c>
      <c r="AZ77" t="n">
        <v>0.9189907539769312</v>
      </c>
      <c r="BA77" t="n">
        <v>0.9432071701131086</v>
      </c>
      <c r="BB77" t="n">
        <v>2.244094488188976</v>
      </c>
      <c r="BC77" t="n">
        <v>0.1351953878734902</v>
      </c>
      <c r="BD77" t="n">
        <v>0.4707818296592121</v>
      </c>
      <c r="BE77" t="n">
        <v>1.026775239992432</v>
      </c>
      <c r="BF77" t="n">
        <v>1.865708794791825</v>
      </c>
      <c r="BG77" t="n">
        <v>3.099049121809411</v>
      </c>
      <c r="BH77" t="n">
        <v>4.928908322229217</v>
      </c>
      <c r="BI77" t="n">
        <v>7.760854915867831</v>
      </c>
      <c r="BJ77" t="n">
        <v>12.57462582929455</v>
      </c>
      <c r="BK77" t="n">
        <v>22.80872701799323</v>
      </c>
      <c r="BL77" t="n">
        <v>141.7004598748181</v>
      </c>
      <c r="BM77" t="inlineStr"/>
      <c r="BN77" t="n">
        <v>1</v>
      </c>
      <c r="BO77" t="n">
        <v>57</v>
      </c>
      <c r="BP77" t="n">
        <v>205</v>
      </c>
      <c r="BQ77" t="n">
        <v>317</v>
      </c>
      <c r="BR77" t="n">
        <v>796</v>
      </c>
      <c r="BS7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8">
      <c r="A78" t="inlineStr">
        <is>
          <t>FRAG</t>
        </is>
      </c>
      <c r="B78" t="inlineStr">
        <is>
          <t>Fragmentación Desmonte 2025.xlsx</t>
        </is>
      </c>
      <c r="C78" t="inlineStr">
        <is>
          <t>ANÁLISIS DE FRAGMENTACIÓN</t>
        </is>
      </c>
      <c r="D78" t="n">
        <v>82</v>
      </c>
      <c r="E78" t="inlineStr">
        <is>
          <t>ROM (fragmentación post-voladura en el frente de carguío, por análisis de fotos)</t>
        </is>
      </c>
      <c r="F78" t="inlineStr"/>
      <c r="G78" t="inlineStr">
        <is>
          <t>no indicada en el archivo</t>
        </is>
      </c>
      <c r="H78" t="inlineStr">
        <is>
          <t>2025-01-27</t>
        </is>
      </c>
      <c r="I78" t="inlineStr">
        <is>
          <t>2025-02-07</t>
        </is>
      </c>
      <c r="J78" t="inlineStr">
        <is>
          <t>PALA 11</t>
        </is>
      </c>
      <c r="K78" t="n">
        <v>10</v>
      </c>
      <c r="L78" t="inlineStr">
        <is>
          <t>10-NP-4433-17</t>
        </is>
      </c>
      <c r="M78" t="n">
        <v>1</v>
      </c>
      <c r="N78" t="n">
        <v>4433</v>
      </c>
      <c r="O78" t="inlineStr">
        <is>
          <t>C</t>
        </is>
      </c>
      <c r="P78" t="n">
        <v>30</v>
      </c>
      <c r="Q78" t="inlineStr">
        <is>
          <t>Desmonte</t>
        </is>
      </c>
      <c r="R78" t="inlineStr">
        <is>
          <t>Producción</t>
        </is>
      </c>
      <c r="S78" t="n">
        <v>9</v>
      </c>
      <c r="T78" t="n">
        <v>13.1</v>
      </c>
      <c r="U78" t="n">
        <v>2.8</v>
      </c>
      <c r="V78" t="n">
        <v>1.056119016989508</v>
      </c>
      <c r="W78" t="n">
        <v>0.077</v>
      </c>
      <c r="X78" t="n">
        <v>0.122</v>
      </c>
      <c r="Y78" t="n">
        <v>1.4</v>
      </c>
      <c r="Z78" t="n">
        <v>4</v>
      </c>
      <c r="AA78" t="n">
        <v>6.8</v>
      </c>
      <c r="AB78" t="n">
        <v>9.800000000000001</v>
      </c>
      <c r="AC78" t="n">
        <v>13.2</v>
      </c>
      <c r="AD78" t="n">
        <v>17</v>
      </c>
      <c r="AE78" t="n">
        <v>21.6</v>
      </c>
      <c r="AF78" t="n">
        <v>27.5</v>
      </c>
      <c r="AG78" t="n">
        <v>36.7</v>
      </c>
      <c r="AH78" t="n">
        <v>86.7</v>
      </c>
      <c r="AI78" t="inlineStr"/>
      <c r="AJ78" t="n">
        <v>1434221.25</v>
      </c>
      <c r="AK78" t="n">
        <v>439237</v>
      </c>
      <c r="AL78" t="n">
        <v>0.3062547009396214</v>
      </c>
      <c r="AM78" t="inlineStr">
        <is>
          <t>-</t>
        </is>
      </c>
      <c r="AN78" t="inlineStr">
        <is>
          <t>17</t>
        </is>
      </c>
      <c r="AO78" t="inlineStr">
        <is>
          <t>7</t>
        </is>
      </c>
      <c r="AP78" t="inlineStr">
        <is>
          <t>12 1/4</t>
        </is>
      </c>
      <c r="AQ78" t="inlineStr">
        <is>
          <t>9</t>
        </is>
      </c>
      <c r="AR78" t="inlineStr">
        <is>
          <t>10.35</t>
        </is>
      </c>
      <c r="AS78" t="inlineStr">
        <is>
          <t>2</t>
        </is>
      </c>
      <c r="AT78" t="n">
        <v>472</v>
      </c>
      <c r="AU78" t="inlineStr">
        <is>
          <t>Vertex 70 / Vertex 70 + BEN</t>
        </is>
      </c>
      <c r="AV78" t="inlineStr">
        <is>
          <t>50/50AR</t>
        </is>
      </c>
      <c r="AW78" t="n">
        <v>0.6403966856901639</v>
      </c>
      <c r="AX78" t="n">
        <v>0.6714295645802502</v>
      </c>
      <c r="AY78" t="n">
        <v>0.7021657763109497</v>
      </c>
      <c r="AZ78" t="n">
        <v>0.7323564172820735</v>
      </c>
      <c r="BA78" t="n">
        <v>0.7496613702652266</v>
      </c>
      <c r="BB78" t="n">
        <v>5.15748031496063</v>
      </c>
      <c r="BC78" t="n">
        <v>1.555539943413798</v>
      </c>
      <c r="BD78" t="n">
        <v>3.165701215197444</v>
      </c>
      <c r="BE78" t="n">
        <v>4.935541373914048</v>
      </c>
      <c r="BF78" t="n">
        <v>6.934984429181954</v>
      </c>
      <c r="BG78" t="n">
        <v>9.2588024375769</v>
      </c>
      <c r="BH78" t="n">
        <v>12.05929799454181</v>
      </c>
      <c r="BI78" t="n">
        <v>15.61723850191343</v>
      </c>
      <c r="BJ78" t="n">
        <v>20.55717678333094</v>
      </c>
      <c r="BK78" t="n">
        <v>28.85625201201774</v>
      </c>
      <c r="BL78" t="n">
        <v>81.65981193498683</v>
      </c>
      <c r="BM78" t="inlineStr"/>
      <c r="BN78" t="n">
        <v>14</v>
      </c>
      <c r="BO78" t="n">
        <v>132</v>
      </c>
      <c r="BP78" t="n">
        <v>275</v>
      </c>
      <c r="BQ78" t="n">
        <v>367</v>
      </c>
      <c r="BR78" t="n">
        <v>867</v>
      </c>
      <c r="BS7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79">
      <c r="A79" t="inlineStr">
        <is>
          <t>FRAG</t>
        </is>
      </c>
      <c r="B79" t="inlineStr">
        <is>
          <t>Fragmentación Desmonte 2025.xlsx</t>
        </is>
      </c>
      <c r="C79" t="inlineStr">
        <is>
          <t>ANÁLISIS DE FRAGMENTACIÓN</t>
        </is>
      </c>
      <c r="D79" t="n">
        <v>83</v>
      </c>
      <c r="E79" t="inlineStr">
        <is>
          <t>ROM (fragmentación post-voladura en el frente de carguío, por análisis de fotos)</t>
        </is>
      </c>
      <c r="F79" t="inlineStr"/>
      <c r="G79" t="inlineStr">
        <is>
          <t>no indicada en el archivo</t>
        </is>
      </c>
      <c r="H79" t="inlineStr">
        <is>
          <t>2025-01-27</t>
        </is>
      </c>
      <c r="I79" t="inlineStr">
        <is>
          <t>2025-02-08</t>
        </is>
      </c>
      <c r="J79" t="inlineStr">
        <is>
          <t>PALA 11</t>
        </is>
      </c>
      <c r="K79" t="n">
        <v>10</v>
      </c>
      <c r="L79" t="inlineStr">
        <is>
          <t>10-NP-4433-17</t>
        </is>
      </c>
      <c r="M79" t="n">
        <v>1</v>
      </c>
      <c r="N79" t="n">
        <v>4433</v>
      </c>
      <c r="O79" t="inlineStr">
        <is>
          <t>C</t>
        </is>
      </c>
      <c r="P79" t="n">
        <v>30</v>
      </c>
      <c r="Q79" t="inlineStr">
        <is>
          <t>Desmonte</t>
        </is>
      </c>
      <c r="R79" t="inlineStr">
        <is>
          <t>Producción</t>
        </is>
      </c>
      <c r="S79" t="n">
        <v>7</v>
      </c>
      <c r="T79" t="n">
        <v>10.3</v>
      </c>
      <c r="U79" t="n">
        <v>3</v>
      </c>
      <c r="V79" t="n">
        <v>1.187956773865349</v>
      </c>
      <c r="W79" t="n">
        <v>0.08</v>
      </c>
      <c r="X79" t="n">
        <v>0.132</v>
      </c>
      <c r="Y79" t="n">
        <v>1.3</v>
      </c>
      <c r="Z79" t="n">
        <v>3.4</v>
      </c>
      <c r="AA79" t="n">
        <v>5.6</v>
      </c>
      <c r="AB79" t="n">
        <v>7.9</v>
      </c>
      <c r="AC79" t="n">
        <v>10.4</v>
      </c>
      <c r="AD79" t="n">
        <v>13.1</v>
      </c>
      <c r="AE79" t="n">
        <v>16.4</v>
      </c>
      <c r="AF79" t="n">
        <v>20.6</v>
      </c>
      <c r="AG79" t="n">
        <v>27.1</v>
      </c>
      <c r="AH79" t="n">
        <v>60.9</v>
      </c>
      <c r="AI79" t="inlineStr"/>
      <c r="AJ79" t="n">
        <v>1434221.25</v>
      </c>
      <c r="AK79" t="n">
        <v>439237</v>
      </c>
      <c r="AL79" t="n">
        <v>0.3062547009396214</v>
      </c>
      <c r="AM79" t="inlineStr">
        <is>
          <t>-</t>
        </is>
      </c>
      <c r="AN79" t="inlineStr">
        <is>
          <t>17</t>
        </is>
      </c>
      <c r="AO79" t="inlineStr">
        <is>
          <t>7</t>
        </is>
      </c>
      <c r="AP79" t="inlineStr">
        <is>
          <t>12 1/4</t>
        </is>
      </c>
      <c r="AQ79" t="inlineStr">
        <is>
          <t>9</t>
        </is>
      </c>
      <c r="AR79" t="inlineStr">
        <is>
          <t>10.35</t>
        </is>
      </c>
      <c r="AS79" t="inlineStr">
        <is>
          <t>2</t>
        </is>
      </c>
      <c r="AT79" t="n">
        <v>472</v>
      </c>
      <c r="AU79" t="inlineStr">
        <is>
          <t>Vertex 70 / Vertex 70 + BEN</t>
        </is>
      </c>
      <c r="AV79" t="inlineStr">
        <is>
          <t>50/50AR</t>
        </is>
      </c>
      <c r="AW79" t="n">
        <v>0.6353634596112117</v>
      </c>
      <c r="AX79" t="n">
        <v>0.6689594171710596</v>
      </c>
      <c r="AY79" t="n">
        <v>0.7022305003024993</v>
      </c>
      <c r="AZ79" t="n">
        <v>0.7348621410578506</v>
      </c>
      <c r="BA79" t="n">
        <v>0.7535240927104296</v>
      </c>
      <c r="BB79" t="n">
        <v>4.05511811023622</v>
      </c>
      <c r="BC79" t="n">
        <v>1.549335884148588</v>
      </c>
      <c r="BD79" t="n">
        <v>2.913986886271425</v>
      </c>
      <c r="BE79" t="n">
        <v>4.324626417617138</v>
      </c>
      <c r="BF79" t="n">
        <v>5.85149134810795</v>
      </c>
      <c r="BG79" t="n">
        <v>7.565663954332398</v>
      </c>
      <c r="BH79" t="n">
        <v>9.569242378018281</v>
      </c>
      <c r="BI79" t="n">
        <v>12.04200628873692</v>
      </c>
      <c r="BJ79" t="n">
        <v>15.37488088573049</v>
      </c>
      <c r="BK79" t="n">
        <v>20.7846961409055</v>
      </c>
      <c r="BL79" t="n">
        <v>52.40533616300407</v>
      </c>
      <c r="BM79" t="inlineStr"/>
      <c r="BN79" t="n">
        <v>13</v>
      </c>
      <c r="BO79" t="n">
        <v>104</v>
      </c>
      <c r="BP79" t="n">
        <v>206</v>
      </c>
      <c r="BQ79" t="n">
        <v>271</v>
      </c>
      <c r="BR79" t="n">
        <v>609</v>
      </c>
      <c r="BS7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0">
      <c r="A80" t="inlineStr">
        <is>
          <t>FRAG</t>
        </is>
      </c>
      <c r="B80" t="inlineStr">
        <is>
          <t>Fragmentación Desmonte 2025.xlsx</t>
        </is>
      </c>
      <c r="C80" t="inlineStr">
        <is>
          <t>ANÁLISIS DE FRAGMENTACIÓN</t>
        </is>
      </c>
      <c r="D80" t="n">
        <v>84</v>
      </c>
      <c r="E80" t="inlineStr">
        <is>
          <t>ROM (fragmentación post-voladura en el frente de carguío, por análisis de fotos)</t>
        </is>
      </c>
      <c r="F80" t="inlineStr"/>
      <c r="G80" t="inlineStr">
        <is>
          <t>no indicada en el archivo</t>
        </is>
      </c>
      <c r="H80" t="inlineStr">
        <is>
          <t>2025-01-27</t>
        </is>
      </c>
      <c r="I80" t="inlineStr">
        <is>
          <t>2025-02-08</t>
        </is>
      </c>
      <c r="J80" t="inlineStr">
        <is>
          <t>PALA 06</t>
        </is>
      </c>
      <c r="K80" t="n">
        <v>10</v>
      </c>
      <c r="L80" t="inlineStr">
        <is>
          <t>10-NP-4433-17</t>
        </is>
      </c>
      <c r="M80" t="n">
        <v>2</v>
      </c>
      <c r="N80" t="n">
        <v>4433</v>
      </c>
      <c r="O80" t="inlineStr">
        <is>
          <t>A</t>
        </is>
      </c>
      <c r="P80" t="n">
        <v>30</v>
      </c>
      <c r="Q80" t="inlineStr">
        <is>
          <t>Desmonte</t>
        </is>
      </c>
      <c r="R80" t="inlineStr">
        <is>
          <t>Producción</t>
        </is>
      </c>
      <c r="S80" t="n">
        <v>3</v>
      </c>
      <c r="T80" t="n">
        <v>14.4</v>
      </c>
      <c r="U80" t="n">
        <v>3</v>
      </c>
      <c r="V80" t="n">
        <v>1.293750042501354</v>
      </c>
      <c r="W80" t="n">
        <v>0.07099999999999999</v>
      </c>
      <c r="X80" t="n">
        <v>0.11</v>
      </c>
      <c r="Y80" t="n">
        <v>1.7</v>
      </c>
      <c r="Z80" t="n">
        <v>4.6</v>
      </c>
      <c r="AA80" t="n">
        <v>7.7</v>
      </c>
      <c r="AB80" t="n">
        <v>11</v>
      </c>
      <c r="AC80" t="n">
        <v>14.4</v>
      </c>
      <c r="AD80" t="n">
        <v>18.2</v>
      </c>
      <c r="AE80" t="n">
        <v>22.7</v>
      </c>
      <c r="AF80" t="n">
        <v>28.2</v>
      </c>
      <c r="AG80" t="n">
        <v>36.3</v>
      </c>
      <c r="AH80" t="n">
        <v>70.90000000000001</v>
      </c>
      <c r="AI80" t="inlineStr"/>
      <c r="AJ80" t="n">
        <v>1434221.25</v>
      </c>
      <c r="AK80" t="n">
        <v>439237</v>
      </c>
      <c r="AL80" t="n">
        <v>0.3062547009396214</v>
      </c>
      <c r="AM80" t="inlineStr">
        <is>
          <t>-</t>
        </is>
      </c>
      <c r="AN80" t="inlineStr">
        <is>
          <t>17</t>
        </is>
      </c>
      <c r="AO80" t="inlineStr">
        <is>
          <t>7</t>
        </is>
      </c>
      <c r="AP80" t="inlineStr">
        <is>
          <t>12 1/4</t>
        </is>
      </c>
      <c r="AQ80" t="inlineStr">
        <is>
          <t>9</t>
        </is>
      </c>
      <c r="AR80" t="inlineStr">
        <is>
          <t>10.35</t>
        </is>
      </c>
      <c r="AS80" t="inlineStr">
        <is>
          <t>2</t>
        </is>
      </c>
      <c r="AT80" t="n">
        <v>472</v>
      </c>
      <c r="AU80" t="inlineStr">
        <is>
          <t>Vertex 70 / Vertex 70 + BEN</t>
        </is>
      </c>
      <c r="AV80" t="inlineStr">
        <is>
          <t>50/50AR</t>
        </is>
      </c>
      <c r="AW80" t="n">
        <v>0.6313707871478731</v>
      </c>
      <c r="AX80" t="n">
        <v>0.6593946862908926</v>
      </c>
      <c r="AY80" t="n">
        <v>0.6872534526982025</v>
      </c>
      <c r="AZ80" t="n">
        <v>0.7147684790737399</v>
      </c>
      <c r="BA80" t="n">
        <v>0.7306303454395198</v>
      </c>
      <c r="BB80" t="n">
        <v>5.669291338582677</v>
      </c>
      <c r="BC80" t="n">
        <v>2.528974550196137</v>
      </c>
      <c r="BD80" t="n">
        <v>4.517028390279465</v>
      </c>
      <c r="BE80" t="n">
        <v>6.490722123767883</v>
      </c>
      <c r="BF80" t="n">
        <v>8.56786823582536</v>
      </c>
      <c r="BG80" t="n">
        <v>10.84748444600411</v>
      </c>
      <c r="BH80" t="n">
        <v>13.45910702836837</v>
      </c>
      <c r="BI80" t="n">
        <v>16.62167925026127</v>
      </c>
      <c r="BJ80" t="n">
        <v>20.80226775217876</v>
      </c>
      <c r="BK80" t="n">
        <v>27.43695822942661</v>
      </c>
      <c r="BL80" t="n">
        <v>64.13946389650937</v>
      </c>
      <c r="BM80" t="inlineStr"/>
      <c r="BN80" t="n">
        <v>17</v>
      </c>
      <c r="BO80" t="n">
        <v>144</v>
      </c>
      <c r="BP80" t="n">
        <v>282</v>
      </c>
      <c r="BQ80" t="n">
        <v>363</v>
      </c>
      <c r="BR80" t="n">
        <v>709</v>
      </c>
      <c r="BS8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1">
      <c r="A81" t="inlineStr">
        <is>
          <t>FRAG</t>
        </is>
      </c>
      <c r="B81" t="inlineStr">
        <is>
          <t>Fragmentación Desmonte 2025.xlsx</t>
        </is>
      </c>
      <c r="C81" t="inlineStr">
        <is>
          <t>ANÁLISIS DE FRAGMENTACIÓN</t>
        </is>
      </c>
      <c r="D81" t="n">
        <v>85</v>
      </c>
      <c r="E81" t="inlineStr">
        <is>
          <t>ROM (fragmentación post-voladura en el frente de carguío, por análisis de fotos)</t>
        </is>
      </c>
      <c r="F81" t="inlineStr"/>
      <c r="G81" t="inlineStr">
        <is>
          <t>no indicada en el archivo</t>
        </is>
      </c>
      <c r="H81" t="inlineStr">
        <is>
          <t>2025-02-03</t>
        </is>
      </c>
      <c r="I81" t="inlineStr">
        <is>
          <t>2025-02-09</t>
        </is>
      </c>
      <c r="J81" t="inlineStr">
        <is>
          <t>PALA 11</t>
        </is>
      </c>
      <c r="K81" t="n">
        <v>10</v>
      </c>
      <c r="L81" t="inlineStr">
        <is>
          <t>10-NP-4433-19</t>
        </is>
      </c>
      <c r="M81" t="n">
        <v>4</v>
      </c>
      <c r="N81" t="n">
        <v>4433</v>
      </c>
      <c r="O81" t="inlineStr">
        <is>
          <t>C</t>
        </is>
      </c>
      <c r="P81" t="n">
        <v>30</v>
      </c>
      <c r="Q81" t="inlineStr">
        <is>
          <t>Desmonte</t>
        </is>
      </c>
      <c r="R81" t="inlineStr">
        <is>
          <t>Producción</t>
        </is>
      </c>
      <c r="S81" t="n">
        <v>6</v>
      </c>
      <c r="T81" t="n">
        <v>7.9</v>
      </c>
      <c r="U81" t="n">
        <v>3</v>
      </c>
      <c r="V81" t="n">
        <v>0.9530393337768368</v>
      </c>
      <c r="W81" t="n">
        <v>0.153</v>
      </c>
      <c r="X81" t="n">
        <v>0.225</v>
      </c>
      <c r="Y81" t="n">
        <v>0.4</v>
      </c>
      <c r="Z81" t="n">
        <v>1.6</v>
      </c>
      <c r="AA81" t="n">
        <v>3.2</v>
      </c>
      <c r="AB81" t="n">
        <v>5.3</v>
      </c>
      <c r="AC81" t="n">
        <v>7.9</v>
      </c>
      <c r="AD81" t="n">
        <v>11.1</v>
      </c>
      <c r="AE81" t="n">
        <v>15.3</v>
      </c>
      <c r="AF81" t="n">
        <v>21</v>
      </c>
      <c r="AG81" t="n">
        <v>30.6</v>
      </c>
      <c r="AH81" t="n">
        <v>88.2</v>
      </c>
      <c r="AI81" t="inlineStr"/>
      <c r="AJ81" t="n">
        <v>892526.25</v>
      </c>
      <c r="AK81" t="n">
        <v>255234.8</v>
      </c>
      <c r="AL81" t="n">
        <v>0.2859689560951288</v>
      </c>
      <c r="AM81" t="inlineStr">
        <is>
          <t>0.8836440743339481</t>
        </is>
      </c>
      <c r="AN81" t="inlineStr">
        <is>
          <t>17</t>
        </is>
      </c>
      <c r="AO81" t="inlineStr">
        <is>
          <t>7</t>
        </is>
      </c>
      <c r="AP81" t="inlineStr">
        <is>
          <t>12 1/4</t>
        </is>
      </c>
      <c r="AQ81" t="inlineStr">
        <is>
          <t>9</t>
        </is>
      </c>
      <c r="AR81" t="inlineStr">
        <is>
          <t>10.35</t>
        </is>
      </c>
      <c r="AS81" t="inlineStr">
        <is>
          <t>2</t>
        </is>
      </c>
      <c r="AT81" t="n">
        <v>274</v>
      </c>
      <c r="AU81" t="inlineStr">
        <is>
          <t>Vertex 70</t>
        </is>
      </c>
      <c r="AV81" t="inlineStr">
        <is>
          <t>50/50AR</t>
        </is>
      </c>
      <c r="AW81" t="n">
        <v>0.6558691858714434</v>
      </c>
      <c r="AX81" t="n">
        <v>0.7125693749064144</v>
      </c>
      <c r="AY81" t="n">
        <v>0.7671127377015129</v>
      </c>
      <c r="AZ81" t="n">
        <v>0.8178897736855633</v>
      </c>
      <c r="BA81" t="n">
        <v>0.8452320414791449</v>
      </c>
      <c r="BB81" t="n">
        <v>3.110236220472441</v>
      </c>
      <c r="BC81" t="n">
        <v>0.7449854442901389</v>
      </c>
      <c r="BD81" t="n">
        <v>1.637243075748269</v>
      </c>
      <c r="BE81" t="n">
        <v>2.678169676106322</v>
      </c>
      <c r="BF81" t="n">
        <v>3.904136626123312</v>
      </c>
      <c r="BG81" t="n">
        <v>5.377857432776764</v>
      </c>
      <c r="BH81" t="n">
        <v>7.207581957144152</v>
      </c>
      <c r="BI81" t="n">
        <v>9.598781941230634</v>
      </c>
      <c r="BJ81" t="n">
        <v>13.01622706329944</v>
      </c>
      <c r="BK81" t="n">
        <v>18.95356138653577</v>
      </c>
      <c r="BL81" t="n">
        <v>60.02360245280374</v>
      </c>
      <c r="BM81" t="inlineStr"/>
      <c r="BN81" t="n">
        <v>4</v>
      </c>
      <c r="BO81" t="n">
        <v>79</v>
      </c>
      <c r="BP81" t="n">
        <v>210</v>
      </c>
      <c r="BQ81" t="n">
        <v>306</v>
      </c>
      <c r="BR81" t="n">
        <v>882</v>
      </c>
      <c r="BS8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2">
      <c r="A82" t="inlineStr">
        <is>
          <t>FRAG</t>
        </is>
      </c>
      <c r="B82" t="inlineStr">
        <is>
          <t>Fragmentación Desmonte 2025.xlsx</t>
        </is>
      </c>
      <c r="C82" t="inlineStr">
        <is>
          <t>ANÁLISIS DE FRAGMENTACIÓN</t>
        </is>
      </c>
      <c r="D82" t="n">
        <v>86</v>
      </c>
      <c r="E82" t="inlineStr">
        <is>
          <t>ROM (fragmentación post-voladura en el frente de carguío, por análisis de fotos)</t>
        </is>
      </c>
      <c r="F82" t="inlineStr"/>
      <c r="G82" t="inlineStr">
        <is>
          <t>no indicada en el archivo</t>
        </is>
      </c>
      <c r="H82" t="inlineStr">
        <is>
          <t>2025-02-03</t>
        </is>
      </c>
      <c r="I82" t="inlineStr">
        <is>
          <t>2025-02-09</t>
        </is>
      </c>
      <c r="J82" t="inlineStr">
        <is>
          <t>PALA 06</t>
        </is>
      </c>
      <c r="K82" t="n">
        <v>10</v>
      </c>
      <c r="L82" t="inlineStr">
        <is>
          <t>10-NP-4433-19</t>
        </is>
      </c>
      <c r="M82" t="n">
        <v>2</v>
      </c>
      <c r="N82" t="n">
        <v>4433</v>
      </c>
      <c r="O82" t="inlineStr">
        <is>
          <t>A</t>
        </is>
      </c>
      <c r="P82" t="n">
        <v>30</v>
      </c>
      <c r="Q82" t="inlineStr">
        <is>
          <t>Desmonte</t>
        </is>
      </c>
      <c r="R82" t="inlineStr">
        <is>
          <t>Producción</t>
        </is>
      </c>
      <c r="S82" t="n">
        <v>5</v>
      </c>
      <c r="T82" t="n">
        <v>14.1</v>
      </c>
      <c r="U82" t="n">
        <v>3</v>
      </c>
      <c r="V82" t="n">
        <v>1.146546770280004</v>
      </c>
      <c r="W82" t="n">
        <v>0.051</v>
      </c>
      <c r="X82" t="n">
        <v>0.08699999999999999</v>
      </c>
      <c r="Y82" t="n">
        <v>2.3</v>
      </c>
      <c r="Z82" t="n">
        <v>5.2</v>
      </c>
      <c r="AA82" t="n">
        <v>68.09999999999999</v>
      </c>
      <c r="AB82" t="n">
        <v>11.1</v>
      </c>
      <c r="AC82" t="n">
        <v>14.2</v>
      </c>
      <c r="AD82" t="n">
        <v>17.7</v>
      </c>
      <c r="AE82" t="n">
        <v>21.8</v>
      </c>
      <c r="AF82" t="n">
        <v>27.2</v>
      </c>
      <c r="AG82" t="n">
        <v>35.5</v>
      </c>
      <c r="AH82" t="n">
        <v>90.3</v>
      </c>
      <c r="AI82" t="inlineStr"/>
      <c r="AJ82" t="n">
        <v>892526.25</v>
      </c>
      <c r="AK82" t="n">
        <v>255234.8</v>
      </c>
      <c r="AL82" t="n">
        <v>0.2859689560951288</v>
      </c>
      <c r="AM82" t="inlineStr">
        <is>
          <t>0.8836440743339481</t>
        </is>
      </c>
      <c r="AN82" t="inlineStr">
        <is>
          <t>17</t>
        </is>
      </c>
      <c r="AO82" t="inlineStr">
        <is>
          <t>7</t>
        </is>
      </c>
      <c r="AP82" t="inlineStr">
        <is>
          <t>12 1/4</t>
        </is>
      </c>
      <c r="AQ82" t="inlineStr">
        <is>
          <t>9</t>
        </is>
      </c>
      <c r="AR82" t="inlineStr">
        <is>
          <t>10.35</t>
        </is>
      </c>
      <c r="AS82" t="inlineStr">
        <is>
          <t>2</t>
        </is>
      </c>
      <c r="AT82" t="n">
        <v>274</v>
      </c>
      <c r="AU82" t="inlineStr">
        <is>
          <t>Vertex 70</t>
        </is>
      </c>
      <c r="AV82" t="inlineStr">
        <is>
          <t>50/50AR</t>
        </is>
      </c>
      <c r="AW82" t="n">
        <v>0.635393472250489</v>
      </c>
      <c r="AX82" t="n">
        <v>0.657557386076888</v>
      </c>
      <c r="AY82" t="n">
        <v>0.6796253388067595</v>
      </c>
      <c r="AZ82" t="n">
        <v>0.7015096650870888</v>
      </c>
      <c r="BA82" t="n">
        <v>0.7141898605075028</v>
      </c>
      <c r="BB82" t="n">
        <v>5.551181102362205</v>
      </c>
      <c r="BC82" t="n">
        <v>1.980679418174229</v>
      </c>
      <c r="BD82" t="n">
        <v>3.811225575144249</v>
      </c>
      <c r="BE82" t="n">
        <v>5.737442434547761</v>
      </c>
      <c r="BF82" t="n">
        <v>7.848364098989952</v>
      </c>
      <c r="BG82" t="n">
        <v>10.24211367408778</v>
      </c>
      <c r="BH82" t="n">
        <v>13.06487174215792</v>
      </c>
      <c r="BI82" t="n">
        <v>16.57798362124997</v>
      </c>
      <c r="BJ82" t="n">
        <v>21.35389546958648</v>
      </c>
      <c r="BK82" t="n">
        <v>29.18353658568469</v>
      </c>
      <c r="BL82" t="n">
        <v>76.08088390569299</v>
      </c>
      <c r="BM82" t="inlineStr"/>
      <c r="BN82" t="n">
        <v>23</v>
      </c>
      <c r="BO82" t="n">
        <v>142</v>
      </c>
      <c r="BP82" t="n">
        <v>272</v>
      </c>
      <c r="BQ82" t="n">
        <v>355</v>
      </c>
      <c r="BR82" t="n">
        <v>903</v>
      </c>
      <c r="BS8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3">
      <c r="A83" t="inlineStr">
        <is>
          <t>FRAG</t>
        </is>
      </c>
      <c r="B83" t="inlineStr">
        <is>
          <t>Fragmentación Desmonte 2025.xlsx</t>
        </is>
      </c>
      <c r="C83" t="inlineStr">
        <is>
          <t>ANÁLISIS DE FRAGMENTACIÓN</t>
        </is>
      </c>
      <c r="D83" t="n">
        <v>87</v>
      </c>
      <c r="E83" t="inlineStr">
        <is>
          <t>ROM (fragmentación post-voladura en el frente de carguío, por análisis de fotos)</t>
        </is>
      </c>
      <c r="F83" t="inlineStr"/>
      <c r="G83" t="inlineStr">
        <is>
          <t>no indicada en el archivo</t>
        </is>
      </c>
      <c r="H83" t="inlineStr">
        <is>
          <t>2025-01-27</t>
        </is>
      </c>
      <c r="I83" t="inlineStr">
        <is>
          <t>2025-02-09</t>
        </is>
      </c>
      <c r="J83" t="inlineStr">
        <is>
          <t>PALA 06</t>
        </is>
      </c>
      <c r="K83" t="n">
        <v>10</v>
      </c>
      <c r="L83" t="inlineStr">
        <is>
          <t>10-NP-4433-17</t>
        </is>
      </c>
      <c r="M83" t="n">
        <v>6</v>
      </c>
      <c r="N83" t="n">
        <v>4433</v>
      </c>
      <c r="O83" t="inlineStr">
        <is>
          <t>C1</t>
        </is>
      </c>
      <c r="P83" t="n">
        <v>30</v>
      </c>
      <c r="Q83" t="inlineStr">
        <is>
          <t>Desmonte</t>
        </is>
      </c>
      <c r="R83" t="inlineStr">
        <is>
          <t>Producción</t>
        </is>
      </c>
      <c r="S83" t="n">
        <v>3</v>
      </c>
      <c r="T83" t="n">
        <v>7.5</v>
      </c>
      <c r="U83" t="n">
        <v>2</v>
      </c>
      <c r="V83" t="n">
        <v>0.7374812726399431</v>
      </c>
      <c r="W83" t="n">
        <v>0.161</v>
      </c>
      <c r="X83" t="n">
        <v>0.232</v>
      </c>
      <c r="Y83" t="n">
        <v>0.3</v>
      </c>
      <c r="Z83" t="n">
        <v>1.5</v>
      </c>
      <c r="AA83" t="n">
        <v>3.1</v>
      </c>
      <c r="AB83" t="n">
        <v>5.2</v>
      </c>
      <c r="AC83" t="n">
        <v>7.6</v>
      </c>
      <c r="AD83" t="n">
        <v>10.5</v>
      </c>
      <c r="AE83" t="n">
        <v>14</v>
      </c>
      <c r="AF83" t="n">
        <v>18.6</v>
      </c>
      <c r="AG83" t="n">
        <v>25.6</v>
      </c>
      <c r="AH83" t="n">
        <v>52.9</v>
      </c>
      <c r="AI83" t="inlineStr"/>
      <c r="AJ83" t="n">
        <v>1434221.25</v>
      </c>
      <c r="AK83" t="n">
        <v>439237</v>
      </c>
      <c r="AL83" t="n">
        <v>0.3062547009396214</v>
      </c>
      <c r="AM83" t="inlineStr">
        <is>
          <t>-</t>
        </is>
      </c>
      <c r="AN83" t="inlineStr">
        <is>
          <t>17</t>
        </is>
      </c>
      <c r="AO83" t="inlineStr">
        <is>
          <t>7</t>
        </is>
      </c>
      <c r="AP83" t="inlineStr">
        <is>
          <t>12 1/4</t>
        </is>
      </c>
      <c r="AQ83" t="inlineStr">
        <is>
          <t>9</t>
        </is>
      </c>
      <c r="AR83" t="inlineStr">
        <is>
          <t>10.35</t>
        </is>
      </c>
      <c r="AS83" t="inlineStr">
        <is>
          <t>2</t>
        </is>
      </c>
      <c r="AT83" t="n">
        <v>472</v>
      </c>
      <c r="AU83" t="inlineStr">
        <is>
          <t>Vertex 70 / Vertex 70 + BEN</t>
        </is>
      </c>
      <c r="AV83" t="inlineStr">
        <is>
          <t>50/50AR</t>
        </is>
      </c>
      <c r="AW83" t="n">
        <v>0.6783832993406769</v>
      </c>
      <c r="AX83" t="n">
        <v>0.7361312789712231</v>
      </c>
      <c r="AY83" t="n">
        <v>0.7908575907607042</v>
      </c>
      <c r="AZ83" t="n">
        <v>0.8408212474222196</v>
      </c>
      <c r="BA83" t="n">
        <v>0.8672105551383429</v>
      </c>
      <c r="BB83" t="n">
        <v>2.952755905511811</v>
      </c>
      <c r="BC83" t="n">
        <v>0.3546868494957136</v>
      </c>
      <c r="BD83" t="n">
        <v>0.9812131578367064</v>
      </c>
      <c r="BE83" t="n">
        <v>1.853351737156775</v>
      </c>
      <c r="BF83" t="n">
        <v>3.016398684124567</v>
      </c>
      <c r="BG83" t="n">
        <v>4.562741863842756</v>
      </c>
      <c r="BH83" t="n">
        <v>6.661617253781199</v>
      </c>
      <c r="BI83" t="n">
        <v>9.646611484793985</v>
      </c>
      <c r="BJ83" t="n">
        <v>14.29896556499549</v>
      </c>
      <c r="BK83" t="n">
        <v>23.23879752919678</v>
      </c>
      <c r="BL83" t="n">
        <v>103.0799394103927</v>
      </c>
      <c r="BM83" t="inlineStr"/>
      <c r="BN83" t="n">
        <v>3</v>
      </c>
      <c r="BO83" t="n">
        <v>76</v>
      </c>
      <c r="BP83" t="n">
        <v>186</v>
      </c>
      <c r="BQ83" t="n">
        <v>256</v>
      </c>
      <c r="BR83" t="n">
        <v>529</v>
      </c>
      <c r="BS8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4">
      <c r="A84" t="inlineStr">
        <is>
          <t>FRAG</t>
        </is>
      </c>
      <c r="B84" t="inlineStr">
        <is>
          <t>Fragmentación Desmonte 2025.xlsx</t>
        </is>
      </c>
      <c r="C84" t="inlineStr">
        <is>
          <t>ANÁLISIS DE FRAGMENTACIÓN</t>
        </is>
      </c>
      <c r="D84" t="n">
        <v>88</v>
      </c>
      <c r="E84" t="inlineStr">
        <is>
          <t>ROM (fragmentación post-voladura en el frente de carguío, por análisis de fotos)</t>
        </is>
      </c>
      <c r="F84" t="inlineStr"/>
      <c r="G84" t="inlineStr">
        <is>
          <t>no indicada en el archivo</t>
        </is>
      </c>
      <c r="H84" t="inlineStr">
        <is>
          <t>2025-02-05</t>
        </is>
      </c>
      <c r="I84" t="inlineStr">
        <is>
          <t>2025-02-09</t>
        </is>
      </c>
      <c r="J84" t="inlineStr">
        <is>
          <t>PALA 08</t>
        </is>
      </c>
      <c r="K84" t="n">
        <v>9</v>
      </c>
      <c r="L84" t="inlineStr">
        <is>
          <t>9-NP-3968-28</t>
        </is>
      </c>
      <c r="M84" t="n">
        <v>1</v>
      </c>
      <c r="N84" t="n">
        <v>3968</v>
      </c>
      <c r="O84" t="inlineStr">
        <is>
          <t>C</t>
        </is>
      </c>
      <c r="P84" t="n">
        <v>30</v>
      </c>
      <c r="Q84" t="inlineStr">
        <is>
          <t>Desmonte</t>
        </is>
      </c>
      <c r="R84" t="inlineStr">
        <is>
          <t>Producción</t>
        </is>
      </c>
      <c r="S84" t="n">
        <v>6</v>
      </c>
      <c r="T84" t="n">
        <v>9.300000000000001</v>
      </c>
      <c r="U84" t="n">
        <v>2</v>
      </c>
      <c r="V84" t="n">
        <v>0.6772527639635799</v>
      </c>
      <c r="W84" t="n">
        <v>0.163</v>
      </c>
      <c r="X84" t="n">
        <v>0.226</v>
      </c>
      <c r="Y84" t="n">
        <v>0.3</v>
      </c>
      <c r="Z84" t="n">
        <v>1.5</v>
      </c>
      <c r="AA84" t="n">
        <v>3.5</v>
      </c>
      <c r="AB84" t="n">
        <v>6.1</v>
      </c>
      <c r="AC84" t="n">
        <v>9.4</v>
      </c>
      <c r="AD84" t="n">
        <v>13.4</v>
      </c>
      <c r="AE84" t="n">
        <v>18.6</v>
      </c>
      <c r="AF84" t="n">
        <v>25.6</v>
      </c>
      <c r="AG84" t="n">
        <v>36.6</v>
      </c>
      <c r="AH84" t="n">
        <v>83.90000000000001</v>
      </c>
      <c r="AI84" t="n">
        <v>10149.09517214303</v>
      </c>
      <c r="AJ84" t="n">
        <v>603322.5</v>
      </c>
      <c r="AK84" t="n">
        <v>167508.3</v>
      </c>
      <c r="AL84" t="n">
        <v>0.2776430516017553</v>
      </c>
      <c r="AM84" t="inlineStr">
        <is>
          <t>0.8579170294494237</t>
        </is>
      </c>
      <c r="AN84" t="inlineStr">
        <is>
          <t>17</t>
        </is>
      </c>
      <c r="AO84" t="inlineStr">
        <is>
          <t>7</t>
        </is>
      </c>
      <c r="AP84" t="inlineStr">
        <is>
          <t>12 1/4</t>
        </is>
      </c>
      <c r="AQ84" t="inlineStr">
        <is>
          <t>9</t>
        </is>
      </c>
      <c r="AR84" t="inlineStr">
        <is>
          <t>10.35</t>
        </is>
      </c>
      <c r="AS84" t="inlineStr">
        <is>
          <t>2</t>
        </is>
      </c>
      <c r="AT84" t="n">
        <v>257</v>
      </c>
      <c r="AU84" t="inlineStr">
        <is>
          <t>Vertex 70</t>
        </is>
      </c>
      <c r="AV84" t="inlineStr">
        <is>
          <t>49/51AR</t>
        </is>
      </c>
      <c r="AW84" t="n">
        <v>0.6842116914059724</v>
      </c>
      <c r="AX84" t="n">
        <v>0.7402833501672713</v>
      </c>
      <c r="AY84" t="n">
        <v>0.7933639080371838</v>
      </c>
      <c r="AZ84" t="n">
        <v>0.8418483980910882</v>
      </c>
      <c r="BA84" t="n">
        <v>0.8675009345662281</v>
      </c>
      <c r="BB84" t="n">
        <v>3.661417322834646</v>
      </c>
      <c r="BC84" t="n">
        <v>0.3352852704605639</v>
      </c>
      <c r="BD84" t="n">
        <v>1.01538985043982</v>
      </c>
      <c r="BE84" t="n">
        <v>2.029501848251641</v>
      </c>
      <c r="BF84" t="n">
        <v>3.449307542068079</v>
      </c>
      <c r="BG84" t="n">
        <v>5.413189261604137</v>
      </c>
      <c r="BH84" t="n">
        <v>8.17378240563689</v>
      </c>
      <c r="BI84" t="n">
        <v>12.23257233325147</v>
      </c>
      <c r="BJ84" t="n">
        <v>18.77796482175638</v>
      </c>
      <c r="BK84" t="n">
        <v>31.86499275517115</v>
      </c>
      <c r="BL84" t="n">
        <v>161.3648451751431</v>
      </c>
      <c r="BM84" t="inlineStr"/>
      <c r="BN84" t="n">
        <v>3</v>
      </c>
      <c r="BO84" t="n">
        <v>94</v>
      </c>
      <c r="BP84" t="n">
        <v>256</v>
      </c>
      <c r="BQ84" t="n">
        <v>366</v>
      </c>
      <c r="BR84" t="n">
        <v>839</v>
      </c>
      <c r="BS8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5">
      <c r="A85" t="inlineStr">
        <is>
          <t>FRAG</t>
        </is>
      </c>
      <c r="B85" t="inlineStr">
        <is>
          <t>Fragmentación Desmonte 2025.xlsx</t>
        </is>
      </c>
      <c r="C85" t="inlineStr">
        <is>
          <t>ANÁLISIS DE FRAGMENTACIÓN</t>
        </is>
      </c>
      <c r="D85" t="n">
        <v>89</v>
      </c>
      <c r="E85" t="inlineStr">
        <is>
          <t>ROM (fragmentación post-voladura en el frente de carguío, por análisis de fotos)</t>
        </is>
      </c>
      <c r="F85" t="inlineStr"/>
      <c r="G85" t="inlineStr">
        <is>
          <t>no indicada en el archivo</t>
        </is>
      </c>
      <c r="H85" t="inlineStr">
        <is>
          <t>2025-02-05</t>
        </is>
      </c>
      <c r="I85" t="inlineStr">
        <is>
          <t>2025-02-09</t>
        </is>
      </c>
      <c r="J85" t="inlineStr">
        <is>
          <t>PALA 05</t>
        </is>
      </c>
      <c r="K85" t="n">
        <v>9</v>
      </c>
      <c r="L85" t="inlineStr">
        <is>
          <t>9-NP-3968-28</t>
        </is>
      </c>
      <c r="M85" t="n">
        <v>1</v>
      </c>
      <c r="N85" t="n">
        <v>3968</v>
      </c>
      <c r="O85" t="inlineStr">
        <is>
          <t>C</t>
        </is>
      </c>
      <c r="P85" t="n">
        <v>30</v>
      </c>
      <c r="Q85" t="inlineStr">
        <is>
          <t>Desmonte</t>
        </is>
      </c>
      <c r="R85" t="inlineStr">
        <is>
          <t>Producción</t>
        </is>
      </c>
      <c r="S85" t="n">
        <v>5</v>
      </c>
      <c r="T85" t="n">
        <v>10.4</v>
      </c>
      <c r="U85" t="n">
        <v>3</v>
      </c>
      <c r="V85" t="n">
        <v>1.053734934925831</v>
      </c>
      <c r="W85" t="n">
        <v>0.106</v>
      </c>
      <c r="X85" t="n">
        <v>0.162</v>
      </c>
      <c r="Y85" t="n">
        <v>0.9</v>
      </c>
      <c r="Z85" t="n">
        <v>2.7</v>
      </c>
      <c r="AA85" t="n">
        <v>4.9</v>
      </c>
      <c r="AB85" t="n">
        <v>7.5</v>
      </c>
      <c r="AC85" t="n">
        <v>10.4</v>
      </c>
      <c r="AD85" t="n">
        <v>13.8</v>
      </c>
      <c r="AE85" t="n">
        <v>18</v>
      </c>
      <c r="AF85" t="n">
        <v>23.7</v>
      </c>
      <c r="AG85" t="n">
        <v>32.6</v>
      </c>
      <c r="AH85" t="n">
        <v>82.90000000000001</v>
      </c>
      <c r="AI85" t="n">
        <v>10149.09517214303</v>
      </c>
      <c r="AJ85" t="n">
        <v>603322.5</v>
      </c>
      <c r="AK85" t="n">
        <v>167508.3</v>
      </c>
      <c r="AL85" t="n">
        <v>0.2776430516017553</v>
      </c>
      <c r="AM85" t="inlineStr">
        <is>
          <t>0.8579170294494237</t>
        </is>
      </c>
      <c r="AN85" t="inlineStr">
        <is>
          <t>17</t>
        </is>
      </c>
      <c r="AO85" t="inlineStr">
        <is>
          <t>7</t>
        </is>
      </c>
      <c r="AP85" t="inlineStr">
        <is>
          <t>12 1/4</t>
        </is>
      </c>
      <c r="AQ85" t="inlineStr">
        <is>
          <t>9</t>
        </is>
      </c>
      <c r="AR85" t="inlineStr">
        <is>
          <t>10.35</t>
        </is>
      </c>
      <c r="AS85" t="inlineStr">
        <is>
          <t>2</t>
        </is>
      </c>
      <c r="AT85" t="n">
        <v>257</v>
      </c>
      <c r="AU85" t="inlineStr">
        <is>
          <t>Vertex 70</t>
        </is>
      </c>
      <c r="AV85" t="inlineStr">
        <is>
          <t>49/51AR</t>
        </is>
      </c>
      <c r="AW85" t="n">
        <v>0.643244078966243</v>
      </c>
      <c r="AX85" t="n">
        <v>0.6843714503938334</v>
      </c>
      <c r="AY85" t="n">
        <v>0.724792769074572</v>
      </c>
      <c r="AZ85" t="n">
        <v>0.7639137790572651</v>
      </c>
      <c r="BA85" t="n">
        <v>0.7859535650682836</v>
      </c>
      <c r="BB85" t="n">
        <v>4.094488188976378</v>
      </c>
      <c r="BC85" t="n">
        <v>1.228993285051418</v>
      </c>
      <c r="BD85" t="n">
        <v>2.50516565772434</v>
      </c>
      <c r="BE85" t="n">
        <v>3.909648211103986</v>
      </c>
      <c r="BF85" t="n">
        <v>5.497719416757858</v>
      </c>
      <c r="BG85" t="n">
        <v>7.344730484592324</v>
      </c>
      <c r="BH85" t="n">
        <v>9.57200099829606</v>
      </c>
      <c r="BI85" t="n">
        <v>12.40334975210783</v>
      </c>
      <c r="BJ85" t="n">
        <v>16.33684802869583</v>
      </c>
      <c r="BK85" t="n">
        <v>22.94974870907752</v>
      </c>
      <c r="BL85" t="n">
        <v>65.09813052852216</v>
      </c>
      <c r="BM85" t="inlineStr"/>
      <c r="BN85" t="n">
        <v>9</v>
      </c>
      <c r="BO85" t="n">
        <v>104</v>
      </c>
      <c r="BP85" t="n">
        <v>237</v>
      </c>
      <c r="BQ85" t="n">
        <v>326</v>
      </c>
      <c r="BR85" t="n">
        <v>829</v>
      </c>
      <c r="BS8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6">
      <c r="A86" t="inlineStr">
        <is>
          <t>FRAG</t>
        </is>
      </c>
      <c r="B86" t="inlineStr">
        <is>
          <t>Fragmentación Desmonte 2025.xlsx</t>
        </is>
      </c>
      <c r="C86" t="inlineStr">
        <is>
          <t>ANÁLISIS DE FRAGMENTACIÓN</t>
        </is>
      </c>
      <c r="D86" t="n">
        <v>90</v>
      </c>
      <c r="E86" t="inlineStr">
        <is>
          <t>ROM (fragmentación post-voladura en el frente de carguío, por análisis de fotos)</t>
        </is>
      </c>
      <c r="F86" t="inlineStr"/>
      <c r="G86" t="inlineStr">
        <is>
          <t>no indicada en el archivo</t>
        </is>
      </c>
      <c r="H86" t="inlineStr">
        <is>
          <t>2025-02-05</t>
        </is>
      </c>
      <c r="I86" t="inlineStr">
        <is>
          <t>2025-02-10</t>
        </is>
      </c>
      <c r="J86" t="inlineStr">
        <is>
          <t>PALA 08</t>
        </is>
      </c>
      <c r="K86" t="n">
        <v>9</v>
      </c>
      <c r="L86" t="inlineStr">
        <is>
          <t>9-NP-3968-28</t>
        </is>
      </c>
      <c r="M86" t="n">
        <v>1</v>
      </c>
      <c r="N86" t="n">
        <v>3968</v>
      </c>
      <c r="O86" t="inlineStr">
        <is>
          <t>C</t>
        </is>
      </c>
      <c r="P86" t="n">
        <v>30</v>
      </c>
      <c r="Q86" t="inlineStr">
        <is>
          <t>Desmonte</t>
        </is>
      </c>
      <c r="R86" t="inlineStr">
        <is>
          <t>Producción</t>
        </is>
      </c>
      <c r="S86" t="n">
        <v>3</v>
      </c>
      <c r="T86" t="n">
        <v>16.4</v>
      </c>
      <c r="U86" t="n">
        <v>3</v>
      </c>
      <c r="V86" t="n">
        <v>1.675813111402033</v>
      </c>
      <c r="W86" t="n">
        <v>0.04</v>
      </c>
      <c r="X86" t="n">
        <v>0.065</v>
      </c>
      <c r="Y86" t="n">
        <v>3.3</v>
      </c>
      <c r="Z86" t="n">
        <v>7</v>
      </c>
      <c r="AA86" t="n">
        <v>10.3</v>
      </c>
      <c r="AB86" t="n">
        <v>13.4</v>
      </c>
      <c r="AC86" t="n">
        <v>16.5</v>
      </c>
      <c r="AD86" t="n">
        <v>19.6</v>
      </c>
      <c r="AE86" t="n">
        <v>23.1</v>
      </c>
      <c r="AF86" t="n">
        <v>27.2</v>
      </c>
      <c r="AG86" t="n">
        <v>33</v>
      </c>
      <c r="AH86" t="n">
        <v>56.1</v>
      </c>
      <c r="AI86" t="n">
        <v>10149.09517214303</v>
      </c>
      <c r="AJ86" t="n">
        <v>603322.5</v>
      </c>
      <c r="AK86" t="n">
        <v>167508.3</v>
      </c>
      <c r="AL86" t="n">
        <v>0.2776430516017553</v>
      </c>
      <c r="AM86" t="inlineStr">
        <is>
          <t>0.8579170294494237</t>
        </is>
      </c>
      <c r="AN86" t="inlineStr">
        <is>
          <t>17</t>
        </is>
      </c>
      <c r="AO86" t="inlineStr">
        <is>
          <t>7</t>
        </is>
      </c>
      <c r="AP86" t="inlineStr">
        <is>
          <t>12 1/4</t>
        </is>
      </c>
      <c r="AQ86" t="inlineStr">
        <is>
          <t>9</t>
        </is>
      </c>
      <c r="AR86" t="inlineStr">
        <is>
          <t>10.35</t>
        </is>
      </c>
      <c r="AS86" t="inlineStr">
        <is>
          <t>2</t>
        </is>
      </c>
      <c r="AT86" t="n">
        <v>257</v>
      </c>
      <c r="AU86" t="inlineStr">
        <is>
          <t>Vertex 70</t>
        </is>
      </c>
      <c r="AV86" t="inlineStr">
        <is>
          <t>49/51AR</t>
        </is>
      </c>
      <c r="AW86" t="n">
        <v>0.625490513484362</v>
      </c>
      <c r="AX86" t="n">
        <v>0.6420635858579637</v>
      </c>
      <c r="AY86" t="n">
        <v>0.6586160855129635</v>
      </c>
      <c r="AZ86" t="n">
        <v>0.6751128097565535</v>
      </c>
      <c r="BA86" t="n">
        <v>0.6847224022248133</v>
      </c>
      <c r="BB86" t="n">
        <v>6.456692913385826</v>
      </c>
      <c r="BC86" t="n">
        <v>4.28204340171313</v>
      </c>
      <c r="BD86" t="n">
        <v>6.7008157272776</v>
      </c>
      <c r="BE86" t="n">
        <v>8.86489515891869</v>
      </c>
      <c r="BF86" t="n">
        <v>10.98405720720045</v>
      </c>
      <c r="BG86" t="n">
        <v>13.17833008281671</v>
      </c>
      <c r="BH86" t="n">
        <v>15.56639891341831</v>
      </c>
      <c r="BI86" t="n">
        <v>18.32102869524321</v>
      </c>
      <c r="BJ86" t="n">
        <v>21.78570298448768</v>
      </c>
      <c r="BK86" t="n">
        <v>26.97659276303124</v>
      </c>
      <c r="BL86" t="n">
        <v>51.96338049813691</v>
      </c>
      <c r="BM86" t="inlineStr"/>
      <c r="BN86" t="n">
        <v>33</v>
      </c>
      <c r="BO86" t="n">
        <v>165</v>
      </c>
      <c r="BP86" t="n">
        <v>272</v>
      </c>
      <c r="BQ86" t="n">
        <v>330</v>
      </c>
      <c r="BR86" t="n">
        <v>561</v>
      </c>
      <c r="BS8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7">
      <c r="A87" t="inlineStr">
        <is>
          <t>FRAG</t>
        </is>
      </c>
      <c r="B87" t="inlineStr">
        <is>
          <t>Fragmentación Desmonte 2025.xlsx</t>
        </is>
      </c>
      <c r="C87" t="inlineStr">
        <is>
          <t>ANÁLISIS DE FRAGMENTACIÓN</t>
        </is>
      </c>
      <c r="D87" t="n">
        <v>91</v>
      </c>
      <c r="E87" t="inlineStr">
        <is>
          <t>ROM (fragmentación post-voladura en el frente de carguío, por análisis de fotos)</t>
        </is>
      </c>
      <c r="F87" t="inlineStr"/>
      <c r="G87" t="inlineStr">
        <is>
          <t>no indicada en el archivo</t>
        </is>
      </c>
      <c r="H87" t="inlineStr">
        <is>
          <t>2025-02-04</t>
        </is>
      </c>
      <c r="I87" t="inlineStr">
        <is>
          <t>2025-02-11</t>
        </is>
      </c>
      <c r="J87" t="inlineStr">
        <is>
          <t>PALA 10</t>
        </is>
      </c>
      <c r="K87" t="n">
        <v>8</v>
      </c>
      <c r="L87" t="inlineStr">
        <is>
          <t>8-NP-3758-10</t>
        </is>
      </c>
      <c r="M87" t="n">
        <v>4</v>
      </c>
      <c r="N87" t="n">
        <v>3758</v>
      </c>
      <c r="O87" t="inlineStr">
        <is>
          <t>A</t>
        </is>
      </c>
      <c r="P87" t="n">
        <v>30</v>
      </c>
      <c r="Q87" t="inlineStr">
        <is>
          <t>Desmonte</t>
        </is>
      </c>
      <c r="R87" t="inlineStr">
        <is>
          <t>Producción</t>
        </is>
      </c>
      <c r="S87" t="n">
        <v>6</v>
      </c>
      <c r="T87" t="n">
        <v>3</v>
      </c>
      <c r="U87" t="n">
        <v>3</v>
      </c>
      <c r="V87" t="n">
        <v>0.9474355676563584</v>
      </c>
      <c r="W87" t="n">
        <v>0.218</v>
      </c>
      <c r="X87" t="n">
        <v>0.365</v>
      </c>
      <c r="Y87" t="n">
        <v>0.3</v>
      </c>
      <c r="Z87" t="n">
        <v>0.8</v>
      </c>
      <c r="AA87" t="n">
        <v>1.5</v>
      </c>
      <c r="AB87" t="n">
        <v>2.2</v>
      </c>
      <c r="AC87" t="n">
        <v>3.1</v>
      </c>
      <c r="AD87" t="n">
        <v>4.1</v>
      </c>
      <c r="AE87" t="n">
        <v>5.5</v>
      </c>
      <c r="AF87" t="n">
        <v>7.3</v>
      </c>
      <c r="AG87" t="n">
        <v>10.4</v>
      </c>
      <c r="AH87" t="n">
        <v>35.4</v>
      </c>
      <c r="AI87" t="inlineStr"/>
      <c r="AJ87" t="n">
        <v>892526.25</v>
      </c>
      <c r="AK87" t="n">
        <v>329709</v>
      </c>
      <c r="AL87" t="n">
        <v>0.3694109837105631</v>
      </c>
      <c r="AM87" t="inlineStr">
        <is>
          <t>-</t>
        </is>
      </c>
      <c r="AN87" t="inlineStr">
        <is>
          <t>16.5</t>
        </is>
      </c>
      <c r="AO87" t="inlineStr">
        <is>
          <t>6.5</t>
        </is>
      </c>
      <c r="AP87" t="inlineStr">
        <is>
          <t>12 1/4</t>
        </is>
      </c>
      <c r="AQ87" t="inlineStr">
        <is>
          <t>7</t>
        </is>
      </c>
      <c r="AR87" t="inlineStr">
        <is>
          <t>8</t>
        </is>
      </c>
      <c r="AS87" t="inlineStr">
        <is>
          <t>1.5</t>
        </is>
      </c>
      <c r="AT87" t="n">
        <v>455</v>
      </c>
      <c r="AU87" t="inlineStr">
        <is>
          <t>Emulgex 70</t>
        </is>
      </c>
      <c r="AV87" t="inlineStr">
        <is>
          <t>50/50AR</t>
        </is>
      </c>
      <c r="AW87" t="n">
        <v>0.6713882860032594</v>
      </c>
      <c r="AX87" t="n">
        <v>0.7614689242488504</v>
      </c>
      <c r="AY87" t="n">
        <v>0.842111100544211</v>
      </c>
      <c r="AZ87" t="n">
        <v>0.9071949200605788</v>
      </c>
      <c r="BA87" t="n">
        <v>0.9364826462763228</v>
      </c>
      <c r="BB87" t="n">
        <v>1.181102362204724</v>
      </c>
      <c r="BC87" t="n">
        <v>0.278982256107938</v>
      </c>
      <c r="BD87" t="n">
        <v>0.6159771021778959</v>
      </c>
      <c r="BE87" t="n">
        <v>1.010540226638925</v>
      </c>
      <c r="BF87" t="n">
        <v>1.476415782189291</v>
      </c>
      <c r="BG87" t="n">
        <v>2.037584337128909</v>
      </c>
      <c r="BH87" t="n">
        <v>2.735571857910958</v>
      </c>
      <c r="BI87" t="n">
        <v>3.649308722790209</v>
      </c>
      <c r="BJ87" t="n">
        <v>4.957490864657236</v>
      </c>
      <c r="BK87" t="n">
        <v>7.234906787138162</v>
      </c>
      <c r="BL87" t="n">
        <v>23.06881244523905</v>
      </c>
      <c r="BM87" t="inlineStr"/>
      <c r="BN87" t="n">
        <v>3</v>
      </c>
      <c r="BO87" t="n">
        <v>31</v>
      </c>
      <c r="BP87" t="n">
        <v>73</v>
      </c>
      <c r="BQ87" t="n">
        <v>104</v>
      </c>
      <c r="BR87" t="n">
        <v>354</v>
      </c>
      <c r="BS8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8">
      <c r="A88" t="inlineStr">
        <is>
          <t>FRAG</t>
        </is>
      </c>
      <c r="B88" t="inlineStr">
        <is>
          <t>Fragmentación Desmonte 2025.xlsx</t>
        </is>
      </c>
      <c r="C88" t="inlineStr">
        <is>
          <t>ANÁLISIS DE FRAGMENTACIÓN</t>
        </is>
      </c>
      <c r="D88" t="n">
        <v>92</v>
      </c>
      <c r="E88" t="inlineStr">
        <is>
          <t>ROM (fragmentación post-voladura en el frente de carguío, por análisis de fotos)</t>
        </is>
      </c>
      <c r="F88" t="inlineStr"/>
      <c r="G88" t="inlineStr">
        <is>
          <t>no indicada en el archivo</t>
        </is>
      </c>
      <c r="H88" t="inlineStr">
        <is>
          <t>2025-02-04</t>
        </is>
      </c>
      <c r="I88" t="inlineStr">
        <is>
          <t>2025-02-11</t>
        </is>
      </c>
      <c r="J88" t="inlineStr">
        <is>
          <t>PALA 07</t>
        </is>
      </c>
      <c r="K88" t="n">
        <v>8</v>
      </c>
      <c r="L88" t="inlineStr">
        <is>
          <t>8-NP-3758-10</t>
        </is>
      </c>
      <c r="M88" t="n">
        <v>4</v>
      </c>
      <c r="N88" t="n">
        <v>3758</v>
      </c>
      <c r="O88" t="inlineStr">
        <is>
          <t>A</t>
        </is>
      </c>
      <c r="P88" t="n">
        <v>30</v>
      </c>
      <c r="Q88" t="inlineStr">
        <is>
          <t>Desmonte</t>
        </is>
      </c>
      <c r="R88" t="inlineStr">
        <is>
          <t>Producción</t>
        </is>
      </c>
      <c r="S88" t="n">
        <v>3</v>
      </c>
      <c r="T88" t="n">
        <v>2.8</v>
      </c>
      <c r="U88" t="n">
        <v>4</v>
      </c>
      <c r="V88" t="n">
        <v>1.359157462441827</v>
      </c>
      <c r="W88" t="n">
        <v>0.186</v>
      </c>
      <c r="X88" t="n">
        <v>0.357</v>
      </c>
      <c r="Y88" t="n">
        <v>0.5</v>
      </c>
      <c r="Z88" t="n">
        <v>1</v>
      </c>
      <c r="AA88" t="n">
        <v>1.6</v>
      </c>
      <c r="AB88" t="n">
        <v>2.2</v>
      </c>
      <c r="AC88" t="n">
        <v>2.9</v>
      </c>
      <c r="AD88" t="n">
        <v>3.7</v>
      </c>
      <c r="AE88" t="n">
        <v>4.6</v>
      </c>
      <c r="AF88" t="n">
        <v>5.9</v>
      </c>
      <c r="AG88" t="n">
        <v>8</v>
      </c>
      <c r="AH88" t="n">
        <v>25.6</v>
      </c>
      <c r="AI88" t="inlineStr"/>
      <c r="AJ88" t="n">
        <v>892526.25</v>
      </c>
      <c r="AK88" t="n">
        <v>329709</v>
      </c>
      <c r="AL88" t="n">
        <v>0.3694109837105631</v>
      </c>
      <c r="AM88" t="inlineStr">
        <is>
          <t>-</t>
        </is>
      </c>
      <c r="AN88" t="inlineStr">
        <is>
          <t>16.5</t>
        </is>
      </c>
      <c r="AO88" t="inlineStr">
        <is>
          <t>6.5</t>
        </is>
      </c>
      <c r="AP88" t="inlineStr">
        <is>
          <t>12 1/4</t>
        </is>
      </c>
      <c r="AQ88" t="inlineStr">
        <is>
          <t>7</t>
        </is>
      </c>
      <c r="AR88" t="inlineStr">
        <is>
          <t>8</t>
        </is>
      </c>
      <c r="AS88" t="inlineStr">
        <is>
          <t>1.5</t>
        </is>
      </c>
      <c r="AT88" t="n">
        <v>455</v>
      </c>
      <c r="AU88" t="inlineStr">
        <is>
          <t>Emulgex 70</t>
        </is>
      </c>
      <c r="AV88" t="inlineStr">
        <is>
          <t>50/50AR</t>
        </is>
      </c>
      <c r="AW88" t="n">
        <v>0.6232107337102117</v>
      </c>
      <c r="AX88" t="n">
        <v>0.7135267979847271</v>
      </c>
      <c r="AY88" t="n">
        <v>0.7983236456363696</v>
      </c>
      <c r="AZ88" t="n">
        <v>0.8713440099002605</v>
      </c>
      <c r="BA88" t="n">
        <v>0.9065192624517672</v>
      </c>
      <c r="BB88" t="n">
        <v>1.102362204724409</v>
      </c>
      <c r="BC88" t="n">
        <v>0.5346792880814448</v>
      </c>
      <c r="BD88" t="n">
        <v>0.928707620741508</v>
      </c>
      <c r="BE88" t="n">
        <v>1.311422504154215</v>
      </c>
      <c r="BF88" t="n">
        <v>1.708125095569592</v>
      </c>
      <c r="BG88" t="n">
        <v>2.138185481754326</v>
      </c>
      <c r="BH88" t="n">
        <v>2.625572591522727</v>
      </c>
      <c r="BI88" t="n">
        <v>3.209753975146321</v>
      </c>
      <c r="BJ88" t="n">
        <v>3.973915045939283</v>
      </c>
      <c r="BK88" t="n">
        <v>5.171996196838704</v>
      </c>
      <c r="BL88" t="n">
        <v>11.60646921619478</v>
      </c>
      <c r="BM88" t="inlineStr"/>
      <c r="BN88" t="n">
        <v>5</v>
      </c>
      <c r="BO88" t="n">
        <v>29</v>
      </c>
      <c r="BP88" t="n">
        <v>59</v>
      </c>
      <c r="BQ88" t="n">
        <v>80</v>
      </c>
      <c r="BR88" t="n">
        <v>256</v>
      </c>
      <c r="BS8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89">
      <c r="A89" t="inlineStr">
        <is>
          <t>FRAG</t>
        </is>
      </c>
      <c r="B89" t="inlineStr">
        <is>
          <t>Fragmentación Desmonte 2025.xlsx</t>
        </is>
      </c>
      <c r="C89" t="inlineStr">
        <is>
          <t>ANÁLISIS DE FRAGMENTACIÓN</t>
        </is>
      </c>
      <c r="D89" t="n">
        <v>93</v>
      </c>
      <c r="E89" t="inlineStr">
        <is>
          <t>ROM (fragmentación post-voladura en el frente de carguío, por análisis de fotos)</t>
        </is>
      </c>
      <c r="F89" t="inlineStr"/>
      <c r="G89" t="inlineStr">
        <is>
          <t>no indicada en el archivo</t>
        </is>
      </c>
      <c r="H89" t="inlineStr">
        <is>
          <t>2025-02-08</t>
        </is>
      </c>
      <c r="I89" t="inlineStr">
        <is>
          <t>2025-02-12</t>
        </is>
      </c>
      <c r="J89" t="inlineStr">
        <is>
          <t>PALA 09</t>
        </is>
      </c>
      <c r="K89" t="n">
        <v>9</v>
      </c>
      <c r="L89" t="inlineStr">
        <is>
          <t>9-NP-3953-16</t>
        </is>
      </c>
      <c r="M89" t="n">
        <v>1</v>
      </c>
      <c r="N89" t="n">
        <v>3953</v>
      </c>
      <c r="O89" t="inlineStr">
        <is>
          <t>A</t>
        </is>
      </c>
      <c r="P89" t="n">
        <v>30</v>
      </c>
      <c r="Q89" t="inlineStr">
        <is>
          <t>Desmonte</t>
        </is>
      </c>
      <c r="R89" t="inlineStr">
        <is>
          <t>Producción</t>
        </is>
      </c>
      <c r="S89" t="n">
        <v>7</v>
      </c>
      <c r="T89" t="n">
        <v>7.9</v>
      </c>
      <c r="U89" t="n">
        <v>3</v>
      </c>
      <c r="V89" t="n">
        <v>0.7901936574564261</v>
      </c>
      <c r="W89" t="n">
        <v>0.15</v>
      </c>
      <c r="X89" t="n">
        <v>0.227</v>
      </c>
      <c r="Y89" t="n">
        <v>0.5</v>
      </c>
      <c r="Z89" t="n">
        <v>1.6</v>
      </c>
      <c r="AA89" t="n">
        <v>3.2</v>
      </c>
      <c r="AB89" t="n">
        <v>5.2</v>
      </c>
      <c r="AC89" t="n">
        <v>7.9</v>
      </c>
      <c r="AD89" t="n">
        <v>11.4</v>
      </c>
      <c r="AE89" t="n">
        <v>16.3</v>
      </c>
      <c r="AF89" t="n">
        <v>23.7</v>
      </c>
      <c r="AG89" t="n">
        <v>37.8</v>
      </c>
      <c r="AH89" t="n">
        <v>222.3</v>
      </c>
      <c r="AI89" t="n">
        <v>11247.62164001362</v>
      </c>
      <c r="AJ89" t="n">
        <v>97680</v>
      </c>
      <c r="AK89" t="n">
        <v>28942.04</v>
      </c>
      <c r="AL89" t="n">
        <v>0.2962944307944308</v>
      </c>
      <c r="AM89" t="inlineStr">
        <is>
          <t>-</t>
        </is>
      </c>
      <c r="AN89" t="inlineStr">
        <is>
          <t>17</t>
        </is>
      </c>
      <c r="AO89" t="inlineStr">
        <is>
          <t>7</t>
        </is>
      </c>
      <c r="AP89" t="inlineStr">
        <is>
          <t>12 1/4</t>
        </is>
      </c>
      <c r="AQ89" t="inlineStr">
        <is>
          <t>9</t>
        </is>
      </c>
      <c r="AR89" t="inlineStr">
        <is>
          <t>10.35</t>
        </is>
      </c>
      <c r="AS89" t="inlineStr">
        <is>
          <t>2</t>
        </is>
      </c>
      <c r="AT89" t="n">
        <v>53</v>
      </c>
      <c r="AU89" t="inlineStr">
        <is>
          <t>Emulgex 70</t>
        </is>
      </c>
      <c r="AV89" t="inlineStr">
        <is>
          <t>49/51AR</t>
        </is>
      </c>
      <c r="AW89" t="n">
        <v>0.6716663310969243</v>
      </c>
      <c r="AX89" t="n">
        <v>0.7284209753561373</v>
      </c>
      <c r="AY89" t="n">
        <v>0.7825131966853012</v>
      </c>
      <c r="AZ89" t="n">
        <v>0.8323002643971609</v>
      </c>
      <c r="BA89" t="n">
        <v>0.8588210078515902</v>
      </c>
      <c r="BB89" t="n">
        <v>3.110236220472441</v>
      </c>
      <c r="BC89" t="n">
        <v>0.4579453786487987</v>
      </c>
      <c r="BD89" t="n">
        <v>1.183729282567552</v>
      </c>
      <c r="BE89" t="n">
        <v>2.143001348315373</v>
      </c>
      <c r="BF89" t="n">
        <v>3.376311402919681</v>
      </c>
      <c r="BG89" t="n">
        <v>4.968092950535257</v>
      </c>
      <c r="BH89" t="n">
        <v>7.072610600478181</v>
      </c>
      <c r="BI89" t="n">
        <v>9.991909891064104</v>
      </c>
      <c r="BJ89" t="n">
        <v>14.42699636741143</v>
      </c>
      <c r="BK89" t="n">
        <v>22.69946364262997</v>
      </c>
      <c r="BL89" t="n">
        <v>91.1629849860492</v>
      </c>
      <c r="BM89" t="inlineStr"/>
      <c r="BN89" t="n">
        <v>5</v>
      </c>
      <c r="BO89" t="n">
        <v>79</v>
      </c>
      <c r="BP89" t="n">
        <v>237</v>
      </c>
      <c r="BQ89" t="n">
        <v>378</v>
      </c>
      <c r="BR89" t="n">
        <v>2223</v>
      </c>
      <c r="BS8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0">
      <c r="A90" t="inlineStr">
        <is>
          <t>FRAG</t>
        </is>
      </c>
      <c r="B90" t="inlineStr">
        <is>
          <t>Fragmentación Desmonte 2025.xlsx</t>
        </is>
      </c>
      <c r="C90" t="inlineStr">
        <is>
          <t>ANÁLISIS DE FRAGMENTACIÓN</t>
        </is>
      </c>
      <c r="D90" t="n">
        <v>94</v>
      </c>
      <c r="E90" t="inlineStr">
        <is>
          <t>ROM (fragmentación post-voladura en el frente de carguío, por análisis de fotos)</t>
        </is>
      </c>
      <c r="F90" t="inlineStr"/>
      <c r="G90" t="inlineStr">
        <is>
          <t>no indicada en el archivo</t>
        </is>
      </c>
      <c r="H90" t="inlineStr">
        <is>
          <t>2025-02-12</t>
        </is>
      </c>
      <c r="I90" t="inlineStr">
        <is>
          <t>2025-02-13</t>
        </is>
      </c>
      <c r="J90" t="inlineStr">
        <is>
          <t>PALA 05</t>
        </is>
      </c>
      <c r="K90" t="n">
        <v>9</v>
      </c>
      <c r="L90" t="inlineStr">
        <is>
          <t>9-NP-3953-14</t>
        </is>
      </c>
      <c r="M90" t="n">
        <v>1</v>
      </c>
      <c r="N90" t="n">
        <v>3953</v>
      </c>
      <c r="O90" t="inlineStr">
        <is>
          <t>C</t>
        </is>
      </c>
      <c r="P90" t="n">
        <v>30</v>
      </c>
      <c r="Q90" t="inlineStr">
        <is>
          <t>Desmonte</t>
        </is>
      </c>
      <c r="R90" t="inlineStr">
        <is>
          <t>Producción</t>
        </is>
      </c>
      <c r="S90" t="n">
        <v>8</v>
      </c>
      <c r="T90" t="n">
        <v>8.5</v>
      </c>
      <c r="U90" t="n">
        <v>3</v>
      </c>
      <c r="V90" t="n">
        <v>0.8652558750606352</v>
      </c>
      <c r="W90" t="n">
        <v>0.154</v>
      </c>
      <c r="X90" t="n">
        <v>0.224</v>
      </c>
      <c r="Y90" t="n">
        <v>0.4</v>
      </c>
      <c r="Z90" t="n">
        <v>1.6</v>
      </c>
      <c r="AA90" t="n">
        <v>3.3</v>
      </c>
      <c r="AB90" t="n">
        <v>5.6</v>
      </c>
      <c r="AC90" t="n">
        <v>8.6</v>
      </c>
      <c r="AD90" t="n">
        <v>12.4</v>
      </c>
      <c r="AE90" t="n">
        <v>17.5</v>
      </c>
      <c r="AF90" t="n">
        <v>25</v>
      </c>
      <c r="AG90" t="n">
        <v>38.3</v>
      </c>
      <c r="AH90" t="n">
        <v>145.8</v>
      </c>
      <c r="AI90" t="n">
        <v>8341.254116402471</v>
      </c>
      <c r="AJ90" t="n">
        <v>496278.75</v>
      </c>
      <c r="AK90" t="n">
        <v>134675</v>
      </c>
      <c r="AL90" t="n">
        <v>0.2713696687597444</v>
      </c>
      <c r="AM90" t="inlineStr">
        <is>
          <t>-</t>
        </is>
      </c>
      <c r="AN90" t="inlineStr">
        <is>
          <t>17</t>
        </is>
      </c>
      <c r="AO90" t="inlineStr">
        <is>
          <t>7</t>
        </is>
      </c>
      <c r="AP90" t="inlineStr">
        <is>
          <t>12 1/4</t>
        </is>
      </c>
      <c r="AQ90" t="inlineStr">
        <is>
          <t>9</t>
        </is>
      </c>
      <c r="AR90" t="inlineStr">
        <is>
          <t>10.35</t>
        </is>
      </c>
      <c r="AS90" t="inlineStr">
        <is>
          <t>2</t>
        </is>
      </c>
      <c r="AT90" t="n">
        <v>184</v>
      </c>
      <c r="AU90" t="inlineStr">
        <is>
          <t>Emulgex 70 / Vertex 70</t>
        </is>
      </c>
      <c r="AV90" t="inlineStr">
        <is>
          <t>100D2</t>
        </is>
      </c>
      <c r="AW90" t="n">
        <v>0.6637034711537441</v>
      </c>
      <c r="AX90" t="n">
        <v>0.7199554167889937</v>
      </c>
      <c r="AY90" t="n">
        <v>0.7738589700772985</v>
      </c>
      <c r="AZ90" t="n">
        <v>0.823828298069158</v>
      </c>
      <c r="BA90" t="n">
        <v>0.8506372053077904</v>
      </c>
      <c r="BB90" t="n">
        <v>3.346456692913386</v>
      </c>
      <c r="BC90" t="n">
        <v>0.6308133771486598</v>
      </c>
      <c r="BD90" t="n">
        <v>1.501619644595428</v>
      </c>
      <c r="BE90" t="n">
        <v>2.582070308860314</v>
      </c>
      <c r="BF90" t="n">
        <v>3.910764243124278</v>
      </c>
      <c r="BG90" t="n">
        <v>5.564889376163485</v>
      </c>
      <c r="BH90" t="n">
        <v>7.683157917567461</v>
      </c>
      <c r="BI90" t="n">
        <v>10.53391562703813</v>
      </c>
      <c r="BJ90" t="n">
        <v>14.73255298647497</v>
      </c>
      <c r="BK90" t="n">
        <v>22.28648380600295</v>
      </c>
      <c r="BL90" t="n">
        <v>79.33479501100317</v>
      </c>
      <c r="BM90" t="inlineStr"/>
      <c r="BN90" t="n">
        <v>4</v>
      </c>
      <c r="BO90" t="n">
        <v>86</v>
      </c>
      <c r="BP90" t="n">
        <v>250</v>
      </c>
      <c r="BQ90" t="n">
        <v>383</v>
      </c>
      <c r="BR90" t="n">
        <v>1458</v>
      </c>
      <c r="BS9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1">
      <c r="A91" t="inlineStr">
        <is>
          <t>FRAG</t>
        </is>
      </c>
      <c r="B91" t="inlineStr">
        <is>
          <t>Fragmentación Desmonte 2025.xlsx</t>
        </is>
      </c>
      <c r="C91" t="inlineStr">
        <is>
          <t>ANÁLISIS DE FRAGMENTACIÓN</t>
        </is>
      </c>
      <c r="D91" t="n">
        <v>95</v>
      </c>
      <c r="E91" t="inlineStr">
        <is>
          <t>ROM (fragmentación post-voladura en el frente de carguío, por análisis de fotos)</t>
        </is>
      </c>
      <c r="F91" t="inlineStr"/>
      <c r="G91" t="inlineStr">
        <is>
          <t>no indicada en el archivo</t>
        </is>
      </c>
      <c r="H91" t="inlineStr">
        <is>
          <t>2025-02-06</t>
        </is>
      </c>
      <c r="I91" t="inlineStr">
        <is>
          <t>2025-02-13</t>
        </is>
      </c>
      <c r="J91" t="inlineStr">
        <is>
          <t>PALA 09</t>
        </is>
      </c>
      <c r="K91" t="n">
        <v>9</v>
      </c>
      <c r="L91" t="inlineStr">
        <is>
          <t>9-NP-3938-03</t>
        </is>
      </c>
      <c r="M91" t="n">
        <v>9</v>
      </c>
      <c r="N91" t="n">
        <v>3938</v>
      </c>
      <c r="O91" t="inlineStr">
        <is>
          <t>A</t>
        </is>
      </c>
      <c r="P91" t="n">
        <v>30</v>
      </c>
      <c r="Q91" t="inlineStr">
        <is>
          <t>Desmonte</t>
        </is>
      </c>
      <c r="R91" t="inlineStr">
        <is>
          <t>Producción</t>
        </is>
      </c>
      <c r="S91" t="n">
        <v>14</v>
      </c>
      <c r="T91" t="n">
        <v>9.199999999999999</v>
      </c>
      <c r="U91" t="n">
        <v>3</v>
      </c>
      <c r="V91" t="n">
        <v>1.048163518989453</v>
      </c>
      <c r="W91" t="n">
        <v>0.114</v>
      </c>
      <c r="X91" t="n">
        <v>0.176</v>
      </c>
      <c r="Y91" t="n">
        <v>0.8</v>
      </c>
      <c r="Z91" t="n">
        <v>2.4</v>
      </c>
      <c r="AA91" t="n">
        <v>4.3</v>
      </c>
      <c r="AB91" t="n">
        <v>6.6</v>
      </c>
      <c r="AC91" t="n">
        <v>9.199999999999999</v>
      </c>
      <c r="AD91" t="n">
        <v>12.3</v>
      </c>
      <c r="AE91" t="n">
        <v>16</v>
      </c>
      <c r="AF91" t="n">
        <v>21.1</v>
      </c>
      <c r="AG91" t="n">
        <v>29.1</v>
      </c>
      <c r="AH91" t="n">
        <v>74.5</v>
      </c>
      <c r="AI91" t="n">
        <v>11823.84479576278</v>
      </c>
      <c r="AJ91" t="n">
        <v>365310</v>
      </c>
      <c r="AK91" t="n">
        <v>235998</v>
      </c>
      <c r="AL91" t="n">
        <v>0.6460211874846021</v>
      </c>
      <c r="AM91" t="inlineStr">
        <is>
          <t>1.9962054693274205</t>
        </is>
      </c>
      <c r="AN91" t="inlineStr">
        <is>
          <t>16.5</t>
        </is>
      </c>
      <c r="AO91" t="inlineStr">
        <is>
          <t>6.5</t>
        </is>
      </c>
      <c r="AP91" t="inlineStr">
        <is>
          <t>12 1/4</t>
        </is>
      </c>
      <c r="AQ91" t="inlineStr">
        <is>
          <t>6</t>
        </is>
      </c>
      <c r="AR91" t="inlineStr">
        <is>
          <t>7</t>
        </is>
      </c>
      <c r="AS91" t="inlineStr">
        <is>
          <t>1.5</t>
        </is>
      </c>
      <c r="AT91" t="n">
        <v>241</v>
      </c>
      <c r="AU91" t="inlineStr">
        <is>
          <t>Vertex 70</t>
        </is>
      </c>
      <c r="AV91" t="inlineStr">
        <is>
          <t>49/51AR</t>
        </is>
      </c>
      <c r="AW91" t="n">
        <v>0.644548086210345</v>
      </c>
      <c r="AX91" t="n">
        <v>0.6891893265862705</v>
      </c>
      <c r="AY91" t="n">
        <v>0.7329155004795238</v>
      </c>
      <c r="AZ91" t="n">
        <v>0.7749609178227564</v>
      </c>
      <c r="BA91" t="n">
        <v>0.7984677238186036</v>
      </c>
      <c r="BB91" t="n">
        <v>3.622047244094488</v>
      </c>
      <c r="BC91" t="n">
        <v>1.074914803175412</v>
      </c>
      <c r="BD91" t="n">
        <v>2.199403791267469</v>
      </c>
      <c r="BE91" t="n">
        <v>3.440595968126678</v>
      </c>
      <c r="BF91" t="n">
        <v>4.846915905870756</v>
      </c>
      <c r="BG91" t="n">
        <v>6.485260417697177</v>
      </c>
      <c r="BH91" t="n">
        <v>8.463806110392163</v>
      </c>
      <c r="BI91" t="n">
        <v>10.98247281509317</v>
      </c>
      <c r="BJ91" t="n">
        <v>14.48656082278574</v>
      </c>
      <c r="BK91" t="n">
        <v>20.38729302720244</v>
      </c>
      <c r="BL91" t="n">
        <v>58.15096333192611</v>
      </c>
      <c r="BM91" t="inlineStr"/>
      <c r="BN91" t="n">
        <v>8</v>
      </c>
      <c r="BO91" t="n">
        <v>92</v>
      </c>
      <c r="BP91" t="n">
        <v>211</v>
      </c>
      <c r="BQ91" t="n">
        <v>291</v>
      </c>
      <c r="BR91" t="n">
        <v>745</v>
      </c>
      <c r="BS9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2">
      <c r="A92" t="inlineStr">
        <is>
          <t>FRAG</t>
        </is>
      </c>
      <c r="B92" t="inlineStr">
        <is>
          <t>Fragmentación Desmonte 2025.xlsx</t>
        </is>
      </c>
      <c r="C92" t="inlineStr">
        <is>
          <t>ANÁLISIS DE FRAGMENTACIÓN</t>
        </is>
      </c>
      <c r="D92" t="n">
        <v>96</v>
      </c>
      <c r="E92" t="inlineStr">
        <is>
          <t>ROM (fragmentación post-voladura en el frente de carguío, por análisis de fotos)</t>
        </is>
      </c>
      <c r="F92" t="inlineStr"/>
      <c r="G92" t="inlineStr">
        <is>
          <t>no indicada en el archivo</t>
        </is>
      </c>
      <c r="H92" t="inlineStr">
        <is>
          <t>2025-02-06</t>
        </is>
      </c>
      <c r="I92" t="inlineStr">
        <is>
          <t>2025-02-14</t>
        </is>
      </c>
      <c r="J92" t="inlineStr">
        <is>
          <t>PALA 08</t>
        </is>
      </c>
      <c r="K92" t="n">
        <v>9</v>
      </c>
      <c r="L92" t="inlineStr">
        <is>
          <t>9-NP-3938-03</t>
        </is>
      </c>
      <c r="M92" t="n">
        <v>10</v>
      </c>
      <c r="N92" t="n">
        <v>3938</v>
      </c>
      <c r="O92" t="inlineStr">
        <is>
          <t>C</t>
        </is>
      </c>
      <c r="P92" t="n">
        <v>30</v>
      </c>
      <c r="Q92" t="inlineStr">
        <is>
          <t>Desmonte</t>
        </is>
      </c>
      <c r="R92" t="inlineStr">
        <is>
          <t>Producción</t>
        </is>
      </c>
      <c r="S92" t="n">
        <v>8</v>
      </c>
      <c r="T92" t="n">
        <v>7.7</v>
      </c>
      <c r="U92" t="n">
        <v>3</v>
      </c>
      <c r="V92" t="n">
        <v>1.000781970165239</v>
      </c>
      <c r="W92" t="n">
        <v>0.142</v>
      </c>
      <c r="X92" t="n">
        <v>0.214</v>
      </c>
      <c r="Y92" t="n">
        <v>0.5</v>
      </c>
      <c r="Z92" t="n">
        <v>1.7</v>
      </c>
      <c r="AA92" t="n">
        <v>3.4</v>
      </c>
      <c r="AB92" t="n">
        <v>5.4</v>
      </c>
      <c r="AC92" t="n">
        <v>7.7</v>
      </c>
      <c r="AD92" t="n">
        <v>10.6</v>
      </c>
      <c r="AE92" t="n">
        <v>14.2</v>
      </c>
      <c r="AF92" t="n">
        <v>19.1</v>
      </c>
      <c r="AG92" t="n">
        <v>27</v>
      </c>
      <c r="AH92" t="n">
        <v>72.2</v>
      </c>
      <c r="AI92" t="n">
        <v>10860.199071002</v>
      </c>
      <c r="AJ92" t="n">
        <v>365310</v>
      </c>
      <c r="AK92" t="n">
        <v>235998</v>
      </c>
      <c r="AL92" t="n">
        <v>0.6460211874846021</v>
      </c>
      <c r="AM92" t="inlineStr">
        <is>
          <t>1.9962054693274205</t>
        </is>
      </c>
      <c r="AN92" t="inlineStr">
        <is>
          <t>16.5</t>
        </is>
      </c>
      <c r="AO92" t="inlineStr">
        <is>
          <t>6.5</t>
        </is>
      </c>
      <c r="AP92" t="inlineStr">
        <is>
          <t>12 1/4</t>
        </is>
      </c>
      <c r="AQ92" t="inlineStr">
        <is>
          <t>6</t>
        </is>
      </c>
      <c r="AR92" t="inlineStr">
        <is>
          <t>7</t>
        </is>
      </c>
      <c r="AS92" t="inlineStr">
        <is>
          <t>1.5</t>
        </is>
      </c>
      <c r="AT92" t="n">
        <v>241</v>
      </c>
      <c r="AU92" t="inlineStr">
        <is>
          <t>Vertex 70</t>
        </is>
      </c>
      <c r="AV92" t="inlineStr">
        <is>
          <t>49/51AR</t>
        </is>
      </c>
      <c r="AW92" t="n">
        <v>0.6508676875745174</v>
      </c>
      <c r="AX92" t="n">
        <v>0.7049373007873186</v>
      </c>
      <c r="AY92" t="n">
        <v>0.757253044103414</v>
      </c>
      <c r="AZ92" t="n">
        <v>0.8064290879646788</v>
      </c>
      <c r="BA92" t="n">
        <v>0.8332002068355535</v>
      </c>
      <c r="BB92" t="n">
        <v>3.031496062992126</v>
      </c>
      <c r="BC92" t="n">
        <v>0.8127037286009953</v>
      </c>
      <c r="BD92" t="n">
        <v>1.72022024828633</v>
      </c>
      <c r="BE92" t="n">
        <v>2.748610256434964</v>
      </c>
      <c r="BF92" t="n">
        <v>3.935422306949432</v>
      </c>
      <c r="BG92" t="n">
        <v>5.338761976614281</v>
      </c>
      <c r="BH92" t="n">
        <v>7.055920592298962</v>
      </c>
      <c r="BI92" t="n">
        <v>9.269246073516433</v>
      </c>
      <c r="BJ92" t="n">
        <v>12.38806472713317</v>
      </c>
      <c r="BK92" t="n">
        <v>17.71835477500247</v>
      </c>
      <c r="BL92" t="n">
        <v>53.10945502326986</v>
      </c>
      <c r="BM92" t="inlineStr"/>
      <c r="BN92" t="n">
        <v>5</v>
      </c>
      <c r="BO92" t="n">
        <v>77</v>
      </c>
      <c r="BP92" t="n">
        <v>191</v>
      </c>
      <c r="BQ92" t="n">
        <v>270</v>
      </c>
      <c r="BR92" t="n">
        <v>722</v>
      </c>
      <c r="BS9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3">
      <c r="A93" t="inlineStr">
        <is>
          <t>FRAG</t>
        </is>
      </c>
      <c r="B93" t="inlineStr">
        <is>
          <t>Fragmentación Desmonte 2025.xlsx</t>
        </is>
      </c>
      <c r="C93" t="inlineStr">
        <is>
          <t>ANÁLISIS DE FRAGMENTACIÓN</t>
        </is>
      </c>
      <c r="D93" t="n">
        <v>97</v>
      </c>
      <c r="E93" t="inlineStr">
        <is>
          <t>ROM (fragmentación post-voladura en el frente de carguío, por análisis de fotos)</t>
        </is>
      </c>
      <c r="F93" t="inlineStr"/>
      <c r="G93" t="inlineStr">
        <is>
          <t>no indicada en el archivo</t>
        </is>
      </c>
      <c r="H93" t="inlineStr">
        <is>
          <t>2025-02-03</t>
        </is>
      </c>
      <c r="I93" t="inlineStr">
        <is>
          <t>2025-02-15</t>
        </is>
      </c>
      <c r="J93" t="inlineStr">
        <is>
          <t>PALA 11</t>
        </is>
      </c>
      <c r="K93" t="n">
        <v>10</v>
      </c>
      <c r="L93" t="inlineStr">
        <is>
          <t>10-NP-4433-19</t>
        </is>
      </c>
      <c r="M93" t="n">
        <v>3</v>
      </c>
      <c r="N93" t="n">
        <v>4433</v>
      </c>
      <c r="O93" t="inlineStr">
        <is>
          <t>C1</t>
        </is>
      </c>
      <c r="P93" t="n">
        <v>30</v>
      </c>
      <c r="Q93" t="inlineStr">
        <is>
          <t>Desmonte</t>
        </is>
      </c>
      <c r="R93" t="inlineStr">
        <is>
          <t>Producción</t>
        </is>
      </c>
      <c r="S93" t="n">
        <v>5</v>
      </c>
      <c r="T93" t="n">
        <v>6.7</v>
      </c>
      <c r="U93" t="n">
        <v>3</v>
      </c>
      <c r="V93" t="n">
        <v>0.9163827183121346</v>
      </c>
      <c r="W93" t="n">
        <v>0.161</v>
      </c>
      <c r="X93" t="n">
        <v>0.242</v>
      </c>
      <c r="Y93" t="n">
        <v>0.4</v>
      </c>
      <c r="Z93" t="n">
        <v>1.4</v>
      </c>
      <c r="AA93" t="n">
        <v>2.8</v>
      </c>
      <c r="AB93" t="n">
        <v>4.6</v>
      </c>
      <c r="AC93" t="n">
        <v>6.7</v>
      </c>
      <c r="AD93" t="n">
        <v>9.5</v>
      </c>
      <c r="AE93" t="n">
        <v>13</v>
      </c>
      <c r="AF93" t="n">
        <v>18.1</v>
      </c>
      <c r="AG93" t="n">
        <v>26.7</v>
      </c>
      <c r="AH93" t="n">
        <v>87.5</v>
      </c>
      <c r="AI93" t="inlineStr"/>
      <c r="AJ93" t="n">
        <v>892526.25</v>
      </c>
      <c r="AK93" t="n">
        <v>255234.8</v>
      </c>
      <c r="AL93" t="n">
        <v>0.2859689560951288</v>
      </c>
      <c r="AM93" t="inlineStr">
        <is>
          <t>0.8836440743339481</t>
        </is>
      </c>
      <c r="AN93" t="inlineStr">
        <is>
          <t>17</t>
        </is>
      </c>
      <c r="AO93" t="inlineStr">
        <is>
          <t>7</t>
        </is>
      </c>
      <c r="AP93" t="inlineStr">
        <is>
          <t>12 1/4</t>
        </is>
      </c>
      <c r="AQ93" t="inlineStr">
        <is>
          <t>9</t>
        </is>
      </c>
      <c r="AR93" t="inlineStr">
        <is>
          <t>10.35</t>
        </is>
      </c>
      <c r="AS93" t="inlineStr">
        <is>
          <t>2</t>
        </is>
      </c>
      <c r="AT93" t="n">
        <v>274</v>
      </c>
      <c r="AU93" t="inlineStr">
        <is>
          <t>Vertex 70</t>
        </is>
      </c>
      <c r="AV93" t="inlineStr">
        <is>
          <t>50/50AR</t>
        </is>
      </c>
      <c r="AW93" t="n">
        <v>0.6611426264825204</v>
      </c>
      <c r="AX93" t="n">
        <v>0.7219112217935635</v>
      </c>
      <c r="AY93" t="n">
        <v>0.7798725847559747</v>
      </c>
      <c r="AZ93" t="n">
        <v>0.8330347647508423</v>
      </c>
      <c r="BA93" t="n">
        <v>0.8611709412264241</v>
      </c>
      <c r="BB93" t="n">
        <v>2.637795275590551</v>
      </c>
      <c r="BC93" t="n">
        <v>0.5748769085827129</v>
      </c>
      <c r="BD93" t="n">
        <v>1.303825113680178</v>
      </c>
      <c r="BE93" t="n">
        <v>2.175171827870517</v>
      </c>
      <c r="BF93" t="n">
        <v>3.219053532828538</v>
      </c>
      <c r="BG93" t="n">
        <v>4.491341167884113</v>
      </c>
      <c r="BH93" t="n">
        <v>6.090370931516499</v>
      </c>
      <c r="BI93" t="n">
        <v>8.204413096153024</v>
      </c>
      <c r="BJ93" t="n">
        <v>11.26179085575063</v>
      </c>
      <c r="BK93" t="n">
        <v>16.64721655004725</v>
      </c>
      <c r="BL93" t="n">
        <v>55.20759429770506</v>
      </c>
      <c r="BM93" t="inlineStr"/>
      <c r="BN93" t="n">
        <v>4</v>
      </c>
      <c r="BO93" t="n">
        <v>67</v>
      </c>
      <c r="BP93" t="n">
        <v>181</v>
      </c>
      <c r="BQ93" t="n">
        <v>267</v>
      </c>
      <c r="BR93" t="n">
        <v>875</v>
      </c>
      <c r="BS9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4">
      <c r="A94" t="inlineStr">
        <is>
          <t>FRAG</t>
        </is>
      </c>
      <c r="B94" t="inlineStr">
        <is>
          <t>Fragmentación Desmonte 2025.xlsx</t>
        </is>
      </c>
      <c r="C94" t="inlineStr">
        <is>
          <t>ANÁLISIS DE FRAGMENTACIÓN</t>
        </is>
      </c>
      <c r="D94" t="n">
        <v>98</v>
      </c>
      <c r="E94" t="inlineStr">
        <is>
          <t>ROM (fragmentación post-voladura en el frente de carguío, por análisis de fotos)</t>
        </is>
      </c>
      <c r="F94" t="inlineStr"/>
      <c r="G94" t="inlineStr">
        <is>
          <t>no indicada en el archivo</t>
        </is>
      </c>
      <c r="H94" t="inlineStr">
        <is>
          <t>2025-01-28</t>
        </is>
      </c>
      <c r="I94" t="inlineStr">
        <is>
          <t>2025-02-16</t>
        </is>
      </c>
      <c r="J94" t="inlineStr">
        <is>
          <t>PALA 07</t>
        </is>
      </c>
      <c r="K94" t="n">
        <v>8</v>
      </c>
      <c r="L94" t="inlineStr">
        <is>
          <t>8-NP-3758-12</t>
        </is>
      </c>
      <c r="M94" t="n">
        <v>1</v>
      </c>
      <c r="N94" t="n">
        <v>3758</v>
      </c>
      <c r="O94" t="inlineStr">
        <is>
          <t>A</t>
        </is>
      </c>
      <c r="P94" t="n">
        <v>30</v>
      </c>
      <c r="Q94" t="inlineStr">
        <is>
          <t>Desmonte</t>
        </is>
      </c>
      <c r="R94" t="inlineStr">
        <is>
          <t>Producción</t>
        </is>
      </c>
      <c r="S94" t="n">
        <v>6</v>
      </c>
      <c r="T94" t="n">
        <v>6.8</v>
      </c>
      <c r="U94" t="n">
        <v>3</v>
      </c>
      <c r="V94" t="n">
        <v>0.9127737916000686</v>
      </c>
      <c r="W94" t="n">
        <v>0.148</v>
      </c>
      <c r="X94" t="n">
        <v>0.229</v>
      </c>
      <c r="Y94" t="n">
        <v>0.5</v>
      </c>
      <c r="Z94" t="n">
        <v>1.6</v>
      </c>
      <c r="AA94" t="n">
        <v>3</v>
      </c>
      <c r="AB94" t="n">
        <v>4.7</v>
      </c>
      <c r="AC94" t="n">
        <v>6.8</v>
      </c>
      <c r="AD94" t="n">
        <v>9.4</v>
      </c>
      <c r="AE94" t="n">
        <v>12.8</v>
      </c>
      <c r="AF94" t="n">
        <v>17.6</v>
      </c>
      <c r="AG94" t="n">
        <v>25.8</v>
      </c>
      <c r="AH94" t="n">
        <v>90.3</v>
      </c>
      <c r="AI94" t="inlineStr"/>
      <c r="AJ94" t="n">
        <v>237558.75</v>
      </c>
      <c r="AK94" t="n">
        <v>56136</v>
      </c>
      <c r="AL94" t="n">
        <v>0.236303651202071</v>
      </c>
      <c r="AM94" t="inlineStr">
        <is>
          <t>-</t>
        </is>
      </c>
      <c r="AN94" t="inlineStr">
        <is>
          <t>16.5</t>
        </is>
      </c>
      <c r="AO94" t="inlineStr">
        <is>
          <t>6.5</t>
        </is>
      </c>
      <c r="AP94" t="inlineStr">
        <is>
          <t>12 1/4</t>
        </is>
      </c>
      <c r="AQ94" t="inlineStr">
        <is>
          <t>6</t>
        </is>
      </c>
      <c r="AR94" t="inlineStr">
        <is>
          <t>7</t>
        </is>
      </c>
      <c r="AS94" t="inlineStr">
        <is>
          <t>1.5</t>
        </is>
      </c>
      <c r="AT94" t="n">
        <v>66</v>
      </c>
      <c r="AU94" t="inlineStr">
        <is>
          <t>Vertex 100</t>
        </is>
      </c>
      <c r="AV94" t="inlineStr">
        <is>
          <t>-</t>
        </is>
      </c>
      <c r="AW94" t="n">
        <v>0.6599181267152319</v>
      </c>
      <c r="AX94" t="n">
        <v>0.7175084864991566</v>
      </c>
      <c r="AY94" t="n">
        <v>0.7727174456817225</v>
      </c>
      <c r="AZ94" t="n">
        <v>0.8238506143018323</v>
      </c>
      <c r="BA94" t="n">
        <v>0.8512331102210364</v>
      </c>
      <c r="BB94" t="n">
        <v>2.677165354330708</v>
      </c>
      <c r="BC94" t="n">
        <v>0.5778195676800869</v>
      </c>
      <c r="BD94" t="n">
        <v>1.314749064087483</v>
      </c>
      <c r="BE94" t="n">
        <v>2.197839257332476</v>
      </c>
      <c r="BF94" t="n">
        <v>3.257644055721966</v>
      </c>
      <c r="BG94" t="n">
        <v>4.551173430764481</v>
      </c>
      <c r="BH94" t="n">
        <v>6.178940934916376</v>
      </c>
      <c r="BI94" t="n">
        <v>8.333538686659546</v>
      </c>
      <c r="BJ94" t="n">
        <v>11.45336969374595</v>
      </c>
      <c r="BK94" t="n">
        <v>16.95659102883971</v>
      </c>
      <c r="BL94" t="n">
        <v>56.50076330493042</v>
      </c>
      <c r="BM94" t="inlineStr"/>
      <c r="BN94" t="n">
        <v>5</v>
      </c>
      <c r="BO94" t="n">
        <v>68</v>
      </c>
      <c r="BP94" t="n">
        <v>176</v>
      </c>
      <c r="BQ94" t="n">
        <v>258</v>
      </c>
      <c r="BR94" t="n">
        <v>903</v>
      </c>
      <c r="BS9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5">
      <c r="A95" t="inlineStr">
        <is>
          <t>FRAG</t>
        </is>
      </c>
      <c r="B95" t="inlineStr">
        <is>
          <t>Fragmentación Desmonte 2025.xlsx</t>
        </is>
      </c>
      <c r="C95" t="inlineStr">
        <is>
          <t>ANÁLISIS DE FRAGMENTACIÓN</t>
        </is>
      </c>
      <c r="D95" t="n">
        <v>99</v>
      </c>
      <c r="E95" t="inlineStr">
        <is>
          <t>ROM (fragmentación post-voladura en el frente de carguío, por análisis de fotos)</t>
        </is>
      </c>
      <c r="F95" t="inlineStr"/>
      <c r="G95" t="inlineStr">
        <is>
          <t>no indicada en el archivo</t>
        </is>
      </c>
      <c r="H95" t="inlineStr">
        <is>
          <t>2025-02-14</t>
        </is>
      </c>
      <c r="I95" t="inlineStr">
        <is>
          <t>2025-02-16</t>
        </is>
      </c>
      <c r="J95" t="inlineStr">
        <is>
          <t>PALA 10</t>
        </is>
      </c>
      <c r="K95" t="n">
        <v>8</v>
      </c>
      <c r="L95" t="inlineStr">
        <is>
          <t>8-NP-3758-20</t>
        </is>
      </c>
      <c r="M95" t="n">
        <v>2</v>
      </c>
      <c r="N95" t="n">
        <v>3758</v>
      </c>
      <c r="O95" t="inlineStr">
        <is>
          <t>A</t>
        </is>
      </c>
      <c r="P95" t="n">
        <v>30</v>
      </c>
      <c r="Q95" t="inlineStr">
        <is>
          <t>Desmonte</t>
        </is>
      </c>
      <c r="R95" t="inlineStr">
        <is>
          <t>Producción</t>
        </is>
      </c>
      <c r="S95" t="n">
        <v>6</v>
      </c>
      <c r="T95" t="n">
        <v>5.8</v>
      </c>
      <c r="U95" t="n">
        <v>3</v>
      </c>
      <c r="V95" t="n">
        <v>0.8539646326522115</v>
      </c>
      <c r="W95" t="n">
        <v>0.189</v>
      </c>
      <c r="X95" t="n">
        <v>0.278</v>
      </c>
      <c r="Y95" t="n">
        <v>0.3</v>
      </c>
      <c r="Z95" t="n">
        <v>1</v>
      </c>
      <c r="AA95" t="n">
        <v>2.2</v>
      </c>
      <c r="AB95" t="n">
        <v>3.8</v>
      </c>
      <c r="AC95" t="n">
        <v>5.8</v>
      </c>
      <c r="AD95" t="n">
        <v>8.4</v>
      </c>
      <c r="AE95" t="n">
        <v>12</v>
      </c>
      <c r="AF95" t="n">
        <v>17.2</v>
      </c>
      <c r="AG95" t="n">
        <v>26.6</v>
      </c>
      <c r="AH95" t="n">
        <v>105</v>
      </c>
      <c r="AI95" t="inlineStr"/>
      <c r="AJ95" t="n">
        <v>153986.25</v>
      </c>
      <c r="AK95" t="n">
        <v>58449.8</v>
      </c>
      <c r="AL95" t="n">
        <v>0.3795780467411863</v>
      </c>
      <c r="AM95" t="inlineStr">
        <is>
          <t>1.1728961644302656</t>
        </is>
      </c>
      <c r="AN95" t="inlineStr">
        <is>
          <t>16.5</t>
        </is>
      </c>
      <c r="AO95" t="inlineStr">
        <is>
          <t>6.5</t>
        </is>
      </c>
      <c r="AP95" t="inlineStr">
        <is>
          <t>12 1/4</t>
        </is>
      </c>
      <c r="AQ95" t="inlineStr">
        <is>
          <t>6</t>
        </is>
      </c>
      <c r="AR95" t="inlineStr">
        <is>
          <t>7</t>
        </is>
      </c>
      <c r="AS95" t="inlineStr">
        <is>
          <t>1.5</t>
        </is>
      </c>
      <c r="AT95" t="n">
        <v>109</v>
      </c>
      <c r="AU95" t="inlineStr">
        <is>
          <t>Vertex 70</t>
        </is>
      </c>
      <c r="AV95" t="inlineStr">
        <is>
          <t>100%D2</t>
        </is>
      </c>
      <c r="AW95" t="n">
        <v>0.6726253993715765</v>
      </c>
      <c r="AX95" t="n">
        <v>0.7417824099338506</v>
      </c>
      <c r="AY95" t="n">
        <v>0.8063465344910152</v>
      </c>
      <c r="AZ95" t="n">
        <v>0.8633816599689759</v>
      </c>
      <c r="BA95" t="n">
        <v>0.892264227517326</v>
      </c>
      <c r="BB95" t="n">
        <v>2.283464566929134</v>
      </c>
      <c r="BC95" t="n">
        <v>0.4158869696679615</v>
      </c>
      <c r="BD95" t="n">
        <v>1.001416170569301</v>
      </c>
      <c r="BE95" t="n">
        <v>1.734344320171924</v>
      </c>
      <c r="BF95" t="n">
        <v>2.641269775403188</v>
      </c>
      <c r="BG95" t="n">
        <v>3.776010787122407</v>
      </c>
      <c r="BH95" t="n">
        <v>5.235626423873282</v>
      </c>
      <c r="BI95" t="n">
        <v>7.208266295198451</v>
      </c>
      <c r="BJ95" t="n">
        <v>10.12617220166479</v>
      </c>
      <c r="BK95" t="n">
        <v>15.40230468398109</v>
      </c>
      <c r="BL95" t="n">
        <v>55.75692860624976</v>
      </c>
      <c r="BM95" t="inlineStr"/>
      <c r="BN95" t="n">
        <v>3</v>
      </c>
      <c r="BO95" t="n">
        <v>58</v>
      </c>
      <c r="BP95" t="n">
        <v>172</v>
      </c>
      <c r="BQ95" t="n">
        <v>266</v>
      </c>
      <c r="BR95" t="n">
        <v>1050</v>
      </c>
      <c r="BS9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6">
      <c r="A96" t="inlineStr">
        <is>
          <t>FRAG</t>
        </is>
      </c>
      <c r="B96" t="inlineStr">
        <is>
          <t>Fragmentación Desmonte 2025.xlsx</t>
        </is>
      </c>
      <c r="C96" t="inlineStr">
        <is>
          <t>ANÁLISIS DE FRAGMENTACIÓN</t>
        </is>
      </c>
      <c r="D96" t="n">
        <v>100</v>
      </c>
      <c r="E96" t="inlineStr">
        <is>
          <t>ROM (fragmentación post-voladura en el frente de carguío, por análisis de fotos)</t>
        </is>
      </c>
      <c r="F96" t="inlineStr"/>
      <c r="G96" t="inlineStr">
        <is>
          <t>no indicada en el archivo</t>
        </is>
      </c>
      <c r="H96" t="inlineStr">
        <is>
          <t>2025-01-25</t>
        </is>
      </c>
      <c r="I96" t="inlineStr">
        <is>
          <t>2025-02-17</t>
        </is>
      </c>
      <c r="J96" t="inlineStr">
        <is>
          <t>PALA 09</t>
        </is>
      </c>
      <c r="K96" t="n">
        <v>9</v>
      </c>
      <c r="L96" t="inlineStr">
        <is>
          <t>9-NP-3953-08</t>
        </is>
      </c>
      <c r="M96" t="n">
        <v>2</v>
      </c>
      <c r="N96" t="n">
        <v>3953</v>
      </c>
      <c r="O96" t="inlineStr">
        <is>
          <t>A</t>
        </is>
      </c>
      <c r="P96" t="n">
        <v>30</v>
      </c>
      <c r="Q96" t="inlineStr">
        <is>
          <t>Desmonte</t>
        </is>
      </c>
      <c r="R96" t="inlineStr">
        <is>
          <t>Producción</t>
        </is>
      </c>
      <c r="S96" t="n">
        <v>4</v>
      </c>
      <c r="T96" t="n">
        <v>7</v>
      </c>
      <c r="U96" t="n">
        <v>3</v>
      </c>
      <c r="V96" t="n">
        <v>0.8976181874643224</v>
      </c>
      <c r="W96" t="n">
        <v>0.14</v>
      </c>
      <c r="X96" t="n">
        <v>0.219</v>
      </c>
      <c r="Y96" t="n">
        <v>0.5</v>
      </c>
      <c r="Z96" t="n">
        <v>1.7</v>
      </c>
      <c r="AA96" t="n">
        <v>3.2</v>
      </c>
      <c r="AB96" t="n">
        <v>4.9</v>
      </c>
      <c r="AC96" t="n">
        <v>7.1</v>
      </c>
      <c r="AD96" t="n">
        <v>9.699999999999999</v>
      </c>
      <c r="AE96" t="n">
        <v>13.2</v>
      </c>
      <c r="AF96" t="n">
        <v>18.1</v>
      </c>
      <c r="AG96" t="n">
        <v>26.7</v>
      </c>
      <c r="AH96" t="n">
        <v>101.4</v>
      </c>
      <c r="AI96" t="n">
        <v>12109.87346970202</v>
      </c>
      <c r="AJ96" t="n">
        <v>634837.5</v>
      </c>
      <c r="AK96" t="n">
        <v>241216</v>
      </c>
      <c r="AL96" t="n">
        <v>0.3799649516608581</v>
      </c>
      <c r="AM96" t="inlineStr">
        <is>
          <t>1.1740917006320515</t>
        </is>
      </c>
      <c r="AN96" t="inlineStr">
        <is>
          <t>17</t>
        </is>
      </c>
      <c r="AO96" t="inlineStr">
        <is>
          <t>7</t>
        </is>
      </c>
      <c r="AP96" t="inlineStr">
        <is>
          <t>12 1/4</t>
        </is>
      </c>
      <c r="AQ96" t="inlineStr">
        <is>
          <t>6</t>
        </is>
      </c>
      <c r="AR96" t="inlineStr">
        <is>
          <t>7</t>
        </is>
      </c>
      <c r="AS96" t="inlineStr">
        <is>
          <t>2</t>
        </is>
      </c>
      <c r="AT96" t="n">
        <v>267</v>
      </c>
      <c r="AU96" t="inlineStr">
        <is>
          <t>Vertex 70</t>
        </is>
      </c>
      <c r="AV96" t="inlineStr">
        <is>
          <t>52AR/48D2</t>
        </is>
      </c>
      <c r="AW96" t="n">
        <v>0.6600516184004319</v>
      </c>
      <c r="AX96" t="n">
        <v>0.7151612105519236</v>
      </c>
      <c r="AY96" t="n">
        <v>0.7681572833227023</v>
      </c>
      <c r="AZ96" t="n">
        <v>0.8175550610286185</v>
      </c>
      <c r="BA96" t="n">
        <v>0.8442164722340326</v>
      </c>
      <c r="BB96" t="n">
        <v>2.755905511811024</v>
      </c>
      <c r="BC96" t="n">
        <v>0.5705623776203046</v>
      </c>
      <c r="BD96" t="n">
        <v>1.316383064340815</v>
      </c>
      <c r="BE96" t="n">
        <v>2.21974513566293</v>
      </c>
      <c r="BF96" t="n">
        <v>3.312046789978679</v>
      </c>
      <c r="BG96" t="n">
        <v>4.653375993261294</v>
      </c>
      <c r="BH96" t="n">
        <v>6.350396952963022</v>
      </c>
      <c r="BI96" t="n">
        <v>8.608149655747622</v>
      </c>
      <c r="BJ96" t="n">
        <v>11.89447863702353</v>
      </c>
      <c r="BK96" t="n">
        <v>17.72669780578238</v>
      </c>
      <c r="BL96" t="n">
        <v>60.27944858674908</v>
      </c>
      <c r="BM96" t="inlineStr"/>
      <c r="BN96" t="n">
        <v>5</v>
      </c>
      <c r="BO96" t="n">
        <v>71</v>
      </c>
      <c r="BP96" t="n">
        <v>181</v>
      </c>
      <c r="BQ96" t="n">
        <v>267</v>
      </c>
      <c r="BR96" t="n">
        <v>1014</v>
      </c>
      <c r="BS9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7">
      <c r="A97" t="inlineStr">
        <is>
          <t>FRAG</t>
        </is>
      </c>
      <c r="B97" t="inlineStr">
        <is>
          <t>Fragmentación Desmonte 2025.xlsx</t>
        </is>
      </c>
      <c r="C97" t="inlineStr">
        <is>
          <t>ANÁLISIS DE FRAGMENTACIÓN</t>
        </is>
      </c>
      <c r="D97" t="n">
        <v>101</v>
      </c>
      <c r="E97" t="inlineStr">
        <is>
          <t>ROM (fragmentación post-voladura en el frente de carguío, por análisis de fotos)</t>
        </is>
      </c>
      <c r="F97" t="inlineStr"/>
      <c r="G97" t="inlineStr">
        <is>
          <t>no indicada en el archivo</t>
        </is>
      </c>
      <c r="H97" t="inlineStr">
        <is>
          <t>2025-02-14</t>
        </is>
      </c>
      <c r="I97" t="inlineStr">
        <is>
          <t>2025-02-18</t>
        </is>
      </c>
      <c r="J97" t="inlineStr">
        <is>
          <t>PALA 06</t>
        </is>
      </c>
      <c r="K97" t="n">
        <v>10</v>
      </c>
      <c r="L97" t="inlineStr">
        <is>
          <t>10-NP-4433-21</t>
        </is>
      </c>
      <c r="M97" t="n">
        <v>2</v>
      </c>
      <c r="N97" t="n">
        <v>4433</v>
      </c>
      <c r="O97" t="inlineStr">
        <is>
          <t>B</t>
        </is>
      </c>
      <c r="P97" t="n">
        <v>30</v>
      </c>
      <c r="Q97" t="inlineStr">
        <is>
          <t>Desmonte</t>
        </is>
      </c>
      <c r="R97" t="inlineStr">
        <is>
          <t>Producción</t>
        </is>
      </c>
      <c r="S97" t="n">
        <v>3</v>
      </c>
      <c r="T97" t="n">
        <v>7.6</v>
      </c>
      <c r="U97" t="n">
        <v>3</v>
      </c>
      <c r="V97" t="n">
        <v>0.9459915692695184</v>
      </c>
      <c r="W97" t="n">
        <v>0.17</v>
      </c>
      <c r="X97" t="n">
        <v>0.243</v>
      </c>
      <c r="Y97" t="n">
        <v>0.3</v>
      </c>
      <c r="Z97" t="n">
        <v>1.3</v>
      </c>
      <c r="AA97" t="n">
        <v>2.9</v>
      </c>
      <c r="AB97" t="n">
        <v>5</v>
      </c>
      <c r="AC97" t="n">
        <v>7.6</v>
      </c>
      <c r="AD97" t="n">
        <v>10.9</v>
      </c>
      <c r="AE97" t="n">
        <v>15.3</v>
      </c>
      <c r="AF97" t="n">
        <v>21.3</v>
      </c>
      <c r="AG97" t="n">
        <v>31.4</v>
      </c>
      <c r="AH97" t="n">
        <v>87.3</v>
      </c>
      <c r="AI97" t="inlineStr"/>
      <c r="AJ97" t="n">
        <v>1494858.75</v>
      </c>
      <c r="AK97" t="n">
        <v>396032</v>
      </c>
      <c r="AL97" t="n">
        <v>0.2649293787790986</v>
      </c>
      <c r="AM97" t="inlineStr">
        <is>
          <t>0.8186317804274149</t>
        </is>
      </c>
      <c r="AN97" t="inlineStr">
        <is>
          <t>17</t>
        </is>
      </c>
      <c r="AO97" t="inlineStr">
        <is>
          <t>7</t>
        </is>
      </c>
      <c r="AP97" t="inlineStr">
        <is>
          <t>12 1/4</t>
        </is>
      </c>
      <c r="AQ97" t="inlineStr">
        <is>
          <t>9</t>
        </is>
      </c>
      <c r="AR97" t="inlineStr">
        <is>
          <t>10.35</t>
        </is>
      </c>
      <c r="AS97" t="inlineStr">
        <is>
          <t>2</t>
        </is>
      </c>
      <c r="AT97" t="n">
        <v>574</v>
      </c>
      <c r="AU97" t="inlineStr">
        <is>
          <t>Vertex 70</t>
        </is>
      </c>
      <c r="AV97" t="inlineStr">
        <is>
          <t>100D2</t>
        </is>
      </c>
      <c r="AW97" t="n">
        <v>0.6584278726545363</v>
      </c>
      <c r="AX97" t="n">
        <v>0.7195216791925219</v>
      </c>
      <c r="AY97" t="n">
        <v>0.7778655786218489</v>
      </c>
      <c r="AZ97" t="n">
        <v>0.8314410283669749</v>
      </c>
      <c r="BA97" t="n">
        <v>0.8598201331687282</v>
      </c>
      <c r="BB97" t="n">
        <v>2.992125984251969</v>
      </c>
      <c r="BC97" t="n">
        <v>0.7041972579309129</v>
      </c>
      <c r="BD97" t="n">
        <v>1.556708843523235</v>
      </c>
      <c r="BE97" t="n">
        <v>2.555786654574613</v>
      </c>
      <c r="BF97" t="n">
        <v>3.73620766225004</v>
      </c>
      <c r="BG97" t="n">
        <v>5.158833136166502</v>
      </c>
      <c r="BH97" t="n">
        <v>6.929139354426799</v>
      </c>
      <c r="BI97" t="n">
        <v>9.247680705420237</v>
      </c>
      <c r="BJ97" t="n">
        <v>12.56860965681812</v>
      </c>
      <c r="BK97" t="n">
        <v>18.35307558296764</v>
      </c>
      <c r="BL97" t="n">
        <v>58.6232449433031</v>
      </c>
      <c r="BM97" t="inlineStr"/>
      <c r="BN97" t="n">
        <v>3</v>
      </c>
      <c r="BO97" t="n">
        <v>76</v>
      </c>
      <c r="BP97" t="n">
        <v>213</v>
      </c>
      <c r="BQ97" t="n">
        <v>314</v>
      </c>
      <c r="BR97" t="n">
        <v>873</v>
      </c>
      <c r="BS9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8">
      <c r="A98" t="inlineStr">
        <is>
          <t>FRAG</t>
        </is>
      </c>
      <c r="B98" t="inlineStr">
        <is>
          <t>Fragmentación Desmonte 2025.xlsx</t>
        </is>
      </c>
      <c r="C98" t="inlineStr">
        <is>
          <t>ANÁLISIS DE FRAGMENTACIÓN</t>
        </is>
      </c>
      <c r="D98" t="n">
        <v>102</v>
      </c>
      <c r="E98" t="inlineStr">
        <is>
          <t>ROM (fragmentación post-voladura en el frente de carguío, por análisis de fotos)</t>
        </is>
      </c>
      <c r="F98" t="inlineStr"/>
      <c r="G98" t="inlineStr">
        <is>
          <t>no indicada en el archivo</t>
        </is>
      </c>
      <c r="H98" t="inlineStr">
        <is>
          <t>2025-02-14</t>
        </is>
      </c>
      <c r="I98" t="inlineStr">
        <is>
          <t>2025-02-18</t>
        </is>
      </c>
      <c r="J98" t="inlineStr">
        <is>
          <t>PALA 11</t>
        </is>
      </c>
      <c r="K98" t="n">
        <v>10</v>
      </c>
      <c r="L98" t="inlineStr">
        <is>
          <t>10-NP-4433-21</t>
        </is>
      </c>
      <c r="M98" t="n">
        <v>6</v>
      </c>
      <c r="N98" t="n">
        <v>4433</v>
      </c>
      <c r="O98" t="inlineStr">
        <is>
          <t>C1</t>
        </is>
      </c>
      <c r="P98" t="n">
        <v>30</v>
      </c>
      <c r="Q98" t="inlineStr">
        <is>
          <t>Desmonte</t>
        </is>
      </c>
      <c r="R98" t="inlineStr">
        <is>
          <t>Producción</t>
        </is>
      </c>
      <c r="S98" t="n">
        <v>3</v>
      </c>
      <c r="T98" t="n">
        <v>6.6</v>
      </c>
      <c r="U98" t="n">
        <v>4</v>
      </c>
      <c r="V98" t="n">
        <v>1.270730437237303</v>
      </c>
      <c r="W98" t="n">
        <v>0.082</v>
      </c>
      <c r="X98" t="n">
        <v>0.158</v>
      </c>
      <c r="Y98" t="n">
        <v>1.2</v>
      </c>
      <c r="Z98" t="n">
        <v>2.5</v>
      </c>
      <c r="AA98" t="n">
        <v>3.8</v>
      </c>
      <c r="AB98" t="n">
        <v>5.2</v>
      </c>
      <c r="AC98" t="n">
        <v>6.7</v>
      </c>
      <c r="AD98" t="n">
        <v>8.4</v>
      </c>
      <c r="AE98" t="n">
        <v>10.6</v>
      </c>
      <c r="AF98" t="n">
        <v>13.6</v>
      </c>
      <c r="AG98" t="n">
        <v>18.5</v>
      </c>
      <c r="AH98" t="n">
        <v>74.8</v>
      </c>
      <c r="AI98" t="inlineStr"/>
      <c r="AJ98" t="n">
        <v>1494858.75</v>
      </c>
      <c r="AK98" t="n">
        <v>396032</v>
      </c>
      <c r="AL98" t="n">
        <v>0.2649293787790986</v>
      </c>
      <c r="AM98" t="inlineStr">
        <is>
          <t>0.8186317804274149</t>
        </is>
      </c>
      <c r="AN98" t="inlineStr">
        <is>
          <t>17</t>
        </is>
      </c>
      <c r="AO98" t="inlineStr">
        <is>
          <t>7</t>
        </is>
      </c>
      <c r="AP98" t="inlineStr">
        <is>
          <t>12 1/4</t>
        </is>
      </c>
      <c r="AQ98" t="inlineStr">
        <is>
          <t>9</t>
        </is>
      </c>
      <c r="AR98" t="inlineStr">
        <is>
          <t>10.35</t>
        </is>
      </c>
      <c r="AS98" t="inlineStr">
        <is>
          <t>2</t>
        </is>
      </c>
      <c r="AT98" t="n">
        <v>574</v>
      </c>
      <c r="AU98" t="inlineStr">
        <is>
          <t>Vertex 70</t>
        </is>
      </c>
      <c r="AV98" t="inlineStr">
        <is>
          <t>100D2</t>
        </is>
      </c>
      <c r="AW98" t="n">
        <v>0.632087138021981</v>
      </c>
      <c r="AX98" t="n">
        <v>0.6722938529097947</v>
      </c>
      <c r="AY98" t="n">
        <v>0.7119903081674808</v>
      </c>
      <c r="AZ98" t="n">
        <v>0.7506328470876895</v>
      </c>
      <c r="BA98" t="n">
        <v>0.7725247867870566</v>
      </c>
      <c r="BB98" t="n">
        <v>2.598425196850393</v>
      </c>
      <c r="BC98" t="n">
        <v>1.123159183491558</v>
      </c>
      <c r="BD98" t="n">
        <v>2.027276834590165</v>
      </c>
      <c r="BE98" t="n">
        <v>2.932279226411563</v>
      </c>
      <c r="BF98" t="n">
        <v>3.890177510466573</v>
      </c>
      <c r="BG98" t="n">
        <v>4.946314165594178</v>
      </c>
      <c r="BH98" t="n">
        <v>6.16121090526216</v>
      </c>
      <c r="BI98" t="n">
        <v>7.638096588045222</v>
      </c>
      <c r="BJ98" t="n">
        <v>9.598116225165333</v>
      </c>
      <c r="BK98" t="n">
        <v>12.72299030349248</v>
      </c>
      <c r="BL98" t="n">
        <v>30.20363914115323</v>
      </c>
      <c r="BM98" t="inlineStr"/>
      <c r="BN98" t="n">
        <v>12</v>
      </c>
      <c r="BO98" t="n">
        <v>67</v>
      </c>
      <c r="BP98" t="n">
        <v>136</v>
      </c>
      <c r="BQ98" t="n">
        <v>185</v>
      </c>
      <c r="BR98" t="n">
        <v>748</v>
      </c>
      <c r="BS9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99">
      <c r="A99" t="inlineStr">
        <is>
          <t>FRAG</t>
        </is>
      </c>
      <c r="B99" t="inlineStr">
        <is>
          <t>Fragmentación Desmonte 2025.xlsx</t>
        </is>
      </c>
      <c r="C99" t="inlineStr">
        <is>
          <t>ANÁLISIS DE FRAGMENTACIÓN</t>
        </is>
      </c>
      <c r="D99" t="n">
        <v>103</v>
      </c>
      <c r="E99" t="inlineStr">
        <is>
          <t>ROM (fragmentación post-voladura en el frente de carguío, por análisis de fotos)</t>
        </is>
      </c>
      <c r="F99" t="inlineStr"/>
      <c r="G99" t="inlineStr">
        <is>
          <t>no indicada en el archivo</t>
        </is>
      </c>
      <c r="H99" t="inlineStr">
        <is>
          <t>2025-02-14</t>
        </is>
      </c>
      <c r="I99" t="inlineStr">
        <is>
          <t>2025-02-19</t>
        </is>
      </c>
      <c r="J99" t="inlineStr">
        <is>
          <t>PALA 10</t>
        </is>
      </c>
      <c r="K99" t="n">
        <v>8</v>
      </c>
      <c r="L99" t="inlineStr">
        <is>
          <t>8-NP-3758-19</t>
        </is>
      </c>
      <c r="M99" t="n">
        <v>3</v>
      </c>
      <c r="N99" t="n">
        <v>3758</v>
      </c>
      <c r="O99" t="inlineStr">
        <is>
          <t>A</t>
        </is>
      </c>
      <c r="P99" t="n">
        <v>30</v>
      </c>
      <c r="Q99" t="inlineStr">
        <is>
          <t>Desmonte</t>
        </is>
      </c>
      <c r="R99" t="inlineStr">
        <is>
          <t>Producción</t>
        </is>
      </c>
      <c r="S99" t="n">
        <v>7</v>
      </c>
      <c r="T99" t="n">
        <v>4.4</v>
      </c>
      <c r="U99" t="n">
        <v>3</v>
      </c>
      <c r="V99" t="n">
        <v>0.7984210030441377</v>
      </c>
      <c r="W99" t="n">
        <v>0.231</v>
      </c>
      <c r="X99" t="n">
        <v>0.333</v>
      </c>
      <c r="Y99" t="n">
        <v>0.2</v>
      </c>
      <c r="Z99" t="n">
        <v>0.7</v>
      </c>
      <c r="AA99" t="n">
        <v>1.6</v>
      </c>
      <c r="AB99" t="n">
        <v>2.8</v>
      </c>
      <c r="AC99" t="n">
        <v>4.5</v>
      </c>
      <c r="AD99" t="n">
        <v>6.7</v>
      </c>
      <c r="AE99" t="n">
        <v>9.800000000000001</v>
      </c>
      <c r="AF99" t="n">
        <v>14.7</v>
      </c>
      <c r="AG99" t="n">
        <v>23.9</v>
      </c>
      <c r="AH99" t="n">
        <v>118.7</v>
      </c>
      <c r="AI99" t="inlineStr"/>
      <c r="AJ99" t="n">
        <v>439230</v>
      </c>
      <c r="AK99" t="n">
        <v>107212.1</v>
      </c>
      <c r="AL99" t="n">
        <v>0.244091022926485</v>
      </c>
      <c r="AM99" t="inlineStr">
        <is>
          <t>-</t>
        </is>
      </c>
      <c r="AN99" t="inlineStr">
        <is>
          <t>16.5</t>
        </is>
      </c>
      <c r="AO99" t="inlineStr">
        <is>
          <t>6.5</t>
        </is>
      </c>
      <c r="AP99" t="inlineStr">
        <is>
          <t>12 1/4</t>
        </is>
      </c>
      <c r="AQ99" t="inlineStr">
        <is>
          <t>6</t>
        </is>
      </c>
      <c r="AR99" t="inlineStr">
        <is>
          <t>7</t>
        </is>
      </c>
      <c r="AS99" t="inlineStr">
        <is>
          <t>1.5</t>
        </is>
      </c>
      <c r="AT99" t="n">
        <v>200</v>
      </c>
      <c r="AU99" t="inlineStr">
        <is>
          <t>Emulgex 70</t>
        </is>
      </c>
      <c r="AV99" t="inlineStr">
        <is>
          <t>100%D2</t>
        </is>
      </c>
      <c r="AW99" t="n">
        <v>0.6887445113040738</v>
      </c>
      <c r="AX99" t="n">
        <v>0.7701126890613914</v>
      </c>
      <c r="AY99" t="n">
        <v>0.84305584267238</v>
      </c>
      <c r="AZ99" t="n">
        <v>0.9029631963488066</v>
      </c>
      <c r="BA99" t="n">
        <v>0.9307390430910346</v>
      </c>
      <c r="BB99" t="n">
        <v>1.732283464566929</v>
      </c>
      <c r="BC99" t="n">
        <v>0.2626540096154237</v>
      </c>
      <c r="BD99" t="n">
        <v>0.67231494027797</v>
      </c>
      <c r="BE99" t="n">
        <v>1.209724896581755</v>
      </c>
      <c r="BF99" t="n">
        <v>1.897021927753105</v>
      </c>
      <c r="BG99" t="n">
        <v>2.780295862907249</v>
      </c>
      <c r="BH99" t="n">
        <v>3.943668827953099</v>
      </c>
      <c r="BI99" t="n">
        <v>5.551659379415964</v>
      </c>
      <c r="BJ99" t="n">
        <v>7.985578299538733</v>
      </c>
      <c r="BK99" t="n">
        <v>12.50597934292797</v>
      </c>
      <c r="BL99" t="n">
        <v>49.51066375963602</v>
      </c>
      <c r="BM99" t="inlineStr"/>
      <c r="BN99" t="n">
        <v>2</v>
      </c>
      <c r="BO99" t="n">
        <v>45</v>
      </c>
      <c r="BP99" t="n">
        <v>147</v>
      </c>
      <c r="BQ99" t="n">
        <v>239</v>
      </c>
      <c r="BR99" t="n">
        <v>1187</v>
      </c>
      <c r="BS9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0">
      <c r="A100" t="inlineStr">
        <is>
          <t>FRAG</t>
        </is>
      </c>
      <c r="B100" t="inlineStr">
        <is>
          <t>Fragmentación Desmonte 2025.xlsx</t>
        </is>
      </c>
      <c r="C100" t="inlineStr">
        <is>
          <t>ANÁLISIS DE FRAGMENTACIÓN</t>
        </is>
      </c>
      <c r="D100" t="n">
        <v>104</v>
      </c>
      <c r="E100" t="inlineStr">
        <is>
          <t>ROM (fragmentación post-voladura en el frente de carguío, por análisis de fotos)</t>
        </is>
      </c>
      <c r="F100" t="inlineStr"/>
      <c r="G100" t="inlineStr">
        <is>
          <t>no indicada en el archivo</t>
        </is>
      </c>
      <c r="H100" t="inlineStr">
        <is>
          <t>2025-02-04</t>
        </is>
      </c>
      <c r="I100" t="inlineStr">
        <is>
          <t>2025-02-20</t>
        </is>
      </c>
      <c r="J100" t="inlineStr">
        <is>
          <t>PALA 05</t>
        </is>
      </c>
      <c r="K100" t="n">
        <v>9</v>
      </c>
      <c r="L100" t="inlineStr">
        <is>
          <t>9-NP-3953-12</t>
        </is>
      </c>
      <c r="M100" t="n">
        <v>1</v>
      </c>
      <c r="N100" t="n">
        <v>3953</v>
      </c>
      <c r="O100" t="inlineStr">
        <is>
          <t>C</t>
        </is>
      </c>
      <c r="P100" t="n">
        <v>30</v>
      </c>
      <c r="Q100" t="inlineStr">
        <is>
          <t>Desmonte</t>
        </is>
      </c>
      <c r="R100" t="inlineStr">
        <is>
          <t>Producción</t>
        </is>
      </c>
      <c r="S100" t="n">
        <v>7</v>
      </c>
      <c r="T100" t="n">
        <v>7.1</v>
      </c>
      <c r="U100" t="n">
        <v>3</v>
      </c>
      <c r="V100" t="n">
        <v>0.8970854449721888</v>
      </c>
      <c r="W100" t="n">
        <v>0.172</v>
      </c>
      <c r="X100" t="n">
        <v>0.249</v>
      </c>
      <c r="Y100" t="n">
        <v>0.3</v>
      </c>
      <c r="Z100" t="n">
        <v>1.3</v>
      </c>
      <c r="AA100" t="n">
        <v>2.8</v>
      </c>
      <c r="AB100" t="n">
        <v>4.7</v>
      </c>
      <c r="AC100" t="n">
        <v>7.2</v>
      </c>
      <c r="AD100" t="n">
        <v>10.4</v>
      </c>
      <c r="AE100" t="n">
        <v>14.6</v>
      </c>
      <c r="AF100" t="n">
        <v>20.7</v>
      </c>
      <c r="AG100" t="n">
        <v>31.3</v>
      </c>
      <c r="AH100" t="n">
        <v>103.1</v>
      </c>
      <c r="AI100" t="n">
        <v>10289.21620455018</v>
      </c>
      <c r="AJ100" t="n">
        <v>792495</v>
      </c>
      <c r="AK100" t="n">
        <v>119477.75</v>
      </c>
      <c r="AL100" t="n">
        <v>0.1507615190001199</v>
      </c>
      <c r="AM100" t="inlineStr">
        <is>
          <t>0.4658530937103704</t>
        </is>
      </c>
      <c r="AN100" t="inlineStr">
        <is>
          <t>17</t>
        </is>
      </c>
      <c r="AO100" t="inlineStr">
        <is>
          <t>7</t>
        </is>
      </c>
      <c r="AP100" t="inlineStr">
        <is>
          <t>12 1/4</t>
        </is>
      </c>
      <c r="AQ100" t="inlineStr">
        <is>
          <t>9</t>
        </is>
      </c>
      <c r="AR100" t="inlineStr">
        <is>
          <t>10.35</t>
        </is>
      </c>
      <c r="AS100" t="inlineStr">
        <is>
          <t>2</t>
        </is>
      </c>
      <c r="AT100" t="n">
        <v>122</v>
      </c>
      <c r="AU100" t="inlineStr">
        <is>
          <t>Vertex 70</t>
        </is>
      </c>
      <c r="AV100" t="inlineStr">
        <is>
          <t>50/50AR</t>
        </is>
      </c>
      <c r="AW100" t="n">
        <v>0.6639227461200932</v>
      </c>
      <c r="AX100" t="n">
        <v>0.7263293328856641</v>
      </c>
      <c r="AY100" t="n">
        <v>0.785606526132012</v>
      </c>
      <c r="AZ100" t="n">
        <v>0.8395930731069876</v>
      </c>
      <c r="BA100" t="n">
        <v>0.8679338991345824</v>
      </c>
      <c r="BB100" t="n">
        <v>2.795275590551181</v>
      </c>
      <c r="BC100" t="n">
        <v>0.5778523037579617</v>
      </c>
      <c r="BD100" t="n">
        <v>1.333864216824139</v>
      </c>
      <c r="BE100" t="n">
        <v>2.249920680827276</v>
      </c>
      <c r="BF100" t="n">
        <v>3.357869138897821</v>
      </c>
      <c r="BG100" t="n">
        <v>4.718708448172589</v>
      </c>
      <c r="BH100" t="n">
        <v>6.440744381265462</v>
      </c>
      <c r="BI100" t="n">
        <v>8.732195554221267</v>
      </c>
      <c r="BJ100" t="n">
        <v>12.06819874895462</v>
      </c>
      <c r="BK100" t="n">
        <v>17.98986025559133</v>
      </c>
      <c r="BL100" t="n">
        <v>61.21880957512407</v>
      </c>
      <c r="BM100" t="inlineStr"/>
      <c r="BN100" t="n">
        <v>3</v>
      </c>
      <c r="BO100" t="n">
        <v>72</v>
      </c>
      <c r="BP100" t="n">
        <v>207</v>
      </c>
      <c r="BQ100" t="n">
        <v>313</v>
      </c>
      <c r="BR100" t="n">
        <v>1031</v>
      </c>
      <c r="BS10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1">
      <c r="A101" t="inlineStr">
        <is>
          <t>FRAG</t>
        </is>
      </c>
      <c r="B101" t="inlineStr">
        <is>
          <t>Fragmentación Desmonte 2025.xlsx</t>
        </is>
      </c>
      <c r="C101" t="inlineStr">
        <is>
          <t>ANÁLISIS DE FRAGMENTACIÓN</t>
        </is>
      </c>
      <c r="D101" t="n">
        <v>105</v>
      </c>
      <c r="E101" t="inlineStr">
        <is>
          <t>ROM (fragmentación post-voladura en el frente de carguío, por análisis de fotos)</t>
        </is>
      </c>
      <c r="F101" t="inlineStr"/>
      <c r="G101" t="inlineStr">
        <is>
          <t>no indicada en el archivo</t>
        </is>
      </c>
      <c r="H101" t="inlineStr">
        <is>
          <t>2025-02-10</t>
        </is>
      </c>
      <c r="I101" t="inlineStr">
        <is>
          <t>2025-02-21</t>
        </is>
      </c>
      <c r="J101" t="inlineStr">
        <is>
          <t>PALA 06</t>
        </is>
      </c>
      <c r="K101" t="n">
        <v>10</v>
      </c>
      <c r="L101" t="inlineStr">
        <is>
          <t>10-NP-4433-16</t>
        </is>
      </c>
      <c r="M101" t="n">
        <v>4</v>
      </c>
      <c r="N101" t="n">
        <v>4433</v>
      </c>
      <c r="O101" t="inlineStr">
        <is>
          <t>C1</t>
        </is>
      </c>
      <c r="P101" t="n">
        <v>30</v>
      </c>
      <c r="Q101" t="inlineStr">
        <is>
          <t>Desmonte</t>
        </is>
      </c>
      <c r="R101" t="inlineStr">
        <is>
          <t>Producción</t>
        </is>
      </c>
      <c r="S101" t="n">
        <v>4</v>
      </c>
      <c r="T101" t="n">
        <v>8.5</v>
      </c>
      <c r="U101" t="n">
        <v>2</v>
      </c>
      <c r="V101" t="n">
        <v>0.8697364718909958</v>
      </c>
      <c r="W101" t="n">
        <v>0.109</v>
      </c>
      <c r="X101" t="n">
        <v>0.17</v>
      </c>
      <c r="Y101" t="n">
        <v>0.8</v>
      </c>
      <c r="Z101" t="n">
        <v>2.5</v>
      </c>
      <c r="AA101" t="n">
        <v>4.4</v>
      </c>
      <c r="AB101" t="n">
        <v>6.4</v>
      </c>
      <c r="AC101" t="n">
        <v>8.6</v>
      </c>
      <c r="AD101" t="n">
        <v>11</v>
      </c>
      <c r="AE101" t="n">
        <v>13.8</v>
      </c>
      <c r="AF101" t="n">
        <v>17.2</v>
      </c>
      <c r="AG101" t="n">
        <v>22.3</v>
      </c>
      <c r="AH101" t="n">
        <v>41.7</v>
      </c>
      <c r="AI101" t="inlineStr"/>
      <c r="AJ101" t="n">
        <v>1207016.25</v>
      </c>
      <c r="AK101" t="n">
        <v>286533</v>
      </c>
      <c r="AL101" t="n">
        <v>0.2373895131900668</v>
      </c>
      <c r="AM101" t="inlineStr">
        <is>
          <t>-</t>
        </is>
      </c>
      <c r="AN101" t="inlineStr">
        <is>
          <t>17</t>
        </is>
      </c>
      <c r="AO101" t="inlineStr">
        <is>
          <t>7</t>
        </is>
      </c>
      <c r="AP101" t="inlineStr">
        <is>
          <t>12 1/4</t>
        </is>
      </c>
      <c r="AQ101" t="inlineStr">
        <is>
          <t>9</t>
        </is>
      </c>
      <c r="AR101" t="inlineStr">
        <is>
          <t>10.35</t>
        </is>
      </c>
      <c r="AS101" t="inlineStr">
        <is>
          <t>2</t>
        </is>
      </c>
      <c r="AT101" t="n">
        <v>654</v>
      </c>
      <c r="AU101" t="inlineStr">
        <is>
          <t>Emulgex 70</t>
        </is>
      </c>
      <c r="AV101" t="inlineStr">
        <is>
          <t>100D2</t>
        </is>
      </c>
      <c r="AW101" t="n">
        <v>0.6557802839566222</v>
      </c>
      <c r="AX101" t="n">
        <v>0.6987596651092622</v>
      </c>
      <c r="AY101" t="n">
        <v>0.740733272286438</v>
      </c>
      <c r="AZ101" t="n">
        <v>0.7810066900129495</v>
      </c>
      <c r="BA101" t="n">
        <v>0.8034994127910094</v>
      </c>
      <c r="BB101" t="n">
        <v>3.346456692913386</v>
      </c>
      <c r="BC101" t="n">
        <v>0.6393222226488157</v>
      </c>
      <c r="BD101" t="n">
        <v>1.515089971541103</v>
      </c>
      <c r="BE101" t="n">
        <v>2.597968020029536</v>
      </c>
      <c r="BF101" t="n">
        <v>3.926436329446475</v>
      </c>
      <c r="BG101" t="n">
        <v>5.577046291607576</v>
      </c>
      <c r="BH101" t="n">
        <v>7.687158056070395</v>
      </c>
      <c r="BI101" t="n">
        <v>10.52227988526685</v>
      </c>
      <c r="BJ101" t="n">
        <v>14.69086906826766</v>
      </c>
      <c r="BK101" t="n">
        <v>22.17608858554681</v>
      </c>
      <c r="BL101" t="n">
        <v>78.42713525587661</v>
      </c>
      <c r="BM101" t="inlineStr"/>
      <c r="BN101" t="n">
        <v>8</v>
      </c>
      <c r="BO101" t="n">
        <v>86</v>
      </c>
      <c r="BP101" t="n">
        <v>172</v>
      </c>
      <c r="BQ101" t="n">
        <v>223</v>
      </c>
      <c r="BR101" t="n">
        <v>417</v>
      </c>
      <c r="BS10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2">
      <c r="A102" t="inlineStr">
        <is>
          <t>FRAG</t>
        </is>
      </c>
      <c r="B102" t="inlineStr">
        <is>
          <t>Fragmentación Desmonte 2025.xlsx</t>
        </is>
      </c>
      <c r="C102" t="inlineStr">
        <is>
          <t>ANÁLISIS DE FRAGMENTACIÓN</t>
        </is>
      </c>
      <c r="D102" t="n">
        <v>106</v>
      </c>
      <c r="E102" t="inlineStr">
        <is>
          <t>ROM (fragmentación post-voladura en el frente de carguío, por análisis de fotos)</t>
        </is>
      </c>
      <c r="F102" t="inlineStr"/>
      <c r="G102" t="inlineStr">
        <is>
          <t>no indicada en el archivo</t>
        </is>
      </c>
      <c r="H102" t="inlineStr">
        <is>
          <t>2025-02-14</t>
        </is>
      </c>
      <c r="I102" t="inlineStr">
        <is>
          <t>2025-02-21</t>
        </is>
      </c>
      <c r="J102" t="inlineStr">
        <is>
          <t>PALA 11</t>
        </is>
      </c>
      <c r="K102" t="n">
        <v>10</v>
      </c>
      <c r="L102" t="inlineStr">
        <is>
          <t>10-NP-4433-21</t>
        </is>
      </c>
      <c r="M102" t="n">
        <v>8</v>
      </c>
      <c r="N102" t="n">
        <v>4433</v>
      </c>
      <c r="O102" t="inlineStr">
        <is>
          <t>A</t>
        </is>
      </c>
      <c r="P102" t="n">
        <v>30</v>
      </c>
      <c r="Q102" t="inlineStr">
        <is>
          <t>Desmonte</t>
        </is>
      </c>
      <c r="R102" t="inlineStr">
        <is>
          <t>Producción</t>
        </is>
      </c>
      <c r="S102" t="n">
        <v>6</v>
      </c>
      <c r="T102" t="n">
        <v>14.4</v>
      </c>
      <c r="U102" t="n">
        <v>3</v>
      </c>
      <c r="V102" t="n">
        <v>1.392749753607113</v>
      </c>
      <c r="W102" t="n">
        <v>0.058</v>
      </c>
      <c r="X102" t="n">
        <v>0.093</v>
      </c>
      <c r="Y102" t="n">
        <v>2.1</v>
      </c>
      <c r="Z102" t="n">
        <v>5.2</v>
      </c>
      <c r="AA102" t="n">
        <v>8.300000000000001</v>
      </c>
      <c r="AB102" t="n">
        <v>11.3</v>
      </c>
      <c r="AC102" t="n">
        <v>14.4</v>
      </c>
      <c r="AD102" t="n">
        <v>17.8</v>
      </c>
      <c r="AE102" t="n">
        <v>21.7</v>
      </c>
      <c r="AF102" t="n">
        <v>26.4</v>
      </c>
      <c r="AG102" t="n">
        <v>33.2</v>
      </c>
      <c r="AH102" t="n">
        <v>62.5</v>
      </c>
      <c r="AI102" t="inlineStr"/>
      <c r="AJ102" t="n">
        <v>1494858.75</v>
      </c>
      <c r="AK102" t="n">
        <v>396032</v>
      </c>
      <c r="AL102" t="n">
        <v>0.2649293787790986</v>
      </c>
      <c r="AM102" t="inlineStr">
        <is>
          <t>0.8186317804274149</t>
        </is>
      </c>
      <c r="AN102" t="inlineStr">
        <is>
          <t>17</t>
        </is>
      </c>
      <c r="AO102" t="inlineStr">
        <is>
          <t>7</t>
        </is>
      </c>
      <c r="AP102" t="inlineStr">
        <is>
          <t>12 1/4</t>
        </is>
      </c>
      <c r="AQ102" t="inlineStr">
        <is>
          <t>9</t>
        </is>
      </c>
      <c r="AR102" t="inlineStr">
        <is>
          <t>10.35</t>
        </is>
      </c>
      <c r="AS102" t="inlineStr">
        <is>
          <t>2</t>
        </is>
      </c>
      <c r="AT102" t="n">
        <v>574</v>
      </c>
      <c r="AU102" t="inlineStr">
        <is>
          <t>Vertex 70</t>
        </is>
      </c>
      <c r="AV102" t="inlineStr">
        <is>
          <t>100D2</t>
        </is>
      </c>
      <c r="AW102" t="n">
        <v>0.6289640184823899</v>
      </c>
      <c r="AX102" t="n">
        <v>0.6526676316069168</v>
      </c>
      <c r="AY102" t="n">
        <v>0.6762830632703598</v>
      </c>
      <c r="AZ102" t="n">
        <v>0.6997040989506087</v>
      </c>
      <c r="BA102" t="n">
        <v>0.7132703851848978</v>
      </c>
      <c r="BB102" t="n">
        <v>5.669291338582677</v>
      </c>
      <c r="BC102" t="n">
        <v>2.861812865203772</v>
      </c>
      <c r="BD102" t="n">
        <v>4.905049488016159</v>
      </c>
      <c r="BE102" t="n">
        <v>6.868982265802425</v>
      </c>
      <c r="BF102" t="n">
        <v>8.889986120452361</v>
      </c>
      <c r="BG102" t="n">
        <v>11.06813695358575</v>
      </c>
      <c r="BH102" t="n">
        <v>13.52390907651064</v>
      </c>
      <c r="BI102" t="n">
        <v>16.45301883316043</v>
      </c>
      <c r="BJ102" t="n">
        <v>20.26541164459285</v>
      </c>
      <c r="BK102" t="n">
        <v>26.20805750441865</v>
      </c>
      <c r="BL102" t="n">
        <v>57.67795297907132</v>
      </c>
      <c r="BM102" t="inlineStr"/>
      <c r="BN102" t="n">
        <v>21</v>
      </c>
      <c r="BO102" t="n">
        <v>144</v>
      </c>
      <c r="BP102" t="n">
        <v>264</v>
      </c>
      <c r="BQ102" t="n">
        <v>332</v>
      </c>
      <c r="BR102" t="n">
        <v>625</v>
      </c>
      <c r="BS10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3">
      <c r="A103" t="inlineStr">
        <is>
          <t>FRAG</t>
        </is>
      </c>
      <c r="B103" t="inlineStr">
        <is>
          <t>Fragmentación Desmonte 2025.xlsx</t>
        </is>
      </c>
      <c r="C103" t="inlineStr">
        <is>
          <t>ANÁLISIS DE FRAGMENTACIÓN</t>
        </is>
      </c>
      <c r="D103" t="n">
        <v>107</v>
      </c>
      <c r="E103" t="inlineStr">
        <is>
          <t>ROM (fragmentación post-voladura en el frente de carguío, por análisis de fotos)</t>
        </is>
      </c>
      <c r="F103" t="inlineStr"/>
      <c r="G103" t="inlineStr">
        <is>
          <t>no indicada en el archivo</t>
        </is>
      </c>
      <c r="H103" t="inlineStr">
        <is>
          <t>2025-01-29</t>
        </is>
      </c>
      <c r="I103" t="inlineStr">
        <is>
          <t>2025-02-22</t>
        </is>
      </c>
      <c r="J103" t="inlineStr">
        <is>
          <t>SP</t>
        </is>
      </c>
      <c r="K103" t="n">
        <v>9</v>
      </c>
      <c r="L103" t="inlineStr">
        <is>
          <t>9-NP-3938-01</t>
        </is>
      </c>
      <c r="M103" t="n">
        <v>3</v>
      </c>
      <c r="N103" t="n">
        <v>3938</v>
      </c>
      <c r="O103" t="inlineStr">
        <is>
          <t>A</t>
        </is>
      </c>
      <c r="P103" t="n">
        <v>30</v>
      </c>
      <c r="Q103" t="inlineStr">
        <is>
          <t>Desmonte</t>
        </is>
      </c>
      <c r="R103" t="inlineStr">
        <is>
          <t>Producción</t>
        </is>
      </c>
      <c r="S103" t="n">
        <v>3</v>
      </c>
      <c r="T103" t="n">
        <v>3.6</v>
      </c>
      <c r="U103" t="n">
        <v>2</v>
      </c>
      <c r="V103" t="n">
        <v>0.676774643053812</v>
      </c>
      <c r="W103" t="n">
        <v>0.251</v>
      </c>
      <c r="X103" t="n">
        <v>0.359</v>
      </c>
      <c r="Y103" t="n">
        <v>0.1</v>
      </c>
      <c r="Z103" t="n">
        <v>0.6</v>
      </c>
      <c r="AA103" t="n">
        <v>1.4</v>
      </c>
      <c r="AB103" t="n">
        <v>2.4</v>
      </c>
      <c r="AC103" t="n">
        <v>3.7</v>
      </c>
      <c r="AD103" t="n">
        <v>5.3</v>
      </c>
      <c r="AE103" t="n">
        <v>7.4</v>
      </c>
      <c r="AF103" t="n">
        <v>10.2</v>
      </c>
      <c r="AG103" t="n">
        <v>14.6</v>
      </c>
      <c r="AH103" t="n">
        <v>33.1</v>
      </c>
      <c r="AI103" t="n">
        <v>14606.67476814839</v>
      </c>
      <c r="AJ103" t="n">
        <v>535672.5</v>
      </c>
      <c r="AK103" t="n">
        <v>309823</v>
      </c>
      <c r="AL103" t="n">
        <v>0.578381380414339</v>
      </c>
      <c r="AM103" t="inlineStr">
        <is>
          <t>1.7871984654803075</t>
        </is>
      </c>
      <c r="AN103" t="inlineStr">
        <is>
          <t>16.5</t>
        </is>
      </c>
      <c r="AO103" t="inlineStr">
        <is>
          <t>6.5</t>
        </is>
      </c>
      <c r="AP103" t="inlineStr">
        <is>
          <t>12 1/4</t>
        </is>
      </c>
      <c r="AQ103" t="inlineStr">
        <is>
          <t>6</t>
        </is>
      </c>
      <c r="AR103" t="inlineStr">
        <is>
          <t>7</t>
        </is>
      </c>
      <c r="AS103" t="inlineStr">
        <is>
          <t>1.5</t>
        </is>
      </c>
      <c r="AT103" t="n">
        <v>321</v>
      </c>
      <c r="AU103" t="inlineStr">
        <is>
          <t>Vertex 70</t>
        </is>
      </c>
      <c r="AV103" t="inlineStr">
        <is>
          <t>50/50AR</t>
        </is>
      </c>
      <c r="AW103" t="n">
        <v>0.7145059188957658</v>
      </c>
      <c r="AX103" t="n">
        <v>0.7996527593104856</v>
      </c>
      <c r="AY103" t="n">
        <v>0.8727928245510341</v>
      </c>
      <c r="AZ103" t="n">
        <v>0.9289599330860868</v>
      </c>
      <c r="BA103" t="n">
        <v>0.9530596748696808</v>
      </c>
      <c r="BB103" t="n">
        <v>1.417322834645669</v>
      </c>
      <c r="BC103" t="n">
        <v>0.1294835335140542</v>
      </c>
      <c r="BD103" t="n">
        <v>0.3924396250081552</v>
      </c>
      <c r="BE103" t="n">
        <v>0.7847692196284818</v>
      </c>
      <c r="BF103" t="n">
        <v>1.334280557061714</v>
      </c>
      <c r="BG103" t="n">
        <v>2.094627120831712</v>
      </c>
      <c r="BH103" t="n">
        <v>3.163756276613515</v>
      </c>
      <c r="BI103" t="n">
        <v>4.73610627659035</v>
      </c>
      <c r="BJ103" t="n">
        <v>7.272498889936574</v>
      </c>
      <c r="BK103" t="n">
        <v>12.34557204431778</v>
      </c>
      <c r="BL103" t="n">
        <v>62.58986636880587</v>
      </c>
      <c r="BM103" t="inlineStr"/>
      <c r="BN103" t="n">
        <v>1</v>
      </c>
      <c r="BO103" t="n">
        <v>37</v>
      </c>
      <c r="BP103" t="n">
        <v>102</v>
      </c>
      <c r="BQ103" t="n">
        <v>146</v>
      </c>
      <c r="BR103" t="n">
        <v>331</v>
      </c>
      <c r="BS10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4">
      <c r="A104" t="inlineStr">
        <is>
          <t>FRAG</t>
        </is>
      </c>
      <c r="B104" t="inlineStr">
        <is>
          <t>Fragmentación Desmonte 2025.xlsx</t>
        </is>
      </c>
      <c r="C104" t="inlineStr">
        <is>
          <t>ANÁLISIS DE FRAGMENTACIÓN</t>
        </is>
      </c>
      <c r="D104" t="n">
        <v>108</v>
      </c>
      <c r="E104" t="inlineStr">
        <is>
          <t>ROM (fragmentación post-voladura en el frente de carguío, por análisis de fotos)</t>
        </is>
      </c>
      <c r="F104" t="inlineStr"/>
      <c r="G104" t="inlineStr">
        <is>
          <t>no indicada en el archivo</t>
        </is>
      </c>
      <c r="H104" t="inlineStr">
        <is>
          <t>2025-02-14</t>
        </is>
      </c>
      <c r="I104" t="inlineStr">
        <is>
          <t>2025-02-24</t>
        </is>
      </c>
      <c r="J104" t="inlineStr">
        <is>
          <t>PALA 11</t>
        </is>
      </c>
      <c r="K104" t="n">
        <v>10</v>
      </c>
      <c r="L104" t="inlineStr">
        <is>
          <t>10-NP-4433-21</t>
        </is>
      </c>
      <c r="M104" t="n">
        <v>8</v>
      </c>
      <c r="N104" t="n">
        <v>4433</v>
      </c>
      <c r="O104" t="inlineStr">
        <is>
          <t>A</t>
        </is>
      </c>
      <c r="P104" t="n">
        <v>30</v>
      </c>
      <c r="Q104" t="inlineStr">
        <is>
          <t>Desmonte</t>
        </is>
      </c>
      <c r="R104" t="inlineStr">
        <is>
          <t>Producción</t>
        </is>
      </c>
      <c r="S104" t="n">
        <v>5</v>
      </c>
      <c r="T104" t="n">
        <v>9.199999999999999</v>
      </c>
      <c r="U104" t="n">
        <v>2</v>
      </c>
      <c r="V104" t="n">
        <v>0.660432686749356</v>
      </c>
      <c r="W104" t="n">
        <v>0.155</v>
      </c>
      <c r="X104" t="n">
        <v>0.219</v>
      </c>
      <c r="Y104" t="n">
        <v>0.4</v>
      </c>
      <c r="Z104" t="n">
        <v>1.6</v>
      </c>
      <c r="AA104" t="n">
        <v>3.6</v>
      </c>
      <c r="AB104" t="n">
        <v>6.1</v>
      </c>
      <c r="AC104" t="n">
        <v>9.199999999999999</v>
      </c>
      <c r="AD104" t="n">
        <v>13.1</v>
      </c>
      <c r="AE104" t="n">
        <v>18.1</v>
      </c>
      <c r="AF104" t="n">
        <v>24.9</v>
      </c>
      <c r="AG104" t="n">
        <v>35.9</v>
      </c>
      <c r="AH104" t="n">
        <v>89.3</v>
      </c>
      <c r="AI104" t="inlineStr"/>
      <c r="AJ104" t="n">
        <v>1494858.75</v>
      </c>
      <c r="AK104" t="n">
        <v>396032</v>
      </c>
      <c r="AL104" t="n">
        <v>0.2649293787790986</v>
      </c>
      <c r="AM104" t="inlineStr">
        <is>
          <t>0.8186317804274149</t>
        </is>
      </c>
      <c r="AN104" t="inlineStr">
        <is>
          <t>17</t>
        </is>
      </c>
      <c r="AO104" t="inlineStr">
        <is>
          <t>7</t>
        </is>
      </c>
      <c r="AP104" t="inlineStr">
        <is>
          <t>12 1/4</t>
        </is>
      </c>
      <c r="AQ104" t="inlineStr">
        <is>
          <t>9</t>
        </is>
      </c>
      <c r="AR104" t="inlineStr">
        <is>
          <t>10.35</t>
        </is>
      </c>
      <c r="AS104" t="inlineStr">
        <is>
          <t>2</t>
        </is>
      </c>
      <c r="AT104" t="n">
        <v>574</v>
      </c>
      <c r="AU104" t="inlineStr">
        <is>
          <t>Vertex 70</t>
        </is>
      </c>
      <c r="AV104" t="inlineStr">
        <is>
          <t>100D2</t>
        </is>
      </c>
      <c r="AW104" t="n">
        <v>0.6846144696614325</v>
      </c>
      <c r="AX104" t="n">
        <v>0.7389710769507636</v>
      </c>
      <c r="AY104" t="n">
        <v>0.7905557603416715</v>
      </c>
      <c r="AZ104" t="n">
        <v>0.8379035440767879</v>
      </c>
      <c r="BA104" t="n">
        <v>0.8631029240461778</v>
      </c>
      <c r="BB104" t="n">
        <v>3.622047244094488</v>
      </c>
      <c r="BC104" t="n">
        <v>0.3047662684941213</v>
      </c>
      <c r="BD104" t="n">
        <v>0.9493820999485044</v>
      </c>
      <c r="BE104" t="n">
        <v>1.931334164437026</v>
      </c>
      <c r="BF104" t="n">
        <v>3.327103519838271</v>
      </c>
      <c r="BG104" t="n">
        <v>5.28168248971099</v>
      </c>
      <c r="BH104" t="n">
        <v>8.059353457518895</v>
      </c>
      <c r="BI104" t="n">
        <v>12.18580664222425</v>
      </c>
      <c r="BJ104" t="n">
        <v>18.91147655921539</v>
      </c>
      <c r="BK104" t="n">
        <v>32.52669365368716</v>
      </c>
      <c r="BL104" t="n">
        <v>171.6632346080202</v>
      </c>
      <c r="BM104" t="inlineStr"/>
      <c r="BN104" t="n">
        <v>4</v>
      </c>
      <c r="BO104" t="n">
        <v>92</v>
      </c>
      <c r="BP104" t="n">
        <v>249</v>
      </c>
      <c r="BQ104" t="n">
        <v>359</v>
      </c>
      <c r="BR104" t="n">
        <v>893</v>
      </c>
      <c r="BS10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5">
      <c r="A105" t="inlineStr">
        <is>
          <t>FRAG</t>
        </is>
      </c>
      <c r="B105" t="inlineStr">
        <is>
          <t>Fragmentación Desmonte 2025.xlsx</t>
        </is>
      </c>
      <c r="C105" t="inlineStr">
        <is>
          <t>ANÁLISIS DE FRAGMENTACIÓN</t>
        </is>
      </c>
      <c r="D105" t="n">
        <v>109</v>
      </c>
      <c r="E105" t="inlineStr">
        <is>
          <t>ROM (fragmentación post-voladura en el frente de carguío, por análisis de fotos)</t>
        </is>
      </c>
      <c r="F105" t="inlineStr"/>
      <c r="G105" t="inlineStr">
        <is>
          <t>no indicada en el archivo</t>
        </is>
      </c>
      <c r="H105" t="inlineStr">
        <is>
          <t>2025-01-29</t>
        </is>
      </c>
      <c r="I105" t="inlineStr">
        <is>
          <t>2025-02-25</t>
        </is>
      </c>
      <c r="J105" t="inlineStr">
        <is>
          <t>PALA 08</t>
        </is>
      </c>
      <c r="K105" t="n">
        <v>9</v>
      </c>
      <c r="L105" t="inlineStr">
        <is>
          <t>9-NP-3938-01</t>
        </is>
      </c>
      <c r="M105" t="n">
        <v>8</v>
      </c>
      <c r="N105" t="n">
        <v>3938</v>
      </c>
      <c r="O105" t="inlineStr">
        <is>
          <t>A</t>
        </is>
      </c>
      <c r="P105" t="n">
        <v>30</v>
      </c>
      <c r="Q105" t="inlineStr">
        <is>
          <t>Desmonte</t>
        </is>
      </c>
      <c r="R105" t="inlineStr">
        <is>
          <t>Producción</t>
        </is>
      </c>
      <c r="S105" t="n">
        <v>6</v>
      </c>
      <c r="T105" t="n">
        <v>8.199999999999999</v>
      </c>
      <c r="U105" t="n">
        <v>2</v>
      </c>
      <c r="V105" t="n">
        <v>0.6528043407778731</v>
      </c>
      <c r="W105" t="n">
        <v>0.178</v>
      </c>
      <c r="X105" t="n">
        <v>0.247</v>
      </c>
      <c r="Y105" t="n">
        <v>0.2</v>
      </c>
      <c r="Z105" t="n">
        <v>1.2</v>
      </c>
      <c r="AA105" t="n">
        <v>2.9</v>
      </c>
      <c r="AB105" t="n">
        <v>5.3</v>
      </c>
      <c r="AC105" t="n">
        <v>8.300000000000001</v>
      </c>
      <c r="AD105" t="n">
        <v>12</v>
      </c>
      <c r="AE105" t="n">
        <v>16.9</v>
      </c>
      <c r="AF105" t="n">
        <v>23.7</v>
      </c>
      <c r="AG105" t="n">
        <v>34.6</v>
      </c>
      <c r="AH105" t="n">
        <v>83.90000000000001</v>
      </c>
      <c r="AI105" t="n">
        <v>13330.55752732877</v>
      </c>
      <c r="AJ105" t="n">
        <v>535672.5</v>
      </c>
      <c r="AK105" t="n">
        <v>309823</v>
      </c>
      <c r="AL105" t="n">
        <v>0.578381380414339</v>
      </c>
      <c r="AM105" t="inlineStr">
        <is>
          <t>1.7871984654803075</t>
        </is>
      </c>
      <c r="AN105" t="inlineStr">
        <is>
          <t>16.5</t>
        </is>
      </c>
      <c r="AO105" t="inlineStr">
        <is>
          <t>6.5</t>
        </is>
      </c>
      <c r="AP105" t="inlineStr">
        <is>
          <t>12 1/4</t>
        </is>
      </c>
      <c r="AQ105" t="inlineStr">
        <is>
          <t>6</t>
        </is>
      </c>
      <c r="AR105" t="inlineStr">
        <is>
          <t>7</t>
        </is>
      </c>
      <c r="AS105" t="inlineStr">
        <is>
          <t>1.5</t>
        </is>
      </c>
      <c r="AT105" t="n">
        <v>321</v>
      </c>
      <c r="AU105" t="inlineStr">
        <is>
          <t>Vertex 70</t>
        </is>
      </c>
      <c r="AV105" t="inlineStr">
        <is>
          <t>50/50AR</t>
        </is>
      </c>
      <c r="AW105" t="n">
        <v>0.6923088682945153</v>
      </c>
      <c r="AX105" t="n">
        <v>0.7530965208915985</v>
      </c>
      <c r="AY105" t="n">
        <v>0.8098529088263884</v>
      </c>
      <c r="AZ105" t="n">
        <v>0.8605337246345611</v>
      </c>
      <c r="BA105" t="n">
        <v>0.8866685309515202</v>
      </c>
      <c r="BB105" t="n">
        <v>3.228346456692913</v>
      </c>
      <c r="BC105" t="n">
        <v>0.2610360405102184</v>
      </c>
      <c r="BD105" t="n">
        <v>0.8240263652550434</v>
      </c>
      <c r="BE105" t="n">
        <v>1.690291048240839</v>
      </c>
      <c r="BF105" t="n">
        <v>2.93042493765598</v>
      </c>
      <c r="BG105" t="n">
        <v>4.677156776589203</v>
      </c>
      <c r="BH105" t="n">
        <v>7.172234098336088</v>
      </c>
      <c r="BI105" t="n">
        <v>10.89699409244096</v>
      </c>
      <c r="BJ105" t="n">
        <v>16.9984098626555</v>
      </c>
      <c r="BK105" t="n">
        <v>29.42218230081102</v>
      </c>
      <c r="BL105" t="n">
        <v>158.3267500253158</v>
      </c>
      <c r="BM105" t="inlineStr"/>
      <c r="BN105" t="n">
        <v>2</v>
      </c>
      <c r="BO105" t="n">
        <v>83</v>
      </c>
      <c r="BP105" t="n">
        <v>237</v>
      </c>
      <c r="BQ105" t="n">
        <v>346</v>
      </c>
      <c r="BR105" t="n">
        <v>839</v>
      </c>
      <c r="BS10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6">
      <c r="A106" t="inlineStr">
        <is>
          <t>FRAG</t>
        </is>
      </c>
      <c r="B106" t="inlineStr">
        <is>
          <t>Fragmentación Desmonte 2025.xlsx</t>
        </is>
      </c>
      <c r="C106" t="inlineStr">
        <is>
          <t>ANÁLISIS DE FRAGMENTACIÓN</t>
        </is>
      </c>
      <c r="D106" t="n">
        <v>110</v>
      </c>
      <c r="E106" t="inlineStr">
        <is>
          <t>ROM (fragmentación post-voladura en el frente de carguío, por análisis de fotos)</t>
        </is>
      </c>
      <c r="F106" t="inlineStr"/>
      <c r="G106" t="inlineStr">
        <is>
          <t>no indicada en el archivo</t>
        </is>
      </c>
      <c r="H106" t="inlineStr">
        <is>
          <t>2025-02-17</t>
        </is>
      </c>
      <c r="I106" t="inlineStr">
        <is>
          <t>2025-02-27</t>
        </is>
      </c>
      <c r="J106" t="inlineStr">
        <is>
          <t>PALA 09</t>
        </is>
      </c>
      <c r="K106" t="n">
        <v>9</v>
      </c>
      <c r="L106" t="inlineStr">
        <is>
          <t>9-NP-3968-29</t>
        </is>
      </c>
      <c r="M106" t="n">
        <v>3</v>
      </c>
      <c r="N106" t="n">
        <v>3968</v>
      </c>
      <c r="O106" t="inlineStr">
        <is>
          <t>C</t>
        </is>
      </c>
      <c r="P106" t="n">
        <v>30</v>
      </c>
      <c r="Q106" t="inlineStr">
        <is>
          <t>Desmonte</t>
        </is>
      </c>
      <c r="R106" t="inlineStr">
        <is>
          <t>Producción</t>
        </is>
      </c>
      <c r="S106" t="n">
        <v>4</v>
      </c>
      <c r="T106" t="n">
        <v>16</v>
      </c>
      <c r="U106" t="n">
        <v>2</v>
      </c>
      <c r="V106" t="n">
        <v>0.8277353246838168</v>
      </c>
      <c r="W106" t="n">
        <v>0.122</v>
      </c>
      <c r="X106" t="n">
        <v>0.165</v>
      </c>
      <c r="Y106" t="n">
        <v>0.6</v>
      </c>
      <c r="Z106" t="n">
        <v>2.9</v>
      </c>
      <c r="AA106" t="n">
        <v>6.5</v>
      </c>
      <c r="AB106" t="n">
        <v>10.9</v>
      </c>
      <c r="AC106" t="n">
        <v>16</v>
      </c>
      <c r="AD106" t="n">
        <v>21.9</v>
      </c>
      <c r="AE106" t="n">
        <v>28.7</v>
      </c>
      <c r="AF106" t="n">
        <v>37.3</v>
      </c>
      <c r="AG106" t="n">
        <v>49.3</v>
      </c>
      <c r="AH106" t="n">
        <v>85.3</v>
      </c>
      <c r="AI106" t="n">
        <v>11388.31333551672</v>
      </c>
      <c r="AJ106" t="n">
        <v>199402.5</v>
      </c>
      <c r="AK106" t="n">
        <v>61979.426</v>
      </c>
      <c r="AL106" t="n">
        <v>0.310825721844009</v>
      </c>
      <c r="AM106" t="inlineStr">
        <is>
          <t>-</t>
        </is>
      </c>
      <c r="AN106" t="inlineStr">
        <is>
          <t>17</t>
        </is>
      </c>
      <c r="AO106" t="inlineStr">
        <is>
          <t>7</t>
        </is>
      </c>
      <c r="AP106" t="inlineStr">
        <is>
          <t>12 1/4</t>
        </is>
      </c>
      <c r="AQ106" t="inlineStr">
        <is>
          <t>9</t>
        </is>
      </c>
      <c r="AR106" t="inlineStr">
        <is>
          <t>10.35</t>
        </is>
      </c>
      <c r="AS106" t="inlineStr">
        <is>
          <t>2</t>
        </is>
      </c>
      <c r="AT106" t="n">
        <v>88</v>
      </c>
      <c r="AU106" t="inlineStr">
        <is>
          <t>Emulgex 70 / Vertex 70</t>
        </is>
      </c>
      <c r="AV106" t="inlineStr">
        <is>
          <t>100%D2</t>
        </is>
      </c>
      <c r="AW106" t="n">
        <v>0.6580830077218902</v>
      </c>
      <c r="AX106" t="n">
        <v>0.6997744274028365</v>
      </c>
      <c r="AY106" t="n">
        <v>0.7405031640639044</v>
      </c>
      <c r="AZ106" t="n">
        <v>0.7796339195536555</v>
      </c>
      <c r="BA106" t="n">
        <v>0.8015291827471156</v>
      </c>
      <c r="BB106" t="n">
        <v>6.299212598425196</v>
      </c>
      <c r="BC106" t="n">
        <v>1.055362949096683</v>
      </c>
      <c r="BD106" t="n">
        <v>2.61297063863926</v>
      </c>
      <c r="BE106" t="n">
        <v>4.604828982379337</v>
      </c>
      <c r="BF106" t="n">
        <v>7.106890670772481</v>
      </c>
      <c r="BG106" t="n">
        <v>10.27587306778223</v>
      </c>
      <c r="BH106" t="n">
        <v>14.39633057877996</v>
      </c>
      <c r="BI106" t="n">
        <v>20.02231326117393</v>
      </c>
      <c r="BJ106" t="n">
        <v>28.43193066559692</v>
      </c>
      <c r="BK106" t="n">
        <v>43.82464683053522</v>
      </c>
      <c r="BL106" t="n">
        <v>165.2479497377161</v>
      </c>
      <c r="BM106" t="inlineStr"/>
      <c r="BN106" t="n">
        <v>6</v>
      </c>
      <c r="BO106" t="n">
        <v>160</v>
      </c>
      <c r="BP106" t="n">
        <v>373</v>
      </c>
      <c r="BQ106" t="n">
        <v>493</v>
      </c>
      <c r="BR106" t="n">
        <v>853</v>
      </c>
      <c r="BS10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7">
      <c r="A107" t="inlineStr">
        <is>
          <t>FRAG</t>
        </is>
      </c>
      <c r="B107" t="inlineStr">
        <is>
          <t>Fragmentación Desmonte 2025.xlsx</t>
        </is>
      </c>
      <c r="C107" t="inlineStr">
        <is>
          <t>ANÁLISIS DE FRAGMENTACIÓN</t>
        </is>
      </c>
      <c r="D107" t="n">
        <v>111</v>
      </c>
      <c r="E107" t="inlineStr">
        <is>
          <t>ROM (fragmentación post-voladura en el frente de carguío, por análisis de fotos)</t>
        </is>
      </c>
      <c r="F107" t="inlineStr"/>
      <c r="G107" t="inlineStr">
        <is>
          <t>no indicada en el archivo</t>
        </is>
      </c>
      <c r="H107" t="inlineStr">
        <is>
          <t>2025-02-06</t>
        </is>
      </c>
      <c r="I107" t="inlineStr">
        <is>
          <t>2025-02-27</t>
        </is>
      </c>
      <c r="J107" t="inlineStr">
        <is>
          <t>PALA 08</t>
        </is>
      </c>
      <c r="K107" t="n">
        <v>9</v>
      </c>
      <c r="L107" t="inlineStr">
        <is>
          <t>9-NP-3938-03</t>
        </is>
      </c>
      <c r="M107" t="n">
        <v>8</v>
      </c>
      <c r="N107" t="n">
        <v>3938</v>
      </c>
      <c r="O107" t="inlineStr">
        <is>
          <t>A</t>
        </is>
      </c>
      <c r="P107" t="n">
        <v>30</v>
      </c>
      <c r="Q107" t="inlineStr">
        <is>
          <t>Desmonte</t>
        </is>
      </c>
      <c r="R107" t="inlineStr">
        <is>
          <t>Producción</t>
        </is>
      </c>
      <c r="S107" t="n">
        <v>6</v>
      </c>
      <c r="T107" t="n">
        <v>9</v>
      </c>
      <c r="U107" t="n">
        <v>3</v>
      </c>
      <c r="V107" t="n">
        <v>1.064729151873842</v>
      </c>
      <c r="W107" t="n">
        <v>0.13</v>
      </c>
      <c r="X107" t="n">
        <v>0.195</v>
      </c>
      <c r="Y107" t="n">
        <v>0.6</v>
      </c>
      <c r="Z107" t="n">
        <v>2</v>
      </c>
      <c r="AA107" t="n">
        <v>4</v>
      </c>
      <c r="AB107" t="n">
        <v>6.3</v>
      </c>
      <c r="AC107" t="n">
        <v>9</v>
      </c>
      <c r="AD107" t="n">
        <v>12.2</v>
      </c>
      <c r="AE107" t="n">
        <v>16.1</v>
      </c>
      <c r="AF107" t="n">
        <v>21.4</v>
      </c>
      <c r="AG107" t="n">
        <v>29.6</v>
      </c>
      <c r="AH107" t="n">
        <v>69.59999999999999</v>
      </c>
      <c r="AI107" t="inlineStr"/>
      <c r="AJ107" t="n">
        <v>365310</v>
      </c>
      <c r="AK107" t="n">
        <v>235998</v>
      </c>
      <c r="AL107" t="n">
        <v>0.6460211874846021</v>
      </c>
      <c r="AM107" t="inlineStr">
        <is>
          <t>1.9962054693274205</t>
        </is>
      </c>
      <c r="AN107" t="inlineStr">
        <is>
          <t>16.5</t>
        </is>
      </c>
      <c r="AO107" t="inlineStr">
        <is>
          <t>6.5</t>
        </is>
      </c>
      <c r="AP107" t="inlineStr">
        <is>
          <t>12 1/4</t>
        </is>
      </c>
      <c r="AQ107" t="inlineStr">
        <is>
          <t>6</t>
        </is>
      </c>
      <c r="AR107" t="inlineStr">
        <is>
          <t>7</t>
        </is>
      </c>
      <c r="AS107" t="inlineStr">
        <is>
          <t>1.5</t>
        </is>
      </c>
      <c r="AT107" t="n">
        <v>241</v>
      </c>
      <c r="AU107" t="inlineStr">
        <is>
          <t>Vertex 70</t>
        </is>
      </c>
      <c r="AV107" t="inlineStr">
        <is>
          <t>49/51AR</t>
        </is>
      </c>
      <c r="AW107" t="n">
        <v>0.6447649354202832</v>
      </c>
      <c r="AX107" t="n">
        <v>0.694180898469495</v>
      </c>
      <c r="AY107" t="n">
        <v>0.7423685336623544</v>
      </c>
      <c r="AZ107" t="n">
        <v>0.7882827636261166</v>
      </c>
      <c r="BA107" t="n">
        <v>0.8136701110229692</v>
      </c>
      <c r="BB107" t="n">
        <v>3.543307086614173</v>
      </c>
      <c r="BC107" t="n">
        <v>1.08726579279266</v>
      </c>
      <c r="BD107" t="n">
        <v>2.200032104342864</v>
      </c>
      <c r="BE107" t="n">
        <v>3.417702482216474</v>
      </c>
      <c r="BF107" t="n">
        <v>4.789061968007241</v>
      </c>
      <c r="BG107" t="n">
        <v>6.37888582125119</v>
      </c>
      <c r="BH107" t="n">
        <v>8.290561617407633</v>
      </c>
      <c r="BI107" t="n">
        <v>10.71416118476147</v>
      </c>
      <c r="BJ107" t="n">
        <v>14.07188192697712</v>
      </c>
      <c r="BK107" t="n">
        <v>19.69870402380259</v>
      </c>
      <c r="BL107" t="n">
        <v>55.27806046082385</v>
      </c>
      <c r="BM107" t="inlineStr"/>
      <c r="BN107" t="n">
        <v>6</v>
      </c>
      <c r="BO107" t="n">
        <v>90</v>
      </c>
      <c r="BP107" t="n">
        <v>214</v>
      </c>
      <c r="BQ107" t="n">
        <v>296</v>
      </c>
      <c r="BR107" t="n">
        <v>696</v>
      </c>
      <c r="BS10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8">
      <c r="A108" t="inlineStr">
        <is>
          <t>FRAG</t>
        </is>
      </c>
      <c r="B108" t="inlineStr">
        <is>
          <t>Fragmentación Desmonte 2025.xlsx</t>
        </is>
      </c>
      <c r="C108" t="inlineStr">
        <is>
          <t>ANÁLISIS DE FRAGMENTACIÓN</t>
        </is>
      </c>
      <c r="D108" t="n">
        <v>112</v>
      </c>
      <c r="E108" t="inlineStr">
        <is>
          <t>ROM (fragmentación post-voladura en el frente de carguío, por análisis de fotos)</t>
        </is>
      </c>
      <c r="F108" t="inlineStr"/>
      <c r="G108" t="inlineStr">
        <is>
          <t>no indicada en el archivo</t>
        </is>
      </c>
      <c r="H108" t="inlineStr">
        <is>
          <t>2025-02-23</t>
        </is>
      </c>
      <c r="I108" t="inlineStr">
        <is>
          <t>2025-02-28</t>
        </is>
      </c>
      <c r="J108" t="inlineStr">
        <is>
          <t>PALA 11</t>
        </is>
      </c>
      <c r="K108" t="n">
        <v>10</v>
      </c>
      <c r="L108" t="inlineStr">
        <is>
          <t>10-NP-4433-23</t>
        </is>
      </c>
      <c r="M108" t="n">
        <v>2</v>
      </c>
      <c r="N108" t="n">
        <v>4433</v>
      </c>
      <c r="O108" t="inlineStr">
        <is>
          <t>C</t>
        </is>
      </c>
      <c r="P108" t="n">
        <v>30</v>
      </c>
      <c r="Q108" t="inlineStr">
        <is>
          <t>Desmonte</t>
        </is>
      </c>
      <c r="R108" t="inlineStr">
        <is>
          <t>Trim</t>
        </is>
      </c>
      <c r="S108" t="n">
        <v>5</v>
      </c>
      <c r="T108" t="n">
        <v>7.2</v>
      </c>
      <c r="U108" t="n">
        <v>2</v>
      </c>
      <c r="V108" t="n">
        <v>0.6630622169456133</v>
      </c>
      <c r="W108" t="n">
        <v>0.203</v>
      </c>
      <c r="X108" t="n">
        <v>0.275</v>
      </c>
      <c r="Y108" t="n">
        <v>0.2</v>
      </c>
      <c r="Z108" t="n">
        <v>0.9</v>
      </c>
      <c r="AA108" t="n">
        <v>2.4</v>
      </c>
      <c r="AB108" t="n">
        <v>4.5</v>
      </c>
      <c r="AC108" t="n">
        <v>7.3</v>
      </c>
      <c r="AD108" t="n">
        <v>10.9</v>
      </c>
      <c r="AE108" t="n">
        <v>15.5</v>
      </c>
      <c r="AF108" t="n">
        <v>21.8</v>
      </c>
      <c r="AG108" t="n">
        <v>31.7</v>
      </c>
      <c r="AH108" t="n">
        <v>69.90000000000001</v>
      </c>
      <c r="AI108" t="inlineStr"/>
      <c r="AJ108" t="n">
        <v>337660.125</v>
      </c>
      <c r="AK108" t="n">
        <v>111839.3</v>
      </c>
      <c r="AL108" t="n">
        <v>0.3312185588985374</v>
      </c>
      <c r="AM108" t="inlineStr">
        <is>
          <t>-</t>
        </is>
      </c>
      <c r="AN108" t="inlineStr">
        <is>
          <t xml:space="preserve"> - </t>
        </is>
      </c>
      <c r="AO108" t="inlineStr">
        <is>
          <t xml:space="preserve"> - </t>
        </is>
      </c>
      <c r="AP108" t="inlineStr">
        <is>
          <t>9 7/8</t>
        </is>
      </c>
      <c r="AQ108" t="inlineStr">
        <is>
          <t xml:space="preserve"> - </t>
        </is>
      </c>
      <c r="AR108" t="inlineStr">
        <is>
          <t xml:space="preserve"> - </t>
        </is>
      </c>
      <c r="AS108" t="inlineStr">
        <is>
          <t xml:space="preserve"> - </t>
        </is>
      </c>
      <c r="AT108" t="n">
        <v>203</v>
      </c>
      <c r="AU108" t="inlineStr">
        <is>
          <t>Emulgex 70</t>
        </is>
      </c>
      <c r="AV108" t="inlineStr">
        <is>
          <t>39%D2/61%AR</t>
        </is>
      </c>
      <c r="AW108" t="n">
        <v>0.6975048385012226</v>
      </c>
      <c r="AX108" t="n">
        <v>0.7646726672065494</v>
      </c>
      <c r="AY108" t="n">
        <v>0.8263290081170813</v>
      </c>
      <c r="AZ108" t="n">
        <v>0.8797529285281807</v>
      </c>
      <c r="BA108" t="n">
        <v>0.9063381212529</v>
      </c>
      <c r="BB108" t="n">
        <v>2.834645669291338</v>
      </c>
      <c r="BC108" t="n">
        <v>0.2417576063031906</v>
      </c>
      <c r="BD108" t="n">
        <v>0.7497168984780036</v>
      </c>
      <c r="BE108" t="n">
        <v>1.52086472033862</v>
      </c>
      <c r="BF108" t="n">
        <v>2.614344011104004</v>
      </c>
      <c r="BG108" t="n">
        <v>4.142597732673925</v>
      </c>
      <c r="BH108" t="n">
        <v>6.310631963514881</v>
      </c>
      <c r="BI108" t="n">
        <v>9.526094124963191</v>
      </c>
      <c r="BJ108" t="n">
        <v>14.75805347525713</v>
      </c>
      <c r="BK108" t="n">
        <v>25.3285058915018</v>
      </c>
      <c r="BL108" t="n">
        <v>132.7950685957775</v>
      </c>
      <c r="BM108" t="inlineStr"/>
      <c r="BN108" t="n">
        <v>2</v>
      </c>
      <c r="BO108" t="n">
        <v>73</v>
      </c>
      <c r="BP108" t="n">
        <v>218</v>
      </c>
      <c r="BQ108" t="n">
        <v>317</v>
      </c>
      <c r="BR108" t="n">
        <v>699</v>
      </c>
      <c r="BS10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09">
      <c r="A109" t="inlineStr">
        <is>
          <t>FRAG</t>
        </is>
      </c>
      <c r="B109" t="inlineStr">
        <is>
          <t>Fragmentación Desmonte 2025.xlsx</t>
        </is>
      </c>
      <c r="C109" t="inlineStr">
        <is>
          <t>ANÁLISIS DE FRAGMENTACIÓN</t>
        </is>
      </c>
      <c r="D109" t="n">
        <v>113</v>
      </c>
      <c r="E109" t="inlineStr">
        <is>
          <t>ROM (fragmentación post-voladura en el frente de carguío, por análisis de fotos)</t>
        </is>
      </c>
      <c r="F109" t="inlineStr"/>
      <c r="G109" t="inlineStr">
        <is>
          <t>no indicada en el archivo</t>
        </is>
      </c>
      <c r="H109" t="inlineStr">
        <is>
          <t>2025-02-23</t>
        </is>
      </c>
      <c r="I109" t="inlineStr">
        <is>
          <t>2025-03-01</t>
        </is>
      </c>
      <c r="J109" t="inlineStr">
        <is>
          <t>PALA 05</t>
        </is>
      </c>
      <c r="K109" t="n">
        <v>9</v>
      </c>
      <c r="L109" t="inlineStr">
        <is>
          <t>9-NP-3953-19</t>
        </is>
      </c>
      <c r="M109" t="n">
        <v>2</v>
      </c>
      <c r="N109" t="n">
        <v>3953</v>
      </c>
      <c r="O109" t="inlineStr">
        <is>
          <t>C</t>
        </is>
      </c>
      <c r="P109" t="n">
        <v>30</v>
      </c>
      <c r="Q109" t="inlineStr">
        <is>
          <t>Desmonte</t>
        </is>
      </c>
      <c r="R109" t="inlineStr">
        <is>
          <t>Producción</t>
        </is>
      </c>
      <c r="S109" t="n">
        <v>7</v>
      </c>
      <c r="T109" t="n">
        <v>12</v>
      </c>
      <c r="U109" t="n">
        <v>3</v>
      </c>
      <c r="V109" t="n">
        <v>1.024866800400251</v>
      </c>
      <c r="W109" t="n">
        <v>0.08</v>
      </c>
      <c r="X109" t="n">
        <v>0.129</v>
      </c>
      <c r="Y109" t="n">
        <v>1.3</v>
      </c>
      <c r="Z109" t="n">
        <v>3.6</v>
      </c>
      <c r="AA109" t="n">
        <v>6.1</v>
      </c>
      <c r="AB109" t="n">
        <v>8.9</v>
      </c>
      <c r="AC109" t="n">
        <v>12.1</v>
      </c>
      <c r="AD109" t="n">
        <v>15.7</v>
      </c>
      <c r="AE109" t="n">
        <v>20.2</v>
      </c>
      <c r="AF109" t="n">
        <v>26.3</v>
      </c>
      <c r="AG109" t="n">
        <v>36.1</v>
      </c>
      <c r="AH109" t="n">
        <v>105</v>
      </c>
      <c r="AI109" t="n">
        <v>9967.243350779518</v>
      </c>
      <c r="AJ109" t="n">
        <v>861712.5</v>
      </c>
      <c r="AK109" t="n">
        <v>165226.7</v>
      </c>
      <c r="AL109" t="n">
        <v>0.1917422574234446</v>
      </c>
      <c r="AM109" t="inlineStr">
        <is>
          <t>0.5924835754384439</t>
        </is>
      </c>
      <c r="AN109" t="inlineStr">
        <is>
          <t>16.5</t>
        </is>
      </c>
      <c r="AO109" t="inlineStr">
        <is>
          <t>6.5</t>
        </is>
      </c>
      <c r="AP109" t="inlineStr">
        <is>
          <t>12 1/4</t>
        </is>
      </c>
      <c r="AQ109" t="inlineStr">
        <is>
          <t>7</t>
        </is>
      </c>
      <c r="AR109" t="inlineStr">
        <is>
          <t>8.05</t>
        </is>
      </c>
      <c r="AS109" t="inlineStr">
        <is>
          <t>1.5</t>
        </is>
      </c>
      <c r="AT109" t="n">
        <v>181</v>
      </c>
      <c r="AU109" t="inlineStr">
        <is>
          <t>Vertex 70</t>
        </is>
      </c>
      <c r="AV109" t="inlineStr">
        <is>
          <t>39%D2/61%AR</t>
        </is>
      </c>
      <c r="AW109" t="n">
        <v>0.642296488603685</v>
      </c>
      <c r="AX109" t="n">
        <v>0.6750909622188339</v>
      </c>
      <c r="AY109" t="n">
        <v>0.7075213241566389</v>
      </c>
      <c r="AZ109" t="n">
        <v>0.7392915633774038</v>
      </c>
      <c r="BA109" t="n">
        <v>0.7574482993239572</v>
      </c>
      <c r="BB109" t="n">
        <v>4.724409448818897</v>
      </c>
      <c r="BC109" t="n">
        <v>1.335279974900456</v>
      </c>
      <c r="BD109" t="n">
        <v>2.776969919055566</v>
      </c>
      <c r="BE109" t="n">
        <v>4.388511667309126</v>
      </c>
      <c r="BF109" t="n">
        <v>6.230633851148896</v>
      </c>
      <c r="BG109" t="n">
        <v>8.392064825229683</v>
      </c>
      <c r="BH109" t="n">
        <v>11.01883660144348</v>
      </c>
      <c r="BI109" t="n">
        <v>14.38274844590267</v>
      </c>
      <c r="BJ109" t="n">
        <v>19.09153484863764</v>
      </c>
      <c r="BK109" t="n">
        <v>27.07748562194953</v>
      </c>
      <c r="BL109" t="n">
        <v>79.09571982052401</v>
      </c>
      <c r="BM109" t="inlineStr"/>
      <c r="BN109" t="n">
        <v>13</v>
      </c>
      <c r="BO109" t="n">
        <v>121</v>
      </c>
      <c r="BP109" t="n">
        <v>263</v>
      </c>
      <c r="BQ109" t="n">
        <v>361</v>
      </c>
      <c r="BR109" t="n">
        <v>1050</v>
      </c>
      <c r="BS10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0">
      <c r="A110" t="inlineStr">
        <is>
          <t>FRAG</t>
        </is>
      </c>
      <c r="B110" t="inlineStr">
        <is>
          <t>Fragmentación Desmonte 2025.xlsx</t>
        </is>
      </c>
      <c r="C110" t="inlineStr">
        <is>
          <t>ANÁLISIS DE FRAGMENTACIÓN</t>
        </is>
      </c>
      <c r="D110" t="n">
        <v>114</v>
      </c>
      <c r="E110" t="inlineStr">
        <is>
          <t>ROM (fragmentación post-voladura en el frente de carguío, por análisis de fotos)</t>
        </is>
      </c>
      <c r="F110" t="inlineStr"/>
      <c r="G110" t="inlineStr">
        <is>
          <t>no indicada en el archivo</t>
        </is>
      </c>
      <c r="H110" t="inlineStr">
        <is>
          <t>2025-02-10</t>
        </is>
      </c>
      <c r="I110" t="inlineStr">
        <is>
          <t>2025-03-02</t>
        </is>
      </c>
      <c r="J110" t="inlineStr">
        <is>
          <t>PALA 11</t>
        </is>
      </c>
      <c r="K110" t="n">
        <v>10</v>
      </c>
      <c r="L110" t="inlineStr">
        <is>
          <t>10-NP-4433-16</t>
        </is>
      </c>
      <c r="M110" t="n">
        <v>2</v>
      </c>
      <c r="N110" t="n">
        <v>4433</v>
      </c>
      <c r="O110" t="inlineStr">
        <is>
          <t>C1</t>
        </is>
      </c>
      <c r="P110" t="n">
        <v>30</v>
      </c>
      <c r="Q110" t="inlineStr">
        <is>
          <t>Desmonte</t>
        </is>
      </c>
      <c r="R110" t="inlineStr">
        <is>
          <t>Producción</t>
        </is>
      </c>
      <c r="S110" t="n">
        <v>4</v>
      </c>
      <c r="T110" t="n">
        <v>14.1</v>
      </c>
      <c r="U110" t="n">
        <v>3</v>
      </c>
      <c r="V110" t="n">
        <v>1.326149910458148</v>
      </c>
      <c r="W110" t="n">
        <v>0.035</v>
      </c>
      <c r="X110" t="n">
        <v>0.063</v>
      </c>
      <c r="Y110" t="n">
        <v>3.2</v>
      </c>
      <c r="Z110" t="n">
        <v>6.2</v>
      </c>
      <c r="AA110" t="n">
        <v>8.9</v>
      </c>
      <c r="AB110" t="n">
        <v>11.5</v>
      </c>
      <c r="AC110" t="n">
        <v>14.1</v>
      </c>
      <c r="AD110" t="n">
        <v>16.9</v>
      </c>
      <c r="AE110" t="n">
        <v>20.1</v>
      </c>
      <c r="AF110" t="n">
        <v>24.1</v>
      </c>
      <c r="AG110" t="n">
        <v>30.2</v>
      </c>
      <c r="AH110" t="n">
        <v>66.40000000000001</v>
      </c>
      <c r="AI110" t="inlineStr"/>
      <c r="AJ110" t="n">
        <v>1207016.25</v>
      </c>
      <c r="AK110" t="n">
        <v>286533</v>
      </c>
      <c r="AL110" t="n">
        <v>0.2373895131900668</v>
      </c>
      <c r="AM110" t="inlineStr">
        <is>
          <t>-</t>
        </is>
      </c>
      <c r="AN110" t="inlineStr">
        <is>
          <t>17</t>
        </is>
      </c>
      <c r="AO110" t="inlineStr">
        <is>
          <t>7</t>
        </is>
      </c>
      <c r="AP110" t="inlineStr">
        <is>
          <t>12 1/4</t>
        </is>
      </c>
      <c r="AQ110" t="inlineStr">
        <is>
          <t>9</t>
        </is>
      </c>
      <c r="AR110" t="inlineStr">
        <is>
          <t>10.35</t>
        </is>
      </c>
      <c r="AS110" t="inlineStr">
        <is>
          <t>2</t>
        </is>
      </c>
      <c r="AT110" t="n">
        <v>654</v>
      </c>
      <c r="AU110" t="inlineStr">
        <is>
          <t>Emulgex 70</t>
        </is>
      </c>
      <c r="AV110" t="inlineStr">
        <is>
          <t>100D2</t>
        </is>
      </c>
      <c r="AW110" t="n">
        <v>0.631117878352</v>
      </c>
      <c r="AX110" t="n">
        <v>0.6471782863268767</v>
      </c>
      <c r="AY110" t="n">
        <v>0.6632092997298509</v>
      </c>
      <c r="AZ110" t="n">
        <v>0.6791785125740062</v>
      </c>
      <c r="BA110" t="n">
        <v>0.6884779244230534</v>
      </c>
      <c r="BB110" t="n">
        <v>5.551181102362205</v>
      </c>
      <c r="BC110" t="n">
        <v>2.583789303085058</v>
      </c>
      <c r="BD110" t="n">
        <v>4.549995332222042</v>
      </c>
      <c r="BE110" t="n">
        <v>6.480442227333603</v>
      </c>
      <c r="BF110" t="n">
        <v>8.496468616558031</v>
      </c>
      <c r="BG110" t="n">
        <v>10.69526505420216</v>
      </c>
      <c r="BH110" t="n">
        <v>13.20048356884357</v>
      </c>
      <c r="BI110" t="n">
        <v>16.21844195227231</v>
      </c>
      <c r="BJ110" t="n">
        <v>20.18665730103016</v>
      </c>
      <c r="BK110" t="n">
        <v>26.44553778839668</v>
      </c>
      <c r="BL110" t="n">
        <v>60.55244434529671</v>
      </c>
      <c r="BM110" t="inlineStr"/>
      <c r="BN110" t="n">
        <v>32</v>
      </c>
      <c r="BO110" t="n">
        <v>141</v>
      </c>
      <c r="BP110" t="n">
        <v>241</v>
      </c>
      <c r="BQ110" t="n">
        <v>302</v>
      </c>
      <c r="BR110" t="n">
        <v>664</v>
      </c>
      <c r="BS11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1">
      <c r="A111" t="inlineStr">
        <is>
          <t>FRAG</t>
        </is>
      </c>
      <c r="B111" t="inlineStr">
        <is>
          <t>Fragmentación Desmonte 2025.xlsx</t>
        </is>
      </c>
      <c r="C111" t="inlineStr">
        <is>
          <t>ANÁLISIS DE FRAGMENTACIÓN</t>
        </is>
      </c>
      <c r="D111" t="n">
        <v>115</v>
      </c>
      <c r="E111" t="inlineStr">
        <is>
          <t>ROM (fragmentación post-voladura en el frente de carguío, por análisis de fotos)</t>
        </is>
      </c>
      <c r="F111" t="inlineStr"/>
      <c r="G111" t="inlineStr">
        <is>
          <t>no indicada en el archivo</t>
        </is>
      </c>
      <c r="H111" t="inlineStr">
        <is>
          <t>2025-02-12</t>
        </is>
      </c>
      <c r="I111" t="inlineStr">
        <is>
          <t>2025-03-03</t>
        </is>
      </c>
      <c r="J111" t="inlineStr">
        <is>
          <t>PALA 05</t>
        </is>
      </c>
      <c r="K111" t="n">
        <v>9</v>
      </c>
      <c r="L111" t="inlineStr">
        <is>
          <t>9-NP-3953-14</t>
        </is>
      </c>
      <c r="M111" t="n">
        <v>1</v>
      </c>
      <c r="N111" t="n">
        <v>3953</v>
      </c>
      <c r="O111" t="inlineStr">
        <is>
          <t>C</t>
        </is>
      </c>
      <c r="P111" t="n">
        <v>30</v>
      </c>
      <c r="Q111" t="inlineStr">
        <is>
          <t>Desmonte</t>
        </is>
      </c>
      <c r="R111" t="inlineStr">
        <is>
          <t>Producción</t>
        </is>
      </c>
      <c r="S111" t="n">
        <v>6</v>
      </c>
      <c r="T111" t="n">
        <v>21.9</v>
      </c>
      <c r="U111" t="n">
        <v>3</v>
      </c>
      <c r="V111" t="n">
        <v>0.9350517833862866</v>
      </c>
      <c r="W111" t="n">
        <v>0.144</v>
      </c>
      <c r="X111" t="n">
        <v>0.215</v>
      </c>
      <c r="Y111" t="n">
        <v>0.5</v>
      </c>
      <c r="Z111" t="n">
        <v>1.7</v>
      </c>
      <c r="AA111" t="n">
        <v>3.5</v>
      </c>
      <c r="AB111" t="n">
        <v>5.6</v>
      </c>
      <c r="AC111" t="n">
        <v>8.300000000000001</v>
      </c>
      <c r="AD111" t="n">
        <v>11.6</v>
      </c>
      <c r="AE111" t="n">
        <v>15.9</v>
      </c>
      <c r="AF111" t="n">
        <v>21.9</v>
      </c>
      <c r="AG111" t="n">
        <v>32.1</v>
      </c>
      <c r="AH111" t="n">
        <v>99.8</v>
      </c>
      <c r="AI111" t="n">
        <v>8341.254116402471</v>
      </c>
      <c r="AJ111" t="n">
        <v>496278.75</v>
      </c>
      <c r="AK111" t="n">
        <v>134675</v>
      </c>
      <c r="AL111" t="n">
        <v>0.2713696687597444</v>
      </c>
      <c r="AM111" t="inlineStr">
        <is>
          <t>-</t>
        </is>
      </c>
      <c r="AN111" t="inlineStr">
        <is>
          <t>17</t>
        </is>
      </c>
      <c r="AO111" t="inlineStr">
        <is>
          <t>7</t>
        </is>
      </c>
      <c r="AP111" t="inlineStr">
        <is>
          <t>12 1/4</t>
        </is>
      </c>
      <c r="AQ111" t="inlineStr">
        <is>
          <t>9</t>
        </is>
      </c>
      <c r="AR111" t="inlineStr">
        <is>
          <t>10.35</t>
        </is>
      </c>
      <c r="AS111" t="inlineStr">
        <is>
          <t>2</t>
        </is>
      </c>
      <c r="AT111" t="n">
        <v>184</v>
      </c>
      <c r="AU111" t="inlineStr">
        <is>
          <t>Emulgex 70 / Vertex 70</t>
        </is>
      </c>
      <c r="AV111" t="inlineStr">
        <is>
          <t>100D2</t>
        </is>
      </c>
      <c r="AW111" t="n">
        <v>0.6563190458878947</v>
      </c>
      <c r="AX111" t="n">
        <v>0.7105231534302328</v>
      </c>
      <c r="AY111" t="n">
        <v>0.76281180590164</v>
      </c>
      <c r="AZ111" t="n">
        <v>0.8117789991301491</v>
      </c>
      <c r="BA111" t="n">
        <v>0.8383412064023967</v>
      </c>
      <c r="BB111" t="n">
        <v>8.622047244094487</v>
      </c>
      <c r="BC111" t="n">
        <v>1.973502633963896</v>
      </c>
      <c r="BD111" t="n">
        <v>4.403332272632428</v>
      </c>
      <c r="BE111" t="n">
        <v>7.271396073892651</v>
      </c>
      <c r="BF111" t="n">
        <v>10.67710610508479</v>
      </c>
      <c r="BG111" t="n">
        <v>14.79835338818118</v>
      </c>
      <c r="BH111" t="n">
        <v>19.94528565830704</v>
      </c>
      <c r="BI111" t="n">
        <v>26.70916954270875</v>
      </c>
      <c r="BJ111" t="n">
        <v>36.43122947790818</v>
      </c>
      <c r="BK111" t="n">
        <v>53.43417632536026</v>
      </c>
      <c r="BL111" t="n">
        <v>173.0138901766952</v>
      </c>
      <c r="BM111" t="inlineStr"/>
      <c r="BN111" t="n">
        <v>5</v>
      </c>
      <c r="BO111" t="n">
        <v>83</v>
      </c>
      <c r="BP111" t="n">
        <v>219</v>
      </c>
      <c r="BQ111" t="n">
        <v>321</v>
      </c>
      <c r="BR111" t="n">
        <v>998</v>
      </c>
      <c r="BS11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2">
      <c r="A112" t="inlineStr">
        <is>
          <t>FRAG</t>
        </is>
      </c>
      <c r="B112" t="inlineStr">
        <is>
          <t>Fragmentación Desmonte 2025.xlsx</t>
        </is>
      </c>
      <c r="C112" t="inlineStr">
        <is>
          <t>ANÁLISIS DE FRAGMENTACIÓN</t>
        </is>
      </c>
      <c r="D112" t="n">
        <v>116</v>
      </c>
      <c r="E112" t="inlineStr">
        <is>
          <t>ROM (fragmentación post-voladura en el frente de carguío, por análisis de fotos)</t>
        </is>
      </c>
      <c r="F112" t="inlineStr"/>
      <c r="G112" t="inlineStr">
        <is>
          <t>no indicada en el archivo</t>
        </is>
      </c>
      <c r="H112" t="inlineStr">
        <is>
          <t>2025-03-01</t>
        </is>
      </c>
      <c r="I112" t="inlineStr">
        <is>
          <t>2025-03-03</t>
        </is>
      </c>
      <c r="J112" t="inlineStr">
        <is>
          <t>PALA 08</t>
        </is>
      </c>
      <c r="K112" t="n">
        <v>9</v>
      </c>
      <c r="L112" t="inlineStr">
        <is>
          <t>9-NP-3953-21</t>
        </is>
      </c>
      <c r="M112" t="n">
        <v>1</v>
      </c>
      <c r="N112" t="n">
        <v>3953</v>
      </c>
      <c r="O112" t="inlineStr">
        <is>
          <t>C</t>
        </is>
      </c>
      <c r="P112" t="n">
        <v>30</v>
      </c>
      <c r="Q112" t="inlineStr">
        <is>
          <t>Desmonte</t>
        </is>
      </c>
      <c r="R112" t="inlineStr">
        <is>
          <t>Producción</t>
        </is>
      </c>
      <c r="S112" t="n">
        <v>4</v>
      </c>
      <c r="T112" t="n">
        <v>25.1</v>
      </c>
      <c r="U112" t="n">
        <v>3</v>
      </c>
      <c r="V112" t="n">
        <v>0.9930493298238032</v>
      </c>
      <c r="W112" t="n">
        <v>0.132</v>
      </c>
      <c r="X112" t="n">
        <v>0.193</v>
      </c>
      <c r="Y112" t="n">
        <v>0.5</v>
      </c>
      <c r="Z112" t="n">
        <v>2.1</v>
      </c>
      <c r="AA112" t="n">
        <v>4.2</v>
      </c>
      <c r="AB112" t="n">
        <v>6.8</v>
      </c>
      <c r="AC112" t="n">
        <v>9.9</v>
      </c>
      <c r="AD112" t="n">
        <v>13.7</v>
      </c>
      <c r="AE112" t="n">
        <v>18.5</v>
      </c>
      <c r="AF112" t="n">
        <v>25.1</v>
      </c>
      <c r="AG112" t="n">
        <v>35.8</v>
      </c>
      <c r="AH112" t="n">
        <v>95.3</v>
      </c>
      <c r="AI112" t="n">
        <v>9738.744344378843</v>
      </c>
      <c r="AJ112" t="n">
        <v>645273.75</v>
      </c>
      <c r="AK112" t="n">
        <v>190224</v>
      </c>
      <c r="AL112" t="n">
        <v>0.2947958134047759</v>
      </c>
      <c r="AM112" t="inlineStr">
        <is>
          <t>0.9109190634207573</t>
        </is>
      </c>
      <c r="AN112" t="inlineStr">
        <is>
          <t>17</t>
        </is>
      </c>
      <c r="AO112" t="inlineStr">
        <is>
          <t>7</t>
        </is>
      </c>
      <c r="AP112" t="inlineStr">
        <is>
          <t>12 1/4</t>
        </is>
      </c>
      <c r="AQ112" t="inlineStr">
        <is>
          <t>7</t>
        </is>
      </c>
      <c r="AR112" t="inlineStr">
        <is>
          <t>8.05</t>
        </is>
      </c>
      <c r="AS112" t="inlineStr">
        <is>
          <t>2</t>
        </is>
      </c>
      <c r="AT112" t="n">
        <v>263</v>
      </c>
      <c r="AU112" t="inlineStr">
        <is>
          <t>Vertex 70</t>
        </is>
      </c>
      <c r="AV112" t="inlineStr">
        <is>
          <t>50/50AR</t>
        </is>
      </c>
      <c r="AW112" t="n">
        <v>0.6495795218844707</v>
      </c>
      <c r="AX112" t="n">
        <v>0.6984198354971221</v>
      </c>
      <c r="AY112" t="n">
        <v>0.745969798101215</v>
      </c>
      <c r="AZ112" t="n">
        <v>0.7912138752481553</v>
      </c>
      <c r="BA112" t="n">
        <v>0.8162079928091037</v>
      </c>
      <c r="BB112" t="n">
        <v>9.881889763779528</v>
      </c>
      <c r="BC112" t="n">
        <v>2.603220877700309</v>
      </c>
      <c r="BD112" t="n">
        <v>5.542409307200733</v>
      </c>
      <c r="BE112" t="n">
        <v>8.888173748729972</v>
      </c>
      <c r="BF112" t="n">
        <v>12.76158162171013</v>
      </c>
      <c r="BG112" t="n">
        <v>17.35341963845019</v>
      </c>
      <c r="BH112" t="n">
        <v>22.9848288433063</v>
      </c>
      <c r="BI112" t="n">
        <v>30.25900620989737</v>
      </c>
      <c r="BJ112" t="n">
        <v>40.53167279912371</v>
      </c>
      <c r="BK112" t="n">
        <v>58.13325942684577</v>
      </c>
      <c r="BL112" t="n">
        <v>175.7460014827855</v>
      </c>
      <c r="BM112" t="inlineStr"/>
      <c r="BN112" t="n">
        <v>5</v>
      </c>
      <c r="BO112" t="n">
        <v>99</v>
      </c>
      <c r="BP112" t="n">
        <v>251</v>
      </c>
      <c r="BQ112" t="n">
        <v>358</v>
      </c>
      <c r="BR112" t="n">
        <v>953</v>
      </c>
      <c r="BS11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3">
      <c r="A113" t="inlineStr">
        <is>
          <t>FRAG</t>
        </is>
      </c>
      <c r="B113" t="inlineStr">
        <is>
          <t>Fragmentación Desmonte 2025.xlsx</t>
        </is>
      </c>
      <c r="C113" t="inlineStr">
        <is>
          <t>ANÁLISIS DE FRAGMENTACIÓN</t>
        </is>
      </c>
      <c r="D113" t="n">
        <v>117</v>
      </c>
      <c r="E113" t="inlineStr">
        <is>
          <t>ROM (fragmentación post-voladura en el frente de carguío, por análisis de fotos)</t>
        </is>
      </c>
      <c r="F113" t="inlineStr"/>
      <c r="G113" t="inlineStr">
        <is>
          <t>no indicada en el archivo</t>
        </is>
      </c>
      <c r="H113" t="inlineStr">
        <is>
          <t>2025-03-01</t>
        </is>
      </c>
      <c r="I113" t="inlineStr">
        <is>
          <t>2025-03-03</t>
        </is>
      </c>
      <c r="J113" t="inlineStr">
        <is>
          <t>PALA 09</t>
        </is>
      </c>
      <c r="K113" t="n">
        <v>9</v>
      </c>
      <c r="L113" t="inlineStr">
        <is>
          <t>9-NP-3953-21</t>
        </is>
      </c>
      <c r="M113" t="n">
        <v>1</v>
      </c>
      <c r="N113" t="n">
        <v>3953</v>
      </c>
      <c r="O113" t="inlineStr">
        <is>
          <t>C</t>
        </is>
      </c>
      <c r="P113" t="n">
        <v>30</v>
      </c>
      <c r="Q113" t="inlineStr">
        <is>
          <t>Desmonte</t>
        </is>
      </c>
      <c r="R113" t="inlineStr">
        <is>
          <t>Producción</t>
        </is>
      </c>
      <c r="S113" t="n">
        <v>6</v>
      </c>
      <c r="T113" t="n">
        <v>26.5</v>
      </c>
      <c r="U113" t="n">
        <v>3</v>
      </c>
      <c r="V113" t="n">
        <v>0.982452343760142</v>
      </c>
      <c r="W113" t="n">
        <v>0.102</v>
      </c>
      <c r="X113" t="n">
        <v>0.157</v>
      </c>
      <c r="Y113" t="n">
        <v>0.9</v>
      </c>
      <c r="Z113" t="n">
        <v>2.8</v>
      </c>
      <c r="AA113" t="n">
        <v>5.2</v>
      </c>
      <c r="AB113" t="n">
        <v>8</v>
      </c>
      <c r="AC113" t="n">
        <v>11.2</v>
      </c>
      <c r="AD113" t="n">
        <v>15</v>
      </c>
      <c r="AE113" t="n">
        <v>19.8</v>
      </c>
      <c r="AF113" t="n">
        <v>26.5</v>
      </c>
      <c r="AG113" t="n">
        <v>37.5</v>
      </c>
      <c r="AH113" t="n">
        <v>111.9</v>
      </c>
      <c r="AI113" t="n">
        <v>9738.744344378843</v>
      </c>
      <c r="AJ113" t="n">
        <v>645273.75</v>
      </c>
      <c r="AK113" t="n">
        <v>190224</v>
      </c>
      <c r="AL113" t="n">
        <v>0.2947958134047759</v>
      </c>
      <c r="AM113" t="inlineStr">
        <is>
          <t>0.9109190634207573</t>
        </is>
      </c>
      <c r="AN113" t="inlineStr">
        <is>
          <t>17</t>
        </is>
      </c>
      <c r="AO113" t="inlineStr">
        <is>
          <t>7</t>
        </is>
      </c>
      <c r="AP113" t="inlineStr">
        <is>
          <t>12 1/4</t>
        </is>
      </c>
      <c r="AQ113" t="inlineStr">
        <is>
          <t>7</t>
        </is>
      </c>
      <c r="AR113" t="inlineStr">
        <is>
          <t>8.05</t>
        </is>
      </c>
      <c r="AS113" t="inlineStr">
        <is>
          <t>2</t>
        </is>
      </c>
      <c r="AT113" t="n">
        <v>263</v>
      </c>
      <c r="AU113" t="inlineStr">
        <is>
          <t>Vertex 70</t>
        </is>
      </c>
      <c r="AV113" t="inlineStr">
        <is>
          <t>50/50AR</t>
        </is>
      </c>
      <c r="AW113" t="n">
        <v>0.6469439198674216</v>
      </c>
      <c r="AX113" t="n">
        <v>0.6867716992800524</v>
      </c>
      <c r="AY113" t="n">
        <v>0.7259044156033042</v>
      </c>
      <c r="AZ113" t="n">
        <v>0.7638000713277291</v>
      </c>
      <c r="BA113" t="n">
        <v>0.785174036166451</v>
      </c>
      <c r="BB113" t="n">
        <v>10.43307086614173</v>
      </c>
      <c r="BC113" t="n">
        <v>2.682055352652806</v>
      </c>
      <c r="BD113" t="n">
        <v>5.756986747635422</v>
      </c>
      <c r="BE113" t="n">
        <v>9.27943603389307</v>
      </c>
      <c r="BF113" t="n">
        <v>13.37543711661613</v>
      </c>
      <c r="BG113" t="n">
        <v>18.24854767086858</v>
      </c>
      <c r="BH113" t="n">
        <v>24.24381947381893</v>
      </c>
      <c r="BI113" t="n">
        <v>32.01123662043762</v>
      </c>
      <c r="BJ113" t="n">
        <v>43.01416785884933</v>
      </c>
      <c r="BK113" t="n">
        <v>61.93428449057391</v>
      </c>
      <c r="BL113" t="n">
        <v>189.4847567354486</v>
      </c>
      <c r="BM113" t="inlineStr"/>
      <c r="BN113" t="n">
        <v>9</v>
      </c>
      <c r="BO113" t="n">
        <v>112</v>
      </c>
      <c r="BP113" t="n">
        <v>265</v>
      </c>
      <c r="BQ113" t="n">
        <v>375</v>
      </c>
      <c r="BR113" t="n">
        <v>1119</v>
      </c>
      <c r="BS11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4">
      <c r="A114" t="inlineStr">
        <is>
          <t>FRAG</t>
        </is>
      </c>
      <c r="B114" t="inlineStr">
        <is>
          <t>Fragmentación Desmonte 2025.xlsx</t>
        </is>
      </c>
      <c r="C114" t="inlineStr">
        <is>
          <t>ANÁLISIS DE FRAGMENTACIÓN</t>
        </is>
      </c>
      <c r="D114" t="n">
        <v>118</v>
      </c>
      <c r="E114" t="inlineStr">
        <is>
          <t>ROM (fragmentación post-voladura en el frente de carguío, por análisis de fotos)</t>
        </is>
      </c>
      <c r="F114" t="inlineStr"/>
      <c r="G114" t="inlineStr">
        <is>
          <t>no indicada en el archivo</t>
        </is>
      </c>
      <c r="H114" t="inlineStr">
        <is>
          <t>2025-02-26</t>
        </is>
      </c>
      <c r="I114" t="inlineStr">
        <is>
          <t>2025-03-04</t>
        </is>
      </c>
      <c r="J114" t="inlineStr">
        <is>
          <t>PALA 10</t>
        </is>
      </c>
      <c r="K114" t="n">
        <v>8</v>
      </c>
      <c r="L114" t="inlineStr">
        <is>
          <t>8-NP-3743-07</t>
        </is>
      </c>
      <c r="M114" t="n">
        <v>1</v>
      </c>
      <c r="N114" t="n">
        <v>3743</v>
      </c>
      <c r="O114" t="inlineStr">
        <is>
          <t>A</t>
        </is>
      </c>
      <c r="P114" t="n">
        <v>30</v>
      </c>
      <c r="Q114" t="inlineStr">
        <is>
          <t>Desmonte</t>
        </is>
      </c>
      <c r="R114" t="inlineStr">
        <is>
          <t>Producción</t>
        </is>
      </c>
      <c r="S114" t="n">
        <v>6</v>
      </c>
      <c r="T114" t="n">
        <v>3.2</v>
      </c>
      <c r="U114" t="n">
        <v>4</v>
      </c>
      <c r="V114" t="n">
        <v>1.088370838911924</v>
      </c>
      <c r="W114" t="n">
        <v>0.22</v>
      </c>
      <c r="X114" t="n">
        <v>0.358</v>
      </c>
      <c r="Y114" t="n">
        <v>0.3</v>
      </c>
      <c r="Z114" t="n">
        <v>0.8</v>
      </c>
      <c r="AA114" t="n">
        <v>1.5</v>
      </c>
      <c r="AB114" t="n">
        <v>2.3</v>
      </c>
      <c r="AC114" t="n">
        <v>3.3</v>
      </c>
      <c r="AD114" t="n">
        <v>4.5</v>
      </c>
      <c r="AE114" t="n">
        <v>6.2</v>
      </c>
      <c r="AF114" t="n">
        <v>8.699999999999999</v>
      </c>
      <c r="AG114" t="n">
        <v>13.3</v>
      </c>
      <c r="AH114" t="n">
        <v>76.3</v>
      </c>
      <c r="AI114" t="inlineStr"/>
      <c r="AJ114" t="n">
        <v>617685.3375</v>
      </c>
      <c r="AK114" t="n">
        <v>252110</v>
      </c>
      <c r="AL114" t="n">
        <v>0.4081527999683171</v>
      </c>
      <c r="AM114" t="inlineStr">
        <is>
          <t>1.2611921519020999</t>
        </is>
      </c>
      <c r="AN114" t="inlineStr">
        <is>
          <t>16.5</t>
        </is>
      </c>
      <c r="AO114" t="inlineStr">
        <is>
          <t>6.5</t>
        </is>
      </c>
      <c r="AP114" t="inlineStr">
        <is>
          <t>12 1/4</t>
        </is>
      </c>
      <c r="AQ114" t="inlineStr">
        <is>
          <t>7</t>
        </is>
      </c>
      <c r="AR114" t="inlineStr">
        <is>
          <t>8</t>
        </is>
      </c>
      <c r="AS114" t="inlineStr">
        <is>
          <t>1.5</t>
        </is>
      </c>
      <c r="AT114" t="n">
        <v>428</v>
      </c>
      <c r="AU114" t="inlineStr">
        <is>
          <t>Vertex 70</t>
        </is>
      </c>
      <c r="AV114" t="inlineStr">
        <is>
          <t>50/50AR</t>
        </is>
      </c>
      <c r="AW114" t="n">
        <v>0.6524361220529615</v>
      </c>
      <c r="AX114" t="n">
        <v>0.7419118933094031</v>
      </c>
      <c r="AY114" t="n">
        <v>0.8237643893705803</v>
      </c>
      <c r="AZ114" t="n">
        <v>0.8919169692777076</v>
      </c>
      <c r="BA114" t="n">
        <v>0.9236497232419868</v>
      </c>
      <c r="BB114" t="n">
        <v>1.259842519685039</v>
      </c>
      <c r="BC114" t="n">
        <v>0.4047455153216903</v>
      </c>
      <c r="BD114" t="n">
        <v>0.8065408223282136</v>
      </c>
      <c r="BE114" t="n">
        <v>1.241012168784576</v>
      </c>
      <c r="BF114" t="n">
        <v>1.726273504876039</v>
      </c>
      <c r="BG114" t="n">
        <v>2.285071002812813</v>
      </c>
      <c r="BH114" t="n">
        <v>2.953017350255616</v>
      </c>
      <c r="BI114" t="n">
        <v>3.795080060731066</v>
      </c>
      <c r="BJ114" t="n">
        <v>4.954994581796081</v>
      </c>
      <c r="BK114" t="n">
        <v>6.885815388707028</v>
      </c>
      <c r="BL114" t="n">
        <v>18.89454856589358</v>
      </c>
      <c r="BM114" t="inlineStr"/>
      <c r="BN114" t="n">
        <v>3</v>
      </c>
      <c r="BO114" t="n">
        <v>33</v>
      </c>
      <c r="BP114" t="n">
        <v>87</v>
      </c>
      <c r="BQ114" t="n">
        <v>133</v>
      </c>
      <c r="BR114" t="n">
        <v>763</v>
      </c>
      <c r="BS11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5">
      <c r="A115" t="inlineStr">
        <is>
          <t>FRAG</t>
        </is>
      </c>
      <c r="B115" t="inlineStr">
        <is>
          <t>Fragmentación Desmonte 2025.xlsx</t>
        </is>
      </c>
      <c r="C115" t="inlineStr">
        <is>
          <t>ANÁLISIS DE FRAGMENTACIÓN</t>
        </is>
      </c>
      <c r="D115" t="n">
        <v>119</v>
      </c>
      <c r="E115" t="inlineStr">
        <is>
          <t>ROM (fragmentación post-voladura en el frente de carguío, por análisis de fotos)</t>
        </is>
      </c>
      <c r="F115" t="inlineStr"/>
      <c r="G115" t="inlineStr">
        <is>
          <t>no indicada en el archivo</t>
        </is>
      </c>
      <c r="H115" t="inlineStr">
        <is>
          <t>2025-03-03</t>
        </is>
      </c>
      <c r="I115" t="inlineStr">
        <is>
          <t>2025-03-05</t>
        </is>
      </c>
      <c r="J115" t="inlineStr">
        <is>
          <t>PALA 11</t>
        </is>
      </c>
      <c r="K115" t="n">
        <v>10</v>
      </c>
      <c r="L115" t="inlineStr">
        <is>
          <t>10-NP-4433-14</t>
        </is>
      </c>
      <c r="M115" t="n">
        <v>2</v>
      </c>
      <c r="N115" t="n">
        <v>4433</v>
      </c>
      <c r="O115" t="inlineStr">
        <is>
          <t>C1</t>
        </is>
      </c>
      <c r="P115" t="n">
        <v>30</v>
      </c>
      <c r="Q115" t="inlineStr">
        <is>
          <t>Desmonte</t>
        </is>
      </c>
      <c r="R115" t="inlineStr">
        <is>
          <t>Producción</t>
        </is>
      </c>
      <c r="S115" t="n">
        <v>6</v>
      </c>
      <c r="T115" t="n">
        <v>6.3</v>
      </c>
      <c r="U115" t="n">
        <v>3</v>
      </c>
      <c r="V115" t="n">
        <v>0.9497558902712152</v>
      </c>
      <c r="W115" t="n">
        <v>0.142</v>
      </c>
      <c r="X115" t="n">
        <v>0.227</v>
      </c>
      <c r="Y115" t="n">
        <v>0.5</v>
      </c>
      <c r="Z115" t="n">
        <v>1.6</v>
      </c>
      <c r="AA115" t="n">
        <v>3</v>
      </c>
      <c r="AB115" t="n">
        <v>4.5</v>
      </c>
      <c r="AC115" t="n">
        <v>6.4</v>
      </c>
      <c r="AD115" t="n">
        <v>8.699999999999999</v>
      </c>
      <c r="AE115" t="n">
        <v>11.5</v>
      </c>
      <c r="AF115" t="n">
        <v>15.5</v>
      </c>
      <c r="AG115" t="n">
        <v>22.3</v>
      </c>
      <c r="AH115" t="n">
        <v>72.40000000000001</v>
      </c>
      <c r="AI115" t="inlineStr"/>
      <c r="AJ115" t="n">
        <v>1042841.25</v>
      </c>
      <c r="AK115" t="n">
        <v>50067</v>
      </c>
      <c r="AL115" t="n">
        <v>0.0480101837168408</v>
      </c>
      <c r="AM115" t="inlineStr">
        <is>
          <t>-</t>
        </is>
      </c>
      <c r="AN115" t="inlineStr">
        <is>
          <t>17</t>
        </is>
      </c>
      <c r="AO115" t="inlineStr">
        <is>
          <t>7</t>
        </is>
      </c>
      <c r="AP115" t="inlineStr">
        <is>
          <t>12 1/4</t>
        </is>
      </c>
      <c r="AQ115" t="inlineStr">
        <is>
          <t>9</t>
        </is>
      </c>
      <c r="AR115" t="inlineStr">
        <is>
          <t>10.35</t>
        </is>
      </c>
      <c r="AS115" t="inlineStr">
        <is>
          <t>2</t>
        </is>
      </c>
      <c r="AT115" t="n">
        <v>85</v>
      </c>
      <c r="AU115" t="inlineStr">
        <is>
          <t>Emulgex 70</t>
        </is>
      </c>
      <c r="AV115" t="inlineStr">
        <is>
          <t>50/50AR</t>
        </is>
      </c>
      <c r="AW115" t="n">
        <v>0.6563675509563049</v>
      </c>
      <c r="AX115" t="n">
        <v>0.7135523632079885</v>
      </c>
      <c r="AY115" t="n">
        <v>0.768513061754674</v>
      </c>
      <c r="AZ115" t="n">
        <v>0.8195974516223642</v>
      </c>
      <c r="BA115" t="n">
        <v>0.8470542072930614</v>
      </c>
      <c r="BB115" t="n">
        <v>2.480314960629921</v>
      </c>
      <c r="BC115" t="n">
        <v>0.589272284672136</v>
      </c>
      <c r="BD115" t="n">
        <v>1.298564763138131</v>
      </c>
      <c r="BE115" t="n">
        <v>2.127783407855241</v>
      </c>
      <c r="BF115" t="n">
        <v>3.105848206687795</v>
      </c>
      <c r="BG115" t="n">
        <v>4.282973016979858</v>
      </c>
      <c r="BH115" t="n">
        <v>5.745996056405692</v>
      </c>
      <c r="BI115" t="n">
        <v>7.659880960435665</v>
      </c>
      <c r="BJ115" t="n">
        <v>10.39796338587588</v>
      </c>
      <c r="BK115" t="n">
        <v>15.16066389229132</v>
      </c>
      <c r="BL115" t="n">
        <v>48.20368115174302</v>
      </c>
      <c r="BM115" t="inlineStr"/>
      <c r="BN115" t="n">
        <v>5</v>
      </c>
      <c r="BO115" t="n">
        <v>64</v>
      </c>
      <c r="BP115" t="n">
        <v>155</v>
      </c>
      <c r="BQ115" t="n">
        <v>223</v>
      </c>
      <c r="BR115" t="n">
        <v>724</v>
      </c>
      <c r="BS11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6">
      <c r="A116" t="inlineStr">
        <is>
          <t>FRAG</t>
        </is>
      </c>
      <c r="B116" t="inlineStr">
        <is>
          <t>Fragmentación Desmonte 2025.xlsx</t>
        </is>
      </c>
      <c r="C116" t="inlineStr">
        <is>
          <t>ANÁLISIS DE FRAGMENTACIÓN</t>
        </is>
      </c>
      <c r="D116" t="n">
        <v>120</v>
      </c>
      <c r="E116" t="inlineStr">
        <is>
          <t>ROM (fragmentación post-voladura en el frente de carguío, por análisis de fotos)</t>
        </is>
      </c>
      <c r="F116" t="inlineStr"/>
      <c r="G116" t="inlineStr">
        <is>
          <t>no indicada en el archivo</t>
        </is>
      </c>
      <c r="H116" t="inlineStr">
        <is>
          <t>2025-03-01</t>
        </is>
      </c>
      <c r="I116" t="inlineStr">
        <is>
          <t>2025-03-06</t>
        </is>
      </c>
      <c r="J116" t="inlineStr">
        <is>
          <t>PALA 05</t>
        </is>
      </c>
      <c r="K116" t="n">
        <v>9</v>
      </c>
      <c r="L116" t="inlineStr">
        <is>
          <t>9-NP-3953-21</t>
        </is>
      </c>
      <c r="M116" t="n">
        <v>1</v>
      </c>
      <c r="N116" t="n">
        <v>3953</v>
      </c>
      <c r="O116" t="inlineStr">
        <is>
          <t>C</t>
        </is>
      </c>
      <c r="P116" t="n">
        <v>30</v>
      </c>
      <c r="Q116" t="inlineStr">
        <is>
          <t>Desmonte</t>
        </is>
      </c>
      <c r="R116" t="inlineStr">
        <is>
          <t>Producción</t>
        </is>
      </c>
      <c r="S116" t="n">
        <v>4</v>
      </c>
      <c r="T116" t="n">
        <v>7.3</v>
      </c>
      <c r="U116" t="n">
        <v>3</v>
      </c>
      <c r="V116" t="n">
        <v>0.8277188757637248</v>
      </c>
      <c r="W116" t="n">
        <v>0.176</v>
      </c>
      <c r="X116" t="n">
        <v>0.254</v>
      </c>
      <c r="Y116" t="n">
        <v>0.3</v>
      </c>
      <c r="Z116" t="n">
        <v>1.2</v>
      </c>
      <c r="AA116" t="n">
        <v>2.7</v>
      </c>
      <c r="AB116" t="n">
        <v>4.7</v>
      </c>
      <c r="AC116" t="n">
        <v>7.3</v>
      </c>
      <c r="AD116" t="n">
        <v>10.8</v>
      </c>
      <c r="AE116" t="n">
        <v>15.6</v>
      </c>
      <c r="AF116" t="n">
        <v>22.9</v>
      </c>
      <c r="AG116" t="n">
        <v>36.2</v>
      </c>
      <c r="AH116" t="n">
        <v>156</v>
      </c>
      <c r="AI116" t="n">
        <v>9738.744344378843</v>
      </c>
      <c r="AJ116" t="n">
        <v>645273.75</v>
      </c>
      <c r="AK116" t="n">
        <v>190224</v>
      </c>
      <c r="AL116" t="n">
        <v>0.2947958134047759</v>
      </c>
      <c r="AM116" t="inlineStr">
        <is>
          <t>0.9109190634207573</t>
        </is>
      </c>
      <c r="AN116" t="inlineStr">
        <is>
          <t>17</t>
        </is>
      </c>
      <c r="AO116" t="inlineStr">
        <is>
          <t>7</t>
        </is>
      </c>
      <c r="AP116" t="inlineStr">
        <is>
          <t>12 1/4</t>
        </is>
      </c>
      <c r="AQ116" t="inlineStr">
        <is>
          <t>7</t>
        </is>
      </c>
      <c r="AR116" t="inlineStr">
        <is>
          <t>8.05</t>
        </is>
      </c>
      <c r="AS116" t="inlineStr">
        <is>
          <t>2</t>
        </is>
      </c>
      <c r="AT116" t="n">
        <v>263</v>
      </c>
      <c r="AU116" t="inlineStr">
        <is>
          <t>Vertex 70</t>
        </is>
      </c>
      <c r="AV116" t="inlineStr">
        <is>
          <t>50/50AR</t>
        </is>
      </c>
      <c r="AW116" t="n">
        <v>0.6720418112512595</v>
      </c>
      <c r="AX116" t="n">
        <v>0.7353881795265186</v>
      </c>
      <c r="AY116" t="n">
        <v>0.7951403640190452</v>
      </c>
      <c r="AZ116" t="n">
        <v>0.849024789414818</v>
      </c>
      <c r="BA116" t="n">
        <v>0.8770199239357561</v>
      </c>
      <c r="BB116" t="n">
        <v>2.874015748031496</v>
      </c>
      <c r="BC116" t="n">
        <v>0.4814833313870794</v>
      </c>
      <c r="BD116" t="n">
        <v>1.192124923323225</v>
      </c>
      <c r="BE116" t="n">
        <v>2.100901223202541</v>
      </c>
      <c r="BF116" t="n">
        <v>3.242466576588177</v>
      </c>
      <c r="BG116" t="n">
        <v>4.688325832609047</v>
      </c>
      <c r="BH116" t="n">
        <v>6.568312040644201</v>
      </c>
      <c r="BI116" t="n">
        <v>9.135221137343382</v>
      </c>
      <c r="BJ116" t="n">
        <v>12.97221657592475</v>
      </c>
      <c r="BK116" t="n">
        <v>19.99539549575222</v>
      </c>
      <c r="BL116" t="n">
        <v>75.39787542464202</v>
      </c>
      <c r="BM116" t="inlineStr"/>
      <c r="BN116" t="n">
        <v>3</v>
      </c>
      <c r="BO116" t="n">
        <v>73</v>
      </c>
      <c r="BP116" t="n">
        <v>229</v>
      </c>
      <c r="BQ116" t="n">
        <v>362</v>
      </c>
      <c r="BR116" t="n">
        <v>1560</v>
      </c>
      <c r="BS11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7">
      <c r="A117" t="inlineStr">
        <is>
          <t>FRAG</t>
        </is>
      </c>
      <c r="B117" t="inlineStr">
        <is>
          <t>Fragmentación Desmonte 2025.xlsx</t>
        </is>
      </c>
      <c r="C117" t="inlineStr">
        <is>
          <t>ANÁLISIS DE FRAGMENTACIÓN</t>
        </is>
      </c>
      <c r="D117" t="n">
        <v>121</v>
      </c>
      <c r="E117" t="inlineStr">
        <is>
          <t>ROM (fragmentación post-voladura en el frente de carguío, por análisis de fotos)</t>
        </is>
      </c>
      <c r="F117" t="inlineStr"/>
      <c r="G117" t="inlineStr">
        <is>
          <t>no indicada en el archivo</t>
        </is>
      </c>
      <c r="H117" t="inlineStr">
        <is>
          <t>2025-03-01</t>
        </is>
      </c>
      <c r="I117" t="inlineStr">
        <is>
          <t>2025-03-06</t>
        </is>
      </c>
      <c r="J117" t="inlineStr">
        <is>
          <t>PALA 09</t>
        </is>
      </c>
      <c r="K117" t="n">
        <v>9</v>
      </c>
      <c r="L117" t="inlineStr">
        <is>
          <t>9-NP-3953-21</t>
        </is>
      </c>
      <c r="M117" t="n">
        <v>1</v>
      </c>
      <c r="N117" t="n">
        <v>3953</v>
      </c>
      <c r="O117" t="inlineStr">
        <is>
          <t>C</t>
        </is>
      </c>
      <c r="P117" t="n">
        <v>30</v>
      </c>
      <c r="Q117" t="inlineStr">
        <is>
          <t>Desmonte</t>
        </is>
      </c>
      <c r="R117" t="inlineStr">
        <is>
          <t>Producción</t>
        </is>
      </c>
      <c r="S117" t="n">
        <v>5</v>
      </c>
      <c r="T117" t="n">
        <v>8.4</v>
      </c>
      <c r="U117" t="n">
        <v>2</v>
      </c>
      <c r="V117" t="n">
        <v>0.6971982808998841</v>
      </c>
      <c r="W117" t="n">
        <v>0.175</v>
      </c>
      <c r="X117" t="n">
        <v>0.242</v>
      </c>
      <c r="Y117" t="n">
        <v>0.2</v>
      </c>
      <c r="Z117" t="n">
        <v>1.3</v>
      </c>
      <c r="AA117" t="n">
        <v>3.1</v>
      </c>
      <c r="AB117" t="n">
        <v>5.5</v>
      </c>
      <c r="AC117" t="n">
        <v>8.5</v>
      </c>
      <c r="AD117" t="n">
        <v>12.2</v>
      </c>
      <c r="AE117" t="n">
        <v>16.9</v>
      </c>
      <c r="AF117" t="n">
        <v>23.1</v>
      </c>
      <c r="AG117" t="n">
        <v>32.7</v>
      </c>
      <c r="AH117" t="n">
        <v>69.3</v>
      </c>
      <c r="AI117" t="n">
        <v>9738.744344378843</v>
      </c>
      <c r="AJ117" t="n">
        <v>645273.75</v>
      </c>
      <c r="AK117" t="n">
        <v>190224</v>
      </c>
      <c r="AL117" t="n">
        <v>0.2947958134047759</v>
      </c>
      <c r="AM117" t="inlineStr">
        <is>
          <t>0.9109190634207573</t>
        </is>
      </c>
      <c r="AN117" t="inlineStr">
        <is>
          <t>17</t>
        </is>
      </c>
      <c r="AO117" t="inlineStr">
        <is>
          <t>7</t>
        </is>
      </c>
      <c r="AP117" t="inlineStr">
        <is>
          <t>12 1/4</t>
        </is>
      </c>
      <c r="AQ117" t="inlineStr">
        <is>
          <t>7</t>
        </is>
      </c>
      <c r="AR117" t="inlineStr">
        <is>
          <t>8.05</t>
        </is>
      </c>
      <c r="AS117" t="inlineStr">
        <is>
          <t>2</t>
        </is>
      </c>
      <c r="AT117" t="n">
        <v>263</v>
      </c>
      <c r="AU117" t="inlineStr">
        <is>
          <t>Vertex 70</t>
        </is>
      </c>
      <c r="AV117" t="inlineStr">
        <is>
          <t>50/50AR</t>
        </is>
      </c>
      <c r="AW117" t="n">
        <v>0.6853163754716229</v>
      </c>
      <c r="AX117" t="n">
        <v>0.745217029714657</v>
      </c>
      <c r="AY117" t="n">
        <v>0.801519108539523</v>
      </c>
      <c r="AZ117" t="n">
        <v>0.8522728341565434</v>
      </c>
      <c r="BA117" t="n">
        <v>0.8787076481458175</v>
      </c>
      <c r="BB117" t="n">
        <v>3.307086614173228</v>
      </c>
      <c r="BC117" t="n">
        <v>0.3330383582054834</v>
      </c>
      <c r="BD117" t="n">
        <v>0.9771154010238112</v>
      </c>
      <c r="BE117" t="n">
        <v>1.91468976785058</v>
      </c>
      <c r="BF117" t="n">
        <v>3.20517113797714</v>
      </c>
      <c r="BG117" t="n">
        <v>4.965617957349428</v>
      </c>
      <c r="BH117" t="n">
        <v>7.410084767868073</v>
      </c>
      <c r="BI117" t="n">
        <v>10.96247887532051</v>
      </c>
      <c r="BJ117" t="n">
        <v>16.62320083718965</v>
      </c>
      <c r="BK117" t="n">
        <v>27.78495305440104</v>
      </c>
      <c r="BL117" t="n">
        <v>134.3230373972279</v>
      </c>
      <c r="BM117" t="inlineStr"/>
      <c r="BN117" t="n">
        <v>2</v>
      </c>
      <c r="BO117" t="n">
        <v>85</v>
      </c>
      <c r="BP117" t="n">
        <v>231</v>
      </c>
      <c r="BQ117" t="n">
        <v>327</v>
      </c>
      <c r="BR117" t="n">
        <v>693</v>
      </c>
      <c r="BS11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8">
      <c r="A118" t="inlineStr">
        <is>
          <t>FRAG</t>
        </is>
      </c>
      <c r="B118" t="inlineStr">
        <is>
          <t>Fragmentación Desmonte 2025.xlsx</t>
        </is>
      </c>
      <c r="C118" t="inlineStr">
        <is>
          <t>ANÁLISIS DE FRAGMENTACIÓN</t>
        </is>
      </c>
      <c r="D118" t="n">
        <v>122</v>
      </c>
      <c r="E118" t="inlineStr">
        <is>
          <t>ROM (fragmentación post-voladura en el frente de carguío, por análisis de fotos)</t>
        </is>
      </c>
      <c r="F118" t="inlineStr"/>
      <c r="G118" t="inlineStr">
        <is>
          <t>no indicada en el archivo</t>
        </is>
      </c>
      <c r="H118" t="inlineStr">
        <is>
          <t>2025-03-01</t>
        </is>
      </c>
      <c r="I118" t="inlineStr">
        <is>
          <t>2025-03-08</t>
        </is>
      </c>
      <c r="J118" t="inlineStr">
        <is>
          <t>PALA 05</t>
        </is>
      </c>
      <c r="K118" t="n">
        <v>9</v>
      </c>
      <c r="L118" t="inlineStr">
        <is>
          <t>9-NP-3953-21</t>
        </is>
      </c>
      <c r="M118" t="n">
        <v>1</v>
      </c>
      <c r="N118" t="n">
        <v>3953</v>
      </c>
      <c r="O118" t="inlineStr">
        <is>
          <t>C</t>
        </is>
      </c>
      <c r="P118" t="n">
        <v>30</v>
      </c>
      <c r="Q118" t="inlineStr">
        <is>
          <t>Desmonte</t>
        </is>
      </c>
      <c r="R118" t="inlineStr">
        <is>
          <t>Producción/Trim</t>
        </is>
      </c>
      <c r="S118" t="n">
        <v>5</v>
      </c>
      <c r="T118" t="n">
        <v>11.6</v>
      </c>
      <c r="U118" t="n">
        <v>3</v>
      </c>
      <c r="V118" t="n">
        <v>1.002627984883418</v>
      </c>
      <c r="W118" t="n">
        <v>0.111</v>
      </c>
      <c r="X118" t="n">
        <v>0.166</v>
      </c>
      <c r="Y118" t="n">
        <v>0.8</v>
      </c>
      <c r="Z118" t="n">
        <v>2.7</v>
      </c>
      <c r="AA118" t="n">
        <v>5.2</v>
      </c>
      <c r="AB118" t="n">
        <v>8.1</v>
      </c>
      <c r="AC118" t="n">
        <v>11.6</v>
      </c>
      <c r="AD118" t="n">
        <v>15.8</v>
      </c>
      <c r="AE118" t="n">
        <v>21.1</v>
      </c>
      <c r="AF118" t="n">
        <v>28.3</v>
      </c>
      <c r="AG118" t="n">
        <v>40</v>
      </c>
      <c r="AH118" t="n">
        <v>108.1</v>
      </c>
      <c r="AI118" t="n">
        <v>9738.744344378843</v>
      </c>
      <c r="AJ118" t="n">
        <v>645273.75</v>
      </c>
      <c r="AK118" t="n">
        <v>190224</v>
      </c>
      <c r="AL118" t="n">
        <v>0.2947958134047759</v>
      </c>
      <c r="AM118" t="inlineStr">
        <is>
          <t>0.9109190634207573</t>
        </is>
      </c>
      <c r="AN118" t="inlineStr">
        <is>
          <t xml:space="preserve"> - </t>
        </is>
      </c>
      <c r="AO118" t="inlineStr">
        <is>
          <t xml:space="preserve"> - </t>
        </is>
      </c>
      <c r="AP118" t="inlineStr">
        <is>
          <t>9 7/8</t>
        </is>
      </c>
      <c r="AQ118" t="inlineStr">
        <is>
          <t xml:space="preserve"> - </t>
        </is>
      </c>
      <c r="AR118" t="inlineStr">
        <is>
          <t xml:space="preserve"> - </t>
        </is>
      </c>
      <c r="AS118" t="inlineStr">
        <is>
          <t xml:space="preserve"> - </t>
        </is>
      </c>
      <c r="AT118" t="n">
        <v>263</v>
      </c>
      <c r="AU118" t="inlineStr">
        <is>
          <t>Vertex 70</t>
        </is>
      </c>
      <c r="AV118" t="inlineStr">
        <is>
          <t>50/50AR</t>
        </is>
      </c>
      <c r="AW118" t="n">
        <v>0.6465528239372221</v>
      </c>
      <c r="AX118" t="n">
        <v>0.6886523188383975</v>
      </c>
      <c r="AY118" t="n">
        <v>0.7299462299439406</v>
      </c>
      <c r="AZ118" t="n">
        <v>0.7697925848044533</v>
      </c>
      <c r="BA118" t="n">
        <v>0.7921703589484628</v>
      </c>
      <c r="BB118" t="n">
        <v>4.566929133858268</v>
      </c>
      <c r="BC118" t="n">
        <v>1.229412239526792</v>
      </c>
      <c r="BD118" t="n">
        <v>2.598661745047528</v>
      </c>
      <c r="BE118" t="n">
        <v>4.148624499050259</v>
      </c>
      <c r="BF118" t="n">
        <v>5.936019360560337</v>
      </c>
      <c r="BG118" t="n">
        <v>8.048235246260306</v>
      </c>
      <c r="BH118" t="n">
        <v>10.63140829571961</v>
      </c>
      <c r="BI118" t="n">
        <v>13.95929104486899</v>
      </c>
      <c r="BJ118" t="n">
        <v>18.64620710195807</v>
      </c>
      <c r="BK118" t="n">
        <v>26.65166069517285</v>
      </c>
      <c r="BL118" t="n">
        <v>79.72507736794526</v>
      </c>
      <c r="BM118" t="inlineStr"/>
      <c r="BN118" t="n">
        <v>8</v>
      </c>
      <c r="BO118" t="n">
        <v>116</v>
      </c>
      <c r="BP118" t="n">
        <v>283</v>
      </c>
      <c r="BQ118" t="n">
        <v>400</v>
      </c>
      <c r="BR118" t="n">
        <v>1081</v>
      </c>
      <c r="BS11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19">
      <c r="A119" t="inlineStr">
        <is>
          <t>FRAG</t>
        </is>
      </c>
      <c r="B119" t="inlineStr">
        <is>
          <t>Fragmentación Desmonte 2025.xlsx</t>
        </is>
      </c>
      <c r="C119" t="inlineStr">
        <is>
          <t>ANÁLISIS DE FRAGMENTACIÓN</t>
        </is>
      </c>
      <c r="D119" t="n">
        <v>123</v>
      </c>
      <c r="E119" t="inlineStr">
        <is>
          <t>ROM (fragmentación post-voladura en el frente de carguío, por análisis de fotos)</t>
        </is>
      </c>
      <c r="F119" t="inlineStr"/>
      <c r="G119" t="inlineStr">
        <is>
          <t>no indicada en el archivo</t>
        </is>
      </c>
      <c r="H119" t="inlineStr">
        <is>
          <t>2025-03-06</t>
        </is>
      </c>
      <c r="I119" t="inlineStr">
        <is>
          <t>2025-03-08</t>
        </is>
      </c>
      <c r="J119" t="inlineStr">
        <is>
          <t>PALA 09</t>
        </is>
      </c>
      <c r="K119" t="n">
        <v>9</v>
      </c>
      <c r="L119" t="inlineStr">
        <is>
          <t>9-NP-3938-02</t>
        </is>
      </c>
      <c r="M119" t="n">
        <v>3</v>
      </c>
      <c r="N119" t="n">
        <v>3938</v>
      </c>
      <c r="O119" t="inlineStr">
        <is>
          <t>A</t>
        </is>
      </c>
      <c r="P119" t="n">
        <v>30</v>
      </c>
      <c r="Q119" t="inlineStr">
        <is>
          <t>Desmonte</t>
        </is>
      </c>
      <c r="R119" t="inlineStr">
        <is>
          <t>Producción</t>
        </is>
      </c>
      <c r="S119" t="n">
        <v>6</v>
      </c>
      <c r="T119" t="n">
        <v>10.4</v>
      </c>
      <c r="U119" t="n">
        <v>3</v>
      </c>
      <c r="V119" t="n">
        <v>1.082954761278867</v>
      </c>
      <c r="W119" t="n">
        <v>0.097</v>
      </c>
      <c r="X119" t="n">
        <v>0.152</v>
      </c>
      <c r="Y119" t="n">
        <v>1</v>
      </c>
      <c r="Z119" t="n">
        <v>2.9</v>
      </c>
      <c r="AA119" t="n">
        <v>5.2</v>
      </c>
      <c r="AB119" t="n">
        <v>7.7</v>
      </c>
      <c r="AC119" t="n">
        <v>10.5</v>
      </c>
      <c r="AD119" t="n">
        <v>13.7</v>
      </c>
      <c r="AE119" t="n">
        <v>17.7</v>
      </c>
      <c r="AF119" t="n">
        <v>22.9</v>
      </c>
      <c r="AG119" t="n">
        <v>31.2</v>
      </c>
      <c r="AH119" t="n">
        <v>77.40000000000001</v>
      </c>
      <c r="AI119" t="n">
        <v>13111.86735525959</v>
      </c>
      <c r="AJ119" t="n">
        <v>309251.25</v>
      </c>
      <c r="AK119" t="n">
        <v>267289</v>
      </c>
      <c r="AL119" t="n">
        <v>0.8643101685118492</v>
      </c>
      <c r="AM119" t="inlineStr">
        <is>
          <t>2.670718420701614</t>
        </is>
      </c>
      <c r="AN119" t="inlineStr">
        <is>
          <t>16.5</t>
        </is>
      </c>
      <c r="AO119" t="inlineStr">
        <is>
          <t>1.5/5.0</t>
        </is>
      </c>
      <c r="AP119" t="inlineStr">
        <is>
          <t>12 1/4</t>
        </is>
      </c>
      <c r="AQ119" t="inlineStr">
        <is>
          <t>6</t>
        </is>
      </c>
      <c r="AR119" t="inlineStr">
        <is>
          <t>7</t>
        </is>
      </c>
      <c r="AS119" t="inlineStr">
        <is>
          <t>1.5</t>
        </is>
      </c>
      <c r="AT119" t="n">
        <v>305</v>
      </c>
      <c r="AU119" t="inlineStr">
        <is>
          <t>Vertex 70</t>
        </is>
      </c>
      <c r="AV119" t="inlineStr">
        <is>
          <t>50/50AR</t>
        </is>
      </c>
      <c r="AW119" t="n">
        <v>0.6410286939577712</v>
      </c>
      <c r="AX119" t="n">
        <v>0.6796512837355352</v>
      </c>
      <c r="AY119" t="n">
        <v>0.7177113695584241</v>
      </c>
      <c r="AZ119" t="n">
        <v>0.7547208529589435</v>
      </c>
      <c r="BA119" t="n">
        <v>0.77568327108122</v>
      </c>
      <c r="BB119" t="n">
        <v>4.094488188976378</v>
      </c>
      <c r="BC119" t="n">
        <v>1.301890582848058</v>
      </c>
      <c r="BD119" t="n">
        <v>2.603252990503071</v>
      </c>
      <c r="BE119" t="n">
        <v>4.014228001143163</v>
      </c>
      <c r="BF119" t="n">
        <v>5.593098160228804</v>
      </c>
      <c r="BG119" t="n">
        <v>7.413983799830151</v>
      </c>
      <c r="BH119" t="n">
        <v>9.593451796373472</v>
      </c>
      <c r="BI119" t="n">
        <v>12.3445353351332</v>
      </c>
      <c r="BJ119" t="n">
        <v>16.13898580305115</v>
      </c>
      <c r="BK119" t="n">
        <v>22.46483140193626</v>
      </c>
      <c r="BL119" t="n">
        <v>61.95505434247608</v>
      </c>
      <c r="BM119" t="inlineStr"/>
      <c r="BN119" t="n">
        <v>10</v>
      </c>
      <c r="BO119" t="n">
        <v>105</v>
      </c>
      <c r="BP119" t="n">
        <v>229</v>
      </c>
      <c r="BQ119" t="n">
        <v>312</v>
      </c>
      <c r="BR119" t="n">
        <v>774</v>
      </c>
      <c r="BS11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0">
      <c r="A120" t="inlineStr">
        <is>
          <t>FRAG</t>
        </is>
      </c>
      <c r="B120" t="inlineStr">
        <is>
          <t>Fragmentación Desmonte 2025.xlsx</t>
        </is>
      </c>
      <c r="C120" t="inlineStr">
        <is>
          <t>ANÁLISIS DE FRAGMENTACIÓN</t>
        </is>
      </c>
      <c r="D120" t="n">
        <v>124</v>
      </c>
      <c r="E120" t="inlineStr">
        <is>
          <t>ROM (fragmentación post-voladura en el frente de carguío, por análisis de fotos)</t>
        </is>
      </c>
      <c r="F120" t="inlineStr"/>
      <c r="G120" t="inlineStr">
        <is>
          <t>no indicada en el archivo</t>
        </is>
      </c>
      <c r="H120" t="inlineStr">
        <is>
          <t>2025-03-06</t>
        </is>
      </c>
      <c r="I120" t="inlineStr">
        <is>
          <t>2025-03-09</t>
        </is>
      </c>
      <c r="J120" t="inlineStr">
        <is>
          <t>PALA 09</t>
        </is>
      </c>
      <c r="K120" t="n">
        <v>9</v>
      </c>
      <c r="L120" t="inlineStr">
        <is>
          <t>9-NP-3938-02</t>
        </is>
      </c>
      <c r="M120" t="n">
        <v>3</v>
      </c>
      <c r="N120" t="n">
        <v>3938</v>
      </c>
      <c r="O120" t="inlineStr">
        <is>
          <t>A</t>
        </is>
      </c>
      <c r="P120" t="n">
        <v>30</v>
      </c>
      <c r="Q120" t="inlineStr">
        <is>
          <t>Desmonte</t>
        </is>
      </c>
      <c r="R120" t="inlineStr">
        <is>
          <t>Producción</t>
        </is>
      </c>
      <c r="S120" t="n">
        <v>4</v>
      </c>
      <c r="T120" t="n">
        <v>7.2</v>
      </c>
      <c r="U120" t="n">
        <v>4</v>
      </c>
      <c r="V120" t="n">
        <v>1.111396205262298</v>
      </c>
      <c r="W120" t="n">
        <v>0.138</v>
      </c>
      <c r="X120" t="n">
        <v>0.218</v>
      </c>
      <c r="Y120" t="n">
        <v>0.6</v>
      </c>
      <c r="Z120" t="n">
        <v>1.7</v>
      </c>
      <c r="AA120" t="n">
        <v>3.2</v>
      </c>
      <c r="AB120" t="n">
        <v>5</v>
      </c>
      <c r="AC120" t="n">
        <v>7.3</v>
      </c>
      <c r="AD120" t="n">
        <v>10.1</v>
      </c>
      <c r="AE120" t="n">
        <v>13.9</v>
      </c>
      <c r="AF120" t="n">
        <v>19.5</v>
      </c>
      <c r="AG120" t="n">
        <v>29.7</v>
      </c>
      <c r="AH120" t="n">
        <v>150.1</v>
      </c>
      <c r="AI120" t="n">
        <v>13111.86735525959</v>
      </c>
      <c r="AJ120" t="n">
        <v>309251.25</v>
      </c>
      <c r="AK120" t="n">
        <v>267289</v>
      </c>
      <c r="AL120" t="n">
        <v>0.8643101685118492</v>
      </c>
      <c r="AM120" t="inlineStr">
        <is>
          <t>2.670718420701614</t>
        </is>
      </c>
      <c r="AN120" t="inlineStr">
        <is>
          <t>16.5</t>
        </is>
      </c>
      <c r="AO120" t="inlineStr">
        <is>
          <t>1.5/5.0</t>
        </is>
      </c>
      <c r="AP120" t="inlineStr">
        <is>
          <t>12 1/4</t>
        </is>
      </c>
      <c r="AQ120" t="inlineStr">
        <is>
          <t>6</t>
        </is>
      </c>
      <c r="AR120" t="inlineStr">
        <is>
          <t>7</t>
        </is>
      </c>
      <c r="AS120" t="inlineStr">
        <is>
          <t>1.5</t>
        </is>
      </c>
      <c r="AT120" t="n">
        <v>305</v>
      </c>
      <c r="AU120" t="inlineStr">
        <is>
          <t>Vertex 70</t>
        </is>
      </c>
      <c r="AV120" t="inlineStr">
        <is>
          <t>50/50AR</t>
        </is>
      </c>
      <c r="AW120" t="n">
        <v>0.6428174022470077</v>
      </c>
      <c r="AX120" t="n">
        <v>0.698034214722969</v>
      </c>
      <c r="AY120" t="n">
        <v>0.7516132518364167</v>
      </c>
      <c r="AZ120" t="n">
        <v>0.8020927314561437</v>
      </c>
      <c r="BA120" t="n">
        <v>0.8296101059407138</v>
      </c>
      <c r="BB120" t="n">
        <v>2.834645669291338</v>
      </c>
      <c r="BC120" t="n">
        <v>0.950535249095974</v>
      </c>
      <c r="BD120" t="n">
        <v>1.867277195511553</v>
      </c>
      <c r="BE120" t="n">
        <v>2.847614550630144</v>
      </c>
      <c r="BF120" t="n">
        <v>3.934098716254124</v>
      </c>
      <c r="BG120" t="n">
        <v>5.177405247225677</v>
      </c>
      <c r="BH120" t="n">
        <v>6.655355002617827</v>
      </c>
      <c r="BI120" t="n">
        <v>8.508811332315851</v>
      </c>
      <c r="BJ120" t="n">
        <v>11.04820151245314</v>
      </c>
      <c r="BK120" t="n">
        <v>15.24905716895103</v>
      </c>
      <c r="BL120" t="n">
        <v>40.97717083004851</v>
      </c>
      <c r="BM120" t="inlineStr"/>
      <c r="BN120" t="n">
        <v>6</v>
      </c>
      <c r="BO120" t="n">
        <v>73</v>
      </c>
      <c r="BP120" t="n">
        <v>195</v>
      </c>
      <c r="BQ120" t="n">
        <v>297</v>
      </c>
      <c r="BR120" t="n">
        <v>1501</v>
      </c>
      <c r="BS12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1">
      <c r="A121" t="inlineStr">
        <is>
          <t>FRAG</t>
        </is>
      </c>
      <c r="B121" t="inlineStr">
        <is>
          <t>Fragmentación Desmonte 2025.xlsx</t>
        </is>
      </c>
      <c r="C121" t="inlineStr">
        <is>
          <t>ANÁLISIS DE FRAGMENTACIÓN</t>
        </is>
      </c>
      <c r="D121" t="n">
        <v>125</v>
      </c>
      <c r="E121" t="inlineStr">
        <is>
          <t>ROM (fragmentación post-voladura en el frente de carguío, por análisis de fotos)</t>
        </is>
      </c>
      <c r="F121" t="inlineStr"/>
      <c r="G121" t="inlineStr">
        <is>
          <t>no indicada en el archivo</t>
        </is>
      </c>
      <c r="H121" t="inlineStr">
        <is>
          <t>2025-02-17</t>
        </is>
      </c>
      <c r="I121" t="inlineStr">
        <is>
          <t>2025-03-10</t>
        </is>
      </c>
      <c r="J121" t="inlineStr">
        <is>
          <t>PALA 06</t>
        </is>
      </c>
      <c r="K121" t="n">
        <v>10</v>
      </c>
      <c r="L121" t="inlineStr">
        <is>
          <t>10-NP-4418-11</t>
        </is>
      </c>
      <c r="M121" t="n">
        <v>1</v>
      </c>
      <c r="N121" t="n">
        <v>4418</v>
      </c>
      <c r="O121" t="inlineStr">
        <is>
          <t>A</t>
        </is>
      </c>
      <c r="P121" t="n">
        <v>30</v>
      </c>
      <c r="Q121" t="inlineStr">
        <is>
          <t>Desmonte</t>
        </is>
      </c>
      <c r="R121" t="inlineStr">
        <is>
          <t>Producción</t>
        </is>
      </c>
      <c r="S121" t="n">
        <v>4</v>
      </c>
      <c r="T121" t="n">
        <v>6.2</v>
      </c>
      <c r="U121" t="n">
        <v>3</v>
      </c>
      <c r="V121" t="n">
        <v>0.8627896845742509</v>
      </c>
      <c r="W121" t="n">
        <v>0.198</v>
      </c>
      <c r="X121" t="n">
        <v>0.281</v>
      </c>
      <c r="Y121" t="n">
        <v>0.2</v>
      </c>
      <c r="Z121" t="n">
        <v>1</v>
      </c>
      <c r="AA121" t="n">
        <v>2.2</v>
      </c>
      <c r="AB121" t="n">
        <v>3.9</v>
      </c>
      <c r="AC121" t="n">
        <v>6.2</v>
      </c>
      <c r="AD121" t="n">
        <v>9.199999999999999</v>
      </c>
      <c r="AE121" t="n">
        <v>13.3</v>
      </c>
      <c r="AF121" t="n">
        <v>19.4</v>
      </c>
      <c r="AG121" t="n">
        <v>30.1</v>
      </c>
      <c r="AH121" t="n">
        <v>106.6</v>
      </c>
      <c r="AI121" t="inlineStr"/>
      <c r="AJ121" t="n">
        <v>992681.25</v>
      </c>
      <c r="AK121" t="n">
        <v>261237.794</v>
      </c>
      <c r="AL121" t="n">
        <v>0.2631638242386466</v>
      </c>
      <c r="AM121" t="inlineStr">
        <is>
          <t>0.8131762168974179</t>
        </is>
      </c>
      <c r="AN121" t="inlineStr">
        <is>
          <t>17</t>
        </is>
      </c>
      <c r="AO121" t="inlineStr">
        <is>
          <t>7</t>
        </is>
      </c>
      <c r="AP121" t="inlineStr">
        <is>
          <t>12 1/4</t>
        </is>
      </c>
      <c r="AQ121" t="inlineStr">
        <is>
          <t>9</t>
        </is>
      </c>
      <c r="AR121" t="inlineStr">
        <is>
          <t>10.35</t>
        </is>
      </c>
      <c r="AS121" t="inlineStr">
        <is>
          <t>2</t>
        </is>
      </c>
      <c r="AT121" t="n">
        <v>304</v>
      </c>
      <c r="AU121" t="inlineStr">
        <is>
          <t>Vertex 70</t>
        </is>
      </c>
      <c r="AV121" t="inlineStr">
        <is>
          <t>100%D2</t>
        </is>
      </c>
      <c r="AW121" t="n">
        <v>0.6720044792220585</v>
      </c>
      <c r="AX121" t="n">
        <v>0.7419156310549573</v>
      </c>
      <c r="AY121" t="n">
        <v>0.8071281591799204</v>
      </c>
      <c r="AZ121" t="n">
        <v>0.8646135107091916</v>
      </c>
      <c r="BA121" t="n">
        <v>0.8936411122501624</v>
      </c>
      <c r="BB121" t="n">
        <v>2.440944881889764</v>
      </c>
      <c r="BC121" t="n">
        <v>0.4567147668886104</v>
      </c>
      <c r="BD121" t="n">
        <v>1.089885160597001</v>
      </c>
      <c r="BE121" t="n">
        <v>1.876989099731428</v>
      </c>
      <c r="BF121" t="n">
        <v>2.846234457241198</v>
      </c>
      <c r="BG121" t="n">
        <v>4.05418406916344</v>
      </c>
      <c r="BH121" t="n">
        <v>5.602567525445893</v>
      </c>
      <c r="BI121" t="n">
        <v>7.688275160685198</v>
      </c>
      <c r="BJ121" t="n">
        <v>10.76300465829334</v>
      </c>
      <c r="BK121" t="n">
        <v>16.30087455238878</v>
      </c>
      <c r="BL121" t="n">
        <v>58.23837321284103</v>
      </c>
      <c r="BM121" t="inlineStr"/>
      <c r="BN121" t="n">
        <v>2</v>
      </c>
      <c r="BO121" t="n">
        <v>62</v>
      </c>
      <c r="BP121" t="n">
        <v>194</v>
      </c>
      <c r="BQ121" t="n">
        <v>301</v>
      </c>
      <c r="BR121" t="n">
        <v>1066</v>
      </c>
      <c r="BS12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2">
      <c r="A122" t="inlineStr">
        <is>
          <t>FRAG</t>
        </is>
      </c>
      <c r="B122" t="inlineStr">
        <is>
          <t>Fragmentación Desmonte 2025.xlsx</t>
        </is>
      </c>
      <c r="C122" t="inlineStr">
        <is>
          <t>ANÁLISIS DE FRAGMENTACIÓN</t>
        </is>
      </c>
      <c r="D122" t="n">
        <v>126</v>
      </c>
      <c r="E122" t="inlineStr">
        <is>
          <t>ROM (fragmentación post-voladura en el frente de carguío, por análisis de fotos)</t>
        </is>
      </c>
      <c r="F122" t="inlineStr"/>
      <c r="G122" t="inlineStr">
        <is>
          <t>no indicada en el archivo</t>
        </is>
      </c>
      <c r="H122" t="inlineStr">
        <is>
          <t>2025-03-09</t>
        </is>
      </c>
      <c r="I122" t="inlineStr">
        <is>
          <t>2025-03-13</t>
        </is>
      </c>
      <c r="J122" t="inlineStr">
        <is>
          <t>PALA 09</t>
        </is>
      </c>
      <c r="K122" t="n">
        <v>9</v>
      </c>
      <c r="L122" t="inlineStr">
        <is>
          <t>9-NP-3938-07</t>
        </is>
      </c>
      <c r="M122" t="n">
        <v>2</v>
      </c>
      <c r="N122" t="n">
        <v>3938</v>
      </c>
      <c r="O122" t="inlineStr">
        <is>
          <t>A</t>
        </is>
      </c>
      <c r="P122" t="n">
        <v>30</v>
      </c>
      <c r="Q122" t="inlineStr">
        <is>
          <t>Desmonte</t>
        </is>
      </c>
      <c r="R122" t="inlineStr">
        <is>
          <t>Producción</t>
        </is>
      </c>
      <c r="S122" t="n">
        <v>7</v>
      </c>
      <c r="T122" t="n">
        <v>9.9</v>
      </c>
      <c r="U122" t="n">
        <v>3</v>
      </c>
      <c r="V122" t="n">
        <v>1.19421775669135</v>
      </c>
      <c r="W122" t="n">
        <v>0.08400000000000001</v>
      </c>
      <c r="X122" t="n">
        <v>0.137</v>
      </c>
      <c r="Y122" t="n">
        <v>1.2</v>
      </c>
      <c r="Z122" t="n">
        <v>3.2</v>
      </c>
      <c r="AA122" t="n">
        <v>5.3</v>
      </c>
      <c r="AB122" t="n">
        <v>7.5</v>
      </c>
      <c r="AC122" t="n">
        <v>9.9</v>
      </c>
      <c r="AD122" t="n">
        <v>12.6</v>
      </c>
      <c r="AE122" t="n">
        <v>15.7</v>
      </c>
      <c r="AF122" t="n">
        <v>19.8</v>
      </c>
      <c r="AG122" t="n">
        <v>25.9</v>
      </c>
      <c r="AH122" t="n">
        <v>57.3</v>
      </c>
      <c r="AI122" t="n">
        <v>11478.24323214629</v>
      </c>
      <c r="AJ122" t="n">
        <v>596928.75</v>
      </c>
      <c r="AK122" t="n">
        <v>239735</v>
      </c>
      <c r="AL122" t="n">
        <v>0.4016140954845951</v>
      </c>
      <c r="AM122" t="inlineStr">
        <is>
          <t>1.240987555047399</t>
        </is>
      </c>
      <c r="AN122" t="inlineStr">
        <is>
          <t>16.5</t>
        </is>
      </c>
      <c r="AO122" t="inlineStr">
        <is>
          <t>6.5</t>
        </is>
      </c>
      <c r="AP122" t="inlineStr">
        <is>
          <t>12 1/4</t>
        </is>
      </c>
      <c r="AQ122" t="inlineStr">
        <is>
          <t>6</t>
        </is>
      </c>
      <c r="AR122" t="inlineStr">
        <is>
          <t>7</t>
        </is>
      </c>
      <c r="AS122" t="inlineStr">
        <is>
          <t>1.5</t>
        </is>
      </c>
      <c r="AT122" t="n">
        <v>248</v>
      </c>
      <c r="AU122" t="inlineStr">
        <is>
          <t>Vertex 70</t>
        </is>
      </c>
      <c r="AV122" t="inlineStr">
        <is>
          <t>41D2/59AR</t>
        </is>
      </c>
      <c r="AW122" t="n">
        <v>0.6352213767791417</v>
      </c>
      <c r="AX122" t="n">
        <v>0.6700862371607742</v>
      </c>
      <c r="AY122" t="n">
        <v>0.7045899005818981</v>
      </c>
      <c r="AZ122" t="n">
        <v>0.7383798741285185</v>
      </c>
      <c r="BA122" t="n">
        <v>0.7576694185147258</v>
      </c>
      <c r="BB122" t="n">
        <v>3.897637795275591</v>
      </c>
      <c r="BC122" t="n">
        <v>1.504030746801933</v>
      </c>
      <c r="BD122" t="n">
        <v>2.819424191868996</v>
      </c>
      <c r="BE122" t="n">
        <v>4.175634709504774</v>
      </c>
      <c r="BF122" t="n">
        <v>5.640946778098336</v>
      </c>
      <c r="BG122" t="n">
        <v>7.283623590855169</v>
      </c>
      <c r="BH122" t="n">
        <v>9.201170562139778</v>
      </c>
      <c r="BI122" t="n">
        <v>11.56487753358159</v>
      </c>
      <c r="BJ122" t="n">
        <v>14.74679439056142</v>
      </c>
      <c r="BK122" t="n">
        <v>19.90412552755343</v>
      </c>
      <c r="BL122" t="n">
        <v>49.94238506804219</v>
      </c>
      <c r="BM122" t="inlineStr"/>
      <c r="BN122" t="n">
        <v>12</v>
      </c>
      <c r="BO122" t="n">
        <v>99</v>
      </c>
      <c r="BP122" t="n">
        <v>198</v>
      </c>
      <c r="BQ122" t="n">
        <v>259</v>
      </c>
      <c r="BR122" t="n">
        <v>573</v>
      </c>
      <c r="BS12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3">
      <c r="A123" t="inlineStr">
        <is>
          <t>FRAG</t>
        </is>
      </c>
      <c r="B123" t="inlineStr">
        <is>
          <t>Fragmentación Desmonte 2025.xlsx</t>
        </is>
      </c>
      <c r="C123" t="inlineStr">
        <is>
          <t>ANÁLISIS DE FRAGMENTACIÓN</t>
        </is>
      </c>
      <c r="D123" t="n">
        <v>127</v>
      </c>
      <c r="E123" t="inlineStr">
        <is>
          <t>ROM (fragmentación post-voladura en el frente de carguío, por análisis de fotos)</t>
        </is>
      </c>
      <c r="F123" t="inlineStr"/>
      <c r="G123" t="inlineStr">
        <is>
          <t>no indicada en el archivo</t>
        </is>
      </c>
      <c r="H123" t="inlineStr">
        <is>
          <t>2025-03-03</t>
        </is>
      </c>
      <c r="I123" t="inlineStr">
        <is>
          <t>2025-03-14</t>
        </is>
      </c>
      <c r="J123" t="inlineStr">
        <is>
          <t>PALA 06</t>
        </is>
      </c>
      <c r="K123" t="n">
        <v>10</v>
      </c>
      <c r="L123" t="inlineStr">
        <is>
          <t>10-NP-4418-13</t>
        </is>
      </c>
      <c r="M123" t="n">
        <v>5</v>
      </c>
      <c r="N123" t="n">
        <v>4418</v>
      </c>
      <c r="O123" t="inlineStr">
        <is>
          <t>A</t>
        </is>
      </c>
      <c r="P123" t="n">
        <v>30</v>
      </c>
      <c r="Q123" t="inlineStr">
        <is>
          <t>Desmonte</t>
        </is>
      </c>
      <c r="R123" t="inlineStr">
        <is>
          <t>Producción</t>
        </is>
      </c>
      <c r="S123" t="n">
        <v>9</v>
      </c>
      <c r="T123" t="n">
        <v>3</v>
      </c>
      <c r="U123" t="n">
        <v>2</v>
      </c>
      <c r="V123" t="n">
        <v>0.5558388940462424</v>
      </c>
      <c r="W123" t="n">
        <v>0.331</v>
      </c>
      <c r="X123" t="n">
        <v>0.428</v>
      </c>
      <c r="Y123" t="n">
        <v>0.1</v>
      </c>
      <c r="Z123" t="n">
        <v>0.2</v>
      </c>
      <c r="AA123" t="n">
        <v>0.7</v>
      </c>
      <c r="AB123" t="n">
        <v>1.6</v>
      </c>
      <c r="AC123" t="n">
        <v>3</v>
      </c>
      <c r="AD123" t="n">
        <v>5.1</v>
      </c>
      <c r="AE123" t="n">
        <v>8.1</v>
      </c>
      <c r="AF123" t="n">
        <v>12.8</v>
      </c>
      <c r="AG123" t="n">
        <v>21.1</v>
      </c>
      <c r="AH123" t="n">
        <v>61.6</v>
      </c>
      <c r="AI123" t="inlineStr"/>
      <c r="AJ123" t="n">
        <v>325503.75</v>
      </c>
      <c r="AK123" t="n">
        <v>310864</v>
      </c>
      <c r="AL123" t="n">
        <v>0.9550243276767164</v>
      </c>
      <c r="AM123" t="inlineStr">
        <is>
          <t>2.951025172521054</t>
        </is>
      </c>
      <c r="AN123" t="inlineStr">
        <is>
          <t>17</t>
        </is>
      </c>
      <c r="AO123" t="inlineStr">
        <is>
          <t>7</t>
        </is>
      </c>
      <c r="AP123" t="inlineStr">
        <is>
          <t>12 1/4</t>
        </is>
      </c>
      <c r="AQ123" t="inlineStr">
        <is>
          <t>9</t>
        </is>
      </c>
      <c r="AR123" t="inlineStr">
        <is>
          <t>10.35</t>
        </is>
      </c>
      <c r="AS123" t="inlineStr">
        <is>
          <t>2</t>
        </is>
      </c>
      <c r="AT123" t="n">
        <v>432</v>
      </c>
      <c r="AU123" t="inlineStr">
        <is>
          <t>Vertex 70</t>
        </is>
      </c>
      <c r="AV123" t="inlineStr">
        <is>
          <t>50/50AR</t>
        </is>
      </c>
      <c r="AW123" t="n">
        <v>0.7593139461489199</v>
      </c>
      <c r="AX123" t="n">
        <v>0.8528282819698793</v>
      </c>
      <c r="AY123" t="n">
        <v>0.9240691639436792</v>
      </c>
      <c r="AZ123" t="n">
        <v>0.9688289569776948</v>
      </c>
      <c r="BA123" t="n">
        <v>0.9838450196336826</v>
      </c>
      <c r="BB123" t="n">
        <v>1.181102362204724</v>
      </c>
      <c r="BC123" t="n">
        <v>0.0523405392679381</v>
      </c>
      <c r="BD123" t="n">
        <v>0.201916018215702</v>
      </c>
      <c r="BE123" t="n">
        <v>0.4694861115728582</v>
      </c>
      <c r="BF123" t="n">
        <v>0.8959416823084079</v>
      </c>
      <c r="BG123" t="n">
        <v>1.551504840978434</v>
      </c>
      <c r="BH123" t="n">
        <v>2.563397874135348</v>
      </c>
      <c r="BI123" t="n">
        <v>4.189452817900233</v>
      </c>
      <c r="BJ123" t="n">
        <v>7.062284851990848</v>
      </c>
      <c r="BK123" t="n">
        <v>13.45169909298945</v>
      </c>
      <c r="BL123" t="n">
        <v>97.08622624061512</v>
      </c>
      <c r="BM123" t="inlineStr"/>
      <c r="BN123" t="n">
        <v>1</v>
      </c>
      <c r="BO123" t="n">
        <v>30</v>
      </c>
      <c r="BP123" t="n">
        <v>128</v>
      </c>
      <c r="BQ123" t="n">
        <v>211</v>
      </c>
      <c r="BR123" t="n">
        <v>616</v>
      </c>
      <c r="BS12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4">
      <c r="A124" t="inlineStr">
        <is>
          <t>FRAG</t>
        </is>
      </c>
      <c r="B124" t="inlineStr">
        <is>
          <t>Fragmentación Desmonte 2025.xlsx</t>
        </is>
      </c>
      <c r="C124" t="inlineStr">
        <is>
          <t>ANÁLISIS DE FRAGMENTACIÓN</t>
        </is>
      </c>
      <c r="D124" t="n">
        <v>128</v>
      </c>
      <c r="E124" t="inlineStr">
        <is>
          <t>ROM (fragmentación post-voladura en el frente de carguío, por análisis de fotos)</t>
        </is>
      </c>
      <c r="F124" t="inlineStr"/>
      <c r="G124" t="inlineStr">
        <is>
          <t>no indicada en el archivo</t>
        </is>
      </c>
      <c r="H124" t="inlineStr">
        <is>
          <t>2025-03-08</t>
        </is>
      </c>
      <c r="I124" t="inlineStr">
        <is>
          <t>2025-03-14</t>
        </is>
      </c>
      <c r="J124" t="inlineStr">
        <is>
          <t>PALA 11</t>
        </is>
      </c>
      <c r="K124" t="n">
        <v>10</v>
      </c>
      <c r="L124" t="inlineStr">
        <is>
          <t>10-NP-4433-24</t>
        </is>
      </c>
      <c r="M124" t="n">
        <v>1</v>
      </c>
      <c r="N124" t="n">
        <v>4433</v>
      </c>
      <c r="O124" t="inlineStr">
        <is>
          <t>A</t>
        </is>
      </c>
      <c r="P124" t="n">
        <v>30</v>
      </c>
      <c r="Q124" t="inlineStr">
        <is>
          <t>Desmonte</t>
        </is>
      </c>
      <c r="R124" t="inlineStr">
        <is>
          <t>Producción</t>
        </is>
      </c>
      <c r="S124" t="n">
        <v>5</v>
      </c>
      <c r="T124" t="n">
        <v>14.5</v>
      </c>
      <c r="U124" t="n">
        <v>2</v>
      </c>
      <c r="V124" t="n">
        <v>0.7364513911362667</v>
      </c>
      <c r="W124" t="n">
        <v>0.109</v>
      </c>
      <c r="X124" t="n">
        <v>0.156</v>
      </c>
      <c r="Y124" t="n">
        <v>0.8</v>
      </c>
      <c r="Z124" t="n">
        <v>3.1</v>
      </c>
      <c r="AA124" t="n">
        <v>6.3</v>
      </c>
      <c r="AB124" t="n">
        <v>10.1</v>
      </c>
      <c r="AC124" t="n">
        <v>14.5</v>
      </c>
      <c r="AD124" t="n">
        <v>19.7</v>
      </c>
      <c r="AE124" t="n">
        <v>26.1</v>
      </c>
      <c r="AF124" t="n">
        <v>34.4</v>
      </c>
      <c r="AG124" t="n">
        <v>47.1</v>
      </c>
      <c r="AH124" t="n">
        <v>101.3</v>
      </c>
      <c r="AI124" t="inlineStr"/>
      <c r="AJ124" t="n">
        <v>542107.5</v>
      </c>
      <c r="AK124" t="n">
        <v>149612</v>
      </c>
      <c r="AL124" t="n">
        <v>0.2759821622095249</v>
      </c>
      <c r="AM124" t="inlineStr">
        <is>
          <t>-</t>
        </is>
      </c>
      <c r="AN124" t="inlineStr">
        <is>
          <t>17</t>
        </is>
      </c>
      <c r="AO124" t="inlineStr">
        <is>
          <t>7</t>
        </is>
      </c>
      <c r="AP124" t="inlineStr">
        <is>
          <t>12 1/4</t>
        </is>
      </c>
      <c r="AQ124" t="inlineStr">
        <is>
          <t>9</t>
        </is>
      </c>
      <c r="AR124" t="inlineStr">
        <is>
          <t>10.35</t>
        </is>
      </c>
      <c r="AS124" t="inlineStr">
        <is>
          <t>2</t>
        </is>
      </c>
      <c r="AT124" t="n">
        <v>274</v>
      </c>
      <c r="AU124" t="inlineStr">
        <is>
          <t>Emulgex 70</t>
        </is>
      </c>
      <c r="AV124" t="inlineStr">
        <is>
          <t>41D2/59AR</t>
        </is>
      </c>
      <c r="AW124" t="n">
        <v>0.6633551538070916</v>
      </c>
      <c r="AX124" t="n">
        <v>0.7027115674808946</v>
      </c>
      <c r="AY124" t="n">
        <v>0.7411678112132848</v>
      </c>
      <c r="AZ124" t="n">
        <v>0.7781861295657034</v>
      </c>
      <c r="BA124" t="n">
        <v>0.7989590748305208</v>
      </c>
      <c r="BB124" t="n">
        <v>5.708661417322834</v>
      </c>
      <c r="BC124" t="n">
        <v>0.6828079878493324</v>
      </c>
      <c r="BD124" t="n">
        <v>1.891624215552212</v>
      </c>
      <c r="BE124" t="n">
        <v>3.576148889120548</v>
      </c>
      <c r="BF124" t="n">
        <v>5.824280705008244</v>
      </c>
      <c r="BG124" t="n">
        <v>8.815172309691917</v>
      </c>
      <c r="BH124" t="n">
        <v>12.87699187092976</v>
      </c>
      <c r="BI124" t="n">
        <v>18.65668138368415</v>
      </c>
      <c r="BJ124" t="n">
        <v>27.66962428383589</v>
      </c>
      <c r="BK124" t="n">
        <v>44.99945324905024</v>
      </c>
      <c r="BL124" t="n">
        <v>200.0195627679742</v>
      </c>
      <c r="BM124" t="inlineStr"/>
      <c r="BN124" t="n">
        <v>8</v>
      </c>
      <c r="BO124" t="n">
        <v>145</v>
      </c>
      <c r="BP124" t="n">
        <v>344</v>
      </c>
      <c r="BQ124" t="n">
        <v>471</v>
      </c>
      <c r="BR124" t="n">
        <v>1013</v>
      </c>
      <c r="BS12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5">
      <c r="A125" t="inlineStr">
        <is>
          <t>FRAG</t>
        </is>
      </c>
      <c r="B125" t="inlineStr">
        <is>
          <t>Fragmentación Desmonte 2025.xlsx</t>
        </is>
      </c>
      <c r="C125" t="inlineStr">
        <is>
          <t>ANÁLISIS DE FRAGMENTACIÓN</t>
        </is>
      </c>
      <c r="D125" t="n">
        <v>129</v>
      </c>
      <c r="E125" t="inlineStr">
        <is>
          <t>ROM (fragmentación post-voladura en el frente de carguío, por análisis de fotos)</t>
        </is>
      </c>
      <c r="F125" t="inlineStr"/>
      <c r="G125" t="inlineStr">
        <is>
          <t>no indicada en el archivo</t>
        </is>
      </c>
      <c r="H125" t="inlineStr">
        <is>
          <t>2025-03-09</t>
        </is>
      </c>
      <c r="I125" t="inlineStr">
        <is>
          <t>2025-03-15</t>
        </is>
      </c>
      <c r="J125" t="inlineStr">
        <is>
          <t>PALA 09</t>
        </is>
      </c>
      <c r="K125" t="n">
        <v>9</v>
      </c>
      <c r="L125" t="inlineStr">
        <is>
          <t>9-NP-3938-07</t>
        </is>
      </c>
      <c r="M125" t="n">
        <v>1</v>
      </c>
      <c r="N125" t="n">
        <v>3938</v>
      </c>
      <c r="O125" t="inlineStr">
        <is>
          <t>C</t>
        </is>
      </c>
      <c r="P125" t="n">
        <v>30</v>
      </c>
      <c r="Q125" t="inlineStr">
        <is>
          <t>Desmonte</t>
        </is>
      </c>
      <c r="R125" t="inlineStr">
        <is>
          <t>Producción</t>
        </is>
      </c>
      <c r="S125" t="n">
        <v>3</v>
      </c>
      <c r="T125" t="n">
        <v>9.800000000000001</v>
      </c>
      <c r="U125" t="n">
        <v>3</v>
      </c>
      <c r="V125" t="n">
        <v>1.130629569836064</v>
      </c>
      <c r="W125" t="n">
        <v>0.095</v>
      </c>
      <c r="X125" t="n">
        <v>0.151</v>
      </c>
      <c r="Y125" t="n">
        <v>1</v>
      </c>
      <c r="Z125" t="n">
        <v>2.9</v>
      </c>
      <c r="AA125" t="n">
        <v>5</v>
      </c>
      <c r="AB125" t="n">
        <v>7.3</v>
      </c>
      <c r="AC125" t="n">
        <v>9.800000000000001</v>
      </c>
      <c r="AD125" t="n">
        <v>12.7</v>
      </c>
      <c r="AE125" t="n">
        <v>16.2</v>
      </c>
      <c r="AF125" t="n">
        <v>20.7</v>
      </c>
      <c r="AG125" t="n">
        <v>27.6</v>
      </c>
      <c r="AH125" t="n">
        <v>64.5</v>
      </c>
      <c r="AI125" t="n">
        <v>11597.43977018976</v>
      </c>
      <c r="AJ125" t="n">
        <v>596928.75</v>
      </c>
      <c r="AK125" t="n">
        <v>239735</v>
      </c>
      <c r="AL125" t="n">
        <v>0.4016140954845951</v>
      </c>
      <c r="AM125" t="inlineStr">
        <is>
          <t>1.240987555047399</t>
        </is>
      </c>
      <c r="AN125" t="inlineStr">
        <is>
          <t>16.5</t>
        </is>
      </c>
      <c r="AO125" t="inlineStr">
        <is>
          <t>6.5</t>
        </is>
      </c>
      <c r="AP125" t="inlineStr">
        <is>
          <t>12 1/4</t>
        </is>
      </c>
      <c r="AQ125" t="inlineStr">
        <is>
          <t>6</t>
        </is>
      </c>
      <c r="AR125" t="inlineStr">
        <is>
          <t>7</t>
        </is>
      </c>
      <c r="AS125" t="inlineStr">
        <is>
          <t>1.5</t>
        </is>
      </c>
      <c r="AT125" t="n">
        <v>248</v>
      </c>
      <c r="AU125" t="inlineStr">
        <is>
          <t>Vertex 70</t>
        </is>
      </c>
      <c r="AV125" t="inlineStr">
        <is>
          <t>41D2/59AR</t>
        </is>
      </c>
      <c r="AW125" t="n">
        <v>0.63857746078846</v>
      </c>
      <c r="AX125" t="n">
        <v>0.6769668078366023</v>
      </c>
      <c r="AY125" t="n">
        <v>0.7148337977424699</v>
      </c>
      <c r="AZ125" t="n">
        <v>0.7517014367960132</v>
      </c>
      <c r="BA125" t="n">
        <v>0.7726086800413875</v>
      </c>
      <c r="BB125" t="n">
        <v>3.858267716535433</v>
      </c>
      <c r="BC125" t="n">
        <v>1.339124162921991</v>
      </c>
      <c r="BD125" t="n">
        <v>2.600596894082753</v>
      </c>
      <c r="BE125" t="n">
        <v>3.937565273171997</v>
      </c>
      <c r="BF125" t="n">
        <v>5.410084585048538</v>
      </c>
      <c r="BG125" t="n">
        <v>7.086668020469274</v>
      </c>
      <c r="BH125" t="n">
        <v>9.070807062191806</v>
      </c>
      <c r="BI125" t="n">
        <v>11.54857880505325</v>
      </c>
      <c r="BJ125" t="n">
        <v>14.92869272392996</v>
      </c>
      <c r="BK125" t="n">
        <v>20.49238202696555</v>
      </c>
      <c r="BL125" t="n">
        <v>54.14876188743072</v>
      </c>
      <c r="BM125" t="inlineStr"/>
      <c r="BN125" t="n">
        <v>10</v>
      </c>
      <c r="BO125" t="n">
        <v>98</v>
      </c>
      <c r="BP125" t="n">
        <v>207</v>
      </c>
      <c r="BQ125" t="n">
        <v>276</v>
      </c>
      <c r="BR125" t="n">
        <v>645</v>
      </c>
      <c r="BS12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6">
      <c r="A126" t="inlineStr">
        <is>
          <t>FRAG</t>
        </is>
      </c>
      <c r="B126" t="inlineStr">
        <is>
          <t>Fragmentación Desmonte 2025.xlsx</t>
        </is>
      </c>
      <c r="C126" t="inlineStr">
        <is>
          <t>ANÁLISIS DE FRAGMENTACIÓN</t>
        </is>
      </c>
      <c r="D126" t="n">
        <v>130</v>
      </c>
      <c r="E126" t="inlineStr">
        <is>
          <t>ROM (fragmentación post-voladura en el frente de carguío, por análisis de fotos)</t>
        </is>
      </c>
      <c r="F126" t="inlineStr"/>
      <c r="G126" t="inlineStr">
        <is>
          <t>no indicada en el archivo</t>
        </is>
      </c>
      <c r="H126" t="inlineStr">
        <is>
          <t>2025-03-09</t>
        </is>
      </c>
      <c r="I126" t="inlineStr">
        <is>
          <t>2025-03-15</t>
        </is>
      </c>
      <c r="J126" t="inlineStr">
        <is>
          <t>PALA 09</t>
        </is>
      </c>
      <c r="K126" t="n">
        <v>9</v>
      </c>
      <c r="L126" t="inlineStr">
        <is>
          <t>9-NP-3938-07</t>
        </is>
      </c>
      <c r="M126" t="n">
        <v>2</v>
      </c>
      <c r="N126" t="n">
        <v>3938</v>
      </c>
      <c r="O126" t="inlineStr">
        <is>
          <t>A</t>
        </is>
      </c>
      <c r="P126" t="n">
        <v>30</v>
      </c>
      <c r="Q126" t="inlineStr">
        <is>
          <t>Desmonte</t>
        </is>
      </c>
      <c r="R126" t="inlineStr">
        <is>
          <t>Producción</t>
        </is>
      </c>
      <c r="S126" t="n">
        <v>4</v>
      </c>
      <c r="T126" t="n">
        <v>10.5</v>
      </c>
      <c r="U126" t="n">
        <v>3</v>
      </c>
      <c r="V126" t="n">
        <v>1.344285967333394</v>
      </c>
      <c r="W126" t="n">
        <v>0.05</v>
      </c>
      <c r="X126" t="n">
        <v>0.091</v>
      </c>
      <c r="Y126" t="n">
        <v>2.2</v>
      </c>
      <c r="Z126" t="n">
        <v>4.4</v>
      </c>
      <c r="AA126" t="n">
        <v>6.5</v>
      </c>
      <c r="AB126" t="n">
        <v>8.5</v>
      </c>
      <c r="AC126" t="n">
        <v>10.5</v>
      </c>
      <c r="AD126" t="n">
        <v>12.7</v>
      </c>
      <c r="AE126" t="n">
        <v>15.2</v>
      </c>
      <c r="AF126" t="n">
        <v>18.4</v>
      </c>
      <c r="AG126" t="n">
        <v>23</v>
      </c>
      <c r="AH126" t="n">
        <v>48.3</v>
      </c>
      <c r="AI126" t="n">
        <v>11478.24323214629</v>
      </c>
      <c r="AJ126" t="n">
        <v>596928.75</v>
      </c>
      <c r="AK126" t="n">
        <v>239735</v>
      </c>
      <c r="AL126" t="n">
        <v>0.4016140954845951</v>
      </c>
      <c r="AM126" t="inlineStr">
        <is>
          <t>1.240987555047399</t>
        </is>
      </c>
      <c r="AN126" t="inlineStr">
        <is>
          <t>16.5</t>
        </is>
      </c>
      <c r="AO126" t="inlineStr">
        <is>
          <t>6.5</t>
        </is>
      </c>
      <c r="AP126" t="inlineStr">
        <is>
          <t>12 1/4</t>
        </is>
      </c>
      <c r="AQ126" t="inlineStr">
        <is>
          <t>6</t>
        </is>
      </c>
      <c r="AR126" t="inlineStr">
        <is>
          <t>7</t>
        </is>
      </c>
      <c r="AS126" t="inlineStr">
        <is>
          <t>1.5</t>
        </is>
      </c>
      <c r="AT126" t="n">
        <v>248</v>
      </c>
      <c r="AU126" t="inlineStr">
        <is>
          <t>Vertex 70</t>
        </is>
      </c>
      <c r="AV126" t="inlineStr">
        <is>
          <t>41D2/59AR</t>
        </is>
      </c>
      <c r="AW126" t="n">
        <v>0.630217529015904</v>
      </c>
      <c r="AX126" t="n">
        <v>0.6534099574871681</v>
      </c>
      <c r="AY126" t="n">
        <v>0.6765148615156238</v>
      </c>
      <c r="AZ126" t="n">
        <v>0.6994326312632266</v>
      </c>
      <c r="BA126" t="n">
        <v>0.7127106677565365</v>
      </c>
      <c r="BB126" t="n">
        <v>4.133858267716535</v>
      </c>
      <c r="BC126" t="n">
        <v>1.968655835742334</v>
      </c>
      <c r="BD126" t="n">
        <v>3.440393627717996</v>
      </c>
      <c r="BE126" t="n">
        <v>4.876740656338699</v>
      </c>
      <c r="BF126" t="n">
        <v>6.370542997336186</v>
      </c>
      <c r="BG126" t="n">
        <v>7.994311312862246</v>
      </c>
      <c r="BH126" t="n">
        <v>9.838893759094912</v>
      </c>
      <c r="BI126" t="n">
        <v>12.0547771355757</v>
      </c>
      <c r="BJ126" t="n">
        <v>14.96001584787048</v>
      </c>
      <c r="BK126" t="n">
        <v>19.52709721564612</v>
      </c>
      <c r="BL126" t="n">
        <v>44.21433559722883</v>
      </c>
      <c r="BM126" t="inlineStr"/>
      <c r="BN126" t="n">
        <v>22</v>
      </c>
      <c r="BO126" t="n">
        <v>105</v>
      </c>
      <c r="BP126" t="n">
        <v>184</v>
      </c>
      <c r="BQ126" t="n">
        <v>230</v>
      </c>
      <c r="BR126" t="n">
        <v>483</v>
      </c>
      <c r="BS12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7">
      <c r="A127" t="inlineStr">
        <is>
          <t>FRAG</t>
        </is>
      </c>
      <c r="B127" t="inlineStr">
        <is>
          <t>Fragmentación Desmonte 2025.xlsx</t>
        </is>
      </c>
      <c r="C127" t="inlineStr">
        <is>
          <t>ANÁLISIS DE FRAGMENTACIÓN</t>
        </is>
      </c>
      <c r="D127" t="n">
        <v>131</v>
      </c>
      <c r="E127" t="inlineStr">
        <is>
          <t>ROM (fragmentación post-voladura en el frente de carguío, por análisis de fotos)</t>
        </is>
      </c>
      <c r="F127" t="inlineStr"/>
      <c r="G127" t="inlineStr">
        <is>
          <t>no indicada en el archivo</t>
        </is>
      </c>
      <c r="H127" t="inlineStr">
        <is>
          <t>2025-03-10</t>
        </is>
      </c>
      <c r="I127" t="inlineStr">
        <is>
          <t>2025-03-16</t>
        </is>
      </c>
      <c r="J127" t="inlineStr">
        <is>
          <t>PALA 07</t>
        </is>
      </c>
      <c r="K127" t="n">
        <v>8</v>
      </c>
      <c r="L127" t="inlineStr">
        <is>
          <t>8-NP-3743-14</t>
        </is>
      </c>
      <c r="M127" t="n">
        <v>8</v>
      </c>
      <c r="N127" t="n">
        <v>3743</v>
      </c>
      <c r="O127" t="inlineStr">
        <is>
          <t>A</t>
        </is>
      </c>
      <c r="P127" t="n">
        <v>30</v>
      </c>
      <c r="Q127" t="inlineStr">
        <is>
          <t>Desmonte</t>
        </is>
      </c>
      <c r="R127" t="inlineStr">
        <is>
          <t>Producción</t>
        </is>
      </c>
      <c r="S127" t="n">
        <v>6</v>
      </c>
      <c r="T127" t="n">
        <v>1.7</v>
      </c>
      <c r="U127" t="n">
        <v>3</v>
      </c>
      <c r="V127" t="n">
        <v>0.8287554889999306</v>
      </c>
      <c r="W127" t="n">
        <v>0.354</v>
      </c>
      <c r="X127" t="n">
        <v>0.523</v>
      </c>
      <c r="Y127" t="n">
        <v>0.1</v>
      </c>
      <c r="Z127" t="n">
        <v>0.4</v>
      </c>
      <c r="AA127" t="n">
        <v>0.7</v>
      </c>
      <c r="AB127" t="n">
        <v>1.2</v>
      </c>
      <c r="AC127" t="n">
        <v>1.8</v>
      </c>
      <c r="AD127" t="n">
        <v>2.6</v>
      </c>
      <c r="AE127" t="n">
        <v>3.7</v>
      </c>
      <c r="AF127" t="n">
        <v>5.3</v>
      </c>
      <c r="AG127" t="n">
        <v>8.300000000000001</v>
      </c>
      <c r="AH127" t="n">
        <v>38.2</v>
      </c>
      <c r="AI127" t="inlineStr"/>
      <c r="AJ127" t="n">
        <v>596928.75</v>
      </c>
      <c r="AK127" t="n">
        <v>251342</v>
      </c>
      <c r="AL127" t="n">
        <v>0.4210586271812171</v>
      </c>
      <c r="AM127" t="inlineStr">
        <is>
          <t>-</t>
        </is>
      </c>
      <c r="AN127" t="inlineStr">
        <is>
          <t>16.5</t>
        </is>
      </c>
      <c r="AO127" t="inlineStr">
        <is>
          <t>6.5</t>
        </is>
      </c>
      <c r="AP127" t="inlineStr">
        <is>
          <t>12 1/4</t>
        </is>
      </c>
      <c r="AQ127" t="inlineStr">
        <is>
          <t>6</t>
        </is>
      </c>
      <c r="AR127" t="inlineStr">
        <is>
          <t>7</t>
        </is>
      </c>
      <c r="AS127" t="inlineStr">
        <is>
          <t>1.5</t>
        </is>
      </c>
      <c r="AT127" t="n">
        <v>267</v>
      </c>
      <c r="AU127" t="inlineStr">
        <is>
          <t>Vertex 70 / Vertex 100</t>
        </is>
      </c>
      <c r="AV127" t="inlineStr">
        <is>
          <t>41D2/59AR</t>
        </is>
      </c>
      <c r="AW127" t="n">
        <v>0.7135300980672679</v>
      </c>
      <c r="AX127" t="n">
        <v>0.8340967088533822</v>
      </c>
      <c r="AY127" t="n">
        <v>0.924320490578156</v>
      </c>
      <c r="AZ127" t="n">
        <v>0.975500405728757</v>
      </c>
      <c r="BA127" t="n">
        <v>0.9897989194847102</v>
      </c>
      <c r="BB127" t="n">
        <v>0.6692913385826771</v>
      </c>
      <c r="BC127" t="n">
        <v>0.112508205553128</v>
      </c>
      <c r="BD127" t="n">
        <v>0.2782481051538098</v>
      </c>
      <c r="BE127" t="n">
        <v>0.4900137630763373</v>
      </c>
      <c r="BF127" t="n">
        <v>0.755861827134958</v>
      </c>
      <c r="BG127" t="n">
        <v>1.09240677460715</v>
      </c>
      <c r="BH127" t="n">
        <v>1.529808998821139</v>
      </c>
      <c r="BI127" t="n">
        <v>2.126783597515518</v>
      </c>
      <c r="BJ127" t="n">
        <v>3.018755479037337</v>
      </c>
      <c r="BK127" t="n">
        <v>4.650596899810099</v>
      </c>
      <c r="BL127" t="n">
        <v>17.50720454917145</v>
      </c>
      <c r="BM127" t="inlineStr"/>
      <c r="BN127" t="n">
        <v>1</v>
      </c>
      <c r="BO127" t="n">
        <v>18</v>
      </c>
      <c r="BP127" t="n">
        <v>53</v>
      </c>
      <c r="BQ127" t="n">
        <v>83</v>
      </c>
      <c r="BR127" t="n">
        <v>382</v>
      </c>
      <c r="BS12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8">
      <c r="A128" t="inlineStr">
        <is>
          <t>FRAG</t>
        </is>
      </c>
      <c r="B128" t="inlineStr">
        <is>
          <t>Fragmentación Desmonte 2025.xlsx</t>
        </is>
      </c>
      <c r="C128" t="inlineStr">
        <is>
          <t>ANÁLISIS DE FRAGMENTACIÓN</t>
        </is>
      </c>
      <c r="D128" t="n">
        <v>132</v>
      </c>
      <c r="E128" t="inlineStr">
        <is>
          <t>ROM (fragmentación post-voladura en el frente de carguío, por análisis de fotos)</t>
        </is>
      </c>
      <c r="F128" t="inlineStr"/>
      <c r="G128" t="inlineStr">
        <is>
          <t>no indicada en el archivo</t>
        </is>
      </c>
      <c r="H128" t="inlineStr">
        <is>
          <t>2025-03-10</t>
        </is>
      </c>
      <c r="I128" t="inlineStr">
        <is>
          <t>2025-03-16</t>
        </is>
      </c>
      <c r="J128" t="inlineStr">
        <is>
          <t>PALA 10</t>
        </is>
      </c>
      <c r="K128" t="n">
        <v>8</v>
      </c>
      <c r="L128" t="inlineStr">
        <is>
          <t>8-NP-3743-14</t>
        </is>
      </c>
      <c r="M128" t="n">
        <v>3</v>
      </c>
      <c r="N128" t="n">
        <v>3743</v>
      </c>
      <c r="O128" t="inlineStr">
        <is>
          <t>A</t>
        </is>
      </c>
      <c r="P128" t="n">
        <v>30</v>
      </c>
      <c r="Q128" t="inlineStr">
        <is>
          <t>Desmonte</t>
        </is>
      </c>
      <c r="R128" t="inlineStr">
        <is>
          <t>Producción</t>
        </is>
      </c>
      <c r="S128" t="n">
        <v>6</v>
      </c>
      <c r="T128" t="n">
        <v>2.1</v>
      </c>
      <c r="U128" t="n">
        <v>3</v>
      </c>
      <c r="V128" t="n">
        <v>0.879039165282999</v>
      </c>
      <c r="W128" t="n">
        <v>0.327</v>
      </c>
      <c r="X128" t="n">
        <v>0.477</v>
      </c>
      <c r="Y128" t="n">
        <v>0.1</v>
      </c>
      <c r="Z128" t="n">
        <v>0.4</v>
      </c>
      <c r="AA128" t="n">
        <v>0.8</v>
      </c>
      <c r="AB128" t="n">
        <v>1.4</v>
      </c>
      <c r="AC128" t="n">
        <v>2.1</v>
      </c>
      <c r="AD128" t="n">
        <v>3.1</v>
      </c>
      <c r="AE128" t="n">
        <v>4.4</v>
      </c>
      <c r="AF128" t="n">
        <v>6.3</v>
      </c>
      <c r="AG128" t="n">
        <v>9.699999999999999</v>
      </c>
      <c r="AH128" t="n">
        <v>33</v>
      </c>
      <c r="AI128" t="inlineStr"/>
      <c r="AJ128" t="n">
        <v>596928.75</v>
      </c>
      <c r="AK128" t="n">
        <v>251342</v>
      </c>
      <c r="AL128" t="n">
        <v>0.4210586271812171</v>
      </c>
      <c r="AM128" t="inlineStr">
        <is>
          <t>-</t>
        </is>
      </c>
      <c r="AN128" t="inlineStr">
        <is>
          <t>16.5</t>
        </is>
      </c>
      <c r="AO128" t="inlineStr">
        <is>
          <t>6.5</t>
        </is>
      </c>
      <c r="AP128" t="inlineStr">
        <is>
          <t>12 1/4</t>
        </is>
      </c>
      <c r="AQ128" t="inlineStr">
        <is>
          <t>6</t>
        </is>
      </c>
      <c r="AR128" t="inlineStr">
        <is>
          <t>7</t>
        </is>
      </c>
      <c r="AS128" t="inlineStr">
        <is>
          <t>1.5</t>
        </is>
      </c>
      <c r="AT128" t="n">
        <v>267</v>
      </c>
      <c r="AU128" t="inlineStr">
        <is>
          <t>Vertex 70 / Vertex 100</t>
        </is>
      </c>
      <c r="AV128" t="inlineStr">
        <is>
          <t>41D2/59AR</t>
        </is>
      </c>
      <c r="AW128" t="n">
        <v>0.696341733828981</v>
      </c>
      <c r="AX128" t="n">
        <v>0.8096470638206782</v>
      </c>
      <c r="AY128" t="n">
        <v>0.9006294711555106</v>
      </c>
      <c r="AZ128" t="n">
        <v>0.959789765099142</v>
      </c>
      <c r="BA128" t="n">
        <v>0.9797448701467004</v>
      </c>
      <c r="BB128" t="n">
        <v>0.8267716535433071</v>
      </c>
      <c r="BC128" t="n">
        <v>0.162334956824368</v>
      </c>
      <c r="BD128" t="n">
        <v>0.3812107170272499</v>
      </c>
      <c r="BE128" t="n">
        <v>0.6499531254125392</v>
      </c>
      <c r="BF128" t="n">
        <v>0.9780219777107564</v>
      </c>
      <c r="BG128" t="n">
        <v>1.384017003018062</v>
      </c>
      <c r="BH128" t="n">
        <v>1.901201515473149</v>
      </c>
      <c r="BI128" t="n">
        <v>2.593757018926653</v>
      </c>
      <c r="BJ128" t="n">
        <v>3.60855294936401</v>
      </c>
      <c r="BK128" t="n">
        <v>5.423478730086053</v>
      </c>
      <c r="BL128" t="n">
        <v>18.92578138861756</v>
      </c>
      <c r="BM128" t="inlineStr"/>
      <c r="BN128" t="n">
        <v>1</v>
      </c>
      <c r="BO128" t="n">
        <v>21</v>
      </c>
      <c r="BP128" t="n">
        <v>63</v>
      </c>
      <c r="BQ128" t="n">
        <v>97</v>
      </c>
      <c r="BR128" t="n">
        <v>330</v>
      </c>
      <c r="BS12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29">
      <c r="A129" t="inlineStr">
        <is>
          <t>FRAG</t>
        </is>
      </c>
      <c r="B129" t="inlineStr">
        <is>
          <t>Fragmentación Desmonte 2025.xlsx</t>
        </is>
      </c>
      <c r="C129" t="inlineStr">
        <is>
          <t>ANÁLISIS DE FRAGMENTACIÓN</t>
        </is>
      </c>
      <c r="D129" t="n">
        <v>133</v>
      </c>
      <c r="E129" t="inlineStr">
        <is>
          <t>ROM (fragmentación post-voladura en el frente de carguío, por análisis de fotos)</t>
        </is>
      </c>
      <c r="F129" t="inlineStr"/>
      <c r="G129" t="inlineStr">
        <is>
          <t>no indicada en el archivo</t>
        </is>
      </c>
      <c r="H129" t="inlineStr">
        <is>
          <t>2025-02-17</t>
        </is>
      </c>
      <c r="I129" t="inlineStr">
        <is>
          <t>2025-03-17</t>
        </is>
      </c>
      <c r="J129" t="inlineStr">
        <is>
          <t>PALA 06</t>
        </is>
      </c>
      <c r="K129" t="n">
        <v>10</v>
      </c>
      <c r="L129" t="inlineStr">
        <is>
          <t>10-NP-4418-11</t>
        </is>
      </c>
      <c r="M129" t="n">
        <v>4</v>
      </c>
      <c r="N129" t="n">
        <v>4418</v>
      </c>
      <c r="O129" t="inlineStr">
        <is>
          <t>A</t>
        </is>
      </c>
      <c r="P129" t="n">
        <v>30</v>
      </c>
      <c r="Q129" t="inlineStr">
        <is>
          <t>Desmonte</t>
        </is>
      </c>
      <c r="R129" t="inlineStr">
        <is>
          <t>Producción</t>
        </is>
      </c>
      <c r="S129" t="n">
        <v>8</v>
      </c>
      <c r="T129" t="n">
        <v>6.9</v>
      </c>
      <c r="U129" t="n">
        <v>3</v>
      </c>
      <c r="V129" t="n">
        <v>1.07223167180066</v>
      </c>
      <c r="W129" t="n">
        <v>0.097</v>
      </c>
      <c r="X129" t="n">
        <v>0.172</v>
      </c>
      <c r="Y129" t="n">
        <v>1</v>
      </c>
      <c r="Z129" t="n">
        <v>2.3</v>
      </c>
      <c r="AA129" t="n">
        <v>3.7</v>
      </c>
      <c r="AB129" t="n">
        <v>5.2</v>
      </c>
      <c r="AC129" t="n">
        <v>6.9</v>
      </c>
      <c r="AD129" t="n">
        <v>8.699999999999999</v>
      </c>
      <c r="AE129" t="n">
        <v>11</v>
      </c>
      <c r="AF129" t="n">
        <v>13.9</v>
      </c>
      <c r="AG129" t="n">
        <v>18.7</v>
      </c>
      <c r="AH129" t="n">
        <v>52.3</v>
      </c>
      <c r="AI129" t="inlineStr"/>
      <c r="AJ129" t="n">
        <v>992681.25</v>
      </c>
      <c r="AK129" t="n">
        <v>261237.794</v>
      </c>
      <c r="AL129" t="n">
        <v>0.2631638242386466</v>
      </c>
      <c r="AM129" t="inlineStr">
        <is>
          <t>0.8131762168974179</t>
        </is>
      </c>
      <c r="AN129" t="inlineStr">
        <is>
          <t>17</t>
        </is>
      </c>
      <c r="AO129" t="inlineStr">
        <is>
          <t>7</t>
        </is>
      </c>
      <c r="AP129" t="inlineStr">
        <is>
          <t>12 1/4</t>
        </is>
      </c>
      <c r="AQ129" t="inlineStr">
        <is>
          <t>9</t>
        </is>
      </c>
      <c r="AR129" t="inlineStr">
        <is>
          <t>10.35</t>
        </is>
      </c>
      <c r="AS129" t="inlineStr">
        <is>
          <t>2</t>
        </is>
      </c>
      <c r="AT129" t="n">
        <v>304</v>
      </c>
      <c r="AU129" t="inlineStr">
        <is>
          <t>Vertex 70</t>
        </is>
      </c>
      <c r="AV129" t="inlineStr">
        <is>
          <t>100%D2</t>
        </is>
      </c>
      <c r="AW129" t="n">
        <v>0.6428299391135955</v>
      </c>
      <c r="AX129" t="n">
        <v>0.6864834789485521</v>
      </c>
      <c r="AY129" t="n">
        <v>0.7293068189157863</v>
      </c>
      <c r="AZ129" t="n">
        <v>0.7705869961959584</v>
      </c>
      <c r="BA129" t="n">
        <v>0.7937300902871399</v>
      </c>
      <c r="BB129" t="n">
        <v>2.716535433070866</v>
      </c>
      <c r="BC129" t="n">
        <v>0.8459895491622633</v>
      </c>
      <c r="BD129" t="n">
        <v>1.703399534599332</v>
      </c>
      <c r="BE129" t="n">
        <v>2.638050934369677</v>
      </c>
      <c r="BF129" t="n">
        <v>3.687857994694721</v>
      </c>
      <c r="BG129" t="n">
        <v>4.902272643193394</v>
      </c>
      <c r="BH129" t="n">
        <v>6.359749933950395</v>
      </c>
      <c r="BI129" t="n">
        <v>8.204175958852403</v>
      </c>
      <c r="BJ129" t="n">
        <v>10.75475589647609</v>
      </c>
      <c r="BK129" t="n">
        <v>15.01978978233536</v>
      </c>
      <c r="BL129" t="n">
        <v>41.84499172289927</v>
      </c>
      <c r="BM129" t="inlineStr"/>
      <c r="BN129" t="n">
        <v>10</v>
      </c>
      <c r="BO129" t="n">
        <v>69</v>
      </c>
      <c r="BP129" t="n">
        <v>139</v>
      </c>
      <c r="BQ129" t="n">
        <v>187</v>
      </c>
      <c r="BR129" t="n">
        <v>523</v>
      </c>
      <c r="BS12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0">
      <c r="A130" t="inlineStr">
        <is>
          <t>FRAG</t>
        </is>
      </c>
      <c r="B130" t="inlineStr">
        <is>
          <t>Fragmentación Desmonte 2025.xlsx</t>
        </is>
      </c>
      <c r="C130" t="inlineStr">
        <is>
          <t>ANÁLISIS DE FRAGMENTACIÓN</t>
        </is>
      </c>
      <c r="D130" t="n">
        <v>134</v>
      </c>
      <c r="E130" t="inlineStr">
        <is>
          <t>ROM (fragmentación post-voladura en el frente de carguío, por análisis de fotos)</t>
        </is>
      </c>
      <c r="F130" t="inlineStr"/>
      <c r="G130" t="inlineStr">
        <is>
          <t>no indicada en el archivo</t>
        </is>
      </c>
      <c r="H130" t="inlineStr">
        <is>
          <t>2025-03-11</t>
        </is>
      </c>
      <c r="I130" t="inlineStr">
        <is>
          <t>2025-03-17</t>
        </is>
      </c>
      <c r="J130" t="inlineStr">
        <is>
          <t>PALA 11</t>
        </is>
      </c>
      <c r="K130" t="n">
        <v>10</v>
      </c>
      <c r="L130" t="inlineStr">
        <is>
          <t>10-NP-4418-14</t>
        </is>
      </c>
      <c r="M130" t="n">
        <v>2</v>
      </c>
      <c r="N130" t="n">
        <v>4418</v>
      </c>
      <c r="O130" t="inlineStr">
        <is>
          <t>C</t>
        </is>
      </c>
      <c r="P130" t="n">
        <v>30</v>
      </c>
      <c r="Q130" t="inlineStr">
        <is>
          <t>Desmonte</t>
        </is>
      </c>
      <c r="R130" t="inlineStr">
        <is>
          <t>Producción</t>
        </is>
      </c>
      <c r="S130" t="n">
        <v>4</v>
      </c>
      <c r="T130" t="n">
        <v>8.300000000000001</v>
      </c>
      <c r="U130" t="n">
        <v>3</v>
      </c>
      <c r="V130" t="n">
        <v>1.24273697399195</v>
      </c>
      <c r="W130" t="n">
        <v>0.076</v>
      </c>
      <c r="X130" t="n">
        <v>0.134</v>
      </c>
      <c r="Y130" t="n">
        <v>1.3</v>
      </c>
      <c r="Z130" t="n">
        <v>3.1</v>
      </c>
      <c r="AA130" t="n">
        <v>4.8</v>
      </c>
      <c r="AB130" t="n">
        <v>6.5</v>
      </c>
      <c r="AC130" t="n">
        <v>8.4</v>
      </c>
      <c r="AD130" t="n">
        <v>10.4</v>
      </c>
      <c r="AE130" t="n">
        <v>12.7</v>
      </c>
      <c r="AF130" t="n">
        <v>15.6</v>
      </c>
      <c r="AG130" t="n">
        <v>20.1</v>
      </c>
      <c r="AH130" t="n">
        <v>44.7</v>
      </c>
      <c r="AI130" t="inlineStr"/>
      <c r="AJ130" t="n">
        <v>542107.5</v>
      </c>
      <c r="AK130" t="n">
        <v>349540</v>
      </c>
      <c r="AL130" t="n">
        <v>0.6447798637724068</v>
      </c>
      <c r="AM130" t="inlineStr">
        <is>
          <t>1.9923697790567367</t>
        </is>
      </c>
      <c r="AN130" t="inlineStr">
        <is>
          <t>17</t>
        </is>
      </c>
      <c r="AO130" t="inlineStr">
        <is>
          <t>7</t>
        </is>
      </c>
      <c r="AP130" t="inlineStr">
        <is>
          <t>12 1/4</t>
        </is>
      </c>
      <c r="AQ130" t="inlineStr">
        <is>
          <t>9</t>
        </is>
      </c>
      <c r="AR130" t="inlineStr">
        <is>
          <t>10.35</t>
        </is>
      </c>
      <c r="AS130" t="inlineStr">
        <is>
          <t>2</t>
        </is>
      </c>
      <c r="AT130" t="n">
        <v>382</v>
      </c>
      <c r="AU130" t="inlineStr">
        <is>
          <t>Vertex 70</t>
        </is>
      </c>
      <c r="AV130" t="inlineStr">
        <is>
          <t>58D2/42AR</t>
        </is>
      </c>
      <c r="AW130" t="n">
        <v>0.6331903124612419</v>
      </c>
      <c r="AX130" t="n">
        <v>0.6673044623666584</v>
      </c>
      <c r="AY130" t="n">
        <v>0.7010993345622722</v>
      </c>
      <c r="AZ130" t="n">
        <v>0.7342465586365694</v>
      </c>
      <c r="BA130" t="n">
        <v>0.7532004108361765</v>
      </c>
      <c r="BB130" t="n">
        <v>3.267716535433072</v>
      </c>
      <c r="BC130" t="n">
        <v>1.357222121440215</v>
      </c>
      <c r="BD130" t="n">
        <v>2.482560658443362</v>
      </c>
      <c r="BE130" t="n">
        <v>3.620785711445522</v>
      </c>
      <c r="BF130" t="n">
        <v>4.834285103651817</v>
      </c>
      <c r="BG130" t="n">
        <v>6.180082036971882</v>
      </c>
      <c r="BH130" t="n">
        <v>7.736191540878539</v>
      </c>
      <c r="BI130" t="n">
        <v>9.637144204756869</v>
      </c>
      <c r="BJ130" t="n">
        <v>12.17261203437092</v>
      </c>
      <c r="BK130" t="n">
        <v>16.23843547651773</v>
      </c>
      <c r="BL130" t="n">
        <v>39.30718744288514</v>
      </c>
      <c r="BM130" t="inlineStr"/>
      <c r="BN130" t="n">
        <v>13</v>
      </c>
      <c r="BO130" t="n">
        <v>84</v>
      </c>
      <c r="BP130" t="n">
        <v>156</v>
      </c>
      <c r="BQ130" t="n">
        <v>201</v>
      </c>
      <c r="BR130" t="n">
        <v>447</v>
      </c>
      <c r="BS13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1">
      <c r="A131" t="inlineStr">
        <is>
          <t>FRAG</t>
        </is>
      </c>
      <c r="B131" t="inlineStr">
        <is>
          <t>Fragmentación Desmonte 2025.xlsx</t>
        </is>
      </c>
      <c r="C131" t="inlineStr">
        <is>
          <t>ANÁLISIS DE FRAGMENTACIÓN</t>
        </is>
      </c>
      <c r="D131" t="n">
        <v>135</v>
      </c>
      <c r="E131" t="inlineStr">
        <is>
          <t>ROM (fragmentación post-voladura en el frente de carguío, por análisis de fotos)</t>
        </is>
      </c>
      <c r="F131" t="inlineStr"/>
      <c r="G131" t="inlineStr">
        <is>
          <t>no indicada en el archivo</t>
        </is>
      </c>
      <c r="H131" t="inlineStr">
        <is>
          <t>2025-03-11</t>
        </is>
      </c>
      <c r="I131" t="inlineStr">
        <is>
          <t>2025-03-20</t>
        </is>
      </c>
      <c r="J131" t="inlineStr">
        <is>
          <t>PALA 11</t>
        </is>
      </c>
      <c r="K131" t="n">
        <v>10</v>
      </c>
      <c r="L131" t="inlineStr">
        <is>
          <t>10-NP-4418-14</t>
        </is>
      </c>
      <c r="M131" t="n">
        <v>3</v>
      </c>
      <c r="N131" t="n">
        <v>4418</v>
      </c>
      <c r="O131" t="inlineStr">
        <is>
          <t>C1</t>
        </is>
      </c>
      <c r="P131" t="n">
        <v>30</v>
      </c>
      <c r="Q131" t="inlineStr">
        <is>
          <t>Desmonte</t>
        </is>
      </c>
      <c r="R131" t="inlineStr">
        <is>
          <t>Producción</t>
        </is>
      </c>
      <c r="S131" t="n">
        <v>4</v>
      </c>
      <c r="T131" t="n">
        <v>9.1</v>
      </c>
      <c r="U131" t="n">
        <v>3</v>
      </c>
      <c r="V131" t="n">
        <v>1.197008295408704</v>
      </c>
      <c r="W131" t="n">
        <v>0.074</v>
      </c>
      <c r="X131" t="n">
        <v>0.129</v>
      </c>
      <c r="Y131" t="n">
        <v>1.4</v>
      </c>
      <c r="Z131" t="n">
        <v>3.3</v>
      </c>
      <c r="AA131" t="n">
        <v>5.2</v>
      </c>
      <c r="AB131" t="n">
        <v>7.1</v>
      </c>
      <c r="AC131" t="n">
        <v>9.1</v>
      </c>
      <c r="AD131" t="n">
        <v>11.4</v>
      </c>
      <c r="AE131" t="n">
        <v>14.1</v>
      </c>
      <c r="AF131" t="n">
        <v>17.5</v>
      </c>
      <c r="AG131" t="n">
        <v>22.7</v>
      </c>
      <c r="AH131" t="n">
        <v>52.4</v>
      </c>
      <c r="AI131" t="inlineStr"/>
      <c r="AJ131" t="n">
        <v>542107.5</v>
      </c>
      <c r="AK131" t="n">
        <v>349540</v>
      </c>
      <c r="AL131" t="n">
        <v>0.6447798637724068</v>
      </c>
      <c r="AM131" t="inlineStr">
        <is>
          <t>1.9923697790567367</t>
        </is>
      </c>
      <c r="AN131" t="inlineStr">
        <is>
          <t>17</t>
        </is>
      </c>
      <c r="AO131" t="inlineStr">
        <is>
          <t>7</t>
        </is>
      </c>
      <c r="AP131" t="inlineStr">
        <is>
          <t>12 1/4</t>
        </is>
      </c>
      <c r="AQ131" t="inlineStr">
        <is>
          <t>9</t>
        </is>
      </c>
      <c r="AR131" t="inlineStr">
        <is>
          <t>10.35</t>
        </is>
      </c>
      <c r="AS131" t="inlineStr">
        <is>
          <t>2</t>
        </is>
      </c>
      <c r="AT131" t="n">
        <v>382</v>
      </c>
      <c r="AU131" t="inlineStr">
        <is>
          <t>Vertex 70</t>
        </is>
      </c>
      <c r="AV131" t="inlineStr">
        <is>
          <t>58D2/42AR</t>
        </is>
      </c>
      <c r="AW131" t="n">
        <v>0.6349295518932756</v>
      </c>
      <c r="AX131" t="n">
        <v>0.6677665306401135</v>
      </c>
      <c r="AY131" t="n">
        <v>0.7003037083877286</v>
      </c>
      <c r="AZ131" t="n">
        <v>0.7322481245224024</v>
      </c>
      <c r="BA131" t="n">
        <v>0.7505385544039278</v>
      </c>
      <c r="BB131" t="n">
        <v>3.582677165354331</v>
      </c>
      <c r="BC131" t="n">
        <v>1.38857955364427</v>
      </c>
      <c r="BD131" t="n">
        <v>2.599191413441156</v>
      </c>
      <c r="BE131" t="n">
        <v>3.845941872307555</v>
      </c>
      <c r="BF131" t="n">
        <v>5.191916363487514</v>
      </c>
      <c r="BG131" t="n">
        <v>6.699839824817625</v>
      </c>
      <c r="BH131" t="n">
        <v>8.459085112960908</v>
      </c>
      <c r="BI131" t="n">
        <v>10.62649059415649</v>
      </c>
      <c r="BJ131" t="n">
        <v>13.54254754908505</v>
      </c>
      <c r="BK131" t="n">
        <v>18.26594769847302</v>
      </c>
      <c r="BL131" t="n">
        <v>45.73376827118115</v>
      </c>
      <c r="BM131" t="inlineStr"/>
      <c r="BN131" t="n">
        <v>14</v>
      </c>
      <c r="BO131" t="n">
        <v>91</v>
      </c>
      <c r="BP131" t="n">
        <v>175</v>
      </c>
      <c r="BQ131" t="n">
        <v>227</v>
      </c>
      <c r="BR131" t="n">
        <v>524</v>
      </c>
      <c r="BS13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2">
      <c r="A132" t="inlineStr">
        <is>
          <t>FRAG</t>
        </is>
      </c>
      <c r="B132" t="inlineStr">
        <is>
          <t>Fragmentación Desmonte 2025.xlsx</t>
        </is>
      </c>
      <c r="C132" t="inlineStr">
        <is>
          <t>ANÁLISIS DE FRAGMENTACIÓN</t>
        </is>
      </c>
      <c r="D132" t="n">
        <v>136</v>
      </c>
      <c r="E132" t="inlineStr">
        <is>
          <t>ROM (fragmentación post-voladura en el frente de carguío, por análisis de fotos)</t>
        </is>
      </c>
      <c r="F132" t="inlineStr"/>
      <c r="G132" t="inlineStr">
        <is>
          <t>no indicada en el archivo</t>
        </is>
      </c>
      <c r="H132" t="inlineStr">
        <is>
          <t>2025-03-12</t>
        </is>
      </c>
      <c r="I132" t="inlineStr">
        <is>
          <t>2025-03-21</t>
        </is>
      </c>
      <c r="J132" t="inlineStr">
        <is>
          <t>PALA 05</t>
        </is>
      </c>
      <c r="K132" t="n">
        <v>9</v>
      </c>
      <c r="L132" t="inlineStr">
        <is>
          <t>9-NP-3938-08</t>
        </is>
      </c>
      <c r="M132" t="n">
        <v>1</v>
      </c>
      <c r="N132" t="n">
        <v>3938</v>
      </c>
      <c r="O132" t="inlineStr">
        <is>
          <t>C</t>
        </is>
      </c>
      <c r="P132" t="n">
        <v>30</v>
      </c>
      <c r="Q132" t="inlineStr">
        <is>
          <t>Desmonte</t>
        </is>
      </c>
      <c r="R132" t="inlineStr">
        <is>
          <t>Producción</t>
        </is>
      </c>
      <c r="S132" t="n">
        <v>7</v>
      </c>
      <c r="T132" t="n">
        <v>12.6</v>
      </c>
      <c r="U132" t="n">
        <v>3</v>
      </c>
      <c r="V132" t="n">
        <v>1.195911884293731</v>
      </c>
      <c r="W132" t="n">
        <v>0.058</v>
      </c>
      <c r="X132" t="n">
        <v>0.098</v>
      </c>
      <c r="Y132" t="n">
        <v>2</v>
      </c>
      <c r="Z132" t="n">
        <v>4.6</v>
      </c>
      <c r="AA132" t="n">
        <v>7.2</v>
      </c>
      <c r="AB132" t="n">
        <v>9.800000000000001</v>
      </c>
      <c r="AC132" t="n">
        <v>12.6</v>
      </c>
      <c r="AD132" t="n">
        <v>15.7</v>
      </c>
      <c r="AE132" t="n">
        <v>19.3</v>
      </c>
      <c r="AF132" t="n">
        <v>24</v>
      </c>
      <c r="AG132" t="n">
        <v>31.1</v>
      </c>
      <c r="AH132" t="n">
        <v>72.7</v>
      </c>
      <c r="AI132" t="n">
        <v>10421.00839401857</v>
      </c>
      <c r="AJ132" t="n">
        <v>1003653.75</v>
      </c>
      <c r="AK132" t="n">
        <v>271467</v>
      </c>
      <c r="AL132" t="n">
        <v>0.2704787383099002</v>
      </c>
      <c r="AM132" t="inlineStr">
        <is>
          <t>0.8357793013775915</t>
        </is>
      </c>
      <c r="AN132" t="inlineStr">
        <is>
          <t>16.5</t>
        </is>
      </c>
      <c r="AO132" t="inlineStr">
        <is>
          <t>6.5</t>
        </is>
      </c>
      <c r="AP132" t="inlineStr">
        <is>
          <t>12 1/4</t>
        </is>
      </c>
      <c r="AQ132" t="inlineStr">
        <is>
          <t>6</t>
        </is>
      </c>
      <c r="AR132" t="inlineStr">
        <is>
          <t>7</t>
        </is>
      </c>
      <c r="AS132" t="inlineStr">
        <is>
          <t>1.5</t>
        </is>
      </c>
      <c r="AT132" t="n">
        <v>230</v>
      </c>
      <c r="AU132" t="inlineStr">
        <is>
          <t>Vertex 70</t>
        </is>
      </c>
      <c r="AV132" t="inlineStr">
        <is>
          <t>58D2/42AR</t>
        </is>
      </c>
      <c r="AW132" t="n">
        <v>0.6342875682518637</v>
      </c>
      <c r="AX132" t="n">
        <v>0.6592519466502402</v>
      </c>
      <c r="AY132" t="n">
        <v>0.68408610032919</v>
      </c>
      <c r="AZ132" t="n">
        <v>0.7086640542657794</v>
      </c>
      <c r="BA132" t="n">
        <v>0.7228703683061746</v>
      </c>
      <c r="BB132" t="n">
        <v>4.960629921259843</v>
      </c>
      <c r="BC132" t="n">
        <v>1.919337635429455</v>
      </c>
      <c r="BD132" t="n">
        <v>3.594748336446338</v>
      </c>
      <c r="BE132" t="n">
        <v>5.32094721235384</v>
      </c>
      <c r="BF132" t="n">
        <v>7.185109714352722</v>
      </c>
      <c r="BG132" t="n">
        <v>9.274097547629314</v>
      </c>
      <c r="BH132" t="n">
        <v>11.71179517477417</v>
      </c>
      <c r="BI132" t="n">
        <v>14.71569438945021</v>
      </c>
      <c r="BJ132" t="n">
        <v>18.75805545852391</v>
      </c>
      <c r="BK132" t="n">
        <v>25.30747326804272</v>
      </c>
      <c r="BL132" t="n">
        <v>63.4174821435163</v>
      </c>
      <c r="BM132" t="inlineStr"/>
      <c r="BN132" t="n">
        <v>20</v>
      </c>
      <c r="BO132" t="n">
        <v>126</v>
      </c>
      <c r="BP132" t="n">
        <v>240</v>
      </c>
      <c r="BQ132" t="n">
        <v>311</v>
      </c>
      <c r="BR132" t="n">
        <v>727</v>
      </c>
      <c r="BS13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3">
      <c r="A133" t="inlineStr">
        <is>
          <t>FRAG</t>
        </is>
      </c>
      <c r="B133" t="inlineStr">
        <is>
          <t>Fragmentación Desmonte 2025.xlsx</t>
        </is>
      </c>
      <c r="C133" t="inlineStr">
        <is>
          <t>ANÁLISIS DE FRAGMENTACIÓN</t>
        </is>
      </c>
      <c r="D133" t="n">
        <v>137</v>
      </c>
      <c r="E133" t="inlineStr">
        <is>
          <t>ROM (fragmentación post-voladura en el frente de carguío, por análisis de fotos)</t>
        </is>
      </c>
      <c r="F133" t="inlineStr"/>
      <c r="G133" t="inlineStr">
        <is>
          <t>no indicada en el archivo</t>
        </is>
      </c>
      <c r="H133" t="inlineStr">
        <is>
          <t>2025-03-12</t>
        </is>
      </c>
      <c r="I133" t="inlineStr">
        <is>
          <t>2025-03-22</t>
        </is>
      </c>
      <c r="J133" t="inlineStr">
        <is>
          <t>PALA 05</t>
        </is>
      </c>
      <c r="K133" t="n">
        <v>9</v>
      </c>
      <c r="L133" t="inlineStr">
        <is>
          <t>9-NP-3938-08</t>
        </is>
      </c>
      <c r="M133" t="n">
        <v>1</v>
      </c>
      <c r="N133" t="n">
        <v>3938</v>
      </c>
      <c r="O133" t="inlineStr">
        <is>
          <t>C</t>
        </is>
      </c>
      <c r="P133" t="n">
        <v>30</v>
      </c>
      <c r="Q133" t="inlineStr">
        <is>
          <t>Desmonte</t>
        </is>
      </c>
      <c r="R133" t="inlineStr">
        <is>
          <t>Producción</t>
        </is>
      </c>
      <c r="S133" t="n">
        <v>11</v>
      </c>
      <c r="T133" t="n">
        <v>13.1</v>
      </c>
      <c r="U133" t="n">
        <v>3</v>
      </c>
      <c r="V133" t="n">
        <v>1.095836671437791</v>
      </c>
      <c r="W133" t="n">
        <v>0.066</v>
      </c>
      <c r="X133" t="n">
        <v>0.109</v>
      </c>
      <c r="Y133" t="n">
        <v>1.7</v>
      </c>
      <c r="Z133" t="n">
        <v>4.3</v>
      </c>
      <c r="AA133" t="n">
        <v>7.1</v>
      </c>
      <c r="AB133" t="n">
        <v>10</v>
      </c>
      <c r="AC133" t="n">
        <v>13.1</v>
      </c>
      <c r="AD133" t="n">
        <v>16.8</v>
      </c>
      <c r="AE133" t="n">
        <v>21.1</v>
      </c>
      <c r="AF133" t="n">
        <v>26.8</v>
      </c>
      <c r="AG133" t="n">
        <v>35.8</v>
      </c>
      <c r="AH133" t="n">
        <v>93.5</v>
      </c>
      <c r="AI133" t="n">
        <v>10421.00839401857</v>
      </c>
      <c r="AJ133" t="n">
        <v>1003653.75</v>
      </c>
      <c r="AK133" t="n">
        <v>271467</v>
      </c>
      <c r="AL133" t="n">
        <v>0.2704787383099002</v>
      </c>
      <c r="AM133" t="inlineStr">
        <is>
          <t>0.8357793013775915</t>
        </is>
      </c>
      <c r="AN133" t="inlineStr">
        <is>
          <t>16.5</t>
        </is>
      </c>
      <c r="AO133" t="inlineStr">
        <is>
          <t>6.5</t>
        </is>
      </c>
      <c r="AP133" t="inlineStr">
        <is>
          <t>12 1/4</t>
        </is>
      </c>
      <c r="AQ133" t="inlineStr">
        <is>
          <t>6</t>
        </is>
      </c>
      <c r="AR133" t="inlineStr">
        <is>
          <t>7</t>
        </is>
      </c>
      <c r="AS133" t="inlineStr">
        <is>
          <t>1.5</t>
        </is>
      </c>
      <c r="AT133" t="n">
        <v>230</v>
      </c>
      <c r="AU133" t="inlineStr">
        <is>
          <t>Vertex 70</t>
        </is>
      </c>
      <c r="AV133" t="inlineStr">
        <is>
          <t>58D2/42AR</t>
        </is>
      </c>
      <c r="AW133" t="n">
        <v>0.6380348344213245</v>
      </c>
      <c r="AX133" t="n">
        <v>0.6657812923648461</v>
      </c>
      <c r="AY133" t="n">
        <v>0.6933263347439662</v>
      </c>
      <c r="AZ133" t="n">
        <v>0.7204943233862962</v>
      </c>
      <c r="BA133" t="n">
        <v>0.7361392724766169</v>
      </c>
      <c r="BB133" t="n">
        <v>5.15748031496063</v>
      </c>
      <c r="BC133" t="n">
        <v>1.680432738902446</v>
      </c>
      <c r="BD133" t="n">
        <v>3.332923583635955</v>
      </c>
      <c r="BE133" t="n">
        <v>5.113285114000516</v>
      </c>
      <c r="BF133" t="n">
        <v>7.096709961770701</v>
      </c>
      <c r="BG133" t="n">
        <v>9.375995840332704</v>
      </c>
      <c r="BH133" t="n">
        <v>12.09553206930918</v>
      </c>
      <c r="BI133" t="n">
        <v>15.51806694109204</v>
      </c>
      <c r="BJ133" t="n">
        <v>20.22417323414142</v>
      </c>
      <c r="BK133" t="n">
        <v>28.04202165123776</v>
      </c>
      <c r="BL133" t="n">
        <v>76.41943382987567</v>
      </c>
      <c r="BM133" t="inlineStr"/>
      <c r="BN133" t="n">
        <v>17</v>
      </c>
      <c r="BO133" t="n">
        <v>131</v>
      </c>
      <c r="BP133" t="n">
        <v>268</v>
      </c>
      <c r="BQ133" t="n">
        <v>358</v>
      </c>
      <c r="BR133" t="n">
        <v>935</v>
      </c>
      <c r="BS13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4">
      <c r="A134" t="inlineStr">
        <is>
          <t>FRAG</t>
        </is>
      </c>
      <c r="B134" t="inlineStr">
        <is>
          <t>Fragmentación Desmonte 2025.xlsx</t>
        </is>
      </c>
      <c r="C134" t="inlineStr">
        <is>
          <t>ANÁLISIS DE FRAGMENTACIÓN</t>
        </is>
      </c>
      <c r="D134" t="n">
        <v>138</v>
      </c>
      <c r="E134" t="inlineStr">
        <is>
          <t>ROM (fragmentación post-voladura en el frente de carguío, por análisis de fotos)</t>
        </is>
      </c>
      <c r="F134" t="inlineStr"/>
      <c r="G134" t="inlineStr">
        <is>
          <t>no indicada en el archivo</t>
        </is>
      </c>
      <c r="H134" t="inlineStr">
        <is>
          <t>2025-03-19</t>
        </is>
      </c>
      <c r="I134" t="inlineStr">
        <is>
          <t>2025-03-22</t>
        </is>
      </c>
      <c r="J134" t="inlineStr">
        <is>
          <t>PALA 09</t>
        </is>
      </c>
      <c r="K134" t="n">
        <v>9</v>
      </c>
      <c r="L134" t="inlineStr">
        <is>
          <t>9-NP-3968-31</t>
        </is>
      </c>
      <c r="M134" t="n">
        <v>1</v>
      </c>
      <c r="N134" t="n">
        <v>3968</v>
      </c>
      <c r="O134" t="inlineStr">
        <is>
          <t>C</t>
        </is>
      </c>
      <c r="P134" t="n">
        <v>30</v>
      </c>
      <c r="Q134" t="inlineStr">
        <is>
          <t>Desmonte</t>
        </is>
      </c>
      <c r="R134" t="inlineStr">
        <is>
          <t>Producción</t>
        </is>
      </c>
      <c r="S134" t="n">
        <v>6</v>
      </c>
      <c r="T134" t="n">
        <v>7.6</v>
      </c>
      <c r="U134" t="n">
        <v>2</v>
      </c>
      <c r="V134" t="n">
        <v>0.6590627236006498</v>
      </c>
      <c r="W134" t="n">
        <v>0.188</v>
      </c>
      <c r="X134" t="n">
        <v>0.259</v>
      </c>
      <c r="Y134" t="n">
        <v>0.2</v>
      </c>
      <c r="Z134" t="n">
        <v>1.1</v>
      </c>
      <c r="AA134" t="n">
        <v>2.7</v>
      </c>
      <c r="AB134" t="n">
        <v>4.8</v>
      </c>
      <c r="AC134" t="n">
        <v>7.6</v>
      </c>
      <c r="AD134" t="n">
        <v>11.1</v>
      </c>
      <c r="AE134" t="n">
        <v>15.7</v>
      </c>
      <c r="AF134" t="n">
        <v>21.9</v>
      </c>
      <c r="AG134" t="n">
        <v>31.9</v>
      </c>
      <c r="AH134" t="n">
        <v>74.3</v>
      </c>
      <c r="AI134" t="n">
        <v>11344.50445050498</v>
      </c>
      <c r="AJ134" t="n">
        <v>263793.75</v>
      </c>
      <c r="AK134" t="n">
        <v>81697</v>
      </c>
      <c r="AL134" t="n">
        <v>0.3097002866823038</v>
      </c>
      <c r="AM134" t="inlineStr">
        <is>
          <t>-</t>
        </is>
      </c>
      <c r="AN134" t="inlineStr">
        <is>
          <t>17</t>
        </is>
      </c>
      <c r="AO134" t="inlineStr">
        <is>
          <t>7</t>
        </is>
      </c>
      <c r="AP134" t="inlineStr">
        <is>
          <t>12 1/4</t>
        </is>
      </c>
      <c r="AQ134" t="inlineStr">
        <is>
          <t>6.5</t>
        </is>
      </c>
      <c r="AR134" t="inlineStr">
        <is>
          <t>7.5</t>
        </is>
      </c>
      <c r="AS134" t="inlineStr">
        <is>
          <t>2</t>
        </is>
      </c>
      <c r="AT134" t="n">
        <v>293</v>
      </c>
      <c r="AU134" t="inlineStr">
        <is>
          <t>Emulgex 70</t>
        </is>
      </c>
      <c r="AV134" t="inlineStr">
        <is>
          <t>51D2/49AR</t>
        </is>
      </c>
      <c r="AW134" t="n">
        <v>0.6943078668769556</v>
      </c>
      <c r="AX134" t="n">
        <v>0.7578603299367728</v>
      </c>
      <c r="AY134" t="n">
        <v>0.8167925401836594</v>
      </c>
      <c r="AZ134" t="n">
        <v>0.8687794999319062</v>
      </c>
      <c r="BA134" t="n">
        <v>0.8952051431597753</v>
      </c>
      <c r="BB134" t="n">
        <v>2.992125984251969</v>
      </c>
      <c r="BC134" t="n">
        <v>0.2499865410082303</v>
      </c>
      <c r="BD134" t="n">
        <v>0.7805784022389891</v>
      </c>
      <c r="BE134" t="n">
        <v>1.590281495207364</v>
      </c>
      <c r="BF134" t="n">
        <v>2.742672125229412</v>
      </c>
      <c r="BG134" t="n">
        <v>4.358098753033049</v>
      </c>
      <c r="BH134" t="n">
        <v>6.655895136471642</v>
      </c>
      <c r="BI134" t="n">
        <v>10.0724189520551</v>
      </c>
      <c r="BJ134" t="n">
        <v>15.64594115840927</v>
      </c>
      <c r="BK134" t="n">
        <v>26.94050462516778</v>
      </c>
      <c r="BL134" t="n">
        <v>142.6739862959183</v>
      </c>
      <c r="BM134" t="inlineStr"/>
      <c r="BN134" t="n">
        <v>2</v>
      </c>
      <c r="BO134" t="n">
        <v>76</v>
      </c>
      <c r="BP134" t="n">
        <v>219</v>
      </c>
      <c r="BQ134" t="n">
        <v>319</v>
      </c>
      <c r="BR134" t="n">
        <v>743</v>
      </c>
      <c r="BS13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5">
      <c r="A135" t="inlineStr">
        <is>
          <t>FRAG</t>
        </is>
      </c>
      <c r="B135" t="inlineStr">
        <is>
          <t>Fragmentación Desmonte 2025.xlsx</t>
        </is>
      </c>
      <c r="C135" t="inlineStr">
        <is>
          <t>ANÁLISIS DE FRAGMENTACIÓN</t>
        </is>
      </c>
      <c r="D135" t="n">
        <v>139</v>
      </c>
      <c r="E135" t="inlineStr">
        <is>
          <t>ROM (fragmentación post-voladura en el frente de carguío, por análisis de fotos)</t>
        </is>
      </c>
      <c r="F135" t="inlineStr"/>
      <c r="G135" t="inlineStr">
        <is>
          <t>no indicada en el archivo</t>
        </is>
      </c>
      <c r="H135" t="inlineStr">
        <is>
          <t>2025-03-19</t>
        </is>
      </c>
      <c r="I135" t="inlineStr">
        <is>
          <t>2025-03-25</t>
        </is>
      </c>
      <c r="J135" t="inlineStr">
        <is>
          <t>PALA 09</t>
        </is>
      </c>
      <c r="K135" t="n">
        <v>9</v>
      </c>
      <c r="L135" t="inlineStr">
        <is>
          <t>9-NP-3968-31</t>
        </is>
      </c>
      <c r="M135" t="n">
        <v>3</v>
      </c>
      <c r="N135" t="n">
        <v>3968</v>
      </c>
      <c r="O135" t="inlineStr">
        <is>
          <t>A</t>
        </is>
      </c>
      <c r="P135" t="n">
        <v>30</v>
      </c>
      <c r="Q135" t="inlineStr">
        <is>
          <t>Desmonte</t>
        </is>
      </c>
      <c r="R135" t="inlineStr">
        <is>
          <t>Trim</t>
        </is>
      </c>
      <c r="S135" t="n">
        <v>4</v>
      </c>
      <c r="T135" t="n">
        <v>11.1</v>
      </c>
      <c r="U135" t="n">
        <v>3</v>
      </c>
      <c r="V135" t="n">
        <v>0.981953565309354</v>
      </c>
      <c r="W135" t="n">
        <v>0.108</v>
      </c>
      <c r="X135" t="n">
        <v>0.164</v>
      </c>
      <c r="Y135" t="n">
        <v>0.8</v>
      </c>
      <c r="Z135" t="n">
        <v>2.7</v>
      </c>
      <c r="AA135" t="n">
        <v>5.1</v>
      </c>
      <c r="AB135" t="n">
        <v>7.9</v>
      </c>
      <c r="AC135" t="n">
        <v>11.2</v>
      </c>
      <c r="AD135" t="n">
        <v>15.2</v>
      </c>
      <c r="AE135" t="n">
        <v>20.2</v>
      </c>
      <c r="AF135" t="n">
        <v>27.1</v>
      </c>
      <c r="AG135" t="n">
        <v>38.5</v>
      </c>
      <c r="AH135" t="n">
        <v>112.1</v>
      </c>
      <c r="AI135" t="n">
        <v>11907.75169535732</v>
      </c>
      <c r="AJ135" t="n">
        <v>263793.75</v>
      </c>
      <c r="AK135" t="n">
        <v>81697</v>
      </c>
      <c r="AL135" t="n">
        <v>0.3097002866823038</v>
      </c>
      <c r="AM135" t="inlineStr">
        <is>
          <t>-</t>
        </is>
      </c>
      <c r="AN135" t="inlineStr">
        <is>
          <t xml:space="preserve"> - </t>
        </is>
      </c>
      <c r="AO135" t="inlineStr">
        <is>
          <t xml:space="preserve"> - </t>
        </is>
      </c>
      <c r="AP135" t="inlineStr">
        <is>
          <t>9 7/8</t>
        </is>
      </c>
      <c r="AQ135" t="inlineStr">
        <is>
          <t xml:space="preserve"> - </t>
        </is>
      </c>
      <c r="AR135" t="inlineStr">
        <is>
          <t xml:space="preserve"> - </t>
        </is>
      </c>
      <c r="AS135" t="inlineStr">
        <is>
          <t xml:space="preserve"> - </t>
        </is>
      </c>
      <c r="AT135" t="n">
        <v>293</v>
      </c>
      <c r="AU135" t="inlineStr">
        <is>
          <t>Emulgex 70</t>
        </is>
      </c>
      <c r="AV135" t="inlineStr">
        <is>
          <t>51D2/49AR</t>
        </is>
      </c>
      <c r="AW135" t="n">
        <v>0.6476350560952296</v>
      </c>
      <c r="AX135" t="n">
        <v>0.6892182546998991</v>
      </c>
      <c r="AY135" t="n">
        <v>0.7300069295067719</v>
      </c>
      <c r="AZ135" t="n">
        <v>0.7693817849537232</v>
      </c>
      <c r="BA135" t="n">
        <v>0.7915086261430169</v>
      </c>
      <c r="BB135" t="n">
        <v>4.370078740157481</v>
      </c>
      <c r="BC135" t="n">
        <v>1.122120635140472</v>
      </c>
      <c r="BD135" t="n">
        <v>2.409547773028588</v>
      </c>
      <c r="BE135" t="n">
        <v>3.884786933716875</v>
      </c>
      <c r="BF135" t="n">
        <v>5.600596190058216</v>
      </c>
      <c r="BG135" t="n">
        <v>7.642282987685057</v>
      </c>
      <c r="BH135" t="n">
        <v>10.15449936730907</v>
      </c>
      <c r="BI135" t="n">
        <v>13.40976714898061</v>
      </c>
      <c r="BJ135" t="n">
        <v>18.0216887428403</v>
      </c>
      <c r="BK135" t="n">
        <v>25.95347417023675</v>
      </c>
      <c r="BL135" t="n">
        <v>79.44843289401304</v>
      </c>
      <c r="BM135" t="inlineStr"/>
      <c r="BN135" t="n">
        <v>8</v>
      </c>
      <c r="BO135" t="n">
        <v>112</v>
      </c>
      <c r="BP135" t="n">
        <v>271</v>
      </c>
      <c r="BQ135" t="n">
        <v>385</v>
      </c>
      <c r="BR135" t="n">
        <v>1121</v>
      </c>
      <c r="BS13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6">
      <c r="A136" t="inlineStr">
        <is>
          <t>FRAG</t>
        </is>
      </c>
      <c r="B136" t="inlineStr">
        <is>
          <t>Fragmentación Desmonte 2025.xlsx</t>
        </is>
      </c>
      <c r="C136" t="inlineStr">
        <is>
          <t>ANÁLISIS DE FRAGMENTACIÓN</t>
        </is>
      </c>
      <c r="D136" t="n">
        <v>140</v>
      </c>
      <c r="E136" t="inlineStr">
        <is>
          <t>ROM (fragmentación post-voladura en el frente de carguío, por análisis de fotos)</t>
        </is>
      </c>
      <c r="F136" t="inlineStr"/>
      <c r="G136" t="inlineStr">
        <is>
          <t>no indicada en el archivo</t>
        </is>
      </c>
      <c r="H136" t="inlineStr">
        <is>
          <t>2025-03-09</t>
        </is>
      </c>
      <c r="I136" t="inlineStr">
        <is>
          <t>2025-03-25</t>
        </is>
      </c>
      <c r="J136" t="inlineStr">
        <is>
          <t>PALA 05</t>
        </is>
      </c>
      <c r="K136" t="n">
        <v>9</v>
      </c>
      <c r="L136" t="inlineStr">
        <is>
          <t>9-NP-3938-07</t>
        </is>
      </c>
      <c r="M136" t="n">
        <v>1</v>
      </c>
      <c r="N136" t="n">
        <v>3938</v>
      </c>
      <c r="O136" t="inlineStr">
        <is>
          <t>C</t>
        </is>
      </c>
      <c r="P136" t="n">
        <v>30</v>
      </c>
      <c r="Q136" t="inlineStr">
        <is>
          <t>Desmonte</t>
        </is>
      </c>
      <c r="R136" t="inlineStr">
        <is>
          <t>Producción</t>
        </is>
      </c>
      <c r="S136" t="n">
        <v>3</v>
      </c>
      <c r="T136" t="n">
        <v>14.5</v>
      </c>
      <c r="U136" t="n">
        <v>3</v>
      </c>
      <c r="V136" t="n">
        <v>1.16940510538006</v>
      </c>
      <c r="W136" t="n">
        <v>0.073</v>
      </c>
      <c r="X136" t="n">
        <v>0.114</v>
      </c>
      <c r="Y136" t="n">
        <v>1.6</v>
      </c>
      <c r="Z136" t="n">
        <v>4.4</v>
      </c>
      <c r="AA136" t="n">
        <v>7.5</v>
      </c>
      <c r="AB136" t="n">
        <v>10.9</v>
      </c>
      <c r="AC136" t="n">
        <v>14.5</v>
      </c>
      <c r="AD136" t="n">
        <v>18.6</v>
      </c>
      <c r="AE136" t="n">
        <v>23.5</v>
      </c>
      <c r="AF136" t="n">
        <v>29.8</v>
      </c>
      <c r="AG136" t="n">
        <v>39.4</v>
      </c>
      <c r="AH136" t="n">
        <v>88</v>
      </c>
      <c r="AI136" t="n">
        <v>11597.43977018976</v>
      </c>
      <c r="AJ136" t="n">
        <v>596928.75</v>
      </c>
      <c r="AK136" t="n">
        <v>239735</v>
      </c>
      <c r="AL136" t="n">
        <v>0.4016140954845951</v>
      </c>
      <c r="AM136" t="inlineStr">
        <is>
          <t>1.240987555047399</t>
        </is>
      </c>
      <c r="AN136" t="inlineStr">
        <is>
          <t>16.5</t>
        </is>
      </c>
      <c r="AO136" t="inlineStr">
        <is>
          <t>6.5</t>
        </is>
      </c>
      <c r="AP136" t="inlineStr">
        <is>
          <t>12 1/4</t>
        </is>
      </c>
      <c r="AQ136" t="inlineStr">
        <is>
          <t>6</t>
        </is>
      </c>
      <c r="AR136" t="inlineStr">
        <is>
          <t>7</t>
        </is>
      </c>
      <c r="AS136" t="inlineStr">
        <is>
          <t>1.5</t>
        </is>
      </c>
      <c r="AT136" t="n">
        <v>248</v>
      </c>
      <c r="AU136" t="inlineStr">
        <is>
          <t>Vertex 70</t>
        </is>
      </c>
      <c r="AV136" t="inlineStr">
        <is>
          <t>41D2/59AR</t>
        </is>
      </c>
      <c r="AW136" t="n">
        <v>0.6355813254557385</v>
      </c>
      <c r="AX136" t="n">
        <v>0.664607465556277</v>
      </c>
      <c r="AY136" t="n">
        <v>0.6934211522664674</v>
      </c>
      <c r="AZ136" t="n">
        <v>0.7218216662055713</v>
      </c>
      <c r="BA136" t="n">
        <v>0.7381603742224903</v>
      </c>
      <c r="BB136" t="n">
        <v>5.708661417322834</v>
      </c>
      <c r="BC136" t="n">
        <v>2.116532872586384</v>
      </c>
      <c r="BD136" t="n">
        <v>4.020862723129404</v>
      </c>
      <c r="BE136" t="n">
        <v>6.004824796693006</v>
      </c>
      <c r="BF136" t="n">
        <v>8.163973087790573</v>
      </c>
      <c r="BG136" t="n">
        <v>10.59868973162804</v>
      </c>
      <c r="BH136" t="n">
        <v>13.45554577613287</v>
      </c>
      <c r="BI136" t="n">
        <v>16.99441412760884</v>
      </c>
      <c r="BJ136" t="n">
        <v>21.78223820166864</v>
      </c>
      <c r="BK136" t="n">
        <v>29.58772354654442</v>
      </c>
      <c r="BL136" t="n">
        <v>75.70332392098985</v>
      </c>
      <c r="BM136" t="inlineStr"/>
      <c r="BN136" t="n">
        <v>16</v>
      </c>
      <c r="BO136" t="n">
        <v>145</v>
      </c>
      <c r="BP136" t="n">
        <v>298</v>
      </c>
      <c r="BQ136" t="n">
        <v>394</v>
      </c>
      <c r="BR136" t="n">
        <v>880</v>
      </c>
      <c r="BS13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7">
      <c r="A137" t="inlineStr">
        <is>
          <t>FRAG</t>
        </is>
      </c>
      <c r="B137" t="inlineStr">
        <is>
          <t>Fragmentación Desmonte 2025.xlsx</t>
        </is>
      </c>
      <c r="C137" t="inlineStr">
        <is>
          <t>ANÁLISIS DE FRAGMENTACIÓN</t>
        </is>
      </c>
      <c r="D137" t="n">
        <v>141</v>
      </c>
      <c r="E137" t="inlineStr">
        <is>
          <t>ROM (fragmentación post-voladura en el frente de carguío, por análisis de fotos)</t>
        </is>
      </c>
      <c r="F137" t="inlineStr"/>
      <c r="G137" t="inlineStr">
        <is>
          <t>no indicada en el archivo</t>
        </is>
      </c>
      <c r="H137" t="inlineStr">
        <is>
          <t>2025-03-12</t>
        </is>
      </c>
      <c r="I137" t="inlineStr">
        <is>
          <t>2025-03-25</t>
        </is>
      </c>
      <c r="J137" t="inlineStr">
        <is>
          <t>PALA 05</t>
        </is>
      </c>
      <c r="K137" t="n">
        <v>9</v>
      </c>
      <c r="L137" t="inlineStr">
        <is>
          <t>9-NP-3938-08</t>
        </is>
      </c>
      <c r="M137" t="n">
        <v>1</v>
      </c>
      <c r="N137" t="n">
        <v>3938</v>
      </c>
      <c r="O137" t="inlineStr">
        <is>
          <t>C</t>
        </is>
      </c>
      <c r="P137" t="n">
        <v>30</v>
      </c>
      <c r="Q137" t="inlineStr">
        <is>
          <t>Desmonte</t>
        </is>
      </c>
      <c r="R137" t="inlineStr">
        <is>
          <t>Producción</t>
        </is>
      </c>
      <c r="S137" t="n">
        <v>5</v>
      </c>
      <c r="T137" t="n">
        <v>5.7</v>
      </c>
      <c r="U137" t="n">
        <v>3</v>
      </c>
      <c r="V137" t="n">
        <v>0.8640495052414743</v>
      </c>
      <c r="W137" t="n">
        <v>0.193</v>
      </c>
      <c r="X137" t="n">
        <v>0.282</v>
      </c>
      <c r="Y137" t="n">
        <v>0.3</v>
      </c>
      <c r="Z137" t="n">
        <v>1</v>
      </c>
      <c r="AA137" t="n">
        <v>2.2</v>
      </c>
      <c r="AB137" t="n">
        <v>3.7</v>
      </c>
      <c r="AC137" t="n">
        <v>5.7</v>
      </c>
      <c r="AD137" t="n">
        <v>8.300000000000001</v>
      </c>
      <c r="AE137" t="n">
        <v>11.8</v>
      </c>
      <c r="AF137" t="n">
        <v>17</v>
      </c>
      <c r="AG137" t="n">
        <v>26.1</v>
      </c>
      <c r="AH137" t="n">
        <v>97.3</v>
      </c>
      <c r="AI137" t="n">
        <v>9710.364910143164</v>
      </c>
      <c r="AJ137" t="n">
        <v>1003653.75</v>
      </c>
      <c r="AK137" t="n">
        <v>271467</v>
      </c>
      <c r="AL137" t="n">
        <v>0.2704787383099002</v>
      </c>
      <c r="AM137" t="inlineStr">
        <is>
          <t>0.8357793013775915</t>
        </is>
      </c>
      <c r="AN137" t="inlineStr">
        <is>
          <t>16.5</t>
        </is>
      </c>
      <c r="AO137" t="inlineStr">
        <is>
          <t>6.5</t>
        </is>
      </c>
      <c r="AP137" t="inlineStr">
        <is>
          <t>12 1/4</t>
        </is>
      </c>
      <c r="AQ137" t="inlineStr">
        <is>
          <t>6</t>
        </is>
      </c>
      <c r="AR137" t="inlineStr">
        <is>
          <t>7</t>
        </is>
      </c>
      <c r="AS137" t="inlineStr">
        <is>
          <t>1.5</t>
        </is>
      </c>
      <c r="AT137" t="n">
        <v>230</v>
      </c>
      <c r="AU137" t="inlineStr">
        <is>
          <t>Vertex 70</t>
        </is>
      </c>
      <c r="AV137" t="inlineStr">
        <is>
          <t>58D2/42AR</t>
        </is>
      </c>
      <c r="AW137" t="n">
        <v>0.6719953870684571</v>
      </c>
      <c r="AX137" t="n">
        <v>0.7421492122964324</v>
      </c>
      <c r="AY137" t="n">
        <v>0.807560106412765</v>
      </c>
      <c r="AZ137" t="n">
        <v>0.8651691572535757</v>
      </c>
      <c r="BA137" t="n">
        <v>0.8942265513420395</v>
      </c>
      <c r="BB137" t="n">
        <v>2.244094488188976</v>
      </c>
      <c r="BC137" t="n">
        <v>0.4214827572168057</v>
      </c>
      <c r="BD137" t="n">
        <v>1.004534237738284</v>
      </c>
      <c r="BE137" t="n">
        <v>1.728627980653181</v>
      </c>
      <c r="BF137" t="n">
        <v>2.619671485463964</v>
      </c>
      <c r="BG137" t="n">
        <v>3.729543015610241</v>
      </c>
      <c r="BH137" t="n">
        <v>5.151508566272896</v>
      </c>
      <c r="BI137" t="n">
        <v>7.066036051902804</v>
      </c>
      <c r="BJ137" t="n">
        <v>9.887065978339818</v>
      </c>
      <c r="BK137" t="n">
        <v>14.96518042620143</v>
      </c>
      <c r="BL137" t="n">
        <v>53.36714776485453</v>
      </c>
      <c r="BM137" t="inlineStr"/>
      <c r="BN137" t="n">
        <v>3</v>
      </c>
      <c r="BO137" t="n">
        <v>57</v>
      </c>
      <c r="BP137" t="n">
        <v>170</v>
      </c>
      <c r="BQ137" t="n">
        <v>261</v>
      </c>
      <c r="BR137" t="n">
        <v>973</v>
      </c>
      <c r="BS13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8">
      <c r="A138" t="inlineStr">
        <is>
          <t>FRAG</t>
        </is>
      </c>
      <c r="B138" t="inlineStr">
        <is>
          <t>Fragmentación Desmonte 2025.xlsx</t>
        </is>
      </c>
      <c r="C138" t="inlineStr">
        <is>
          <t>ANÁLISIS DE FRAGMENTACIÓN</t>
        </is>
      </c>
      <c r="D138" t="n">
        <v>142</v>
      </c>
      <c r="E138" t="inlineStr">
        <is>
          <t>ROM (fragmentación post-voladura en el frente de carguío, por análisis de fotos)</t>
        </is>
      </c>
      <c r="F138" t="inlineStr"/>
      <c r="G138" t="inlineStr">
        <is>
          <t>no indicada en el archivo</t>
        </is>
      </c>
      <c r="H138" t="inlineStr">
        <is>
          <t>2025-03-09</t>
        </is>
      </c>
      <c r="I138" t="inlineStr">
        <is>
          <t>2025-03-26</t>
        </is>
      </c>
      <c r="J138" t="inlineStr">
        <is>
          <t>PALA 05</t>
        </is>
      </c>
      <c r="K138" t="n">
        <v>9</v>
      </c>
      <c r="L138" t="inlineStr">
        <is>
          <t>9-NP-3938-07</t>
        </is>
      </c>
      <c r="M138" t="n">
        <v>2</v>
      </c>
      <c r="N138" t="n">
        <v>3938</v>
      </c>
      <c r="O138" t="inlineStr">
        <is>
          <t>A</t>
        </is>
      </c>
      <c r="P138" t="n">
        <v>30</v>
      </c>
      <c r="Q138" t="inlineStr">
        <is>
          <t>Desmonte</t>
        </is>
      </c>
      <c r="R138" t="inlineStr">
        <is>
          <t>Producción</t>
        </is>
      </c>
      <c r="S138" t="n">
        <v>5</v>
      </c>
      <c r="T138" t="n">
        <v>7.4</v>
      </c>
      <c r="U138" t="n">
        <v>3</v>
      </c>
      <c r="V138" t="n">
        <v>0.9167118622470526</v>
      </c>
      <c r="W138" t="n">
        <v>0.133</v>
      </c>
      <c r="X138" t="n">
        <v>0.209</v>
      </c>
      <c r="Y138" t="n">
        <v>0.6</v>
      </c>
      <c r="Z138" t="n">
        <v>1.8</v>
      </c>
      <c r="AA138" t="n">
        <v>3.4</v>
      </c>
      <c r="AB138" t="n">
        <v>5.2</v>
      </c>
      <c r="AC138" t="n">
        <v>7.5</v>
      </c>
      <c r="AD138" t="n">
        <v>10.2</v>
      </c>
      <c r="AE138" t="n">
        <v>13.7</v>
      </c>
      <c r="AF138" t="n">
        <v>18.7</v>
      </c>
      <c r="AG138" t="n">
        <v>27.3</v>
      </c>
      <c r="AH138" t="n">
        <v>97.8</v>
      </c>
      <c r="AI138" t="n">
        <v>11478.24323214629</v>
      </c>
      <c r="AJ138" t="n">
        <v>596928.75</v>
      </c>
      <c r="AK138" t="n">
        <v>239735</v>
      </c>
      <c r="AL138" t="n">
        <v>0.4016140954845951</v>
      </c>
      <c r="AM138" t="inlineStr">
        <is>
          <t>1.240987555047399</t>
        </is>
      </c>
      <c r="AN138" t="inlineStr">
        <is>
          <t>16.5</t>
        </is>
      </c>
      <c r="AO138" t="inlineStr">
        <is>
          <t>6.5</t>
        </is>
      </c>
      <c r="AP138" t="inlineStr">
        <is>
          <t>12 1/4</t>
        </is>
      </c>
      <c r="AQ138" t="inlineStr">
        <is>
          <t>6</t>
        </is>
      </c>
      <c r="AR138" t="inlineStr">
        <is>
          <t>7</t>
        </is>
      </c>
      <c r="AS138" t="inlineStr">
        <is>
          <t>1.5</t>
        </is>
      </c>
      <c r="AT138" t="n">
        <v>248</v>
      </c>
      <c r="AU138" t="inlineStr">
        <is>
          <t>Vertex 70</t>
        </is>
      </c>
      <c r="AV138" t="inlineStr">
        <is>
          <t>41D2/59AR</t>
        </is>
      </c>
      <c r="AW138" t="n">
        <v>0.6571643300109901</v>
      </c>
      <c r="AX138" t="n">
        <v>0.7098570053292867</v>
      </c>
      <c r="AY138" t="n">
        <v>0.7607563289950853</v>
      </c>
      <c r="AZ138" t="n">
        <v>0.8085700250983583</v>
      </c>
      <c r="BA138" t="n">
        <v>0.8346083964773706</v>
      </c>
      <c r="BB138" t="n">
        <v>2.913385826771654</v>
      </c>
      <c r="BC138" t="n">
        <v>0.6354987586620389</v>
      </c>
      <c r="BD138" t="n">
        <v>1.44089220041169</v>
      </c>
      <c r="BE138" t="n">
        <v>2.403399193583483</v>
      </c>
      <c r="BF138" t="n">
        <v>3.556308419288994</v>
      </c>
      <c r="BG138" t="n">
        <v>4.961298176765799</v>
      </c>
      <c r="BH138" t="n">
        <v>6.726908753068197</v>
      </c>
      <c r="BI138" t="n">
        <v>9.060931553575116</v>
      </c>
      <c r="BJ138" t="n">
        <v>12.43607686377506</v>
      </c>
      <c r="BK138" t="n">
        <v>18.38047057928329</v>
      </c>
      <c r="BL138" t="n">
        <v>60.92939683571186</v>
      </c>
      <c r="BM138" t="inlineStr"/>
      <c r="BN138" t="n">
        <v>6</v>
      </c>
      <c r="BO138" t="n">
        <v>75</v>
      </c>
      <c r="BP138" t="n">
        <v>187</v>
      </c>
      <c r="BQ138" t="n">
        <v>273</v>
      </c>
      <c r="BR138" t="n">
        <v>978</v>
      </c>
      <c r="BS13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39">
      <c r="A139" t="inlineStr">
        <is>
          <t>FRAG</t>
        </is>
      </c>
      <c r="B139" t="inlineStr">
        <is>
          <t>Fragmentación Desmonte 2025.xlsx</t>
        </is>
      </c>
      <c r="C139" t="inlineStr">
        <is>
          <t>ANÁLISIS DE FRAGMENTACIÓN</t>
        </is>
      </c>
      <c r="D139" t="n">
        <v>143</v>
      </c>
      <c r="E139" t="inlineStr">
        <is>
          <t>ROM (fragmentación post-voladura en el frente de carguío, por análisis de fotos)</t>
        </is>
      </c>
      <c r="F139" t="inlineStr"/>
      <c r="G139" t="inlineStr">
        <is>
          <t>no indicada en el archivo</t>
        </is>
      </c>
      <c r="H139" t="inlineStr">
        <is>
          <t>2025-03-23</t>
        </is>
      </c>
      <c r="I139" t="inlineStr">
        <is>
          <t>2025-03-26</t>
        </is>
      </c>
      <c r="J139" t="inlineStr">
        <is>
          <t>PALA 08</t>
        </is>
      </c>
      <c r="K139" t="n">
        <v>9</v>
      </c>
      <c r="L139" t="inlineStr">
        <is>
          <t>9-NP-3953-26</t>
        </is>
      </c>
      <c r="M139" t="n">
        <v>1</v>
      </c>
      <c r="N139" t="n">
        <v>3953</v>
      </c>
      <c r="O139" t="inlineStr">
        <is>
          <t>B</t>
        </is>
      </c>
      <c r="P139" t="n">
        <v>30</v>
      </c>
      <c r="Q139" t="inlineStr">
        <is>
          <t>Desmonte</t>
        </is>
      </c>
      <c r="R139" t="inlineStr">
        <is>
          <t>Producción</t>
        </is>
      </c>
      <c r="S139" t="n">
        <v>4</v>
      </c>
      <c r="T139" t="n">
        <v>11.4</v>
      </c>
      <c r="U139" t="n">
        <v>3</v>
      </c>
      <c r="V139" t="n">
        <v>0.9153346452894848</v>
      </c>
      <c r="W139" t="n">
        <v>0.149</v>
      </c>
      <c r="X139" t="n">
        <v>0.207</v>
      </c>
      <c r="Y139" t="n">
        <v>0.4</v>
      </c>
      <c r="Z139" t="n">
        <v>1.8</v>
      </c>
      <c r="AA139" t="n">
        <v>4.1</v>
      </c>
      <c r="AB139" t="n">
        <v>7.3</v>
      </c>
      <c r="AC139" t="n">
        <v>11.4</v>
      </c>
      <c r="AD139" t="n">
        <v>16.7</v>
      </c>
      <c r="AE139" t="n">
        <v>23.7</v>
      </c>
      <c r="AF139" t="n">
        <v>33.7</v>
      </c>
      <c r="AG139" t="n">
        <v>50.7</v>
      </c>
      <c r="AH139" t="n">
        <v>149.6</v>
      </c>
      <c r="AI139" t="n">
        <v>10959.88208430491</v>
      </c>
      <c r="AJ139" t="n">
        <v>212891.25</v>
      </c>
      <c r="AK139" t="n">
        <v>71927.2</v>
      </c>
      <c r="AL139" t="n">
        <v>0.3378588833500672</v>
      </c>
      <c r="AM139" t="inlineStr">
        <is>
          <t>1.0439839495517076</t>
        </is>
      </c>
      <c r="AN139" t="inlineStr">
        <is>
          <t>17</t>
        </is>
      </c>
      <c r="AO139" t="inlineStr">
        <is>
          <t>7</t>
        </is>
      </c>
      <c r="AP139" t="inlineStr">
        <is>
          <t>12 1/4</t>
        </is>
      </c>
      <c r="AQ139" t="inlineStr">
        <is>
          <t>8.5</t>
        </is>
      </c>
      <c r="AR139" t="inlineStr">
        <is>
          <t>9.8</t>
        </is>
      </c>
      <c r="AS139" t="inlineStr">
        <is>
          <t>2</t>
        </is>
      </c>
      <c r="AT139" t="n">
        <v>75</v>
      </c>
      <c r="AU139" t="inlineStr">
        <is>
          <t>Vertex 70</t>
        </is>
      </c>
      <c r="AV139" t="inlineStr">
        <is>
          <t>51D2/49AR</t>
        </is>
      </c>
      <c r="AW139" t="n">
        <v>0.6570392749912768</v>
      </c>
      <c r="AX139" t="n">
        <v>0.7092368433897032</v>
      </c>
      <c r="AY139" t="n">
        <v>0.75969028768058</v>
      </c>
      <c r="AZ139" t="n">
        <v>0.8071439050703633</v>
      </c>
      <c r="BA139" t="n">
        <v>0.8330245653653326</v>
      </c>
      <c r="BB139" t="n">
        <v>4.488188976377953</v>
      </c>
      <c r="BC139" t="n">
        <v>0.9754022506147024</v>
      </c>
      <c r="BD139" t="n">
        <v>2.214294847938604</v>
      </c>
      <c r="BE139" t="n">
        <v>3.696274234390639</v>
      </c>
      <c r="BF139" t="n">
        <v>5.472600372446169</v>
      </c>
      <c r="BG139" t="n">
        <v>7.638484586413375</v>
      </c>
      <c r="BH139" t="n">
        <v>10.36158880149949</v>
      </c>
      <c r="BI139" t="n">
        <v>13.96298585314736</v>
      </c>
      <c r="BJ139" t="n">
        <v>19.17325043498233</v>
      </c>
      <c r="BK139" t="n">
        <v>28.35464827929198</v>
      </c>
      <c r="BL139" t="n">
        <v>94.16242172580824</v>
      </c>
      <c r="BM139" t="inlineStr"/>
      <c r="BN139" t="n">
        <v>4</v>
      </c>
      <c r="BO139" t="n">
        <v>114</v>
      </c>
      <c r="BP139" t="n">
        <v>337</v>
      </c>
      <c r="BQ139" t="n">
        <v>507</v>
      </c>
      <c r="BR139" t="n">
        <v>1496</v>
      </c>
      <c r="BS13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0">
      <c r="A140" t="inlineStr">
        <is>
          <t>FRAG</t>
        </is>
      </c>
      <c r="B140" t="inlineStr">
        <is>
          <t>Fragmentación Desmonte 2025.xlsx</t>
        </is>
      </c>
      <c r="C140" t="inlineStr">
        <is>
          <t>ANÁLISIS DE FRAGMENTACIÓN</t>
        </is>
      </c>
      <c r="D140" t="n">
        <v>144</v>
      </c>
      <c r="E140" t="inlineStr">
        <is>
          <t>ROM (fragmentación post-voladura en el frente de carguío, por análisis de fotos)</t>
        </is>
      </c>
      <c r="F140" t="inlineStr"/>
      <c r="G140" t="inlineStr">
        <is>
          <t>no indicada en el archivo</t>
        </is>
      </c>
      <c r="H140" t="inlineStr">
        <is>
          <t>2025-03-23</t>
        </is>
      </c>
      <c r="I140" t="inlineStr">
        <is>
          <t>2025-03-26</t>
        </is>
      </c>
      <c r="J140" t="inlineStr">
        <is>
          <t>PALA 08</t>
        </is>
      </c>
      <c r="K140" t="n">
        <v>9</v>
      </c>
      <c r="L140" t="inlineStr">
        <is>
          <t>9-NP-3953-26</t>
        </is>
      </c>
      <c r="M140" t="n">
        <v>2</v>
      </c>
      <c r="N140" t="n">
        <v>3953</v>
      </c>
      <c r="O140" t="inlineStr">
        <is>
          <t>C</t>
        </is>
      </c>
      <c r="P140" t="n">
        <v>30</v>
      </c>
      <c r="Q140" t="inlineStr">
        <is>
          <t>Desmonte</t>
        </is>
      </c>
      <c r="R140" t="inlineStr">
        <is>
          <t>Producción</t>
        </is>
      </c>
      <c r="S140" t="n">
        <v>4</v>
      </c>
      <c r="T140" t="n">
        <v>9.699999999999999</v>
      </c>
      <c r="U140" t="n">
        <v>3</v>
      </c>
      <c r="V140" t="n">
        <v>0.952799014356438</v>
      </c>
      <c r="W140" t="n">
        <v>0.139</v>
      </c>
      <c r="X140" t="n">
        <v>0.202</v>
      </c>
      <c r="Y140" t="n">
        <v>0.5</v>
      </c>
      <c r="Z140" t="n">
        <v>1.9</v>
      </c>
      <c r="AA140" t="n">
        <v>4</v>
      </c>
      <c r="AB140" t="n">
        <v>6.6</v>
      </c>
      <c r="AC140" t="n">
        <v>9.699999999999999</v>
      </c>
      <c r="AD140" t="n">
        <v>13.7</v>
      </c>
      <c r="AE140" t="n">
        <v>18.8</v>
      </c>
      <c r="AF140" t="n">
        <v>25.9</v>
      </c>
      <c r="AG140" t="n">
        <v>37.7</v>
      </c>
      <c r="AH140" t="n">
        <v>108.4</v>
      </c>
      <c r="AI140" t="n">
        <v>10536.16168320446</v>
      </c>
      <c r="AJ140" t="n">
        <v>212891.25</v>
      </c>
      <c r="AK140" t="n">
        <v>71927.2</v>
      </c>
      <c r="AL140" t="n">
        <v>0.3378588833500672</v>
      </c>
      <c r="AM140" t="inlineStr">
        <is>
          <t>1.0439839495517076</t>
        </is>
      </c>
      <c r="AN140" t="inlineStr">
        <is>
          <t>17</t>
        </is>
      </c>
      <c r="AO140" t="inlineStr">
        <is>
          <t>7</t>
        </is>
      </c>
      <c r="AP140" t="inlineStr">
        <is>
          <t>12 1/4</t>
        </is>
      </c>
      <c r="AQ140" t="inlineStr">
        <is>
          <t>8.5</t>
        </is>
      </c>
      <c r="AR140" t="inlineStr">
        <is>
          <t>9.8</t>
        </is>
      </c>
      <c r="AS140" t="inlineStr">
        <is>
          <t>2</t>
        </is>
      </c>
      <c r="AT140" t="n">
        <v>75</v>
      </c>
      <c r="AU140" t="inlineStr">
        <is>
          <t>Vertex 70</t>
        </is>
      </c>
      <c r="AV140" t="inlineStr">
        <is>
          <t>51D2/49AR</t>
        </is>
      </c>
      <c r="AW140" t="n">
        <v>0.6534632000624152</v>
      </c>
      <c r="AX140" t="n">
        <v>0.7044864353652103</v>
      </c>
      <c r="AY140" t="n">
        <v>0.7539578582721802</v>
      </c>
      <c r="AZ140" t="n">
        <v>0.8007110755445866</v>
      </c>
      <c r="BA140" t="n">
        <v>0.826342734006437</v>
      </c>
      <c r="BB140" t="n">
        <v>3.818897637795276</v>
      </c>
      <c r="BC140" t="n">
        <v>0.9141843436402084</v>
      </c>
      <c r="BD140" t="n">
        <v>2.009487950056925</v>
      </c>
      <c r="BE140" t="n">
        <v>3.287488474947036</v>
      </c>
      <c r="BF140" t="n">
        <v>4.792834623796395</v>
      </c>
      <c r="BG140" t="n">
        <v>6.602551567557079</v>
      </c>
      <c r="BH140" t="n">
        <v>8.84961107048982</v>
      </c>
      <c r="BI140" t="n">
        <v>11.78642519460084</v>
      </c>
      <c r="BJ140" t="n">
        <v>15.98396264864511</v>
      </c>
      <c r="BK140" t="n">
        <v>23.27723175723656</v>
      </c>
      <c r="BL140" t="n">
        <v>73.7375719624085</v>
      </c>
      <c r="BM140" t="inlineStr"/>
      <c r="BN140" t="n">
        <v>5</v>
      </c>
      <c r="BO140" t="n">
        <v>97</v>
      </c>
      <c r="BP140" t="n">
        <v>259</v>
      </c>
      <c r="BQ140" t="n">
        <v>377</v>
      </c>
      <c r="BR140" t="n">
        <v>1084</v>
      </c>
      <c r="BS14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1">
      <c r="A141" t="inlineStr">
        <is>
          <t>FRAG</t>
        </is>
      </c>
      <c r="B141" t="inlineStr">
        <is>
          <t>Fragmentación Desmonte 2025.xlsx</t>
        </is>
      </c>
      <c r="C141" t="inlineStr">
        <is>
          <t>ANÁLISIS DE FRAGMENTACIÓN</t>
        </is>
      </c>
      <c r="D141" t="n">
        <v>145</v>
      </c>
      <c r="E141" t="inlineStr">
        <is>
          <t>ROM (fragmentación post-voladura en el frente de carguío, por análisis de fotos)</t>
        </is>
      </c>
      <c r="F141" t="inlineStr"/>
      <c r="G141" t="inlineStr">
        <is>
          <t>no indicada en el archivo</t>
        </is>
      </c>
      <c r="H141" t="inlineStr">
        <is>
          <t>2025-03-19</t>
        </is>
      </c>
      <c r="I141" t="inlineStr">
        <is>
          <t>2025-03-28</t>
        </is>
      </c>
      <c r="J141" t="inlineStr">
        <is>
          <t>PALA 09</t>
        </is>
      </c>
      <c r="K141" t="n">
        <v>9</v>
      </c>
      <c r="L141" t="inlineStr">
        <is>
          <t>9-NP-3968-31</t>
        </is>
      </c>
      <c r="M141" t="n">
        <v>6</v>
      </c>
      <c r="N141" t="n">
        <v>3968</v>
      </c>
      <c r="O141" t="inlineStr">
        <is>
          <t>C</t>
        </is>
      </c>
      <c r="P141" t="n">
        <v>30</v>
      </c>
      <c r="Q141" t="inlineStr">
        <is>
          <t>Desmonte</t>
        </is>
      </c>
      <c r="R141" t="inlineStr">
        <is>
          <t>TRIM</t>
        </is>
      </c>
      <c r="S141" t="n">
        <v>3</v>
      </c>
      <c r="T141" t="n">
        <v>15.2</v>
      </c>
      <c r="U141" t="n">
        <v>3</v>
      </c>
      <c r="V141" t="n">
        <v>1.218454200730871</v>
      </c>
      <c r="W141" t="n">
        <v>0.039</v>
      </c>
      <c r="X141" t="n">
        <v>0.068</v>
      </c>
      <c r="Y141" t="n">
        <v>3</v>
      </c>
      <c r="Z141" t="n">
        <v>6.2</v>
      </c>
      <c r="AA141" t="n">
        <v>9.199999999999999</v>
      </c>
      <c r="AB141" t="n">
        <v>12.2</v>
      </c>
      <c r="AC141" t="n">
        <v>15.3</v>
      </c>
      <c r="AD141" t="n">
        <v>18.6</v>
      </c>
      <c r="AE141" t="n">
        <v>22.5</v>
      </c>
      <c r="AF141" t="n">
        <v>27.5</v>
      </c>
      <c r="AG141" t="n">
        <v>35.1</v>
      </c>
      <c r="AH141" t="n">
        <v>84.8</v>
      </c>
      <c r="AI141" t="n">
        <v>12039.97756212487</v>
      </c>
      <c r="AJ141" t="n">
        <v>263793.75</v>
      </c>
      <c r="AK141" t="n">
        <v>81697</v>
      </c>
      <c r="AL141" t="n">
        <v>0.3097002866823038</v>
      </c>
      <c r="AM141" t="inlineStr">
        <is>
          <t>-</t>
        </is>
      </c>
      <c r="AN141" t="inlineStr">
        <is>
          <t xml:space="preserve"> - </t>
        </is>
      </c>
      <c r="AO141" t="inlineStr">
        <is>
          <t xml:space="preserve"> - </t>
        </is>
      </c>
      <c r="AP141" t="inlineStr">
        <is>
          <t>9 7/8</t>
        </is>
      </c>
      <c r="AQ141" t="inlineStr">
        <is>
          <t xml:space="preserve"> - </t>
        </is>
      </c>
      <c r="AR141" t="inlineStr">
        <is>
          <t xml:space="preserve"> - </t>
        </is>
      </c>
      <c r="AS141" t="inlineStr">
        <is>
          <t xml:space="preserve"> - </t>
        </is>
      </c>
      <c r="AT141" t="n">
        <v>293</v>
      </c>
      <c r="AU141" t="inlineStr">
        <is>
          <t>Emulgex 70</t>
        </is>
      </c>
      <c r="AV141" t="inlineStr">
        <is>
          <t>51D2/49AR</t>
        </is>
      </c>
      <c r="AW141" t="n">
        <v>0.6331570595369003</v>
      </c>
      <c r="AX141" t="n">
        <v>0.6504889582026008</v>
      </c>
      <c r="AY141" t="n">
        <v>0.6677789140683414</v>
      </c>
      <c r="AZ141" t="n">
        <v>0.6849858333287309</v>
      </c>
      <c r="BA141" t="n">
        <v>0.6949958271092682</v>
      </c>
      <c r="BB141" t="n">
        <v>5.984251968503937</v>
      </c>
      <c r="BC141" t="n">
        <v>2.397417049313669</v>
      </c>
      <c r="BD141" t="n">
        <v>4.438323263355603</v>
      </c>
      <c r="BE141" t="n">
        <v>6.522113218211592</v>
      </c>
      <c r="BF141" t="n">
        <v>8.75829293821803</v>
      </c>
      <c r="BG141" t="n">
        <v>11.25141468992455</v>
      </c>
      <c r="BH141" t="n">
        <v>14.14763530226493</v>
      </c>
      <c r="BI141" t="n">
        <v>17.70136116872307</v>
      </c>
      <c r="BJ141" t="n">
        <v>22.46278546156017</v>
      </c>
      <c r="BK141" t="n">
        <v>30.13827247947141</v>
      </c>
      <c r="BL141" t="n">
        <v>74.25017823176634</v>
      </c>
      <c r="BM141" t="inlineStr"/>
      <c r="BN141" t="n">
        <v>30</v>
      </c>
      <c r="BO141" t="n">
        <v>153</v>
      </c>
      <c r="BP141" t="n">
        <v>275</v>
      </c>
      <c r="BQ141" t="n">
        <v>351</v>
      </c>
      <c r="BR141" t="n">
        <v>848</v>
      </c>
      <c r="BS14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2">
      <c r="A142" t="inlineStr">
        <is>
          <t>FRAG</t>
        </is>
      </c>
      <c r="B142" t="inlineStr">
        <is>
          <t>Fragmentación Desmonte 2025.xlsx</t>
        </is>
      </c>
      <c r="C142" t="inlineStr">
        <is>
          <t>ANÁLISIS DE FRAGMENTACIÓN</t>
        </is>
      </c>
      <c r="D142" t="n">
        <v>146</v>
      </c>
      <c r="E142" t="inlineStr">
        <is>
          <t>ROM (fragmentación post-voladura en el frente de carguío, por análisis de fotos)</t>
        </is>
      </c>
      <c r="F142" t="inlineStr"/>
      <c r="G142" t="inlineStr">
        <is>
          <t>no indicada en el archivo</t>
        </is>
      </c>
      <c r="H142" t="inlineStr">
        <is>
          <t>2025-03-12</t>
        </is>
      </c>
      <c r="I142" t="inlineStr">
        <is>
          <t>2025-03-28</t>
        </is>
      </c>
      <c r="J142" t="inlineStr">
        <is>
          <t>PALA 09</t>
        </is>
      </c>
      <c r="K142" t="n">
        <v>9</v>
      </c>
      <c r="L142" t="inlineStr">
        <is>
          <t>9-NP-3968-19</t>
        </is>
      </c>
      <c r="M142" t="n">
        <v>1</v>
      </c>
      <c r="N142" t="n">
        <v>3968</v>
      </c>
      <c r="O142" t="inlineStr">
        <is>
          <t>C</t>
        </is>
      </c>
      <c r="P142" t="n">
        <v>30</v>
      </c>
      <c r="Q142" t="inlineStr">
        <is>
          <t>Desmonte</t>
        </is>
      </c>
      <c r="R142" t="inlineStr">
        <is>
          <t>Producción</t>
        </is>
      </c>
      <c r="S142" t="n">
        <v>5</v>
      </c>
      <c r="T142" t="n">
        <v>14.6</v>
      </c>
      <c r="U142" t="n">
        <v>3</v>
      </c>
      <c r="V142" t="n">
        <v>1.29360130919291</v>
      </c>
      <c r="W142" t="n">
        <v>0.054</v>
      </c>
      <c r="X142" t="n">
        <v>0.089</v>
      </c>
      <c r="Y142" t="n">
        <v>2.3</v>
      </c>
      <c r="Z142" t="n">
        <v>5.4</v>
      </c>
      <c r="AA142" t="n">
        <v>8.4</v>
      </c>
      <c r="AB142" t="n">
        <v>11.5</v>
      </c>
      <c r="AC142" t="n">
        <v>14.6</v>
      </c>
      <c r="AD142" t="n">
        <v>18.1</v>
      </c>
      <c r="AE142" t="n">
        <v>22.1</v>
      </c>
      <c r="AF142" t="n">
        <v>27.2</v>
      </c>
      <c r="AG142" t="n">
        <v>34.6</v>
      </c>
      <c r="AH142" t="n">
        <v>71.90000000000001</v>
      </c>
      <c r="AI142" t="n">
        <v>12169.84931506851</v>
      </c>
      <c r="AJ142" t="n">
        <v>249438.75</v>
      </c>
      <c r="AK142" t="n">
        <v>90510</v>
      </c>
      <c r="AL142" t="n">
        <v>0.3628546085962987</v>
      </c>
      <c r="AM142" t="inlineStr">
        <is>
          <t>-</t>
        </is>
      </c>
      <c r="AN142" t="inlineStr">
        <is>
          <t>17</t>
        </is>
      </c>
      <c r="AO142" t="inlineStr">
        <is>
          <t>5</t>
        </is>
      </c>
      <c r="AP142" t="inlineStr">
        <is>
          <t>12 1/4</t>
        </is>
      </c>
      <c r="AQ142" t="inlineStr">
        <is>
          <t>6.5</t>
        </is>
      </c>
      <c r="AR142" t="inlineStr">
        <is>
          <t>7.5</t>
        </is>
      </c>
      <c r="AS142" t="inlineStr">
        <is>
          <t>2</t>
        </is>
      </c>
      <c r="AT142" t="n">
        <v>209</v>
      </c>
      <c r="AU142" t="inlineStr">
        <is>
          <t>Emulgex 70</t>
        </is>
      </c>
      <c r="AV142" t="inlineStr">
        <is>
          <t>58D2/42AR</t>
        </is>
      </c>
      <c r="AW142" t="n">
        <v>0.6315176894768579</v>
      </c>
      <c r="AX142" t="n">
        <v>0.6541987363702426</v>
      </c>
      <c r="AY142" t="n">
        <v>0.6767929105666054</v>
      </c>
      <c r="AZ142" t="n">
        <v>0.6992069236272602</v>
      </c>
      <c r="BA142" t="n">
        <v>0.7121961679224496</v>
      </c>
      <c r="BB142" t="n">
        <v>5.748031496062992</v>
      </c>
      <c r="BC142" t="n">
        <v>2.563586450793266</v>
      </c>
      <c r="BD142" t="n">
        <v>4.579154452111721</v>
      </c>
      <c r="BE142" t="n">
        <v>6.580268135244005</v>
      </c>
      <c r="BF142" t="n">
        <v>8.686347844118389</v>
      </c>
      <c r="BG142" t="n">
        <v>10.99778572460872</v>
      </c>
      <c r="BH142" t="n">
        <v>13.64593305210148</v>
      </c>
      <c r="BI142" t="n">
        <v>16.85281392062618</v>
      </c>
      <c r="BJ142" t="n">
        <v>21.09208014748802</v>
      </c>
      <c r="BK142" t="n">
        <v>27.82008906581066</v>
      </c>
      <c r="BL142" t="n">
        <v>65.04146002201631</v>
      </c>
      <c r="BM142" t="inlineStr"/>
      <c r="BN142" t="n">
        <v>23</v>
      </c>
      <c r="BO142" t="n">
        <v>146</v>
      </c>
      <c r="BP142" t="n">
        <v>272</v>
      </c>
      <c r="BQ142" t="n">
        <v>346</v>
      </c>
      <c r="BR142" t="n">
        <v>719</v>
      </c>
      <c r="BS14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3">
      <c r="A143" t="inlineStr">
        <is>
          <t>FRAG</t>
        </is>
      </c>
      <c r="B143" t="inlineStr">
        <is>
          <t>Fragmentación Desmonte 2025.xlsx</t>
        </is>
      </c>
      <c r="C143" t="inlineStr">
        <is>
          <t>ANÁLISIS DE FRAGMENTACIÓN</t>
        </is>
      </c>
      <c r="D143" t="n">
        <v>147</v>
      </c>
      <c r="E143" t="inlineStr">
        <is>
          <t>ROM (fragmentación post-voladura en el frente de carguío, por análisis de fotos)</t>
        </is>
      </c>
      <c r="F143" t="inlineStr"/>
      <c r="G143" t="inlineStr">
        <is>
          <t>no indicada en el archivo</t>
        </is>
      </c>
      <c r="H143" t="inlineStr">
        <is>
          <t>2025-03-22</t>
        </is>
      </c>
      <c r="I143" t="inlineStr">
        <is>
          <t>2025-03-29</t>
        </is>
      </c>
      <c r="J143" t="inlineStr">
        <is>
          <t>PALA 11</t>
        </is>
      </c>
      <c r="K143" t="n">
        <v>10</v>
      </c>
      <c r="L143" t="inlineStr">
        <is>
          <t>10-NP-4418-17</t>
        </is>
      </c>
      <c r="M143" t="n">
        <v>5</v>
      </c>
      <c r="N143" t="n">
        <v>4418</v>
      </c>
      <c r="O143" t="inlineStr">
        <is>
          <t>A</t>
        </is>
      </c>
      <c r="P143" t="n">
        <v>30</v>
      </c>
      <c r="Q143" t="inlineStr">
        <is>
          <t>Desmonte</t>
        </is>
      </c>
      <c r="R143" t="inlineStr">
        <is>
          <t>TRIM</t>
        </is>
      </c>
      <c r="S143" t="n">
        <v>3</v>
      </c>
      <c r="T143" t="n">
        <v>16.8</v>
      </c>
      <c r="U143" t="n">
        <v>2</v>
      </c>
      <c r="V143" t="n">
        <v>0.7342660039229968</v>
      </c>
      <c r="W143" t="n">
        <v>0.097</v>
      </c>
      <c r="X143" t="n">
        <v>0.138</v>
      </c>
      <c r="Y143" t="n">
        <v>1</v>
      </c>
      <c r="Z143" t="n">
        <v>3.8</v>
      </c>
      <c r="AA143" t="n">
        <v>7.5</v>
      </c>
      <c r="AB143" t="n">
        <v>11.8</v>
      </c>
      <c r="AC143" t="n">
        <v>16.9</v>
      </c>
      <c r="AD143" t="n">
        <v>22.7</v>
      </c>
      <c r="AE143" t="n">
        <v>29.9</v>
      </c>
      <c r="AF143" t="n">
        <v>39.3</v>
      </c>
      <c r="AG143" t="n">
        <v>53.8</v>
      </c>
      <c r="AH143" t="n">
        <v>119</v>
      </c>
      <c r="AI143" t="inlineStr"/>
      <c r="AJ143" t="n">
        <v>1350318.75</v>
      </c>
      <c r="AK143" t="n">
        <v>333101.93</v>
      </c>
      <c r="AL143" t="n">
        <v>0.2466839255546144</v>
      </c>
      <c r="AM143" t="inlineStr">
        <is>
          <t>0.7622533299637585</t>
        </is>
      </c>
      <c r="AN143" t="inlineStr">
        <is>
          <t xml:space="preserve"> - </t>
        </is>
      </c>
      <c r="AO143" t="inlineStr">
        <is>
          <t xml:space="preserve"> - </t>
        </is>
      </c>
      <c r="AP143" t="inlineStr">
        <is>
          <t>9 7/8</t>
        </is>
      </c>
      <c r="AQ143" t="inlineStr">
        <is>
          <t xml:space="preserve"> - </t>
        </is>
      </c>
      <c r="AR143" t="inlineStr">
        <is>
          <t xml:space="preserve"> - </t>
        </is>
      </c>
      <c r="AS143" t="inlineStr">
        <is>
          <t xml:space="preserve"> - </t>
        </is>
      </c>
      <c r="AT143" t="n">
        <v>765</v>
      </c>
      <c r="AU143" t="inlineStr">
        <is>
          <t>Vertex 70</t>
        </is>
      </c>
      <c r="AV143" t="inlineStr">
        <is>
          <t>51D2/49AR</t>
        </is>
      </c>
      <c r="AW143" t="n">
        <v>0.6599090501417884</v>
      </c>
      <c r="AX143" t="n">
        <v>0.6948051224101852</v>
      </c>
      <c r="AY143" t="n">
        <v>0.7290807777039113</v>
      </c>
      <c r="AZ143" t="n">
        <v>0.7623657309366394</v>
      </c>
      <c r="BA143" t="n">
        <v>0.781227304857228</v>
      </c>
      <c r="BB143" t="n">
        <v>6.614173228346456</v>
      </c>
      <c r="BC143" t="n">
        <v>0.783953189912983</v>
      </c>
      <c r="BD143" t="n">
        <v>2.178429547356968</v>
      </c>
      <c r="BE143" t="n">
        <v>4.126172970805124</v>
      </c>
      <c r="BF143" t="n">
        <v>6.729837738227883</v>
      </c>
      <c r="BG143" t="n">
        <v>10.19832384518214</v>
      </c>
      <c r="BH143" t="n">
        <v>14.91427898534003</v>
      </c>
      <c r="BI143" t="n">
        <v>21.63223926287979</v>
      </c>
      <c r="BJ143" t="n">
        <v>32.12031479581752</v>
      </c>
      <c r="BK143" t="n">
        <v>52.31333071756056</v>
      </c>
      <c r="BL143" t="n">
        <v>233.5639664805263</v>
      </c>
      <c r="BM143" t="inlineStr"/>
      <c r="BN143" t="n">
        <v>10</v>
      </c>
      <c r="BO143" t="n">
        <v>169</v>
      </c>
      <c r="BP143" t="n">
        <v>393</v>
      </c>
      <c r="BQ143" t="n">
        <v>538</v>
      </c>
      <c r="BR143" t="n">
        <v>1190</v>
      </c>
      <c r="BS14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4">
      <c r="A144" t="inlineStr">
        <is>
          <t>FRAG</t>
        </is>
      </c>
      <c r="B144" t="inlineStr">
        <is>
          <t>Fragmentación Desmonte 2025.xlsx</t>
        </is>
      </c>
      <c r="C144" t="inlineStr">
        <is>
          <t>ANÁLISIS DE FRAGMENTACIÓN</t>
        </is>
      </c>
      <c r="D144" t="n">
        <v>148</v>
      </c>
      <c r="E144" t="inlineStr">
        <is>
          <t>ROM (fragmentación post-voladura en el frente de carguío, por análisis de fotos)</t>
        </is>
      </c>
      <c r="F144" t="inlineStr"/>
      <c r="G144" t="inlineStr">
        <is>
          <t>no indicada en el archivo</t>
        </is>
      </c>
      <c r="H144" t="inlineStr">
        <is>
          <t>2025-03-22</t>
        </is>
      </c>
      <c r="I144" t="inlineStr">
        <is>
          <t>2025-03-29</t>
        </is>
      </c>
      <c r="J144" t="inlineStr">
        <is>
          <t>PALA 11</t>
        </is>
      </c>
      <c r="K144" t="n">
        <v>10</v>
      </c>
      <c r="L144" t="inlineStr">
        <is>
          <t>10-NP-4418-17</t>
        </is>
      </c>
      <c r="M144" t="n">
        <v>9</v>
      </c>
      <c r="N144" t="n">
        <v>4418</v>
      </c>
      <c r="O144" t="inlineStr">
        <is>
          <t>A</t>
        </is>
      </c>
      <c r="P144" t="n">
        <v>30</v>
      </c>
      <c r="Q144" t="inlineStr">
        <is>
          <t>Desmonte</t>
        </is>
      </c>
      <c r="R144" t="inlineStr">
        <is>
          <t>Producción</t>
        </is>
      </c>
      <c r="S144" t="n">
        <v>3</v>
      </c>
      <c r="T144" t="n">
        <v>18.9</v>
      </c>
      <c r="U144" t="n">
        <v>2</v>
      </c>
      <c r="V144" t="n">
        <v>0.9118814802409512</v>
      </c>
      <c r="W144" t="n">
        <v>0.08500000000000001</v>
      </c>
      <c r="X144" t="n">
        <v>0.12</v>
      </c>
      <c r="Y144" t="n">
        <v>1.3</v>
      </c>
      <c r="Z144" t="n">
        <v>4.9</v>
      </c>
      <c r="AA144" t="n">
        <v>9.199999999999999</v>
      </c>
      <c r="AB144" t="n">
        <v>13.9</v>
      </c>
      <c r="AC144" t="n">
        <v>19</v>
      </c>
      <c r="AD144" t="n">
        <v>24.6</v>
      </c>
      <c r="AE144" t="n">
        <v>31</v>
      </c>
      <c r="AF144" t="n">
        <v>38.8</v>
      </c>
      <c r="AG144" t="n">
        <v>49.7</v>
      </c>
      <c r="AH144" t="n">
        <v>84.90000000000001</v>
      </c>
      <c r="AI144" t="inlineStr"/>
      <c r="AJ144" t="n">
        <v>1350318.75</v>
      </c>
      <c r="AK144" t="n">
        <v>333101.93</v>
      </c>
      <c r="AL144" t="n">
        <v>0.2466839255546144</v>
      </c>
      <c r="AM144" t="inlineStr">
        <is>
          <t>0.7622533299637585</t>
        </is>
      </c>
      <c r="AN144" t="inlineStr">
        <is>
          <t>17</t>
        </is>
      </c>
      <c r="AO144" t="inlineStr">
        <is>
          <t>7</t>
        </is>
      </c>
      <c r="AP144" t="inlineStr">
        <is>
          <t>12 1/4</t>
        </is>
      </c>
      <c r="AQ144" t="inlineStr">
        <is>
          <t>9</t>
        </is>
      </c>
      <c r="AR144" t="inlineStr">
        <is>
          <t>10.35</t>
        </is>
      </c>
      <c r="AS144" t="inlineStr">
        <is>
          <t>2</t>
        </is>
      </c>
      <c r="AT144" t="n">
        <v>765</v>
      </c>
      <c r="AU144" t="inlineStr">
        <is>
          <t>Vertex 70</t>
        </is>
      </c>
      <c r="AV144" t="inlineStr">
        <is>
          <t>51D2/49AR</t>
        </is>
      </c>
      <c r="AW144" t="n">
        <v>0.6467404141449838</v>
      </c>
      <c r="AX144" t="n">
        <v>0.6772264440613727</v>
      </c>
      <c r="AY144" t="n">
        <v>0.707381164455861</v>
      </c>
      <c r="AZ144" t="n">
        <v>0.7369658850649968</v>
      </c>
      <c r="BA144" t="n">
        <v>0.7539096999454253</v>
      </c>
      <c r="BB144" t="n">
        <v>7.440944881889763</v>
      </c>
      <c r="BC144" t="n">
        <v>1.602128694211987</v>
      </c>
      <c r="BD144" t="n">
        <v>3.648357701362544</v>
      </c>
      <c r="BE144" t="n">
        <v>6.101952630623382</v>
      </c>
      <c r="BF144" t="n">
        <v>9.047816311767038</v>
      </c>
      <c r="BG144" t="n">
        <v>12.64461567787806</v>
      </c>
      <c r="BH144" t="n">
        <v>17.17221166840515</v>
      </c>
      <c r="BI144" t="n">
        <v>23.16694525590226</v>
      </c>
      <c r="BJ144" t="n">
        <v>31.84987525231272</v>
      </c>
      <c r="BK144" t="n">
        <v>47.17150692672992</v>
      </c>
      <c r="BL144" t="n">
        <v>157.3645909865895</v>
      </c>
      <c r="BM144" t="inlineStr"/>
      <c r="BN144" t="n">
        <v>13</v>
      </c>
      <c r="BO144" t="n">
        <v>190</v>
      </c>
      <c r="BP144" t="n">
        <v>388</v>
      </c>
      <c r="BQ144" t="n">
        <v>497</v>
      </c>
      <c r="BR144" t="n">
        <v>849</v>
      </c>
      <c r="BS14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5">
      <c r="A145" t="inlineStr">
        <is>
          <t>FRAG</t>
        </is>
      </c>
      <c r="B145" t="inlineStr">
        <is>
          <t>Fragmentación Desmonte 2025.xlsx</t>
        </is>
      </c>
      <c r="C145" t="inlineStr">
        <is>
          <t>ANÁLISIS DE FRAGMENTACIÓN</t>
        </is>
      </c>
      <c r="D145" t="n">
        <v>149</v>
      </c>
      <c r="E145" t="inlineStr">
        <is>
          <t>ROM (fragmentación post-voladura en el frente de carguío, por análisis de fotos)</t>
        </is>
      </c>
      <c r="F145" t="inlineStr"/>
      <c r="G145" t="inlineStr">
        <is>
          <t>no indicada en el archivo</t>
        </is>
      </c>
      <c r="H145" t="inlineStr">
        <is>
          <t>2025-03-12</t>
        </is>
      </c>
      <c r="I145" t="inlineStr">
        <is>
          <t>2025-03-30</t>
        </is>
      </c>
      <c r="J145" t="inlineStr">
        <is>
          <t>PALA 09</t>
        </is>
      </c>
      <c r="K145" t="n">
        <v>9</v>
      </c>
      <c r="L145" t="inlineStr">
        <is>
          <t>9-NP-3968-19</t>
        </is>
      </c>
      <c r="M145" t="n">
        <v>1</v>
      </c>
      <c r="N145" t="n">
        <v>3968</v>
      </c>
      <c r="O145" t="inlineStr">
        <is>
          <t>C</t>
        </is>
      </c>
      <c r="P145" t="n">
        <v>30</v>
      </c>
      <c r="Q145" t="inlineStr">
        <is>
          <t>Desmonte</t>
        </is>
      </c>
      <c r="R145" t="inlineStr">
        <is>
          <t>Producción</t>
        </is>
      </c>
      <c r="S145" t="n">
        <v>6</v>
      </c>
      <c r="T145" t="n">
        <v>13.2</v>
      </c>
      <c r="U145" t="n">
        <v>3</v>
      </c>
      <c r="V145" t="n">
        <v>1.063845388273215</v>
      </c>
      <c r="W145" t="n">
        <v>0.091</v>
      </c>
      <c r="X145" t="n">
        <v>0.138</v>
      </c>
      <c r="Y145" t="n">
        <v>1.1</v>
      </c>
      <c r="Z145" t="n">
        <v>3.5</v>
      </c>
      <c r="AA145" t="n">
        <v>6.4</v>
      </c>
      <c r="AB145" t="n">
        <v>9.6</v>
      </c>
      <c r="AC145" t="n">
        <v>13.3</v>
      </c>
      <c r="AD145" t="n">
        <v>17.6</v>
      </c>
      <c r="AE145" t="n">
        <v>22.9</v>
      </c>
      <c r="AF145" t="n">
        <v>29.9</v>
      </c>
      <c r="AG145" t="n">
        <v>41.1</v>
      </c>
      <c r="AH145" t="n">
        <v>103.1</v>
      </c>
      <c r="AI145" t="n">
        <v>12169.84931506851</v>
      </c>
      <c r="AJ145" t="n">
        <v>249438.75</v>
      </c>
      <c r="AK145" t="n">
        <v>90510</v>
      </c>
      <c r="AL145" t="n">
        <v>0.3628546085962987</v>
      </c>
      <c r="AM145" t="inlineStr">
        <is>
          <t>-</t>
        </is>
      </c>
      <c r="AN145" t="inlineStr">
        <is>
          <t>17</t>
        </is>
      </c>
      <c r="AO145" t="inlineStr">
        <is>
          <t>5</t>
        </is>
      </c>
      <c r="AP145" t="inlineStr">
        <is>
          <t>12 1/4</t>
        </is>
      </c>
      <c r="AQ145" t="inlineStr">
        <is>
          <t>6.5</t>
        </is>
      </c>
      <c r="AR145" t="inlineStr">
        <is>
          <t>7.5</t>
        </is>
      </c>
      <c r="AS145" t="inlineStr">
        <is>
          <t>2</t>
        </is>
      </c>
      <c r="AT145" t="n">
        <v>209</v>
      </c>
      <c r="AU145" t="inlineStr">
        <is>
          <t>Emulgex 70</t>
        </is>
      </c>
      <c r="AV145" t="inlineStr">
        <is>
          <t>58D2/42AR</t>
        </is>
      </c>
      <c r="AW145" t="n">
        <v>0.641111920104606</v>
      </c>
      <c r="AX145" t="n">
        <v>0.6761928452014248</v>
      </c>
      <c r="AY145" t="n">
        <v>0.7108456870184966</v>
      </c>
      <c r="AZ145" t="n">
        <v>0.7447071682259011</v>
      </c>
      <c r="BA145" t="n">
        <v>0.7639988336524752</v>
      </c>
      <c r="BB145" t="n">
        <v>5.196850393700787</v>
      </c>
      <c r="BC145" t="n">
        <v>1.591859075283289</v>
      </c>
      <c r="BD145" t="n">
        <v>3.222939781037541</v>
      </c>
      <c r="BE145" t="n">
        <v>5.008599993705722</v>
      </c>
      <c r="BF145" t="n">
        <v>7.020277286078795</v>
      </c>
      <c r="BG145" t="n">
        <v>9.353024216148622</v>
      </c>
      <c r="BH145" t="n">
        <v>12.15866102262996</v>
      </c>
      <c r="BI145" t="n">
        <v>15.71637911197316</v>
      </c>
      <c r="BJ145" t="n">
        <v>20.64642467484715</v>
      </c>
      <c r="BK145" t="n">
        <v>28.91023923306877</v>
      </c>
      <c r="BL145" t="n">
        <v>81.19683253403929</v>
      </c>
      <c r="BM145" t="inlineStr"/>
      <c r="BN145" t="n">
        <v>11</v>
      </c>
      <c r="BO145" t="n">
        <v>133</v>
      </c>
      <c r="BP145" t="n">
        <v>299</v>
      </c>
      <c r="BQ145" t="n">
        <v>411</v>
      </c>
      <c r="BR145" t="n">
        <v>1031</v>
      </c>
      <c r="BS14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6">
      <c r="A146" t="inlineStr">
        <is>
          <t>FRAG</t>
        </is>
      </c>
      <c r="B146" t="inlineStr">
        <is>
          <t>Fragmentación Desmonte 2025.xlsx</t>
        </is>
      </c>
      <c r="C146" t="inlineStr">
        <is>
          <t>ANÁLISIS DE FRAGMENTACIÓN</t>
        </is>
      </c>
      <c r="D146" t="n">
        <v>150</v>
      </c>
      <c r="E146" t="inlineStr">
        <is>
          <t>ROM (fragmentación post-voladura en el frente de carguío, por análisis de fotos)</t>
        </is>
      </c>
      <c r="F146" t="inlineStr"/>
      <c r="G146" t="inlineStr">
        <is>
          <t>no indicada en el archivo</t>
        </is>
      </c>
      <c r="H146" t="inlineStr">
        <is>
          <t>2025-03-17</t>
        </is>
      </c>
      <c r="I146" t="inlineStr">
        <is>
          <t>2025-03-30</t>
        </is>
      </c>
      <c r="J146" t="inlineStr">
        <is>
          <t>PALA 05</t>
        </is>
      </c>
      <c r="K146" t="n">
        <v>9</v>
      </c>
      <c r="L146" t="inlineStr">
        <is>
          <t>9-NP-3938-10</t>
        </is>
      </c>
      <c r="M146" t="n">
        <v>2</v>
      </c>
      <c r="N146" t="n">
        <v>3938</v>
      </c>
      <c r="O146" t="inlineStr">
        <is>
          <t>A</t>
        </is>
      </c>
      <c r="P146" t="n">
        <v>30</v>
      </c>
      <c r="Q146" t="inlineStr">
        <is>
          <t>Desmonte</t>
        </is>
      </c>
      <c r="R146" t="inlineStr">
        <is>
          <t>Producción</t>
        </is>
      </c>
      <c r="S146" t="n">
        <v>8</v>
      </c>
      <c r="T146" t="n">
        <v>11.2</v>
      </c>
      <c r="U146" t="n">
        <v>3</v>
      </c>
      <c r="V146" t="n">
        <v>0.9413725628423276</v>
      </c>
      <c r="W146" t="n">
        <v>0.117</v>
      </c>
      <c r="X146" t="n">
        <v>0.175</v>
      </c>
      <c r="Y146" t="n">
        <v>0.7</v>
      </c>
      <c r="Z146" t="n">
        <v>2.5</v>
      </c>
      <c r="AA146" t="n">
        <v>4.8</v>
      </c>
      <c r="AB146" t="n">
        <v>7.8</v>
      </c>
      <c r="AC146" t="n">
        <v>11.3</v>
      </c>
      <c r="AD146" t="n">
        <v>15.6</v>
      </c>
      <c r="AE146" t="n">
        <v>21.2</v>
      </c>
      <c r="AF146" t="n">
        <v>29.1</v>
      </c>
      <c r="AG146" t="n">
        <v>42.3</v>
      </c>
      <c r="AH146" t="n">
        <v>132.3</v>
      </c>
      <c r="AI146" t="n">
        <v>9980.98842087599</v>
      </c>
      <c r="AJ146" t="n">
        <v>709170</v>
      </c>
      <c r="AK146" t="n">
        <v>184018</v>
      </c>
      <c r="AL146" t="n">
        <v>0.2594836216986054</v>
      </c>
      <c r="AM146" t="inlineStr">
        <is>
          <t>0.8018043910486907</t>
        </is>
      </c>
      <c r="AN146" t="inlineStr">
        <is>
          <t>16.5</t>
        </is>
      </c>
      <c r="AO146" t="inlineStr">
        <is>
          <t>6.5</t>
        </is>
      </c>
      <c r="AP146" t="inlineStr">
        <is>
          <t>12 1/4</t>
        </is>
      </c>
      <c r="AQ146" t="inlineStr">
        <is>
          <t>6</t>
        </is>
      </c>
      <c r="AR146" t="inlineStr">
        <is>
          <t>7</t>
        </is>
      </c>
      <c r="AS146" t="inlineStr">
        <is>
          <t>1.5</t>
        </is>
      </c>
      <c r="AT146" t="n">
        <v>192</v>
      </c>
      <c r="AU146" t="inlineStr">
        <is>
          <t>Vertex 70</t>
        </is>
      </c>
      <c r="AV146" t="inlineStr">
        <is>
          <t>46D2/54AR</t>
        </is>
      </c>
      <c r="AW146" t="n">
        <v>0.6513888041923874</v>
      </c>
      <c r="AX146" t="n">
        <v>0.6956875975625946</v>
      </c>
      <c r="AY146" t="n">
        <v>0.7389724908282443</v>
      </c>
      <c r="AZ146" t="n">
        <v>0.7804873400471253</v>
      </c>
      <c r="BA146" t="n">
        <v>0.8036485154874785</v>
      </c>
      <c r="BB146" t="n">
        <v>4.409448818897637</v>
      </c>
      <c r="BC146" t="n">
        <v>1.025721792490683</v>
      </c>
      <c r="BD146" t="n">
        <v>2.276318658461006</v>
      </c>
      <c r="BE146" t="n">
        <v>3.746336249845219</v>
      </c>
      <c r="BF146" t="n">
        <v>5.486840112257856</v>
      </c>
      <c r="BG146" t="n">
        <v>7.588052100076387</v>
      </c>
      <c r="BH146" t="n">
        <v>10.20673408369939</v>
      </c>
      <c r="BI146" t="n">
        <v>13.64128868055166</v>
      </c>
      <c r="BJ146" t="n">
        <v>18.56793672510976</v>
      </c>
      <c r="BK146" t="n">
        <v>27.16389387081392</v>
      </c>
      <c r="BL146" t="n">
        <v>87.26252188426247</v>
      </c>
      <c r="BM146" t="inlineStr"/>
      <c r="BN146" t="n">
        <v>7</v>
      </c>
      <c r="BO146" t="n">
        <v>113</v>
      </c>
      <c r="BP146" t="n">
        <v>291</v>
      </c>
      <c r="BQ146" t="n">
        <v>423</v>
      </c>
      <c r="BR146" t="n">
        <v>1323</v>
      </c>
      <c r="BS14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7">
      <c r="A147" t="inlineStr">
        <is>
          <t>FRAG</t>
        </is>
      </c>
      <c r="B147" t="inlineStr">
        <is>
          <t>Fragmentación Desmonte 2025.xlsx</t>
        </is>
      </c>
      <c r="C147" t="inlineStr">
        <is>
          <t>ANÁLISIS DE FRAGMENTACIÓN</t>
        </is>
      </c>
      <c r="D147" t="n">
        <v>151</v>
      </c>
      <c r="E147" t="inlineStr">
        <is>
          <t>ROM (fragmentación post-voladura en el frente de carguío, por análisis de fotos)</t>
        </is>
      </c>
      <c r="F147" t="inlineStr"/>
      <c r="G147" t="inlineStr">
        <is>
          <t>no indicada en el archivo</t>
        </is>
      </c>
      <c r="H147" t="inlineStr">
        <is>
          <t>2025-03-29</t>
        </is>
      </c>
      <c r="I147" t="inlineStr">
        <is>
          <t>2025-03-31</t>
        </is>
      </c>
      <c r="J147" t="inlineStr">
        <is>
          <t>PALA 11</t>
        </is>
      </c>
      <c r="K147" t="n">
        <v>10</v>
      </c>
      <c r="L147" t="inlineStr">
        <is>
          <t>10-NP-4418-16</t>
        </is>
      </c>
      <c r="M147" t="n">
        <v>4</v>
      </c>
      <c r="N147" t="n">
        <v>4418</v>
      </c>
      <c r="O147" t="inlineStr">
        <is>
          <t>A</t>
        </is>
      </c>
      <c r="P147" t="n">
        <v>30</v>
      </c>
      <c r="Q147" t="inlineStr">
        <is>
          <t>Desmonte</t>
        </is>
      </c>
      <c r="R147" t="inlineStr">
        <is>
          <t>Producción</t>
        </is>
      </c>
      <c r="S147" t="n">
        <v>6</v>
      </c>
      <c r="T147" t="n">
        <v>20.6</v>
      </c>
      <c r="U147" t="n">
        <v>3</v>
      </c>
      <c r="V147" t="n">
        <v>1.081902578393076</v>
      </c>
      <c r="W147" t="n">
        <v>0.076</v>
      </c>
      <c r="X147" t="n">
        <v>0.111</v>
      </c>
      <c r="Y147" t="n">
        <v>1.6</v>
      </c>
      <c r="Z147" t="n">
        <v>5.2</v>
      </c>
      <c r="AA147" t="n">
        <v>9.699999999999999</v>
      </c>
      <c r="AB147" t="n">
        <v>14.8</v>
      </c>
      <c r="AC147" t="n">
        <v>20.7</v>
      </c>
      <c r="AD147" t="n">
        <v>27.5</v>
      </c>
      <c r="AE147" t="n">
        <v>35.8</v>
      </c>
      <c r="AF147" t="n">
        <v>46.8</v>
      </c>
      <c r="AG147" t="n">
        <v>64</v>
      </c>
      <c r="AH147" t="n">
        <v>153</v>
      </c>
      <c r="AI147" t="inlineStr"/>
      <c r="AJ147" t="n">
        <v>1576245</v>
      </c>
      <c r="AK147" t="n">
        <v>524318.5</v>
      </c>
      <c r="AL147" t="n">
        <v>0.3326376927444655</v>
      </c>
      <c r="AM147" t="inlineStr">
        <is>
          <t>1.0278504705803984</t>
        </is>
      </c>
      <c r="AN147" t="inlineStr">
        <is>
          <t>17</t>
        </is>
      </c>
      <c r="AO147" t="inlineStr">
        <is>
          <t>7</t>
        </is>
      </c>
      <c r="AP147" t="inlineStr">
        <is>
          <t>12 1/4</t>
        </is>
      </c>
      <c r="AQ147" t="inlineStr">
        <is>
          <t>9</t>
        </is>
      </c>
      <c r="AR147" t="inlineStr">
        <is>
          <t>10.35</t>
        </is>
      </c>
      <c r="AS147" t="inlineStr">
        <is>
          <t>2</t>
        </is>
      </c>
      <c r="AT147" t="n">
        <v>558</v>
      </c>
      <c r="AU147" t="inlineStr">
        <is>
          <t>Vertex 70</t>
        </is>
      </c>
      <c r="AV147" t="inlineStr">
        <is>
          <t>34D2/66AR</t>
        </is>
      </c>
      <c r="AW147" t="n">
        <v>0.6386658281556834</v>
      </c>
      <c r="AX147" t="n">
        <v>0.6669172659595664</v>
      </c>
      <c r="AY147" t="n">
        <v>0.6949524916878925</v>
      </c>
      <c r="AZ147" t="n">
        <v>0.7225856214822211</v>
      </c>
      <c r="BA147" t="n">
        <v>0.7384868542634786</v>
      </c>
      <c r="BB147" t="n">
        <v>8.110236220472441</v>
      </c>
      <c r="BC147" t="n">
        <v>2.573538669052022</v>
      </c>
      <c r="BD147" t="n">
        <v>5.149502385226093</v>
      </c>
      <c r="BE147" t="n">
        <v>7.943901356805489</v>
      </c>
      <c r="BF147" t="n">
        <v>11.07195574923119</v>
      </c>
      <c r="BG147" t="n">
        <v>14.6805582184713</v>
      </c>
      <c r="BH147" t="n">
        <v>19.00092236088089</v>
      </c>
      <c r="BI147" t="n">
        <v>24.45575217291418</v>
      </c>
      <c r="BJ147" t="n">
        <v>31.98127111889958</v>
      </c>
      <c r="BK147" t="n">
        <v>44.53098756838027</v>
      </c>
      <c r="BL147" t="n">
        <v>122.9318384046894</v>
      </c>
      <c r="BM147" t="inlineStr"/>
      <c r="BN147" t="n">
        <v>16</v>
      </c>
      <c r="BO147" t="n">
        <v>207</v>
      </c>
      <c r="BP147" t="n">
        <v>468</v>
      </c>
      <c r="BQ147" t="n">
        <v>640</v>
      </c>
      <c r="BR147" t="n">
        <v>1530</v>
      </c>
      <c r="BS14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8">
      <c r="A148" t="inlineStr">
        <is>
          <t>FRAG</t>
        </is>
      </c>
      <c r="B148" t="inlineStr">
        <is>
          <t>Fragmentación Desmonte 2025.xlsx</t>
        </is>
      </c>
      <c r="C148" t="inlineStr">
        <is>
          <t>ANÁLISIS DE FRAGMENTACIÓN</t>
        </is>
      </c>
      <c r="D148" t="n">
        <v>152</v>
      </c>
      <c r="E148" t="inlineStr">
        <is>
          <t>ROM (fragmentación post-voladura en el frente de carguío, por análisis de fotos)</t>
        </is>
      </c>
      <c r="F148" t="inlineStr"/>
      <c r="G148" t="inlineStr">
        <is>
          <t>no indicada en el archivo</t>
        </is>
      </c>
      <c r="H148" t="inlineStr">
        <is>
          <t>2025-03-29</t>
        </is>
      </c>
      <c r="I148" t="inlineStr">
        <is>
          <t>2025-04-01</t>
        </is>
      </c>
      <c r="J148" t="inlineStr">
        <is>
          <t>PALA 11</t>
        </is>
      </c>
      <c r="K148" t="n">
        <v>10</v>
      </c>
      <c r="L148" t="inlineStr">
        <is>
          <t>10-NP-4418-16</t>
        </is>
      </c>
      <c r="M148" t="n">
        <v>4</v>
      </c>
      <c r="N148" t="n">
        <v>4418</v>
      </c>
      <c r="O148" t="inlineStr">
        <is>
          <t>A</t>
        </is>
      </c>
      <c r="P148" t="n">
        <v>30</v>
      </c>
      <c r="Q148" t="inlineStr">
        <is>
          <t>Desmonte</t>
        </is>
      </c>
      <c r="R148" t="inlineStr">
        <is>
          <t>Producción</t>
        </is>
      </c>
      <c r="S148" t="n">
        <v>5</v>
      </c>
      <c r="T148" t="n">
        <v>17.8</v>
      </c>
      <c r="U148" t="n">
        <v>2</v>
      </c>
      <c r="V148" t="n">
        <v>0.6907865862009634</v>
      </c>
      <c r="W148" t="n">
        <v>0.117</v>
      </c>
      <c r="X148" t="n">
        <v>0.161</v>
      </c>
      <c r="Y148" t="n">
        <v>0.6</v>
      </c>
      <c r="Z148" t="n">
        <v>3.1</v>
      </c>
      <c r="AA148" t="n">
        <v>6.9</v>
      </c>
      <c r="AB148" t="n">
        <v>11.9</v>
      </c>
      <c r="AC148" t="n">
        <v>17.9</v>
      </c>
      <c r="AD148" t="n">
        <v>25.2</v>
      </c>
      <c r="AE148" t="n">
        <v>34.4</v>
      </c>
      <c r="AF148" t="n">
        <v>46.9</v>
      </c>
      <c r="AG148" t="n">
        <v>66.2</v>
      </c>
      <c r="AH148" t="n">
        <v>150.1</v>
      </c>
      <c r="AI148" t="inlineStr"/>
      <c r="AJ148" t="n">
        <v>1576245</v>
      </c>
      <c r="AK148" t="n">
        <v>524318.5</v>
      </c>
      <c r="AL148" t="n">
        <v>0.3326376927444655</v>
      </c>
      <c r="AM148" t="inlineStr">
        <is>
          <t>1.0278504705803984</t>
        </is>
      </c>
      <c r="AN148" t="inlineStr">
        <is>
          <t>17</t>
        </is>
      </c>
      <c r="AO148" t="inlineStr">
        <is>
          <t>7</t>
        </is>
      </c>
      <c r="AP148" t="inlineStr">
        <is>
          <t>12 1/4</t>
        </is>
      </c>
      <c r="AQ148" t="inlineStr">
        <is>
          <t>9</t>
        </is>
      </c>
      <c r="AR148" t="inlineStr">
        <is>
          <t>10.35</t>
        </is>
      </c>
      <c r="AS148" t="inlineStr">
        <is>
          <t>2</t>
        </is>
      </c>
      <c r="AT148" t="n">
        <v>558</v>
      </c>
      <c r="AU148" t="inlineStr">
        <is>
          <t>Vertex 70</t>
        </is>
      </c>
      <c r="AV148" t="inlineStr">
        <is>
          <t>34D2/66AR</t>
        </is>
      </c>
      <c r="AW148" t="n">
        <v>0.6681281566854587</v>
      </c>
      <c r="AX148" t="n">
        <v>0.7086498223830479</v>
      </c>
      <c r="AY148" t="n">
        <v>0.7481261012568848</v>
      </c>
      <c r="AZ148" t="n">
        <v>0.7859645349325726</v>
      </c>
      <c r="BA148" t="n">
        <v>0.8071046234292988</v>
      </c>
      <c r="BB148" t="n">
        <v>7.007874015748032</v>
      </c>
      <c r="BC148" t="n">
        <v>0.6848949796065287</v>
      </c>
      <c r="BD148" t="n">
        <v>2.029618178565232</v>
      </c>
      <c r="BE148" t="n">
        <v>4.002013811433085</v>
      </c>
      <c r="BF148" t="n">
        <v>6.731443473563712</v>
      </c>
      <c r="BG148" t="n">
        <v>10.47116359156084</v>
      </c>
      <c r="BH148" t="n">
        <v>15.68405820938606</v>
      </c>
      <c r="BI148" t="n">
        <v>23.28749246607152</v>
      </c>
      <c r="BJ148" t="n">
        <v>35.44922959584167</v>
      </c>
      <c r="BK148" t="n">
        <v>59.53502281560177</v>
      </c>
      <c r="BL148" t="n">
        <v>292.0553914141431</v>
      </c>
      <c r="BM148" t="inlineStr"/>
      <c r="BN148" t="n">
        <v>6</v>
      </c>
      <c r="BO148" t="n">
        <v>179</v>
      </c>
      <c r="BP148" t="n">
        <v>469</v>
      </c>
      <c r="BQ148" t="n">
        <v>662</v>
      </c>
      <c r="BR148" t="n">
        <v>1501</v>
      </c>
      <c r="BS14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49">
      <c r="A149" t="inlineStr">
        <is>
          <t>FRAG</t>
        </is>
      </c>
      <c r="B149" t="inlineStr">
        <is>
          <t>Fragmentación Desmonte 2025.xlsx</t>
        </is>
      </c>
      <c r="C149" t="inlineStr">
        <is>
          <t>ANÁLISIS DE FRAGMENTACIÓN</t>
        </is>
      </c>
      <c r="D149" t="n">
        <v>153</v>
      </c>
      <c r="E149" t="inlineStr">
        <is>
          <t>ROM (fragmentación post-voladura en el frente de carguío, por análisis de fotos)</t>
        </is>
      </c>
      <c r="F149" t="inlineStr"/>
      <c r="G149" t="inlineStr">
        <is>
          <t>no indicada en el archivo</t>
        </is>
      </c>
      <c r="H149" t="inlineStr">
        <is>
          <t>2025-03-29</t>
        </is>
      </c>
      <c r="I149" t="inlineStr">
        <is>
          <t>2025-04-03</t>
        </is>
      </c>
      <c r="J149" t="inlineStr">
        <is>
          <t>PALA 05</t>
        </is>
      </c>
      <c r="K149" t="n">
        <v>9</v>
      </c>
      <c r="L149" t="inlineStr">
        <is>
          <t>9-NP-3938-13</t>
        </is>
      </c>
      <c r="M149" t="n">
        <v>5</v>
      </c>
      <c r="N149" t="n">
        <v>3938</v>
      </c>
      <c r="O149" t="inlineStr">
        <is>
          <t>A</t>
        </is>
      </c>
      <c r="P149" t="n">
        <v>30</v>
      </c>
      <c r="Q149" t="inlineStr">
        <is>
          <t>Desmonte</t>
        </is>
      </c>
      <c r="R149" t="inlineStr">
        <is>
          <t>Producción</t>
        </is>
      </c>
      <c r="S149" t="n">
        <v>5</v>
      </c>
      <c r="T149" t="n">
        <v>7.6</v>
      </c>
      <c r="U149" t="n">
        <v>3</v>
      </c>
      <c r="V149" t="n">
        <v>1.06268798591381</v>
      </c>
      <c r="W149" t="n">
        <v>0.143</v>
      </c>
      <c r="X149" t="n">
        <v>0.215</v>
      </c>
      <c r="Y149" t="n">
        <v>0.5</v>
      </c>
      <c r="Z149" t="n">
        <v>1.7</v>
      </c>
      <c r="AA149" t="n">
        <v>3.4</v>
      </c>
      <c r="AB149" t="n">
        <v>5.3</v>
      </c>
      <c r="AC149" t="n">
        <v>7.6</v>
      </c>
      <c r="AD149" t="n">
        <v>10.3</v>
      </c>
      <c r="AE149" t="n">
        <v>13.7</v>
      </c>
      <c r="AF149" t="n">
        <v>18.1</v>
      </c>
      <c r="AG149" t="n">
        <v>25.1</v>
      </c>
      <c r="AH149" t="n">
        <v>59.1</v>
      </c>
      <c r="AI149" t="n">
        <v>11499.36097067746</v>
      </c>
      <c r="AJ149" t="n">
        <v>519420</v>
      </c>
      <c r="AK149" t="n">
        <v>289995.9</v>
      </c>
      <c r="AL149" t="n">
        <v>0.558307150283008</v>
      </c>
      <c r="AM149" t="inlineStr">
        <is>
          <t>1.7251690943744946</t>
        </is>
      </c>
      <c r="AN149" t="inlineStr">
        <is>
          <t>16.5</t>
        </is>
      </c>
      <c r="AO149" t="inlineStr">
        <is>
          <t>6.5</t>
        </is>
      </c>
      <c r="AP149" t="inlineStr">
        <is>
          <t>12 1/4</t>
        </is>
      </c>
      <c r="AQ149" t="inlineStr">
        <is>
          <t>6</t>
        </is>
      </c>
      <c r="AR149" t="inlineStr">
        <is>
          <t>7</t>
        </is>
      </c>
      <c r="AS149" t="inlineStr">
        <is>
          <t>1.5</t>
        </is>
      </c>
      <c r="AT149" t="n">
        <v>305</v>
      </c>
      <c r="AU149" t="inlineStr">
        <is>
          <t>Vertex 70</t>
        </is>
      </c>
      <c r="AV149" t="inlineStr">
        <is>
          <t>34D2/66AR</t>
        </is>
      </c>
      <c r="AW149" t="n">
        <v>0.6462128576356361</v>
      </c>
      <c r="AX149" t="n">
        <v>0.7006197645188011</v>
      </c>
      <c r="AY149" t="n">
        <v>0.753367598535792</v>
      </c>
      <c r="AZ149" t="n">
        <v>0.8030526198430111</v>
      </c>
      <c r="BA149" t="n">
        <v>0.8301465935783785</v>
      </c>
      <c r="BB149" t="n">
        <v>2.992125984251969</v>
      </c>
      <c r="BC149" t="n">
        <v>0.9144158200912484</v>
      </c>
      <c r="BD149" t="n">
        <v>1.852784700525697</v>
      </c>
      <c r="BE149" t="n">
        <v>2.880697410810482</v>
      </c>
      <c r="BF149" t="n">
        <v>4.039199158110257</v>
      </c>
      <c r="BG149" t="n">
        <v>5.383054324299609</v>
      </c>
      <c r="BH149" t="n">
        <v>6.999814689668628</v>
      </c>
      <c r="BI149" t="n">
        <v>9.050544121906411</v>
      </c>
      <c r="BJ149" t="n">
        <v>11.89312827045616</v>
      </c>
      <c r="BK149" t="n">
        <v>16.65950795224299</v>
      </c>
      <c r="BL149" t="n">
        <v>46.84228070905988</v>
      </c>
      <c r="BM149" t="inlineStr"/>
      <c r="BN149" t="n">
        <v>5</v>
      </c>
      <c r="BO149" t="n">
        <v>76</v>
      </c>
      <c r="BP149" t="n">
        <v>181</v>
      </c>
      <c r="BQ149" t="n">
        <v>251</v>
      </c>
      <c r="BR149" t="n">
        <v>591</v>
      </c>
      <c r="BS14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0">
      <c r="A150" t="inlineStr">
        <is>
          <t>FRAG</t>
        </is>
      </c>
      <c r="B150" t="inlineStr">
        <is>
          <t>Fragmentación Desmonte 2025.xlsx</t>
        </is>
      </c>
      <c r="C150" t="inlineStr">
        <is>
          <t>ANÁLISIS DE FRAGMENTACIÓN</t>
        </is>
      </c>
      <c r="D150" t="n">
        <v>154</v>
      </c>
      <c r="E150" t="inlineStr">
        <is>
          <t>ROM (fragmentación post-voladura en el frente de carguío, por análisis de fotos)</t>
        </is>
      </c>
      <c r="F150" t="inlineStr"/>
      <c r="G150" t="inlineStr">
        <is>
          <t>no indicada en el archivo</t>
        </is>
      </c>
      <c r="H150" t="inlineStr">
        <is>
          <t>2025-01-29</t>
        </is>
      </c>
      <c r="I150" t="inlineStr">
        <is>
          <t>2025-04-03</t>
        </is>
      </c>
      <c r="J150" t="inlineStr">
        <is>
          <t>PALA 08</t>
        </is>
      </c>
      <c r="K150" t="n">
        <v>9</v>
      </c>
      <c r="L150" t="inlineStr">
        <is>
          <t>9-NP-3938-01</t>
        </is>
      </c>
      <c r="M150" t="n">
        <v>1</v>
      </c>
      <c r="N150" t="n">
        <v>3938</v>
      </c>
      <c r="O150" t="inlineStr">
        <is>
          <t>A</t>
        </is>
      </c>
      <c r="P150" t="n">
        <v>30</v>
      </c>
      <c r="Q150" t="inlineStr">
        <is>
          <t>Desmonte</t>
        </is>
      </c>
      <c r="R150" t="inlineStr">
        <is>
          <t>Producción</t>
        </is>
      </c>
      <c r="S150" t="n">
        <v>5</v>
      </c>
      <c r="T150" t="n">
        <v>5.9</v>
      </c>
      <c r="U150" t="n">
        <v>3</v>
      </c>
      <c r="V150" t="n">
        <v>0.900944765046937</v>
      </c>
      <c r="W150" t="n">
        <v>0.207</v>
      </c>
      <c r="X150" t="n">
        <v>0.29</v>
      </c>
      <c r="Y150" t="n">
        <v>0.2</v>
      </c>
      <c r="Z150" t="n">
        <v>0.9</v>
      </c>
      <c r="AA150" t="n">
        <v>2.1</v>
      </c>
      <c r="AB150" t="n">
        <v>3.8</v>
      </c>
      <c r="AC150" t="n">
        <v>6</v>
      </c>
      <c r="AD150" t="n">
        <v>8.9</v>
      </c>
      <c r="AE150" t="n">
        <v>12.7</v>
      </c>
      <c r="AF150" t="n">
        <v>18.4</v>
      </c>
      <c r="AG150" t="n">
        <v>28</v>
      </c>
      <c r="AH150" t="n">
        <v>84.3</v>
      </c>
      <c r="AI150" t="n">
        <v>13897.23814486713</v>
      </c>
      <c r="AJ150" t="n">
        <v>535672.5</v>
      </c>
      <c r="AK150" t="n">
        <v>309823</v>
      </c>
      <c r="AL150" t="n">
        <v>0.578381380414339</v>
      </c>
      <c r="AM150" t="inlineStr">
        <is>
          <t>1.7871984654803075</t>
        </is>
      </c>
      <c r="AN150" t="inlineStr">
        <is>
          <t>16.5</t>
        </is>
      </c>
      <c r="AO150" t="inlineStr">
        <is>
          <t>6.5</t>
        </is>
      </c>
      <c r="AP150" t="inlineStr">
        <is>
          <t>12 1/4</t>
        </is>
      </c>
      <c r="AQ150" t="inlineStr">
        <is>
          <t>6</t>
        </is>
      </c>
      <c r="AR150" t="inlineStr">
        <is>
          <t>7</t>
        </is>
      </c>
      <c r="AS150" t="inlineStr">
        <is>
          <t>1.5</t>
        </is>
      </c>
      <c r="AT150" t="n">
        <v>321</v>
      </c>
      <c r="AU150" t="inlineStr">
        <is>
          <t>Vertex 70</t>
        </is>
      </c>
      <c r="AV150" t="inlineStr">
        <is>
          <t>50/50AR</t>
        </is>
      </c>
      <c r="AW150" t="n">
        <v>0.6686865851037269</v>
      </c>
      <c r="AX150" t="n">
        <v>0.7409253600781602</v>
      </c>
      <c r="AY150" t="n">
        <v>0.8082083653064156</v>
      </c>
      <c r="AZ150" t="n">
        <v>0.8672120527352707</v>
      </c>
      <c r="BA150" t="n">
        <v>0.8967835450687145</v>
      </c>
      <c r="BB150" t="n">
        <v>2.322834645669292</v>
      </c>
      <c r="BC150" t="n">
        <v>0.4853748659094827</v>
      </c>
      <c r="BD150" t="n">
        <v>1.116389732806563</v>
      </c>
      <c r="BE150" t="n">
        <v>1.878878927926831</v>
      </c>
      <c r="BF150" t="n">
        <v>2.799306453768065</v>
      </c>
      <c r="BG150" t="n">
        <v>3.928048808867067</v>
      </c>
      <c r="BH150" t="n">
        <v>5.354402558813274</v>
      </c>
      <c r="BI150" t="n">
        <v>7.249902507512351</v>
      </c>
      <c r="BJ150" t="n">
        <v>10.00574049474886</v>
      </c>
      <c r="BK150" t="n">
        <v>14.88990240143402</v>
      </c>
      <c r="BL150" t="n">
        <v>50.40465645710213</v>
      </c>
      <c r="BM150" t="inlineStr"/>
      <c r="BN150" t="n">
        <v>2</v>
      </c>
      <c r="BO150" t="n">
        <v>60</v>
      </c>
      <c r="BP150" t="n">
        <v>184</v>
      </c>
      <c r="BQ150" t="n">
        <v>280</v>
      </c>
      <c r="BR150" t="n">
        <v>843</v>
      </c>
      <c r="BS15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1">
      <c r="A151" t="inlineStr">
        <is>
          <t>FRAG</t>
        </is>
      </c>
      <c r="B151" t="inlineStr">
        <is>
          <t>Fragmentación Desmonte 2025.xlsx</t>
        </is>
      </c>
      <c r="C151" t="inlineStr">
        <is>
          <t>ANÁLISIS DE FRAGMENTACIÓN</t>
        </is>
      </c>
      <c r="D151" t="n">
        <v>155</v>
      </c>
      <c r="E151" t="inlineStr">
        <is>
          <t>ROM (fragmentación post-voladura en el frente de carguío, por análisis de fotos)</t>
        </is>
      </c>
      <c r="F151" t="inlineStr"/>
      <c r="G151" t="inlineStr">
        <is>
          <t>no indicada en el archivo</t>
        </is>
      </c>
      <c r="H151" t="inlineStr">
        <is>
          <t>2025-03-28</t>
        </is>
      </c>
      <c r="I151" t="inlineStr">
        <is>
          <t>2025-04-03</t>
        </is>
      </c>
      <c r="J151" t="inlineStr">
        <is>
          <t>PALA 09</t>
        </is>
      </c>
      <c r="K151" t="n">
        <v>9</v>
      </c>
      <c r="L151" t="inlineStr">
        <is>
          <t>9-NP-3923-03</t>
        </is>
      </c>
      <c r="M151" t="n">
        <v>3</v>
      </c>
      <c r="N151" t="n">
        <v>3923</v>
      </c>
      <c r="O151" t="inlineStr">
        <is>
          <t>A</t>
        </is>
      </c>
      <c r="P151" t="n">
        <v>30</v>
      </c>
      <c r="Q151" t="inlineStr">
        <is>
          <t>Desmonte</t>
        </is>
      </c>
      <c r="R151" t="inlineStr">
        <is>
          <t>Producción</t>
        </is>
      </c>
      <c r="S151" t="n">
        <v>7</v>
      </c>
      <c r="T151" t="n">
        <v>10.1</v>
      </c>
      <c r="U151" t="n">
        <v>4</v>
      </c>
      <c r="V151" t="n">
        <v>1.389222234355331</v>
      </c>
      <c r="W151" t="n">
        <v>0.055</v>
      </c>
      <c r="X151" t="n">
        <v>0.102</v>
      </c>
      <c r="Y151" t="n">
        <v>1.9</v>
      </c>
      <c r="Z151" t="n">
        <v>4</v>
      </c>
      <c r="AA151" t="n">
        <v>5.9</v>
      </c>
      <c r="AB151" t="n">
        <v>8</v>
      </c>
      <c r="AC151" t="n">
        <v>10.2</v>
      </c>
      <c r="AD151" t="n">
        <v>12.6</v>
      </c>
      <c r="AE151" t="n">
        <v>15.6</v>
      </c>
      <c r="AF151" t="n">
        <v>19.6</v>
      </c>
      <c r="AG151" t="n">
        <v>26</v>
      </c>
      <c r="AH151" t="n">
        <v>84.09999999999999</v>
      </c>
      <c r="AI151" t="inlineStr"/>
      <c r="AJ151" t="n">
        <v>371580</v>
      </c>
      <c r="AK151" t="n">
        <v>229003.9</v>
      </c>
      <c r="AL151" t="n">
        <v>0.6162977017062274</v>
      </c>
      <c r="AM151" t="inlineStr">
        <is>
          <t>1.9043598982722427</t>
        </is>
      </c>
      <c r="AN151" t="inlineStr">
        <is>
          <t>16.5</t>
        </is>
      </c>
      <c r="AO151" t="inlineStr">
        <is>
          <t>6.5</t>
        </is>
      </c>
      <c r="AP151" t="inlineStr">
        <is>
          <t>12 1/4</t>
        </is>
      </c>
      <c r="AQ151" t="inlineStr">
        <is>
          <t>6</t>
        </is>
      </c>
      <c r="AR151" t="inlineStr">
        <is>
          <t>7</t>
        </is>
      </c>
      <c r="AS151" t="inlineStr">
        <is>
          <t>1.5</t>
        </is>
      </c>
      <c r="AT151" t="n">
        <v>243</v>
      </c>
      <c r="AU151" t="inlineStr">
        <is>
          <t>Vertex 70</t>
        </is>
      </c>
      <c r="AV151" t="inlineStr">
        <is>
          <t>52D2/48AR</t>
        </is>
      </c>
      <c r="AW151" t="n">
        <v>0.6287537109297037</v>
      </c>
      <c r="AX151" t="n">
        <v>0.6547486026844691</v>
      </c>
      <c r="AY151" t="n">
        <v>0.6806263252462617</v>
      </c>
      <c r="AZ151" t="n">
        <v>0.7062459069550602</v>
      </c>
      <c r="BA151" t="n">
        <v>0.7210542331307563</v>
      </c>
      <c r="BB151" t="n">
        <v>3.976377952755905</v>
      </c>
      <c r="BC151" t="n">
        <v>1.999025341445417</v>
      </c>
      <c r="BD151" t="n">
        <v>3.430951988201616</v>
      </c>
      <c r="BE151" t="n">
        <v>4.808780994437164</v>
      </c>
      <c r="BF151" t="n">
        <v>6.227705960423817</v>
      </c>
      <c r="BG151" t="n">
        <v>7.757882642139313</v>
      </c>
      <c r="BH151" t="n">
        <v>9.484007846374784</v>
      </c>
      <c r="BI151" t="n">
        <v>11.54387069617337</v>
      </c>
      <c r="BJ151" t="n">
        <v>14.22627211729718</v>
      </c>
      <c r="BK151" t="n">
        <v>18.41001284487371</v>
      </c>
      <c r="BL151" t="n">
        <v>40.59746958765045</v>
      </c>
      <c r="BM151" t="inlineStr"/>
      <c r="BN151" t="n">
        <v>19</v>
      </c>
      <c r="BO151" t="n">
        <v>102</v>
      </c>
      <c r="BP151" t="n">
        <v>196</v>
      </c>
      <c r="BQ151" t="n">
        <v>260</v>
      </c>
      <c r="BR151" t="n">
        <v>841</v>
      </c>
      <c r="BS15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2">
      <c r="A152" t="inlineStr">
        <is>
          <t>FRAG</t>
        </is>
      </c>
      <c r="B152" t="inlineStr">
        <is>
          <t>Fragmentación Desmonte 2025.xlsx</t>
        </is>
      </c>
      <c r="C152" t="inlineStr">
        <is>
          <t>ANÁLISIS DE FRAGMENTACIÓN</t>
        </is>
      </c>
      <c r="D152" t="n">
        <v>156</v>
      </c>
      <c r="E152" t="inlineStr">
        <is>
          <t>ROM (fragmentación post-voladura en el frente de carguío, por análisis de fotos)</t>
        </is>
      </c>
      <c r="F152" t="inlineStr"/>
      <c r="G152" t="inlineStr">
        <is>
          <t>no indicada en el archivo</t>
        </is>
      </c>
      <c r="H152" t="inlineStr">
        <is>
          <t>2025-03-29</t>
        </is>
      </c>
      <c r="I152" t="inlineStr">
        <is>
          <t>2025-04-04</t>
        </is>
      </c>
      <c r="J152" t="inlineStr">
        <is>
          <t>PALA 11</t>
        </is>
      </c>
      <c r="K152" t="n">
        <v>10</v>
      </c>
      <c r="L152" t="inlineStr">
        <is>
          <t>10-NP-4418-16</t>
        </is>
      </c>
      <c r="M152" t="n">
        <v>2</v>
      </c>
      <c r="N152" t="n">
        <v>4418</v>
      </c>
      <c r="O152" t="inlineStr">
        <is>
          <t>B</t>
        </is>
      </c>
      <c r="P152" t="n">
        <v>30</v>
      </c>
      <c r="Q152" t="inlineStr">
        <is>
          <t>Desmonte</t>
        </is>
      </c>
      <c r="R152" t="inlineStr">
        <is>
          <t>Producción</t>
        </is>
      </c>
      <c r="S152" t="n">
        <v>12</v>
      </c>
      <c r="T152" t="n">
        <v>15.5</v>
      </c>
      <c r="U152" t="n">
        <v>3</v>
      </c>
      <c r="V152" t="n">
        <v>1.244100909553326</v>
      </c>
      <c r="W152" t="n">
        <v>0.06</v>
      </c>
      <c r="X152" t="n">
        <v>0.096</v>
      </c>
      <c r="Y152" t="n">
        <v>2.1</v>
      </c>
      <c r="Z152" t="n">
        <v>5.2</v>
      </c>
      <c r="AA152" t="n">
        <v>8.5</v>
      </c>
      <c r="AB152" t="n">
        <v>11.9</v>
      </c>
      <c r="AC152" t="n">
        <v>15.5</v>
      </c>
      <c r="AD152" t="n">
        <v>19.5</v>
      </c>
      <c r="AE152" t="n">
        <v>24.1</v>
      </c>
      <c r="AF152" t="n">
        <v>30</v>
      </c>
      <c r="AG152" t="n">
        <v>38.8</v>
      </c>
      <c r="AH152" t="n">
        <v>82.3</v>
      </c>
      <c r="AI152" t="inlineStr"/>
      <c r="AJ152" t="n">
        <v>1576245</v>
      </c>
      <c r="AK152" t="n">
        <v>524318.5</v>
      </c>
      <c r="AL152" t="n">
        <v>0.3326376927444655</v>
      </c>
      <c r="AM152" t="inlineStr">
        <is>
          <t>1.0278504705803984</t>
        </is>
      </c>
      <c r="AN152" t="inlineStr">
        <is>
          <t>17</t>
        </is>
      </c>
      <c r="AO152" t="inlineStr">
        <is>
          <t>7</t>
        </is>
      </c>
      <c r="AP152" t="inlineStr">
        <is>
          <t>12 1/4</t>
        </is>
      </c>
      <c r="AQ152" t="inlineStr">
        <is>
          <t>9</t>
        </is>
      </c>
      <c r="AR152" t="inlineStr">
        <is>
          <t>10.35</t>
        </is>
      </c>
      <c r="AS152" t="inlineStr">
        <is>
          <t>2</t>
        </is>
      </c>
      <c r="AT152" t="n">
        <v>558</v>
      </c>
      <c r="AU152" t="inlineStr">
        <is>
          <t>Vertex 70</t>
        </is>
      </c>
      <c r="AV152" t="inlineStr">
        <is>
          <t>34D2/66AR</t>
        </is>
      </c>
      <c r="AW152" t="n">
        <v>0.6328482106721071</v>
      </c>
      <c r="AX152" t="n">
        <v>0.6573076397631847</v>
      </c>
      <c r="AY152" t="n">
        <v>0.6816513148670014</v>
      </c>
      <c r="AZ152" t="n">
        <v>0.7057612866607749</v>
      </c>
      <c r="BA152" t="n">
        <v>0.7197075683725132</v>
      </c>
      <c r="BB152" t="n">
        <v>6.102362204724409</v>
      </c>
      <c r="BC152" t="n">
        <v>2.539608155390709</v>
      </c>
      <c r="BD152" t="n">
        <v>4.64224591610844</v>
      </c>
      <c r="BE152" t="n">
        <v>6.767860624505081</v>
      </c>
      <c r="BF152" t="n">
        <v>9.033233207273604</v>
      </c>
      <c r="BG152" t="n">
        <v>11.5448492695823</v>
      </c>
      <c r="BH152" t="n">
        <v>14.44821891568466</v>
      </c>
      <c r="BI152" t="n">
        <v>17.99412962279674</v>
      </c>
      <c r="BJ152" t="n">
        <v>22.72244503555348</v>
      </c>
      <c r="BK152" t="n">
        <v>30.30248528443602</v>
      </c>
      <c r="BL152" t="n">
        <v>73.27994356195833</v>
      </c>
      <c r="BM152" t="inlineStr"/>
      <c r="BN152" t="n">
        <v>21</v>
      </c>
      <c r="BO152" t="n">
        <v>155</v>
      </c>
      <c r="BP152" t="n">
        <v>300</v>
      </c>
      <c r="BQ152" t="n">
        <v>388</v>
      </c>
      <c r="BR152" t="n">
        <v>823</v>
      </c>
      <c r="BS15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3">
      <c r="A153" t="inlineStr">
        <is>
          <t>FRAG</t>
        </is>
      </c>
      <c r="B153" t="inlineStr">
        <is>
          <t>Fragmentación Desmonte 2025.xlsx</t>
        </is>
      </c>
      <c r="C153" t="inlineStr">
        <is>
          <t>ANÁLISIS DE FRAGMENTACIÓN</t>
        </is>
      </c>
      <c r="D153" t="n">
        <v>157</v>
      </c>
      <c r="E153" t="inlineStr">
        <is>
          <t>ROM (fragmentación post-voladura en el frente de carguío, por análisis de fotos)</t>
        </is>
      </c>
      <c r="F153" t="inlineStr"/>
      <c r="G153" t="inlineStr">
        <is>
          <t>no indicada en el archivo</t>
        </is>
      </c>
      <c r="H153" t="inlineStr">
        <is>
          <t>2025-04-02</t>
        </is>
      </c>
      <c r="I153" t="inlineStr">
        <is>
          <t>2025-04-06</t>
        </is>
      </c>
      <c r="J153" t="inlineStr">
        <is>
          <t>PALA 08</t>
        </is>
      </c>
      <c r="K153" t="n">
        <v>9</v>
      </c>
      <c r="L153" t="inlineStr">
        <is>
          <t>9-NP-3953-28</t>
        </is>
      </c>
      <c r="M153" t="n">
        <v>2</v>
      </c>
      <c r="N153" t="n">
        <v>3953</v>
      </c>
      <c r="O153" t="inlineStr">
        <is>
          <t>C</t>
        </is>
      </c>
      <c r="P153" t="n">
        <v>30</v>
      </c>
      <c r="Q153" t="inlineStr">
        <is>
          <t>Desmonte</t>
        </is>
      </c>
      <c r="R153" t="inlineStr">
        <is>
          <t>Producción</t>
        </is>
      </c>
      <c r="S153" t="n">
        <v>6</v>
      </c>
      <c r="T153" t="n">
        <v>11.1</v>
      </c>
      <c r="U153" t="n">
        <v>3</v>
      </c>
      <c r="V153" t="n">
        <v>1.067506436406364</v>
      </c>
      <c r="W153" t="n">
        <v>0.089</v>
      </c>
      <c r="X153" t="n">
        <v>0.141</v>
      </c>
      <c r="Y153" t="n">
        <v>1.1</v>
      </c>
      <c r="Z153" t="n">
        <v>3.2</v>
      </c>
      <c r="AA153" t="n">
        <v>5.6</v>
      </c>
      <c r="AB153" t="n">
        <v>8.199999999999999</v>
      </c>
      <c r="AC153" t="n">
        <v>11.1</v>
      </c>
      <c r="AD153" t="n">
        <v>14.5</v>
      </c>
      <c r="AE153" t="n">
        <v>18.6</v>
      </c>
      <c r="AF153" t="n">
        <v>24.1</v>
      </c>
      <c r="AG153" t="n">
        <v>32.8</v>
      </c>
      <c r="AH153" t="n">
        <v>85.2</v>
      </c>
      <c r="AI153" t="n">
        <v>11730.21938973214</v>
      </c>
      <c r="AJ153" t="n">
        <v>424862.6250000001</v>
      </c>
      <c r="AK153" t="n">
        <v>138288</v>
      </c>
      <c r="AL153" t="n">
        <v>0.325488738860002</v>
      </c>
      <c r="AM153" t="inlineStr">
        <is>
          <t>-</t>
        </is>
      </c>
      <c r="AN153" t="inlineStr">
        <is>
          <t>17</t>
        </is>
      </c>
      <c r="AO153" t="inlineStr">
        <is>
          <t>7</t>
        </is>
      </c>
      <c r="AP153" t="inlineStr">
        <is>
          <t>12 1/4</t>
        </is>
      </c>
      <c r="AQ153" t="inlineStr">
        <is>
          <t>8.5</t>
        </is>
      </c>
      <c r="AR153" t="inlineStr">
        <is>
          <t>9.8</t>
        </is>
      </c>
      <c r="AS153" t="inlineStr">
        <is>
          <t>2</t>
        </is>
      </c>
      <c r="AT153" t="n">
        <v>226</v>
      </c>
      <c r="AU153" t="inlineStr">
        <is>
          <t>Emulgex 70</t>
        </is>
      </c>
      <c r="AV153" t="inlineStr">
        <is>
          <t>45D2/55AR</t>
        </is>
      </c>
      <c r="AW153" t="n">
        <v>0.6411291998143402</v>
      </c>
      <c r="AX153" t="n">
        <v>0.676969155617746</v>
      </c>
      <c r="AY153" t="n">
        <v>0.7123539039846322</v>
      </c>
      <c r="AZ153" t="n">
        <v>0.7468954586833211</v>
      </c>
      <c r="BA153" t="n">
        <v>0.7665508768231862</v>
      </c>
      <c r="BB153" t="n">
        <v>4.370078740157481</v>
      </c>
      <c r="BC153" t="n">
        <v>1.348355067416232</v>
      </c>
      <c r="BD153" t="n">
        <v>2.723335930430366</v>
      </c>
      <c r="BE153" t="n">
        <v>4.225798075686081</v>
      </c>
      <c r="BF153" t="n">
        <v>5.916212422916457</v>
      </c>
      <c r="BG153" t="n">
        <v>7.874341387739236</v>
      </c>
      <c r="BH153" t="n">
        <v>10.2272104349314</v>
      </c>
      <c r="BI153" t="n">
        <v>13.20813985660339</v>
      </c>
      <c r="BJ153" t="n">
        <v>17.33515164634549</v>
      </c>
      <c r="BK153" t="n">
        <v>24.24560656197499</v>
      </c>
      <c r="BL153" t="n">
        <v>67.8550779463082</v>
      </c>
      <c r="BM153" t="inlineStr"/>
      <c r="BN153" t="n">
        <v>11</v>
      </c>
      <c r="BO153" t="n">
        <v>111</v>
      </c>
      <c r="BP153" t="n">
        <v>241</v>
      </c>
      <c r="BQ153" t="n">
        <v>328</v>
      </c>
      <c r="BR153" t="n">
        <v>852</v>
      </c>
      <c r="BS15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4">
      <c r="A154" t="inlineStr">
        <is>
          <t>FRAG</t>
        </is>
      </c>
      <c r="B154" t="inlineStr">
        <is>
          <t>Fragmentación Desmonte 2025.xlsx</t>
        </is>
      </c>
      <c r="C154" t="inlineStr">
        <is>
          <t>ANÁLISIS DE FRAGMENTACIÓN</t>
        </is>
      </c>
      <c r="D154" t="n">
        <v>158</v>
      </c>
      <c r="E154" t="inlineStr">
        <is>
          <t>ROM (fragmentación post-voladura en el frente de carguío, por análisis de fotos)</t>
        </is>
      </c>
      <c r="F154" t="inlineStr"/>
      <c r="G154" t="inlineStr">
        <is>
          <t>no indicada en el archivo</t>
        </is>
      </c>
      <c r="H154" t="inlineStr">
        <is>
          <t>2025-03-29</t>
        </is>
      </c>
      <c r="I154" t="inlineStr">
        <is>
          <t>2025-04-07</t>
        </is>
      </c>
      <c r="J154" t="inlineStr">
        <is>
          <t>PALA 11</t>
        </is>
      </c>
      <c r="K154" t="n">
        <v>10</v>
      </c>
      <c r="L154" t="inlineStr">
        <is>
          <t>10-NP-4418-16</t>
        </is>
      </c>
      <c r="M154" t="n">
        <v>1</v>
      </c>
      <c r="N154" t="n">
        <v>4418</v>
      </c>
      <c r="O154" t="inlineStr">
        <is>
          <t>C</t>
        </is>
      </c>
      <c r="P154" t="n">
        <v>30</v>
      </c>
      <c r="Q154" t="inlineStr">
        <is>
          <t>Desmonte</t>
        </is>
      </c>
      <c r="R154" t="inlineStr">
        <is>
          <t>Producción</t>
        </is>
      </c>
      <c r="S154" t="n">
        <v>3</v>
      </c>
      <c r="T154" t="n">
        <v>11.9</v>
      </c>
      <c r="U154" t="n">
        <v>3</v>
      </c>
      <c r="V154" t="n">
        <v>1.068901889578149</v>
      </c>
      <c r="W154" t="n">
        <v>0.08500000000000001</v>
      </c>
      <c r="X154" t="n">
        <v>0.135</v>
      </c>
      <c r="Y154" t="n">
        <v>1.2</v>
      </c>
      <c r="Z154" t="n">
        <v>3.4</v>
      </c>
      <c r="AA154" t="n">
        <v>6</v>
      </c>
      <c r="AB154" t="n">
        <v>8.800000000000001</v>
      </c>
      <c r="AC154" t="n">
        <v>11.9</v>
      </c>
      <c r="AD154" t="n">
        <v>15.5</v>
      </c>
      <c r="AE154" t="n">
        <v>20</v>
      </c>
      <c r="AF154" t="n">
        <v>25.8</v>
      </c>
      <c r="AG154" t="n">
        <v>35.2</v>
      </c>
      <c r="AH154" t="n">
        <v>91</v>
      </c>
      <c r="AI154" t="inlineStr"/>
      <c r="AJ154" t="n">
        <v>1576245</v>
      </c>
      <c r="AK154" t="n">
        <v>524318.5</v>
      </c>
      <c r="AL154" t="n">
        <v>0.3326376927444655</v>
      </c>
      <c r="AM154" t="inlineStr">
        <is>
          <t>1.0278504705803984</t>
        </is>
      </c>
      <c r="AN154" t="inlineStr">
        <is>
          <t>17</t>
        </is>
      </c>
      <c r="AO154" t="inlineStr">
        <is>
          <t>7</t>
        </is>
      </c>
      <c r="AP154" t="inlineStr">
        <is>
          <t>12 1/4</t>
        </is>
      </c>
      <c r="AQ154" t="inlineStr">
        <is>
          <t>9</t>
        </is>
      </c>
      <c r="AR154" t="inlineStr">
        <is>
          <t>10.35</t>
        </is>
      </c>
      <c r="AS154" t="inlineStr">
        <is>
          <t>2</t>
        </is>
      </c>
      <c r="AT154" t="n">
        <v>558</v>
      </c>
      <c r="AU154" t="inlineStr">
        <is>
          <t>Vertex 70</t>
        </is>
      </c>
      <c r="AV154" t="inlineStr">
        <is>
          <t>34D2/66AR</t>
        </is>
      </c>
      <c r="AW154" t="n">
        <v>0.6406810652586096</v>
      </c>
      <c r="AX154" t="n">
        <v>0.67500558626489</v>
      </c>
      <c r="AY154" t="n">
        <v>0.7089320218122546</v>
      </c>
      <c r="AZ154" t="n">
        <v>0.7421209067034079</v>
      </c>
      <c r="BA154" t="n">
        <v>0.7610537173194868</v>
      </c>
      <c r="BB154" t="n">
        <v>4.68503937007874</v>
      </c>
      <c r="BC154" t="n">
        <v>1.449517508309148</v>
      </c>
      <c r="BD154" t="n">
        <v>2.924972882591885</v>
      </c>
      <c r="BE154" t="n">
        <v>4.53607544882422</v>
      </c>
      <c r="BF154" t="n">
        <v>6.347818608524221</v>
      </c>
      <c r="BG154" t="n">
        <v>8.445646190421233</v>
      </c>
      <c r="BH154" t="n">
        <v>10.96547895862201</v>
      </c>
      <c r="BI154" t="n">
        <v>14.15686373124522</v>
      </c>
      <c r="BJ154" t="n">
        <v>18.57371924427222</v>
      </c>
      <c r="BK154" t="n">
        <v>25.96653891261285</v>
      </c>
      <c r="BL154" t="n">
        <v>72.57380164834719</v>
      </c>
      <c r="BM154" t="inlineStr"/>
      <c r="BN154" t="n">
        <v>12</v>
      </c>
      <c r="BO154" t="n">
        <v>119</v>
      </c>
      <c r="BP154" t="n">
        <v>258</v>
      </c>
      <c r="BQ154" t="n">
        <v>352</v>
      </c>
      <c r="BR154" t="n">
        <v>910</v>
      </c>
      <c r="BS15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5">
      <c r="A155" t="inlineStr">
        <is>
          <t>FRAG</t>
        </is>
      </c>
      <c r="B155" t="inlineStr">
        <is>
          <t>Fragmentación Desmonte 2025.xlsx</t>
        </is>
      </c>
      <c r="C155" t="inlineStr">
        <is>
          <t>ANÁLISIS DE FRAGMENTACIÓN</t>
        </is>
      </c>
      <c r="D155" t="n">
        <v>159</v>
      </c>
      <c r="E155" t="inlineStr">
        <is>
          <t>ROM (fragmentación post-voladura en el frente de carguío, por análisis de fotos)</t>
        </is>
      </c>
      <c r="F155" t="inlineStr"/>
      <c r="G155" t="inlineStr">
        <is>
          <t>no indicada en el archivo</t>
        </is>
      </c>
      <c r="H155" t="inlineStr">
        <is>
          <t>2025-03-29</t>
        </is>
      </c>
      <c r="I155" t="inlineStr">
        <is>
          <t>2025-04-07</t>
        </is>
      </c>
      <c r="J155" t="inlineStr">
        <is>
          <t>PALA 11</t>
        </is>
      </c>
      <c r="K155" t="n">
        <v>10</v>
      </c>
      <c r="L155" t="inlineStr">
        <is>
          <t>10-NP-4418-16</t>
        </is>
      </c>
      <c r="M155" t="n">
        <v>2</v>
      </c>
      <c r="N155" t="n">
        <v>4418</v>
      </c>
      <c r="O155" t="inlineStr">
        <is>
          <t>B</t>
        </is>
      </c>
      <c r="P155" t="n">
        <v>30</v>
      </c>
      <c r="Q155" t="inlineStr">
        <is>
          <t>Desmonte</t>
        </is>
      </c>
      <c r="R155" t="inlineStr">
        <is>
          <t>Producción</t>
        </is>
      </c>
      <c r="S155" t="n">
        <v>4</v>
      </c>
      <c r="T155" t="n">
        <v>13.3</v>
      </c>
      <c r="U155" t="n">
        <v>2</v>
      </c>
      <c r="V155" t="n">
        <v>0.8404867325144605</v>
      </c>
      <c r="W155" t="n">
        <v>0.08400000000000001</v>
      </c>
      <c r="X155" t="n">
        <v>0.128</v>
      </c>
      <c r="Y155" t="n">
        <v>1.3</v>
      </c>
      <c r="Z155" t="n">
        <v>3.9</v>
      </c>
      <c r="AA155" t="n">
        <v>6.8</v>
      </c>
      <c r="AB155" t="n">
        <v>10</v>
      </c>
      <c r="AC155" t="n">
        <v>13.4</v>
      </c>
      <c r="AD155" t="n">
        <v>17.2</v>
      </c>
      <c r="AE155" t="n">
        <v>21.6</v>
      </c>
      <c r="AF155" t="n">
        <v>27.2</v>
      </c>
      <c r="AG155" t="n">
        <v>35.4</v>
      </c>
      <c r="AH155" t="n">
        <v>69.3</v>
      </c>
      <c r="AI155" t="inlineStr"/>
      <c r="AJ155" t="n">
        <v>1576245</v>
      </c>
      <c r="AK155" t="n">
        <v>524318.5</v>
      </c>
      <c r="AL155" t="n">
        <v>0.3326376927444655</v>
      </c>
      <c r="AM155" t="inlineStr">
        <is>
          <t>1.0278504705803984</t>
        </is>
      </c>
      <c r="AN155" t="inlineStr">
        <is>
          <t>17</t>
        </is>
      </c>
      <c r="AO155" t="inlineStr">
        <is>
          <t>7</t>
        </is>
      </c>
      <c r="AP155" t="inlineStr">
        <is>
          <t>12 1/4</t>
        </is>
      </c>
      <c r="AQ155" t="inlineStr">
        <is>
          <t>9</t>
        </is>
      </c>
      <c r="AR155" t="inlineStr">
        <is>
          <t>10.35</t>
        </is>
      </c>
      <c r="AS155" t="inlineStr">
        <is>
          <t>2</t>
        </is>
      </c>
      <c r="AT155" t="n">
        <v>558</v>
      </c>
      <c r="AU155" t="inlineStr">
        <is>
          <t>Vertex 70</t>
        </is>
      </c>
      <c r="AV155" t="inlineStr">
        <is>
          <t>34D2/66AR</t>
        </is>
      </c>
      <c r="AW155" t="n">
        <v>0.6515491355174994</v>
      </c>
      <c r="AX155" t="n">
        <v>0.6840179050296691</v>
      </c>
      <c r="AY155" t="n">
        <v>0.7160497275566036</v>
      </c>
      <c r="AZ155" t="n">
        <v>0.7473523019993222</v>
      </c>
      <c r="BA155" t="n">
        <v>0.7652057882743288</v>
      </c>
      <c r="BB155" t="n">
        <v>5.236220472440945</v>
      </c>
      <c r="BC155" t="n">
        <v>0.9142115742674106</v>
      </c>
      <c r="BD155" t="n">
        <v>2.2325742094696</v>
      </c>
      <c r="BE155" t="n">
        <v>3.90078041127313</v>
      </c>
      <c r="BF155" t="n">
        <v>5.980786869016457</v>
      </c>
      <c r="BG155" t="n">
        <v>8.599394630479376</v>
      </c>
      <c r="BH155" t="n">
        <v>11.98614027431944</v>
      </c>
      <c r="BI155" t="n">
        <v>16.5870172874015</v>
      </c>
      <c r="BJ155" t="n">
        <v>23.42879238301487</v>
      </c>
      <c r="BK155" t="n">
        <v>35.87658339628423</v>
      </c>
      <c r="BL155" t="n">
        <v>132.5817164064589</v>
      </c>
      <c r="BM155" t="inlineStr"/>
      <c r="BN155" t="n">
        <v>13</v>
      </c>
      <c r="BO155" t="n">
        <v>134</v>
      </c>
      <c r="BP155" t="n">
        <v>272</v>
      </c>
      <c r="BQ155" t="n">
        <v>354</v>
      </c>
      <c r="BR155" t="n">
        <v>693</v>
      </c>
      <c r="BS15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6">
      <c r="A156" t="inlineStr">
        <is>
          <t>FRAG</t>
        </is>
      </c>
      <c r="B156" t="inlineStr">
        <is>
          <t>Fragmentación Desmonte 2025.xlsx</t>
        </is>
      </c>
      <c r="C156" t="inlineStr">
        <is>
          <t>ANÁLISIS DE FRAGMENTACIÓN</t>
        </is>
      </c>
      <c r="D156" t="n">
        <v>160</v>
      </c>
      <c r="E156" t="inlineStr">
        <is>
          <t>ROM (fragmentación post-voladura en el frente de carguío, por análisis de fotos)</t>
        </is>
      </c>
      <c r="F156" t="inlineStr"/>
      <c r="G156" t="inlineStr">
        <is>
          <t>no indicada en el archivo</t>
        </is>
      </c>
      <c r="H156" t="inlineStr">
        <is>
          <t>2025-03-29</t>
        </is>
      </c>
      <c r="I156" t="inlineStr">
        <is>
          <t>2025-04-07</t>
        </is>
      </c>
      <c r="J156" t="inlineStr">
        <is>
          <t>PALA 11</t>
        </is>
      </c>
      <c r="K156" t="n">
        <v>10</v>
      </c>
      <c r="L156" t="inlineStr">
        <is>
          <t>10-NP-4418-16</t>
        </is>
      </c>
      <c r="M156" t="n">
        <v>4</v>
      </c>
      <c r="N156" t="n">
        <v>4418</v>
      </c>
      <c r="O156" t="inlineStr">
        <is>
          <t>C</t>
        </is>
      </c>
      <c r="P156" t="n">
        <v>30</v>
      </c>
      <c r="Q156" t="inlineStr">
        <is>
          <t>Desmonte</t>
        </is>
      </c>
      <c r="R156" t="inlineStr">
        <is>
          <t>Producción</t>
        </is>
      </c>
      <c r="S156" t="n">
        <v>4</v>
      </c>
      <c r="T156" t="n">
        <v>12.5</v>
      </c>
      <c r="U156" t="n">
        <v>2</v>
      </c>
      <c r="V156" t="n">
        <v>0.8916697383846752</v>
      </c>
      <c r="W156" t="n">
        <v>0.091</v>
      </c>
      <c r="X156" t="n">
        <v>0.137</v>
      </c>
      <c r="Y156" t="n">
        <v>1.1</v>
      </c>
      <c r="Z156" t="n">
        <v>3.5</v>
      </c>
      <c r="AA156" t="n">
        <v>6.3</v>
      </c>
      <c r="AB156" t="n">
        <v>9.300000000000001</v>
      </c>
      <c r="AC156" t="n">
        <v>12.5</v>
      </c>
      <c r="AD156" t="n">
        <v>16</v>
      </c>
      <c r="AE156" t="n">
        <v>20.1</v>
      </c>
      <c r="AF156" t="n">
        <v>25.1</v>
      </c>
      <c r="AG156" t="n">
        <v>32.2</v>
      </c>
      <c r="AH156" t="n">
        <v>58</v>
      </c>
      <c r="AI156" t="inlineStr"/>
      <c r="AJ156" t="n">
        <v>1576245</v>
      </c>
      <c r="AK156" t="n">
        <v>524318.5</v>
      </c>
      <c r="AL156" t="n">
        <v>0.3326376927444655</v>
      </c>
      <c r="AM156" t="inlineStr">
        <is>
          <t>1.0278504705803984</t>
        </is>
      </c>
      <c r="AN156" t="inlineStr">
        <is>
          <t>17</t>
        </is>
      </c>
      <c r="AO156" t="inlineStr">
        <is>
          <t>7</t>
        </is>
      </c>
      <c r="AP156" t="inlineStr">
        <is>
          <t>12 1/4</t>
        </is>
      </c>
      <c r="AQ156" t="inlineStr">
        <is>
          <t>9</t>
        </is>
      </c>
      <c r="AR156" t="inlineStr">
        <is>
          <t>10.35</t>
        </is>
      </c>
      <c r="AS156" t="inlineStr">
        <is>
          <t>2</t>
        </is>
      </c>
      <c r="AT156" t="n">
        <v>558</v>
      </c>
      <c r="AU156" t="inlineStr">
        <is>
          <t>Vertex 70</t>
        </is>
      </c>
      <c r="AV156" t="inlineStr">
        <is>
          <t>34D2/66AR</t>
        </is>
      </c>
      <c r="AW156" t="n">
        <v>0.6499386072442257</v>
      </c>
      <c r="AX156" t="n">
        <v>0.6846929955829069</v>
      </c>
      <c r="AY156" t="n">
        <v>0.7189397735546185</v>
      </c>
      <c r="AZ156" t="n">
        <v>0.7523200166876141</v>
      </c>
      <c r="BA156" t="n">
        <v>0.7712981676236315</v>
      </c>
      <c r="BB156" t="n">
        <v>4.921259842519685</v>
      </c>
      <c r="BC156" t="n">
        <v>1.001962820448999</v>
      </c>
      <c r="BD156" t="n">
        <v>2.32462504056721</v>
      </c>
      <c r="BE156" t="n">
        <v>3.933576110456617</v>
      </c>
      <c r="BF156" t="n">
        <v>5.884916528084303</v>
      </c>
      <c r="BG156" t="n">
        <v>8.286995945079802</v>
      </c>
      <c r="BH156" t="n">
        <v>11.33262912292951</v>
      </c>
      <c r="BI156" t="n">
        <v>15.39291701919046</v>
      </c>
      <c r="BJ156" t="n">
        <v>21.31539548288349</v>
      </c>
      <c r="BK156" t="n">
        <v>31.85164127434572</v>
      </c>
      <c r="BL156" t="n">
        <v>109.1991430418016</v>
      </c>
      <c r="BM156" t="inlineStr"/>
      <c r="BN156" t="n">
        <v>11</v>
      </c>
      <c r="BO156" t="n">
        <v>125</v>
      </c>
      <c r="BP156" t="n">
        <v>251</v>
      </c>
      <c r="BQ156" t="n">
        <v>322</v>
      </c>
      <c r="BR156" t="n">
        <v>580</v>
      </c>
      <c r="BS15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7">
      <c r="A157" t="inlineStr">
        <is>
          <t>FRAG</t>
        </is>
      </c>
      <c r="B157" t="inlineStr">
        <is>
          <t>Fragmentación Desmonte 2025.xlsx</t>
        </is>
      </c>
      <c r="C157" t="inlineStr">
        <is>
          <t>ANÁLISIS DE FRAGMENTACIÓN</t>
        </is>
      </c>
      <c r="D157" t="n">
        <v>161</v>
      </c>
      <c r="E157" t="inlineStr">
        <is>
          <t>ROM (fragmentación post-voladura en el frente de carguío, por análisis de fotos)</t>
        </is>
      </c>
      <c r="F157" t="inlineStr"/>
      <c r="G157" t="inlineStr">
        <is>
          <t>no indicada en el archivo</t>
        </is>
      </c>
      <c r="H157" t="inlineStr">
        <is>
          <t>2025-04-01</t>
        </is>
      </c>
      <c r="I157" t="inlineStr">
        <is>
          <t>2025-04-08</t>
        </is>
      </c>
      <c r="J157" t="inlineStr">
        <is>
          <t>PALA 09</t>
        </is>
      </c>
      <c r="K157" t="n">
        <v>9</v>
      </c>
      <c r="L157" t="inlineStr">
        <is>
          <t>9-NP-3938-14</t>
        </is>
      </c>
      <c r="M157" t="n">
        <v>2</v>
      </c>
      <c r="N157" t="n">
        <v>3938</v>
      </c>
      <c r="O157" t="inlineStr">
        <is>
          <t>C</t>
        </is>
      </c>
      <c r="P157" t="n">
        <v>30</v>
      </c>
      <c r="Q157" t="inlineStr">
        <is>
          <t>Desmonte</t>
        </is>
      </c>
      <c r="R157" t="inlineStr">
        <is>
          <t>Producción</t>
        </is>
      </c>
      <c r="S157" t="n">
        <v>9</v>
      </c>
      <c r="T157" t="n">
        <v>13.2</v>
      </c>
      <c r="U157" t="n">
        <v>3</v>
      </c>
      <c r="V157" t="n">
        <v>1.14734325382686</v>
      </c>
      <c r="W157" t="n">
        <v>0.068</v>
      </c>
      <c r="X157" t="n">
        <v>0.109</v>
      </c>
      <c r="Y157" t="n">
        <v>1.7</v>
      </c>
      <c r="Z157" t="n">
        <v>4.3</v>
      </c>
      <c r="AA157" t="n">
        <v>7.1</v>
      </c>
      <c r="AB157" t="n">
        <v>10</v>
      </c>
      <c r="AC157" t="n">
        <v>13.2</v>
      </c>
      <c r="AD157" t="n">
        <v>16.8</v>
      </c>
      <c r="AE157" t="n">
        <v>21</v>
      </c>
      <c r="AF157" t="n">
        <v>26.6</v>
      </c>
      <c r="AG157" t="n">
        <v>35.1</v>
      </c>
      <c r="AH157" t="n">
        <v>83.8</v>
      </c>
      <c r="AI157" t="inlineStr"/>
      <c r="AJ157" t="n">
        <v>118635</v>
      </c>
      <c r="AK157" t="n">
        <v>38593</v>
      </c>
      <c r="AL157" t="n">
        <v>0.3253087200236018</v>
      </c>
      <c r="AM157" t="inlineStr">
        <is>
          <t>1.0052039448729295</t>
        </is>
      </c>
      <c r="AN157" t="inlineStr">
        <is>
          <t>17</t>
        </is>
      </c>
      <c r="AO157" t="inlineStr">
        <is>
          <t>7</t>
        </is>
      </c>
      <c r="AP157" t="inlineStr">
        <is>
          <t>12 1/4</t>
        </is>
      </c>
      <c r="AQ157" t="inlineStr">
        <is>
          <t>8.5</t>
        </is>
      </c>
      <c r="AR157" t="inlineStr">
        <is>
          <t>9.8</t>
        </is>
      </c>
      <c r="AS157" t="inlineStr">
        <is>
          <t>2</t>
        </is>
      </c>
      <c r="AT157" t="n">
        <v>43</v>
      </c>
      <c r="AU157" t="inlineStr">
        <is>
          <t>Vertex 70</t>
        </is>
      </c>
      <c r="AV157" t="inlineStr">
        <is>
          <t>45D2/55AR</t>
        </is>
      </c>
      <c r="AW157" t="n">
        <v>0.6361932301006155</v>
      </c>
      <c r="AX157" t="n">
        <v>0.6639470398029479</v>
      </c>
      <c r="AY157" t="n">
        <v>0.6915107752146724</v>
      </c>
      <c r="AZ157" t="n">
        <v>0.7187093259059065</v>
      </c>
      <c r="BA157" t="n">
        <v>0.7343777904772253</v>
      </c>
      <c r="BB157" t="n">
        <v>5.196850393700787</v>
      </c>
      <c r="BC157" t="n">
        <v>1.856781263972559</v>
      </c>
      <c r="BD157" t="n">
        <v>3.571197627916976</v>
      </c>
      <c r="BE157" t="n">
        <v>5.374576447354266</v>
      </c>
      <c r="BF157" t="n">
        <v>7.350393556496961</v>
      </c>
      <c r="BG157" t="n">
        <v>9.590489746908329</v>
      </c>
      <c r="BH157" t="n">
        <v>12.23159117210054</v>
      </c>
      <c r="BI157" t="n">
        <v>15.51807026162168</v>
      </c>
      <c r="BJ157" t="n">
        <v>19.98512165342914</v>
      </c>
      <c r="BK157" t="n">
        <v>27.30696468754881</v>
      </c>
      <c r="BL157" t="n">
        <v>71.14136207027038</v>
      </c>
      <c r="BM157" t="inlineStr"/>
      <c r="BN157" t="n">
        <v>17</v>
      </c>
      <c r="BO157" t="n">
        <v>132</v>
      </c>
      <c r="BP157" t="n">
        <v>266</v>
      </c>
      <c r="BQ157" t="n">
        <v>351</v>
      </c>
      <c r="BR157" t="n">
        <v>838</v>
      </c>
      <c r="BS15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8">
      <c r="A158" t="inlineStr">
        <is>
          <t>FRAG</t>
        </is>
      </c>
      <c r="B158" t="inlineStr">
        <is>
          <t>Fragmentación Desmonte 2025.xlsx</t>
        </is>
      </c>
      <c r="C158" t="inlineStr">
        <is>
          <t>ANÁLISIS DE FRAGMENTACIÓN</t>
        </is>
      </c>
      <c r="D158" t="n">
        <v>162</v>
      </c>
      <c r="E158" t="inlineStr">
        <is>
          <t>ROM (fragmentación post-voladura en el frente de carguío, por análisis de fotos)</t>
        </is>
      </c>
      <c r="F158" t="inlineStr"/>
      <c r="G158" t="inlineStr">
        <is>
          <t>no indicada en el archivo</t>
        </is>
      </c>
      <c r="H158" t="inlineStr">
        <is>
          <t>2025-03-29</t>
        </is>
      </c>
      <c r="I158" t="inlineStr">
        <is>
          <t>2025-04-09</t>
        </is>
      </c>
      <c r="J158" t="inlineStr">
        <is>
          <t>PALA 11</t>
        </is>
      </c>
      <c r="K158" t="n">
        <v>10</v>
      </c>
      <c r="L158" t="inlineStr">
        <is>
          <t>10-NP-4418-16</t>
        </is>
      </c>
      <c r="M158" t="n">
        <v>4</v>
      </c>
      <c r="N158" t="n">
        <v>4418</v>
      </c>
      <c r="O158" t="inlineStr">
        <is>
          <t>A</t>
        </is>
      </c>
      <c r="P158" t="n">
        <v>30</v>
      </c>
      <c r="Q158" t="inlineStr">
        <is>
          <t>Desmonte</t>
        </is>
      </c>
      <c r="R158" t="inlineStr">
        <is>
          <t>Producción</t>
        </is>
      </c>
      <c r="S158" t="n">
        <v>8</v>
      </c>
      <c r="T158" t="n">
        <v>15</v>
      </c>
      <c r="U158" t="n">
        <v>3</v>
      </c>
      <c r="V158" t="n">
        <v>1.269914965021994</v>
      </c>
      <c r="W158" t="n">
        <v>0.065</v>
      </c>
      <c r="X158" t="n">
        <v>0.103</v>
      </c>
      <c r="Y158" t="n">
        <v>1.9</v>
      </c>
      <c r="Z158" t="n">
        <v>4.9</v>
      </c>
      <c r="AA158" t="n">
        <v>8.1</v>
      </c>
      <c r="AB158" t="n">
        <v>11.5</v>
      </c>
      <c r="AC158" t="n">
        <v>15.1</v>
      </c>
      <c r="AD158" t="n">
        <v>19</v>
      </c>
      <c r="AE158" t="n">
        <v>23.5</v>
      </c>
      <c r="AF158" t="n">
        <v>29.3</v>
      </c>
      <c r="AG158" t="n">
        <v>37.8</v>
      </c>
      <c r="AH158" t="n">
        <v>77</v>
      </c>
      <c r="AI158" t="inlineStr"/>
      <c r="AJ158" t="n">
        <v>1576245</v>
      </c>
      <c r="AK158" t="n">
        <v>524318.5</v>
      </c>
      <c r="AL158" t="n">
        <v>0.3326376927444655</v>
      </c>
      <c r="AM158" t="inlineStr">
        <is>
          <t>1.0278504705803984</t>
        </is>
      </c>
      <c r="AN158" t="inlineStr">
        <is>
          <t>17</t>
        </is>
      </c>
      <c r="AO158" t="inlineStr">
        <is>
          <t>7</t>
        </is>
      </c>
      <c r="AP158" t="inlineStr">
        <is>
          <t>12 1/4</t>
        </is>
      </c>
      <c r="AQ158" t="inlineStr">
        <is>
          <t>9</t>
        </is>
      </c>
      <c r="AR158" t="inlineStr">
        <is>
          <t>10.35</t>
        </is>
      </c>
      <c r="AS158" t="inlineStr">
        <is>
          <t>2</t>
        </is>
      </c>
      <c r="AT158" t="n">
        <v>558</v>
      </c>
      <c r="AU158" t="inlineStr">
        <is>
          <t>Vertex 70</t>
        </is>
      </c>
      <c r="AV158" t="inlineStr">
        <is>
          <t>34D2/66AR</t>
        </is>
      </c>
      <c r="AW158" t="n">
        <v>0.6321230960078924</v>
      </c>
      <c r="AX158" t="n">
        <v>0.6583648344798387</v>
      </c>
      <c r="AY158" t="n">
        <v>0.6844674902809598</v>
      </c>
      <c r="AZ158" t="n">
        <v>0.7102848968671904</v>
      </c>
      <c r="BA158" t="n">
        <v>0.7251943309625899</v>
      </c>
      <c r="BB158" t="n">
        <v>5.905511811023622</v>
      </c>
      <c r="BC158" t="n">
        <v>2.549733317550595</v>
      </c>
      <c r="BD158" t="n">
        <v>4.603956343877123</v>
      </c>
      <c r="BE158" t="n">
        <v>6.660800006146542</v>
      </c>
      <c r="BF158" t="n">
        <v>8.838311862821126</v>
      </c>
      <c r="BG158" t="n">
        <v>11.23954120687408</v>
      </c>
      <c r="BH158" t="n">
        <v>14.00213346653603</v>
      </c>
      <c r="BI158" t="n">
        <v>17.36093887770164</v>
      </c>
      <c r="BJ158" t="n">
        <v>21.81914699939922</v>
      </c>
      <c r="BK158" t="n">
        <v>28.92807672719404</v>
      </c>
      <c r="BL158" t="n">
        <v>68.71170804161096</v>
      </c>
      <c r="BM158" t="inlineStr"/>
      <c r="BN158" t="n">
        <v>19</v>
      </c>
      <c r="BO158" t="n">
        <v>151</v>
      </c>
      <c r="BP158" t="n">
        <v>293</v>
      </c>
      <c r="BQ158" t="n">
        <v>378</v>
      </c>
      <c r="BR158" t="n">
        <v>770</v>
      </c>
      <c r="BS15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59">
      <c r="A159" t="inlineStr">
        <is>
          <t>FRAG</t>
        </is>
      </c>
      <c r="B159" t="inlineStr">
        <is>
          <t>Fragmentación Desmonte 2025.xlsx</t>
        </is>
      </c>
      <c r="C159" t="inlineStr">
        <is>
          <t>ANÁLISIS DE FRAGMENTACIÓN</t>
        </is>
      </c>
      <c r="D159" t="n">
        <v>163</v>
      </c>
      <c r="E159" t="inlineStr">
        <is>
          <t>ROM (fragmentación post-voladura en el frente de carguío, por análisis de fotos)</t>
        </is>
      </c>
      <c r="F159" t="inlineStr"/>
      <c r="G159" t="inlineStr">
        <is>
          <t>no indicada en el archivo</t>
        </is>
      </c>
      <c r="H159" t="inlineStr">
        <is>
          <t>2025-03-31</t>
        </is>
      </c>
      <c r="I159" t="inlineStr">
        <is>
          <t>2025-04-10</t>
        </is>
      </c>
      <c r="J159" t="inlineStr">
        <is>
          <t>PALA 06</t>
        </is>
      </c>
      <c r="K159" t="n">
        <v>10</v>
      </c>
      <c r="L159" t="inlineStr">
        <is>
          <t>10-NP-4418-20</t>
        </is>
      </c>
      <c r="M159" t="n">
        <v>1</v>
      </c>
      <c r="N159" t="n">
        <v>4418</v>
      </c>
      <c r="O159" t="inlineStr">
        <is>
          <t>C</t>
        </is>
      </c>
      <c r="P159" t="n">
        <v>30</v>
      </c>
      <c r="Q159" t="inlineStr">
        <is>
          <t>Desmonte</t>
        </is>
      </c>
      <c r="R159" t="inlineStr">
        <is>
          <t>Producción</t>
        </is>
      </c>
      <c r="S159" t="n">
        <v>11</v>
      </c>
      <c r="T159" t="n">
        <v>8.199999999999999</v>
      </c>
      <c r="U159" t="n">
        <v>3</v>
      </c>
      <c r="V159" t="n">
        <v>1.10312683790007</v>
      </c>
      <c r="W159" t="n">
        <v>0.08699999999999999</v>
      </c>
      <c r="X159" t="n">
        <v>0.15</v>
      </c>
      <c r="Y159" t="n">
        <v>1.1</v>
      </c>
      <c r="Z159" t="n">
        <v>2.8</v>
      </c>
      <c r="AA159" t="n">
        <v>4.5</v>
      </c>
      <c r="AB159" t="n">
        <v>6.3</v>
      </c>
      <c r="AC159" t="n">
        <v>8.199999999999999</v>
      </c>
      <c r="AD159" t="n">
        <v>10.4</v>
      </c>
      <c r="AE159" t="n">
        <v>13.1</v>
      </c>
      <c r="AF159" t="n">
        <v>16.5</v>
      </c>
      <c r="AG159" t="n">
        <v>22</v>
      </c>
      <c r="AH159" t="n">
        <v>57.5</v>
      </c>
      <c r="AI159" t="inlineStr"/>
      <c r="AJ159" t="n">
        <v>1282173.75</v>
      </c>
      <c r="AK159" t="n">
        <v>308642</v>
      </c>
      <c r="AL159" t="n">
        <v>0.2407177654354567</v>
      </c>
      <c r="AM159" t="inlineStr">
        <is>
          <t>0.7438178951955614</t>
        </is>
      </c>
      <c r="AN159" t="inlineStr">
        <is>
          <t>17</t>
        </is>
      </c>
      <c r="AO159" t="inlineStr">
        <is>
          <t>7</t>
        </is>
      </c>
      <c r="AP159" t="inlineStr">
        <is>
          <t>12 1/4</t>
        </is>
      </c>
      <c r="AQ159" t="inlineStr">
        <is>
          <t>8.5</t>
        </is>
      </c>
      <c r="AR159" t="inlineStr">
        <is>
          <t>9.8</t>
        </is>
      </c>
      <c r="AS159" t="inlineStr">
        <is>
          <t>2</t>
        </is>
      </c>
      <c r="AT159" t="n">
        <v>322</v>
      </c>
      <c r="AU159" t="inlineStr">
        <is>
          <t>Vertex 70</t>
        </is>
      </c>
      <c r="AV159" t="inlineStr">
        <is>
          <t>34D2/66AR</t>
        </is>
      </c>
      <c r="AW159" t="n">
        <v>0.639893353075898</v>
      </c>
      <c r="AX159" t="n">
        <v>0.6780195287482808</v>
      </c>
      <c r="AY159" t="n">
        <v>0.7156176273423354</v>
      </c>
      <c r="AZ159" t="n">
        <v>0.7522195270798081</v>
      </c>
      <c r="BA159" t="n">
        <v>0.7729766003447768</v>
      </c>
      <c r="BB159" t="n">
        <v>3.228346456692913</v>
      </c>
      <c r="BC159" t="n">
        <v>1.066246469282661</v>
      </c>
      <c r="BD159" t="n">
        <v>2.105214688050846</v>
      </c>
      <c r="BE159" t="n">
        <v>3.220643585960649</v>
      </c>
      <c r="BF159" t="n">
        <v>4.460247173067009</v>
      </c>
      <c r="BG159" t="n">
        <v>5.881930561312708</v>
      </c>
      <c r="BH159" t="n">
        <v>7.575241782627981</v>
      </c>
      <c r="BI159" t="n">
        <v>9.70273129834586</v>
      </c>
      <c r="BJ159" t="n">
        <v>12.62312688273026</v>
      </c>
      <c r="BK159" t="n">
        <v>17.4649549893411</v>
      </c>
      <c r="BL159" t="n">
        <v>47.28077660710446</v>
      </c>
      <c r="BM159" t="inlineStr"/>
      <c r="BN159" t="n">
        <v>11</v>
      </c>
      <c r="BO159" t="n">
        <v>82</v>
      </c>
      <c r="BP159" t="n">
        <v>165</v>
      </c>
      <c r="BQ159" t="n">
        <v>220</v>
      </c>
      <c r="BR159" t="n">
        <v>575</v>
      </c>
      <c r="BS15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0">
      <c r="A160" t="inlineStr">
        <is>
          <t>FRAG</t>
        </is>
      </c>
      <c r="B160" t="inlineStr">
        <is>
          <t>Fragmentación Desmonte 2025.xlsx</t>
        </is>
      </c>
      <c r="C160" t="inlineStr">
        <is>
          <t>ANÁLISIS DE FRAGMENTACIÓN</t>
        </is>
      </c>
      <c r="D160" t="n">
        <v>164</v>
      </c>
      <c r="E160" t="inlineStr">
        <is>
          <t>ROM (fragmentación post-voladura en el frente de carguío, por análisis de fotos)</t>
        </is>
      </c>
      <c r="F160" t="inlineStr"/>
      <c r="G160" t="inlineStr">
        <is>
          <t>no indicada en el archivo</t>
        </is>
      </c>
      <c r="H160" t="inlineStr">
        <is>
          <t>2025-04-06</t>
        </is>
      </c>
      <c r="I160" t="inlineStr">
        <is>
          <t>2025-04-12</t>
        </is>
      </c>
      <c r="J160" t="inlineStr">
        <is>
          <t>PALA 05</t>
        </is>
      </c>
      <c r="K160" t="n">
        <v>9</v>
      </c>
      <c r="L160" t="inlineStr">
        <is>
          <t>9-NP-3938-11</t>
        </is>
      </c>
      <c r="M160" t="n">
        <v>3</v>
      </c>
      <c r="N160" t="n">
        <v>3938</v>
      </c>
      <c r="O160" t="inlineStr">
        <is>
          <t>B</t>
        </is>
      </c>
      <c r="P160" t="n">
        <v>30</v>
      </c>
      <c r="Q160" t="inlineStr">
        <is>
          <t>Desmonte</t>
        </is>
      </c>
      <c r="R160" t="inlineStr">
        <is>
          <t>TRIM</t>
        </is>
      </c>
      <c r="S160" t="n">
        <v>5</v>
      </c>
      <c r="T160" t="n">
        <v>11.5</v>
      </c>
      <c r="U160" t="n">
        <v>2</v>
      </c>
      <c r="V160" t="n">
        <v>0.6394719347468302</v>
      </c>
      <c r="W160" t="n">
        <v>0.145</v>
      </c>
      <c r="X160" t="n">
        <v>0.202</v>
      </c>
      <c r="Y160" t="n">
        <v>0.4</v>
      </c>
      <c r="Z160" t="n">
        <v>1.9</v>
      </c>
      <c r="AA160" t="n">
        <v>4.3</v>
      </c>
      <c r="AB160" t="n">
        <v>7.5</v>
      </c>
      <c r="AC160" t="n">
        <v>11.6</v>
      </c>
      <c r="AD160" t="n">
        <v>16.7</v>
      </c>
      <c r="AE160" t="n">
        <v>23.3</v>
      </c>
      <c r="AF160" t="n">
        <v>32.6</v>
      </c>
      <c r="AG160" t="n">
        <v>47.8</v>
      </c>
      <c r="AH160" t="n">
        <v>126.4</v>
      </c>
      <c r="AI160" t="inlineStr"/>
      <c r="AJ160" t="n">
        <v>348975</v>
      </c>
      <c r="AK160" t="n">
        <v>102666</v>
      </c>
      <c r="AL160" t="n">
        <v>0.2941929937674618</v>
      </c>
      <c r="AM160" t="inlineStr">
        <is>
          <t>-</t>
        </is>
      </c>
      <c r="AN160" t="inlineStr">
        <is>
          <t xml:space="preserve"> - </t>
        </is>
      </c>
      <c r="AO160" t="inlineStr">
        <is>
          <t xml:space="preserve"> - </t>
        </is>
      </c>
      <c r="AP160" t="inlineStr">
        <is>
          <t>9 7/8</t>
        </is>
      </c>
      <c r="AQ160" t="inlineStr">
        <is>
          <t xml:space="preserve"> - </t>
        </is>
      </c>
      <c r="AR160" t="inlineStr">
        <is>
          <t xml:space="preserve"> - </t>
        </is>
      </c>
      <c r="AS160" t="inlineStr">
        <is>
          <t xml:space="preserve"> - </t>
        </is>
      </c>
      <c r="AT160" t="n">
        <v>161</v>
      </c>
      <c r="AU160" t="inlineStr">
        <is>
          <t>Emulgex 70</t>
        </is>
      </c>
      <c r="AV160" t="inlineStr">
        <is>
          <t>45D2/55AR</t>
        </is>
      </c>
      <c r="AW160" t="n">
        <v>0.6829394186420019</v>
      </c>
      <c r="AX160" t="n">
        <v>0.7332109650428513</v>
      </c>
      <c r="AY160" t="n">
        <v>0.7812612758018996</v>
      </c>
      <c r="AZ160" t="n">
        <v>0.8259308315470963</v>
      </c>
      <c r="BA160" t="n">
        <v>0.8500604229737603</v>
      </c>
      <c r="BB160" t="n">
        <v>4.52755905511811</v>
      </c>
      <c r="BC160" t="n">
        <v>0.3406991217922788</v>
      </c>
      <c r="BD160" t="n">
        <v>1.101590950854068</v>
      </c>
      <c r="BE160" t="n">
        <v>2.293750011910309</v>
      </c>
      <c r="BF160" t="n">
        <v>4.022513234529788</v>
      </c>
      <c r="BG160" t="n">
        <v>6.483092863939066</v>
      </c>
      <c r="BH160" t="n">
        <v>10.03057602544581</v>
      </c>
      <c r="BI160" t="n">
        <v>15.37324034103482</v>
      </c>
      <c r="BJ160" t="n">
        <v>24.20432578217974</v>
      </c>
      <c r="BK160" t="n">
        <v>42.37670800594263</v>
      </c>
      <c r="BL160" t="n">
        <v>236.1809143039091</v>
      </c>
      <c r="BM160" t="inlineStr"/>
      <c r="BN160" t="n">
        <v>4</v>
      </c>
      <c r="BO160" t="n">
        <v>116</v>
      </c>
      <c r="BP160" t="n">
        <v>326</v>
      </c>
      <c r="BQ160" t="n">
        <v>478</v>
      </c>
      <c r="BR160" t="n">
        <v>1264</v>
      </c>
      <c r="BS16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1">
      <c r="A161" t="inlineStr">
        <is>
          <t>FRAG</t>
        </is>
      </c>
      <c r="B161" t="inlineStr">
        <is>
          <t>Fragmentación Desmonte 2025.xlsx</t>
        </is>
      </c>
      <c r="C161" t="inlineStr">
        <is>
          <t>ANÁLISIS DE FRAGMENTACIÓN</t>
        </is>
      </c>
      <c r="D161" t="n">
        <v>165</v>
      </c>
      <c r="E161" t="inlineStr">
        <is>
          <t>ROM (fragmentación post-voladura en el frente de carguío, por análisis de fotos)</t>
        </is>
      </c>
      <c r="F161" t="inlineStr"/>
      <c r="G161" t="inlineStr">
        <is>
          <t>no indicada en el archivo</t>
        </is>
      </c>
      <c r="H161" t="inlineStr">
        <is>
          <t>2025-03-29</t>
        </is>
      </c>
      <c r="I161" t="inlineStr">
        <is>
          <t>2025-04-13</t>
        </is>
      </c>
      <c r="J161" t="inlineStr">
        <is>
          <t>PALA 11</t>
        </is>
      </c>
      <c r="K161" t="n">
        <v>10</v>
      </c>
      <c r="L161" t="inlineStr">
        <is>
          <t>10-NP-4418-16</t>
        </is>
      </c>
      <c r="M161" t="n">
        <v>6</v>
      </c>
      <c r="N161" t="n">
        <v>4418</v>
      </c>
      <c r="O161" t="inlineStr">
        <is>
          <t>C</t>
        </is>
      </c>
      <c r="P161" t="n">
        <v>30</v>
      </c>
      <c r="Q161" t="inlineStr">
        <is>
          <t>Desmonte</t>
        </is>
      </c>
      <c r="R161" t="inlineStr">
        <is>
          <t>Producción</t>
        </is>
      </c>
      <c r="S161" t="n">
        <v>7</v>
      </c>
      <c r="T161" t="n">
        <v>9.6</v>
      </c>
      <c r="U161" t="n">
        <v>3</v>
      </c>
      <c r="V161" t="n">
        <v>1.017623246707496</v>
      </c>
      <c r="W161" t="n">
        <v>0.121</v>
      </c>
      <c r="X161" t="n">
        <v>0.183</v>
      </c>
      <c r="Y161" t="n">
        <v>0.7</v>
      </c>
      <c r="Z161" t="n">
        <v>2.3</v>
      </c>
      <c r="AA161" t="n">
        <v>4.3</v>
      </c>
      <c r="AB161" t="n">
        <v>6.8</v>
      </c>
      <c r="AC161" t="n">
        <v>9.699999999999999</v>
      </c>
      <c r="AD161" t="n">
        <v>13.2</v>
      </c>
      <c r="AE161" t="n">
        <v>17.5</v>
      </c>
      <c r="AF161" t="n">
        <v>23.4</v>
      </c>
      <c r="AG161" t="n">
        <v>32.8</v>
      </c>
      <c r="AH161" t="n">
        <v>86.09999999999999</v>
      </c>
      <c r="AI161" t="inlineStr"/>
      <c r="AJ161" t="n">
        <v>1576245</v>
      </c>
      <c r="AK161" t="n">
        <v>524318.5</v>
      </c>
      <c r="AL161" t="n">
        <v>0.3326376927444655</v>
      </c>
      <c r="AM161" t="inlineStr">
        <is>
          <t>1.0278504705803984</t>
        </is>
      </c>
      <c r="AN161" t="inlineStr">
        <is>
          <t>17</t>
        </is>
      </c>
      <c r="AO161" t="inlineStr">
        <is>
          <t>7</t>
        </is>
      </c>
      <c r="AP161" t="inlineStr">
        <is>
          <t>12 1/4</t>
        </is>
      </c>
      <c r="AQ161" t="inlineStr">
        <is>
          <t>9</t>
        </is>
      </c>
      <c r="AR161" t="inlineStr">
        <is>
          <t>10.35</t>
        </is>
      </c>
      <c r="AS161" t="inlineStr">
        <is>
          <t>2</t>
        </is>
      </c>
      <c r="AT161" t="n">
        <v>558</v>
      </c>
      <c r="AU161" t="inlineStr">
        <is>
          <t>Vertex 70</t>
        </is>
      </c>
      <c r="AV161" t="inlineStr">
        <is>
          <t>34D2/66AR</t>
        </is>
      </c>
      <c r="AW161" t="n">
        <v>0.6470314149650577</v>
      </c>
      <c r="AX161" t="n">
        <v>0.6934008636452079</v>
      </c>
      <c r="AY161" t="n">
        <v>0.7387034352847888</v>
      </c>
      <c r="AZ161" t="n">
        <v>0.7820757116723407</v>
      </c>
      <c r="BA161" t="n">
        <v>0.8062059643919701</v>
      </c>
      <c r="BB161" t="n">
        <v>3.779527559055118</v>
      </c>
      <c r="BC161" t="n">
        <v>1.051657758936443</v>
      </c>
      <c r="BD161" t="n">
        <v>2.198552396410177</v>
      </c>
      <c r="BE161" t="n">
        <v>3.485760936220836</v>
      </c>
      <c r="BF161" t="n">
        <v>4.961306462084398</v>
      </c>
      <c r="BG161" t="n">
        <v>6.696583464685797</v>
      </c>
      <c r="BH161" t="n">
        <v>8.809718591778257</v>
      </c>
      <c r="BI161" t="n">
        <v>11.52104271347626</v>
      </c>
      <c r="BJ161" t="n">
        <v>15.32379264445256</v>
      </c>
      <c r="BK161" t="n">
        <v>21.78783379152411</v>
      </c>
      <c r="BL161" t="n">
        <v>64.13166277497609</v>
      </c>
      <c r="BM161" t="inlineStr"/>
      <c r="BN161" t="n">
        <v>7</v>
      </c>
      <c r="BO161" t="n">
        <v>97</v>
      </c>
      <c r="BP161" t="n">
        <v>234</v>
      </c>
      <c r="BQ161" t="n">
        <v>328</v>
      </c>
      <c r="BR161" t="n">
        <v>861</v>
      </c>
      <c r="BS16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2">
      <c r="A162" t="inlineStr">
        <is>
          <t>FRAG</t>
        </is>
      </c>
      <c r="B162" t="inlineStr">
        <is>
          <t>Fragmentación Desmonte 2025.xlsx</t>
        </is>
      </c>
      <c r="C162" t="inlineStr">
        <is>
          <t>ANÁLISIS DE FRAGMENTACIÓN</t>
        </is>
      </c>
      <c r="D162" t="n">
        <v>166</v>
      </c>
      <c r="E162" t="inlineStr">
        <is>
          <t>ROM (fragmentación post-voladura en el frente de carguío, por análisis de fotos)</t>
        </is>
      </c>
      <c r="F162" t="inlineStr"/>
      <c r="G162" t="inlineStr">
        <is>
          <t>no indicada en el archivo</t>
        </is>
      </c>
      <c r="H162" t="inlineStr">
        <is>
          <t>2025-04-01</t>
        </is>
      </c>
      <c r="I162" t="inlineStr">
        <is>
          <t>2025-04-14</t>
        </is>
      </c>
      <c r="J162" t="inlineStr">
        <is>
          <t>PALA 08</t>
        </is>
      </c>
      <c r="K162" t="n">
        <v>9</v>
      </c>
      <c r="L162" t="inlineStr">
        <is>
          <t>9-NP-3923-05</t>
        </is>
      </c>
      <c r="M162" t="n">
        <v>3</v>
      </c>
      <c r="N162" t="n">
        <v>3923</v>
      </c>
      <c r="O162" t="inlineStr">
        <is>
          <t>A</t>
        </is>
      </c>
      <c r="P162" t="n">
        <v>30</v>
      </c>
      <c r="Q162" t="inlineStr">
        <is>
          <t>Desmonte</t>
        </is>
      </c>
      <c r="R162" t="inlineStr">
        <is>
          <t>Producción</t>
        </is>
      </c>
      <c r="S162" t="n">
        <v>5</v>
      </c>
      <c r="T162" t="n">
        <v>13.8</v>
      </c>
      <c r="U162" t="n">
        <v>3</v>
      </c>
      <c r="V162" t="n">
        <v>1.129767687338276</v>
      </c>
      <c r="W162" t="n">
        <v>0.07000000000000001</v>
      </c>
      <c r="X162" t="n">
        <v>0.112</v>
      </c>
      <c r="Y162" t="n">
        <v>1.6</v>
      </c>
      <c r="Z162" t="n">
        <v>4.3</v>
      </c>
      <c r="AA162" t="n">
        <v>7.3</v>
      </c>
      <c r="AB162" t="n">
        <v>10.4</v>
      </c>
      <c r="AC162" t="n">
        <v>13.8</v>
      </c>
      <c r="AD162" t="n">
        <v>17.7</v>
      </c>
      <c r="AE162" t="n">
        <v>22.3</v>
      </c>
      <c r="AF162" t="n">
        <v>28.4</v>
      </c>
      <c r="AG162" t="n">
        <v>37.8</v>
      </c>
      <c r="AH162" t="n">
        <v>91</v>
      </c>
      <c r="AI162" t="inlineStr"/>
      <c r="AJ162" t="n">
        <v>379376.25</v>
      </c>
      <c r="AK162" t="n">
        <v>183739</v>
      </c>
      <c r="AL162" t="n">
        <v>0.4843186678132856</v>
      </c>
      <c r="AM162" t="inlineStr">
        <is>
          <t>1.4965446835430527</t>
        </is>
      </c>
      <c r="AN162" t="inlineStr">
        <is>
          <t>16.5</t>
        </is>
      </c>
      <c r="AO162" t="inlineStr">
        <is>
          <t>6.5</t>
        </is>
      </c>
      <c r="AP162" t="inlineStr">
        <is>
          <t>12 1/4</t>
        </is>
      </c>
      <c r="AQ162" t="inlineStr">
        <is>
          <t>6</t>
        </is>
      </c>
      <c r="AR162" t="inlineStr">
        <is>
          <t>7</t>
        </is>
      </c>
      <c r="AS162" t="inlineStr">
        <is>
          <t>1.5</t>
        </is>
      </c>
      <c r="AT162" t="n">
        <v>194</v>
      </c>
      <c r="AU162" t="inlineStr">
        <is>
          <t>Vertex 70</t>
        </is>
      </c>
      <c r="AV162" t="inlineStr">
        <is>
          <t>45D2/55AR</t>
        </is>
      </c>
      <c r="AW162" t="n">
        <v>0.636941313469602</v>
      </c>
      <c r="AX162" t="n">
        <v>0.6654540436024236</v>
      </c>
      <c r="AY162" t="n">
        <v>0.6937562126778271</v>
      </c>
      <c r="AZ162" t="n">
        <v>0.7216572830247892</v>
      </c>
      <c r="BA162" t="n">
        <v>0.7377137081143752</v>
      </c>
      <c r="BB162" t="n">
        <v>5.433070866141732</v>
      </c>
      <c r="BC162" t="n">
        <v>1.882844333308071</v>
      </c>
      <c r="BD162" t="n">
        <v>3.658360606610774</v>
      </c>
      <c r="BE162" t="n">
        <v>5.540879121852677</v>
      </c>
      <c r="BF162" t="n">
        <v>7.614830221972412</v>
      </c>
      <c r="BG162" t="n">
        <v>9.976718011095643</v>
      </c>
      <c r="BH162" t="n">
        <v>12.77242386095372</v>
      </c>
      <c r="BI162" t="n">
        <v>16.26432142511866</v>
      </c>
      <c r="BJ162" t="n">
        <v>21.0287879570563</v>
      </c>
      <c r="BK162" t="n">
        <v>28.87286344682416</v>
      </c>
      <c r="BL162" t="n">
        <v>76.34979557855962</v>
      </c>
      <c r="BM162" t="inlineStr"/>
      <c r="BN162" t="n">
        <v>16</v>
      </c>
      <c r="BO162" t="n">
        <v>138</v>
      </c>
      <c r="BP162" t="n">
        <v>284</v>
      </c>
      <c r="BQ162" t="n">
        <v>378</v>
      </c>
      <c r="BR162" t="n">
        <v>910</v>
      </c>
      <c r="BS16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3">
      <c r="A163" t="inlineStr">
        <is>
          <t>FRAG</t>
        </is>
      </c>
      <c r="B163" t="inlineStr">
        <is>
          <t>Fragmentación Desmonte 2025.xlsx</t>
        </is>
      </c>
      <c r="C163" t="inlineStr">
        <is>
          <t>ANÁLISIS DE FRAGMENTACIÓN</t>
        </is>
      </c>
      <c r="D163" t="n">
        <v>167</v>
      </c>
      <c r="E163" t="inlineStr">
        <is>
          <t>ROM (fragmentación post-voladura en el frente de carguío, por análisis de fotos)</t>
        </is>
      </c>
      <c r="F163" t="inlineStr"/>
      <c r="G163" t="inlineStr">
        <is>
          <t>no indicada en el archivo</t>
        </is>
      </c>
      <c r="H163" t="inlineStr">
        <is>
          <t>2025-04-01</t>
        </is>
      </c>
      <c r="I163" t="inlineStr">
        <is>
          <t>2025-04-15</t>
        </is>
      </c>
      <c r="J163" t="inlineStr">
        <is>
          <t>PALA 08</t>
        </is>
      </c>
      <c r="K163" t="n">
        <v>9</v>
      </c>
      <c r="L163" t="inlineStr">
        <is>
          <t>9-NP-3923-05</t>
        </is>
      </c>
      <c r="M163" t="n">
        <v>3</v>
      </c>
      <c r="N163" t="n">
        <v>3923</v>
      </c>
      <c r="O163" t="inlineStr">
        <is>
          <t>A</t>
        </is>
      </c>
      <c r="P163" t="n">
        <v>30</v>
      </c>
      <c r="Q163" t="inlineStr">
        <is>
          <t>Desmonte</t>
        </is>
      </c>
      <c r="R163" t="inlineStr">
        <is>
          <t>Producción</t>
        </is>
      </c>
      <c r="S163" t="n">
        <v>7</v>
      </c>
      <c r="T163" t="n">
        <v>5.3</v>
      </c>
      <c r="U163" t="n">
        <v>3</v>
      </c>
      <c r="V163" t="n">
        <v>0.9056193764726388</v>
      </c>
      <c r="W163" t="n">
        <v>0.158</v>
      </c>
      <c r="X163" t="n">
        <v>0.256</v>
      </c>
      <c r="Y163" t="n">
        <v>0.5</v>
      </c>
      <c r="Z163" t="n">
        <v>1.3</v>
      </c>
      <c r="AA163" t="n">
        <v>2.5</v>
      </c>
      <c r="AB163" t="n">
        <v>3.8</v>
      </c>
      <c r="AC163" t="n">
        <v>5.3</v>
      </c>
      <c r="AD163" t="n">
        <v>7.3</v>
      </c>
      <c r="AE163" t="n">
        <v>9.699999999999999</v>
      </c>
      <c r="AF163" t="n">
        <v>13.3</v>
      </c>
      <c r="AG163" t="n">
        <v>19.3</v>
      </c>
      <c r="AH163" t="n">
        <v>72.8</v>
      </c>
      <c r="AI163" t="inlineStr"/>
      <c r="AJ163" t="n">
        <v>379376.25</v>
      </c>
      <c r="AK163" t="n">
        <v>183739</v>
      </c>
      <c r="AL163" t="n">
        <v>0.4843186678132856</v>
      </c>
      <c r="AM163" t="inlineStr">
        <is>
          <t>1.4965446835430527</t>
        </is>
      </c>
      <c r="AN163" t="inlineStr">
        <is>
          <t>16.5</t>
        </is>
      </c>
      <c r="AO163" t="inlineStr">
        <is>
          <t>6.5</t>
        </is>
      </c>
      <c r="AP163" t="inlineStr">
        <is>
          <t>12 1/4</t>
        </is>
      </c>
      <c r="AQ163" t="inlineStr">
        <is>
          <t>6</t>
        </is>
      </c>
      <c r="AR163" t="inlineStr">
        <is>
          <t>7</t>
        </is>
      </c>
      <c r="AS163" t="inlineStr">
        <is>
          <t>1.5</t>
        </is>
      </c>
      <c r="AT163" t="n">
        <v>194</v>
      </c>
      <c r="AU163" t="inlineStr">
        <is>
          <t>Vertex 70</t>
        </is>
      </c>
      <c r="AV163" t="inlineStr">
        <is>
          <t>45D2/55AR</t>
        </is>
      </c>
      <c r="AW163" t="n">
        <v>0.6639262429569346</v>
      </c>
      <c r="AX163" t="n">
        <v>0.728052147320416</v>
      </c>
      <c r="AY163" t="n">
        <v>0.7888050339695964</v>
      </c>
      <c r="AZ163" t="n">
        <v>0.8438428153700123</v>
      </c>
      <c r="BA163" t="n">
        <v>0.8725453230398443</v>
      </c>
      <c r="BB163" t="n">
        <v>2.086614173228346</v>
      </c>
      <c r="BC163" t="n">
        <v>0.441672657298417</v>
      </c>
      <c r="BD163" t="n">
        <v>1.011513883660796</v>
      </c>
      <c r="BE163" t="n">
        <v>1.697805041103477</v>
      </c>
      <c r="BF163" t="n">
        <v>2.524327491449186</v>
      </c>
      <c r="BG163" t="n">
        <v>3.536003550265306</v>
      </c>
      <c r="BH163" t="n">
        <v>4.812296749464446</v>
      </c>
      <c r="BI163" t="n">
        <v>6.505701716790062</v>
      </c>
      <c r="BJ163" t="n">
        <v>8.963734696993297</v>
      </c>
      <c r="BK163" t="n">
        <v>13.31191286831005</v>
      </c>
      <c r="BL163" t="n">
        <v>44.78016639297356</v>
      </c>
      <c r="BM163" t="inlineStr"/>
      <c r="BN163" t="n">
        <v>5</v>
      </c>
      <c r="BO163" t="n">
        <v>53</v>
      </c>
      <c r="BP163" t="n">
        <v>133</v>
      </c>
      <c r="BQ163" t="n">
        <v>193</v>
      </c>
      <c r="BR163" t="n">
        <v>728</v>
      </c>
      <c r="BS16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4">
      <c r="A164" t="inlineStr">
        <is>
          <t>FRAG</t>
        </is>
      </c>
      <c r="B164" t="inlineStr">
        <is>
          <t>Fragmentación Desmonte 2025.xlsx</t>
        </is>
      </c>
      <c r="C164" t="inlineStr">
        <is>
          <t>ANÁLISIS DE FRAGMENTACIÓN</t>
        </is>
      </c>
      <c r="D164" t="n">
        <v>168</v>
      </c>
      <c r="E164" t="inlineStr">
        <is>
          <t>ROM (fragmentación post-voladura en el frente de carguío, por análisis de fotos)</t>
        </is>
      </c>
      <c r="F164" t="inlineStr"/>
      <c r="G164" t="inlineStr">
        <is>
          <t>no indicada en el archivo</t>
        </is>
      </c>
      <c r="H164" t="inlineStr">
        <is>
          <t>2025-03-29</t>
        </is>
      </c>
      <c r="I164" t="inlineStr">
        <is>
          <t>2025-04-16</t>
        </is>
      </c>
      <c r="J164" t="inlineStr">
        <is>
          <t>PALA 11</t>
        </is>
      </c>
      <c r="K164" t="n">
        <v>10</v>
      </c>
      <c r="L164" t="inlineStr">
        <is>
          <t>10-NP-4418-16</t>
        </is>
      </c>
      <c r="M164" t="n">
        <v>1</v>
      </c>
      <c r="N164" t="n">
        <v>4418</v>
      </c>
      <c r="O164" t="inlineStr">
        <is>
          <t>C</t>
        </is>
      </c>
      <c r="P164" t="n">
        <v>30</v>
      </c>
      <c r="Q164" t="inlineStr">
        <is>
          <t>Desmonte</t>
        </is>
      </c>
      <c r="R164" t="inlineStr">
        <is>
          <t>Producción</t>
        </is>
      </c>
      <c r="S164" t="n">
        <v>6</v>
      </c>
      <c r="T164" t="n">
        <v>7.2</v>
      </c>
      <c r="U164" t="n">
        <v>3</v>
      </c>
      <c r="V164" t="n">
        <v>0.949908153555214</v>
      </c>
      <c r="W164" t="n">
        <v>0.157</v>
      </c>
      <c r="X164" t="n">
        <v>0.234</v>
      </c>
      <c r="Y164" t="n">
        <v>0.4</v>
      </c>
      <c r="Z164" t="n">
        <v>1.5</v>
      </c>
      <c r="AA164" t="n">
        <v>3</v>
      </c>
      <c r="AB164" t="n">
        <v>4.9</v>
      </c>
      <c r="AC164" t="n">
        <v>7.2</v>
      </c>
      <c r="AD164" t="n">
        <v>10.1</v>
      </c>
      <c r="AE164" t="n">
        <v>13.8</v>
      </c>
      <c r="AF164" t="n">
        <v>19</v>
      </c>
      <c r="AG164" t="n">
        <v>27.7</v>
      </c>
      <c r="AH164" t="n">
        <v>81.40000000000001</v>
      </c>
      <c r="AI164" t="inlineStr"/>
      <c r="AJ164" t="n">
        <v>1576245</v>
      </c>
      <c r="AK164" t="n">
        <v>524318.5</v>
      </c>
      <c r="AL164" t="n">
        <v>0.3326376927444655</v>
      </c>
      <c r="AM164" t="inlineStr">
        <is>
          <t>1.0278504705803984</t>
        </is>
      </c>
      <c r="AN164" t="inlineStr">
        <is>
          <t>17</t>
        </is>
      </c>
      <c r="AO164" t="inlineStr">
        <is>
          <t>7</t>
        </is>
      </c>
      <c r="AP164" t="inlineStr">
        <is>
          <t>12 1/4</t>
        </is>
      </c>
      <c r="AQ164" t="inlineStr">
        <is>
          <t>9</t>
        </is>
      </c>
      <c r="AR164" t="inlineStr">
        <is>
          <t>10.35</t>
        </is>
      </c>
      <c r="AS164" t="inlineStr">
        <is>
          <t>2</t>
        </is>
      </c>
      <c r="AT164" t="n">
        <v>558</v>
      </c>
      <c r="AU164" t="inlineStr">
        <is>
          <t>Vertex 70</t>
        </is>
      </c>
      <c r="AV164" t="inlineStr">
        <is>
          <t>34D2/66AR</t>
        </is>
      </c>
      <c r="AW164" t="n">
        <v>0.6571003251689612</v>
      </c>
      <c r="AX164" t="n">
        <v>0.7160027975249752</v>
      </c>
      <c r="AY164" t="n">
        <v>0.7724653974907097</v>
      </c>
      <c r="AZ164" t="n">
        <v>0.8246809399427234</v>
      </c>
      <c r="BA164" t="n">
        <v>0.8525751288929189</v>
      </c>
      <c r="BB164" t="n">
        <v>2.834645669291338</v>
      </c>
      <c r="BC164" t="n">
        <v>0.6737098660682908</v>
      </c>
      <c r="BD164" t="n">
        <v>1.484449753774313</v>
      </c>
      <c r="BE164" t="n">
        <v>2.432175610024665</v>
      </c>
      <c r="BF164" t="n">
        <v>3.549943238406723</v>
      </c>
      <c r="BG164" t="n">
        <v>4.895129095161726</v>
      </c>
      <c r="BH164" t="n">
        <v>6.566949526273797</v>
      </c>
      <c r="BI164" t="n">
        <v>8.753875417369848</v>
      </c>
      <c r="BJ164" t="n">
        <v>11.88243233560948</v>
      </c>
      <c r="BK164" t="n">
        <v>17.32403428747499</v>
      </c>
      <c r="BL164" t="n">
        <v>55.07195516986987</v>
      </c>
      <c r="BM164" t="inlineStr"/>
      <c r="BN164" t="n">
        <v>4</v>
      </c>
      <c r="BO164" t="n">
        <v>72</v>
      </c>
      <c r="BP164" t="n">
        <v>190</v>
      </c>
      <c r="BQ164" t="n">
        <v>277</v>
      </c>
      <c r="BR164" t="n">
        <v>814</v>
      </c>
      <c r="BS16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5">
      <c r="A165" t="inlineStr">
        <is>
          <t>FRAG</t>
        </is>
      </c>
      <c r="B165" t="inlineStr">
        <is>
          <t>Fragmentación Desmonte 2025.xlsx</t>
        </is>
      </c>
      <c r="C165" t="inlineStr">
        <is>
          <t>ANÁLISIS DE FRAGMENTACIÓN</t>
        </is>
      </c>
      <c r="D165" t="n">
        <v>169</v>
      </c>
      <c r="E165" t="inlineStr">
        <is>
          <t>ROM (fragmentación post-voladura en el frente de carguío, por análisis de fotos)</t>
        </is>
      </c>
      <c r="F165" t="inlineStr"/>
      <c r="G165" t="inlineStr">
        <is>
          <t>no indicada en el archivo</t>
        </is>
      </c>
      <c r="H165" t="inlineStr">
        <is>
          <t>2025-04-01</t>
        </is>
      </c>
      <c r="I165" t="inlineStr">
        <is>
          <t>2025-04-17</t>
        </is>
      </c>
      <c r="J165" t="inlineStr">
        <is>
          <t>PALA 09</t>
        </is>
      </c>
      <c r="K165" t="n">
        <v>9</v>
      </c>
      <c r="L165" t="inlineStr">
        <is>
          <t>9-NP-3923-05</t>
        </is>
      </c>
      <c r="M165" t="n">
        <v>9</v>
      </c>
      <c r="N165" t="n">
        <v>3923</v>
      </c>
      <c r="O165" t="inlineStr">
        <is>
          <t>A</t>
        </is>
      </c>
      <c r="P165" t="n">
        <v>30</v>
      </c>
      <c r="Q165" t="inlineStr">
        <is>
          <t>Desmonte</t>
        </is>
      </c>
      <c r="R165" t="inlineStr">
        <is>
          <t>Producción</t>
        </is>
      </c>
      <c r="S165" t="n">
        <v>4</v>
      </c>
      <c r="T165" t="n">
        <v>9.5</v>
      </c>
      <c r="U165" t="n">
        <v>3</v>
      </c>
      <c r="V165" t="n">
        <v>1.036019444489503</v>
      </c>
      <c r="W165" t="n">
        <v>0.132</v>
      </c>
      <c r="X165" t="n">
        <v>0.194</v>
      </c>
      <c r="Y165" t="n">
        <v>0.5</v>
      </c>
      <c r="Z165" t="n">
        <v>2</v>
      </c>
      <c r="AA165" t="n">
        <v>4.1</v>
      </c>
      <c r="AB165" t="n">
        <v>6.6</v>
      </c>
      <c r="AC165" t="n">
        <v>9.5</v>
      </c>
      <c r="AD165" t="n">
        <v>13.1</v>
      </c>
      <c r="AE165" t="n">
        <v>17.5</v>
      </c>
      <c r="AF165" t="n">
        <v>23.4</v>
      </c>
      <c r="AG165" t="n">
        <v>32.8</v>
      </c>
      <c r="AH165" t="n">
        <v>79.7</v>
      </c>
      <c r="AI165" t="inlineStr"/>
      <c r="AJ165" t="n">
        <v>379376.25</v>
      </c>
      <c r="AK165" t="n">
        <v>183739</v>
      </c>
      <c r="AL165" t="n">
        <v>0.4843186678132856</v>
      </c>
      <c r="AM165" t="inlineStr">
        <is>
          <t>1.4965446835430527</t>
        </is>
      </c>
      <c r="AN165" t="inlineStr">
        <is>
          <t>16.5</t>
        </is>
      </c>
      <c r="AO165" t="inlineStr">
        <is>
          <t>6.5</t>
        </is>
      </c>
      <c r="AP165" t="inlineStr">
        <is>
          <t>12 1/4</t>
        </is>
      </c>
      <c r="AQ165" t="inlineStr">
        <is>
          <t>6</t>
        </is>
      </c>
      <c r="AR165" t="inlineStr">
        <is>
          <t>7</t>
        </is>
      </c>
      <c r="AS165" t="inlineStr">
        <is>
          <t>1.5</t>
        </is>
      </c>
      <c r="AT165" t="n">
        <v>194</v>
      </c>
      <c r="AU165" t="inlineStr">
        <is>
          <t>Vertex 70</t>
        </is>
      </c>
      <c r="AV165" t="inlineStr">
        <is>
          <t>45D2/55AR</t>
        </is>
      </c>
      <c r="AW165" t="n">
        <v>0.6466496030003399</v>
      </c>
      <c r="AX165" t="n">
        <v>0.6957865764646151</v>
      </c>
      <c r="AY165" t="n">
        <v>0.7436745468132377</v>
      </c>
      <c r="AZ165" t="n">
        <v>0.7892834957650252</v>
      </c>
      <c r="BA165" t="n">
        <v>0.8144964247586</v>
      </c>
      <c r="BB165" t="n">
        <v>3.740157480314961</v>
      </c>
      <c r="BC165" t="n">
        <v>1.082381095124595</v>
      </c>
      <c r="BD165" t="n">
        <v>2.233344978328893</v>
      </c>
      <c r="BE165" t="n">
        <v>3.512063932112949</v>
      </c>
      <c r="BF165" t="n">
        <v>4.967510654558481</v>
      </c>
      <c r="BG165" t="n">
        <v>6.669343892093015</v>
      </c>
      <c r="BH165" t="n">
        <v>8.731259445311899</v>
      </c>
      <c r="BI165" t="n">
        <v>11.36416341455867</v>
      </c>
      <c r="BJ165" t="n">
        <v>15.03877143122375</v>
      </c>
      <c r="BK165" t="n">
        <v>21.24937135996345</v>
      </c>
      <c r="BL165" t="n">
        <v>61.35913017449819</v>
      </c>
      <c r="BM165" t="inlineStr"/>
      <c r="BN165" t="n">
        <v>5</v>
      </c>
      <c r="BO165" t="n">
        <v>95</v>
      </c>
      <c r="BP165" t="n">
        <v>234</v>
      </c>
      <c r="BQ165" t="n">
        <v>328</v>
      </c>
      <c r="BR165" t="n">
        <v>797</v>
      </c>
      <c r="BS16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6">
      <c r="A166" t="inlineStr">
        <is>
          <t>FRAG</t>
        </is>
      </c>
      <c r="B166" t="inlineStr">
        <is>
          <t>Fragmentación Desmonte 2025.xlsx</t>
        </is>
      </c>
      <c r="C166" t="inlineStr">
        <is>
          <t>ANÁLISIS DE FRAGMENTACIÓN</t>
        </is>
      </c>
      <c r="D166" t="n">
        <v>170</v>
      </c>
      <c r="E166" t="inlineStr">
        <is>
          <t>ROM (fragmentación post-voladura en el frente de carguío, por análisis de fotos)</t>
        </is>
      </c>
      <c r="F166" t="inlineStr"/>
      <c r="G166" t="inlineStr">
        <is>
          <t>no indicada en el archivo</t>
        </is>
      </c>
      <c r="H166" t="inlineStr">
        <is>
          <t>2025-04-12</t>
        </is>
      </c>
      <c r="I166" t="inlineStr">
        <is>
          <t>2025-04-17</t>
        </is>
      </c>
      <c r="J166" t="inlineStr">
        <is>
          <t>PALA 09</t>
        </is>
      </c>
      <c r="K166" t="n">
        <v>9</v>
      </c>
      <c r="L166" t="inlineStr">
        <is>
          <t>9-NP-3953-30</t>
        </is>
      </c>
      <c r="M166" t="n">
        <v>5</v>
      </c>
      <c r="N166" t="n">
        <v>3953</v>
      </c>
      <c r="O166" t="inlineStr">
        <is>
          <t>A</t>
        </is>
      </c>
      <c r="P166" t="n">
        <v>30</v>
      </c>
      <c r="Q166" t="inlineStr">
        <is>
          <t>Desmonte</t>
        </is>
      </c>
      <c r="R166" t="inlineStr">
        <is>
          <t>TRIM</t>
        </is>
      </c>
      <c r="S166" t="n">
        <v>7</v>
      </c>
      <c r="T166" t="n">
        <v>11.1</v>
      </c>
      <c r="U166" t="n">
        <v>3</v>
      </c>
      <c r="V166" t="n">
        <v>1.140793989852332</v>
      </c>
      <c r="W166" t="n">
        <v>0.068</v>
      </c>
      <c r="X166" t="n">
        <v>0.115</v>
      </c>
      <c r="Y166" t="n">
        <v>1.6</v>
      </c>
      <c r="Z166" t="n">
        <v>3.9</v>
      </c>
      <c r="AA166" t="n">
        <v>6.2</v>
      </c>
      <c r="AB166" t="n">
        <v>8.6</v>
      </c>
      <c r="AC166" t="n">
        <v>11.2</v>
      </c>
      <c r="AD166" t="n">
        <v>14.1</v>
      </c>
      <c r="AE166" t="n">
        <v>17.6</v>
      </c>
      <c r="AF166" t="n">
        <v>22.1</v>
      </c>
      <c r="AG166" t="n">
        <v>29.1</v>
      </c>
      <c r="AH166" t="n">
        <v>72.09999999999999</v>
      </c>
      <c r="AI166" t="inlineStr"/>
      <c r="AJ166" t="n">
        <v>587688.75</v>
      </c>
      <c r="AK166" t="n">
        <v>300660</v>
      </c>
      <c r="AL166" t="n">
        <v>0.5115973378765546</v>
      </c>
      <c r="AM166" t="inlineStr">
        <is>
          <t>-</t>
        </is>
      </c>
      <c r="AN166" t="inlineStr">
        <is>
          <t xml:space="preserve"> - </t>
        </is>
      </c>
      <c r="AO166" t="inlineStr">
        <is>
          <t xml:space="preserve"> - </t>
        </is>
      </c>
      <c r="AP166" t="inlineStr">
        <is>
          <t>9 7/8</t>
        </is>
      </c>
      <c r="AQ166" t="inlineStr">
        <is>
          <t xml:space="preserve"> - </t>
        </is>
      </c>
      <c r="AR166" t="inlineStr">
        <is>
          <t xml:space="preserve"> - </t>
        </is>
      </c>
      <c r="AS166" t="inlineStr">
        <is>
          <t xml:space="preserve"> - </t>
        </is>
      </c>
      <c r="AT166" t="n">
        <v>401</v>
      </c>
      <c r="AU166" t="inlineStr">
        <is>
          <t>Emulgex 70</t>
        </is>
      </c>
      <c r="AV166" t="inlineStr">
        <is>
          <t>52D2/48AR</t>
        </is>
      </c>
      <c r="AW166" t="n">
        <v>0.636659570061233</v>
      </c>
      <c r="AX166" t="n">
        <v>0.6659351844926138</v>
      </c>
      <c r="AY166" t="n">
        <v>0.6949854401465885</v>
      </c>
      <c r="AZ166" t="n">
        <v>0.7236038134551991</v>
      </c>
      <c r="BA166" t="n">
        <v>0.7400589501917496</v>
      </c>
      <c r="BB166" t="n">
        <v>4.370078740157481</v>
      </c>
      <c r="BC166" t="n">
        <v>1.543901392405733</v>
      </c>
      <c r="BD166" t="n">
        <v>2.980598226365853</v>
      </c>
      <c r="BE166" t="n">
        <v>4.49627634311555</v>
      </c>
      <c r="BF166" t="n">
        <v>6.160272479834139</v>
      </c>
      <c r="BG166" t="n">
        <v>8.049953470957668</v>
      </c>
      <c r="BH166" t="n">
        <v>10.28115792201862</v>
      </c>
      <c r="BI166" t="n">
        <v>13.06141245103403</v>
      </c>
      <c r="BJ166" t="n">
        <v>16.8457356458979</v>
      </c>
      <c r="BK166" t="n">
        <v>23.05870417063725</v>
      </c>
      <c r="BL166" t="n">
        <v>60.40474008738958</v>
      </c>
      <c r="BM166" t="inlineStr"/>
      <c r="BN166" t="n">
        <v>16</v>
      </c>
      <c r="BO166" t="n">
        <v>112</v>
      </c>
      <c r="BP166" t="n">
        <v>221</v>
      </c>
      <c r="BQ166" t="n">
        <v>291</v>
      </c>
      <c r="BR166" t="n">
        <v>721</v>
      </c>
      <c r="BS16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7">
      <c r="A167" t="inlineStr">
        <is>
          <t>FRAG</t>
        </is>
      </c>
      <c r="B167" t="inlineStr">
        <is>
          <t>Fragmentación Desmonte 2025.xlsx</t>
        </is>
      </c>
      <c r="C167" t="inlineStr">
        <is>
          <t>ANÁLISIS DE FRAGMENTACIÓN</t>
        </is>
      </c>
      <c r="D167" t="n">
        <v>171</v>
      </c>
      <c r="E167" t="inlineStr">
        <is>
          <t>ROM (fragmentación post-voladura en el frente de carguío, por análisis de fotos)</t>
        </is>
      </c>
      <c r="F167" t="inlineStr"/>
      <c r="G167" t="inlineStr">
        <is>
          <t>no indicada en el archivo</t>
        </is>
      </c>
      <c r="H167" t="inlineStr">
        <is>
          <t>2025-04-01</t>
        </is>
      </c>
      <c r="I167" t="inlineStr">
        <is>
          <t>2025-04-17</t>
        </is>
      </c>
      <c r="J167" t="inlineStr">
        <is>
          <t>PALA 08</t>
        </is>
      </c>
      <c r="K167" t="n">
        <v>9</v>
      </c>
      <c r="L167" t="inlineStr">
        <is>
          <t>9-NP-3923-05</t>
        </is>
      </c>
      <c r="M167" t="n">
        <v>3</v>
      </c>
      <c r="N167" t="n">
        <v>3923</v>
      </c>
      <c r="O167" t="inlineStr">
        <is>
          <t>A</t>
        </is>
      </c>
      <c r="P167" t="n">
        <v>30</v>
      </c>
      <c r="Q167" t="inlineStr">
        <is>
          <t>Desmonte</t>
        </is>
      </c>
      <c r="R167" t="inlineStr">
        <is>
          <t>Producción</t>
        </is>
      </c>
      <c r="S167" t="n">
        <v>2</v>
      </c>
      <c r="T167" t="n">
        <v>6.4</v>
      </c>
      <c r="U167" t="n">
        <v>3</v>
      </c>
      <c r="V167" t="n">
        <v>1.019912660354541</v>
      </c>
      <c r="W167" t="n">
        <v>0.117</v>
      </c>
      <c r="X167" t="n">
        <v>0.199</v>
      </c>
      <c r="Y167" t="n">
        <v>0.8</v>
      </c>
      <c r="Z167" t="n">
        <v>2</v>
      </c>
      <c r="AA167" t="n">
        <v>3.3</v>
      </c>
      <c r="AB167" t="n">
        <v>4.8</v>
      </c>
      <c r="AC167" t="n">
        <v>6.4</v>
      </c>
      <c r="AD167" t="n">
        <v>8.300000000000001</v>
      </c>
      <c r="AE167" t="n">
        <v>10.7</v>
      </c>
      <c r="AF167" t="n">
        <v>13.9</v>
      </c>
      <c r="AG167" t="n">
        <v>19.1</v>
      </c>
      <c r="AH167" t="n">
        <v>56.4</v>
      </c>
      <c r="AI167" t="inlineStr"/>
      <c r="AJ167" t="n">
        <v>379376.25</v>
      </c>
      <c r="AK167" t="n">
        <v>183739</v>
      </c>
      <c r="AL167" t="n">
        <v>0.4843186678132856</v>
      </c>
      <c r="AM167" t="inlineStr">
        <is>
          <t>1.4965446835430527</t>
        </is>
      </c>
      <c r="AN167" t="inlineStr">
        <is>
          <t>16.5</t>
        </is>
      </c>
      <c r="AO167" t="inlineStr">
        <is>
          <t>6.5</t>
        </is>
      </c>
      <c r="AP167" t="inlineStr">
        <is>
          <t>12 1/4</t>
        </is>
      </c>
      <c r="AQ167" t="inlineStr">
        <is>
          <t>6</t>
        </is>
      </c>
      <c r="AR167" t="inlineStr">
        <is>
          <t>7</t>
        </is>
      </c>
      <c r="AS167" t="inlineStr">
        <is>
          <t>1.5</t>
        </is>
      </c>
      <c r="AT167" t="n">
        <v>194</v>
      </c>
      <c r="AU167" t="inlineStr">
        <is>
          <t>Vertex 70</t>
        </is>
      </c>
      <c r="AV167" t="inlineStr">
        <is>
          <t>45D2/55AR</t>
        </is>
      </c>
      <c r="AW167" t="n">
        <v>0.6481699175361749</v>
      </c>
      <c r="AX167" t="n">
        <v>0.6985366497329071</v>
      </c>
      <c r="AY167" t="n">
        <v>0.7475286804224135</v>
      </c>
      <c r="AZ167" t="n">
        <v>0.7940329403300803</v>
      </c>
      <c r="BA167" t="n">
        <v>0.8196422852399975</v>
      </c>
      <c r="BB167" t="n">
        <v>2.519685039370079</v>
      </c>
      <c r="BC167" t="n">
        <v>0.7045940781106241</v>
      </c>
      <c r="BD167" t="n">
        <v>1.470559092662421</v>
      </c>
      <c r="BE167" t="n">
        <v>2.329131211216642</v>
      </c>
      <c r="BF167" t="n">
        <v>3.312442129117371</v>
      </c>
      <c r="BG167" t="n">
        <v>4.46799975747054</v>
      </c>
      <c r="BH167" t="n">
        <v>5.874278403406277</v>
      </c>
      <c r="BI167" t="n">
        <v>7.677550824304546</v>
      </c>
      <c r="BJ167" t="n">
        <v>10.20514352589205</v>
      </c>
      <c r="BK167" t="n">
        <v>14.49852441440647</v>
      </c>
      <c r="BL167" t="n">
        <v>42.57256302461877</v>
      </c>
      <c r="BM167" t="inlineStr"/>
      <c r="BN167" t="n">
        <v>8</v>
      </c>
      <c r="BO167" t="n">
        <v>64</v>
      </c>
      <c r="BP167" t="n">
        <v>139</v>
      </c>
      <c r="BQ167" t="n">
        <v>191</v>
      </c>
      <c r="BR167" t="n">
        <v>564</v>
      </c>
      <c r="BS16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8">
      <c r="A168" t="inlineStr">
        <is>
          <t>FRAG</t>
        </is>
      </c>
      <c r="B168" t="inlineStr">
        <is>
          <t>Fragmentación Desmonte 2025.xlsx</t>
        </is>
      </c>
      <c r="C168" t="inlineStr">
        <is>
          <t>ANÁLISIS DE FRAGMENTACIÓN</t>
        </is>
      </c>
      <c r="D168" t="n">
        <v>172</v>
      </c>
      <c r="E168" t="inlineStr">
        <is>
          <t>ROM (fragmentación post-voladura en el frente de carguío, por análisis de fotos)</t>
        </is>
      </c>
      <c r="F168" t="inlineStr"/>
      <c r="G168" t="inlineStr">
        <is>
          <t>no indicada en el archivo</t>
        </is>
      </c>
      <c r="H168" t="inlineStr">
        <is>
          <t>2025-04-01</t>
        </is>
      </c>
      <c r="I168" t="inlineStr">
        <is>
          <t>2025-04-17</t>
        </is>
      </c>
      <c r="J168" t="inlineStr">
        <is>
          <t>PALA 08</t>
        </is>
      </c>
      <c r="K168" t="n">
        <v>9</v>
      </c>
      <c r="L168" t="inlineStr">
        <is>
          <t>9-NP-3923-05</t>
        </is>
      </c>
      <c r="M168" t="n">
        <v>1</v>
      </c>
      <c r="N168" t="n">
        <v>3923</v>
      </c>
      <c r="O168" t="inlineStr">
        <is>
          <t>B</t>
        </is>
      </c>
      <c r="P168" t="n">
        <v>30</v>
      </c>
      <c r="Q168" t="inlineStr">
        <is>
          <t>Desmonte</t>
        </is>
      </c>
      <c r="R168" t="inlineStr">
        <is>
          <t>Producción</t>
        </is>
      </c>
      <c r="S168" t="n">
        <v>2</v>
      </c>
      <c r="T168" t="n">
        <v>4.2</v>
      </c>
      <c r="U168" t="n">
        <v>3</v>
      </c>
      <c r="V168" t="n">
        <v>0.9006570354404166</v>
      </c>
      <c r="W168" t="n">
        <v>0.196</v>
      </c>
      <c r="X168" t="n">
        <v>0.308</v>
      </c>
      <c r="Y168" t="n">
        <v>0.3</v>
      </c>
      <c r="Z168" t="n">
        <v>1</v>
      </c>
      <c r="AA168" t="n">
        <v>1.9</v>
      </c>
      <c r="AB168" t="n">
        <v>3</v>
      </c>
      <c r="AC168" t="n">
        <v>4.3</v>
      </c>
      <c r="AD168" t="n">
        <v>5.9</v>
      </c>
      <c r="AE168" t="n">
        <v>8.1</v>
      </c>
      <c r="AF168" t="n">
        <v>11.2</v>
      </c>
      <c r="AG168" t="n">
        <v>16.6</v>
      </c>
      <c r="AH168" t="n">
        <v>60.5</v>
      </c>
      <c r="AI168" t="inlineStr"/>
      <c r="AJ168" t="n">
        <v>379376.25</v>
      </c>
      <c r="AK168" t="n">
        <v>183739</v>
      </c>
      <c r="AL168" t="n">
        <v>0.4843186678132856</v>
      </c>
      <c r="AM168" t="inlineStr">
        <is>
          <t>1.4965446835430527</t>
        </is>
      </c>
      <c r="AN168" t="inlineStr">
        <is>
          <t>16.5</t>
        </is>
      </c>
      <c r="AO168" t="inlineStr">
        <is>
          <t>6.5</t>
        </is>
      </c>
      <c r="AP168" t="inlineStr">
        <is>
          <t>12 1/4</t>
        </is>
      </c>
      <c r="AQ168" t="inlineStr">
        <is>
          <t>6</t>
        </is>
      </c>
      <c r="AR168" t="inlineStr">
        <is>
          <t>7</t>
        </is>
      </c>
      <c r="AS168" t="inlineStr">
        <is>
          <t>1.5</t>
        </is>
      </c>
      <c r="AT168" t="n">
        <v>194</v>
      </c>
      <c r="AU168" t="inlineStr">
        <is>
          <t>Vertex 70</t>
        </is>
      </c>
      <c r="AV168" t="inlineStr">
        <is>
          <t>45D2/55AR</t>
        </is>
      </c>
      <c r="AW168" t="n">
        <v>0.6709836591383476</v>
      </c>
      <c r="AX168" t="n">
        <v>0.7474659679539022</v>
      </c>
      <c r="AY168" t="n">
        <v>0.8179972897919554</v>
      </c>
      <c r="AZ168" t="n">
        <v>0.8786657056669359</v>
      </c>
      <c r="BA168" t="n">
        <v>0.9083487121624174</v>
      </c>
      <c r="BB168" t="n">
        <v>1.653543307086614</v>
      </c>
      <c r="BC168" t="n">
        <v>0.3452454894382047</v>
      </c>
      <c r="BD168" t="n">
        <v>0.7942955450872751</v>
      </c>
      <c r="BE168" t="n">
        <v>1.337018186391355</v>
      </c>
      <c r="BF168" t="n">
        <v>1.992252041209494</v>
      </c>
      <c r="BG168" t="n">
        <v>2.795874754169932</v>
      </c>
      <c r="BH168" t="n">
        <v>3.811490447545908</v>
      </c>
      <c r="BI168" t="n">
        <v>5.161287260011344</v>
      </c>
      <c r="BJ168" t="n">
        <v>7.123932542832324</v>
      </c>
      <c r="BK168" t="n">
        <v>10.60272672546197</v>
      </c>
      <c r="BL168" t="n">
        <v>35.90587863708182</v>
      </c>
      <c r="BM168" t="inlineStr"/>
      <c r="BN168" t="n">
        <v>3</v>
      </c>
      <c r="BO168" t="n">
        <v>43</v>
      </c>
      <c r="BP168" t="n">
        <v>112</v>
      </c>
      <c r="BQ168" t="n">
        <v>166</v>
      </c>
      <c r="BR168" t="n">
        <v>605</v>
      </c>
      <c r="BS16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69">
      <c r="A169" t="inlineStr">
        <is>
          <t>FRAG</t>
        </is>
      </c>
      <c r="B169" t="inlineStr">
        <is>
          <t>Fragmentación Desmonte 2025.xlsx</t>
        </is>
      </c>
      <c r="C169" t="inlineStr">
        <is>
          <t>ANÁLISIS DE FRAGMENTACIÓN</t>
        </is>
      </c>
      <c r="D169" t="n">
        <v>173</v>
      </c>
      <c r="E169" t="inlineStr">
        <is>
          <t>ROM (fragmentación post-voladura en el frente de carguío, por análisis de fotos)</t>
        </is>
      </c>
      <c r="F169" t="inlineStr"/>
      <c r="G169" t="inlineStr">
        <is>
          <t>no indicada en el archivo</t>
        </is>
      </c>
      <c r="H169" t="inlineStr">
        <is>
          <t>2025-03-26</t>
        </is>
      </c>
      <c r="I169" t="inlineStr">
        <is>
          <t>2025-04-18</t>
        </is>
      </c>
      <c r="J169" t="inlineStr">
        <is>
          <t>PALA 06</t>
        </is>
      </c>
      <c r="K169" t="n">
        <v>10</v>
      </c>
      <c r="L169" t="inlineStr">
        <is>
          <t>10-NP-4418-15</t>
        </is>
      </c>
      <c r="M169" t="n">
        <v>2</v>
      </c>
      <c r="N169" t="n">
        <v>4418</v>
      </c>
      <c r="O169" t="inlineStr">
        <is>
          <t>C1</t>
        </is>
      </c>
      <c r="P169" t="n">
        <v>30</v>
      </c>
      <c r="Q169" t="inlineStr">
        <is>
          <t>Desmonte</t>
        </is>
      </c>
      <c r="R169" t="inlineStr">
        <is>
          <t>Producción</t>
        </is>
      </c>
      <c r="S169" t="n">
        <v>13</v>
      </c>
      <c r="T169" t="n">
        <v>9.300000000000001</v>
      </c>
      <c r="U169" t="n">
        <v>4</v>
      </c>
      <c r="V169" t="n">
        <v>1.260348091107924</v>
      </c>
      <c r="W169" t="n">
        <v>0.065</v>
      </c>
      <c r="X169" t="n">
        <v>0.121</v>
      </c>
      <c r="Y169" t="n">
        <v>1.6</v>
      </c>
      <c r="Z169" t="n">
        <v>3.4</v>
      </c>
      <c r="AA169" t="n">
        <v>5.3</v>
      </c>
      <c r="AB169" t="n">
        <v>7.2</v>
      </c>
      <c r="AC169" t="n">
        <v>9.4</v>
      </c>
      <c r="AD169" t="n">
        <v>11.9</v>
      </c>
      <c r="AE169" t="n">
        <v>15</v>
      </c>
      <c r="AF169" t="n">
        <v>19.3</v>
      </c>
      <c r="AG169" t="n">
        <v>26.6</v>
      </c>
      <c r="AH169" t="n">
        <v>108.3</v>
      </c>
      <c r="AI169" t="inlineStr"/>
      <c r="AJ169" t="n">
        <v>1463632.5</v>
      </c>
      <c r="AK169" t="n">
        <v>435105</v>
      </c>
      <c r="AL169" t="n">
        <v>0.2972774928132574</v>
      </c>
      <c r="AM169" t="inlineStr">
        <is>
          <t>0.9185874527929654</t>
        </is>
      </c>
      <c r="AN169" t="inlineStr">
        <is>
          <t>17</t>
        </is>
      </c>
      <c r="AO169" t="inlineStr">
        <is>
          <t>7</t>
        </is>
      </c>
      <c r="AP169" t="inlineStr">
        <is>
          <t>12 1/4</t>
        </is>
      </c>
      <c r="AQ169" t="inlineStr">
        <is>
          <t>9</t>
        </is>
      </c>
      <c r="AR169" t="inlineStr">
        <is>
          <t>10.35</t>
        </is>
      </c>
      <c r="AS169" t="inlineStr">
        <is>
          <t>2</t>
        </is>
      </c>
      <c r="AT169" t="n">
        <v>475</v>
      </c>
      <c r="AU169" t="inlineStr">
        <is>
          <t>Vertex 70</t>
        </is>
      </c>
      <c r="AV169" t="inlineStr">
        <is>
          <t>47D2/53AR</t>
        </is>
      </c>
      <c r="AW169" t="n">
        <v>0.6324601495947809</v>
      </c>
      <c r="AX169" t="n">
        <v>0.6632763513484523</v>
      </c>
      <c r="AY169" t="n">
        <v>0.6938631929670392</v>
      </c>
      <c r="AZ169" t="n">
        <v>0.7239809055018929</v>
      </c>
      <c r="BA169" t="n">
        <v>0.7412818399677392</v>
      </c>
      <c r="BB169" t="n">
        <v>3.661417322834646</v>
      </c>
      <c r="BC169" t="n">
        <v>1.559713039805958</v>
      </c>
      <c r="BD169" t="n">
        <v>2.828975464750236</v>
      </c>
      <c r="BE169" t="n">
        <v>4.104326327156898</v>
      </c>
      <c r="BF169" t="n">
        <v>5.457795640469523</v>
      </c>
      <c r="BG169" t="n">
        <v>6.953265934857233</v>
      </c>
      <c r="BH169" t="n">
        <v>8.676787554409994</v>
      </c>
      <c r="BI169" t="n">
        <v>10.77573164831356</v>
      </c>
      <c r="BJ169" t="n">
        <v>13.56640603585292</v>
      </c>
      <c r="BK169" t="n">
        <v>18.02504349129424</v>
      </c>
      <c r="BL169" t="n">
        <v>43.09624196030422</v>
      </c>
      <c r="BM169" t="inlineStr"/>
      <c r="BN169" t="n">
        <v>16</v>
      </c>
      <c r="BO169" t="n">
        <v>94</v>
      </c>
      <c r="BP169" t="n">
        <v>193</v>
      </c>
      <c r="BQ169" t="n">
        <v>266</v>
      </c>
      <c r="BR169" t="n">
        <v>1083</v>
      </c>
      <c r="BS16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0">
      <c r="A170" t="inlineStr">
        <is>
          <t>FRAG</t>
        </is>
      </c>
      <c r="B170" t="inlineStr">
        <is>
          <t>Fragmentación Desmonte 2025.xlsx</t>
        </is>
      </c>
      <c r="C170" t="inlineStr">
        <is>
          <t>ANÁLISIS DE FRAGMENTACIÓN</t>
        </is>
      </c>
      <c r="D170" t="n">
        <v>174</v>
      </c>
      <c r="E170" t="inlineStr">
        <is>
          <t>ROM (fragmentación post-voladura en el frente de carguío, por análisis de fotos)</t>
        </is>
      </c>
      <c r="F170" t="inlineStr"/>
      <c r="G170" t="inlineStr">
        <is>
          <t>no indicada en el archivo</t>
        </is>
      </c>
      <c r="H170" t="inlineStr">
        <is>
          <t>2025-04-12</t>
        </is>
      </c>
      <c r="I170" t="inlineStr">
        <is>
          <t>2025-04-19</t>
        </is>
      </c>
      <c r="J170" t="inlineStr">
        <is>
          <t>PALA 09</t>
        </is>
      </c>
      <c r="K170" t="n">
        <v>9</v>
      </c>
      <c r="L170" t="inlineStr">
        <is>
          <t>9-NP-3953-30</t>
        </is>
      </c>
      <c r="M170" t="n">
        <v>7</v>
      </c>
      <c r="N170" t="n">
        <v>3953</v>
      </c>
      <c r="O170" t="inlineStr">
        <is>
          <t>C1</t>
        </is>
      </c>
      <c r="P170" t="n">
        <v>30</v>
      </c>
      <c r="Q170" t="inlineStr">
        <is>
          <t>Desmonte</t>
        </is>
      </c>
      <c r="R170" t="inlineStr">
        <is>
          <t>TRIM</t>
        </is>
      </c>
      <c r="S170" t="n">
        <v>3</v>
      </c>
      <c r="T170" t="n">
        <v>10.2</v>
      </c>
      <c r="U170" t="n">
        <v>3</v>
      </c>
      <c r="V170" t="n">
        <v>1.080526666241718</v>
      </c>
      <c r="W170" t="n">
        <v>0.077</v>
      </c>
      <c r="X170" t="n">
        <v>0.13</v>
      </c>
      <c r="Y170" t="n">
        <v>1.4</v>
      </c>
      <c r="Z170" t="n">
        <v>3.4</v>
      </c>
      <c r="AA170" t="n">
        <v>5.5</v>
      </c>
      <c r="AB170" t="n">
        <v>7.8</v>
      </c>
      <c r="AC170" t="n">
        <v>10.3</v>
      </c>
      <c r="AD170" t="n">
        <v>13.1</v>
      </c>
      <c r="AE170" t="n">
        <v>16.5</v>
      </c>
      <c r="AF170" t="n">
        <v>21.1</v>
      </c>
      <c r="AG170" t="n">
        <v>28.3</v>
      </c>
      <c r="AH170" t="n">
        <v>76.40000000000001</v>
      </c>
      <c r="AI170" t="inlineStr"/>
      <c r="AJ170" t="n">
        <v>587688.75</v>
      </c>
      <c r="AK170" t="n">
        <v>300660</v>
      </c>
      <c r="AL170" t="n">
        <v>0.5115973378765546</v>
      </c>
      <c r="AM170" t="inlineStr">
        <is>
          <t>-</t>
        </is>
      </c>
      <c r="AN170" t="inlineStr">
        <is>
          <t xml:space="preserve"> - </t>
        </is>
      </c>
      <c r="AO170" t="inlineStr">
        <is>
          <t xml:space="preserve"> - </t>
        </is>
      </c>
      <c r="AP170" t="inlineStr">
        <is>
          <t>9 7/8</t>
        </is>
      </c>
      <c r="AQ170" t="inlineStr">
        <is>
          <t xml:space="preserve"> - </t>
        </is>
      </c>
      <c r="AR170" t="inlineStr">
        <is>
          <t xml:space="preserve"> - </t>
        </is>
      </c>
      <c r="AS170" t="inlineStr">
        <is>
          <t xml:space="preserve"> - </t>
        </is>
      </c>
      <c r="AT170" t="n">
        <v>401</v>
      </c>
      <c r="AU170" t="inlineStr">
        <is>
          <t>Emulgex 70</t>
        </is>
      </c>
      <c r="AV170" t="inlineStr">
        <is>
          <t>52D2/48AR</t>
        </is>
      </c>
      <c r="AW170" t="n">
        <v>0.6398468841635772</v>
      </c>
      <c r="AX170" t="n">
        <v>0.6729104188326467</v>
      </c>
      <c r="AY170" t="n">
        <v>0.7056237026206547</v>
      </c>
      <c r="AZ170" t="n">
        <v>0.7376846401414561</v>
      </c>
      <c r="BA170" t="n">
        <v>0.7560123143568235</v>
      </c>
      <c r="BB170" t="n">
        <v>4.015748031496063</v>
      </c>
      <c r="BC170" t="n">
        <v>1.270905813671627</v>
      </c>
      <c r="BD170" t="n">
        <v>2.545256266725549</v>
      </c>
      <c r="BE170" t="n">
        <v>3.92861825495037</v>
      </c>
      <c r="BF170" t="n">
        <v>5.477897947616269</v>
      </c>
      <c r="BG170" t="n">
        <v>7.265879258769186</v>
      </c>
      <c r="BH170" t="n">
        <v>9.407255703044539</v>
      </c>
      <c r="BI170" t="n">
        <v>12.1118047163083</v>
      </c>
      <c r="BJ170" t="n">
        <v>15.84425862645747</v>
      </c>
      <c r="BK170" t="n">
        <v>22.07097895526336</v>
      </c>
      <c r="BL170" t="n">
        <v>61.00777777544756</v>
      </c>
      <c r="BM170" t="inlineStr"/>
      <c r="BN170" t="n">
        <v>14</v>
      </c>
      <c r="BO170" t="n">
        <v>103</v>
      </c>
      <c r="BP170" t="n">
        <v>211</v>
      </c>
      <c r="BQ170" t="n">
        <v>283</v>
      </c>
      <c r="BR170" t="n">
        <v>764</v>
      </c>
      <c r="BS17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1">
      <c r="A171" t="inlineStr">
        <is>
          <t>FRAG</t>
        </is>
      </c>
      <c r="B171" t="inlineStr">
        <is>
          <t>Fragmentación Desmonte 2025.xlsx</t>
        </is>
      </c>
      <c r="C171" t="inlineStr">
        <is>
          <t>ANÁLISIS DE FRAGMENTACIÓN</t>
        </is>
      </c>
      <c r="D171" t="n">
        <v>175</v>
      </c>
      <c r="E171" t="inlineStr">
        <is>
          <t>ROM (fragmentación post-voladura en el frente de carguío, por análisis de fotos)</t>
        </is>
      </c>
      <c r="F171" t="inlineStr"/>
      <c r="G171" t="inlineStr">
        <is>
          <t>no indicada en el archivo</t>
        </is>
      </c>
      <c r="H171" t="inlineStr">
        <is>
          <t>2025-04-12</t>
        </is>
      </c>
      <c r="I171" t="inlineStr">
        <is>
          <t>2025-04-19</t>
        </is>
      </c>
      <c r="J171" t="inlineStr">
        <is>
          <t>PALA 09</t>
        </is>
      </c>
      <c r="K171" t="n">
        <v>9</v>
      </c>
      <c r="L171" t="inlineStr">
        <is>
          <t>9-NP-3953-30</t>
        </is>
      </c>
      <c r="M171" t="n">
        <v>8</v>
      </c>
      <c r="N171" t="n">
        <v>3953</v>
      </c>
      <c r="O171" t="inlineStr">
        <is>
          <t>A</t>
        </is>
      </c>
      <c r="P171" t="n">
        <v>30</v>
      </c>
      <c r="Q171" t="inlineStr">
        <is>
          <t>Desmonte</t>
        </is>
      </c>
      <c r="R171" t="inlineStr">
        <is>
          <t>TRIM</t>
        </is>
      </c>
      <c r="S171" t="n">
        <v>2</v>
      </c>
      <c r="T171" t="n">
        <v>5.1</v>
      </c>
      <c r="U171" t="n">
        <v>2</v>
      </c>
      <c r="V171" t="n">
        <v>0.7621632008233533</v>
      </c>
      <c r="W171" t="n">
        <v>0.179</v>
      </c>
      <c r="X171" t="n">
        <v>0.272</v>
      </c>
      <c r="Y171" t="n">
        <v>0.3</v>
      </c>
      <c r="Z171" t="n">
        <v>1.2</v>
      </c>
      <c r="AA171" t="n">
        <v>2.3</v>
      </c>
      <c r="AB171" t="n">
        <v>3.6</v>
      </c>
      <c r="AC171" t="n">
        <v>5.2</v>
      </c>
      <c r="AD171" t="n">
        <v>7</v>
      </c>
      <c r="AE171" t="n">
        <v>9.1</v>
      </c>
      <c r="AF171" t="n">
        <v>11.9</v>
      </c>
      <c r="AG171" t="n">
        <v>16.2</v>
      </c>
      <c r="AH171" t="n">
        <v>33.3</v>
      </c>
      <c r="AI171" t="inlineStr"/>
      <c r="AJ171" t="n">
        <v>587688.75</v>
      </c>
      <c r="AK171" t="n">
        <v>300660</v>
      </c>
      <c r="AL171" t="n">
        <v>0.5115973378765546</v>
      </c>
      <c r="AM171" t="inlineStr">
        <is>
          <t>-</t>
        </is>
      </c>
      <c r="AN171" t="inlineStr">
        <is>
          <t xml:space="preserve"> - </t>
        </is>
      </c>
      <c r="AO171" t="inlineStr">
        <is>
          <t xml:space="preserve"> - </t>
        </is>
      </c>
      <c r="AP171" t="inlineStr">
        <is>
          <t>9 7/8</t>
        </is>
      </c>
      <c r="AQ171" t="inlineStr">
        <is>
          <t xml:space="preserve"> - </t>
        </is>
      </c>
      <c r="AR171" t="inlineStr">
        <is>
          <t xml:space="preserve"> - </t>
        </is>
      </c>
      <c r="AS171" t="inlineStr">
        <is>
          <t xml:space="preserve"> - </t>
        </is>
      </c>
      <c r="AT171" t="n">
        <v>401</v>
      </c>
      <c r="AU171" t="inlineStr">
        <is>
          <t>Emulgex 70</t>
        </is>
      </c>
      <c r="AV171" t="inlineStr">
        <is>
          <t>52D2/48AR</t>
        </is>
      </c>
      <c r="AW171" t="n">
        <v>0.6830443675302845</v>
      </c>
      <c r="AX171" t="n">
        <v>0.7502730908260391</v>
      </c>
      <c r="AY171" t="n">
        <v>0.8127373802328932</v>
      </c>
      <c r="AZ171" t="n">
        <v>0.8677185893468802</v>
      </c>
      <c r="BA171" t="n">
        <v>0.8955117659989507</v>
      </c>
      <c r="BB171" t="n">
        <v>2.007874015748031</v>
      </c>
      <c r="BC171" t="n">
        <v>0.2662378889884498</v>
      </c>
      <c r="BD171" t="n">
        <v>0.7126512248794509</v>
      </c>
      <c r="BE171" t="n">
        <v>1.318642979903826</v>
      </c>
      <c r="BF171" t="n">
        <v>2.112554365390232</v>
      </c>
      <c r="BG171" t="n">
        <v>3.153003366291636</v>
      </c>
      <c r="BH171" t="n">
        <v>4.547322661668319</v>
      </c>
      <c r="BI171" t="n">
        <v>6.506443850634935</v>
      </c>
      <c r="BJ171" t="n">
        <v>9.522217984787265</v>
      </c>
      <c r="BK171" t="n">
        <v>15.23410916185623</v>
      </c>
      <c r="BL171" t="n">
        <v>64.39117751220597</v>
      </c>
      <c r="BM171" t="inlineStr"/>
      <c r="BN171" t="n">
        <v>3</v>
      </c>
      <c r="BO171" t="n">
        <v>52</v>
      </c>
      <c r="BP171" t="n">
        <v>119</v>
      </c>
      <c r="BQ171" t="n">
        <v>162</v>
      </c>
      <c r="BR171" t="n">
        <v>333</v>
      </c>
      <c r="BS17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2">
      <c r="A172" t="inlineStr">
        <is>
          <t>FRAG</t>
        </is>
      </c>
      <c r="B172" t="inlineStr">
        <is>
          <t>Fragmentación Desmonte 2025.xlsx</t>
        </is>
      </c>
      <c r="C172" t="inlineStr">
        <is>
          <t>ANÁLISIS DE FRAGMENTACIÓN</t>
        </is>
      </c>
      <c r="D172" t="n">
        <v>176</v>
      </c>
      <c r="E172" t="inlineStr">
        <is>
          <t>ROM (fragmentación post-voladura en el frente de carguío, por análisis de fotos)</t>
        </is>
      </c>
      <c r="F172" t="inlineStr"/>
      <c r="G172" t="inlineStr">
        <is>
          <t>no indicada en el archivo</t>
        </is>
      </c>
      <c r="H172" t="inlineStr">
        <is>
          <t>2025-04-17</t>
        </is>
      </c>
      <c r="I172" t="inlineStr">
        <is>
          <t>2025-04-19</t>
        </is>
      </c>
      <c r="J172" t="inlineStr">
        <is>
          <t>PALA 08</t>
        </is>
      </c>
      <c r="K172" t="n">
        <v>9</v>
      </c>
      <c r="L172" t="inlineStr">
        <is>
          <t>9-NP-3923-06</t>
        </is>
      </c>
      <c r="M172" t="n">
        <v>2</v>
      </c>
      <c r="N172" t="n">
        <v>3923</v>
      </c>
      <c r="O172" t="inlineStr">
        <is>
          <t>A</t>
        </is>
      </c>
      <c r="P172" t="n">
        <v>30</v>
      </c>
      <c r="Q172" t="inlineStr">
        <is>
          <t>Desmonte</t>
        </is>
      </c>
      <c r="R172" t="inlineStr">
        <is>
          <t>Producción</t>
        </is>
      </c>
      <c r="S172" t="n">
        <v>5</v>
      </c>
      <c r="T172" t="n">
        <v>3.9</v>
      </c>
      <c r="U172" t="n">
        <v>2</v>
      </c>
      <c r="V172" t="n">
        <v>0.6099239376298193</v>
      </c>
      <c r="W172" t="n">
        <v>0.253</v>
      </c>
      <c r="X172" t="n">
        <v>0.355</v>
      </c>
      <c r="Y172" t="n">
        <v>0.1</v>
      </c>
      <c r="Z172" t="n">
        <v>0.6</v>
      </c>
      <c r="AA172" t="n">
        <v>1.4</v>
      </c>
      <c r="AB172" t="n">
        <v>2.5</v>
      </c>
      <c r="AC172" t="n">
        <v>4</v>
      </c>
      <c r="AD172" t="n">
        <v>5.9</v>
      </c>
      <c r="AE172" t="n">
        <v>8.6</v>
      </c>
      <c r="AF172" t="n">
        <v>12.4</v>
      </c>
      <c r="AG172" t="n">
        <v>18.7</v>
      </c>
      <c r="AH172" t="n">
        <v>52.6</v>
      </c>
      <c r="AI172" t="inlineStr"/>
      <c r="AJ172" t="n">
        <v>749417.625</v>
      </c>
      <c r="AK172" t="n">
        <v>322167</v>
      </c>
      <c r="AL172" t="n">
        <v>0.4298898094370278</v>
      </c>
      <c r="AM172" t="inlineStr">
        <is>
          <t>1.3283595111604158</t>
        </is>
      </c>
      <c r="AN172" t="inlineStr">
        <is>
          <t>16.5</t>
        </is>
      </c>
      <c r="AO172" t="inlineStr">
        <is>
          <t>6.5</t>
        </is>
      </c>
      <c r="AP172" t="inlineStr">
        <is>
          <t>12 1/4</t>
        </is>
      </c>
      <c r="AQ172" t="inlineStr">
        <is>
          <t>6</t>
        </is>
      </c>
      <c r="AR172" t="inlineStr">
        <is>
          <t>7</t>
        </is>
      </c>
      <c r="AS172" t="inlineStr">
        <is>
          <t>1.5</t>
        </is>
      </c>
      <c r="AT172" t="n">
        <v>341</v>
      </c>
      <c r="AU172" t="inlineStr">
        <is>
          <t>Vertex 70</t>
        </is>
      </c>
      <c r="AV172" t="inlineStr">
        <is>
          <t>51D2/49AR</t>
        </is>
      </c>
      <c r="AW172" t="n">
        <v>0.7267616095120595</v>
      </c>
      <c r="AX172" t="n">
        <v>0.8097410996707288</v>
      </c>
      <c r="AY172" t="n">
        <v>0.8802452845312736</v>
      </c>
      <c r="AZ172" t="n">
        <v>0.9337555414164996</v>
      </c>
      <c r="BA172" t="n">
        <v>0.9564843090192054</v>
      </c>
      <c r="BB172" t="n">
        <v>1.535433070866142</v>
      </c>
      <c r="BC172" t="n">
        <v>0.0974310552817699</v>
      </c>
      <c r="BD172" t="n">
        <v>0.3334547501319929</v>
      </c>
      <c r="BE172" t="n">
        <v>0.7194385952320039</v>
      </c>
      <c r="BF172" t="n">
        <v>1.296472915674496</v>
      </c>
      <c r="BG172" t="n">
        <v>2.13840616767453</v>
      </c>
      <c r="BH172" t="n">
        <v>3.379219036867185</v>
      </c>
      <c r="BI172" t="n">
        <v>5.287368449870709</v>
      </c>
      <c r="BJ172" t="n">
        <v>8.509755228156628</v>
      </c>
      <c r="BK172" t="n">
        <v>15.30857862653414</v>
      </c>
      <c r="BL172" t="n">
        <v>92.72533324092112</v>
      </c>
      <c r="BM172" t="inlineStr"/>
      <c r="BN172" t="n">
        <v>1</v>
      </c>
      <c r="BO172" t="n">
        <v>40</v>
      </c>
      <c r="BP172" t="n">
        <v>124</v>
      </c>
      <c r="BQ172" t="n">
        <v>187</v>
      </c>
      <c r="BR172" t="n">
        <v>526</v>
      </c>
      <c r="BS17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3">
      <c r="A173" t="inlineStr">
        <is>
          <t>FRAG</t>
        </is>
      </c>
      <c r="B173" t="inlineStr">
        <is>
          <t>Fragmentación Desmonte 2025.xlsx</t>
        </is>
      </c>
      <c r="C173" t="inlineStr">
        <is>
          <t>ANÁLISIS DE FRAGMENTACIÓN</t>
        </is>
      </c>
      <c r="D173" t="n">
        <v>177</v>
      </c>
      <c r="E173" t="inlineStr">
        <is>
          <t>ROM (fragmentación post-voladura en el frente de carguío, por análisis de fotos)</t>
        </is>
      </c>
      <c r="F173" t="inlineStr"/>
      <c r="G173" t="inlineStr">
        <is>
          <t>no indicada en el archivo</t>
        </is>
      </c>
      <c r="H173" t="inlineStr">
        <is>
          <t>2025-04-17</t>
        </is>
      </c>
      <c r="I173" t="inlineStr">
        <is>
          <t>2025-04-19</t>
        </is>
      </c>
      <c r="J173" t="inlineStr">
        <is>
          <t>PALA 08</t>
        </is>
      </c>
      <c r="K173" t="n">
        <v>9</v>
      </c>
      <c r="L173" t="inlineStr">
        <is>
          <t>9-NP-3923-06</t>
        </is>
      </c>
      <c r="M173" t="n">
        <v>3</v>
      </c>
      <c r="N173" t="n">
        <v>3923</v>
      </c>
      <c r="O173" t="inlineStr">
        <is>
          <t>B</t>
        </is>
      </c>
      <c r="P173" t="n">
        <v>30</v>
      </c>
      <c r="Q173" t="inlineStr">
        <is>
          <t>Desmonte</t>
        </is>
      </c>
      <c r="R173" t="inlineStr">
        <is>
          <t>Producción</t>
        </is>
      </c>
      <c r="S173" t="n">
        <v>4</v>
      </c>
      <c r="T173" t="n">
        <v>7.5</v>
      </c>
      <c r="U173" t="n">
        <v>3</v>
      </c>
      <c r="V173" t="n">
        <v>1.033195543494519</v>
      </c>
      <c r="W173" t="n">
        <v>0.102</v>
      </c>
      <c r="X173" t="n">
        <v>0.173</v>
      </c>
      <c r="Y173" t="n">
        <v>0.9</v>
      </c>
      <c r="Z173" t="n">
        <v>2.4</v>
      </c>
      <c r="AA173" t="n">
        <v>3.9</v>
      </c>
      <c r="AB173" t="n">
        <v>5.6</v>
      </c>
      <c r="AC173" t="n">
        <v>7.6</v>
      </c>
      <c r="AD173" t="n">
        <v>9.800000000000001</v>
      </c>
      <c r="AE173" t="n">
        <v>12.5</v>
      </c>
      <c r="AF173" t="n">
        <v>16.1</v>
      </c>
      <c r="AG173" t="n">
        <v>22.1</v>
      </c>
      <c r="AH173" t="n">
        <v>64.3</v>
      </c>
      <c r="AI173" t="inlineStr"/>
      <c r="AJ173" t="n">
        <v>749417.625</v>
      </c>
      <c r="AK173" t="n">
        <v>322167</v>
      </c>
      <c r="AL173" t="n">
        <v>0.4298898094370278</v>
      </c>
      <c r="AM173" t="inlineStr">
        <is>
          <t>1.3283595111604158</t>
        </is>
      </c>
      <c r="AN173" t="inlineStr">
        <is>
          <t>16.5</t>
        </is>
      </c>
      <c r="AO173" t="inlineStr">
        <is>
          <t>6.5</t>
        </is>
      </c>
      <c r="AP173" t="inlineStr">
        <is>
          <t>12 1/4</t>
        </is>
      </c>
      <c r="AQ173" t="inlineStr">
        <is>
          <t>6</t>
        </is>
      </c>
      <c r="AR173" t="inlineStr">
        <is>
          <t>7</t>
        </is>
      </c>
      <c r="AS173" t="inlineStr">
        <is>
          <t>1.5</t>
        </is>
      </c>
      <c r="AT173" t="n">
        <v>341</v>
      </c>
      <c r="AU173" t="inlineStr">
        <is>
          <t>Vertex 70</t>
        </is>
      </c>
      <c r="AV173" t="inlineStr">
        <is>
          <t>51D2/49AR</t>
        </is>
      </c>
      <c r="AW173" t="n">
        <v>0.6452511710232062</v>
      </c>
      <c r="AX173" t="n">
        <v>0.6891286374711141</v>
      </c>
      <c r="AY173" t="n">
        <v>0.732123083703042</v>
      </c>
      <c r="AZ173" t="n">
        <v>0.7735074031893758</v>
      </c>
      <c r="BA173" t="n">
        <v>0.7966755882566605</v>
      </c>
      <c r="BB173" t="n">
        <v>2.952755905511811</v>
      </c>
      <c r="BC173" t="n">
        <v>0.8494533564289737</v>
      </c>
      <c r="BD173" t="n">
        <v>1.756203911593644</v>
      </c>
      <c r="BE173" t="n">
        <v>2.765151305396696</v>
      </c>
      <c r="BF173" t="n">
        <v>3.914775356139625</v>
      </c>
      <c r="BG173" t="n">
        <v>5.26018288397371</v>
      </c>
      <c r="BH173" t="n">
        <v>6.89150998308452</v>
      </c>
      <c r="BI173" t="n">
        <v>8.97610257644839</v>
      </c>
      <c r="BJ173" t="n">
        <v>11.88762930338263</v>
      </c>
      <c r="BK173" t="n">
        <v>16.81277197573707</v>
      </c>
      <c r="BL173" t="n">
        <v>48.68903275132888</v>
      </c>
      <c r="BM173" t="inlineStr"/>
      <c r="BN173" t="n">
        <v>9</v>
      </c>
      <c r="BO173" t="n">
        <v>76</v>
      </c>
      <c r="BP173" t="n">
        <v>161</v>
      </c>
      <c r="BQ173" t="n">
        <v>221</v>
      </c>
      <c r="BR173" t="n">
        <v>643</v>
      </c>
      <c r="BS17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4">
      <c r="A174" t="inlineStr">
        <is>
          <t>FRAG</t>
        </is>
      </c>
      <c r="B174" t="inlineStr">
        <is>
          <t>Fragmentación Desmonte 2025.xlsx</t>
        </is>
      </c>
      <c r="C174" t="inlineStr">
        <is>
          <t>ANÁLISIS DE FRAGMENTACIÓN</t>
        </is>
      </c>
      <c r="D174" t="n">
        <v>178</v>
      </c>
      <c r="E174" t="inlineStr">
        <is>
          <t>ROM (fragmentación post-voladura en el frente de carguío, por análisis de fotos)</t>
        </is>
      </c>
      <c r="F174" t="inlineStr"/>
      <c r="G174" t="inlineStr">
        <is>
          <t>no indicada en el archivo</t>
        </is>
      </c>
      <c r="H174" t="inlineStr">
        <is>
          <t>2025-04-07</t>
        </is>
      </c>
      <c r="I174" t="inlineStr">
        <is>
          <t>2025-04-19</t>
        </is>
      </c>
      <c r="J174" t="inlineStr">
        <is>
          <t>PALA 10</t>
        </is>
      </c>
      <c r="K174" t="n">
        <v>9</v>
      </c>
      <c r="L174" t="inlineStr">
        <is>
          <t>9-NP-3938-09</t>
        </is>
      </c>
      <c r="M174" t="n">
        <v>7</v>
      </c>
      <c r="N174" t="n">
        <v>3938</v>
      </c>
      <c r="O174" t="inlineStr">
        <is>
          <t>B</t>
        </is>
      </c>
      <c r="P174" t="n">
        <v>30</v>
      </c>
      <c r="Q174" t="inlineStr">
        <is>
          <t>Desmonte</t>
        </is>
      </c>
      <c r="R174" t="inlineStr">
        <is>
          <t>TRIM</t>
        </is>
      </c>
      <c r="S174" t="n">
        <v>3</v>
      </c>
      <c r="T174" t="n">
        <v>5.1</v>
      </c>
      <c r="U174" t="n">
        <v>3</v>
      </c>
      <c r="V174" t="n">
        <v>0.9180447040002082</v>
      </c>
      <c r="W174" t="n">
        <v>0.199</v>
      </c>
      <c r="X174" t="n">
        <v>0.293</v>
      </c>
      <c r="Y174" t="n">
        <v>0.3</v>
      </c>
      <c r="Z174" t="n">
        <v>1</v>
      </c>
      <c r="AA174" t="n">
        <v>2</v>
      </c>
      <c r="AB174" t="n">
        <v>3.4</v>
      </c>
      <c r="AC174" t="n">
        <v>5.1</v>
      </c>
      <c r="AD174" t="n">
        <v>7.3</v>
      </c>
      <c r="AE174" t="n">
        <v>10.2</v>
      </c>
      <c r="AF174" t="n">
        <v>14.3</v>
      </c>
      <c r="AG174" t="n">
        <v>21.3</v>
      </c>
      <c r="AH174" t="n">
        <v>66.09999999999999</v>
      </c>
      <c r="AI174" t="inlineStr"/>
      <c r="AJ174" t="n">
        <v>206621.25</v>
      </c>
      <c r="AK174" t="n">
        <v>99949</v>
      </c>
      <c r="AL174" t="n">
        <v>0.4837304972262049</v>
      </c>
      <c r="AM174" t="inlineStr">
        <is>
          <t>1.4947272364289732</t>
        </is>
      </c>
      <c r="AN174" t="inlineStr">
        <is>
          <t xml:space="preserve"> - </t>
        </is>
      </c>
      <c r="AO174" t="inlineStr">
        <is>
          <t xml:space="preserve"> - </t>
        </is>
      </c>
      <c r="AP174" t="inlineStr">
        <is>
          <t>9 7/8</t>
        </is>
      </c>
      <c r="AQ174" t="inlineStr">
        <is>
          <t xml:space="preserve"> - </t>
        </is>
      </c>
      <c r="AR174" t="inlineStr">
        <is>
          <t xml:space="preserve"> - </t>
        </is>
      </c>
      <c r="AS174" t="inlineStr">
        <is>
          <t xml:space="preserve"> - </t>
        </is>
      </c>
      <c r="AT174" t="n">
        <v>110</v>
      </c>
      <c r="AU174" t="inlineStr">
        <is>
          <t>Vertex 70</t>
        </is>
      </c>
      <c r="AV174" t="inlineStr">
        <is>
          <t>100D2</t>
        </is>
      </c>
      <c r="AW174" t="n">
        <v>0.6670468832799177</v>
      </c>
      <c r="AX174" t="n">
        <v>0.7400853488380041</v>
      </c>
      <c r="AY174" t="n">
        <v>0.808106956193734</v>
      </c>
      <c r="AZ174" t="n">
        <v>0.8676832921249106</v>
      </c>
      <c r="BA174" t="n">
        <v>0.8974797158412496</v>
      </c>
      <c r="BB174" t="n">
        <v>2.007874015748031</v>
      </c>
      <c r="BC174" t="n">
        <v>0.4395426072928419</v>
      </c>
      <c r="BD174" t="n">
        <v>0.9954091194601687</v>
      </c>
      <c r="BE174" t="n">
        <v>1.659103379834214</v>
      </c>
      <c r="BF174" t="n">
        <v>2.453578132974772</v>
      </c>
      <c r="BG174" t="n">
        <v>3.421258390132837</v>
      </c>
      <c r="BH174" t="n">
        <v>4.636754714701327</v>
      </c>
      <c r="BI174" t="n">
        <v>6.242860504895313</v>
      </c>
      <c r="BJ174" t="n">
        <v>8.564352561842597</v>
      </c>
      <c r="BK174" t="n">
        <v>12.65090019597857</v>
      </c>
      <c r="BL174" t="n">
        <v>41.86354965157816</v>
      </c>
      <c r="BM174" t="inlineStr"/>
      <c r="BN174" t="n">
        <v>3</v>
      </c>
      <c r="BO174" t="n">
        <v>51</v>
      </c>
      <c r="BP174" t="n">
        <v>143</v>
      </c>
      <c r="BQ174" t="n">
        <v>213</v>
      </c>
      <c r="BR174" t="n">
        <v>661</v>
      </c>
      <c r="BS17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5">
      <c r="A175" t="inlineStr">
        <is>
          <t>FRAG</t>
        </is>
      </c>
      <c r="B175" t="inlineStr">
        <is>
          <t>Fragmentación Desmonte 2025.xlsx</t>
        </is>
      </c>
      <c r="C175" t="inlineStr">
        <is>
          <t>ANÁLISIS DE FRAGMENTACIÓN</t>
        </is>
      </c>
      <c r="D175" t="n">
        <v>179</v>
      </c>
      <c r="E175" t="inlineStr">
        <is>
          <t>ROM (fragmentación post-voladura en el frente de carguío, por análisis de fotos)</t>
        </is>
      </c>
      <c r="F175" t="inlineStr"/>
      <c r="G175" t="inlineStr">
        <is>
          <t>no indicada en el archivo</t>
        </is>
      </c>
      <c r="H175" t="inlineStr">
        <is>
          <t>2025-03-31</t>
        </is>
      </c>
      <c r="I175" t="inlineStr">
        <is>
          <t>2025-04-20</t>
        </is>
      </c>
      <c r="J175" t="inlineStr">
        <is>
          <t>PALA 06</t>
        </is>
      </c>
      <c r="K175" t="n">
        <v>10</v>
      </c>
      <c r="L175" t="inlineStr">
        <is>
          <t>10-NP-4418-20</t>
        </is>
      </c>
      <c r="M175" t="n">
        <v>1</v>
      </c>
      <c r="N175" t="n">
        <v>4418</v>
      </c>
      <c r="O175" t="inlineStr">
        <is>
          <t>C1</t>
        </is>
      </c>
      <c r="P175" t="n">
        <v>30</v>
      </c>
      <c r="Q175" t="inlineStr">
        <is>
          <t>Desmonte</t>
        </is>
      </c>
      <c r="R175" t="inlineStr">
        <is>
          <t>Producción</t>
        </is>
      </c>
      <c r="S175" t="n">
        <v>8</v>
      </c>
      <c r="T175" t="n">
        <v>8.800000000000001</v>
      </c>
      <c r="U175" t="n">
        <v>4</v>
      </c>
      <c r="V175" t="n">
        <v>1.265951794997754</v>
      </c>
      <c r="W175" t="n">
        <v>0.081</v>
      </c>
      <c r="X175" t="n">
        <v>0.143</v>
      </c>
      <c r="Y175" t="n">
        <v>1.2</v>
      </c>
      <c r="Z175" t="n">
        <v>2.9</v>
      </c>
      <c r="AA175" t="n">
        <v>4.7</v>
      </c>
      <c r="AB175" t="n">
        <v>6.7</v>
      </c>
      <c r="AC175" t="n">
        <v>8.9</v>
      </c>
      <c r="AD175" t="n">
        <v>11.5</v>
      </c>
      <c r="AE175" t="n">
        <v>14.7</v>
      </c>
      <c r="AF175" t="n">
        <v>19.1</v>
      </c>
      <c r="AG175" t="n">
        <v>26.6</v>
      </c>
      <c r="AH175" t="n">
        <v>100.8</v>
      </c>
      <c r="AI175" t="inlineStr"/>
      <c r="AJ175" t="n">
        <v>1282173.75</v>
      </c>
      <c r="AK175" t="n">
        <v>308642</v>
      </c>
      <c r="AL175" t="n">
        <v>0.2407177654354567</v>
      </c>
      <c r="AM175" t="inlineStr">
        <is>
          <t>0.7438178951955614</t>
        </is>
      </c>
      <c r="AN175" t="inlineStr">
        <is>
          <t>17</t>
        </is>
      </c>
      <c r="AO175" t="inlineStr">
        <is>
          <t>7</t>
        </is>
      </c>
      <c r="AP175" t="inlineStr">
        <is>
          <t>12 1/4</t>
        </is>
      </c>
      <c r="AQ175" t="inlineStr">
        <is>
          <t>8.5</t>
        </is>
      </c>
      <c r="AR175" t="inlineStr">
        <is>
          <t>9.8</t>
        </is>
      </c>
      <c r="AS175" t="inlineStr">
        <is>
          <t>2</t>
        </is>
      </c>
      <c r="AT175" t="n">
        <v>322</v>
      </c>
      <c r="AU175" t="inlineStr">
        <is>
          <t>Vertex 70</t>
        </is>
      </c>
      <c r="AV175" t="inlineStr">
        <is>
          <t>34D2/66AR</t>
        </is>
      </c>
      <c r="AW175" t="n">
        <v>0.632288514010714</v>
      </c>
      <c r="AX175" t="n">
        <v>0.6686907612570496</v>
      </c>
      <c r="AY175" t="n">
        <v>0.7047142866462257</v>
      </c>
      <c r="AZ175" t="n">
        <v>0.7399587124434037</v>
      </c>
      <c r="BA175" t="n">
        <v>0.7600487465216526</v>
      </c>
      <c r="BB175" t="n">
        <v>3.464566929133858</v>
      </c>
      <c r="BC175" t="n">
        <v>1.487568195868791</v>
      </c>
      <c r="BD175" t="n">
        <v>2.691018879980551</v>
      </c>
      <c r="BE175" t="n">
        <v>3.897750829773545</v>
      </c>
      <c r="BF175" t="n">
        <v>5.176563796965867</v>
      </c>
      <c r="BG175" t="n">
        <v>6.587909144097911</v>
      </c>
      <c r="BH175" t="n">
        <v>8.212814824106491</v>
      </c>
      <c r="BI175" t="n">
        <v>10.18974596124416</v>
      </c>
      <c r="BJ175" t="n">
        <v>12.81559201385095</v>
      </c>
      <c r="BK175" t="n">
        <v>17.0060677651709</v>
      </c>
      <c r="BL175" t="n">
        <v>40.50338171432914</v>
      </c>
      <c r="BM175" t="inlineStr"/>
      <c r="BN175" t="n">
        <v>12</v>
      </c>
      <c r="BO175" t="n">
        <v>89</v>
      </c>
      <c r="BP175" t="n">
        <v>191</v>
      </c>
      <c r="BQ175" t="n">
        <v>266</v>
      </c>
      <c r="BR175" t="n">
        <v>1008</v>
      </c>
      <c r="BS17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6">
      <c r="A176" t="inlineStr">
        <is>
          <t>FRAG</t>
        </is>
      </c>
      <c r="B176" t="inlineStr">
        <is>
          <t>Fragmentación Desmonte 2025.xlsx</t>
        </is>
      </c>
      <c r="C176" t="inlineStr">
        <is>
          <t>ANÁLISIS DE FRAGMENTACIÓN</t>
        </is>
      </c>
      <c r="D176" t="n">
        <v>180</v>
      </c>
      <c r="E176" t="inlineStr">
        <is>
          <t>ROM (fragmentación post-voladura en el frente de carguío, por análisis de fotos)</t>
        </is>
      </c>
      <c r="F176" t="inlineStr"/>
      <c r="G176" t="inlineStr">
        <is>
          <t>no indicada en el archivo</t>
        </is>
      </c>
      <c r="H176" t="inlineStr">
        <is>
          <t>2025-03-22</t>
        </is>
      </c>
      <c r="I176" t="inlineStr">
        <is>
          <t>2025-04-20</t>
        </is>
      </c>
      <c r="J176" t="inlineStr">
        <is>
          <t>PALA 11</t>
        </is>
      </c>
      <c r="K176" t="n">
        <v>10</v>
      </c>
      <c r="L176" t="inlineStr">
        <is>
          <t>10-NP-4418-17</t>
        </is>
      </c>
      <c r="M176" t="n">
        <v>6</v>
      </c>
      <c r="N176" t="n">
        <v>4418</v>
      </c>
      <c r="O176" t="inlineStr">
        <is>
          <t>C1</t>
        </is>
      </c>
      <c r="P176" t="n">
        <v>30</v>
      </c>
      <c r="Q176" t="inlineStr">
        <is>
          <t>Desmonte</t>
        </is>
      </c>
      <c r="R176" t="inlineStr">
        <is>
          <t>TRIM</t>
        </is>
      </c>
      <c r="S176" t="n">
        <v>5</v>
      </c>
      <c r="T176" t="n">
        <v>7.6</v>
      </c>
      <c r="U176" t="n">
        <v>3</v>
      </c>
      <c r="V176" t="n">
        <v>0.9692338422517326</v>
      </c>
      <c r="W176" t="n">
        <v>0.113</v>
      </c>
      <c r="X176" t="n">
        <v>0.186</v>
      </c>
      <c r="Y176" t="n">
        <v>0.8</v>
      </c>
      <c r="Z176" t="n">
        <v>2.2</v>
      </c>
      <c r="AA176" t="n">
        <v>3.7</v>
      </c>
      <c r="AB176" t="n">
        <v>5.5</v>
      </c>
      <c r="AC176" t="n">
        <v>7.6</v>
      </c>
      <c r="AD176" t="n">
        <v>10.1</v>
      </c>
      <c r="AE176" t="n">
        <v>13.1</v>
      </c>
      <c r="AF176" t="n">
        <v>17.4</v>
      </c>
      <c r="AG176" t="n">
        <v>24.4</v>
      </c>
      <c r="AH176" t="n">
        <v>79.7</v>
      </c>
      <c r="AI176" t="inlineStr"/>
      <c r="AJ176" t="n">
        <v>1350318.75</v>
      </c>
      <c r="AK176" t="n">
        <v>333101.93</v>
      </c>
      <c r="AL176" t="n">
        <v>0.2466839255546144</v>
      </c>
      <c r="AM176" t="inlineStr">
        <is>
          <t>0.7622533299637585</t>
        </is>
      </c>
      <c r="AN176" t="inlineStr">
        <is>
          <t xml:space="preserve"> - </t>
        </is>
      </c>
      <c r="AO176" t="inlineStr">
        <is>
          <t xml:space="preserve"> - </t>
        </is>
      </c>
      <c r="AP176" t="inlineStr">
        <is>
          <t>9 7/8</t>
        </is>
      </c>
      <c r="AQ176" t="inlineStr">
        <is>
          <t xml:space="preserve"> - </t>
        </is>
      </c>
      <c r="AR176" t="inlineStr">
        <is>
          <t xml:space="preserve"> - </t>
        </is>
      </c>
      <c r="AS176" t="inlineStr">
        <is>
          <t xml:space="preserve"> - </t>
        </is>
      </c>
      <c r="AT176" t="n">
        <v>765</v>
      </c>
      <c r="AU176" t="inlineStr">
        <is>
          <t>Vertex 70</t>
        </is>
      </c>
      <c r="AV176" t="inlineStr">
        <is>
          <t>51D2/49AR</t>
        </is>
      </c>
      <c r="AW176" t="n">
        <v>0.6506057996676315</v>
      </c>
      <c r="AX176" t="n">
        <v>0.6976753606532251</v>
      </c>
      <c r="AY176" t="n">
        <v>0.7435610517452915</v>
      </c>
      <c r="AZ176" t="n">
        <v>0.7873540606678459</v>
      </c>
      <c r="BA176" t="n">
        <v>0.8116392866308815</v>
      </c>
      <c r="BB176" t="n">
        <v>2.992125984251969</v>
      </c>
      <c r="BC176" t="n">
        <v>0.7455359291877328</v>
      </c>
      <c r="BD176" t="n">
        <v>1.617037909610281</v>
      </c>
      <c r="BE176" t="n">
        <v>2.623457846282335</v>
      </c>
      <c r="BF176" t="n">
        <v>3.800371351936088</v>
      </c>
      <c r="BG176" t="n">
        <v>5.206986048706556</v>
      </c>
      <c r="BH176" t="n">
        <v>6.94451176475155</v>
      </c>
      <c r="BI176" t="n">
        <v>9.204268206031523</v>
      </c>
      <c r="BJ176" t="n">
        <v>12.41790206112612</v>
      </c>
      <c r="BK176" t="n">
        <v>17.96912818728399</v>
      </c>
      <c r="BL176" t="n">
        <v>55.82045951607556</v>
      </c>
      <c r="BM176" t="inlineStr"/>
      <c r="BN176" t="n">
        <v>8</v>
      </c>
      <c r="BO176" t="n">
        <v>76</v>
      </c>
      <c r="BP176" t="n">
        <v>174</v>
      </c>
      <c r="BQ176" t="n">
        <v>244</v>
      </c>
      <c r="BR176" t="n">
        <v>797</v>
      </c>
      <c r="BS17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7">
      <c r="A177" t="inlineStr">
        <is>
          <t>FRAG</t>
        </is>
      </c>
      <c r="B177" t="inlineStr">
        <is>
          <t>Fragmentación Desmonte 2025.xlsx</t>
        </is>
      </c>
      <c r="C177" t="inlineStr">
        <is>
          <t>ANÁLISIS DE FRAGMENTACIÓN</t>
        </is>
      </c>
      <c r="D177" t="n">
        <v>181</v>
      </c>
      <c r="E177" t="inlineStr">
        <is>
          <t>ROM (fragmentación post-voladura en el frente de carguío, por análisis de fotos)</t>
        </is>
      </c>
      <c r="F177" t="inlineStr"/>
      <c r="G177" t="inlineStr">
        <is>
          <t>no indicada en el archivo</t>
        </is>
      </c>
      <c r="H177" t="inlineStr">
        <is>
          <t>2025-04-17</t>
        </is>
      </c>
      <c r="I177" t="inlineStr">
        <is>
          <t>2025-04-21</t>
        </is>
      </c>
      <c r="J177" t="inlineStr">
        <is>
          <t>PALA 10</t>
        </is>
      </c>
      <c r="K177" t="n">
        <v>9</v>
      </c>
      <c r="L177" t="inlineStr">
        <is>
          <t>9-NP-3953-31</t>
        </is>
      </c>
      <c r="M177" t="n">
        <v>2</v>
      </c>
      <c r="N177" t="n">
        <v>3953</v>
      </c>
      <c r="O177" t="inlineStr">
        <is>
          <t>C</t>
        </is>
      </c>
      <c r="P177" t="n">
        <v>30</v>
      </c>
      <c r="Q177" t="inlineStr">
        <is>
          <t>Desmonte</t>
        </is>
      </c>
      <c r="R177" t="inlineStr">
        <is>
          <t>TRIM</t>
        </is>
      </c>
      <c r="S177" t="n">
        <v>7</v>
      </c>
      <c r="T177" t="n">
        <v>8.800000000000001</v>
      </c>
      <c r="U177" t="n">
        <v>3</v>
      </c>
      <c r="V177" t="n">
        <v>0.9496314456307884</v>
      </c>
      <c r="W177" t="n">
        <v>0.118</v>
      </c>
      <c r="X177" t="n">
        <v>0.184</v>
      </c>
      <c r="Y177" t="n">
        <v>0.7</v>
      </c>
      <c r="Z177" t="n">
        <v>2.2</v>
      </c>
      <c r="AA177" t="n">
        <v>4.1</v>
      </c>
      <c r="AB177" t="n">
        <v>6.3</v>
      </c>
      <c r="AC177" t="n">
        <v>8.800000000000001</v>
      </c>
      <c r="AD177" t="n">
        <v>11.9</v>
      </c>
      <c r="AE177" t="n">
        <v>15.9</v>
      </c>
      <c r="AF177" t="n">
        <v>21.4</v>
      </c>
      <c r="AG177" t="n">
        <v>30.7</v>
      </c>
      <c r="AH177" t="n">
        <v>99.59999999999999</v>
      </c>
      <c r="AI177" t="inlineStr"/>
      <c r="AJ177" t="n">
        <v>382142.0625</v>
      </c>
      <c r="AK177" t="n">
        <v>111593</v>
      </c>
      <c r="AL177" t="n">
        <v>0.2920196726577305</v>
      </c>
      <c r="AM177" t="inlineStr">
        <is>
          <t>-</t>
        </is>
      </c>
      <c r="AN177" t="inlineStr">
        <is>
          <t xml:space="preserve"> - </t>
        </is>
      </c>
      <c r="AO177" t="inlineStr">
        <is>
          <t xml:space="preserve"> - </t>
        </is>
      </c>
      <c r="AP177" t="inlineStr">
        <is>
          <t>9 7/8</t>
        </is>
      </c>
      <c r="AQ177" t="inlineStr">
        <is>
          <t xml:space="preserve"> - </t>
        </is>
      </c>
      <c r="AR177" t="inlineStr">
        <is>
          <t xml:space="preserve"> - </t>
        </is>
      </c>
      <c r="AS177" t="inlineStr">
        <is>
          <t xml:space="preserve"> - </t>
        </is>
      </c>
      <c r="AT177" t="n">
        <v>253</v>
      </c>
      <c r="AU177" t="inlineStr">
        <is>
          <t>Emulgex 70</t>
        </is>
      </c>
      <c r="AV177" t="inlineStr">
        <is>
          <t>51D2/49AR</t>
        </is>
      </c>
      <c r="AW177" t="n">
        <v>0.6517883628080366</v>
      </c>
      <c r="AX177" t="n">
        <v>0.6983380323694142</v>
      </c>
      <c r="AY177" t="n">
        <v>0.743716808381943</v>
      </c>
      <c r="AZ177" t="n">
        <v>0.7870445510359818</v>
      </c>
      <c r="BA177" t="n">
        <v>0.8110884063825902</v>
      </c>
      <c r="BB177" t="n">
        <v>3.464566929133858</v>
      </c>
      <c r="BC177" t="n">
        <v>0.8228549561980367</v>
      </c>
      <c r="BD177" t="n">
        <v>1.813492884200466</v>
      </c>
      <c r="BE177" t="n">
        <v>2.971719159352243</v>
      </c>
      <c r="BF177" t="n">
        <v>4.337925581501496</v>
      </c>
      <c r="BG177" t="n">
        <v>5.982262949551979</v>
      </c>
      <c r="BH177" t="n">
        <v>8.026056408897087</v>
      </c>
      <c r="BI177" t="n">
        <v>10.69979030562979</v>
      </c>
      <c r="BJ177" t="n">
        <v>14.52509304145395</v>
      </c>
      <c r="BK177" t="n">
        <v>21.1792374801676</v>
      </c>
      <c r="BL177" t="n">
        <v>67.35008336719798</v>
      </c>
      <c r="BM177" t="inlineStr"/>
      <c r="BN177" t="n">
        <v>7</v>
      </c>
      <c r="BO177" t="n">
        <v>88</v>
      </c>
      <c r="BP177" t="n">
        <v>214</v>
      </c>
      <c r="BQ177" t="n">
        <v>307</v>
      </c>
      <c r="BR177" t="n">
        <v>996</v>
      </c>
      <c r="BS17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8">
      <c r="A178" t="inlineStr">
        <is>
          <t>FRAG</t>
        </is>
      </c>
      <c r="B178" t="inlineStr">
        <is>
          <t>Fragmentación Desmonte 2025.xlsx</t>
        </is>
      </c>
      <c r="C178" t="inlineStr">
        <is>
          <t>ANÁLISIS DE FRAGMENTACIÓN</t>
        </is>
      </c>
      <c r="D178" t="n">
        <v>182</v>
      </c>
      <c r="E178" t="inlineStr">
        <is>
          <t>ROM (fragmentación post-voladura en el frente de carguío, por análisis de fotos)</t>
        </is>
      </c>
      <c r="F178" t="inlineStr"/>
      <c r="G178" t="inlineStr">
        <is>
          <t>no indicada en el archivo</t>
        </is>
      </c>
      <c r="H178" t="inlineStr">
        <is>
          <t>2025-04-17</t>
        </is>
      </c>
      <c r="I178" t="inlineStr">
        <is>
          <t>2025-04-21</t>
        </is>
      </c>
      <c r="J178" t="inlineStr">
        <is>
          <t>PALA 08</t>
        </is>
      </c>
      <c r="K178" t="n">
        <v>9</v>
      </c>
      <c r="L178" t="inlineStr">
        <is>
          <t>9-NP-3923-06</t>
        </is>
      </c>
      <c r="M178" t="n">
        <v>2</v>
      </c>
      <c r="N178" t="n">
        <v>3923</v>
      </c>
      <c r="O178" t="inlineStr">
        <is>
          <t>A</t>
        </is>
      </c>
      <c r="P178" t="n">
        <v>30</v>
      </c>
      <c r="Q178" t="inlineStr">
        <is>
          <t>Desmonte</t>
        </is>
      </c>
      <c r="R178" t="inlineStr">
        <is>
          <t>Producción</t>
        </is>
      </c>
      <c r="S178" t="n">
        <v>5</v>
      </c>
      <c r="T178" t="n">
        <v>6.1</v>
      </c>
      <c r="U178" t="n">
        <v>3</v>
      </c>
      <c r="V178" t="n">
        <v>0.9371367448709396</v>
      </c>
      <c r="W178" t="n">
        <v>0.163</v>
      </c>
      <c r="X178" t="n">
        <v>0.249</v>
      </c>
      <c r="Y178" t="n">
        <v>0.4</v>
      </c>
      <c r="Z178" t="n">
        <v>1.3</v>
      </c>
      <c r="AA178" t="n">
        <v>2.6</v>
      </c>
      <c r="AB178" t="n">
        <v>4.2</v>
      </c>
      <c r="AC178" t="n">
        <v>6.1</v>
      </c>
      <c r="AD178" t="n">
        <v>8.5</v>
      </c>
      <c r="AE178" t="n">
        <v>11.5</v>
      </c>
      <c r="AF178" t="n">
        <v>15.8</v>
      </c>
      <c r="AG178" t="n">
        <v>23</v>
      </c>
      <c r="AH178" t="n">
        <v>72.7</v>
      </c>
      <c r="AI178" t="inlineStr"/>
      <c r="AJ178" t="n">
        <v>749417.625</v>
      </c>
      <c r="AK178" t="n">
        <v>322167</v>
      </c>
      <c r="AL178" t="n">
        <v>0.4298898094370278</v>
      </c>
      <c r="AM178" t="inlineStr">
        <is>
          <t>1.3283595111604158</t>
        </is>
      </c>
      <c r="AN178" t="inlineStr">
        <is>
          <t>16.5</t>
        </is>
      </c>
      <c r="AO178" t="inlineStr">
        <is>
          <t>6.5</t>
        </is>
      </c>
      <c r="AP178" t="inlineStr">
        <is>
          <t>12 1/4</t>
        </is>
      </c>
      <c r="AQ178" t="inlineStr">
        <is>
          <t>6</t>
        </is>
      </c>
      <c r="AR178" t="inlineStr">
        <is>
          <t>7</t>
        </is>
      </c>
      <c r="AS178" t="inlineStr">
        <is>
          <t>1.5</t>
        </is>
      </c>
      <c r="AT178" t="n">
        <v>341</v>
      </c>
      <c r="AU178" t="inlineStr">
        <is>
          <t>Vertex 70</t>
        </is>
      </c>
      <c r="AV178" t="inlineStr">
        <is>
          <t>51D2/49AR</t>
        </is>
      </c>
      <c r="AW178" t="n">
        <v>0.6599352716743461</v>
      </c>
      <c r="AX178" t="n">
        <v>0.7224663121094528</v>
      </c>
      <c r="AY178" t="n">
        <v>0.7820053722821727</v>
      </c>
      <c r="AZ178" t="n">
        <v>0.8363861158226251</v>
      </c>
      <c r="BA178" t="n">
        <v>0.865009973193258</v>
      </c>
      <c r="BB178" t="n">
        <v>2.401574803149606</v>
      </c>
      <c r="BC178" t="n">
        <v>0.5526482863094496</v>
      </c>
      <c r="BD178" t="n">
        <v>1.230884004869612</v>
      </c>
      <c r="BE178" t="n">
        <v>2.030340250398713</v>
      </c>
      <c r="BF178" t="n">
        <v>2.978745518104327</v>
      </c>
      <c r="BG178" t="n">
        <v>4.125511928892077</v>
      </c>
      <c r="BH178" t="n">
        <v>5.556691898718858</v>
      </c>
      <c r="BI178" t="n">
        <v>7.436255262842804</v>
      </c>
      <c r="BJ178" t="n">
        <v>10.13602788488748</v>
      </c>
      <c r="BK178" t="n">
        <v>14.85398562782335</v>
      </c>
      <c r="BL178" t="n">
        <v>47.96998803222079</v>
      </c>
      <c r="BM178" t="inlineStr"/>
      <c r="BN178" t="n">
        <v>4</v>
      </c>
      <c r="BO178" t="n">
        <v>61</v>
      </c>
      <c r="BP178" t="n">
        <v>158</v>
      </c>
      <c r="BQ178" t="n">
        <v>230</v>
      </c>
      <c r="BR178" t="n">
        <v>727</v>
      </c>
      <c r="BS17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79">
      <c r="A179" t="inlineStr">
        <is>
          <t>FRAG</t>
        </is>
      </c>
      <c r="B179" t="inlineStr">
        <is>
          <t>Fragmentación Desmonte 2025.xlsx</t>
        </is>
      </c>
      <c r="C179" t="inlineStr">
        <is>
          <t>ANÁLISIS DE FRAGMENTACIÓN</t>
        </is>
      </c>
      <c r="D179" t="n">
        <v>183</v>
      </c>
      <c r="E179" t="inlineStr">
        <is>
          <t>ROM (fragmentación post-voladura en el frente de carguío, por análisis de fotos)</t>
        </is>
      </c>
      <c r="F179" t="inlineStr"/>
      <c r="G179" t="inlineStr">
        <is>
          <t>no indicada en el archivo</t>
        </is>
      </c>
      <c r="H179" t="inlineStr">
        <is>
          <t>2025-04-17</t>
        </is>
      </c>
      <c r="I179" t="inlineStr">
        <is>
          <t>2025-04-22</t>
        </is>
      </c>
      <c r="J179" t="inlineStr">
        <is>
          <t>PALA 10</t>
        </is>
      </c>
      <c r="K179" t="n">
        <v>9</v>
      </c>
      <c r="L179" t="inlineStr">
        <is>
          <t>9-NP-3953-31</t>
        </is>
      </c>
      <c r="M179" t="n">
        <v>2</v>
      </c>
      <c r="N179" t="n">
        <v>3953</v>
      </c>
      <c r="O179" t="inlineStr">
        <is>
          <t>C</t>
        </is>
      </c>
      <c r="P179" t="n">
        <v>30</v>
      </c>
      <c r="Q179" t="inlineStr">
        <is>
          <t>Desmonte</t>
        </is>
      </c>
      <c r="R179" t="inlineStr">
        <is>
          <t>TRIM</t>
        </is>
      </c>
      <c r="S179" t="n">
        <v>6</v>
      </c>
      <c r="T179" t="n">
        <v>9.1</v>
      </c>
      <c r="U179" t="n">
        <v>2</v>
      </c>
      <c r="V179" t="n">
        <v>0.7463813595746938</v>
      </c>
      <c r="W179" t="n">
        <v>0.134</v>
      </c>
      <c r="X179" t="n">
        <v>0.197</v>
      </c>
      <c r="Y179" t="n">
        <v>0.5</v>
      </c>
      <c r="Z179" t="n">
        <v>2</v>
      </c>
      <c r="AA179" t="n">
        <v>4</v>
      </c>
      <c r="AB179" t="n">
        <v>6.4</v>
      </c>
      <c r="AC179" t="n">
        <v>9.1</v>
      </c>
      <c r="AD179" t="n">
        <v>12.4</v>
      </c>
      <c r="AE179" t="n">
        <v>16.3</v>
      </c>
      <c r="AF179" t="n">
        <v>21.4</v>
      </c>
      <c r="AG179" t="n">
        <v>29.1</v>
      </c>
      <c r="AH179" t="n">
        <v>61.4</v>
      </c>
      <c r="AI179" t="inlineStr"/>
      <c r="AJ179" t="n">
        <v>382142.0625</v>
      </c>
      <c r="AK179" t="n">
        <v>111593</v>
      </c>
      <c r="AL179" t="n">
        <v>0.2920196726577305</v>
      </c>
      <c r="AM179" t="inlineStr">
        <is>
          <t>-</t>
        </is>
      </c>
      <c r="AN179" t="inlineStr">
        <is>
          <t xml:space="preserve"> - </t>
        </is>
      </c>
      <c r="AO179" t="inlineStr">
        <is>
          <t xml:space="preserve"> - </t>
        </is>
      </c>
      <c r="AP179" t="inlineStr">
        <is>
          <t>9 7/8</t>
        </is>
      </c>
      <c r="AQ179" t="inlineStr">
        <is>
          <t xml:space="preserve"> - </t>
        </is>
      </c>
      <c r="AR179" t="inlineStr">
        <is>
          <t xml:space="preserve"> - </t>
        </is>
      </c>
      <c r="AS179" t="inlineStr">
        <is>
          <t xml:space="preserve"> - </t>
        </is>
      </c>
      <c r="AT179" t="n">
        <v>253</v>
      </c>
      <c r="AU179" t="inlineStr">
        <is>
          <t>Emulgex 70</t>
        </is>
      </c>
      <c r="AV179" t="inlineStr">
        <is>
          <t>51D2/49AR</t>
        </is>
      </c>
      <c r="AW179" t="n">
        <v>0.6705699769098359</v>
      </c>
      <c r="AX179" t="n">
        <v>0.7199690375494464</v>
      </c>
      <c r="AY179" t="n">
        <v>0.7675521345674587</v>
      </c>
      <c r="AZ179" t="n">
        <v>0.812236457504885</v>
      </c>
      <c r="BA179" t="n">
        <v>0.8366159871977734</v>
      </c>
      <c r="BB179" t="n">
        <v>3.582677165354331</v>
      </c>
      <c r="BC179" t="n">
        <v>0.4463006420738754</v>
      </c>
      <c r="BD179" t="n">
        <v>1.219765134081493</v>
      </c>
      <c r="BE179" t="n">
        <v>2.286531933693213</v>
      </c>
      <c r="BF179" t="n">
        <v>3.699864363564564</v>
      </c>
      <c r="BG179" t="n">
        <v>5.569032050142801</v>
      </c>
      <c r="BH179" t="n">
        <v>8.094195469516047</v>
      </c>
      <c r="BI179" t="n">
        <v>11.66947794983699</v>
      </c>
      <c r="BJ179" t="n">
        <v>17.21642753596858</v>
      </c>
      <c r="BK179" t="n">
        <v>27.8187188245647</v>
      </c>
      <c r="BL179" t="n">
        <v>121.2224525035184</v>
      </c>
      <c r="BM179" t="inlineStr"/>
      <c r="BN179" t="n">
        <v>5</v>
      </c>
      <c r="BO179" t="n">
        <v>91</v>
      </c>
      <c r="BP179" t="n">
        <v>214</v>
      </c>
      <c r="BQ179" t="n">
        <v>291</v>
      </c>
      <c r="BR179" t="n">
        <v>614</v>
      </c>
      <c r="BS17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0">
      <c r="A180" t="inlineStr">
        <is>
          <t>FRAG</t>
        </is>
      </c>
      <c r="B180" t="inlineStr">
        <is>
          <t>Fragmentación Desmonte 2025.xlsx</t>
        </is>
      </c>
      <c r="C180" t="inlineStr">
        <is>
          <t>ANÁLISIS DE FRAGMENTACIÓN</t>
        </is>
      </c>
      <c r="D180" t="n">
        <v>184</v>
      </c>
      <c r="E180" t="inlineStr">
        <is>
          <t>ROM (fragmentación post-voladura en el frente de carguío, por análisis de fotos)</t>
        </is>
      </c>
      <c r="F180" t="inlineStr"/>
      <c r="G180" t="inlineStr">
        <is>
          <t>no indicada en el archivo</t>
        </is>
      </c>
      <c r="H180" t="inlineStr">
        <is>
          <t>2025-04-17</t>
        </is>
      </c>
      <c r="I180" t="inlineStr">
        <is>
          <t>2025-04-22</t>
        </is>
      </c>
      <c r="J180" t="inlineStr">
        <is>
          <t>PALA 09</t>
        </is>
      </c>
      <c r="K180" t="n">
        <v>9</v>
      </c>
      <c r="L180" t="inlineStr">
        <is>
          <t>9-NP-3953-31</t>
        </is>
      </c>
      <c r="M180" t="n">
        <v>2</v>
      </c>
      <c r="N180" t="n">
        <v>3953</v>
      </c>
      <c r="O180" t="inlineStr">
        <is>
          <t>C</t>
        </is>
      </c>
      <c r="P180" t="n">
        <v>30</v>
      </c>
      <c r="Q180" t="inlineStr">
        <is>
          <t>Desmonte</t>
        </is>
      </c>
      <c r="R180" t="inlineStr">
        <is>
          <t>TRIM</t>
        </is>
      </c>
      <c r="S180" t="n">
        <v>7</v>
      </c>
      <c r="T180" t="n">
        <v>8.800000000000001</v>
      </c>
      <c r="U180" t="n">
        <v>3</v>
      </c>
      <c r="V180" t="n">
        <v>1.216448947025412</v>
      </c>
      <c r="W180" t="n">
        <v>0.066</v>
      </c>
      <c r="X180" t="n">
        <v>0.12</v>
      </c>
      <c r="Y180" t="n">
        <v>1.6</v>
      </c>
      <c r="Z180" t="n">
        <v>3.4</v>
      </c>
      <c r="AA180" t="n">
        <v>5.2</v>
      </c>
      <c r="AB180" t="n">
        <v>7</v>
      </c>
      <c r="AC180" t="n">
        <v>8.9</v>
      </c>
      <c r="AD180" t="n">
        <v>10.9</v>
      </c>
      <c r="AE180" t="n">
        <v>13.3</v>
      </c>
      <c r="AF180" t="n">
        <v>16.4</v>
      </c>
      <c r="AG180" t="n">
        <v>21.1</v>
      </c>
      <c r="AH180" t="n">
        <v>49.5</v>
      </c>
      <c r="AI180" t="inlineStr"/>
      <c r="AJ180" t="n">
        <v>382142.0625</v>
      </c>
      <c r="AK180" t="n">
        <v>111593</v>
      </c>
      <c r="AL180" t="n">
        <v>0.2920196726577305</v>
      </c>
      <c r="AM180" t="inlineStr">
        <is>
          <t>-</t>
        </is>
      </c>
      <c r="AN180" t="inlineStr">
        <is>
          <t xml:space="preserve"> - </t>
        </is>
      </c>
      <c r="AO180" t="inlineStr">
        <is>
          <t xml:space="preserve"> - </t>
        </is>
      </c>
      <c r="AP180" t="inlineStr">
        <is>
          <t>9 7/8</t>
        </is>
      </c>
      <c r="AQ180" t="inlineStr">
        <is>
          <t xml:space="preserve"> - </t>
        </is>
      </c>
      <c r="AR180" t="inlineStr">
        <is>
          <t xml:space="preserve"> - </t>
        </is>
      </c>
      <c r="AS180" t="inlineStr">
        <is>
          <t xml:space="preserve"> - </t>
        </is>
      </c>
      <c r="AT180" t="n">
        <v>253</v>
      </c>
      <c r="AU180" t="inlineStr">
        <is>
          <t>Emulgex 70</t>
        </is>
      </c>
      <c r="AV180" t="inlineStr">
        <is>
          <t>51D2/49AR</t>
        </is>
      </c>
      <c r="AW180" t="n">
        <v>0.634022383397832</v>
      </c>
      <c r="AX180" t="n">
        <v>0.6645785649225211</v>
      </c>
      <c r="AY180" t="n">
        <v>0.6948994454140175</v>
      </c>
      <c r="AZ180" t="n">
        <v>0.7247506948514075</v>
      </c>
      <c r="BA180" t="n">
        <v>0.7418978782738412</v>
      </c>
      <c r="BB180" t="n">
        <v>3.464566929133858</v>
      </c>
      <c r="BC180" t="n">
        <v>1.383758982280266</v>
      </c>
      <c r="BD180" t="n">
        <v>2.564346535193136</v>
      </c>
      <c r="BE180" t="n">
        <v>3.770697444083913</v>
      </c>
      <c r="BF180" t="n">
        <v>5.06598468742436</v>
      </c>
      <c r="BG180" t="n">
        <v>6.510747732265136</v>
      </c>
      <c r="BH180" t="n">
        <v>8.189767543686816</v>
      </c>
      <c r="BI180" t="n">
        <v>10.25073045752179</v>
      </c>
      <c r="BJ180" t="n">
        <v>13.01314603048896</v>
      </c>
      <c r="BK180" t="n">
        <v>17.46817288003525</v>
      </c>
      <c r="BL180" t="n">
        <v>43.09948939335032</v>
      </c>
      <c r="BM180" t="inlineStr"/>
      <c r="BN180" t="n">
        <v>16</v>
      </c>
      <c r="BO180" t="n">
        <v>89</v>
      </c>
      <c r="BP180" t="n">
        <v>164</v>
      </c>
      <c r="BQ180" t="n">
        <v>211</v>
      </c>
      <c r="BR180" t="n">
        <v>495</v>
      </c>
      <c r="BS18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1">
      <c r="A181" t="inlineStr">
        <is>
          <t>FRAG</t>
        </is>
      </c>
      <c r="B181" t="inlineStr">
        <is>
          <t>Fragmentación Desmonte 2025.xlsx</t>
        </is>
      </c>
      <c r="C181" t="inlineStr">
        <is>
          <t>ANÁLISIS DE FRAGMENTACIÓN</t>
        </is>
      </c>
      <c r="D181" t="n">
        <v>185</v>
      </c>
      <c r="E181" t="inlineStr">
        <is>
          <t>ROM (fragmentación post-voladura en el frente de carguío, por análisis de fotos)</t>
        </is>
      </c>
      <c r="F181" t="inlineStr"/>
      <c r="G181" t="inlineStr">
        <is>
          <t>no indicada en el archivo</t>
        </is>
      </c>
      <c r="H181" t="inlineStr">
        <is>
          <t>2025-05-08</t>
        </is>
      </c>
      <c r="I181" t="inlineStr">
        <is>
          <t>2025-05-18</t>
        </is>
      </c>
      <c r="J181" t="inlineStr">
        <is>
          <t>PALA 07</t>
        </is>
      </c>
      <c r="K181" t="n">
        <v>9</v>
      </c>
      <c r="L181" t="inlineStr">
        <is>
          <t>9-NP-3938-25</t>
        </is>
      </c>
      <c r="M181" t="n">
        <v>1</v>
      </c>
      <c r="N181" t="n">
        <v>3938</v>
      </c>
      <c r="O181" t="inlineStr">
        <is>
          <t>C</t>
        </is>
      </c>
      <c r="P181" t="n">
        <v>30</v>
      </c>
      <c r="Q181" t="inlineStr">
        <is>
          <t>Desmonte</t>
        </is>
      </c>
      <c r="R181" t="inlineStr">
        <is>
          <t>Producción</t>
        </is>
      </c>
      <c r="S181" t="n">
        <v>4</v>
      </c>
      <c r="T181" t="n">
        <v>11.4</v>
      </c>
      <c r="U181" t="n">
        <v>2</v>
      </c>
      <c r="V181" t="n">
        <v>0.7091508762584963</v>
      </c>
      <c r="W181" t="n">
        <v>0.134</v>
      </c>
      <c r="X181" t="n">
        <v>0.19</v>
      </c>
      <c r="Y181" t="n">
        <v>0.5</v>
      </c>
      <c r="Z181" t="n">
        <v>2.2</v>
      </c>
      <c r="AA181" t="n">
        <v>4.6</v>
      </c>
      <c r="AB181" t="n">
        <v>7.7</v>
      </c>
      <c r="AC181" t="n">
        <v>11.4</v>
      </c>
      <c r="AD181" t="n">
        <v>15.9</v>
      </c>
      <c r="AE181" t="n">
        <v>21.4</v>
      </c>
      <c r="AF181" t="n">
        <v>28.8</v>
      </c>
      <c r="AG181" t="n">
        <v>40.1</v>
      </c>
      <c r="AH181" t="n">
        <v>88.40000000000001</v>
      </c>
      <c r="AI181" t="inlineStr"/>
      <c r="AJ181" t="n">
        <v>244158.75</v>
      </c>
      <c r="AK181" t="n">
        <v>77058</v>
      </c>
      <c r="AL181" t="n">
        <v>0.3156061374003594</v>
      </c>
      <c r="AM181" t="inlineStr">
        <is>
          <t>0.9752229645671106</t>
        </is>
      </c>
      <c r="AN181" t="inlineStr">
        <is>
          <t>17</t>
        </is>
      </c>
      <c r="AO181" t="inlineStr">
        <is>
          <t>7</t>
        </is>
      </c>
      <c r="AP181" t="inlineStr">
        <is>
          <t>12 1/4</t>
        </is>
      </c>
      <c r="AQ181" t="inlineStr">
        <is>
          <t>8.5</t>
        </is>
      </c>
      <c r="AR181" t="inlineStr">
        <is>
          <t>9.8</t>
        </is>
      </c>
      <c r="AS181" t="inlineStr">
        <is>
          <t>2</t>
        </is>
      </c>
      <c r="AT181" t="n">
        <v>84</v>
      </c>
      <c r="AU181" t="inlineStr">
        <is>
          <t>Vertex 70</t>
        </is>
      </c>
      <c r="AV181" t="inlineStr">
        <is>
          <t>63D2/39AR</t>
        </is>
      </c>
      <c r="AW181" t="n">
        <v>0.6727644669403539</v>
      </c>
      <c r="AX181" t="n">
        <v>0.7203785968389457</v>
      </c>
      <c r="AY181" t="n">
        <v>0.766295214582342</v>
      </c>
      <c r="AZ181" t="n">
        <v>0.8095421351078583</v>
      </c>
      <c r="BA181" t="n">
        <v>0.833228177862121</v>
      </c>
      <c r="BB181" t="n">
        <v>4.488188976377953</v>
      </c>
      <c r="BC181" t="n">
        <v>0.4772507580265072</v>
      </c>
      <c r="BD181" t="n">
        <v>1.375052961627949</v>
      </c>
      <c r="BE181" t="n">
        <v>2.664083366962883</v>
      </c>
      <c r="BF181" t="n">
        <v>4.421089526822169</v>
      </c>
      <c r="BG181" t="n">
        <v>6.799029407763896</v>
      </c>
      <c r="BH181" t="n">
        <v>10.07781979187479</v>
      </c>
      <c r="BI181" t="n">
        <v>14.8110355067767</v>
      </c>
      <c r="BJ181" t="n">
        <v>22.30200242802626</v>
      </c>
      <c r="BK181" t="n">
        <v>36.95546340850011</v>
      </c>
      <c r="BL181" t="n">
        <v>173.9742856248418</v>
      </c>
      <c r="BM181" t="inlineStr"/>
      <c r="BN181" t="n">
        <v>5</v>
      </c>
      <c r="BO181" t="n">
        <v>114</v>
      </c>
      <c r="BP181" t="n">
        <v>288</v>
      </c>
      <c r="BQ181" t="n">
        <v>401</v>
      </c>
      <c r="BR181" t="n">
        <v>884</v>
      </c>
      <c r="BS18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2">
      <c r="A182" t="inlineStr">
        <is>
          <t>FRAG</t>
        </is>
      </c>
      <c r="B182" t="inlineStr">
        <is>
          <t>Fragmentación Desmonte 2025.xlsx</t>
        </is>
      </c>
      <c r="C182" t="inlineStr">
        <is>
          <t>ANÁLISIS DE FRAGMENTACIÓN</t>
        </is>
      </c>
      <c r="D182" t="n">
        <v>186</v>
      </c>
      <c r="E182" t="inlineStr">
        <is>
          <t>ROM (fragmentación post-voladura en el frente de carguío, por análisis de fotos)</t>
        </is>
      </c>
      <c r="F182" t="inlineStr"/>
      <c r="G182" t="inlineStr">
        <is>
          <t>no indicada en el archivo</t>
        </is>
      </c>
      <c r="H182" t="inlineStr">
        <is>
          <t>2025-05-08</t>
        </is>
      </c>
      <c r="I182" t="inlineStr">
        <is>
          <t>2025-05-19</t>
        </is>
      </c>
      <c r="J182" t="inlineStr">
        <is>
          <t>PALA 08</t>
        </is>
      </c>
      <c r="K182" t="n">
        <v>9</v>
      </c>
      <c r="L182" t="inlineStr">
        <is>
          <t>9-NP-3923-08</t>
        </is>
      </c>
      <c r="M182" t="n">
        <v>3</v>
      </c>
      <c r="N182" t="n">
        <v>3923</v>
      </c>
      <c r="O182" t="inlineStr">
        <is>
          <t>A</t>
        </is>
      </c>
      <c r="P182" t="n">
        <v>30</v>
      </c>
      <c r="Q182" t="inlineStr">
        <is>
          <t>Desmonte</t>
        </is>
      </c>
      <c r="R182" t="inlineStr">
        <is>
          <t>Producción</t>
        </is>
      </c>
      <c r="S182" t="n">
        <v>5</v>
      </c>
      <c r="T182" t="n">
        <v>14.6</v>
      </c>
      <c r="U182" t="n">
        <v>3</v>
      </c>
      <c r="V182" t="n">
        <v>1.089334069595228</v>
      </c>
      <c r="W182" t="n">
        <v>0.052</v>
      </c>
      <c r="X182" t="n">
        <v>0.08799999999999999</v>
      </c>
      <c r="Y182" t="n">
        <v>2.3</v>
      </c>
      <c r="Z182" t="n">
        <v>5.2</v>
      </c>
      <c r="AA182" t="n">
        <v>8.199999999999999</v>
      </c>
      <c r="AB182" t="n">
        <v>11.3</v>
      </c>
      <c r="AC182" t="n">
        <v>14.6</v>
      </c>
      <c r="AD182" t="n">
        <v>18.4</v>
      </c>
      <c r="AE182" t="n">
        <v>22.9</v>
      </c>
      <c r="AF182" t="n">
        <v>28.8</v>
      </c>
      <c r="AG182" t="n">
        <v>38.2</v>
      </c>
      <c r="AH182" t="n">
        <v>105.9</v>
      </c>
      <c r="AI182" t="inlineStr"/>
      <c r="AJ182" t="n">
        <v>368733.75</v>
      </c>
      <c r="AK182" t="n">
        <v>212196.2</v>
      </c>
      <c r="AL182" t="n">
        <v>0.5754726818469966</v>
      </c>
      <c r="AM182" t="inlineStr">
        <is>
          <t>1.7782105869072198</t>
        </is>
      </c>
      <c r="AN182" t="inlineStr">
        <is>
          <t>16.5</t>
        </is>
      </c>
      <c r="AO182" t="inlineStr">
        <is>
          <t>6.5</t>
        </is>
      </c>
      <c r="AP182" t="inlineStr">
        <is>
          <t>12 1/4</t>
        </is>
      </c>
      <c r="AQ182" t="inlineStr">
        <is>
          <t>6</t>
        </is>
      </c>
      <c r="AR182" t="inlineStr">
        <is>
          <t>7</t>
        </is>
      </c>
      <c r="AS182" t="inlineStr">
        <is>
          <t>1.5</t>
        </is>
      </c>
      <c r="AT182" t="n">
        <v>226</v>
      </c>
      <c r="AU182" t="inlineStr">
        <is>
          <t>Vertex 70</t>
        </is>
      </c>
      <c r="AV182" t="inlineStr">
        <is>
          <t>63D2/39AR</t>
        </is>
      </c>
      <c r="AW182" t="n">
        <v>0.6370881150540058</v>
      </c>
      <c r="AX182" t="n">
        <v>0.6595019805413036</v>
      </c>
      <c r="AY182" t="n">
        <v>0.681809930293626</v>
      </c>
      <c r="AZ182" t="n">
        <v>0.703920893510606</v>
      </c>
      <c r="BA182" t="n">
        <v>0.7167260893450238</v>
      </c>
      <c r="BB182" t="n">
        <v>5.748031496062992</v>
      </c>
      <c r="BC182" t="n">
        <v>1.850030721297416</v>
      </c>
      <c r="BD182" t="n">
        <v>3.684329543353998</v>
      </c>
      <c r="BE182" t="n">
        <v>5.666862433124181</v>
      </c>
      <c r="BF182" t="n">
        <v>7.880422347829652</v>
      </c>
      <c r="BG182" t="n">
        <v>10.42874135916251</v>
      </c>
      <c r="BH182" t="n">
        <v>13.47409862373466</v>
      </c>
      <c r="BI182" t="n">
        <v>17.31244167423869</v>
      </c>
      <c r="BJ182" t="n">
        <v>22.59842388597738</v>
      </c>
      <c r="BK182" t="n">
        <v>31.3952519873521</v>
      </c>
      <c r="BL182" t="n">
        <v>86.07112609895772</v>
      </c>
      <c r="BM182" t="inlineStr"/>
      <c r="BN182" t="n">
        <v>23</v>
      </c>
      <c r="BO182" t="n">
        <v>146</v>
      </c>
      <c r="BP182" t="n">
        <v>288</v>
      </c>
      <c r="BQ182" t="n">
        <v>382</v>
      </c>
      <c r="BR182" t="n">
        <v>1059</v>
      </c>
      <c r="BS18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3">
      <c r="A183" t="inlineStr">
        <is>
          <t>FRAG</t>
        </is>
      </c>
      <c r="B183" t="inlineStr">
        <is>
          <t>Fragmentación Desmonte 2025.xlsx</t>
        </is>
      </c>
      <c r="C183" t="inlineStr">
        <is>
          <t>ANÁLISIS DE FRAGMENTACIÓN</t>
        </is>
      </c>
      <c r="D183" t="n">
        <v>187</v>
      </c>
      <c r="E183" t="inlineStr">
        <is>
          <t>ROM (fragmentación post-voladura en el frente de carguío, por análisis de fotos)</t>
        </is>
      </c>
      <c r="F183" t="inlineStr"/>
      <c r="G183" t="inlineStr">
        <is>
          <t>no indicada en el archivo</t>
        </is>
      </c>
      <c r="H183" t="inlineStr">
        <is>
          <t>2025-05-17</t>
        </is>
      </c>
      <c r="I183" t="inlineStr">
        <is>
          <t>2025-05-19</t>
        </is>
      </c>
      <c r="J183" t="inlineStr">
        <is>
          <t>PALA 09</t>
        </is>
      </c>
      <c r="K183" t="n">
        <v>9</v>
      </c>
      <c r="L183" t="inlineStr">
        <is>
          <t>9-NP-3938-32</t>
        </is>
      </c>
      <c r="M183" t="n">
        <v>1</v>
      </c>
      <c r="N183" t="n">
        <v>3938</v>
      </c>
      <c r="O183" t="inlineStr">
        <is>
          <t>A</t>
        </is>
      </c>
      <c r="P183" t="n">
        <v>30</v>
      </c>
      <c r="Q183" t="inlineStr">
        <is>
          <t>Desmonte</t>
        </is>
      </c>
      <c r="R183" t="inlineStr">
        <is>
          <t>Producción</t>
        </is>
      </c>
      <c r="S183" t="n">
        <v>5</v>
      </c>
      <c r="T183" t="n">
        <v>13.4</v>
      </c>
      <c r="U183" t="n">
        <v>3</v>
      </c>
      <c r="V183" t="n">
        <v>1.131405036553003</v>
      </c>
      <c r="W183" t="n">
        <v>0.066</v>
      </c>
      <c r="X183" t="n">
        <v>0.108</v>
      </c>
      <c r="Y183" t="n">
        <v>1.7</v>
      </c>
      <c r="Z183" t="n">
        <v>4.4</v>
      </c>
      <c r="AA183" t="n">
        <v>7.2</v>
      </c>
      <c r="AB183" t="n">
        <v>10.2</v>
      </c>
      <c r="AC183" t="n">
        <v>13.5</v>
      </c>
      <c r="AD183" t="n">
        <v>17.1</v>
      </c>
      <c r="AE183" t="n">
        <v>21.5</v>
      </c>
      <c r="AF183" t="n">
        <v>27.2</v>
      </c>
      <c r="AG183" t="n">
        <v>36.1</v>
      </c>
      <c r="AH183" t="n">
        <v>88.7</v>
      </c>
      <c r="AI183" t="inlineStr"/>
      <c r="AJ183" t="n">
        <v>174174.4125</v>
      </c>
      <c r="AK183" t="n">
        <v>101998.9</v>
      </c>
      <c r="AL183" t="n">
        <v>0.585613572831773</v>
      </c>
      <c r="AM183" t="inlineStr">
        <is>
          <t>-</t>
        </is>
      </c>
      <c r="AN183" t="inlineStr">
        <is>
          <t>16.5</t>
        </is>
      </c>
      <c r="AO183" t="inlineStr">
        <is>
          <t>2/4,8</t>
        </is>
      </c>
      <c r="AP183" t="inlineStr">
        <is>
          <t>12 1/4</t>
        </is>
      </c>
      <c r="AQ183" t="inlineStr">
        <is>
          <t>6</t>
        </is>
      </c>
      <c r="AR183" t="inlineStr">
        <is>
          <t>7</t>
        </is>
      </c>
      <c r="AS183" t="inlineStr">
        <is>
          <t>1.5</t>
        </is>
      </c>
      <c r="AT183" t="n">
        <v>261</v>
      </c>
      <c r="AU183" t="inlineStr">
        <is>
          <t>Emulgex 70</t>
        </is>
      </c>
      <c r="AV183" t="inlineStr">
        <is>
          <t>54AR/46D2</t>
        </is>
      </c>
      <c r="AW183" t="n">
        <v>0.6367116179848984</v>
      </c>
      <c r="AX183" t="n">
        <v>0.6642094451375581</v>
      </c>
      <c r="AY183" t="n">
        <v>0.6915190936527484</v>
      </c>
      <c r="AZ183" t="n">
        <v>0.7184701838791264</v>
      </c>
      <c r="BA183" t="n">
        <v>0.7339989434572827</v>
      </c>
      <c r="BB183" t="n">
        <v>5.275590551181103</v>
      </c>
      <c r="BC183" t="n">
        <v>1.83354694465817</v>
      </c>
      <c r="BD183" t="n">
        <v>3.559153005012389</v>
      </c>
      <c r="BE183" t="n">
        <v>5.387383684302279</v>
      </c>
      <c r="BF183" t="n">
        <v>7.400475523654357</v>
      </c>
      <c r="BG183" t="n">
        <v>9.692087017423448</v>
      </c>
      <c r="BH183" t="n">
        <v>12.40359759270629</v>
      </c>
      <c r="BI183" t="n">
        <v>15.78913703709771</v>
      </c>
      <c r="BJ183" t="n">
        <v>20.40681433957698</v>
      </c>
      <c r="BK183" t="n">
        <v>28.00603238316745</v>
      </c>
      <c r="BL183" t="n">
        <v>73.95344969110849</v>
      </c>
      <c r="BM183" t="inlineStr"/>
      <c r="BN183" t="n">
        <v>17</v>
      </c>
      <c r="BO183" t="n">
        <v>135</v>
      </c>
      <c r="BP183" t="n">
        <v>272</v>
      </c>
      <c r="BQ183" t="n">
        <v>361</v>
      </c>
      <c r="BR183" t="n">
        <v>887</v>
      </c>
      <c r="BS18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4">
      <c r="A184" t="inlineStr">
        <is>
          <t>FRAG</t>
        </is>
      </c>
      <c r="B184" t="inlineStr">
        <is>
          <t>Fragmentación Desmonte 2025.xlsx</t>
        </is>
      </c>
      <c r="C184" t="inlineStr">
        <is>
          <t>ANÁLISIS DE FRAGMENTACIÓN</t>
        </is>
      </c>
      <c r="D184" t="n">
        <v>188</v>
      </c>
      <c r="E184" t="inlineStr">
        <is>
          <t>ROM (fragmentación post-voladura en el frente de carguío, por análisis de fotos)</t>
        </is>
      </c>
      <c r="F184" t="inlineStr"/>
      <c r="G184" t="inlineStr">
        <is>
          <t>no indicada en el archivo</t>
        </is>
      </c>
      <c r="H184" t="inlineStr">
        <is>
          <t>2025-05-23</t>
        </is>
      </c>
      <c r="I184" t="inlineStr">
        <is>
          <t>2025-05-26</t>
        </is>
      </c>
      <c r="J184" t="inlineStr">
        <is>
          <t>PALA 07</t>
        </is>
      </c>
      <c r="K184" t="n">
        <v>9</v>
      </c>
      <c r="L184" t="inlineStr">
        <is>
          <t>9-NP-3923-12</t>
        </is>
      </c>
      <c r="M184" t="n">
        <v>1</v>
      </c>
      <c r="N184" t="n">
        <v>3923</v>
      </c>
      <c r="O184" t="inlineStr">
        <is>
          <t>C</t>
        </is>
      </c>
      <c r="P184" t="n">
        <v>30</v>
      </c>
      <c r="Q184" t="inlineStr">
        <is>
          <t>Desmonte</t>
        </is>
      </c>
      <c r="R184" t="inlineStr">
        <is>
          <t>Producción</t>
        </is>
      </c>
      <c r="S184" t="n">
        <v>10</v>
      </c>
      <c r="T184" t="n">
        <v>9.699999999999999</v>
      </c>
      <c r="U184" t="n">
        <v>3</v>
      </c>
      <c r="V184" t="n">
        <v>0.953068372212634</v>
      </c>
      <c r="W184" t="n">
        <v>0.131</v>
      </c>
      <c r="X184" t="n">
        <v>0.194</v>
      </c>
      <c r="Y184" t="n">
        <v>0.6</v>
      </c>
      <c r="Z184" t="n">
        <v>2.1</v>
      </c>
      <c r="AA184" t="n">
        <v>4.1</v>
      </c>
      <c r="AB184" t="n">
        <v>6.7</v>
      </c>
      <c r="AC184" t="n">
        <v>9.800000000000001</v>
      </c>
      <c r="AD184" t="n">
        <v>13.6</v>
      </c>
      <c r="AE184" t="n">
        <v>18.5</v>
      </c>
      <c r="AF184" t="n">
        <v>25.4</v>
      </c>
      <c r="AG184" t="n">
        <v>36.9</v>
      </c>
      <c r="AH184" t="n">
        <v>109.4</v>
      </c>
      <c r="AI184" t="inlineStr"/>
      <c r="AJ184" t="n">
        <v>371621.25</v>
      </c>
      <c r="AK184" t="n">
        <v>97120</v>
      </c>
      <c r="AL184" t="n">
        <v>0.2613413522504431</v>
      </c>
      <c r="AM184" t="inlineStr">
        <is>
          <t>0.8075447784538693</t>
        </is>
      </c>
      <c r="AN184" t="inlineStr">
        <is>
          <t>17</t>
        </is>
      </c>
      <c r="AO184" t="inlineStr">
        <is>
          <t>7</t>
        </is>
      </c>
      <c r="AP184" t="inlineStr">
        <is>
          <t>12 1/4</t>
        </is>
      </c>
      <c r="AQ184" t="inlineStr">
        <is>
          <t>8.5</t>
        </is>
      </c>
      <c r="AR184" t="inlineStr">
        <is>
          <t>9.8</t>
        </is>
      </c>
      <c r="AS184" t="inlineStr">
        <is>
          <t>2</t>
        </is>
      </c>
      <c r="AT184" t="n">
        <v>109</v>
      </c>
      <c r="AU184" t="inlineStr">
        <is>
          <t>Vertex 70</t>
        </is>
      </c>
      <c r="AV184" t="inlineStr">
        <is>
          <t>51AR/49D2</t>
        </is>
      </c>
      <c r="AW184" t="n">
        <v>0.6525987183734088</v>
      </c>
      <c r="AX184" t="n">
        <v>0.7016384633779984</v>
      </c>
      <c r="AY184" t="n">
        <v>0.7493070849819892</v>
      </c>
      <c r="AZ184" t="n">
        <v>0.7945718324223396</v>
      </c>
      <c r="BA184" t="n">
        <v>0.8195277783841026</v>
      </c>
      <c r="BB184" t="n">
        <v>3.818897637795276</v>
      </c>
      <c r="BC184" t="n">
        <v>0.9147947744412196</v>
      </c>
      <c r="BD184" t="n">
        <v>2.010382202623544</v>
      </c>
      <c r="BE184" t="n">
        <v>3.288493933780521</v>
      </c>
      <c r="BF184" t="n">
        <v>4.793789688513273</v>
      </c>
      <c r="BG184" t="n">
        <v>6.603269409762103</v>
      </c>
      <c r="BH184" t="n">
        <v>8.849840554650843</v>
      </c>
      <c r="BI184" t="n">
        <v>11.7857762389482</v>
      </c>
      <c r="BJ184" t="n">
        <v>15.98170653949977</v>
      </c>
      <c r="BK184" t="n">
        <v>23.27147384757422</v>
      </c>
      <c r="BL184" t="n">
        <v>73.69531282057007</v>
      </c>
      <c r="BM184" t="inlineStr"/>
      <c r="BN184" t="n">
        <v>6</v>
      </c>
      <c r="BO184" t="n">
        <v>98</v>
      </c>
      <c r="BP184" t="n">
        <v>254</v>
      </c>
      <c r="BQ184" t="n">
        <v>369</v>
      </c>
      <c r="BR184" t="n">
        <v>1094</v>
      </c>
      <c r="BS18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5">
      <c r="A185" t="inlineStr">
        <is>
          <t>FRAG</t>
        </is>
      </c>
      <c r="B185" t="inlineStr">
        <is>
          <t>Fragmentación Desmonte 2025.xlsx</t>
        </is>
      </c>
      <c r="C185" t="inlineStr">
        <is>
          <t>ANÁLISIS DE FRAGMENTACIÓN</t>
        </is>
      </c>
      <c r="D185" t="n">
        <v>189</v>
      </c>
      <c r="E185" t="inlineStr">
        <is>
          <t>ROM (fragmentación post-voladura en el frente de carguío, por análisis de fotos)</t>
        </is>
      </c>
      <c r="F185" t="inlineStr"/>
      <c r="G185" t="inlineStr">
        <is>
          <t>no indicada en el archivo</t>
        </is>
      </c>
      <c r="H185" t="inlineStr">
        <is>
          <t>2025-04-20</t>
        </is>
      </c>
      <c r="I185" t="inlineStr">
        <is>
          <t>2025-05-26</t>
        </is>
      </c>
      <c r="J185" t="inlineStr">
        <is>
          <t>PALA 08</t>
        </is>
      </c>
      <c r="K185" t="n">
        <v>9</v>
      </c>
      <c r="L185" t="inlineStr">
        <is>
          <t>9-NP-3923-07</t>
        </is>
      </c>
      <c r="M185" t="n">
        <v>1</v>
      </c>
      <c r="N185" t="n">
        <v>3923</v>
      </c>
      <c r="O185" t="inlineStr">
        <is>
          <t>A</t>
        </is>
      </c>
      <c r="P185" t="n">
        <v>30</v>
      </c>
      <c r="Q185" t="inlineStr">
        <is>
          <t>Desmonte</t>
        </is>
      </c>
      <c r="R185" t="inlineStr">
        <is>
          <t>Producción</t>
        </is>
      </c>
      <c r="S185" t="n">
        <v>6</v>
      </c>
      <c r="T185" t="n">
        <v>10.1</v>
      </c>
      <c r="U185" t="n">
        <v>3</v>
      </c>
      <c r="V185" t="n">
        <v>1.054639890180346</v>
      </c>
      <c r="W185" t="n">
        <v>0.08799999999999999</v>
      </c>
      <c r="X185" t="n">
        <v>0.143</v>
      </c>
      <c r="Y185" t="n">
        <v>1.1</v>
      </c>
      <c r="Z185" t="n">
        <v>3.1</v>
      </c>
      <c r="AA185" t="n">
        <v>5.2</v>
      </c>
      <c r="AB185" t="n">
        <v>7.5</v>
      </c>
      <c r="AC185" t="n">
        <v>10.2</v>
      </c>
      <c r="AD185" t="n">
        <v>13.2</v>
      </c>
      <c r="AE185" t="n">
        <v>16.9</v>
      </c>
      <c r="AF185" t="n">
        <v>21.8</v>
      </c>
      <c r="AG185" t="n">
        <v>29.7</v>
      </c>
      <c r="AH185" t="n">
        <v>81.09999999999999</v>
      </c>
      <c r="AI185" t="inlineStr"/>
      <c r="AJ185" t="n">
        <v>612273.75</v>
      </c>
      <c r="AK185" t="n">
        <v>242529.39</v>
      </c>
      <c r="AL185" t="n">
        <v>0.3961126701904173</v>
      </c>
      <c r="AM185" t="inlineStr">
        <is>
          <t>1.2239881508883894</t>
        </is>
      </c>
      <c r="AN185" t="inlineStr">
        <is>
          <t>16.5</t>
        </is>
      </c>
      <c r="AO185" t="inlineStr">
        <is>
          <t>6.5</t>
        </is>
      </c>
      <c r="AP185" t="inlineStr">
        <is>
          <t>12 1/4</t>
        </is>
      </c>
      <c r="AQ185" t="inlineStr">
        <is>
          <t>6</t>
        </is>
      </c>
      <c r="AR185" t="inlineStr">
        <is>
          <t>7</t>
        </is>
      </c>
      <c r="AS185" t="inlineStr">
        <is>
          <t>1.5</t>
        </is>
      </c>
      <c r="AT185" t="n">
        <v>260</v>
      </c>
      <c r="AU185" t="inlineStr">
        <is>
          <t>Vertex 70</t>
        </is>
      </c>
      <c r="AV185" t="inlineStr">
        <is>
          <t>49D2/51AR</t>
        </is>
      </c>
      <c r="AW185" t="n">
        <v>0.6418946590624129</v>
      </c>
      <c r="AX185" t="n">
        <v>0.6782346771791807</v>
      </c>
      <c r="AY185" t="n">
        <v>0.71409260144162</v>
      </c>
      <c r="AZ185" t="n">
        <v>0.7490629969598868</v>
      </c>
      <c r="BA185" t="n">
        <v>0.7689417495797337</v>
      </c>
      <c r="BB185" t="n">
        <v>3.976377952755905</v>
      </c>
      <c r="BC185" t="n">
        <v>1.195730730654037</v>
      </c>
      <c r="BD185" t="n">
        <v>2.43587467620386</v>
      </c>
      <c r="BE185" t="n">
        <v>3.800058709336981</v>
      </c>
      <c r="BF185" t="n">
        <v>5.342052640278235</v>
      </c>
      <c r="BG185" t="n">
        <v>7.134992425121641</v>
      </c>
      <c r="BH185" t="n">
        <v>9.296547369050369</v>
      </c>
      <c r="BI185" t="n">
        <v>12.04374016757419</v>
      </c>
      <c r="BJ185" t="n">
        <v>15.85944576186015</v>
      </c>
      <c r="BK185" t="n">
        <v>22.27260484396302</v>
      </c>
      <c r="BL185" t="n">
        <v>63.1208833525158</v>
      </c>
      <c r="BM185" t="inlineStr"/>
      <c r="BN185" t="n">
        <v>11</v>
      </c>
      <c r="BO185" t="n">
        <v>102</v>
      </c>
      <c r="BP185" t="n">
        <v>218</v>
      </c>
      <c r="BQ185" t="n">
        <v>297</v>
      </c>
      <c r="BR185" t="n">
        <v>811</v>
      </c>
      <c r="BS18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6">
      <c r="A186" t="inlineStr">
        <is>
          <t>FRAG</t>
        </is>
      </c>
      <c r="B186" t="inlineStr">
        <is>
          <t>Fragmentación Desmonte 2025.xlsx</t>
        </is>
      </c>
      <c r="C186" t="inlineStr">
        <is>
          <t>ANÁLISIS DE FRAGMENTACIÓN</t>
        </is>
      </c>
      <c r="D186" t="n">
        <v>190</v>
      </c>
      <c r="E186" t="inlineStr">
        <is>
          <t>ROM (fragmentación post-voladura en el frente de carguío, por análisis de fotos)</t>
        </is>
      </c>
      <c r="F186" t="inlineStr"/>
      <c r="G186" t="inlineStr">
        <is>
          <t>no indicada en el archivo</t>
        </is>
      </c>
      <c r="H186" t="inlineStr">
        <is>
          <t>2025-05-25</t>
        </is>
      </c>
      <c r="I186" t="inlineStr">
        <is>
          <t>2025-05-28</t>
        </is>
      </c>
      <c r="J186" t="inlineStr">
        <is>
          <t>PALA 06</t>
        </is>
      </c>
      <c r="K186" t="n">
        <v>10</v>
      </c>
      <c r="L186" t="inlineStr">
        <is>
          <t>10-NP-4403-17</t>
        </is>
      </c>
      <c r="M186" t="n">
        <v>1</v>
      </c>
      <c r="N186" t="n">
        <v>4403</v>
      </c>
      <c r="O186" t="inlineStr">
        <is>
          <t>A</t>
        </is>
      </c>
      <c r="P186" t="n">
        <v>30</v>
      </c>
      <c r="Q186" t="inlineStr">
        <is>
          <t>Desmonte</t>
        </is>
      </c>
      <c r="R186" t="inlineStr">
        <is>
          <t>Producción</t>
        </is>
      </c>
      <c r="S186" t="n">
        <v>8</v>
      </c>
      <c r="T186" t="n">
        <v>7.2</v>
      </c>
      <c r="U186" t="n">
        <v>3</v>
      </c>
      <c r="V186" t="n">
        <v>0.9012746751552554</v>
      </c>
      <c r="W186" t="n">
        <v>0.158</v>
      </c>
      <c r="X186" t="n">
        <v>0.236</v>
      </c>
      <c r="Y186" t="n">
        <v>0.4</v>
      </c>
      <c r="Z186" t="n">
        <v>1.5</v>
      </c>
      <c r="AA186" t="n">
        <v>3</v>
      </c>
      <c r="AB186" t="n">
        <v>4.9</v>
      </c>
      <c r="AC186" t="n">
        <v>7.3</v>
      </c>
      <c r="AD186" t="n">
        <v>10.3</v>
      </c>
      <c r="AE186" t="n">
        <v>14.2</v>
      </c>
      <c r="AF186" t="n">
        <v>19.9</v>
      </c>
      <c r="AG186" t="n">
        <v>29.7</v>
      </c>
      <c r="AH186" t="n">
        <v>102.4</v>
      </c>
      <c r="AI186" t="inlineStr"/>
      <c r="AJ186" t="n">
        <v>138311.25</v>
      </c>
      <c r="AK186" t="n">
        <v>32873.498</v>
      </c>
      <c r="AL186" t="n">
        <v>0.2376776871006516</v>
      </c>
      <c r="AM186" t="inlineStr">
        <is>
          <t>0.7344240531410134</t>
        </is>
      </c>
      <c r="AN186" t="inlineStr">
        <is>
          <t>17</t>
        </is>
      </c>
      <c r="AO186" t="inlineStr">
        <is>
          <t>7</t>
        </is>
      </c>
      <c r="AP186" t="inlineStr">
        <is>
          <t>12 1/4</t>
        </is>
      </c>
      <c r="AQ186" t="inlineStr">
        <is>
          <t>8.5</t>
        </is>
      </c>
      <c r="AR186" t="inlineStr">
        <is>
          <t>9.8</t>
        </is>
      </c>
      <c r="AS186" t="inlineStr">
        <is>
          <t>2</t>
        </is>
      </c>
      <c r="AT186" t="n">
        <v>41</v>
      </c>
      <c r="AU186" t="inlineStr">
        <is>
          <t>Vertex 70</t>
        </is>
      </c>
      <c r="AV186" t="inlineStr">
        <is>
          <t>51AR/49D2</t>
        </is>
      </c>
      <c r="AW186" t="n">
        <v>0.6618632283256993</v>
      </c>
      <c r="AX186" t="n">
        <v>0.7211302611399761</v>
      </c>
      <c r="AY186" t="n">
        <v>0.7777526568457527</v>
      </c>
      <c r="AZ186" t="n">
        <v>0.8298803218160833</v>
      </c>
      <c r="BA186" t="n">
        <v>0.8576004054562797</v>
      </c>
      <c r="BB186" t="n">
        <v>2.834645669291338</v>
      </c>
      <c r="BC186" t="n">
        <v>0.5928636840163973</v>
      </c>
      <c r="BD186" t="n">
        <v>1.363204417327216</v>
      </c>
      <c r="BE186" t="n">
        <v>2.293829794219291</v>
      </c>
      <c r="BF186" t="n">
        <v>3.41703523616503</v>
      </c>
      <c r="BG186" t="n">
        <v>4.79426495902154</v>
      </c>
      <c r="BH186" t="n">
        <v>6.534418264368815</v>
      </c>
      <c r="BI186" t="n">
        <v>8.846671420808846</v>
      </c>
      <c r="BJ186" t="n">
        <v>12.2080345385469</v>
      </c>
      <c r="BK186" t="n">
        <v>18.16457202291092</v>
      </c>
      <c r="BL186" t="n">
        <v>61.46248656813827</v>
      </c>
      <c r="BM186" t="inlineStr"/>
      <c r="BN186" t="n">
        <v>4</v>
      </c>
      <c r="BO186" t="n">
        <v>73</v>
      </c>
      <c r="BP186" t="n">
        <v>199</v>
      </c>
      <c r="BQ186" t="n">
        <v>297</v>
      </c>
      <c r="BR186" t="n">
        <v>1024</v>
      </c>
      <c r="BS18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7">
      <c r="A187" t="inlineStr">
        <is>
          <t>FRAG</t>
        </is>
      </c>
      <c r="B187" t="inlineStr">
        <is>
          <t>Fragmentación Desmonte 2025.xlsx</t>
        </is>
      </c>
      <c r="C187" t="inlineStr">
        <is>
          <t>ANÁLISIS DE FRAGMENTACIÓN</t>
        </is>
      </c>
      <c r="D187" t="n">
        <v>191</v>
      </c>
      <c r="E187" t="inlineStr">
        <is>
          <t>ROM (fragmentación post-voladura en el frente de carguío, por análisis de fotos)</t>
        </is>
      </c>
      <c r="F187" t="inlineStr"/>
      <c r="G187" t="inlineStr">
        <is>
          <t>no indicada en el archivo</t>
        </is>
      </c>
      <c r="H187" t="inlineStr">
        <is>
          <t>2025-05-24</t>
        </is>
      </c>
      <c r="I187" t="inlineStr">
        <is>
          <t>2025-05-29</t>
        </is>
      </c>
      <c r="J187" t="inlineStr">
        <is>
          <t>PALA 10</t>
        </is>
      </c>
      <c r="K187" t="n">
        <v>8</v>
      </c>
      <c r="L187" t="inlineStr">
        <is>
          <t>8-NP-3713-05</t>
        </is>
      </c>
      <c r="M187" t="n">
        <v>4</v>
      </c>
      <c r="N187" t="n">
        <v>3713</v>
      </c>
      <c r="O187" t="inlineStr">
        <is>
          <t>A</t>
        </is>
      </c>
      <c r="P187" t="n">
        <v>30</v>
      </c>
      <c r="Q187" t="inlineStr">
        <is>
          <t>Desmonte</t>
        </is>
      </c>
      <c r="R187" t="inlineStr">
        <is>
          <t>Producción</t>
        </is>
      </c>
      <c r="S187" t="n">
        <v>6</v>
      </c>
      <c r="T187" t="n">
        <v>3.5</v>
      </c>
      <c r="U187" t="n">
        <v>3</v>
      </c>
      <c r="V187" t="n">
        <v>0.9212932809176912</v>
      </c>
      <c r="W187" t="n">
        <v>0.218</v>
      </c>
      <c r="X187" t="n">
        <v>0.346</v>
      </c>
      <c r="Y187" t="n">
        <v>0.3</v>
      </c>
      <c r="Z187" t="n">
        <v>0.8</v>
      </c>
      <c r="AA187" t="n">
        <v>1.6</v>
      </c>
      <c r="AB187" t="n">
        <v>2.4</v>
      </c>
      <c r="AC187" t="n">
        <v>3.5</v>
      </c>
      <c r="AD187" t="n">
        <v>4.8</v>
      </c>
      <c r="AE187" t="n">
        <v>6.5</v>
      </c>
      <c r="AF187" t="n">
        <v>8.9</v>
      </c>
      <c r="AG187" t="n">
        <v>12</v>
      </c>
      <c r="AH187" t="n">
        <v>44.7</v>
      </c>
      <c r="AI187" t="inlineStr"/>
      <c r="AJ187" t="n">
        <v>222461.25</v>
      </c>
      <c r="AK187" t="n">
        <v>107988</v>
      </c>
      <c r="AL187" t="n">
        <v>0.485423865954183</v>
      </c>
      <c r="AM187" t="inlineStr">
        <is>
          <t>1.4999597457984255</t>
        </is>
      </c>
      <c r="AN187" t="inlineStr">
        <is>
          <t>16.5</t>
        </is>
      </c>
      <c r="AO187" t="inlineStr">
        <is>
          <t>6.5</t>
        </is>
      </c>
      <c r="AP187" t="inlineStr">
        <is>
          <t>12 1/4</t>
        </is>
      </c>
      <c r="AQ187" t="inlineStr">
        <is>
          <t>6</t>
        </is>
      </c>
      <c r="AR187" t="inlineStr">
        <is>
          <t>7</t>
        </is>
      </c>
      <c r="AS187" t="inlineStr">
        <is>
          <t>1.5</t>
        </is>
      </c>
      <c r="AT187" t="n">
        <v>152</v>
      </c>
      <c r="AU187" t="inlineStr">
        <is>
          <t>Vertex 70</t>
        </is>
      </c>
      <c r="AV187" t="inlineStr">
        <is>
          <t>51AR/49D2</t>
        </is>
      </c>
      <c r="AW187" t="n">
        <v>0.6728924435327696</v>
      </c>
      <c r="AX187" t="n">
        <v>0.758366945421699</v>
      </c>
      <c r="AY187" t="n">
        <v>0.8355733661824192</v>
      </c>
      <c r="AZ187" t="n">
        <v>0.8991964614598649</v>
      </c>
      <c r="BA187" t="n">
        <v>0.928650527692416</v>
      </c>
      <c r="BB187" t="n">
        <v>1.377952755905512</v>
      </c>
      <c r="BC187" t="n">
        <v>0.3042654437194415</v>
      </c>
      <c r="BD187" t="n">
        <v>0.6870708079787275</v>
      </c>
      <c r="BE187" t="n">
        <v>1.143117796867452</v>
      </c>
      <c r="BF187" t="n">
        <v>1.688178061266833</v>
      </c>
      <c r="BG187" t="n">
        <v>2.351230003215079</v>
      </c>
      <c r="BH187" t="n">
        <v>3.18315521755105</v>
      </c>
      <c r="BI187" t="n">
        <v>4.281262527380809</v>
      </c>
      <c r="BJ187" t="n">
        <v>5.866763661843186</v>
      </c>
      <c r="BK187" t="n">
        <v>8.654222737555072</v>
      </c>
      <c r="BL187" t="n">
        <v>28.5174126875574</v>
      </c>
      <c r="BM187" t="inlineStr"/>
      <c r="BN187" t="n">
        <v>3</v>
      </c>
      <c r="BO187" t="n">
        <v>35</v>
      </c>
      <c r="BP187" t="n">
        <v>89</v>
      </c>
      <c r="BQ187" t="n">
        <v>120</v>
      </c>
      <c r="BR187" t="n">
        <v>447</v>
      </c>
      <c r="BS18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8">
      <c r="A188" t="inlineStr">
        <is>
          <t>FRAG</t>
        </is>
      </c>
      <c r="B188" t="inlineStr">
        <is>
          <t>Fragmentación Desmonte 2025.xlsx</t>
        </is>
      </c>
      <c r="C188" t="inlineStr">
        <is>
          <t>ANÁLISIS DE FRAGMENTACIÓN</t>
        </is>
      </c>
      <c r="D188" t="n">
        <v>192</v>
      </c>
      <c r="E188" t="inlineStr">
        <is>
          <t>ROM (fragmentación post-voladura en el frente de carguío, por análisis de fotos)</t>
        </is>
      </c>
      <c r="F188" t="inlineStr"/>
      <c r="G188" t="inlineStr">
        <is>
          <t>no indicada en el archivo</t>
        </is>
      </c>
      <c r="H188" t="inlineStr">
        <is>
          <t>2025-05-27</t>
        </is>
      </c>
      <c r="I188" t="inlineStr">
        <is>
          <t>2025-05-29</t>
        </is>
      </c>
      <c r="J188" t="inlineStr">
        <is>
          <t>PALA 09</t>
        </is>
      </c>
      <c r="K188" t="n">
        <v>9</v>
      </c>
      <c r="L188" t="inlineStr">
        <is>
          <t>9-NP-3938-31</t>
        </is>
      </c>
      <c r="M188" t="n">
        <v>3</v>
      </c>
      <c r="N188" t="n">
        <v>3938</v>
      </c>
      <c r="O188" t="inlineStr">
        <is>
          <t>B</t>
        </is>
      </c>
      <c r="P188" t="n">
        <v>30</v>
      </c>
      <c r="Q188" t="inlineStr">
        <is>
          <t>Desmonte</t>
        </is>
      </c>
      <c r="R188" t="inlineStr">
        <is>
          <t>Producción</t>
        </is>
      </c>
      <c r="S188" t="n">
        <v>5</v>
      </c>
      <c r="T188" t="n">
        <v>8.9</v>
      </c>
      <c r="U188" t="n">
        <v>3</v>
      </c>
      <c r="V188" t="n">
        <v>1.077121093098521</v>
      </c>
      <c r="W188" t="n">
        <v>0.111</v>
      </c>
      <c r="X188" t="n">
        <v>0.174</v>
      </c>
      <c r="Y188" t="n">
        <v>0.8</v>
      </c>
      <c r="Z188" t="n">
        <v>2.4</v>
      </c>
      <c r="AA188" t="n">
        <v>4.3</v>
      </c>
      <c r="AB188" t="n">
        <v>6.5</v>
      </c>
      <c r="AC188" t="n">
        <v>8.9</v>
      </c>
      <c r="AD188" t="n">
        <v>11.8</v>
      </c>
      <c r="AE188" t="n">
        <v>15.2</v>
      </c>
      <c r="AF188" t="n">
        <v>19.8</v>
      </c>
      <c r="AG188" t="n">
        <v>27.1</v>
      </c>
      <c r="AH188" t="n">
        <v>66.59999999999999</v>
      </c>
      <c r="AI188" t="inlineStr"/>
      <c r="AJ188" t="n">
        <v>201712.5</v>
      </c>
      <c r="AK188" t="n">
        <v>70785</v>
      </c>
      <c r="AL188" t="n">
        <v>0.350920245398773</v>
      </c>
      <c r="AM188" t="inlineStr">
        <is>
          <t>-</t>
        </is>
      </c>
      <c r="AN188" t="inlineStr">
        <is>
          <t>17</t>
        </is>
      </c>
      <c r="AO188" t="inlineStr">
        <is>
          <t>2.0/5.0</t>
        </is>
      </c>
      <c r="AP188" t="inlineStr">
        <is>
          <t>12 1/4</t>
        </is>
      </c>
      <c r="AQ188" t="inlineStr">
        <is>
          <t>8</t>
        </is>
      </c>
      <c r="AR188" t="inlineStr">
        <is>
          <t>9.2</t>
        </is>
      </c>
      <c r="AS188" t="inlineStr">
        <is>
          <t>2</t>
        </is>
      </c>
      <c r="AT188" t="n">
        <v>75</v>
      </c>
      <c r="AU188" t="inlineStr">
        <is>
          <t>Emulgex 70 / Emulgex 70</t>
        </is>
      </c>
      <c r="AV188" t="inlineStr">
        <is>
          <t>59AR/41D2</t>
        </is>
      </c>
      <c r="AW188" t="n">
        <v>0.642663325292006</v>
      </c>
      <c r="AX188" t="n">
        <v>0.6868228107173884</v>
      </c>
      <c r="AY188" t="n">
        <v>0.7301270091089759</v>
      </c>
      <c r="AZ188" t="n">
        <v>0.771837524039561</v>
      </c>
      <c r="BA188" t="n">
        <v>0.7951988578263387</v>
      </c>
      <c r="BB188" t="n">
        <v>3.503937007874016</v>
      </c>
      <c r="BC188" t="n">
        <v>1.101649526777555</v>
      </c>
      <c r="BD188" t="n">
        <v>2.211134894824773</v>
      </c>
      <c r="BE188" t="n">
        <v>3.417586905183544</v>
      </c>
      <c r="BF188" t="n">
        <v>4.770348927353603</v>
      </c>
      <c r="BG188" t="n">
        <v>6.33304027350141</v>
      </c>
      <c r="BH188" t="n">
        <v>8.206192288452714</v>
      </c>
      <c r="BI188" t="n">
        <v>10.57388512243131</v>
      </c>
      <c r="BJ188" t="n">
        <v>13.84415677018468</v>
      </c>
      <c r="BK188" t="n">
        <v>19.30506700706567</v>
      </c>
      <c r="BL188" t="n">
        <v>53.53416467542543</v>
      </c>
      <c r="BM188" t="inlineStr"/>
      <c r="BN188" t="n">
        <v>8</v>
      </c>
      <c r="BO188" t="n">
        <v>89</v>
      </c>
      <c r="BP188" t="n">
        <v>198</v>
      </c>
      <c r="BQ188" t="n">
        <v>271</v>
      </c>
      <c r="BR188" t="n">
        <v>666</v>
      </c>
      <c r="BS18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89">
      <c r="A189" t="inlineStr">
        <is>
          <t>FRAG</t>
        </is>
      </c>
      <c r="B189" t="inlineStr">
        <is>
          <t>Fragmentación Desmonte 2025.xlsx</t>
        </is>
      </c>
      <c r="C189" t="inlineStr">
        <is>
          <t>ANÁLISIS DE FRAGMENTACIÓN</t>
        </is>
      </c>
      <c r="D189" t="n">
        <v>193</v>
      </c>
      <c r="E189" t="inlineStr">
        <is>
          <t>ROM (fragmentación post-voladura en el frente de carguío, por análisis de fotos)</t>
        </is>
      </c>
      <c r="F189" t="inlineStr"/>
      <c r="G189" t="inlineStr">
        <is>
          <t>no indicada en el archivo</t>
        </is>
      </c>
      <c r="H189" t="inlineStr">
        <is>
          <t>2025-04-06</t>
        </is>
      </c>
      <c r="I189" t="inlineStr">
        <is>
          <t>2025-05-30</t>
        </is>
      </c>
      <c r="J189" t="inlineStr">
        <is>
          <t>PALA 08</t>
        </is>
      </c>
      <c r="K189" t="n">
        <v>9</v>
      </c>
      <c r="L189" t="inlineStr">
        <is>
          <t>9-NP-3938-11</t>
        </is>
      </c>
      <c r="M189" t="n">
        <v>2</v>
      </c>
      <c r="N189" t="n">
        <v>3938</v>
      </c>
      <c r="O189" t="inlineStr">
        <is>
          <t>C</t>
        </is>
      </c>
      <c r="P189" t="n">
        <v>30</v>
      </c>
      <c r="Q189" t="inlineStr">
        <is>
          <t>Desmonte</t>
        </is>
      </c>
      <c r="R189" t="inlineStr">
        <is>
          <t>TRIM</t>
        </is>
      </c>
      <c r="S189" t="n">
        <v>3</v>
      </c>
      <c r="T189" t="n">
        <v>8</v>
      </c>
      <c r="U189" t="n">
        <v>2</v>
      </c>
      <c r="V189" t="n">
        <v>0.7045951833211318</v>
      </c>
      <c r="W189" t="n">
        <v>0.151</v>
      </c>
      <c r="X189" t="n">
        <v>0.221</v>
      </c>
      <c r="Y189" t="n">
        <v>0.4</v>
      </c>
      <c r="Z189" t="n">
        <v>1.6</v>
      </c>
      <c r="AA189" t="n">
        <v>3.4</v>
      </c>
      <c r="AB189" t="n">
        <v>5.5</v>
      </c>
      <c r="AC189" t="n">
        <v>8.1</v>
      </c>
      <c r="AD189" t="n">
        <v>11.1</v>
      </c>
      <c r="AE189" t="n">
        <v>14.9</v>
      </c>
      <c r="AF189" t="n">
        <v>20</v>
      </c>
      <c r="AG189" t="n">
        <v>28</v>
      </c>
      <c r="AH189" t="n">
        <v>64</v>
      </c>
      <c r="AI189" t="inlineStr"/>
      <c r="AJ189" t="n">
        <v>348975</v>
      </c>
      <c r="AK189" t="n">
        <v>102666</v>
      </c>
      <c r="AL189" t="n">
        <v>0.2941929937674618</v>
      </c>
      <c r="AM189" t="inlineStr">
        <is>
          <t>-</t>
        </is>
      </c>
      <c r="AN189" t="inlineStr">
        <is>
          <t xml:space="preserve"> - </t>
        </is>
      </c>
      <c r="AO189" t="inlineStr">
        <is>
          <t xml:space="preserve"> - </t>
        </is>
      </c>
      <c r="AP189" t="inlineStr">
        <is>
          <t>9 7/8</t>
        </is>
      </c>
      <c r="AQ189" t="inlineStr">
        <is>
          <t xml:space="preserve"> - </t>
        </is>
      </c>
      <c r="AR189" t="inlineStr">
        <is>
          <t xml:space="preserve"> - </t>
        </is>
      </c>
      <c r="AS189" t="inlineStr">
        <is>
          <t xml:space="preserve"> - </t>
        </is>
      </c>
      <c r="AT189" t="n">
        <v>161</v>
      </c>
      <c r="AU189" t="inlineStr">
        <is>
          <t>Emulgex 70</t>
        </is>
      </c>
      <c r="AV189" t="inlineStr">
        <is>
          <t>45D2/55AR</t>
        </is>
      </c>
      <c r="AW189" t="n">
        <v>0.6798796646766656</v>
      </c>
      <c r="AX189" t="n">
        <v>0.7348923695229793</v>
      </c>
      <c r="AY189" t="n">
        <v>0.7871984177146087</v>
      </c>
      <c r="AZ189" t="n">
        <v>0.8352873309064387</v>
      </c>
      <c r="BA189" t="n">
        <v>0.860909039842406</v>
      </c>
      <c r="BB189" t="n">
        <v>3.149606299212598</v>
      </c>
      <c r="BC189" t="n">
        <v>0.3281111740314507</v>
      </c>
      <c r="BD189" t="n">
        <v>0.951842898962018</v>
      </c>
      <c r="BE189" t="n">
        <v>1.852041818948006</v>
      </c>
      <c r="BF189" t="n">
        <v>3.083575731449329</v>
      </c>
      <c r="BG189" t="n">
        <v>4.755331310528012</v>
      </c>
      <c r="BH189" t="n">
        <v>7.066519506219935</v>
      </c>
      <c r="BI189" t="n">
        <v>10.41131488986669</v>
      </c>
      <c r="BJ189" t="n">
        <v>15.71858139242892</v>
      </c>
      <c r="BK189" t="n">
        <v>26.1316174919098</v>
      </c>
      <c r="BL189" t="n">
        <v>124.2575706251366</v>
      </c>
      <c r="BM189" t="inlineStr"/>
      <c r="BN189" t="n">
        <v>4</v>
      </c>
      <c r="BO189" t="n">
        <v>81</v>
      </c>
      <c r="BP189" t="n">
        <v>200</v>
      </c>
      <c r="BQ189" t="n">
        <v>280</v>
      </c>
      <c r="BR189" t="n">
        <v>640</v>
      </c>
      <c r="BS18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0">
      <c r="A190" t="inlineStr">
        <is>
          <t>FRAG</t>
        </is>
      </c>
      <c r="B190" t="inlineStr">
        <is>
          <t>Fragmentación Desmonte 2025.xlsx</t>
        </is>
      </c>
      <c r="C190" t="inlineStr">
        <is>
          <t>ANÁLISIS DE FRAGMENTACIÓN</t>
        </is>
      </c>
      <c r="D190" t="n">
        <v>194</v>
      </c>
      <c r="E190" t="inlineStr">
        <is>
          <t>ROM (fragmentación post-voladura en el frente de carguío, por análisis de fotos)</t>
        </is>
      </c>
      <c r="F190" t="inlineStr"/>
      <c r="G190" t="inlineStr">
        <is>
          <t>no indicada en el archivo</t>
        </is>
      </c>
      <c r="H190" t="inlineStr">
        <is>
          <t>2025-05-24</t>
        </is>
      </c>
      <c r="I190" t="inlineStr">
        <is>
          <t>2025-05-30</t>
        </is>
      </c>
      <c r="J190" t="inlineStr">
        <is>
          <t>PALA 09</t>
        </is>
      </c>
      <c r="K190" t="n">
        <v>9</v>
      </c>
      <c r="L190" t="inlineStr">
        <is>
          <t>9-NP-3938-34</t>
        </is>
      </c>
      <c r="M190" t="n">
        <v>1</v>
      </c>
      <c r="N190" t="n">
        <v>3938</v>
      </c>
      <c r="O190" t="inlineStr">
        <is>
          <t>A</t>
        </is>
      </c>
      <c r="P190" t="n">
        <v>30</v>
      </c>
      <c r="Q190" t="inlineStr">
        <is>
          <t>Desmonte</t>
        </is>
      </c>
      <c r="R190" t="inlineStr">
        <is>
          <t>TRIM</t>
        </is>
      </c>
      <c r="S190" t="n">
        <v>6</v>
      </c>
      <c r="T190" t="n">
        <v>14.2</v>
      </c>
      <c r="U190" t="n">
        <v>3</v>
      </c>
      <c r="V190" t="n">
        <v>1.083607658601372</v>
      </c>
      <c r="W190" t="n">
        <v>0.064</v>
      </c>
      <c r="X190" t="n">
        <v>0.104</v>
      </c>
      <c r="Y190" t="n">
        <v>1.8</v>
      </c>
      <c r="Z190" t="n">
        <v>4.6</v>
      </c>
      <c r="AA190" t="n">
        <v>7.6</v>
      </c>
      <c r="AB190" t="n">
        <v>10.7</v>
      </c>
      <c r="AC190" t="n">
        <v>14.2</v>
      </c>
      <c r="AD190" t="n">
        <v>18.1</v>
      </c>
      <c r="AE190" t="n">
        <v>22.9</v>
      </c>
      <c r="AF190" t="n">
        <v>29.2</v>
      </c>
      <c r="AG190" t="n">
        <v>39.2</v>
      </c>
      <c r="AH190" t="n">
        <v>104.5</v>
      </c>
      <c r="AI190" t="inlineStr"/>
      <c r="AJ190" t="n">
        <v>241436.25</v>
      </c>
      <c r="AK190" t="n">
        <v>59459</v>
      </c>
      <c r="AL190" t="n">
        <v>0.2462720490398604</v>
      </c>
      <c r="AM190" t="inlineStr">
        <is>
          <t>-</t>
        </is>
      </c>
      <c r="AN190" t="inlineStr">
        <is>
          <t xml:space="preserve"> - </t>
        </is>
      </c>
      <c r="AO190" t="inlineStr">
        <is>
          <t xml:space="preserve"> - </t>
        </is>
      </c>
      <c r="AP190" t="inlineStr">
        <is>
          <t>9 7/8</t>
        </is>
      </c>
      <c r="AQ190" t="inlineStr">
        <is>
          <t xml:space="preserve"> - </t>
        </is>
      </c>
      <c r="AR190" t="inlineStr">
        <is>
          <t xml:space="preserve"> - </t>
        </is>
      </c>
      <c r="AS190" t="inlineStr">
        <is>
          <t xml:space="preserve"> - </t>
        </is>
      </c>
      <c r="AT190" t="n">
        <v>201</v>
      </c>
      <c r="AU190" t="inlineStr">
        <is>
          <t>Emulgex 70</t>
        </is>
      </c>
      <c r="AV190" t="inlineStr">
        <is>
          <t>51AR/49D2</t>
        </is>
      </c>
      <c r="AW190" t="n">
        <v>0.6381928620292836</v>
      </c>
      <c r="AX190" t="n">
        <v>0.6646690329565554</v>
      </c>
      <c r="AY190" t="n">
        <v>0.6909681725630491</v>
      </c>
      <c r="AZ190" t="n">
        <v>0.716938129722952</v>
      </c>
      <c r="BA190" t="n">
        <v>0.7319141728124985</v>
      </c>
      <c r="BB190" t="n">
        <v>5.590551181102362</v>
      </c>
      <c r="BC190" t="n">
        <v>1.77980835785419</v>
      </c>
      <c r="BD190" t="n">
        <v>3.557409071361884</v>
      </c>
      <c r="BE190" t="n">
        <v>5.484109813728727</v>
      </c>
      <c r="BF190" t="n">
        <v>7.639584771426753</v>
      </c>
      <c r="BG190" t="n">
        <v>10.12500386113415</v>
      </c>
      <c r="BH190" t="n">
        <v>13.09938861170625</v>
      </c>
      <c r="BI190" t="n">
        <v>16.85329798483029</v>
      </c>
      <c r="BJ190" t="n">
        <v>22.03008930158474</v>
      </c>
      <c r="BK190" t="n">
        <v>30.65890525018167</v>
      </c>
      <c r="BL190" t="n">
        <v>84.50156780284176</v>
      </c>
      <c r="BM190" t="inlineStr"/>
      <c r="BN190" t="n">
        <v>18</v>
      </c>
      <c r="BO190" t="n">
        <v>142</v>
      </c>
      <c r="BP190" t="n">
        <v>292</v>
      </c>
      <c r="BQ190" t="n">
        <v>392</v>
      </c>
      <c r="BR190" t="n">
        <v>1045</v>
      </c>
      <c r="BS19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1">
      <c r="A191" t="inlineStr">
        <is>
          <t>FRAG</t>
        </is>
      </c>
      <c r="B191" t="inlineStr">
        <is>
          <t>Fragmentación Desmonte 2025.xlsx</t>
        </is>
      </c>
      <c r="C191" t="inlineStr">
        <is>
          <t>ANÁLISIS DE FRAGMENTACIÓN</t>
        </is>
      </c>
      <c r="D191" t="n">
        <v>195</v>
      </c>
      <c r="E191" t="inlineStr">
        <is>
          <t>ROM (fragmentación post-voladura en el frente de carguío, por análisis de fotos)</t>
        </is>
      </c>
      <c r="F191" t="inlineStr"/>
      <c r="G191" t="inlineStr">
        <is>
          <t>no indicada en el archivo</t>
        </is>
      </c>
      <c r="H191" t="inlineStr">
        <is>
          <t>2025-05-24</t>
        </is>
      </c>
      <c r="I191" t="inlineStr">
        <is>
          <t>2025-05-31</t>
        </is>
      </c>
      <c r="J191" t="inlineStr">
        <is>
          <t>PALA 09</t>
        </is>
      </c>
      <c r="K191" t="n">
        <v>9</v>
      </c>
      <c r="L191" t="inlineStr">
        <is>
          <t>9-NP-3938-34</t>
        </is>
      </c>
      <c r="M191" t="n">
        <v>1</v>
      </c>
      <c r="N191" t="n">
        <v>3938</v>
      </c>
      <c r="O191" t="inlineStr">
        <is>
          <t>A</t>
        </is>
      </c>
      <c r="P191" t="n">
        <v>30</v>
      </c>
      <c r="Q191" t="inlineStr">
        <is>
          <t>Desmonte</t>
        </is>
      </c>
      <c r="R191" t="inlineStr">
        <is>
          <t>TRIM</t>
        </is>
      </c>
      <c r="S191" t="n">
        <v>5</v>
      </c>
      <c r="T191" t="n">
        <v>10.7</v>
      </c>
      <c r="U191" t="n">
        <v>4</v>
      </c>
      <c r="V191" t="n">
        <v>1.406578865551321</v>
      </c>
      <c r="W191" t="n">
        <v>0.057</v>
      </c>
      <c r="X191" t="n">
        <v>0.103</v>
      </c>
      <c r="Y191" t="n">
        <v>1.9</v>
      </c>
      <c r="Z191" t="n">
        <v>4</v>
      </c>
      <c r="AA191" t="n">
        <v>6.2</v>
      </c>
      <c r="AB191" t="n">
        <v>8.4</v>
      </c>
      <c r="AC191" t="n">
        <v>10.8</v>
      </c>
      <c r="AD191" t="n">
        <v>13.5</v>
      </c>
      <c r="AE191" t="n">
        <v>16.7</v>
      </c>
      <c r="AF191" t="n">
        <v>21.1</v>
      </c>
      <c r="AG191" t="n">
        <v>28</v>
      </c>
      <c r="AH191" t="n">
        <v>85.8</v>
      </c>
      <c r="AI191" t="inlineStr"/>
      <c r="AJ191" t="n">
        <v>241436.25</v>
      </c>
      <c r="AK191" t="n">
        <v>59459</v>
      </c>
      <c r="AL191" t="n">
        <v>0.2462720490398604</v>
      </c>
      <c r="AM191" t="inlineStr">
        <is>
          <t>-</t>
        </is>
      </c>
      <c r="AN191" t="inlineStr">
        <is>
          <t xml:space="preserve"> - </t>
        </is>
      </c>
      <c r="AO191" t="inlineStr">
        <is>
          <t xml:space="preserve"> - </t>
        </is>
      </c>
      <c r="AP191" t="inlineStr">
        <is>
          <t>9 7/8</t>
        </is>
      </c>
      <c r="AQ191" t="inlineStr">
        <is>
          <t xml:space="preserve"> - </t>
        </is>
      </c>
      <c r="AR191" t="inlineStr">
        <is>
          <t xml:space="preserve"> - </t>
        </is>
      </c>
      <c r="AS191" t="inlineStr">
        <is>
          <t xml:space="preserve"> - </t>
        </is>
      </c>
      <c r="AT191" t="n">
        <v>201</v>
      </c>
      <c r="AU191" t="inlineStr">
        <is>
          <t>Emulgex 70</t>
        </is>
      </c>
      <c r="AV191" t="inlineStr">
        <is>
          <t>51AR/49D2</t>
        </is>
      </c>
      <c r="AW191" t="n">
        <v>0.6282502504649956</v>
      </c>
      <c r="AX191" t="n">
        <v>0.6545005872188904</v>
      </c>
      <c r="AY191" t="n">
        <v>0.6806327704493049</v>
      </c>
      <c r="AZ191" t="n">
        <v>0.7065016796184798</v>
      </c>
      <c r="BA191" t="n">
        <v>0.7214517289622965</v>
      </c>
      <c r="BB191" t="n">
        <v>4.21259842519685</v>
      </c>
      <c r="BC191" t="n">
        <v>2.160536737560169</v>
      </c>
      <c r="BD191" t="n">
        <v>3.683521165645575</v>
      </c>
      <c r="BE191" t="n">
        <v>5.14131590697955</v>
      </c>
      <c r="BF191" t="n">
        <v>6.637151603742938</v>
      </c>
      <c r="BG191" t="n">
        <v>8.245546762729361</v>
      </c>
      <c r="BH191" t="n">
        <v>10.0552192218608</v>
      </c>
      <c r="BI191" t="n">
        <v>12.20949746510275</v>
      </c>
      <c r="BJ191" t="n">
        <v>15.0078249421107</v>
      </c>
      <c r="BK191" t="n">
        <v>19.35972375327798</v>
      </c>
      <c r="BL191" t="n">
        <v>42.2771842509505</v>
      </c>
      <c r="BM191" t="inlineStr"/>
      <c r="BN191" t="n">
        <v>19</v>
      </c>
      <c r="BO191" t="n">
        <v>108</v>
      </c>
      <c r="BP191" t="n">
        <v>211</v>
      </c>
      <c r="BQ191" t="n">
        <v>280</v>
      </c>
      <c r="BR191" t="n">
        <v>858</v>
      </c>
      <c r="BS19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2">
      <c r="A192" t="inlineStr">
        <is>
          <t>FRAG</t>
        </is>
      </c>
      <c r="B192" t="inlineStr">
        <is>
          <t>Fragmentación Desmonte 2025.xlsx</t>
        </is>
      </c>
      <c r="C192" t="inlineStr">
        <is>
          <t>ANÁLISIS DE FRAGMENTACIÓN</t>
        </is>
      </c>
      <c r="D192" t="n">
        <v>196</v>
      </c>
      <c r="E192" t="inlineStr">
        <is>
          <t>ROM (fragmentación post-voladura en el frente de carguío, por análisis de fotos)</t>
        </is>
      </c>
      <c r="F192" t="inlineStr"/>
      <c r="G192" t="inlineStr">
        <is>
          <t>no indicada en el archivo</t>
        </is>
      </c>
      <c r="H192" t="inlineStr">
        <is>
          <t>2025-05-30</t>
        </is>
      </c>
      <c r="I192" t="inlineStr">
        <is>
          <t>2025-06-02</t>
        </is>
      </c>
      <c r="J192" t="inlineStr">
        <is>
          <t>PALA 07</t>
        </is>
      </c>
      <c r="K192" t="n">
        <v>9</v>
      </c>
      <c r="L192" t="inlineStr">
        <is>
          <t>9-NP-3923-13</t>
        </is>
      </c>
      <c r="M192" t="n">
        <v>1</v>
      </c>
      <c r="N192" t="n">
        <v>3923</v>
      </c>
      <c r="O192" t="inlineStr">
        <is>
          <t>B</t>
        </is>
      </c>
      <c r="P192" t="n">
        <v>30</v>
      </c>
      <c r="Q192" t="inlineStr">
        <is>
          <t>Desmonte</t>
        </is>
      </c>
      <c r="R192" t="inlineStr">
        <is>
          <t>TRIM</t>
        </is>
      </c>
      <c r="S192" t="n">
        <v>3</v>
      </c>
      <c r="T192" t="n">
        <v>19.9</v>
      </c>
      <c r="U192" t="n">
        <v>3</v>
      </c>
      <c r="V192" t="n">
        <v>1.332798457126323</v>
      </c>
      <c r="W192" t="n">
        <v>0.054</v>
      </c>
      <c r="X192" t="n">
        <v>0.083</v>
      </c>
      <c r="Y192" t="n">
        <v>2.6</v>
      </c>
      <c r="Z192" t="n">
        <v>6.7</v>
      </c>
      <c r="AA192" t="n">
        <v>11</v>
      </c>
      <c r="AB192" t="n">
        <v>15.4</v>
      </c>
      <c r="AC192" t="n">
        <v>19.9</v>
      </c>
      <c r="AD192" t="n">
        <v>24.9</v>
      </c>
      <c r="AE192" t="n">
        <v>30.6</v>
      </c>
      <c r="AF192" t="n">
        <v>37.7</v>
      </c>
      <c r="AG192" t="n">
        <v>48.1</v>
      </c>
      <c r="AH192" t="n">
        <v>92.90000000000001</v>
      </c>
      <c r="AI192" t="inlineStr"/>
      <c r="AJ192" t="n">
        <v>111785.85</v>
      </c>
      <c r="AK192" t="n">
        <v>38688</v>
      </c>
      <c r="AL192" t="n">
        <v>0.3460903146507362</v>
      </c>
      <c r="AM192" t="inlineStr">
        <is>
          <t>1.0694190722707748</t>
        </is>
      </c>
      <c r="AN192" t="inlineStr">
        <is>
          <t xml:space="preserve"> - </t>
        </is>
      </c>
      <c r="AO192" t="inlineStr">
        <is>
          <t xml:space="preserve"> - </t>
        </is>
      </c>
      <c r="AP192" t="inlineStr">
        <is>
          <t>9 7/8</t>
        </is>
      </c>
      <c r="AQ192" t="inlineStr">
        <is>
          <t xml:space="preserve"> - </t>
        </is>
      </c>
      <c r="AR192" t="inlineStr">
        <is>
          <t xml:space="preserve"> - </t>
        </is>
      </c>
      <c r="AS192" t="inlineStr">
        <is>
          <t xml:space="preserve"> - </t>
        </is>
      </c>
      <c r="AT192" t="n">
        <v>41</v>
      </c>
      <c r="AU192" t="inlineStr">
        <is>
          <t>Vertex 70</t>
        </is>
      </c>
      <c r="AV192" t="inlineStr">
        <is>
          <t>59AR/41D2</t>
        </is>
      </c>
      <c r="AW192" t="n">
        <v>0.6306468721029509</v>
      </c>
      <c r="AX192" t="n">
        <v>0.6518018944897916</v>
      </c>
      <c r="AY192" t="n">
        <v>0.6728897699252976</v>
      </c>
      <c r="AZ192" t="n">
        <v>0.6938352967248901</v>
      </c>
      <c r="BA192" t="n">
        <v>0.7059905630891822</v>
      </c>
      <c r="BB192" t="n">
        <v>7.834645669291338</v>
      </c>
      <c r="BC192" t="n">
        <v>3.677624036143962</v>
      </c>
      <c r="BD192" t="n">
        <v>6.457958697817171</v>
      </c>
      <c r="BE192" t="n">
        <v>9.181692983992219</v>
      </c>
      <c r="BF192" t="n">
        <v>12.02180766000519</v>
      </c>
      <c r="BG192" t="n">
        <v>15.11556072926111</v>
      </c>
      <c r="BH192" t="n">
        <v>18.63659721948562</v>
      </c>
      <c r="BI192" t="n">
        <v>22.87388055361874</v>
      </c>
      <c r="BJ192" t="n">
        <v>28.43943431281223</v>
      </c>
      <c r="BK192" t="n">
        <v>37.20693244379432</v>
      </c>
      <c r="BL192" t="n">
        <v>84.84151496097479</v>
      </c>
      <c r="BM192" t="inlineStr"/>
      <c r="BN192" t="n">
        <v>26</v>
      </c>
      <c r="BO192" t="n">
        <v>199</v>
      </c>
      <c r="BP192" t="n">
        <v>377</v>
      </c>
      <c r="BQ192" t="n">
        <v>481</v>
      </c>
      <c r="BR192" t="n">
        <v>929</v>
      </c>
      <c r="BS19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3">
      <c r="A193" t="inlineStr">
        <is>
          <t>FRAG</t>
        </is>
      </c>
      <c r="B193" t="inlineStr">
        <is>
          <t>Fragmentación Desmonte 2025.xlsx</t>
        </is>
      </c>
      <c r="C193" t="inlineStr">
        <is>
          <t>ANÁLISIS DE FRAGMENTACIÓN</t>
        </is>
      </c>
      <c r="D193" t="n">
        <v>197</v>
      </c>
      <c r="E193" t="inlineStr">
        <is>
          <t>ROM (fragmentación post-voladura en el frente de carguío, por análisis de fotos)</t>
        </is>
      </c>
      <c r="F193" t="inlineStr"/>
      <c r="G193" t="inlineStr">
        <is>
          <t>no indicada en el archivo</t>
        </is>
      </c>
      <c r="H193" t="inlineStr">
        <is>
          <t>2025-05-27</t>
        </is>
      </c>
      <c r="I193" t="inlineStr">
        <is>
          <t>2025-06-02</t>
        </is>
      </c>
      <c r="J193" t="inlineStr">
        <is>
          <t>PALA 09</t>
        </is>
      </c>
      <c r="K193" t="n">
        <v>9</v>
      </c>
      <c r="L193" t="inlineStr">
        <is>
          <t>9-NP-3938-31</t>
        </is>
      </c>
      <c r="M193" t="n">
        <v>3</v>
      </c>
      <c r="N193" t="n">
        <v>3938</v>
      </c>
      <c r="O193" t="inlineStr">
        <is>
          <t>B</t>
        </is>
      </c>
      <c r="P193" t="n">
        <v>30</v>
      </c>
      <c r="Q193" t="inlineStr">
        <is>
          <t>Desmonte</t>
        </is>
      </c>
      <c r="R193" t="inlineStr">
        <is>
          <t>Producción</t>
        </is>
      </c>
      <c r="S193" t="n">
        <v>5</v>
      </c>
      <c r="T193" t="n">
        <v>12.9</v>
      </c>
      <c r="U193" t="n">
        <v>3</v>
      </c>
      <c r="V193" t="n">
        <v>1.12643020002372</v>
      </c>
      <c r="W193" t="n">
        <v>0.065</v>
      </c>
      <c r="X193" t="n">
        <v>0.107</v>
      </c>
      <c r="Y193" t="n">
        <v>1.8</v>
      </c>
      <c r="Z193" t="n">
        <v>4.4</v>
      </c>
      <c r="AA193" t="n">
        <v>7</v>
      </c>
      <c r="AB193" t="n">
        <v>9.9</v>
      </c>
      <c r="AC193" t="n">
        <v>12.9</v>
      </c>
      <c r="AD193" t="n">
        <v>16.4</v>
      </c>
      <c r="AE193" t="n">
        <v>20.5</v>
      </c>
      <c r="AF193" t="n">
        <v>25.8</v>
      </c>
      <c r="AG193" t="n">
        <v>34.2</v>
      </c>
      <c r="AH193" t="n">
        <v>85.7</v>
      </c>
      <c r="AI193" t="inlineStr"/>
      <c r="AJ193" t="n">
        <v>201712.5</v>
      </c>
      <c r="AK193" t="n">
        <v>70785</v>
      </c>
      <c r="AL193" t="n">
        <v>0.350920245398773</v>
      </c>
      <c r="AM193" t="inlineStr">
        <is>
          <t>-</t>
        </is>
      </c>
      <c r="AN193" t="inlineStr">
        <is>
          <t>17</t>
        </is>
      </c>
      <c r="AO193" t="inlineStr">
        <is>
          <t>2.0/5.0</t>
        </is>
      </c>
      <c r="AP193" t="inlineStr">
        <is>
          <t>12 1/4</t>
        </is>
      </c>
      <c r="AQ193" t="inlineStr">
        <is>
          <t>8</t>
        </is>
      </c>
      <c r="AR193" t="inlineStr">
        <is>
          <t>9.2</t>
        </is>
      </c>
      <c r="AS193" t="inlineStr">
        <is>
          <t>2</t>
        </is>
      </c>
      <c r="AT193" t="n">
        <v>75</v>
      </c>
      <c r="AU193" t="inlineStr">
        <is>
          <t>Emulgex 70 / Emulgex 70</t>
        </is>
      </c>
      <c r="AV193" t="inlineStr">
        <is>
          <t>59AR/41D2</t>
        </is>
      </c>
      <c r="AW193" t="n">
        <v>0.6368425594190565</v>
      </c>
      <c r="AX193" t="n">
        <v>0.6640858868517652</v>
      </c>
      <c r="AY193" t="n">
        <v>0.6911452530503143</v>
      </c>
      <c r="AZ193" t="n">
        <v>0.7178550303095108</v>
      </c>
      <c r="BA193" t="n">
        <v>0.7332487585079204</v>
      </c>
      <c r="BB193" t="n">
        <v>5.078740157480315</v>
      </c>
      <c r="BC193" t="n">
        <v>1.749693382071643</v>
      </c>
      <c r="BD193" t="n">
        <v>3.406345974802698</v>
      </c>
      <c r="BE193" t="n">
        <v>5.165532587688914</v>
      </c>
      <c r="BF193" t="n">
        <v>7.105682120819448</v>
      </c>
      <c r="BG193" t="n">
        <v>9.317102548802136</v>
      </c>
      <c r="BH193" t="n">
        <v>11.93670266986485</v>
      </c>
      <c r="BI193" t="n">
        <v>15.21100800321516</v>
      </c>
      <c r="BJ193" t="n">
        <v>19.68189371572798</v>
      </c>
      <c r="BK193" t="n">
        <v>27.04895023068412</v>
      </c>
      <c r="BL193" t="n">
        <v>71.733119526412</v>
      </c>
      <c r="BM193" t="inlineStr"/>
      <c r="BN193" t="n">
        <v>18</v>
      </c>
      <c r="BO193" t="n">
        <v>129</v>
      </c>
      <c r="BP193" t="n">
        <v>258</v>
      </c>
      <c r="BQ193" t="n">
        <v>342</v>
      </c>
      <c r="BR193" t="n">
        <v>857</v>
      </c>
      <c r="BS19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4">
      <c r="A194" t="inlineStr">
        <is>
          <t>FRAG</t>
        </is>
      </c>
      <c r="B194" t="inlineStr">
        <is>
          <t>Fragmentación Desmonte 2025.xlsx</t>
        </is>
      </c>
      <c r="C194" t="inlineStr">
        <is>
          <t>ANÁLISIS DE FRAGMENTACIÓN</t>
        </is>
      </c>
      <c r="D194" t="n">
        <v>198</v>
      </c>
      <c r="E194" t="inlineStr">
        <is>
          <t>ROM (fragmentación post-voladura en el frente de carguío, por análisis de fotos)</t>
        </is>
      </c>
      <c r="F194" t="inlineStr"/>
      <c r="G194" t="inlineStr">
        <is>
          <t>no indicada en el archivo</t>
        </is>
      </c>
      <c r="H194" t="inlineStr">
        <is>
          <t>2025-05-27</t>
        </is>
      </c>
      <c r="I194" t="inlineStr">
        <is>
          <t>2025-06-02</t>
        </is>
      </c>
      <c r="J194" t="inlineStr">
        <is>
          <t>PALA 08</t>
        </is>
      </c>
      <c r="K194" t="n">
        <v>9</v>
      </c>
      <c r="L194" t="inlineStr">
        <is>
          <t>9-NP-3938-31</t>
        </is>
      </c>
      <c r="M194" t="n">
        <v>1</v>
      </c>
      <c r="N194" t="n">
        <v>3938</v>
      </c>
      <c r="O194" t="inlineStr">
        <is>
          <t>C</t>
        </is>
      </c>
      <c r="P194" t="n">
        <v>30</v>
      </c>
      <c r="Q194" t="inlineStr">
        <is>
          <t>Desmonte</t>
        </is>
      </c>
      <c r="R194" t="inlineStr">
        <is>
          <t>TRIM</t>
        </is>
      </c>
      <c r="S194" t="n">
        <v>4</v>
      </c>
      <c r="T194" t="n">
        <v>14.5</v>
      </c>
      <c r="U194" t="n">
        <v>3</v>
      </c>
      <c r="V194" t="n">
        <v>1.228829461978383</v>
      </c>
      <c r="W194" t="n">
        <v>0.067</v>
      </c>
      <c r="X194" t="n">
        <v>0.105</v>
      </c>
      <c r="Y194" t="n">
        <v>1.8</v>
      </c>
      <c r="Z194" t="n">
        <v>4.7</v>
      </c>
      <c r="AA194" t="n">
        <v>7.8</v>
      </c>
      <c r="AB194" t="n">
        <v>11.1</v>
      </c>
      <c r="AC194" t="n">
        <v>14.6</v>
      </c>
      <c r="AD194" t="n">
        <v>18.4</v>
      </c>
      <c r="AE194" t="n">
        <v>22.9</v>
      </c>
      <c r="AF194" t="n">
        <v>28.7</v>
      </c>
      <c r="AG194" t="n">
        <v>37.3</v>
      </c>
      <c r="AH194" t="n">
        <v>79.5</v>
      </c>
      <c r="AI194" t="inlineStr"/>
      <c r="AJ194" t="n">
        <v>201712.5</v>
      </c>
      <c r="AK194" t="n">
        <v>70785</v>
      </c>
      <c r="AL194" t="n">
        <v>0.350920245398773</v>
      </c>
      <c r="AM194" t="inlineStr">
        <is>
          <t>-</t>
        </is>
      </c>
      <c r="AN194" t="inlineStr">
        <is>
          <t xml:space="preserve"> - </t>
        </is>
      </c>
      <c r="AO194" t="inlineStr">
        <is>
          <t xml:space="preserve"> - </t>
        </is>
      </c>
      <c r="AP194" t="inlineStr">
        <is>
          <t>9 7/8</t>
        </is>
      </c>
      <c r="AQ194" t="inlineStr">
        <is>
          <t xml:space="preserve"> - </t>
        </is>
      </c>
      <c r="AR194" t="inlineStr">
        <is>
          <t xml:space="preserve"> - </t>
        </is>
      </c>
      <c r="AS194" t="inlineStr">
        <is>
          <t xml:space="preserve"> - </t>
        </is>
      </c>
      <c r="AT194" t="n">
        <v>75</v>
      </c>
      <c r="AU194" t="inlineStr">
        <is>
          <t>Emulgex 70 / Emulgex 70</t>
        </is>
      </c>
      <c r="AV194" t="inlineStr">
        <is>
          <t>59AR/41D2</t>
        </is>
      </c>
      <c r="AW194" t="n">
        <v>0.6333935141825617</v>
      </c>
      <c r="AX194" t="n">
        <v>0.6601402766733364</v>
      </c>
      <c r="AY194" t="n">
        <v>0.6867324172042728</v>
      </c>
      <c r="AZ194" t="n">
        <v>0.7130145355682463</v>
      </c>
      <c r="BA194" t="n">
        <v>0.7281805393424168</v>
      </c>
      <c r="BB194" t="n">
        <v>5.708661417322834</v>
      </c>
      <c r="BC194" t="n">
        <v>2.322952342493441</v>
      </c>
      <c r="BD194" t="n">
        <v>4.278162646832511</v>
      </c>
      <c r="BE194" t="n">
        <v>6.266358660731747</v>
      </c>
      <c r="BF194" t="n">
        <v>8.393930877987518</v>
      </c>
      <c r="BG194" t="n">
        <v>10.76055165293524</v>
      </c>
      <c r="BH194" t="n">
        <v>13.50427764565014</v>
      </c>
      <c r="BI194" t="n">
        <v>16.86446036496265</v>
      </c>
      <c r="BJ194" t="n">
        <v>21.35776908079334</v>
      </c>
      <c r="BK194" t="n">
        <v>28.58464592139124</v>
      </c>
      <c r="BL194" t="n">
        <v>69.88850954735436</v>
      </c>
      <c r="BM194" t="inlineStr"/>
      <c r="BN194" t="n">
        <v>18</v>
      </c>
      <c r="BO194" t="n">
        <v>146</v>
      </c>
      <c r="BP194" t="n">
        <v>287</v>
      </c>
      <c r="BQ194" t="n">
        <v>373</v>
      </c>
      <c r="BR194" t="n">
        <v>795</v>
      </c>
      <c r="BS19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5">
      <c r="A195" t="inlineStr">
        <is>
          <t>FRAG</t>
        </is>
      </c>
      <c r="B195" t="inlineStr">
        <is>
          <t>Fragmentación Desmonte 2025.xlsx</t>
        </is>
      </c>
      <c r="C195" t="inlineStr">
        <is>
          <t>ANÁLISIS DE FRAGMENTACIÓN</t>
        </is>
      </c>
      <c r="D195" t="n">
        <v>199</v>
      </c>
      <c r="E195" t="inlineStr">
        <is>
          <t>ROM (fragmentación post-voladura en el frente de carguío, por análisis de fotos)</t>
        </is>
      </c>
      <c r="F195" t="inlineStr"/>
      <c r="G195" t="inlineStr">
        <is>
          <t>no indicada en el archivo</t>
        </is>
      </c>
      <c r="H195" t="inlineStr">
        <is>
          <t>2025-05-27</t>
        </is>
      </c>
      <c r="I195" t="inlineStr">
        <is>
          <t>2025-06-03</t>
        </is>
      </c>
      <c r="J195" t="inlineStr">
        <is>
          <t>PALA 08</t>
        </is>
      </c>
      <c r="K195" t="n">
        <v>9</v>
      </c>
      <c r="L195" t="inlineStr">
        <is>
          <t>9-NP-3938-31</t>
        </is>
      </c>
      <c r="M195" t="n">
        <v>3</v>
      </c>
      <c r="N195" t="n">
        <v>3938</v>
      </c>
      <c r="O195" t="inlineStr">
        <is>
          <t>B</t>
        </is>
      </c>
      <c r="P195" t="n">
        <v>30</v>
      </c>
      <c r="Q195" t="inlineStr">
        <is>
          <t>Desmonte</t>
        </is>
      </c>
      <c r="R195" t="inlineStr">
        <is>
          <t>Producción</t>
        </is>
      </c>
      <c r="S195" t="n">
        <v>4</v>
      </c>
      <c r="T195" t="n">
        <v>10.9</v>
      </c>
      <c r="U195" t="n">
        <v>3</v>
      </c>
      <c r="V195" t="n">
        <v>1.043040514015044</v>
      </c>
      <c r="W195" t="n">
        <v>0.123</v>
      </c>
      <c r="X195" t="n">
        <v>0.18</v>
      </c>
      <c r="Y195" t="n">
        <v>0.5</v>
      </c>
      <c r="Z195" t="n">
        <v>2.4</v>
      </c>
      <c r="AA195" t="n">
        <v>4.7</v>
      </c>
      <c r="AB195" t="n">
        <v>7.6</v>
      </c>
      <c r="AC195" t="n">
        <v>11</v>
      </c>
      <c r="AD195" t="n">
        <v>15</v>
      </c>
      <c r="AE195" t="n">
        <v>20.1</v>
      </c>
      <c r="AF195" t="n">
        <v>26.8</v>
      </c>
      <c r="AG195" t="n">
        <v>37.5</v>
      </c>
      <c r="AH195" t="n">
        <v>90.40000000000001</v>
      </c>
      <c r="AI195" t="inlineStr"/>
      <c r="AJ195" t="n">
        <v>201712.5</v>
      </c>
      <c r="AK195" t="n">
        <v>70785</v>
      </c>
      <c r="AL195" t="n">
        <v>0.350920245398773</v>
      </c>
      <c r="AM195" t="inlineStr">
        <is>
          <t>-</t>
        </is>
      </c>
      <c r="AN195" t="inlineStr">
        <is>
          <t>17</t>
        </is>
      </c>
      <c r="AO195" t="inlineStr">
        <is>
          <t>2.0/5.0</t>
        </is>
      </c>
      <c r="AP195" t="inlineStr">
        <is>
          <t>12 1/4</t>
        </is>
      </c>
      <c r="AQ195" t="inlineStr">
        <is>
          <t>8</t>
        </is>
      </c>
      <c r="AR195" t="inlineStr">
        <is>
          <t>9.2</t>
        </is>
      </c>
      <c r="AS195" t="inlineStr">
        <is>
          <t>2</t>
        </is>
      </c>
      <c r="AT195" t="n">
        <v>75</v>
      </c>
      <c r="AU195" t="inlineStr">
        <is>
          <t>Emulgex 70 / Emulgex 70</t>
        </is>
      </c>
      <c r="AV195" t="inlineStr">
        <is>
          <t>59AR/41D2</t>
        </is>
      </c>
      <c r="AW195" t="n">
        <v>0.6451546585889669</v>
      </c>
      <c r="AX195" t="n">
        <v>0.6907949655852126</v>
      </c>
      <c r="AY195" t="n">
        <v>0.7354495294908074</v>
      </c>
      <c r="AZ195" t="n">
        <v>0.7782981949256108</v>
      </c>
      <c r="BA195" t="n">
        <v>0.8021958316353767</v>
      </c>
      <c r="BB195" t="n">
        <v>4.291338582677166</v>
      </c>
      <c r="BC195" t="n">
        <v>1.2601813976919</v>
      </c>
      <c r="BD195" t="n">
        <v>2.587564358373655</v>
      </c>
      <c r="BE195" t="n">
        <v>4.056713463392649</v>
      </c>
      <c r="BF195" t="n">
        <v>5.724494539314603</v>
      </c>
      <c r="BG195" t="n">
        <v>7.67043884927048</v>
      </c>
      <c r="BH195" t="n">
        <v>10.02366324615302</v>
      </c>
      <c r="BI195" t="n">
        <v>13.02316582665018</v>
      </c>
      <c r="BJ195" t="n">
        <v>17.20174173648876</v>
      </c>
      <c r="BK195" t="n">
        <v>24.24909574093307</v>
      </c>
      <c r="BL195" t="n">
        <v>69.52302290110315</v>
      </c>
      <c r="BM195" t="inlineStr"/>
      <c r="BN195" t="n">
        <v>5</v>
      </c>
      <c r="BO195" t="n">
        <v>110</v>
      </c>
      <c r="BP195" t="n">
        <v>268</v>
      </c>
      <c r="BQ195" t="n">
        <v>375</v>
      </c>
      <c r="BR195" t="n">
        <v>904</v>
      </c>
      <c r="BS19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6">
      <c r="A196" t="inlineStr">
        <is>
          <t>FRAG</t>
        </is>
      </c>
      <c r="B196" t="inlineStr">
        <is>
          <t>Fragmentación Desmonte 2025.xlsx</t>
        </is>
      </c>
      <c r="C196" t="inlineStr">
        <is>
          <t>ANÁLISIS DE FRAGMENTACIÓN</t>
        </is>
      </c>
      <c r="D196" t="n">
        <v>200</v>
      </c>
      <c r="E196" t="inlineStr">
        <is>
          <t>ROM (fragmentación post-voladura en el frente de carguío, por análisis de fotos)</t>
        </is>
      </c>
      <c r="F196" t="inlineStr"/>
      <c r="G196" t="inlineStr">
        <is>
          <t>no indicada en el archivo</t>
        </is>
      </c>
      <c r="H196" t="inlineStr">
        <is>
          <t>2025-05-24</t>
        </is>
      </c>
      <c r="I196" t="inlineStr">
        <is>
          <t>2025-06-03</t>
        </is>
      </c>
      <c r="J196" t="inlineStr">
        <is>
          <t>PALA 09</t>
        </is>
      </c>
      <c r="K196" t="n">
        <v>9</v>
      </c>
      <c r="L196" t="inlineStr">
        <is>
          <t>9-NP-3938-34</t>
        </is>
      </c>
      <c r="M196" t="n">
        <v>1</v>
      </c>
      <c r="N196" t="n">
        <v>3938</v>
      </c>
      <c r="O196" t="inlineStr">
        <is>
          <t>A</t>
        </is>
      </c>
      <c r="P196" t="n">
        <v>30</v>
      </c>
      <c r="Q196" t="inlineStr">
        <is>
          <t>Desmonte</t>
        </is>
      </c>
      <c r="R196" t="inlineStr">
        <is>
          <t>TRIM</t>
        </is>
      </c>
      <c r="S196" t="n">
        <v>4</v>
      </c>
      <c r="T196" t="n">
        <v>16.8</v>
      </c>
      <c r="U196" t="n">
        <v>3</v>
      </c>
      <c r="V196" t="n">
        <v>1.293891128515788</v>
      </c>
      <c r="W196" t="n">
        <v>0.052</v>
      </c>
      <c r="X196" t="n">
        <v>0.08400000000000001</v>
      </c>
      <c r="Y196" t="n">
        <v>2.5</v>
      </c>
      <c r="Z196" t="n">
        <v>6</v>
      </c>
      <c r="AA196" t="n">
        <v>9.5</v>
      </c>
      <c r="AB196" t="n">
        <v>13.1</v>
      </c>
      <c r="AC196" t="n">
        <v>16.8</v>
      </c>
      <c r="AD196" t="n">
        <v>20.9</v>
      </c>
      <c r="AE196" t="n">
        <v>25.6</v>
      </c>
      <c r="AF196" t="n">
        <v>31.5</v>
      </c>
      <c r="AG196" t="n">
        <v>40.2</v>
      </c>
      <c r="AH196" t="n">
        <v>82.7</v>
      </c>
      <c r="AI196" t="inlineStr"/>
      <c r="AJ196" t="n">
        <v>241436.25</v>
      </c>
      <c r="AK196" t="n">
        <v>59459</v>
      </c>
      <c r="AL196" t="n">
        <v>0.2462720490398604</v>
      </c>
      <c r="AM196" t="inlineStr">
        <is>
          <t>-</t>
        </is>
      </c>
      <c r="AN196" t="inlineStr">
        <is>
          <t xml:space="preserve"> - </t>
        </is>
      </c>
      <c r="AO196" t="inlineStr">
        <is>
          <t xml:space="preserve"> - </t>
        </is>
      </c>
      <c r="AP196" t="inlineStr">
        <is>
          <t>9 7/8</t>
        </is>
      </c>
      <c r="AQ196" t="inlineStr">
        <is>
          <t xml:space="preserve"> - </t>
        </is>
      </c>
      <c r="AR196" t="inlineStr">
        <is>
          <t xml:space="preserve"> - </t>
        </is>
      </c>
      <c r="AS196" t="inlineStr">
        <is>
          <t xml:space="preserve"> - </t>
        </is>
      </c>
      <c r="AT196" t="n">
        <v>201</v>
      </c>
      <c r="AU196" t="inlineStr">
        <is>
          <t>Emulgex 70</t>
        </is>
      </c>
      <c r="AV196" t="inlineStr">
        <is>
          <t>51AR/49D2</t>
        </is>
      </c>
      <c r="AW196" t="n">
        <v>0.6315446360207791</v>
      </c>
      <c r="AX196" t="n">
        <v>0.6529528756190839</v>
      </c>
      <c r="AY196" t="n">
        <v>0.6742882255792759</v>
      </c>
      <c r="AZ196" t="n">
        <v>0.6954725342334893</v>
      </c>
      <c r="BA196" t="n">
        <v>0.7077622366534018</v>
      </c>
      <c r="BB196" t="n">
        <v>6.614173228346456</v>
      </c>
      <c r="BC196" t="n">
        <v>2.951029965254431</v>
      </c>
      <c r="BD196" t="n">
        <v>5.27053270467478</v>
      </c>
      <c r="BE196" t="n">
        <v>7.573167141356366</v>
      </c>
      <c r="BF196" t="n">
        <v>9.996412202261045</v>
      </c>
      <c r="BG196" t="n">
        <v>12.65578945814814</v>
      </c>
      <c r="BH196" t="n">
        <v>15.70240722929774</v>
      </c>
      <c r="BI196" t="n">
        <v>19.39165573987174</v>
      </c>
      <c r="BJ196" t="n">
        <v>24.26833898810993</v>
      </c>
      <c r="BK196" t="n">
        <v>32.00753458147523</v>
      </c>
      <c r="BL196" t="n">
        <v>74.81718676537911</v>
      </c>
      <c r="BM196" t="inlineStr"/>
      <c r="BN196" t="n">
        <v>25</v>
      </c>
      <c r="BO196" t="n">
        <v>168</v>
      </c>
      <c r="BP196" t="n">
        <v>315</v>
      </c>
      <c r="BQ196" t="n">
        <v>402</v>
      </c>
      <c r="BR196" t="n">
        <v>827</v>
      </c>
      <c r="BS19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7">
      <c r="A197" t="inlineStr">
        <is>
          <t>FRAG</t>
        </is>
      </c>
      <c r="B197" t="inlineStr">
        <is>
          <t>Fragmentación Desmonte 2025.xlsx</t>
        </is>
      </c>
      <c r="C197" t="inlineStr">
        <is>
          <t>ANÁLISIS DE FRAGMENTACIÓN</t>
        </is>
      </c>
      <c r="D197" t="n">
        <v>201</v>
      </c>
      <c r="E197" t="inlineStr">
        <is>
          <t>ROM (fragmentación post-voladura en el frente de carguío, por análisis de fotos)</t>
        </is>
      </c>
      <c r="F197" t="inlineStr"/>
      <c r="G197" t="inlineStr">
        <is>
          <t>no indicada en el archivo</t>
        </is>
      </c>
      <c r="H197" t="inlineStr">
        <is>
          <t>2025-02-23</t>
        </is>
      </c>
      <c r="I197" t="inlineStr">
        <is>
          <t>2025-06-04</t>
        </is>
      </c>
      <c r="J197" t="inlineStr">
        <is>
          <t>PALA 07</t>
        </is>
      </c>
      <c r="K197" t="n">
        <v>9</v>
      </c>
      <c r="L197" t="inlineStr">
        <is>
          <t>9-NP-3953-19</t>
        </is>
      </c>
      <c r="M197" t="n">
        <v>2</v>
      </c>
      <c r="N197" t="n">
        <v>3953</v>
      </c>
      <c r="O197" t="inlineStr">
        <is>
          <t>A</t>
        </is>
      </c>
      <c r="P197" t="n">
        <v>30</v>
      </c>
      <c r="Q197" t="inlineStr">
        <is>
          <t>Desmonte</t>
        </is>
      </c>
      <c r="R197" t="inlineStr">
        <is>
          <t>TRIM</t>
        </is>
      </c>
      <c r="S197" t="n">
        <v>3</v>
      </c>
      <c r="T197" t="n">
        <v>6.6</v>
      </c>
      <c r="U197" t="n">
        <v>2</v>
      </c>
      <c r="V197" t="n">
        <v>0.6024426661022008</v>
      </c>
      <c r="W197" t="n">
        <v>0.208</v>
      </c>
      <c r="X197" t="n">
        <v>0.285</v>
      </c>
      <c r="Y197" t="n">
        <v>0.2</v>
      </c>
      <c r="Z197" t="n">
        <v>0.9</v>
      </c>
      <c r="AA197" t="n">
        <v>2.2</v>
      </c>
      <c r="AB197" t="n">
        <v>4.1</v>
      </c>
      <c r="AC197" t="n">
        <v>6.7</v>
      </c>
      <c r="AD197" t="n">
        <v>10.1</v>
      </c>
      <c r="AE197" t="n">
        <v>14.6</v>
      </c>
      <c r="AF197" t="n">
        <v>21.3</v>
      </c>
      <c r="AG197" t="n">
        <v>32.6</v>
      </c>
      <c r="AH197" t="n">
        <v>92.90000000000001</v>
      </c>
      <c r="AI197" t="inlineStr"/>
      <c r="AJ197" t="n">
        <v>861712.5</v>
      </c>
      <c r="AK197" t="n">
        <v>165226.7</v>
      </c>
      <c r="AL197" t="n">
        <v>0.1917422574234446</v>
      </c>
      <c r="AM197" t="inlineStr">
        <is>
          <t>0.5924835754384439</t>
        </is>
      </c>
      <c r="AN197" t="inlineStr">
        <is>
          <t xml:space="preserve"> - </t>
        </is>
      </c>
      <c r="AO197" t="inlineStr">
        <is>
          <t xml:space="preserve"> - </t>
        </is>
      </c>
      <c r="AP197" t="inlineStr">
        <is>
          <t>9 7/8</t>
        </is>
      </c>
      <c r="AQ197" t="inlineStr">
        <is>
          <t xml:space="preserve"> - </t>
        </is>
      </c>
      <c r="AR197" t="inlineStr">
        <is>
          <t xml:space="preserve"> - </t>
        </is>
      </c>
      <c r="AS197" t="inlineStr">
        <is>
          <t xml:space="preserve"> - </t>
        </is>
      </c>
      <c r="AT197" t="n">
        <v>181</v>
      </c>
      <c r="AU197" t="inlineStr">
        <is>
          <t>Vertex 70</t>
        </is>
      </c>
      <c r="AV197" t="inlineStr">
        <is>
          <t>39%D2/61%AR</t>
        </is>
      </c>
      <c r="AW197" t="n">
        <v>0.7096953820876746</v>
      </c>
      <c r="AX197" t="n">
        <v>0.7784173598865436</v>
      </c>
      <c r="AY197" t="n">
        <v>0.8405611991342681</v>
      </c>
      <c r="AZ197" t="n">
        <v>0.8932341482964899</v>
      </c>
      <c r="BA197" t="n">
        <v>0.9188261415184944</v>
      </c>
      <c r="BB197" t="n">
        <v>2.598425196850393</v>
      </c>
      <c r="BC197" t="n">
        <v>0.1574991341796834</v>
      </c>
      <c r="BD197" t="n">
        <v>0.5473350036716369</v>
      </c>
      <c r="BE197" t="n">
        <v>1.192222187946639</v>
      </c>
      <c r="BF197" t="n">
        <v>2.164228556815613</v>
      </c>
      <c r="BG197" t="n">
        <v>3.59193680003346</v>
      </c>
      <c r="BH197" t="n">
        <v>5.708508583242665</v>
      </c>
      <c r="BI197" t="n">
        <v>8.981735941894595</v>
      </c>
      <c r="BJ197" t="n">
        <v>14.5413371731511</v>
      </c>
      <c r="BK197" t="n">
        <v>26.35050938815564</v>
      </c>
      <c r="BL197" t="n">
        <v>163.2175585021762</v>
      </c>
      <c r="BM197" t="inlineStr"/>
      <c r="BN197" t="n">
        <v>2</v>
      </c>
      <c r="BO197" t="n">
        <v>67</v>
      </c>
      <c r="BP197" t="n">
        <v>213</v>
      </c>
      <c r="BQ197" t="n">
        <v>326</v>
      </c>
      <c r="BR197" t="n">
        <v>929</v>
      </c>
      <c r="BS19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8">
      <c r="A198" t="inlineStr">
        <is>
          <t>FRAG</t>
        </is>
      </c>
      <c r="B198" t="inlineStr">
        <is>
          <t>Fragmentación Desmonte 2025.xlsx</t>
        </is>
      </c>
      <c r="C198" t="inlineStr">
        <is>
          <t>ANÁLISIS DE FRAGMENTACIÓN</t>
        </is>
      </c>
      <c r="D198" t="n">
        <v>202</v>
      </c>
      <c r="E198" t="inlineStr">
        <is>
          <t>ROM (fragmentación post-voladura en el frente de carguío, por análisis de fotos)</t>
        </is>
      </c>
      <c r="F198" t="inlineStr"/>
      <c r="G198" t="inlineStr">
        <is>
          <t>no indicada en el archivo</t>
        </is>
      </c>
      <c r="H198" t="inlineStr">
        <is>
          <t>2025-06-02</t>
        </is>
      </c>
      <c r="I198" t="inlineStr">
        <is>
          <t>2025-06-04</t>
        </is>
      </c>
      <c r="J198" t="inlineStr">
        <is>
          <t>PALA 08</t>
        </is>
      </c>
      <c r="K198" t="n">
        <v>9</v>
      </c>
      <c r="L198" t="inlineStr">
        <is>
          <t>9-NP-3938-29</t>
        </is>
      </c>
      <c r="M198" t="n">
        <v>2</v>
      </c>
      <c r="N198" t="n">
        <v>3938</v>
      </c>
      <c r="O198" t="inlineStr">
        <is>
          <t>C</t>
        </is>
      </c>
      <c r="P198" t="n">
        <v>30</v>
      </c>
      <c r="Q198" t="inlineStr">
        <is>
          <t>Desmonte</t>
        </is>
      </c>
      <c r="R198" t="inlineStr">
        <is>
          <t>TRIM</t>
        </is>
      </c>
      <c r="S198" t="n">
        <v>4</v>
      </c>
      <c r="T198" t="n">
        <v>10.1</v>
      </c>
      <c r="U198" t="n">
        <v>3</v>
      </c>
      <c r="V198" t="n">
        <v>0.8906261498913181</v>
      </c>
      <c r="W198" t="n">
        <v>0.128</v>
      </c>
      <c r="X198" t="n">
        <v>0.191</v>
      </c>
      <c r="Y198" t="n">
        <v>0.6</v>
      </c>
      <c r="Z198" t="n">
        <v>2.1</v>
      </c>
      <c r="AA198" t="n">
        <v>4.2</v>
      </c>
      <c r="AB198" t="n">
        <v>6.9</v>
      </c>
      <c r="AC198" t="n">
        <v>10.1</v>
      </c>
      <c r="AD198" t="n">
        <v>14.2</v>
      </c>
      <c r="AE198" t="n">
        <v>19.6</v>
      </c>
      <c r="AF198" t="n">
        <v>27.4</v>
      </c>
      <c r="AG198" t="n">
        <v>41</v>
      </c>
      <c r="AH198" t="n">
        <v>149.4</v>
      </c>
      <c r="AI198" t="inlineStr"/>
      <c r="AJ198" t="n">
        <v>494398.1625</v>
      </c>
      <c r="AK198" t="n">
        <v>152019.7</v>
      </c>
      <c r="AL198" t="n">
        <v>0.3074843547785232</v>
      </c>
      <c r="AM198" t="inlineStr">
        <is>
          <t>-</t>
        </is>
      </c>
      <c r="AN198" t="inlineStr">
        <is>
          <t xml:space="preserve"> - </t>
        </is>
      </c>
      <c r="AO198" t="inlineStr">
        <is>
          <t xml:space="preserve"> - </t>
        </is>
      </c>
      <c r="AP198" t="inlineStr">
        <is>
          <t>9 7/8</t>
        </is>
      </c>
      <c r="AQ198" t="inlineStr">
        <is>
          <t xml:space="preserve"> - </t>
        </is>
      </c>
      <c r="AR198" t="inlineStr">
        <is>
          <t xml:space="preserve"> - </t>
        </is>
      </c>
      <c r="AS198" t="inlineStr">
        <is>
          <t xml:space="preserve"> - </t>
        </is>
      </c>
      <c r="AT198" t="n">
        <v>110</v>
      </c>
      <c r="AU198" t="inlineStr">
        <is>
          <t>Emulgex 70</t>
        </is>
      </c>
      <c r="AV198" t="inlineStr">
        <is>
          <t>00:00:00</t>
        </is>
      </c>
      <c r="AW198" t="n">
        <v>0.6570345005976699</v>
      </c>
      <c r="AX198" t="n">
        <v>0.7052438021682839</v>
      </c>
      <c r="AY198" t="n">
        <v>0.7520506760875767</v>
      </c>
      <c r="AZ198" t="n">
        <v>0.7964682577852219</v>
      </c>
      <c r="BA198" t="n">
        <v>0.8209550222676467</v>
      </c>
      <c r="BB198" t="n">
        <v>3.976377952755905</v>
      </c>
      <c r="BC198" t="n">
        <v>0.807195373870939</v>
      </c>
      <c r="BD198" t="n">
        <v>1.874598410139885</v>
      </c>
      <c r="BE198" t="n">
        <v>3.174026570593761</v>
      </c>
      <c r="BF198" t="n">
        <v>4.750817065431875</v>
      </c>
      <c r="BG198" t="n">
        <v>6.692668515957179</v>
      </c>
      <c r="BH198" t="n">
        <v>9.155712452984606</v>
      </c>
      <c r="BI198" t="n">
        <v>12.44051123149439</v>
      </c>
      <c r="BJ198" t="n">
        <v>17.2336134363195</v>
      </c>
      <c r="BK198" t="n">
        <v>25.76434855016502</v>
      </c>
      <c r="BL198" t="n">
        <v>88.4572771889126</v>
      </c>
      <c r="BM198" t="inlineStr"/>
      <c r="BN198" t="n">
        <v>6</v>
      </c>
      <c r="BO198" t="n">
        <v>101</v>
      </c>
      <c r="BP198" t="n">
        <v>274</v>
      </c>
      <c r="BQ198" t="n">
        <v>410</v>
      </c>
      <c r="BR198" t="n">
        <v>1494</v>
      </c>
      <c r="BS19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199">
      <c r="A199" t="inlineStr">
        <is>
          <t>FRAG</t>
        </is>
      </c>
      <c r="B199" t="inlineStr">
        <is>
          <t>Fragmentación Desmonte 2025.xlsx</t>
        </is>
      </c>
      <c r="C199" t="inlineStr">
        <is>
          <t>ANÁLISIS DE FRAGMENTACIÓN</t>
        </is>
      </c>
      <c r="D199" t="n">
        <v>203</v>
      </c>
      <c r="E199" t="inlineStr">
        <is>
          <t>ROM (fragmentación post-voladura en el frente de carguío, por análisis de fotos)</t>
        </is>
      </c>
      <c r="F199" t="inlineStr"/>
      <c r="G199" t="inlineStr">
        <is>
          <t>no indicada en el archivo</t>
        </is>
      </c>
      <c r="H199" t="inlineStr">
        <is>
          <t>2025-05-24</t>
        </is>
      </c>
      <c r="I199" t="inlineStr">
        <is>
          <t>2025-06-04</t>
        </is>
      </c>
      <c r="J199" t="inlineStr">
        <is>
          <t>PALA 09</t>
        </is>
      </c>
      <c r="K199" t="n">
        <v>9</v>
      </c>
      <c r="L199" t="inlineStr">
        <is>
          <t>9-NP-3938-34</t>
        </is>
      </c>
      <c r="M199" t="n">
        <v>1</v>
      </c>
      <c r="N199" t="n">
        <v>3938</v>
      </c>
      <c r="O199" t="inlineStr">
        <is>
          <t>A</t>
        </is>
      </c>
      <c r="P199" t="n">
        <v>30</v>
      </c>
      <c r="Q199" t="inlineStr">
        <is>
          <t>Desmonte</t>
        </is>
      </c>
      <c r="R199" t="inlineStr">
        <is>
          <t>TRIM</t>
        </is>
      </c>
      <c r="S199" t="n">
        <v>3</v>
      </c>
      <c r="T199" t="n">
        <v>14.4</v>
      </c>
      <c r="U199" t="n">
        <v>2</v>
      </c>
      <c r="V199" t="n">
        <v>0.8631048366252693</v>
      </c>
      <c r="W199" t="n">
        <v>0.097</v>
      </c>
      <c r="X199" t="n">
        <v>0.14</v>
      </c>
      <c r="Y199" t="n">
        <v>1</v>
      </c>
      <c r="Z199" t="n">
        <v>3.6</v>
      </c>
      <c r="AA199" t="n">
        <v>6.9</v>
      </c>
      <c r="AB199" t="n">
        <v>10.5</v>
      </c>
      <c r="AC199" t="n">
        <v>14.5</v>
      </c>
      <c r="AD199" t="n">
        <v>18.9</v>
      </c>
      <c r="AE199" t="n">
        <v>24.1</v>
      </c>
      <c r="AF199" t="n">
        <v>30.5</v>
      </c>
      <c r="AG199" t="n">
        <v>39.6</v>
      </c>
      <c r="AH199" t="n">
        <v>71.3</v>
      </c>
      <c r="AI199" t="inlineStr"/>
      <c r="AJ199" t="n">
        <v>241436.25</v>
      </c>
      <c r="AK199" t="n">
        <v>59459</v>
      </c>
      <c r="AL199" t="n">
        <v>0.2462720490398604</v>
      </c>
      <c r="AM199" t="inlineStr">
        <is>
          <t>-</t>
        </is>
      </c>
      <c r="AN199" t="inlineStr">
        <is>
          <t xml:space="preserve"> - </t>
        </is>
      </c>
      <c r="AO199" t="inlineStr">
        <is>
          <t xml:space="preserve"> - </t>
        </is>
      </c>
      <c r="AP199" t="inlineStr">
        <is>
          <t>9 7/8</t>
        </is>
      </c>
      <c r="AQ199" t="inlineStr">
        <is>
          <t xml:space="preserve"> - </t>
        </is>
      </c>
      <c r="AR199" t="inlineStr">
        <is>
          <t xml:space="preserve"> - </t>
        </is>
      </c>
      <c r="AS199" t="inlineStr">
        <is>
          <t xml:space="preserve"> - </t>
        </is>
      </c>
      <c r="AT199" t="n">
        <v>201</v>
      </c>
      <c r="AU199" t="inlineStr">
        <is>
          <t>Emulgex 70</t>
        </is>
      </c>
      <c r="AV199" t="inlineStr">
        <is>
          <t>51AR/49D2</t>
        </is>
      </c>
      <c r="AW199" t="n">
        <v>0.6520030974613498</v>
      </c>
      <c r="AX199" t="n">
        <v>0.6874931335326374</v>
      </c>
      <c r="AY199" t="n">
        <v>0.7224231969389587</v>
      </c>
      <c r="AZ199" t="n">
        <v>0.7564090961119412</v>
      </c>
      <c r="BA199" t="n">
        <v>0.7756956628965987</v>
      </c>
      <c r="BB199" t="n">
        <v>5.669291338582677</v>
      </c>
      <c r="BC199" t="n">
        <v>1.061767590661524</v>
      </c>
      <c r="BD199" t="n">
        <v>2.532953545968387</v>
      </c>
      <c r="BE199" t="n">
        <v>4.3613609825279</v>
      </c>
      <c r="BF199" t="n">
        <v>6.612488585002441</v>
      </c>
      <c r="BG199" t="n">
        <v>9.417630110099489</v>
      </c>
      <c r="BH199" t="n">
        <v>13.01289633118046</v>
      </c>
      <c r="BI199" t="n">
        <v>17.85523635029099</v>
      </c>
      <c r="BJ199" t="n">
        <v>24.992912291047</v>
      </c>
      <c r="BK199" t="n">
        <v>37.84673471337091</v>
      </c>
      <c r="BL199" t="n">
        <v>135.1527309108036</v>
      </c>
      <c r="BM199" t="inlineStr"/>
      <c r="BN199" t="n">
        <v>10</v>
      </c>
      <c r="BO199" t="n">
        <v>145</v>
      </c>
      <c r="BP199" t="n">
        <v>305</v>
      </c>
      <c r="BQ199" t="n">
        <v>396</v>
      </c>
      <c r="BR199" t="n">
        <v>713</v>
      </c>
      <c r="BS19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0">
      <c r="A200" t="inlineStr">
        <is>
          <t>FRAG</t>
        </is>
      </c>
      <c r="B200" t="inlineStr">
        <is>
          <t>Fragmentación Desmonte 2025.xlsx</t>
        </is>
      </c>
      <c r="C200" t="inlineStr">
        <is>
          <t>ANÁLISIS DE FRAGMENTACIÓN</t>
        </is>
      </c>
      <c r="D200" t="n">
        <v>204</v>
      </c>
      <c r="E200" t="inlineStr">
        <is>
          <t>ROM (fragmentación post-voladura en el frente de carguío, por análisis de fotos)</t>
        </is>
      </c>
      <c r="F200" t="inlineStr"/>
      <c r="G200" t="inlineStr">
        <is>
          <t>no indicada en el archivo</t>
        </is>
      </c>
      <c r="H200" t="inlineStr">
        <is>
          <t>2025-06-02</t>
        </is>
      </c>
      <c r="I200" t="inlineStr">
        <is>
          <t>2025-06-06</t>
        </is>
      </c>
      <c r="J200" t="inlineStr">
        <is>
          <t>PALA 07</t>
        </is>
      </c>
      <c r="K200" t="n">
        <v>9</v>
      </c>
      <c r="L200" t="inlineStr">
        <is>
          <t>9-NP-3938-29</t>
        </is>
      </c>
      <c r="M200" t="n">
        <v>3</v>
      </c>
      <c r="N200" t="n">
        <v>3938</v>
      </c>
      <c r="O200" t="inlineStr">
        <is>
          <t>A</t>
        </is>
      </c>
      <c r="P200" t="n">
        <v>30</v>
      </c>
      <c r="Q200" t="inlineStr">
        <is>
          <t>Desmonte</t>
        </is>
      </c>
      <c r="R200" t="inlineStr">
        <is>
          <t>TRIM</t>
        </is>
      </c>
      <c r="S200" t="n">
        <v>5</v>
      </c>
      <c r="T200" t="n">
        <v>14.2</v>
      </c>
      <c r="U200" t="n">
        <v>3</v>
      </c>
      <c r="V200" t="n">
        <v>1.169870914794792</v>
      </c>
      <c r="W200" t="n">
        <v>0.07000000000000001</v>
      </c>
      <c r="X200" t="n">
        <v>0.11</v>
      </c>
      <c r="Y200" t="n">
        <v>1.7</v>
      </c>
      <c r="Z200" t="n">
        <v>4.5</v>
      </c>
      <c r="AA200" t="n">
        <v>7.5</v>
      </c>
      <c r="AB200" t="n">
        <v>10.7</v>
      </c>
      <c r="AC200" t="n">
        <v>14.2</v>
      </c>
      <c r="AD200" t="n">
        <v>18.1</v>
      </c>
      <c r="AE200" t="n">
        <v>22.8</v>
      </c>
      <c r="AF200" t="n">
        <v>28.8</v>
      </c>
      <c r="AG200" t="n">
        <v>38</v>
      </c>
      <c r="AH200" t="n">
        <v>86.09999999999999</v>
      </c>
      <c r="AI200" t="inlineStr"/>
      <c r="AJ200" t="n">
        <v>494398.1625</v>
      </c>
      <c r="AK200" t="n">
        <v>152019.7</v>
      </c>
      <c r="AL200" t="n">
        <v>0.3074843547785232</v>
      </c>
      <c r="AM200" t="inlineStr">
        <is>
          <t>-</t>
        </is>
      </c>
      <c r="AN200" t="inlineStr">
        <is>
          <t xml:space="preserve"> - </t>
        </is>
      </c>
      <c r="AO200" t="inlineStr">
        <is>
          <t xml:space="preserve"> - </t>
        </is>
      </c>
      <c r="AP200" t="inlineStr">
        <is>
          <t>9 7/8</t>
        </is>
      </c>
      <c r="AQ200" t="inlineStr">
        <is>
          <t xml:space="preserve"> - </t>
        </is>
      </c>
      <c r="AR200" t="inlineStr">
        <is>
          <t xml:space="preserve"> - </t>
        </is>
      </c>
      <c r="AS200" t="inlineStr">
        <is>
          <t xml:space="preserve"> - </t>
        </is>
      </c>
      <c r="AT200" t="n">
        <v>110</v>
      </c>
      <c r="AU200" t="inlineStr">
        <is>
          <t>Emulgex 70</t>
        </is>
      </c>
      <c r="AV200" t="inlineStr">
        <is>
          <t>00:00:00</t>
        </is>
      </c>
      <c r="AW200" t="n">
        <v>0.6354437832020734</v>
      </c>
      <c r="AX200" t="n">
        <v>0.6634544259040542</v>
      </c>
      <c r="AY200" t="n">
        <v>0.6912745697967935</v>
      </c>
      <c r="AZ200" t="n">
        <v>0.7187243569595891</v>
      </c>
      <c r="BA200" t="n">
        <v>0.7345353907088328</v>
      </c>
      <c r="BB200" t="n">
        <v>5.590551181102362</v>
      </c>
      <c r="BC200" t="n">
        <v>2.074331341940435</v>
      </c>
      <c r="BD200" t="n">
        <v>3.939684004691871</v>
      </c>
      <c r="BE200" t="n">
        <v>5.882651621734143</v>
      </c>
      <c r="BF200" t="n">
        <v>7.996892114473889</v>
      </c>
      <c r="BG200" t="n">
        <v>10.38070186701561</v>
      </c>
      <c r="BH200" t="n">
        <v>13.17754741403696</v>
      </c>
      <c r="BI200" t="n">
        <v>16.64175369754015</v>
      </c>
      <c r="BJ200" t="n">
        <v>21.32811503511994</v>
      </c>
      <c r="BK200" t="n">
        <v>28.96733642676848</v>
      </c>
      <c r="BL200" t="n">
        <v>74.0882785894015</v>
      </c>
      <c r="BM200" t="inlineStr"/>
      <c r="BN200" t="n">
        <v>17</v>
      </c>
      <c r="BO200" t="n">
        <v>142</v>
      </c>
      <c r="BP200" t="n">
        <v>288</v>
      </c>
      <c r="BQ200" t="n">
        <v>380</v>
      </c>
      <c r="BR200" t="n">
        <v>861</v>
      </c>
      <c r="BS20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1">
      <c r="A201" t="inlineStr">
        <is>
          <t>FRAG</t>
        </is>
      </c>
      <c r="B201" t="inlineStr">
        <is>
          <t>Fragmentación Desmonte 2025.xlsx</t>
        </is>
      </c>
      <c r="C201" t="inlineStr">
        <is>
          <t>ANÁLISIS DE FRAGMENTACIÓN</t>
        </is>
      </c>
      <c r="D201" t="n">
        <v>205</v>
      </c>
      <c r="E201" t="inlineStr">
        <is>
          <t>ROM (fragmentación post-voladura en el frente de carguío, por análisis de fotos)</t>
        </is>
      </c>
      <c r="F201" t="inlineStr"/>
      <c r="G201" t="inlineStr">
        <is>
          <t>no indicada en el archivo</t>
        </is>
      </c>
      <c r="H201" t="inlineStr">
        <is>
          <t>2025-06-02</t>
        </is>
      </c>
      <c r="I201" t="inlineStr">
        <is>
          <t>2025-06-06</t>
        </is>
      </c>
      <c r="J201" t="inlineStr">
        <is>
          <t>PALA 08</t>
        </is>
      </c>
      <c r="K201" t="n">
        <v>9</v>
      </c>
      <c r="L201" t="inlineStr">
        <is>
          <t>9-NP-3938-29</t>
        </is>
      </c>
      <c r="M201" t="n">
        <v>3</v>
      </c>
      <c r="N201" t="n">
        <v>3938</v>
      </c>
      <c r="O201" t="inlineStr">
        <is>
          <t>A</t>
        </is>
      </c>
      <c r="P201" t="n">
        <v>30</v>
      </c>
      <c r="Q201" t="inlineStr">
        <is>
          <t>Desmonte</t>
        </is>
      </c>
      <c r="R201" t="inlineStr">
        <is>
          <t>TRIM</t>
        </is>
      </c>
      <c r="S201" t="n">
        <v>3</v>
      </c>
      <c r="T201" t="n">
        <v>18.1</v>
      </c>
      <c r="U201" t="n">
        <v>2</v>
      </c>
      <c r="V201" t="n">
        <v>0.8076876446422979</v>
      </c>
      <c r="W201" t="n">
        <v>0.081</v>
      </c>
      <c r="X201" t="n">
        <v>0.118</v>
      </c>
      <c r="Y201" t="n">
        <v>1.4</v>
      </c>
      <c r="Z201" t="n">
        <v>4.8</v>
      </c>
      <c r="AA201" t="n">
        <v>8.800000000000001</v>
      </c>
      <c r="AB201" t="n">
        <v>13.3</v>
      </c>
      <c r="AC201" t="n">
        <v>18.2</v>
      </c>
      <c r="AD201" t="n">
        <v>23.8</v>
      </c>
      <c r="AE201" t="n">
        <v>30.4</v>
      </c>
      <c r="AF201" t="n">
        <v>38.8</v>
      </c>
      <c r="AG201" t="n">
        <v>51.2</v>
      </c>
      <c r="AH201" t="n">
        <v>102.1</v>
      </c>
      <c r="AI201" t="inlineStr"/>
      <c r="AJ201" t="n">
        <v>494398.1625</v>
      </c>
      <c r="AK201" t="n">
        <v>152019.7</v>
      </c>
      <c r="AL201" t="n">
        <v>0.3074843547785232</v>
      </c>
      <c r="AM201" t="inlineStr">
        <is>
          <t>-</t>
        </is>
      </c>
      <c r="AN201" t="inlineStr">
        <is>
          <t xml:space="preserve"> - </t>
        </is>
      </c>
      <c r="AO201" t="inlineStr">
        <is>
          <t xml:space="preserve"> - </t>
        </is>
      </c>
      <c r="AP201" t="inlineStr">
        <is>
          <t>9 7/8</t>
        </is>
      </c>
      <c r="AQ201" t="inlineStr">
        <is>
          <t xml:space="preserve"> - </t>
        </is>
      </c>
      <c r="AR201" t="inlineStr">
        <is>
          <t xml:space="preserve"> - </t>
        </is>
      </c>
      <c r="AS201" t="inlineStr">
        <is>
          <t xml:space="preserve"> - </t>
        </is>
      </c>
      <c r="AT201" t="n">
        <v>110</v>
      </c>
      <c r="AU201" t="inlineStr">
        <is>
          <t>Emulgex 70</t>
        </is>
      </c>
      <c r="AV201" t="inlineStr">
        <is>
          <t>00:00:00</t>
        </is>
      </c>
      <c r="AW201" t="n">
        <v>0.6517582208649004</v>
      </c>
      <c r="AX201" t="n">
        <v>0.6817007117625112</v>
      </c>
      <c r="AY201" t="n">
        <v>0.7112894436002197</v>
      </c>
      <c r="AZ201" t="n">
        <v>0.740296241190282</v>
      </c>
      <c r="BA201" t="n">
        <v>0.756901079920997</v>
      </c>
      <c r="BB201" t="n">
        <v>7.125984251968505</v>
      </c>
      <c r="BC201" t="n">
        <v>1.115973123605475</v>
      </c>
      <c r="BD201" t="n">
        <v>2.825916288049357</v>
      </c>
      <c r="BE201" t="n">
        <v>5.050637682840548</v>
      </c>
      <c r="BF201" t="n">
        <v>7.879347899702095</v>
      </c>
      <c r="BG201" t="n">
        <v>11.49752065362409</v>
      </c>
      <c r="BH201" t="n">
        <v>16.24321172741884</v>
      </c>
      <c r="BI201" t="n">
        <v>22.77667238830361</v>
      </c>
      <c r="BJ201" t="n">
        <v>32.62589461652226</v>
      </c>
      <c r="BK201" t="n">
        <v>50.83217390846498</v>
      </c>
      <c r="BL201" t="n">
        <v>198.0904995460488</v>
      </c>
      <c r="BM201" t="inlineStr"/>
      <c r="BN201" t="n">
        <v>14</v>
      </c>
      <c r="BO201" t="n">
        <v>182</v>
      </c>
      <c r="BP201" t="n">
        <v>388</v>
      </c>
      <c r="BQ201" t="n">
        <v>512</v>
      </c>
      <c r="BR201" t="n">
        <v>1021</v>
      </c>
      <c r="BS20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2">
      <c r="A202" t="inlineStr">
        <is>
          <t>FRAG</t>
        </is>
      </c>
      <c r="B202" t="inlineStr">
        <is>
          <t>Fragmentación Desmonte 2025.xlsx</t>
        </is>
      </c>
      <c r="C202" t="inlineStr">
        <is>
          <t>ANÁLISIS DE FRAGMENTACIÓN</t>
        </is>
      </c>
      <c r="D202" t="n">
        <v>206</v>
      </c>
      <c r="E202" t="inlineStr">
        <is>
          <t>ROM (fragmentación post-voladura en el frente de carguío, por análisis de fotos)</t>
        </is>
      </c>
      <c r="F202" t="inlineStr"/>
      <c r="G202" t="inlineStr">
        <is>
          <t>no indicada en el archivo</t>
        </is>
      </c>
      <c r="H202" t="inlineStr">
        <is>
          <t>2025-06-02</t>
        </is>
      </c>
      <c r="I202" t="inlineStr">
        <is>
          <t>2025-06-07</t>
        </is>
      </c>
      <c r="J202" t="inlineStr">
        <is>
          <t>PALA 08</t>
        </is>
      </c>
      <c r="K202" t="n">
        <v>9</v>
      </c>
      <c r="L202" t="inlineStr">
        <is>
          <t>9-NP-3938-29</t>
        </is>
      </c>
      <c r="M202" t="n">
        <v>3</v>
      </c>
      <c r="N202" t="n">
        <v>3938</v>
      </c>
      <c r="O202" t="inlineStr">
        <is>
          <t>A</t>
        </is>
      </c>
      <c r="P202" t="n">
        <v>30</v>
      </c>
      <c r="Q202" t="inlineStr">
        <is>
          <t>Desmonte</t>
        </is>
      </c>
      <c r="R202" t="inlineStr">
        <is>
          <t>TRIM</t>
        </is>
      </c>
      <c r="S202" t="n">
        <v>3</v>
      </c>
      <c r="T202" t="n">
        <v>18.1</v>
      </c>
      <c r="U202" t="n">
        <v>4</v>
      </c>
      <c r="V202" t="n">
        <v>1.452898815691625</v>
      </c>
      <c r="W202" t="n">
        <v>0.037</v>
      </c>
      <c r="X202" t="n">
        <v>0.064</v>
      </c>
      <c r="Y202" t="n">
        <v>3.3</v>
      </c>
      <c r="Z202" t="n">
        <v>7</v>
      </c>
      <c r="AA202" t="n">
        <v>10.6</v>
      </c>
      <c r="AB202" t="n">
        <v>14.3</v>
      </c>
      <c r="AC202" t="n">
        <v>18.2</v>
      </c>
      <c r="AD202" t="n">
        <v>22.5</v>
      </c>
      <c r="AE202" t="n">
        <v>27.8</v>
      </c>
      <c r="AF202" t="n">
        <v>34.7</v>
      </c>
      <c r="AG202" t="n">
        <v>45.6</v>
      </c>
      <c r="AH202" t="n">
        <v>131.9</v>
      </c>
      <c r="AI202" t="inlineStr"/>
      <c r="AJ202" t="n">
        <v>494398.1625</v>
      </c>
      <c r="AK202" t="n">
        <v>152019.7</v>
      </c>
      <c r="AL202" t="n">
        <v>0.3074843547785232</v>
      </c>
      <c r="AM202" t="inlineStr">
        <is>
          <t>-</t>
        </is>
      </c>
      <c r="AN202" t="inlineStr">
        <is>
          <t xml:space="preserve"> - </t>
        </is>
      </c>
      <c r="AO202" t="inlineStr">
        <is>
          <t xml:space="preserve"> - </t>
        </is>
      </c>
      <c r="AP202" t="inlineStr">
        <is>
          <t>9 7/8</t>
        </is>
      </c>
      <c r="AQ202" t="inlineStr">
        <is>
          <t xml:space="preserve"> - </t>
        </is>
      </c>
      <c r="AR202" t="inlineStr">
        <is>
          <t xml:space="preserve"> - </t>
        </is>
      </c>
      <c r="AS202" t="inlineStr">
        <is>
          <t xml:space="preserve"> - </t>
        </is>
      </c>
      <c r="AT202" t="n">
        <v>110</v>
      </c>
      <c r="AU202" t="inlineStr">
        <is>
          <t>Emulgex 70</t>
        </is>
      </c>
      <c r="AV202" t="inlineStr">
        <is>
          <t>00:00:00</t>
        </is>
      </c>
      <c r="AW202" t="n">
        <v>0.6289528593966469</v>
      </c>
      <c r="AX202" t="n">
        <v>0.6452696483079861</v>
      </c>
      <c r="AY202" t="n">
        <v>0.6615599944451203</v>
      </c>
      <c r="AZ202" t="n">
        <v>0.6777900585613494</v>
      </c>
      <c r="BA202" t="n">
        <v>0.6872421586917952</v>
      </c>
      <c r="BB202" t="n">
        <v>7.125984251968505</v>
      </c>
      <c r="BC202" t="n">
        <v>3.845989696052187</v>
      </c>
      <c r="BD202" t="n">
        <v>6.446481511025112</v>
      </c>
      <c r="BE202" t="n">
        <v>8.902605520390987</v>
      </c>
      <c r="BF202" t="n">
        <v>11.39957686387541</v>
      </c>
      <c r="BG202" t="n">
        <v>14.0644273590761</v>
      </c>
      <c r="BH202" t="n">
        <v>17.04303286937276</v>
      </c>
      <c r="BI202" t="n">
        <v>20.56673512711249</v>
      </c>
      <c r="BJ202" t="n">
        <v>25.11470850772239</v>
      </c>
      <c r="BK202" t="n">
        <v>32.13542816339918</v>
      </c>
      <c r="BL202" t="n">
        <v>68.45051419349309</v>
      </c>
      <c r="BM202" t="inlineStr"/>
      <c r="BN202" t="n">
        <v>33</v>
      </c>
      <c r="BO202" t="n">
        <v>182</v>
      </c>
      <c r="BP202" t="n">
        <v>347</v>
      </c>
      <c r="BQ202" t="n">
        <v>456</v>
      </c>
      <c r="BR202" t="n">
        <v>1319</v>
      </c>
      <c r="BS20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3">
      <c r="A203" t="inlineStr">
        <is>
          <t>FRAG</t>
        </is>
      </c>
      <c r="B203" t="inlineStr">
        <is>
          <t>Fragmentación Desmonte 2025.xlsx</t>
        </is>
      </c>
      <c r="C203" t="inlineStr">
        <is>
          <t>ANÁLISIS DE FRAGMENTACIÓN</t>
        </is>
      </c>
      <c r="D203" t="n">
        <v>207</v>
      </c>
      <c r="E203" t="inlineStr">
        <is>
          <t>ROM (fragmentación post-voladura en el frente de carguío, por análisis de fotos)</t>
        </is>
      </c>
      <c r="F203" t="inlineStr"/>
      <c r="G203" t="inlineStr">
        <is>
          <t>no indicada en el archivo</t>
        </is>
      </c>
      <c r="H203" t="inlineStr">
        <is>
          <t>2025-05-30</t>
        </is>
      </c>
      <c r="I203" t="inlineStr">
        <is>
          <t>2025-06-07</t>
        </is>
      </c>
      <c r="J203" t="inlineStr">
        <is>
          <t>PALA 09</t>
        </is>
      </c>
      <c r="K203" t="n">
        <v>9</v>
      </c>
      <c r="L203" t="inlineStr">
        <is>
          <t>9-NP-3938-35</t>
        </is>
      </c>
      <c r="M203" t="n">
        <v>3</v>
      </c>
      <c r="N203" t="n">
        <v>3938</v>
      </c>
      <c r="O203" t="inlineStr">
        <is>
          <t>C</t>
        </is>
      </c>
      <c r="P203" t="n">
        <v>30</v>
      </c>
      <c r="Q203" t="inlineStr">
        <is>
          <t>Desmonte</t>
        </is>
      </c>
      <c r="R203" t="inlineStr">
        <is>
          <t>TRIM</t>
        </is>
      </c>
      <c r="S203" t="n">
        <v>5</v>
      </c>
      <c r="T203" t="n">
        <v>13.7</v>
      </c>
      <c r="U203" t="n">
        <v>3</v>
      </c>
      <c r="V203" t="n">
        <v>1.182868528403998</v>
      </c>
      <c r="W203" t="n">
        <v>0.077</v>
      </c>
      <c r="X203" t="n">
        <v>0.12</v>
      </c>
      <c r="Y203" t="n">
        <v>1.5</v>
      </c>
      <c r="Z203" t="n">
        <v>4.1</v>
      </c>
      <c r="AA203" t="n">
        <v>7.1</v>
      </c>
      <c r="AB203" t="n">
        <v>10.3</v>
      </c>
      <c r="AC203" t="n">
        <v>13.7</v>
      </c>
      <c r="AD203" t="n">
        <v>17.6</v>
      </c>
      <c r="AE203" t="n">
        <v>22.3</v>
      </c>
      <c r="AF203" t="n">
        <v>28.2</v>
      </c>
      <c r="AG203" t="n">
        <v>37.2</v>
      </c>
      <c r="AH203" t="n">
        <v>81</v>
      </c>
      <c r="AI203" t="inlineStr"/>
      <c r="AJ203" t="n">
        <v>168869.6625</v>
      </c>
      <c r="AK203" t="n">
        <v>38496</v>
      </c>
      <c r="AL203" t="n">
        <v>0.2279627934946574</v>
      </c>
      <c r="AM203" t="inlineStr">
        <is>
          <t>-</t>
        </is>
      </c>
      <c r="AN203" t="inlineStr">
        <is>
          <t xml:space="preserve"> - </t>
        </is>
      </c>
      <c r="AO203" t="inlineStr">
        <is>
          <t xml:space="preserve"> - </t>
        </is>
      </c>
      <c r="AP203" t="inlineStr">
        <is>
          <t>9 7/8</t>
        </is>
      </c>
      <c r="AQ203" t="inlineStr">
        <is>
          <t xml:space="preserve"> - </t>
        </is>
      </c>
      <c r="AR203" t="inlineStr">
        <is>
          <t xml:space="preserve"> - </t>
        </is>
      </c>
      <c r="AS203" t="inlineStr">
        <is>
          <t xml:space="preserve"> - </t>
        </is>
      </c>
      <c r="AT203" t="n">
        <v>117</v>
      </c>
      <c r="AU203" t="inlineStr">
        <is>
          <t>Emulgex 70</t>
        </is>
      </c>
      <c r="AV203" t="inlineStr">
        <is>
          <t>59AR/41D2</t>
        </is>
      </c>
      <c r="AW203" t="n">
        <v>0.6352581404337867</v>
      </c>
      <c r="AX203" t="n">
        <v>0.665809200067995</v>
      </c>
      <c r="AY203" t="n">
        <v>0.6961157319900546</v>
      </c>
      <c r="AZ203" t="n">
        <v>0.7259429454977737</v>
      </c>
      <c r="BA203" t="n">
        <v>0.7430714696179881</v>
      </c>
      <c r="BB203" t="n">
        <v>5.393700787401574</v>
      </c>
      <c r="BC203" t="n">
        <v>2.04404295950893</v>
      </c>
      <c r="BD203" t="n">
        <v>3.85489138774354</v>
      </c>
      <c r="BE203" t="n">
        <v>5.730740055795118</v>
      </c>
      <c r="BF203" t="n">
        <v>7.764143599532568</v>
      </c>
      <c r="BG203" t="n">
        <v>10.04972124120074</v>
      </c>
      <c r="BH203" t="n">
        <v>12.7239929308088</v>
      </c>
      <c r="BI203" t="n">
        <v>16.02780709344064</v>
      </c>
      <c r="BJ203" t="n">
        <v>20.485354027656</v>
      </c>
      <c r="BK203" t="n">
        <v>27.72928123897569</v>
      </c>
      <c r="BL203" t="n">
        <v>70.19369585673952</v>
      </c>
      <c r="BM203" t="inlineStr"/>
      <c r="BN203" t="n">
        <v>15</v>
      </c>
      <c r="BO203" t="n">
        <v>137</v>
      </c>
      <c r="BP203" t="n">
        <v>282</v>
      </c>
      <c r="BQ203" t="n">
        <v>372</v>
      </c>
      <c r="BR203" t="n">
        <v>810</v>
      </c>
      <c r="BS20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4">
      <c r="A204" t="inlineStr">
        <is>
          <t>FRAG</t>
        </is>
      </c>
      <c r="B204" t="inlineStr">
        <is>
          <t>Fragmentación Desmonte 2025.xlsx</t>
        </is>
      </c>
      <c r="C204" t="inlineStr">
        <is>
          <t>ANÁLISIS DE FRAGMENTACIÓN</t>
        </is>
      </c>
      <c r="D204" t="n">
        <v>208</v>
      </c>
      <c r="E204" t="inlineStr">
        <is>
          <t>ROM (fragmentación post-voladura en el frente de carguío, por análisis de fotos)</t>
        </is>
      </c>
      <c r="F204" t="inlineStr"/>
      <c r="G204" t="inlineStr">
        <is>
          <t>no indicada en el archivo</t>
        </is>
      </c>
      <c r="H204" t="inlineStr">
        <is>
          <t>2025-03-14</t>
        </is>
      </c>
      <c r="I204" t="inlineStr">
        <is>
          <t>2025-06-08</t>
        </is>
      </c>
      <c r="J204" t="inlineStr">
        <is>
          <t>PALA 07</t>
        </is>
      </c>
      <c r="K204" t="n">
        <v>9</v>
      </c>
      <c r="L204" t="inlineStr">
        <is>
          <t>9-NP-3923-01</t>
        </is>
      </c>
      <c r="M204" t="n">
        <v>11</v>
      </c>
      <c r="N204" t="n">
        <v>3923</v>
      </c>
      <c r="O204" t="inlineStr">
        <is>
          <t>A</t>
        </is>
      </c>
      <c r="P204" t="n">
        <v>30</v>
      </c>
      <c r="Q204" t="inlineStr">
        <is>
          <t>Desmonte</t>
        </is>
      </c>
      <c r="R204" t="inlineStr">
        <is>
          <t>Producción</t>
        </is>
      </c>
      <c r="S204" t="n">
        <v>6</v>
      </c>
      <c r="T204" t="n">
        <v>11.1</v>
      </c>
      <c r="U204" t="n">
        <v>2</v>
      </c>
      <c r="V204" t="n">
        <v>0.7685191825236579</v>
      </c>
      <c r="W204" t="n">
        <v>0.113</v>
      </c>
      <c r="X204" t="n">
        <v>0.166</v>
      </c>
      <c r="Y204" t="n">
        <v>0.7</v>
      </c>
      <c r="Z204" t="n">
        <v>2.7</v>
      </c>
      <c r="AA204" t="n">
        <v>5.1</v>
      </c>
      <c r="AB204" t="n">
        <v>8</v>
      </c>
      <c r="AC204" t="n">
        <v>11.2</v>
      </c>
      <c r="AD204" t="n">
        <v>14.9</v>
      </c>
      <c r="AE204" t="n">
        <v>19.3</v>
      </c>
      <c r="AF204" t="n">
        <v>25</v>
      </c>
      <c r="AG204" t="n">
        <v>33.7</v>
      </c>
      <c r="AH204" t="n">
        <v>70.3</v>
      </c>
      <c r="AI204" t="inlineStr"/>
      <c r="AJ204" t="n">
        <v>440632.5</v>
      </c>
      <c r="AK204" t="n">
        <v>312708.7</v>
      </c>
      <c r="AL204" t="n">
        <v>0.7096814238622889</v>
      </c>
      <c r="AM204" t="inlineStr">
        <is>
          <t>2.1929155997344725</t>
        </is>
      </c>
      <c r="AN204" t="inlineStr">
        <is>
          <t>16.5</t>
        </is>
      </c>
      <c r="AO204" t="inlineStr">
        <is>
          <t>6.5</t>
        </is>
      </c>
      <c r="AP204" t="inlineStr">
        <is>
          <t>12 1/4</t>
        </is>
      </c>
      <c r="AQ204" t="inlineStr">
        <is>
          <t>6</t>
        </is>
      </c>
      <c r="AR204" t="inlineStr">
        <is>
          <t>7</t>
        </is>
      </c>
      <c r="AS204" t="inlineStr">
        <is>
          <t>1.5</t>
        </is>
      </c>
      <c r="AT204" t="n">
        <v>343</v>
      </c>
      <c r="AU204" t="inlineStr">
        <is>
          <t>Vertex 70</t>
        </is>
      </c>
      <c r="AV204" t="inlineStr">
        <is>
          <t>46D2/54AR</t>
        </is>
      </c>
      <c r="AW204" t="n">
        <v>0.662759155018381</v>
      </c>
      <c r="AX204" t="n">
        <v>0.7046237653575443</v>
      </c>
      <c r="AY204" t="n">
        <v>0.7454393324753659</v>
      </c>
      <c r="AZ204" t="n">
        <v>0.7845574780533929</v>
      </c>
      <c r="BA204" t="n">
        <v>0.8063955769712358</v>
      </c>
      <c r="BB204" t="n">
        <v>4.370078740157481</v>
      </c>
      <c r="BC204" t="n">
        <v>0.5937831027710728</v>
      </c>
      <c r="BD204" t="n">
        <v>1.576516482745158</v>
      </c>
      <c r="BE204" t="n">
        <v>2.902274150125869</v>
      </c>
      <c r="BF204" t="n">
        <v>4.631549438959365</v>
      </c>
      <c r="BG204" t="n">
        <v>6.889766135019334</v>
      </c>
      <c r="BH204" t="n">
        <v>9.906507219134571</v>
      </c>
      <c r="BI204" t="n">
        <v>14.13258795076185</v>
      </c>
      <c r="BJ204" t="n">
        <v>20.61808127574531</v>
      </c>
      <c r="BK204" t="n">
        <v>32.85786729877834</v>
      </c>
      <c r="BL204" t="n">
        <v>137.2370300592881</v>
      </c>
      <c r="BM204" t="inlineStr"/>
      <c r="BN204" t="n">
        <v>7</v>
      </c>
      <c r="BO204" t="n">
        <v>112</v>
      </c>
      <c r="BP204" t="n">
        <v>250</v>
      </c>
      <c r="BQ204" t="n">
        <v>337</v>
      </c>
      <c r="BR204" t="n">
        <v>703</v>
      </c>
      <c r="BS20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5">
      <c r="A205" t="inlineStr">
        <is>
          <t>FRAG</t>
        </is>
      </c>
      <c r="B205" t="inlineStr">
        <is>
          <t>Fragmentación Desmonte 2025.xlsx</t>
        </is>
      </c>
      <c r="C205" t="inlineStr">
        <is>
          <t>ANÁLISIS DE FRAGMENTACIÓN</t>
        </is>
      </c>
      <c r="D205" t="n">
        <v>209</v>
      </c>
      <c r="E205" t="inlineStr">
        <is>
          <t>ROM (fragmentación post-voladura en el frente de carguío, por análisis de fotos)</t>
        </is>
      </c>
      <c r="F205" t="inlineStr"/>
      <c r="G205" t="inlineStr">
        <is>
          <t>no indicada en el archivo</t>
        </is>
      </c>
      <c r="H205" t="inlineStr">
        <is>
          <t>2025-06-02</t>
        </is>
      </c>
      <c r="I205" t="inlineStr">
        <is>
          <t>2025-06-08</t>
        </is>
      </c>
      <c r="J205" t="inlineStr">
        <is>
          <t>PALA 08</t>
        </is>
      </c>
      <c r="K205" t="n">
        <v>9</v>
      </c>
      <c r="L205" t="inlineStr">
        <is>
          <t>9-NP-3938-29</t>
        </is>
      </c>
      <c r="M205" t="n">
        <v>3</v>
      </c>
      <c r="N205" t="n">
        <v>3938</v>
      </c>
      <c r="O205" t="inlineStr">
        <is>
          <t>A</t>
        </is>
      </c>
      <c r="P205" t="n">
        <v>30</v>
      </c>
      <c r="Q205" t="inlineStr">
        <is>
          <t>Desmonte</t>
        </is>
      </c>
      <c r="R205" t="inlineStr">
        <is>
          <t>TRIM</t>
        </is>
      </c>
      <c r="S205" t="n">
        <v>4</v>
      </c>
      <c r="T205" t="n">
        <v>12.7</v>
      </c>
      <c r="U205" t="n">
        <v>3</v>
      </c>
      <c r="V205" t="n">
        <v>1.12627840096312</v>
      </c>
      <c r="W205" t="n">
        <v>0.091</v>
      </c>
      <c r="X205" t="n">
        <v>0.138</v>
      </c>
      <c r="Y205" t="n">
        <v>1.1</v>
      </c>
      <c r="Z205" t="n">
        <v>3.5</v>
      </c>
      <c r="AA205" t="n">
        <v>6.2</v>
      </c>
      <c r="AB205" t="n">
        <v>9.300000000000001</v>
      </c>
      <c r="AC205" t="n">
        <v>12.7</v>
      </c>
      <c r="AD205" t="n">
        <v>16.7</v>
      </c>
      <c r="AE205" t="n">
        <v>21.4</v>
      </c>
      <c r="AF205" t="n">
        <v>27.6</v>
      </c>
      <c r="AG205" t="n">
        <v>37.1</v>
      </c>
      <c r="AH205" t="n">
        <v>84.40000000000001</v>
      </c>
      <c r="AI205" t="inlineStr"/>
      <c r="AJ205" t="n">
        <v>494398.1625</v>
      </c>
      <c r="AK205" t="n">
        <v>152019.7</v>
      </c>
      <c r="AL205" t="n">
        <v>0.3074843547785232</v>
      </c>
      <c r="AM205" t="inlineStr">
        <is>
          <t>-</t>
        </is>
      </c>
      <c r="AN205" t="inlineStr">
        <is>
          <t xml:space="preserve"> - </t>
        </is>
      </c>
      <c r="AO205" t="inlineStr">
        <is>
          <t xml:space="preserve"> - </t>
        </is>
      </c>
      <c r="AP205" t="inlineStr">
        <is>
          <t>9 7/8</t>
        </is>
      </c>
      <c r="AQ205" t="inlineStr">
        <is>
          <t xml:space="preserve"> - </t>
        </is>
      </c>
      <c r="AR205" t="inlineStr">
        <is>
          <t xml:space="preserve"> - </t>
        </is>
      </c>
      <c r="AS205" t="inlineStr">
        <is>
          <t xml:space="preserve"> - </t>
        </is>
      </c>
      <c r="AT205" t="n">
        <v>110</v>
      </c>
      <c r="AU205" t="inlineStr">
        <is>
          <t>Emulgex 70</t>
        </is>
      </c>
      <c r="AV205" t="inlineStr">
        <is>
          <t>00:00:00</t>
        </is>
      </c>
      <c r="AW205" t="n">
        <v>0.6382173450971848</v>
      </c>
      <c r="AX205" t="n">
        <v>0.6733178991728748</v>
      </c>
      <c r="AY205" t="n">
        <v>0.7080194535230667</v>
      </c>
      <c r="AZ205" t="n">
        <v>0.7419600870217574</v>
      </c>
      <c r="BA205" t="n">
        <v>0.7613123659893823</v>
      </c>
      <c r="BB205" t="n">
        <v>5</v>
      </c>
      <c r="BC205" t="n">
        <v>1.722102596457527</v>
      </c>
      <c r="BD205" t="n">
        <v>3.35293260301298</v>
      </c>
      <c r="BE205" t="n">
        <v>5.084819546599981</v>
      </c>
      <c r="BF205" t="n">
        <v>6.994954276335574</v>
      </c>
      <c r="BG205" t="n">
        <v>9.172249098678307</v>
      </c>
      <c r="BH205" t="n">
        <v>11.75151458901761</v>
      </c>
      <c r="BI205" t="n">
        <v>14.9755110326513</v>
      </c>
      <c r="BJ205" t="n">
        <v>19.37785142929702</v>
      </c>
      <c r="BK205" t="n">
        <v>26.63224425184734</v>
      </c>
      <c r="BL205" t="n">
        <v>70.63731072667653</v>
      </c>
      <c r="BM205" t="inlineStr"/>
      <c r="BN205" t="n">
        <v>11</v>
      </c>
      <c r="BO205" t="n">
        <v>127</v>
      </c>
      <c r="BP205" t="n">
        <v>276</v>
      </c>
      <c r="BQ205" t="n">
        <v>371</v>
      </c>
      <c r="BR205" t="n">
        <v>844</v>
      </c>
      <c r="BS20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6">
      <c r="A206" t="inlineStr">
        <is>
          <t>FRAG</t>
        </is>
      </c>
      <c r="B206" t="inlineStr">
        <is>
          <t>Fragmentación Desmonte 2025.xlsx</t>
        </is>
      </c>
      <c r="C206" t="inlineStr">
        <is>
          <t>ANÁLISIS DE FRAGMENTACIÓN</t>
        </is>
      </c>
      <c r="D206" t="n">
        <v>210</v>
      </c>
      <c r="E206" t="inlineStr">
        <is>
          <t>ROM (fragmentación post-voladura en el frente de carguío, por análisis de fotos)</t>
        </is>
      </c>
      <c r="F206" t="inlineStr"/>
      <c r="G206" t="inlineStr">
        <is>
          <t>no indicada en el archivo</t>
        </is>
      </c>
      <c r="H206" t="inlineStr">
        <is>
          <t>2025-06-09</t>
        </is>
      </c>
      <c r="I206" t="inlineStr">
        <is>
          <t>2025-06-10</t>
        </is>
      </c>
      <c r="J206" t="inlineStr">
        <is>
          <t>PALA 11</t>
        </is>
      </c>
      <c r="K206" t="n">
        <v>10</v>
      </c>
      <c r="L206" t="inlineStr">
        <is>
          <t>10-NP-4403-23</t>
        </is>
      </c>
      <c r="M206" t="n">
        <v>6</v>
      </c>
      <c r="N206" t="n">
        <v>4403</v>
      </c>
      <c r="O206" t="inlineStr">
        <is>
          <t>C</t>
        </is>
      </c>
      <c r="P206" t="n">
        <v>30</v>
      </c>
      <c r="Q206" t="inlineStr">
        <is>
          <t>Desmonte</t>
        </is>
      </c>
      <c r="R206" t="inlineStr">
        <is>
          <t>Producción</t>
        </is>
      </c>
      <c r="S206" t="n">
        <v>6</v>
      </c>
      <c r="T206" t="n">
        <v>13.2</v>
      </c>
      <c r="U206" t="n">
        <v>3</v>
      </c>
      <c r="V206" t="n">
        <v>1.199381329277703</v>
      </c>
      <c r="W206" t="n">
        <v>0.056</v>
      </c>
      <c r="X206" t="n">
        <v>0.095</v>
      </c>
      <c r="Y206" t="n">
        <v>2.1</v>
      </c>
      <c r="Z206" t="n">
        <v>4.8</v>
      </c>
      <c r="AA206" t="n">
        <v>7.5</v>
      </c>
      <c r="AB206" t="n">
        <v>10.3</v>
      </c>
      <c r="AC206" t="n">
        <v>13.5</v>
      </c>
      <c r="AD206" t="n">
        <v>16.5</v>
      </c>
      <c r="AE206" t="n">
        <v>20.3</v>
      </c>
      <c r="AF206" t="n">
        <v>25.3</v>
      </c>
      <c r="AG206" t="n">
        <v>32.8</v>
      </c>
      <c r="AH206" t="n">
        <v>77.40000000000001</v>
      </c>
      <c r="AI206" t="inlineStr"/>
      <c r="AJ206" t="n">
        <v>736890</v>
      </c>
      <c r="AK206" t="n">
        <v>243706</v>
      </c>
      <c r="AL206" t="n">
        <v>0.3307223601894448</v>
      </c>
      <c r="AM206" t="inlineStr">
        <is>
          <t>1.0219320929853843</t>
        </is>
      </c>
      <c r="AN206" t="inlineStr">
        <is>
          <t>17</t>
        </is>
      </c>
      <c r="AO206" t="inlineStr">
        <is>
          <t>7</t>
        </is>
      </c>
      <c r="AP206" t="inlineStr">
        <is>
          <t>12 1/4</t>
        </is>
      </c>
      <c r="AQ206" t="inlineStr">
        <is>
          <t>8.5</t>
        </is>
      </c>
      <c r="AR206" t="inlineStr">
        <is>
          <t>9.8</t>
        </is>
      </c>
      <c r="AS206" t="inlineStr">
        <is>
          <t>2</t>
        </is>
      </c>
      <c r="AT206" t="n">
        <v>249</v>
      </c>
      <c r="AU206" t="inlineStr">
        <is>
          <t>Vertex 70</t>
        </is>
      </c>
      <c r="AV206" t="inlineStr">
        <is>
          <t>50AR/50D2 &amp; 100AR</t>
        </is>
      </c>
      <c r="AW206" t="n">
        <v>0.6341199915314142</v>
      </c>
      <c r="AX206" t="n">
        <v>0.6583218951481824</v>
      </c>
      <c r="AY206" t="n">
        <v>0.6824057649426292</v>
      </c>
      <c r="AZ206" t="n">
        <v>0.706257107868986</v>
      </c>
      <c r="BA206" t="n">
        <v>0.720054113609474</v>
      </c>
      <c r="BB206" t="n">
        <v>5.196850393700787</v>
      </c>
      <c r="BC206" t="n">
        <v>2.02170940562889</v>
      </c>
      <c r="BD206" t="n">
        <v>3.779614745778916</v>
      </c>
      <c r="BE206" t="n">
        <v>5.588243330651872</v>
      </c>
      <c r="BF206" t="n">
        <v>7.539497925001568</v>
      </c>
      <c r="BG206" t="n">
        <v>9.724338325753903</v>
      </c>
      <c r="BH206" t="n">
        <v>12.2720944533348</v>
      </c>
      <c r="BI206" t="n">
        <v>15.40952134810226</v>
      </c>
      <c r="BJ206" t="n">
        <v>19.62868899222103</v>
      </c>
      <c r="BK206" t="n">
        <v>26.45915913694247</v>
      </c>
      <c r="BL206" t="n">
        <v>66.12751100336405</v>
      </c>
      <c r="BM206" t="inlineStr"/>
      <c r="BN206" t="n">
        <v>21</v>
      </c>
      <c r="BO206" t="n">
        <v>135</v>
      </c>
      <c r="BP206" t="n">
        <v>253</v>
      </c>
      <c r="BQ206" t="n">
        <v>328</v>
      </c>
      <c r="BR206" t="n">
        <v>774</v>
      </c>
      <c r="BS20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7">
      <c r="A207" t="inlineStr">
        <is>
          <t>FRAG</t>
        </is>
      </c>
      <c r="B207" t="inlineStr">
        <is>
          <t>Fragmentación Desmonte 2025.xlsx</t>
        </is>
      </c>
      <c r="C207" t="inlineStr">
        <is>
          <t>ANÁLISIS DE FRAGMENTACIÓN</t>
        </is>
      </c>
      <c r="D207" t="n">
        <v>211</v>
      </c>
      <c r="E207" t="inlineStr">
        <is>
          <t>ROM (fragmentación post-voladura en el frente de carguío, por análisis de fotos)</t>
        </is>
      </c>
      <c r="F207" t="inlineStr"/>
      <c r="G207" t="inlineStr">
        <is>
          <t>no indicada en el archivo</t>
        </is>
      </c>
      <c r="H207" t="inlineStr">
        <is>
          <t>2025-06-09</t>
        </is>
      </c>
      <c r="I207" t="inlineStr">
        <is>
          <t>2025-06-10</t>
        </is>
      </c>
      <c r="J207" t="inlineStr">
        <is>
          <t>PALA 11</t>
        </is>
      </c>
      <c r="K207" t="n">
        <v>10</v>
      </c>
      <c r="L207" t="inlineStr">
        <is>
          <t>10-NP-4403-23</t>
        </is>
      </c>
      <c r="M207" t="n">
        <v>4</v>
      </c>
      <c r="N207" t="n">
        <v>4403</v>
      </c>
      <c r="O207" t="inlineStr">
        <is>
          <t>A</t>
        </is>
      </c>
      <c r="P207" t="n">
        <v>30</v>
      </c>
      <c r="Q207" t="inlineStr">
        <is>
          <t>Desmonte</t>
        </is>
      </c>
      <c r="R207" t="inlineStr">
        <is>
          <t>Producción</t>
        </is>
      </c>
      <c r="S207" t="n">
        <v>5</v>
      </c>
      <c r="T207" t="n">
        <v>12.2</v>
      </c>
      <c r="U207" t="n">
        <v>3</v>
      </c>
      <c r="V207" t="n">
        <v>1.252861808736411</v>
      </c>
      <c r="W207" t="n">
        <v>0.083</v>
      </c>
      <c r="X207" t="n">
        <v>0.129</v>
      </c>
      <c r="Y207" t="n">
        <v>1.3</v>
      </c>
      <c r="Z207" t="n">
        <v>3.7</v>
      </c>
      <c r="AA207" t="n">
        <v>6.4</v>
      </c>
      <c r="AB207" t="n">
        <v>9.199999999999999</v>
      </c>
      <c r="AC207" t="n">
        <v>12.3</v>
      </c>
      <c r="AD207" t="n">
        <v>15.7</v>
      </c>
      <c r="AE207" t="n">
        <v>19.6</v>
      </c>
      <c r="AF207" t="n">
        <v>24.7</v>
      </c>
      <c r="AG207" t="n">
        <v>32.1</v>
      </c>
      <c r="AH207" t="n">
        <v>64.40000000000001</v>
      </c>
      <c r="AI207" t="inlineStr"/>
      <c r="AJ207" t="n">
        <v>736890</v>
      </c>
      <c r="AK207" t="n">
        <v>243706</v>
      </c>
      <c r="AL207" t="n">
        <v>0.3307223601894448</v>
      </c>
      <c r="AM207" t="inlineStr">
        <is>
          <t>1.0219320929853843</t>
        </is>
      </c>
      <c r="AN207" t="inlineStr">
        <is>
          <t>17</t>
        </is>
      </c>
      <c r="AO207" t="inlineStr">
        <is>
          <t>7</t>
        </is>
      </c>
      <c r="AP207" t="inlineStr">
        <is>
          <t>12 1/4</t>
        </is>
      </c>
      <c r="AQ207" t="inlineStr">
        <is>
          <t>8.5</t>
        </is>
      </c>
      <c r="AR207" t="inlineStr">
        <is>
          <t>9.8</t>
        </is>
      </c>
      <c r="AS207" t="inlineStr">
        <is>
          <t>2</t>
        </is>
      </c>
      <c r="AT207" t="n">
        <v>249</v>
      </c>
      <c r="AU207" t="inlineStr">
        <is>
          <t>Vertex 70</t>
        </is>
      </c>
      <c r="AV207" t="inlineStr">
        <is>
          <t>50AR/50D2 &amp; 100AR</t>
        </is>
      </c>
      <c r="AW207" t="n">
        <v>0.6327653264275197</v>
      </c>
      <c r="AX207" t="n">
        <v>0.6656121509241556</v>
      </c>
      <c r="AY207" t="n">
        <v>0.6981778979327056</v>
      </c>
      <c r="AZ207" t="n">
        <v>0.7301705706264985</v>
      </c>
      <c r="BA207" t="n">
        <v>0.7484985588127242</v>
      </c>
      <c r="BB207" t="n">
        <v>4.803149606299212</v>
      </c>
      <c r="BC207" t="n">
        <v>2.024361520744411</v>
      </c>
      <c r="BD207" t="n">
        <v>3.684831923233858</v>
      </c>
      <c r="BE207" t="n">
        <v>5.357918181136551</v>
      </c>
      <c r="BF207" t="n">
        <v>7.136923880449321</v>
      </c>
      <c r="BG207" t="n">
        <v>9.105652471698908</v>
      </c>
      <c r="BH207" t="n">
        <v>11.37773580452038</v>
      </c>
      <c r="BI207" t="n">
        <v>14.14835197816219</v>
      </c>
      <c r="BJ207" t="n">
        <v>17.83698888037218</v>
      </c>
      <c r="BK207" t="n">
        <v>23.73944044579342</v>
      </c>
      <c r="BL207" t="n">
        <v>57.05524872671121</v>
      </c>
      <c r="BM207" t="inlineStr"/>
      <c r="BN207" t="n">
        <v>13</v>
      </c>
      <c r="BO207" t="n">
        <v>123</v>
      </c>
      <c r="BP207" t="n">
        <v>247</v>
      </c>
      <c r="BQ207" t="n">
        <v>321</v>
      </c>
      <c r="BR207" t="n">
        <v>644</v>
      </c>
      <c r="BS20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8">
      <c r="A208" t="inlineStr">
        <is>
          <t>FRAG</t>
        </is>
      </c>
      <c r="B208" t="inlineStr">
        <is>
          <t>Fragmentación Desmonte 2025.xlsx</t>
        </is>
      </c>
      <c r="C208" t="inlineStr">
        <is>
          <t>ANÁLISIS DE FRAGMENTACIÓN</t>
        </is>
      </c>
      <c r="D208" t="n">
        <v>212</v>
      </c>
      <c r="E208" t="inlineStr">
        <is>
          <t>ROM (fragmentación post-voladura en el frente de carguío, por análisis de fotos)</t>
        </is>
      </c>
      <c r="F208" t="inlineStr"/>
      <c r="G208" t="inlineStr">
        <is>
          <t>no indicada en el archivo</t>
        </is>
      </c>
      <c r="H208" t="inlineStr">
        <is>
          <t>2025-06-09</t>
        </is>
      </c>
      <c r="I208" t="inlineStr">
        <is>
          <t>2025-06-11</t>
        </is>
      </c>
      <c r="J208" t="inlineStr">
        <is>
          <t>PALA 11</t>
        </is>
      </c>
      <c r="K208" t="n">
        <v>10</v>
      </c>
      <c r="L208" t="inlineStr">
        <is>
          <t>10-NP-4403-23</t>
        </is>
      </c>
      <c r="M208" t="n">
        <v>4</v>
      </c>
      <c r="N208" t="n">
        <v>4403</v>
      </c>
      <c r="O208" t="inlineStr">
        <is>
          <t>A</t>
        </is>
      </c>
      <c r="P208" t="n">
        <v>30</v>
      </c>
      <c r="Q208" t="inlineStr">
        <is>
          <t>Desmonte</t>
        </is>
      </c>
      <c r="R208" t="inlineStr">
        <is>
          <t>Producción</t>
        </is>
      </c>
      <c r="S208" t="n">
        <v>6</v>
      </c>
      <c r="T208" t="n">
        <v>8.300000000000001</v>
      </c>
      <c r="U208" t="n">
        <v>3</v>
      </c>
      <c r="V208" t="n">
        <v>0.9221405547418996</v>
      </c>
      <c r="W208" t="n">
        <v>0.106</v>
      </c>
      <c r="X208" t="n">
        <v>0.175</v>
      </c>
      <c r="Y208" t="n">
        <v>0.9</v>
      </c>
      <c r="Z208" t="n">
        <v>2.3</v>
      </c>
      <c r="AA208" t="n">
        <v>4.1</v>
      </c>
      <c r="AB208" t="n">
        <v>6</v>
      </c>
      <c r="AC208" t="n">
        <v>8.300000000000001</v>
      </c>
      <c r="AD208" t="n">
        <v>11.1</v>
      </c>
      <c r="AE208" t="n">
        <v>14.6</v>
      </c>
      <c r="AF208" t="n">
        <v>19.5</v>
      </c>
      <c r="AG208" t="n">
        <v>27.9</v>
      </c>
      <c r="AH208" t="n">
        <v>105.6</v>
      </c>
      <c r="AI208" t="inlineStr"/>
      <c r="AJ208" t="n">
        <v>736890</v>
      </c>
      <c r="AK208" t="n">
        <v>243706</v>
      </c>
      <c r="AL208" t="n">
        <v>0.3307223601894448</v>
      </c>
      <c r="AM208" t="inlineStr">
        <is>
          <t>1.0219320929853843</t>
        </is>
      </c>
      <c r="AN208" t="inlineStr">
        <is>
          <t>17</t>
        </is>
      </c>
      <c r="AO208" t="inlineStr">
        <is>
          <t>7</t>
        </is>
      </c>
      <c r="AP208" t="inlineStr">
        <is>
          <t>12 1/4</t>
        </is>
      </c>
      <c r="AQ208" t="inlineStr">
        <is>
          <t>8.5</t>
        </is>
      </c>
      <c r="AR208" t="inlineStr">
        <is>
          <t>9.8</t>
        </is>
      </c>
      <c r="AS208" t="inlineStr">
        <is>
          <t>2</t>
        </is>
      </c>
      <c r="AT208" t="n">
        <v>249</v>
      </c>
      <c r="AU208" t="inlineStr">
        <is>
          <t>Vertex 70</t>
        </is>
      </c>
      <c r="AV208" t="inlineStr">
        <is>
          <t>50AR/50D2 &amp; 100AR</t>
        </is>
      </c>
      <c r="AW208" t="n">
        <v>0.6527156827069204</v>
      </c>
      <c r="AX208" t="n">
        <v>0.6969949208960693</v>
      </c>
      <c r="AY208" t="n">
        <v>0.7402381285645575</v>
      </c>
      <c r="AZ208" t="n">
        <v>0.7816885722358865</v>
      </c>
      <c r="BA208" t="n">
        <v>0.8048017828757537</v>
      </c>
      <c r="BB208" t="n">
        <v>3.267716535433072</v>
      </c>
      <c r="BC208" t="n">
        <v>0.7231649504731654</v>
      </c>
      <c r="BD208" t="n">
        <v>1.631778497744169</v>
      </c>
      <c r="BE208" t="n">
        <v>2.71361077969491</v>
      </c>
      <c r="BF208" t="n">
        <v>4.006076531665452</v>
      </c>
      <c r="BG208" t="n">
        <v>5.577812469488654</v>
      </c>
      <c r="BH208" t="n">
        <v>7.549283394263601</v>
      </c>
      <c r="BI208" t="n">
        <v>10.15082891456773</v>
      </c>
      <c r="BJ208" t="n">
        <v>13.90600956475787</v>
      </c>
      <c r="BK208" t="n">
        <v>20.50580752006874</v>
      </c>
      <c r="BL208" t="n">
        <v>67.49678579193885</v>
      </c>
      <c r="BM208" t="inlineStr"/>
      <c r="BN208" t="n">
        <v>9</v>
      </c>
      <c r="BO208" t="n">
        <v>83</v>
      </c>
      <c r="BP208" t="n">
        <v>195</v>
      </c>
      <c r="BQ208" t="n">
        <v>279</v>
      </c>
      <c r="BR208" t="n">
        <v>1056</v>
      </c>
      <c r="BS20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09">
      <c r="A209" t="inlineStr">
        <is>
          <t>FRAG</t>
        </is>
      </c>
      <c r="B209" t="inlineStr">
        <is>
          <t>Fragmentación Desmonte 2025.xlsx</t>
        </is>
      </c>
      <c r="C209" t="inlineStr">
        <is>
          <t>ANÁLISIS DE FRAGMENTACIÓN</t>
        </is>
      </c>
      <c r="D209" t="n">
        <v>213</v>
      </c>
      <c r="E209" t="inlineStr">
        <is>
          <t>ROM (fragmentación post-voladura en el frente de carguío, por análisis de fotos)</t>
        </is>
      </c>
      <c r="F209" t="inlineStr"/>
      <c r="G209" t="inlineStr">
        <is>
          <t>no indicada en el archivo</t>
        </is>
      </c>
      <c r="H209" t="inlineStr">
        <is>
          <t>2025-06-09</t>
        </is>
      </c>
      <c r="I209" t="inlineStr">
        <is>
          <t>2025-06-11</t>
        </is>
      </c>
      <c r="J209" t="inlineStr">
        <is>
          <t>PALA 11</t>
        </is>
      </c>
      <c r="K209" t="n">
        <v>10</v>
      </c>
      <c r="L209" t="inlineStr">
        <is>
          <t>10-NP-4403-23</t>
        </is>
      </c>
      <c r="M209" t="n">
        <v>6</v>
      </c>
      <c r="N209" t="n">
        <v>4403</v>
      </c>
      <c r="O209" t="inlineStr">
        <is>
          <t>C</t>
        </is>
      </c>
      <c r="P209" t="n">
        <v>30</v>
      </c>
      <c r="Q209" t="inlineStr">
        <is>
          <t>Desmonte</t>
        </is>
      </c>
      <c r="R209" t="inlineStr">
        <is>
          <t>Producción</t>
        </is>
      </c>
      <c r="S209" t="n">
        <v>5</v>
      </c>
      <c r="T209" t="n">
        <v>6.6</v>
      </c>
      <c r="U209" t="n">
        <v>3</v>
      </c>
      <c r="V209" t="n">
        <v>0.9337824590725592</v>
      </c>
      <c r="W209" t="n">
        <v>0.12</v>
      </c>
      <c r="X209" t="n">
        <v>0.201</v>
      </c>
      <c r="Y209" t="n">
        <v>0.7</v>
      </c>
      <c r="Z209" t="n">
        <v>1.9</v>
      </c>
      <c r="AA209" t="n">
        <v>3.3</v>
      </c>
      <c r="AB209" t="n">
        <v>4.9</v>
      </c>
      <c r="AC209" t="n">
        <v>6.7</v>
      </c>
      <c r="AD209" t="n">
        <v>8.800000000000001</v>
      </c>
      <c r="AE209" t="n">
        <v>11.6</v>
      </c>
      <c r="AF209" t="n">
        <v>15.4</v>
      </c>
      <c r="AG209" t="n">
        <v>21.9</v>
      </c>
      <c r="AH209" t="n">
        <v>81</v>
      </c>
      <c r="AI209" t="inlineStr"/>
      <c r="AJ209" t="n">
        <v>736890</v>
      </c>
      <c r="AK209" t="n">
        <v>243706</v>
      </c>
      <c r="AL209" t="n">
        <v>0.3307223601894448</v>
      </c>
      <c r="AM209" t="inlineStr">
        <is>
          <t>1.0219320929853843</t>
        </is>
      </c>
      <c r="AN209" t="inlineStr">
        <is>
          <t>17</t>
        </is>
      </c>
      <c r="AO209" t="inlineStr">
        <is>
          <t>7</t>
        </is>
      </c>
      <c r="AP209" t="inlineStr">
        <is>
          <t>12 1/4</t>
        </is>
      </c>
      <c r="AQ209" t="inlineStr">
        <is>
          <t>8.5</t>
        </is>
      </c>
      <c r="AR209" t="inlineStr">
        <is>
          <t>9.8</t>
        </is>
      </c>
      <c r="AS209" t="inlineStr">
        <is>
          <t>2</t>
        </is>
      </c>
      <c r="AT209" t="n">
        <v>249</v>
      </c>
      <c r="AU209" t="inlineStr">
        <is>
          <t>Vertex 70</t>
        </is>
      </c>
      <c r="AV209" t="inlineStr">
        <is>
          <t>50AR/50D2 &amp; 100AR</t>
        </is>
      </c>
      <c r="AW209" t="n">
        <v>0.6548456891970056</v>
      </c>
      <c r="AX209" t="n">
        <v>0.7055926347427977</v>
      </c>
      <c r="AY209" t="n">
        <v>0.7547781114012486</v>
      </c>
      <c r="AZ209" t="n">
        <v>0.8012525875545813</v>
      </c>
      <c r="BA209" t="n">
        <v>0.8267316832658675</v>
      </c>
      <c r="BB209" t="n">
        <v>2.598425196850393</v>
      </c>
      <c r="BC209" t="n">
        <v>0.5928116695125326</v>
      </c>
      <c r="BD209" t="n">
        <v>1.324141143809718</v>
      </c>
      <c r="BE209" t="n">
        <v>2.188097833464079</v>
      </c>
      <c r="BF209" t="n">
        <v>3.214617312107377</v>
      </c>
      <c r="BG209" t="n">
        <v>4.457402107622779</v>
      </c>
      <c r="BH209" t="n">
        <v>6.010144131572637</v>
      </c>
      <c r="BI209" t="n">
        <v>8.051511220407335</v>
      </c>
      <c r="BJ209" t="n">
        <v>10.98687294914327</v>
      </c>
      <c r="BK209" t="n">
        <v>16.12298733405052</v>
      </c>
      <c r="BL209" t="n">
        <v>52.28787379005895</v>
      </c>
      <c r="BM209" t="inlineStr"/>
      <c r="BN209" t="n">
        <v>7</v>
      </c>
      <c r="BO209" t="n">
        <v>67</v>
      </c>
      <c r="BP209" t="n">
        <v>154</v>
      </c>
      <c r="BQ209" t="n">
        <v>219</v>
      </c>
      <c r="BR209" t="n">
        <v>810</v>
      </c>
      <c r="BS20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0">
      <c r="A210" t="inlineStr">
        <is>
          <t>FRAG</t>
        </is>
      </c>
      <c r="B210" t="inlineStr">
        <is>
          <t>Fragmentación Desmonte 2025.xlsx</t>
        </is>
      </c>
      <c r="C210" t="inlineStr">
        <is>
          <t>ANÁLISIS DE FRAGMENTACIÓN</t>
        </is>
      </c>
      <c r="D210" t="n">
        <v>214</v>
      </c>
      <c r="E210" t="inlineStr">
        <is>
          <t>ROM (fragmentación post-voladura en el frente de carguío, por análisis de fotos)</t>
        </is>
      </c>
      <c r="F210" t="inlineStr"/>
      <c r="G210" t="inlineStr">
        <is>
          <t>no indicada en el archivo</t>
        </is>
      </c>
      <c r="H210" t="inlineStr">
        <is>
          <t>2025-06-07</t>
        </is>
      </c>
      <c r="I210" t="inlineStr">
        <is>
          <t>2025-06-12</t>
        </is>
      </c>
      <c r="J210" t="inlineStr">
        <is>
          <t>PALA 09</t>
        </is>
      </c>
      <c r="K210" t="n">
        <v>9</v>
      </c>
      <c r="L210" t="inlineStr">
        <is>
          <t>9-NP-3938-38</t>
        </is>
      </c>
      <c r="M210" t="n">
        <v>2</v>
      </c>
      <c r="N210" t="n">
        <v>3938</v>
      </c>
      <c r="O210" t="inlineStr">
        <is>
          <t>C</t>
        </is>
      </c>
      <c r="P210" t="n">
        <v>30</v>
      </c>
      <c r="Q210" t="inlineStr">
        <is>
          <t>Desmonte</t>
        </is>
      </c>
      <c r="R210" t="inlineStr">
        <is>
          <t>TRIM</t>
        </is>
      </c>
      <c r="S210" t="n">
        <v>5</v>
      </c>
      <c r="T210" t="n">
        <v>9.199999999999999</v>
      </c>
      <c r="U210" t="n">
        <v>3</v>
      </c>
      <c r="V210" t="n">
        <v>0.9794967815344136</v>
      </c>
      <c r="W210" t="n">
        <v>0.133</v>
      </c>
      <c r="X210" t="n">
        <v>0.198</v>
      </c>
      <c r="Y210" t="n">
        <v>0.5</v>
      </c>
      <c r="Z210" t="n">
        <v>2</v>
      </c>
      <c r="AA210" t="n">
        <v>4</v>
      </c>
      <c r="AB210" t="n">
        <v>6.4</v>
      </c>
      <c r="AC210" t="n">
        <v>9.199999999999999</v>
      </c>
      <c r="AD210" t="n">
        <v>12.8</v>
      </c>
      <c r="AE210" t="n">
        <v>17.2</v>
      </c>
      <c r="AF210" t="n">
        <v>23.4</v>
      </c>
      <c r="AG210" t="n">
        <v>33.5</v>
      </c>
      <c r="AH210" t="n">
        <v>92.90000000000001</v>
      </c>
      <c r="AI210" t="inlineStr"/>
      <c r="AJ210" t="n">
        <v>337631.25</v>
      </c>
      <c r="AK210" t="n">
        <v>92466.3</v>
      </c>
      <c r="AL210" t="n">
        <v>0.273867718109624</v>
      </c>
      <c r="AM210" t="inlineStr">
        <is>
          <t>-</t>
        </is>
      </c>
      <c r="AN210" t="inlineStr">
        <is>
          <t xml:space="preserve"> - </t>
        </is>
      </c>
      <c r="AO210" t="inlineStr">
        <is>
          <t xml:space="preserve"> - </t>
        </is>
      </c>
      <c r="AP210" t="inlineStr">
        <is>
          <t>9 7/8</t>
        </is>
      </c>
      <c r="AQ210" t="inlineStr">
        <is>
          <t xml:space="preserve"> - </t>
        </is>
      </c>
      <c r="AR210" t="inlineStr">
        <is>
          <t xml:space="preserve"> - </t>
        </is>
      </c>
      <c r="AS210" t="inlineStr">
        <is>
          <t xml:space="preserve"> - </t>
        </is>
      </c>
      <c r="AT210" t="n">
        <v>150</v>
      </c>
      <c r="AU210" t="inlineStr">
        <is>
          <t>Emulgex 70</t>
        </is>
      </c>
      <c r="AV210" t="inlineStr">
        <is>
          <t>56AR/44D2</t>
        </is>
      </c>
      <c r="AW210" t="n">
        <v>0.6510311164661763</v>
      </c>
      <c r="AX210" t="n">
        <v>0.7010989665660943</v>
      </c>
      <c r="AY210" t="n">
        <v>0.7497501559219388</v>
      </c>
      <c r="AZ210" t="n">
        <v>0.7958871353733801</v>
      </c>
      <c r="BA210" t="n">
        <v>0.8212769440930495</v>
      </c>
      <c r="BB210" t="n">
        <v>3.622047244094488</v>
      </c>
      <c r="BC210" t="n">
        <v>0.9247152447452304</v>
      </c>
      <c r="BD210" t="n">
        <v>1.989465786021084</v>
      </c>
      <c r="BE210" t="n">
        <v>3.211355758536456</v>
      </c>
      <c r="BF210" t="n">
        <v>4.633977793178538</v>
      </c>
      <c r="BG210" t="n">
        <v>6.328217294188436</v>
      </c>
      <c r="BH210" t="n">
        <v>8.414462646272117</v>
      </c>
      <c r="BI210" t="n">
        <v>11.11967271729474</v>
      </c>
      <c r="BJ210" t="n">
        <v>14.95506284693089</v>
      </c>
      <c r="BK210" t="n">
        <v>21.55686290436239</v>
      </c>
      <c r="BL210" t="n">
        <v>66.17502399219711</v>
      </c>
      <c r="BM210" t="inlineStr"/>
      <c r="BN210" t="n">
        <v>5</v>
      </c>
      <c r="BO210" t="n">
        <v>92</v>
      </c>
      <c r="BP210" t="n">
        <v>234</v>
      </c>
      <c r="BQ210" t="n">
        <v>335</v>
      </c>
      <c r="BR210" t="n">
        <v>929</v>
      </c>
      <c r="BS21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1">
      <c r="A211" t="inlineStr">
        <is>
          <t>FRAG</t>
        </is>
      </c>
      <c r="B211" t="inlineStr">
        <is>
          <t>Fragmentación Desmonte 2025.xlsx</t>
        </is>
      </c>
      <c r="C211" t="inlineStr">
        <is>
          <t>ANÁLISIS DE FRAGMENTACIÓN</t>
        </is>
      </c>
      <c r="D211" t="n">
        <v>215</v>
      </c>
      <c r="E211" t="inlineStr">
        <is>
          <t>ROM (fragmentación post-voladura en el frente de carguío, por análisis de fotos)</t>
        </is>
      </c>
      <c r="F211" t="inlineStr"/>
      <c r="G211" t="inlineStr">
        <is>
          <t>no indicada en el archivo</t>
        </is>
      </c>
      <c r="H211" t="inlineStr">
        <is>
          <t>2025-05-31</t>
        </is>
      </c>
      <c r="I211" t="inlineStr">
        <is>
          <t>2025-06-14</t>
        </is>
      </c>
      <c r="J211" t="inlineStr">
        <is>
          <t>PALA 11</t>
        </is>
      </c>
      <c r="K211" t="n">
        <v>10</v>
      </c>
      <c r="L211" t="inlineStr">
        <is>
          <t>10-NP-4403-21</t>
        </is>
      </c>
      <c r="M211" t="n">
        <v>2</v>
      </c>
      <c r="N211" t="n">
        <v>4403</v>
      </c>
      <c r="O211" t="inlineStr">
        <is>
          <t>C1</t>
        </is>
      </c>
      <c r="P211" t="n">
        <v>30</v>
      </c>
      <c r="Q211" t="inlineStr">
        <is>
          <t>Desmonte</t>
        </is>
      </c>
      <c r="R211" t="inlineStr">
        <is>
          <t>Producción</t>
        </is>
      </c>
      <c r="S211" t="n">
        <v>3</v>
      </c>
      <c r="T211" t="n">
        <v>5.5</v>
      </c>
      <c r="U211" t="n">
        <v>2</v>
      </c>
      <c r="V211" t="n">
        <v>0.5670665955523408</v>
      </c>
      <c r="W211" t="n">
        <v>0.239</v>
      </c>
      <c r="X211" t="n">
        <v>0.322</v>
      </c>
      <c r="Y211" t="n">
        <v>0.1</v>
      </c>
      <c r="Z211" t="n">
        <v>0.6</v>
      </c>
      <c r="AA211" t="n">
        <v>1.6</v>
      </c>
      <c r="AB211" t="n">
        <v>3.2</v>
      </c>
      <c r="AC211" t="n">
        <v>5.5</v>
      </c>
      <c r="AD211" t="n">
        <v>8.6</v>
      </c>
      <c r="AE211" t="n">
        <v>13.1</v>
      </c>
      <c r="AF211" t="n">
        <v>19.7</v>
      </c>
      <c r="AG211" t="n">
        <v>31.5</v>
      </c>
      <c r="AH211" t="n">
        <v>101.6</v>
      </c>
      <c r="AI211" t="inlineStr"/>
      <c r="AJ211" t="n">
        <v>815034.4125000001</v>
      </c>
      <c r="AK211" t="n">
        <v>263305.8</v>
      </c>
      <c r="AL211" t="n">
        <v>0.3230609603247887</v>
      </c>
      <c r="AM211" t="inlineStr">
        <is>
          <t>0.998258367403597</t>
        </is>
      </c>
      <c r="AN211" t="inlineStr">
        <is>
          <t>17</t>
        </is>
      </c>
      <c r="AO211" t="inlineStr">
        <is>
          <t>7</t>
        </is>
      </c>
      <c r="AP211" t="inlineStr">
        <is>
          <t>12 1/4</t>
        </is>
      </c>
      <c r="AQ211" t="inlineStr">
        <is>
          <t>8.5</t>
        </is>
      </c>
      <c r="AR211" t="inlineStr">
        <is>
          <t>9.8</t>
        </is>
      </c>
      <c r="AS211" t="inlineStr">
        <is>
          <t>2</t>
        </is>
      </c>
      <c r="AT211" t="n">
        <v>280</v>
      </c>
      <c r="AU211" t="inlineStr">
        <is>
          <t>Vertex 70</t>
        </is>
      </c>
      <c r="AV211" t="inlineStr">
        <is>
          <t>00:00:00</t>
        </is>
      </c>
      <c r="AW211" t="n">
        <v>0.7264980667409084</v>
      </c>
      <c r="AX211" t="n">
        <v>0.8022277193073535</v>
      </c>
      <c r="AY211" t="n">
        <v>0.8681248621687288</v>
      </c>
      <c r="AZ211" t="n">
        <v>0.9205399485240262</v>
      </c>
      <c r="BA211" t="n">
        <v>0.9441842250537172</v>
      </c>
      <c r="BB211" t="n">
        <v>2.165354330708662</v>
      </c>
      <c r="BC211" t="n">
        <v>0.1039663887667818</v>
      </c>
      <c r="BD211" t="n">
        <v>0.3904958106618568</v>
      </c>
      <c r="BE211" t="n">
        <v>0.892920402244924</v>
      </c>
      <c r="BF211" t="n">
        <v>1.682336384800855</v>
      </c>
      <c r="BG211" t="n">
        <v>2.881804723844733</v>
      </c>
      <c r="BH211" t="n">
        <v>4.714220282992288</v>
      </c>
      <c r="BI211" t="n">
        <v>7.630044664791821</v>
      </c>
      <c r="BJ211" t="n">
        <v>12.72989123179527</v>
      </c>
      <c r="BK211" t="n">
        <v>23.93955324679246</v>
      </c>
      <c r="BL211" t="n">
        <v>166.1502171137197</v>
      </c>
      <c r="BM211" t="inlineStr"/>
      <c r="BN211" t="n">
        <v>1</v>
      </c>
      <c r="BO211" t="n">
        <v>55</v>
      </c>
      <c r="BP211" t="n">
        <v>197</v>
      </c>
      <c r="BQ211" t="n">
        <v>315</v>
      </c>
      <c r="BR211" t="n">
        <v>1016</v>
      </c>
      <c r="BS21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2">
      <c r="A212" t="inlineStr">
        <is>
          <t>FRAG</t>
        </is>
      </c>
      <c r="B212" t="inlineStr">
        <is>
          <t>Fragmentación Desmonte 2025.xlsx</t>
        </is>
      </c>
      <c r="C212" t="inlineStr">
        <is>
          <t>ANÁLISIS DE FRAGMENTACIÓN</t>
        </is>
      </c>
      <c r="D212" t="n">
        <v>216</v>
      </c>
      <c r="E212" t="inlineStr">
        <is>
          <t>ROM (fragmentación post-voladura en el frente de carguío, por análisis de fotos)</t>
        </is>
      </c>
      <c r="F212" t="inlineStr"/>
      <c r="G212" t="inlineStr">
        <is>
          <t>no indicada en el archivo</t>
        </is>
      </c>
      <c r="H212" t="inlineStr">
        <is>
          <t>2025-06-09</t>
        </is>
      </c>
      <c r="I212" t="inlineStr">
        <is>
          <t>2025-06-14</t>
        </is>
      </c>
      <c r="J212" t="inlineStr">
        <is>
          <t>PALA 11</t>
        </is>
      </c>
      <c r="K212" t="n">
        <v>10</v>
      </c>
      <c r="L212" t="inlineStr">
        <is>
          <t>10-NP-4403-23</t>
        </is>
      </c>
      <c r="M212" t="n">
        <v>8</v>
      </c>
      <c r="N212" t="n">
        <v>4403</v>
      </c>
      <c r="O212" t="inlineStr">
        <is>
          <t>C</t>
        </is>
      </c>
      <c r="P212" t="n">
        <v>30</v>
      </c>
      <c r="Q212" t="inlineStr">
        <is>
          <t>Desmonte</t>
        </is>
      </c>
      <c r="R212" t="inlineStr">
        <is>
          <t>Producción</t>
        </is>
      </c>
      <c r="S212" t="n">
        <v>5</v>
      </c>
      <c r="T212" t="n">
        <v>8.699999999999999</v>
      </c>
      <c r="U212" t="n">
        <v>4</v>
      </c>
      <c r="V212" t="n">
        <v>1.238605751012525</v>
      </c>
      <c r="W212" t="n">
        <v>0.075</v>
      </c>
      <c r="X212" t="n">
        <v>0.137</v>
      </c>
      <c r="Y212" t="n">
        <v>1.3</v>
      </c>
      <c r="Z212" t="n">
        <v>3</v>
      </c>
      <c r="AA212" t="n">
        <v>4.8</v>
      </c>
      <c r="AB212" t="n">
        <v>6.6</v>
      </c>
      <c r="AC212" t="n">
        <v>8.699999999999999</v>
      </c>
      <c r="AD212" t="n">
        <v>11.2</v>
      </c>
      <c r="AE212" t="n">
        <v>14.3</v>
      </c>
      <c r="AF212" t="n">
        <v>18.5</v>
      </c>
      <c r="AG212" t="n">
        <v>25.7</v>
      </c>
      <c r="AH212" t="n">
        <v>107.4</v>
      </c>
      <c r="AI212" t="inlineStr"/>
      <c r="AJ212" t="n">
        <v>736890</v>
      </c>
      <c r="AK212" t="n">
        <v>243706</v>
      </c>
      <c r="AL212" t="n">
        <v>0.3307223601894448</v>
      </c>
      <c r="AM212" t="inlineStr">
        <is>
          <t>1.0219320929853843</t>
        </is>
      </c>
      <c r="AN212" t="inlineStr">
        <is>
          <t>17</t>
        </is>
      </c>
      <c r="AO212" t="inlineStr">
        <is>
          <t>7</t>
        </is>
      </c>
      <c r="AP212" t="inlineStr">
        <is>
          <t>12 1/4</t>
        </is>
      </c>
      <c r="AQ212" t="inlineStr">
        <is>
          <t>8.5</t>
        </is>
      </c>
      <c r="AR212" t="inlineStr">
        <is>
          <t>9.8</t>
        </is>
      </c>
      <c r="AS212" t="inlineStr">
        <is>
          <t>2</t>
        </is>
      </c>
      <c r="AT212" t="n">
        <v>249</v>
      </c>
      <c r="AU212" t="inlineStr">
        <is>
          <t>Vertex 70</t>
        </is>
      </c>
      <c r="AV212" t="inlineStr">
        <is>
          <t>50AR/50D2 &amp; 100AR</t>
        </is>
      </c>
      <c r="AW212" t="n">
        <v>0.6333820830335405</v>
      </c>
      <c r="AX212" t="n">
        <v>0.6682565697673164</v>
      </c>
      <c r="AY212" t="n">
        <v>0.7027878876085771</v>
      </c>
      <c r="AZ212" t="n">
        <v>0.7366244723843827</v>
      </c>
      <c r="BA212" t="n">
        <v>0.7559502393311963</v>
      </c>
      <c r="BB212" t="n">
        <v>3.4251968503937</v>
      </c>
      <c r="BC212" t="n">
        <v>1.414063964744857</v>
      </c>
      <c r="BD212" t="n">
        <v>2.591747537366612</v>
      </c>
      <c r="BE212" t="n">
        <v>3.784794705136713</v>
      </c>
      <c r="BF212" t="n">
        <v>5.058135424351233</v>
      </c>
      <c r="BG212" t="n">
        <v>6.471548225252812</v>
      </c>
      <c r="BH212" t="n">
        <v>8.107117646579422</v>
      </c>
      <c r="BI212" t="n">
        <v>10.10661878964958</v>
      </c>
      <c r="BJ212" t="n">
        <v>12.77555081128659</v>
      </c>
      <c r="BK212" t="n">
        <v>17.05915420124607</v>
      </c>
      <c r="BL212" t="n">
        <v>41.41577822331701</v>
      </c>
      <c r="BM212" t="inlineStr"/>
      <c r="BN212" t="n">
        <v>13</v>
      </c>
      <c r="BO212" t="n">
        <v>87</v>
      </c>
      <c r="BP212" t="n">
        <v>185</v>
      </c>
      <c r="BQ212" t="n">
        <v>257</v>
      </c>
      <c r="BR212" t="n">
        <v>1074</v>
      </c>
      <c r="BS21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3">
      <c r="A213" t="inlineStr">
        <is>
          <t>FRAG</t>
        </is>
      </c>
      <c r="B213" t="inlineStr">
        <is>
          <t>Fragmentación Desmonte 2025.xlsx</t>
        </is>
      </c>
      <c r="C213" t="inlineStr">
        <is>
          <t>ANÁLISIS DE FRAGMENTACIÓN</t>
        </is>
      </c>
      <c r="D213" t="n">
        <v>217</v>
      </c>
      <c r="E213" t="inlineStr">
        <is>
          <t>ROM (fragmentación post-voladura en el frente de carguío, por análisis de fotos)</t>
        </is>
      </c>
      <c r="F213" t="inlineStr"/>
      <c r="G213" t="inlineStr">
        <is>
          <t>no indicada en el archivo</t>
        </is>
      </c>
      <c r="H213" t="inlineStr">
        <is>
          <t>2025-06-09</t>
        </is>
      </c>
      <c r="I213" t="inlineStr">
        <is>
          <t>2025-06-16</t>
        </is>
      </c>
      <c r="J213" t="inlineStr">
        <is>
          <t>PALA 06</t>
        </is>
      </c>
      <c r="K213" t="n">
        <v>10</v>
      </c>
      <c r="L213" t="inlineStr">
        <is>
          <t>10-NP-4403-23</t>
        </is>
      </c>
      <c r="M213" t="n">
        <v>3</v>
      </c>
      <c r="N213" t="n">
        <v>4403</v>
      </c>
      <c r="O213" t="inlineStr">
        <is>
          <t>C1</t>
        </is>
      </c>
      <c r="P213" t="n">
        <v>30</v>
      </c>
      <c r="Q213" t="inlineStr">
        <is>
          <t>Desmonte</t>
        </is>
      </c>
      <c r="R213" t="inlineStr">
        <is>
          <t>Producción</t>
        </is>
      </c>
      <c r="S213" t="n">
        <v>5</v>
      </c>
      <c r="T213" t="n">
        <v>8.5</v>
      </c>
      <c r="U213" t="n">
        <v>3</v>
      </c>
      <c r="V213" t="n">
        <v>0.9767883589594328</v>
      </c>
      <c r="W213" t="n">
        <v>0.133</v>
      </c>
      <c r="X213" t="n">
        <v>0.201</v>
      </c>
      <c r="Y213" t="n">
        <v>0.6</v>
      </c>
      <c r="Z213" t="n">
        <v>1.9</v>
      </c>
      <c r="AA213" t="n">
        <v>3.7</v>
      </c>
      <c r="AB213" t="n">
        <v>5.9</v>
      </c>
      <c r="AC213" t="n">
        <v>8.6</v>
      </c>
      <c r="AD213" t="n">
        <v>11.7</v>
      </c>
      <c r="AE213" t="n">
        <v>15.8</v>
      </c>
      <c r="AF213" t="n">
        <v>21.3</v>
      </c>
      <c r="AG213" t="n">
        <v>30.5</v>
      </c>
      <c r="AH213" t="n">
        <v>87.7</v>
      </c>
      <c r="AI213" t="inlineStr"/>
      <c r="AJ213" t="n">
        <v>736890</v>
      </c>
      <c r="AK213" t="n">
        <v>243706</v>
      </c>
      <c r="AL213" t="n">
        <v>0.3307223601894448</v>
      </c>
      <c r="AM213" t="inlineStr">
        <is>
          <t>1.0219320929853843</t>
        </is>
      </c>
      <c r="AN213" t="inlineStr">
        <is>
          <t>17</t>
        </is>
      </c>
      <c r="AO213" t="inlineStr">
        <is>
          <t>7</t>
        </is>
      </c>
      <c r="AP213" t="inlineStr">
        <is>
          <t>12 1/4</t>
        </is>
      </c>
      <c r="AQ213" t="inlineStr">
        <is>
          <t>8.5</t>
        </is>
      </c>
      <c r="AR213" t="inlineStr">
        <is>
          <t>9.8</t>
        </is>
      </c>
      <c r="AS213" t="inlineStr">
        <is>
          <t>2</t>
        </is>
      </c>
      <c r="AT213" t="n">
        <v>249</v>
      </c>
      <c r="AU213" t="inlineStr">
        <is>
          <t>Vertex 70</t>
        </is>
      </c>
      <c r="AV213" t="inlineStr">
        <is>
          <t>50AR/50D2 &amp; 100AR</t>
        </is>
      </c>
      <c r="AW213" t="n">
        <v>0.6515218362338128</v>
      </c>
      <c r="AX213" t="n">
        <v>0.7023312964141171</v>
      </c>
      <c r="AY213" t="n">
        <v>0.751652954826115</v>
      </c>
      <c r="AZ213" t="n">
        <v>0.798338295406586</v>
      </c>
      <c r="BA213" t="n">
        <v>0.8239735567425081</v>
      </c>
      <c r="BB213" t="n">
        <v>3.346456692913386</v>
      </c>
      <c r="BC213" t="n">
        <v>0.8489311870087622</v>
      </c>
      <c r="BD213" t="n">
        <v>1.830305268133417</v>
      </c>
      <c r="BE213" t="n">
        <v>2.958367213368743</v>
      </c>
      <c r="BF213" t="n">
        <v>4.273259017633185</v>
      </c>
      <c r="BG213" t="n">
        <v>5.840659474082871</v>
      </c>
      <c r="BH213" t="n">
        <v>7.772308101832246</v>
      </c>
      <c r="BI213" t="n">
        <v>10.2790106250753</v>
      </c>
      <c r="BJ213" t="n">
        <v>13.83580394136319</v>
      </c>
      <c r="BK213" t="n">
        <v>19.96374560744551</v>
      </c>
      <c r="BL213" t="n">
        <v>61.47537991400619</v>
      </c>
      <c r="BM213" t="inlineStr"/>
      <c r="BN213" t="n">
        <v>6</v>
      </c>
      <c r="BO213" t="n">
        <v>86</v>
      </c>
      <c r="BP213" t="n">
        <v>213</v>
      </c>
      <c r="BQ213" t="n">
        <v>305</v>
      </c>
      <c r="BR213" t="n">
        <v>877</v>
      </c>
      <c r="BS21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4">
      <c r="A214" t="inlineStr">
        <is>
          <t>FRAG</t>
        </is>
      </c>
      <c r="B214" t="inlineStr">
        <is>
          <t>Fragmentación Desmonte 2025.xlsx</t>
        </is>
      </c>
      <c r="C214" t="inlineStr">
        <is>
          <t>ANÁLISIS DE FRAGMENTACIÓN</t>
        </is>
      </c>
      <c r="D214" t="n">
        <v>218</v>
      </c>
      <c r="E214" t="inlineStr">
        <is>
          <t>ROM (fragmentación post-voladura en el frente de carguío, por análisis de fotos)</t>
        </is>
      </c>
      <c r="F214" t="inlineStr"/>
      <c r="G214" t="inlineStr">
        <is>
          <t>no indicada en el archivo</t>
        </is>
      </c>
      <c r="H214" t="inlineStr">
        <is>
          <t>2025-05-31</t>
        </is>
      </c>
      <c r="I214" t="inlineStr">
        <is>
          <t>2025-06-16</t>
        </is>
      </c>
      <c r="J214" t="inlineStr">
        <is>
          <t>PALA 11</t>
        </is>
      </c>
      <c r="K214" t="n">
        <v>10</v>
      </c>
      <c r="L214" t="inlineStr">
        <is>
          <t>10-NP-4403-21</t>
        </is>
      </c>
      <c r="M214" t="n">
        <v>2</v>
      </c>
      <c r="N214" t="n">
        <v>4403</v>
      </c>
      <c r="O214" t="inlineStr">
        <is>
          <t>C1</t>
        </is>
      </c>
      <c r="P214" t="n">
        <v>30</v>
      </c>
      <c r="Q214" t="inlineStr">
        <is>
          <t>Desmonte</t>
        </is>
      </c>
      <c r="R214" t="inlineStr">
        <is>
          <t>Producción</t>
        </is>
      </c>
      <c r="S214" t="n">
        <v>4</v>
      </c>
      <c r="T214" t="n">
        <v>3.9</v>
      </c>
      <c r="U214" t="n">
        <v>4</v>
      </c>
      <c r="V214" t="n">
        <v>1.16917597990151</v>
      </c>
      <c r="W214" t="n">
        <v>0.155</v>
      </c>
      <c r="X214" t="n">
        <v>0.286</v>
      </c>
      <c r="Y214" t="n">
        <v>0.6</v>
      </c>
      <c r="Z214" t="n">
        <v>1.3</v>
      </c>
      <c r="AA214" t="n">
        <v>2.1</v>
      </c>
      <c r="AB214" t="n">
        <v>2.9</v>
      </c>
      <c r="AC214" t="n">
        <v>3.9</v>
      </c>
      <c r="AD214" t="n">
        <v>5.1</v>
      </c>
      <c r="AE214" t="n">
        <v>6.6</v>
      </c>
      <c r="AF214" t="n">
        <v>8.800000000000001</v>
      </c>
      <c r="AG214" t="n">
        <v>12.5</v>
      </c>
      <c r="AH214" t="n">
        <v>62</v>
      </c>
      <c r="AI214" t="inlineStr"/>
      <c r="AJ214" t="n">
        <v>815034.4125000001</v>
      </c>
      <c r="AK214" t="n">
        <v>263305.8</v>
      </c>
      <c r="AL214" t="n">
        <v>0.3230609603247887</v>
      </c>
      <c r="AM214" t="inlineStr">
        <is>
          <t>0.998258367403597</t>
        </is>
      </c>
      <c r="AN214" t="inlineStr">
        <is>
          <t>17</t>
        </is>
      </c>
      <c r="AO214" t="inlineStr">
        <is>
          <t>7</t>
        </is>
      </c>
      <c r="AP214" t="inlineStr">
        <is>
          <t>12 1/4</t>
        </is>
      </c>
      <c r="AQ214" t="inlineStr">
        <is>
          <t>8.5</t>
        </is>
      </c>
      <c r="AR214" t="inlineStr">
        <is>
          <t>9.8</t>
        </is>
      </c>
      <c r="AS214" t="inlineStr">
        <is>
          <t>2</t>
        </is>
      </c>
      <c r="AT214" t="n">
        <v>280</v>
      </c>
      <c r="AU214" t="inlineStr">
        <is>
          <t>Vertex 70</t>
        </is>
      </c>
      <c r="AV214" t="inlineStr">
        <is>
          <t>00:00:00</t>
        </is>
      </c>
      <c r="AW214" t="n">
        <v>0.6408227616717013</v>
      </c>
      <c r="AX214" t="n">
        <v>0.7130488315520611</v>
      </c>
      <c r="AY214" t="n">
        <v>0.7817623688396376</v>
      </c>
      <c r="AZ214" t="n">
        <v>0.8436900605687792</v>
      </c>
      <c r="BA214" t="n">
        <v>0.8755818486748692</v>
      </c>
      <c r="BB214" t="n">
        <v>1.535433070866142</v>
      </c>
      <c r="BC214" t="n">
        <v>0.5690597133952618</v>
      </c>
      <c r="BD214" t="n">
        <v>1.08120161318669</v>
      </c>
      <c r="BE214" t="n">
        <v>1.614811798969138</v>
      </c>
      <c r="BF214" t="n">
        <v>2.195580074710533</v>
      </c>
      <c r="BG214" t="n">
        <v>2.850506979010649</v>
      </c>
      <c r="BH214" t="n">
        <v>3.619024809180908</v>
      </c>
      <c r="BI214" t="n">
        <v>4.571053579189468</v>
      </c>
      <c r="BJ214" t="n">
        <v>5.859138212049916</v>
      </c>
      <c r="BK214" t="n">
        <v>7.95918973948672</v>
      </c>
      <c r="BL214" t="n">
        <v>20.36817939858584</v>
      </c>
      <c r="BM214" t="inlineStr"/>
      <c r="BN214" t="n">
        <v>6</v>
      </c>
      <c r="BO214" t="n">
        <v>39</v>
      </c>
      <c r="BP214" t="n">
        <v>88</v>
      </c>
      <c r="BQ214" t="n">
        <v>125</v>
      </c>
      <c r="BR214" t="n">
        <v>620</v>
      </c>
      <c r="BS21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5">
      <c r="A215" t="inlineStr">
        <is>
          <t>FRAG</t>
        </is>
      </c>
      <c r="B215" t="inlineStr">
        <is>
          <t>Fragmentación Desmonte 2025.xlsx</t>
        </is>
      </c>
      <c r="C215" t="inlineStr">
        <is>
          <t>ANÁLISIS DE FRAGMENTACIÓN</t>
        </is>
      </c>
      <c r="D215" t="n">
        <v>219</v>
      </c>
      <c r="E215" t="inlineStr">
        <is>
          <t>ROM (fragmentación post-voladura en el frente de carguío, por análisis de fotos)</t>
        </is>
      </c>
      <c r="F215" t="inlineStr"/>
      <c r="G215" t="inlineStr">
        <is>
          <t>no indicada en el archivo</t>
        </is>
      </c>
      <c r="H215" t="inlineStr">
        <is>
          <t>2025-06-16</t>
        </is>
      </c>
      <c r="I215" t="inlineStr">
        <is>
          <t>2025-06-17</t>
        </is>
      </c>
      <c r="J215" t="inlineStr">
        <is>
          <t>PALA 09</t>
        </is>
      </c>
      <c r="K215" t="n">
        <v>9</v>
      </c>
      <c r="L215" t="inlineStr">
        <is>
          <t>9-NP-3923-25</t>
        </is>
      </c>
      <c r="M215" t="n">
        <v>1</v>
      </c>
      <c r="N215" t="n">
        <v>3923</v>
      </c>
      <c r="O215" t="inlineStr">
        <is>
          <t>C</t>
        </is>
      </c>
      <c r="P215" t="n">
        <v>30</v>
      </c>
      <c r="Q215" t="inlineStr">
        <is>
          <t>Desmonte</t>
        </is>
      </c>
      <c r="R215" t="inlineStr">
        <is>
          <t>Producción</t>
        </is>
      </c>
      <c r="S215" t="n">
        <v>4</v>
      </c>
      <c r="T215" t="n">
        <v>14.3</v>
      </c>
      <c r="U215" t="n">
        <v>3</v>
      </c>
      <c r="V215" t="n">
        <v>1.045164016905668</v>
      </c>
      <c r="W215" t="n">
        <v>0.094</v>
      </c>
      <c r="X215" t="n">
        <v>0.141</v>
      </c>
      <c r="Y215" t="n">
        <v>1</v>
      </c>
      <c r="Z215" t="n">
        <v>3.5</v>
      </c>
      <c r="AA215" t="n">
        <v>6.6</v>
      </c>
      <c r="AB215" t="n">
        <v>10.2</v>
      </c>
      <c r="AC215" t="n">
        <v>14.3</v>
      </c>
      <c r="AD215" t="n">
        <v>19.2</v>
      </c>
      <c r="AE215" t="n">
        <v>25.2</v>
      </c>
      <c r="AF215" t="n">
        <v>33.3</v>
      </c>
      <c r="AG215" t="n">
        <v>46.2</v>
      </c>
      <c r="AH215" t="n">
        <v>116.8</v>
      </c>
      <c r="AI215" t="inlineStr"/>
      <c r="AJ215" t="n">
        <v>332640</v>
      </c>
      <c r="AK215" t="n">
        <v>105299.05</v>
      </c>
      <c r="AL215" t="n">
        <v>0.3165555856180856</v>
      </c>
      <c r="AM215" t="inlineStr">
        <is>
          <t>0.9781567595598845</t>
        </is>
      </c>
      <c r="AN215" t="inlineStr">
        <is>
          <t>16.5</t>
        </is>
      </c>
      <c r="AO215" t="inlineStr">
        <is>
          <t>6.5</t>
        </is>
      </c>
      <c r="AP215" t="inlineStr">
        <is>
          <t>12 1/4</t>
        </is>
      </c>
      <c r="AQ215" t="inlineStr">
        <is>
          <t>6</t>
        </is>
      </c>
      <c r="AR215" t="inlineStr">
        <is>
          <t>7</t>
        </is>
      </c>
      <c r="AS215" t="inlineStr">
        <is>
          <t>1.5</t>
        </is>
      </c>
      <c r="AT215" t="n">
        <v>115</v>
      </c>
      <c r="AU215" t="inlineStr">
        <is>
          <t>Vertex 70</t>
        </is>
      </c>
      <c r="AV215" t="inlineStr">
        <is>
          <t xml:space="preserve"> 53AR/47D2</t>
        </is>
      </c>
      <c r="AW215" t="n">
        <v>0.6422259841352733</v>
      </c>
      <c r="AX215" t="n">
        <v>0.6780575947025411</v>
      </c>
      <c r="AY215" t="n">
        <v>0.7134224387264629</v>
      </c>
      <c r="AZ215" t="n">
        <v>0.7479320138291461</v>
      </c>
      <c r="BA215" t="n">
        <v>0.7675630648494245</v>
      </c>
      <c r="BB215" t="n">
        <v>5.62992125984252</v>
      </c>
      <c r="BC215" t="n">
        <v>1.660528493607977</v>
      </c>
      <c r="BD215" t="n">
        <v>3.404627433231353</v>
      </c>
      <c r="BE215" t="n">
        <v>5.332808668566488</v>
      </c>
      <c r="BF215" t="n">
        <v>7.519949798649944</v>
      </c>
      <c r="BG215" t="n">
        <v>10.07023969738366</v>
      </c>
      <c r="BH215" t="n">
        <v>13.15255003725609</v>
      </c>
      <c r="BI215" t="n">
        <v>17.07926105154526</v>
      </c>
      <c r="BJ215" t="n">
        <v>22.54651284272553</v>
      </c>
      <c r="BK215" t="n">
        <v>31.76139192415887</v>
      </c>
      <c r="BL215" t="n">
        <v>90.86638282517475</v>
      </c>
      <c r="BM215" t="inlineStr"/>
      <c r="BN215" t="n">
        <v>10</v>
      </c>
      <c r="BO215" t="n">
        <v>143</v>
      </c>
      <c r="BP215" t="n">
        <v>333</v>
      </c>
      <c r="BQ215" t="n">
        <v>462</v>
      </c>
      <c r="BR215" t="n">
        <v>1168</v>
      </c>
      <c r="BS21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6">
      <c r="A216" t="inlineStr">
        <is>
          <t>FRAG</t>
        </is>
      </c>
      <c r="B216" t="inlineStr">
        <is>
          <t>Fragmentación Desmonte 2025.xlsx</t>
        </is>
      </c>
      <c r="C216" t="inlineStr">
        <is>
          <t>ANÁLISIS DE FRAGMENTACIÓN</t>
        </is>
      </c>
      <c r="D216" t="n">
        <v>220</v>
      </c>
      <c r="E216" t="inlineStr">
        <is>
          <t>ROM (fragmentación post-voladura en el frente de carguío, por análisis de fotos)</t>
        </is>
      </c>
      <c r="F216" t="inlineStr"/>
      <c r="G216" t="inlineStr">
        <is>
          <t>no indicada en el archivo</t>
        </is>
      </c>
      <c r="H216" t="inlineStr">
        <is>
          <t>2025-05-30</t>
        </is>
      </c>
      <c r="I216" t="inlineStr">
        <is>
          <t>2025-06-17</t>
        </is>
      </c>
      <c r="J216" t="inlineStr">
        <is>
          <t>PALA 10</t>
        </is>
      </c>
      <c r="K216" t="n">
        <v>9</v>
      </c>
      <c r="L216" t="inlineStr">
        <is>
          <t>9-NP-3923-13</t>
        </is>
      </c>
      <c r="M216" t="n">
        <v>1</v>
      </c>
      <c r="N216" t="n">
        <v>3923</v>
      </c>
      <c r="O216" t="inlineStr">
        <is>
          <t>B</t>
        </is>
      </c>
      <c r="P216" t="n">
        <v>30</v>
      </c>
      <c r="Q216" t="inlineStr">
        <is>
          <t>Desmonte</t>
        </is>
      </c>
      <c r="R216" t="inlineStr">
        <is>
          <t>Producción</t>
        </is>
      </c>
      <c r="S216" t="n">
        <v>4</v>
      </c>
      <c r="T216" t="n">
        <v>11.4</v>
      </c>
      <c r="U216" t="n">
        <v>3</v>
      </c>
      <c r="V216" t="n">
        <v>1.066959469980561</v>
      </c>
      <c r="W216" t="n">
        <v>0.111</v>
      </c>
      <c r="X216" t="n">
        <v>0.164</v>
      </c>
      <c r="Y216" t="n">
        <v>0.8</v>
      </c>
      <c r="Z216" t="n">
        <v>2.7</v>
      </c>
      <c r="AA216" t="n">
        <v>5.2</v>
      </c>
      <c r="AB216" t="n">
        <v>8.1</v>
      </c>
      <c r="AC216" t="n">
        <v>11.5</v>
      </c>
      <c r="AD216" t="n">
        <v>15.5</v>
      </c>
      <c r="AE216" t="n">
        <v>20.3</v>
      </c>
      <c r="AF216" t="n">
        <v>26.8</v>
      </c>
      <c r="AG216" t="n">
        <v>37</v>
      </c>
      <c r="AH216" t="n">
        <v>88.40000000000001</v>
      </c>
      <c r="AI216" t="inlineStr"/>
      <c r="AJ216" t="n">
        <v>111785.85</v>
      </c>
      <c r="AK216" t="n">
        <v>38688</v>
      </c>
      <c r="AL216" t="n">
        <v>0.3460903146507362</v>
      </c>
      <c r="AM216" t="inlineStr">
        <is>
          <t>1.0694190722707748</t>
        </is>
      </c>
      <c r="AN216" t="inlineStr">
        <is>
          <t>16.5</t>
        </is>
      </c>
      <c r="AO216" t="inlineStr">
        <is>
          <t>6.5</t>
        </is>
      </c>
      <c r="AP216" t="inlineStr">
        <is>
          <t>12 1/4</t>
        </is>
      </c>
      <c r="AQ216" t="inlineStr">
        <is>
          <t>6</t>
        </is>
      </c>
      <c r="AR216" t="inlineStr">
        <is>
          <t>7</t>
        </is>
      </c>
      <c r="AS216" t="inlineStr">
        <is>
          <t>1.5</t>
        </is>
      </c>
      <c r="AT216" t="n">
        <v>41</v>
      </c>
      <c r="AU216" t="inlineStr">
        <is>
          <t>Vertex 70</t>
        </is>
      </c>
      <c r="AV216" t="inlineStr">
        <is>
          <t>59AR/41D2</t>
        </is>
      </c>
      <c r="AW216" t="n">
        <v>0.6426292293008218</v>
      </c>
      <c r="AX216" t="n">
        <v>0.6842674335697405</v>
      </c>
      <c r="AY216" t="n">
        <v>0.7251834815825884</v>
      </c>
      <c r="AZ216" t="n">
        <v>0.7647608286717746</v>
      </c>
      <c r="BA216" t="n">
        <v>0.7870407355452339</v>
      </c>
      <c r="BB216" t="n">
        <v>4.488188976377953</v>
      </c>
      <c r="BC216" t="n">
        <v>1.383301387090742</v>
      </c>
      <c r="BD216" t="n">
        <v>2.794925681450818</v>
      </c>
      <c r="BE216" t="n">
        <v>4.337860733384519</v>
      </c>
      <c r="BF216" t="n">
        <v>6.074150351283359</v>
      </c>
      <c r="BG216" t="n">
        <v>8.085738148260655</v>
      </c>
      <c r="BH216" t="n">
        <v>10.50318057628859</v>
      </c>
      <c r="BI216" t="n">
        <v>13.56632588626688</v>
      </c>
      <c r="BJ216" t="n">
        <v>17.80773840559895</v>
      </c>
      <c r="BK216" t="n">
        <v>24.91086855166258</v>
      </c>
      <c r="BL216" t="n">
        <v>69.75370728049147</v>
      </c>
      <c r="BM216" t="inlineStr"/>
      <c r="BN216" t="n">
        <v>8</v>
      </c>
      <c r="BO216" t="n">
        <v>115</v>
      </c>
      <c r="BP216" t="n">
        <v>268</v>
      </c>
      <c r="BQ216" t="n">
        <v>370</v>
      </c>
      <c r="BR216" t="n">
        <v>884</v>
      </c>
      <c r="BS21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7">
      <c r="A217" t="inlineStr">
        <is>
          <t>FRAG</t>
        </is>
      </c>
      <c r="B217" t="inlineStr">
        <is>
          <t>Fragmentación Desmonte 2025.xlsx</t>
        </is>
      </c>
      <c r="C217" t="inlineStr">
        <is>
          <t>ANÁLISIS DE FRAGMENTACIÓN</t>
        </is>
      </c>
      <c r="D217" t="n">
        <v>221</v>
      </c>
      <c r="E217" t="inlineStr">
        <is>
          <t>ROM (fragmentación post-voladura en el frente de carguío, por análisis de fotos)</t>
        </is>
      </c>
      <c r="F217" t="inlineStr"/>
      <c r="G217" t="inlineStr">
        <is>
          <t>no indicada en el archivo</t>
        </is>
      </c>
      <c r="H217" t="inlineStr">
        <is>
          <t>2025-06-09</t>
        </is>
      </c>
      <c r="I217" t="inlineStr">
        <is>
          <t>2025-06-18</t>
        </is>
      </c>
      <c r="J217" t="inlineStr">
        <is>
          <t>PALA 06</t>
        </is>
      </c>
      <c r="K217" t="n">
        <v>10</v>
      </c>
      <c r="L217" t="inlineStr">
        <is>
          <t>10-NP-4403-23</t>
        </is>
      </c>
      <c r="M217" t="n">
        <v>1</v>
      </c>
      <c r="N217" t="n">
        <v>4403</v>
      </c>
      <c r="O217" t="inlineStr">
        <is>
          <t>C1</t>
        </is>
      </c>
      <c r="P217" t="n">
        <v>30</v>
      </c>
      <c r="Q217" t="inlineStr">
        <is>
          <t>Desmonte</t>
        </is>
      </c>
      <c r="R217" t="inlineStr">
        <is>
          <t>Producción</t>
        </is>
      </c>
      <c r="S217" t="n">
        <v>4</v>
      </c>
      <c r="T217" t="n">
        <v>5.5</v>
      </c>
      <c r="U217" t="n">
        <v>3</v>
      </c>
      <c r="V217" t="n">
        <v>0.9234399613178884</v>
      </c>
      <c r="W217" t="n">
        <v>0.178</v>
      </c>
      <c r="X217" t="n">
        <v>0.269</v>
      </c>
      <c r="Y217" t="n">
        <v>0.3</v>
      </c>
      <c r="Z217" t="n">
        <v>1.2</v>
      </c>
      <c r="AA217" t="n">
        <v>2.3</v>
      </c>
      <c r="AB217" t="n">
        <v>3.8</v>
      </c>
      <c r="AC217" t="n">
        <v>5.7</v>
      </c>
      <c r="AD217" t="n">
        <v>7.9</v>
      </c>
      <c r="AE217" t="n">
        <v>10.9</v>
      </c>
      <c r="AF217" t="n">
        <v>15.2</v>
      </c>
      <c r="AG217" t="n">
        <v>22.4</v>
      </c>
      <c r="AH217" t="n">
        <v>72.09999999999999</v>
      </c>
      <c r="AI217" t="inlineStr"/>
      <c r="AJ217" t="n">
        <v>736890</v>
      </c>
      <c r="AK217" t="n">
        <v>243706</v>
      </c>
      <c r="AL217" t="n">
        <v>0.3307223601894448</v>
      </c>
      <c r="AM217" t="inlineStr">
        <is>
          <t>1.0219320929853843</t>
        </is>
      </c>
      <c r="AN217" t="inlineStr">
        <is>
          <t>17</t>
        </is>
      </c>
      <c r="AO217" t="inlineStr">
        <is>
          <t>7</t>
        </is>
      </c>
      <c r="AP217" t="inlineStr">
        <is>
          <t>12 1/4</t>
        </is>
      </c>
      <c r="AQ217" t="inlineStr">
        <is>
          <t>8.5</t>
        </is>
      </c>
      <c r="AR217" t="inlineStr">
        <is>
          <t>9.8</t>
        </is>
      </c>
      <c r="AS217" t="inlineStr">
        <is>
          <t>2</t>
        </is>
      </c>
      <c r="AT217" t="n">
        <v>249</v>
      </c>
      <c r="AU217" t="inlineStr">
        <is>
          <t>Vertex 70</t>
        </is>
      </c>
      <c r="AV217" t="inlineStr">
        <is>
          <t>50AR/50D2 &amp; 100AR</t>
        </is>
      </c>
      <c r="AW217" t="n">
        <v>0.6636162299442596</v>
      </c>
      <c r="AX217" t="n">
        <v>0.7309398901698815</v>
      </c>
      <c r="AY217" t="n">
        <v>0.7944184153360379</v>
      </c>
      <c r="AZ217" t="n">
        <v>0.8513499730353731</v>
      </c>
      <c r="BA217" t="n">
        <v>0.8806658242851575</v>
      </c>
      <c r="BB217" t="n">
        <v>2.165354330708662</v>
      </c>
      <c r="BC217" t="n">
        <v>0.4808540822220572</v>
      </c>
      <c r="BD217" t="n">
        <v>1.083776746442297</v>
      </c>
      <c r="BE217" t="n">
        <v>1.801006834597944</v>
      </c>
      <c r="BF217" t="n">
        <v>2.657351468226313</v>
      </c>
      <c r="BG217" t="n">
        <v>3.698208545372117</v>
      </c>
      <c r="BH217" t="n">
        <v>5.003204575101868</v>
      </c>
      <c r="BI217" t="n">
        <v>6.724547853639715</v>
      </c>
      <c r="BJ217" t="n">
        <v>9.208136468374292</v>
      </c>
      <c r="BK217" t="n">
        <v>13.57090317439889</v>
      </c>
      <c r="BL217" t="n">
        <v>44.59507576373721</v>
      </c>
      <c r="BM217" t="inlineStr"/>
      <c r="BN217" t="n">
        <v>3</v>
      </c>
      <c r="BO217" t="n">
        <v>57</v>
      </c>
      <c r="BP217" t="n">
        <v>152</v>
      </c>
      <c r="BQ217" t="n">
        <v>224</v>
      </c>
      <c r="BR217" t="n">
        <v>721</v>
      </c>
      <c r="BS21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8">
      <c r="A218" t="inlineStr">
        <is>
          <t>FRAG</t>
        </is>
      </c>
      <c r="B218" t="inlineStr">
        <is>
          <t>Fragmentación Desmonte 2025.xlsx</t>
        </is>
      </c>
      <c r="C218" t="inlineStr">
        <is>
          <t>ANÁLISIS DE FRAGMENTACIÓN</t>
        </is>
      </c>
      <c r="D218" t="n">
        <v>222</v>
      </c>
      <c r="E218" t="inlineStr">
        <is>
          <t>ROM (fragmentación post-voladura en el frente de carguío, por análisis de fotos)</t>
        </is>
      </c>
      <c r="F218" t="inlineStr"/>
      <c r="G218" t="inlineStr">
        <is>
          <t>no indicada en el archivo</t>
        </is>
      </c>
      <c r="H218" t="inlineStr">
        <is>
          <t>2025-05-26</t>
        </is>
      </c>
      <c r="I218" t="inlineStr">
        <is>
          <t>2025-06-18</t>
        </is>
      </c>
      <c r="J218" t="inlineStr">
        <is>
          <t>PALA 11</t>
        </is>
      </c>
      <c r="K218" t="n">
        <v>10</v>
      </c>
      <c r="L218" t="inlineStr">
        <is>
          <t>10-NP-4403-19</t>
        </is>
      </c>
      <c r="M218" t="n">
        <v>6</v>
      </c>
      <c r="N218" t="n">
        <v>4403</v>
      </c>
      <c r="O218" t="inlineStr">
        <is>
          <t>C</t>
        </is>
      </c>
      <c r="P218" t="n">
        <v>30</v>
      </c>
      <c r="Q218" t="inlineStr">
        <is>
          <t>Desmonte</t>
        </is>
      </c>
      <c r="R218" t="inlineStr">
        <is>
          <t>Producción</t>
        </is>
      </c>
      <c r="S218" t="n">
        <v>4</v>
      </c>
      <c r="T218" t="n">
        <v>5.7</v>
      </c>
      <c r="U218" t="n">
        <v>3</v>
      </c>
      <c r="V218" t="n">
        <v>0.9688998937770368</v>
      </c>
      <c r="W218" t="n">
        <v>0.14</v>
      </c>
      <c r="X218" t="n">
        <v>0.232</v>
      </c>
      <c r="Y218" t="n">
        <v>0.6</v>
      </c>
      <c r="Z218" t="n">
        <v>1.6</v>
      </c>
      <c r="AA218" t="n">
        <v>2.8</v>
      </c>
      <c r="AB218" t="n">
        <v>4.2</v>
      </c>
      <c r="AC218" t="n">
        <v>5.8</v>
      </c>
      <c r="AD218" t="n">
        <v>7.7</v>
      </c>
      <c r="AE218" t="n">
        <v>10</v>
      </c>
      <c r="AF218" t="n">
        <v>13.3</v>
      </c>
      <c r="AG218" t="n">
        <v>18.8</v>
      </c>
      <c r="AH218" t="n">
        <v>60.9</v>
      </c>
      <c r="AI218" t="inlineStr"/>
      <c r="AJ218" t="n">
        <v>942067.5</v>
      </c>
      <c r="AK218" t="n">
        <v>272429</v>
      </c>
      <c r="AL218" t="n">
        <v>0.2891820384420437</v>
      </c>
      <c r="AM218" t="inlineStr">
        <is>
          <t>0.893572498785915</t>
        </is>
      </c>
      <c r="AN218" t="inlineStr">
        <is>
          <t>17</t>
        </is>
      </c>
      <c r="AO218" t="inlineStr">
        <is>
          <t>7</t>
        </is>
      </c>
      <c r="AP218" t="inlineStr">
        <is>
          <t>12 1/4</t>
        </is>
      </c>
      <c r="AQ218" t="inlineStr">
        <is>
          <t>8.5</t>
        </is>
      </c>
      <c r="AR218" t="inlineStr">
        <is>
          <t>9.8</t>
        </is>
      </c>
      <c r="AS218" t="inlineStr">
        <is>
          <t>2</t>
        </is>
      </c>
      <c r="AT218" t="n">
        <v>293</v>
      </c>
      <c r="AU218" t="inlineStr">
        <is>
          <t>Vertex 70</t>
        </is>
      </c>
      <c r="AV218" t="inlineStr">
        <is>
          <t>51AR/49D2</t>
        </is>
      </c>
      <c r="AW218" t="n">
        <v>0.6552012603102026</v>
      </c>
      <c r="AX218" t="n">
        <v>0.7136557511119686</v>
      </c>
      <c r="AY218" t="n">
        <v>0.769783654319357</v>
      </c>
      <c r="AZ218" t="n">
        <v>0.8218223723176474</v>
      </c>
      <c r="BA218" t="n">
        <v>0.8496991056893706</v>
      </c>
      <c r="BB218" t="n">
        <v>2.244094488188976</v>
      </c>
      <c r="BC218" t="n">
        <v>0.5587046648293189</v>
      </c>
      <c r="BD218" t="n">
        <v>1.21213171932118</v>
      </c>
      <c r="BE218" t="n">
        <v>1.966872182425656</v>
      </c>
      <c r="BF218" t="n">
        <v>2.849597744255145</v>
      </c>
      <c r="BG218" t="n">
        <v>3.904730580046249</v>
      </c>
      <c r="BH218" t="n">
        <v>5.208221908659374</v>
      </c>
      <c r="BI218" t="n">
        <v>6.903656852846815</v>
      </c>
      <c r="BJ218" t="n">
        <v>9.315002778205397</v>
      </c>
      <c r="BK218" t="n">
        <v>13.48084381659408</v>
      </c>
      <c r="BL218" t="n">
        <v>41.8941270984413</v>
      </c>
      <c r="BM218" t="inlineStr"/>
      <c r="BN218" t="n">
        <v>6</v>
      </c>
      <c r="BO218" t="n">
        <v>58</v>
      </c>
      <c r="BP218" t="n">
        <v>133</v>
      </c>
      <c r="BQ218" t="n">
        <v>188</v>
      </c>
      <c r="BR218" t="n">
        <v>609</v>
      </c>
      <c r="BS21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19">
      <c r="A219" t="inlineStr">
        <is>
          <t>FRAG</t>
        </is>
      </c>
      <c r="B219" t="inlineStr">
        <is>
          <t>Fragmentación Desmonte 2025.xlsx</t>
        </is>
      </c>
      <c r="C219" t="inlineStr">
        <is>
          <t>ANÁLISIS DE FRAGMENTACIÓN</t>
        </is>
      </c>
      <c r="D219" t="n">
        <v>223</v>
      </c>
      <c r="E219" t="inlineStr">
        <is>
          <t>ROM (fragmentación post-voladura en el frente de carguío, por análisis de fotos)</t>
        </is>
      </c>
      <c r="F219" t="inlineStr"/>
      <c r="G219" t="inlineStr">
        <is>
          <t>no indicada en el archivo</t>
        </is>
      </c>
      <c r="H219" t="inlineStr">
        <is>
          <t>2025-06-13</t>
        </is>
      </c>
      <c r="I219" t="inlineStr">
        <is>
          <t>2025-06-24</t>
        </is>
      </c>
      <c r="J219" t="inlineStr">
        <is>
          <t>PALA 07</t>
        </is>
      </c>
      <c r="K219" t="n">
        <v>9</v>
      </c>
      <c r="L219" t="inlineStr">
        <is>
          <t>9-NP-3908-04</t>
        </is>
      </c>
      <c r="M219" t="n">
        <v>1</v>
      </c>
      <c r="N219" t="n">
        <v>3908</v>
      </c>
      <c r="O219" t="inlineStr">
        <is>
          <t>A</t>
        </is>
      </c>
      <c r="P219" t="n">
        <v>30</v>
      </c>
      <c r="Q219" t="inlineStr">
        <is>
          <t>Desmonte</t>
        </is>
      </c>
      <c r="R219" t="inlineStr">
        <is>
          <t>Producción</t>
        </is>
      </c>
      <c r="S219" t="n">
        <v>9</v>
      </c>
      <c r="T219" t="n">
        <v>12.9</v>
      </c>
      <c r="U219" t="n">
        <v>3</v>
      </c>
      <c r="V219" t="n">
        <v>1.075473317896057</v>
      </c>
      <c r="W219" t="n">
        <v>0.056</v>
      </c>
      <c r="X219" t="n">
        <v>0.096</v>
      </c>
      <c r="Y219" t="n">
        <v>2</v>
      </c>
      <c r="Z219" t="n">
        <v>4.6</v>
      </c>
      <c r="AA219" t="n">
        <v>7.3</v>
      </c>
      <c r="AB219" t="n">
        <v>10</v>
      </c>
      <c r="AC219" t="n">
        <v>13</v>
      </c>
      <c r="AD219" t="n">
        <v>16.3</v>
      </c>
      <c r="AE219" t="n">
        <v>20.3</v>
      </c>
      <c r="AF219" t="n">
        <v>25.7</v>
      </c>
      <c r="AG219" t="n">
        <v>34.2</v>
      </c>
      <c r="AH219" t="n">
        <v>97.7</v>
      </c>
      <c r="AI219" t="inlineStr"/>
      <c r="AJ219" t="n">
        <v>263357.7375</v>
      </c>
      <c r="AK219" t="n">
        <v>80127.27</v>
      </c>
      <c r="AL219" t="n">
        <v>0.3042525758332807</v>
      </c>
      <c r="AM219" t="inlineStr">
        <is>
          <t>0.9401404593248375</t>
        </is>
      </c>
      <c r="AN219" t="inlineStr">
        <is>
          <t>17</t>
        </is>
      </c>
      <c r="AO219" t="inlineStr">
        <is>
          <t>6.5</t>
        </is>
      </c>
      <c r="AP219" t="inlineStr">
        <is>
          <t>12 1/4</t>
        </is>
      </c>
      <c r="AQ219" t="inlineStr">
        <is>
          <t>6</t>
        </is>
      </c>
      <c r="AR219" t="inlineStr">
        <is>
          <t>7</t>
        </is>
      </c>
      <c r="AS219" t="inlineStr">
        <is>
          <t>2</t>
        </is>
      </c>
      <c r="AT219" t="n">
        <v>87</v>
      </c>
      <c r="AU219" t="inlineStr">
        <is>
          <t>Vertex 70</t>
        </is>
      </c>
      <c r="AV219" t="inlineStr">
        <is>
          <t xml:space="preserve"> 51AR/49D2</t>
        </is>
      </c>
      <c r="AW219" t="n">
        <v>0.6379918777479003</v>
      </c>
      <c r="AX219" t="n">
        <v>0.6624364923680104</v>
      </c>
      <c r="AY219" t="n">
        <v>0.6867410246395749</v>
      </c>
      <c r="AZ219" t="n">
        <v>0.7107864306970437</v>
      </c>
      <c r="BA219" t="n">
        <v>0.7246828400101792</v>
      </c>
      <c r="BB219" t="n">
        <v>5.078740157480315</v>
      </c>
      <c r="BC219" t="n">
        <v>1.591669793413589</v>
      </c>
      <c r="BD219" t="n">
        <v>3.198072778292688</v>
      </c>
      <c r="BE219" t="n">
        <v>4.946322233267076</v>
      </c>
      <c r="BF219" t="n">
        <v>6.907722552506809</v>
      </c>
      <c r="BG219" t="n">
        <v>9.1745661710268</v>
      </c>
      <c r="BH219" t="n">
        <v>11.89288960257263</v>
      </c>
      <c r="BI219" t="n">
        <v>15.33024034826872</v>
      </c>
      <c r="BJ219" t="n">
        <v>20.07983749651029</v>
      </c>
      <c r="BK219" t="n">
        <v>28.01471746886098</v>
      </c>
      <c r="BL219" t="n">
        <v>77.80806950241626</v>
      </c>
      <c r="BM219" t="inlineStr"/>
      <c r="BN219" t="n">
        <v>20</v>
      </c>
      <c r="BO219" t="n">
        <v>130</v>
      </c>
      <c r="BP219" t="n">
        <v>257</v>
      </c>
      <c r="BQ219" t="n">
        <v>342</v>
      </c>
      <c r="BR219" t="n">
        <v>977</v>
      </c>
      <c r="BS21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0">
      <c r="A220" t="inlineStr">
        <is>
          <t>FRAG</t>
        </is>
      </c>
      <c r="B220" t="inlineStr">
        <is>
          <t>Fragmentación Desmonte 2025.xlsx</t>
        </is>
      </c>
      <c r="C220" t="inlineStr">
        <is>
          <t>ANÁLISIS DE FRAGMENTACIÓN</t>
        </is>
      </c>
      <c r="D220" t="n">
        <v>224</v>
      </c>
      <c r="E220" t="inlineStr">
        <is>
          <t>ROM (fragmentación post-voladura en el frente de carguío, por análisis de fotos)</t>
        </is>
      </c>
      <c r="F220" t="inlineStr"/>
      <c r="G220" t="inlineStr">
        <is>
          <t>no indicada en el archivo</t>
        </is>
      </c>
      <c r="H220" t="inlineStr">
        <is>
          <t>2025-06-20</t>
        </is>
      </c>
      <c r="I220" t="inlineStr">
        <is>
          <t>2025-06-24</t>
        </is>
      </c>
      <c r="J220" t="inlineStr">
        <is>
          <t>PALA 08</t>
        </is>
      </c>
      <c r="K220" t="n">
        <v>9</v>
      </c>
      <c r="L220" t="inlineStr">
        <is>
          <t>9-NP-3908-07</t>
        </is>
      </c>
      <c r="M220" t="n">
        <v>2</v>
      </c>
      <c r="N220" t="n">
        <v>3908</v>
      </c>
      <c r="O220" t="inlineStr">
        <is>
          <t>C</t>
        </is>
      </c>
      <c r="P220" t="n">
        <v>30</v>
      </c>
      <c r="Q220" t="inlineStr">
        <is>
          <t>Desmonte</t>
        </is>
      </c>
      <c r="R220" t="inlineStr">
        <is>
          <t>Producción</t>
        </is>
      </c>
      <c r="S220" t="n">
        <v>7</v>
      </c>
      <c r="T220" t="n">
        <v>12.5</v>
      </c>
      <c r="U220" t="n">
        <v>4</v>
      </c>
      <c r="V220" t="n">
        <v>1.51172121097056</v>
      </c>
      <c r="W220" t="n">
        <v>0.099</v>
      </c>
      <c r="X220" t="n">
        <v>0.148</v>
      </c>
      <c r="Y220" t="n">
        <v>1</v>
      </c>
      <c r="Z220" t="n">
        <v>3.2</v>
      </c>
      <c r="AA220" t="n">
        <v>5.9</v>
      </c>
      <c r="AB220" t="n">
        <v>9</v>
      </c>
      <c r="AC220" t="n">
        <v>12.5</v>
      </c>
      <c r="AD220" t="n">
        <v>16.6</v>
      </c>
      <c r="AE220" t="n">
        <v>21.4</v>
      </c>
      <c r="AF220" t="n">
        <v>27.7</v>
      </c>
      <c r="AG220" t="n">
        <v>37.4</v>
      </c>
      <c r="AH220" t="n">
        <v>81.7</v>
      </c>
      <c r="AI220" t="inlineStr"/>
      <c r="AJ220" t="n">
        <v>394861.0875</v>
      </c>
      <c r="AK220" t="n">
        <v>78063</v>
      </c>
      <c r="AL220" t="n">
        <v>0.1976973737631212</v>
      </c>
      <c r="AM220" t="inlineStr">
        <is>
          <t>0.6108848849280445</t>
        </is>
      </c>
      <c r="AN220" t="inlineStr">
        <is>
          <t>16.5</t>
        </is>
      </c>
      <c r="AO220" t="inlineStr">
        <is>
          <t>6.5</t>
        </is>
      </c>
      <c r="AP220" t="inlineStr">
        <is>
          <t>12 1/4</t>
        </is>
      </c>
      <c r="AQ220" t="inlineStr">
        <is>
          <t>6</t>
        </is>
      </c>
      <c r="AR220" t="inlineStr">
        <is>
          <t>7</t>
        </is>
      </c>
      <c r="AS220" t="inlineStr">
        <is>
          <t>1.5</t>
        </is>
      </c>
      <c r="AT220" t="n">
        <v>88</v>
      </c>
      <c r="AU220" t="inlineStr">
        <is>
          <t>Vertex 70</t>
        </is>
      </c>
      <c r="AV220" t="inlineStr">
        <is>
          <t xml:space="preserve"> 54AR/46D2</t>
        </is>
      </c>
      <c r="AW220" t="n">
        <v>0.6226353417026693</v>
      </c>
      <c r="AX220" t="n">
        <v>0.6603452083957284</v>
      </c>
      <c r="AY220" t="n">
        <v>0.6977441937503881</v>
      </c>
      <c r="AZ220" t="n">
        <v>0.7343937403774077</v>
      </c>
      <c r="BA220" t="n">
        <v>0.755302355303748</v>
      </c>
      <c r="BB220" t="n">
        <v>4.921259842519685</v>
      </c>
      <c r="BC220" t="n">
        <v>2.821069273546648</v>
      </c>
      <c r="BD220" t="n">
        <v>4.634470236789847</v>
      </c>
      <c r="BE220" t="n">
        <v>6.320324835780012</v>
      </c>
      <c r="BF220" t="n">
        <v>8.015545392862283</v>
      </c>
      <c r="BG220" t="n">
        <v>9.808812492745879</v>
      </c>
      <c r="BH220" t="n">
        <v>11.79763964830349</v>
      </c>
      <c r="BI220" t="n">
        <v>14.1331104807181</v>
      </c>
      <c r="BJ220" t="n">
        <v>17.12476123230315</v>
      </c>
      <c r="BK220" t="n">
        <v>21.70275326638086</v>
      </c>
      <c r="BL220" t="n">
        <v>44.88791288050379</v>
      </c>
      <c r="BM220" t="inlineStr"/>
      <c r="BN220" t="n">
        <v>10</v>
      </c>
      <c r="BO220" t="n">
        <v>125</v>
      </c>
      <c r="BP220" t="n">
        <v>277</v>
      </c>
      <c r="BQ220" t="n">
        <v>374</v>
      </c>
      <c r="BR220" t="n">
        <v>817</v>
      </c>
      <c r="BS22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1">
      <c r="A221" t="inlineStr">
        <is>
          <t>FRAG</t>
        </is>
      </c>
      <c r="B221" t="inlineStr">
        <is>
          <t>Fragmentación Desmonte 2025.xlsx</t>
        </is>
      </c>
      <c r="C221" t="inlineStr">
        <is>
          <t>ANÁLISIS DE FRAGMENTACIÓN</t>
        </is>
      </c>
      <c r="D221" t="n">
        <v>225</v>
      </c>
      <c r="E221" t="inlineStr">
        <is>
          <t>ROM (fragmentación post-voladura en el frente de carguío, por análisis de fotos)</t>
        </is>
      </c>
      <c r="F221" t="inlineStr"/>
      <c r="G221" t="inlineStr">
        <is>
          <t>no indicada en el archivo</t>
        </is>
      </c>
      <c r="H221" t="inlineStr">
        <is>
          <t>2025-06-20</t>
        </is>
      </c>
      <c r="I221" t="inlineStr">
        <is>
          <t>2025-06-24</t>
        </is>
      </c>
      <c r="J221" t="inlineStr">
        <is>
          <t>PALA 10</t>
        </is>
      </c>
      <c r="K221" t="n">
        <v>9</v>
      </c>
      <c r="L221" t="inlineStr">
        <is>
          <t>9-NP-3923-17</t>
        </is>
      </c>
      <c r="M221" t="n">
        <v>4</v>
      </c>
      <c r="N221" t="n">
        <v>3923</v>
      </c>
      <c r="O221" t="inlineStr">
        <is>
          <t>A</t>
        </is>
      </c>
      <c r="P221" t="n">
        <v>30</v>
      </c>
      <c r="Q221" t="inlineStr">
        <is>
          <t>Desmonte</t>
        </is>
      </c>
      <c r="R221" t="inlineStr">
        <is>
          <t>Producción</t>
        </is>
      </c>
      <c r="S221" t="n">
        <v>7</v>
      </c>
      <c r="T221" t="n">
        <v>21.2</v>
      </c>
      <c r="U221" t="n">
        <v>4</v>
      </c>
      <c r="V221" t="n">
        <v>1.620053178144277</v>
      </c>
      <c r="W221" t="n">
        <v>0.026</v>
      </c>
      <c r="X221" t="n">
        <v>0.046</v>
      </c>
      <c r="Y221" t="n">
        <v>4.6</v>
      </c>
      <c r="Z221" t="n">
        <v>9.1</v>
      </c>
      <c r="AA221" t="n">
        <v>13.2</v>
      </c>
      <c r="AB221" t="n">
        <v>17.1</v>
      </c>
      <c r="AC221" t="n">
        <v>21.2</v>
      </c>
      <c r="AD221" t="n">
        <v>25.7</v>
      </c>
      <c r="AE221" t="n">
        <v>30.9</v>
      </c>
      <c r="AF221" t="n">
        <v>37.5</v>
      </c>
      <c r="AG221" t="n">
        <v>47.7</v>
      </c>
      <c r="AH221" t="n">
        <v>118.2</v>
      </c>
      <c r="AI221" t="inlineStr"/>
      <c r="AJ221" t="n">
        <v>629320.3125</v>
      </c>
      <c r="AK221" t="n">
        <v>262601.8</v>
      </c>
      <c r="AL221" t="n">
        <v>0.4172784427643911</v>
      </c>
      <c r="AM221" t="inlineStr">
        <is>
          <t>1.2893903881419686</t>
        </is>
      </c>
      <c r="AN221" t="inlineStr">
        <is>
          <t>16.5</t>
        </is>
      </c>
      <c r="AO221" t="inlineStr">
        <is>
          <t>6.5</t>
        </is>
      </c>
      <c r="AP221" t="inlineStr">
        <is>
          <t>12 1/4</t>
        </is>
      </c>
      <c r="AQ221" t="inlineStr">
        <is>
          <t>6</t>
        </is>
      </c>
      <c r="AR221" t="inlineStr">
        <is>
          <t>7</t>
        </is>
      </c>
      <c r="AS221" t="inlineStr">
        <is>
          <t>1.5</t>
        </is>
      </c>
      <c r="AT221" t="n">
        <v>311</v>
      </c>
      <c r="AU221" t="inlineStr">
        <is>
          <t>Vertex 70</t>
        </is>
      </c>
      <c r="AV221" t="inlineStr">
        <is>
          <t xml:space="preserve"> 54AR/46D2</t>
        </is>
      </c>
      <c r="AW221" t="n">
        <v>0.6280010073140176</v>
      </c>
      <c r="AX221" t="n">
        <v>0.639730127388207</v>
      </c>
      <c r="AY221" t="n">
        <v>0.6514514015303681</v>
      </c>
      <c r="AZ221" t="n">
        <v>0.6631524884525297</v>
      </c>
      <c r="BA221" t="n">
        <v>0.6699827769142748</v>
      </c>
      <c r="BB221" t="n">
        <v>8.346456692913385</v>
      </c>
      <c r="BC221" t="n">
        <v>5.285309318148187</v>
      </c>
      <c r="BD221" t="n">
        <v>8.399252327080216</v>
      </c>
      <c r="BE221" t="n">
        <v>11.21940939497632</v>
      </c>
      <c r="BF221" t="n">
        <v>14.00435707727343</v>
      </c>
      <c r="BG221" t="n">
        <v>16.90764800956945</v>
      </c>
      <c r="BH221" t="n">
        <v>20.08632067284582</v>
      </c>
      <c r="BI221" t="n">
        <v>23.77374545181306</v>
      </c>
      <c r="BJ221" t="n">
        <v>28.43860943659207</v>
      </c>
      <c r="BK221" t="n">
        <v>35.47467724835694</v>
      </c>
      <c r="BL221" t="n">
        <v>69.8920981879495</v>
      </c>
      <c r="BM221" t="inlineStr"/>
      <c r="BN221" t="n">
        <v>46</v>
      </c>
      <c r="BO221" t="n">
        <v>212</v>
      </c>
      <c r="BP221" t="n">
        <v>375</v>
      </c>
      <c r="BQ221" t="n">
        <v>477</v>
      </c>
      <c r="BR221" t="n">
        <v>1182</v>
      </c>
      <c r="BS22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2">
      <c r="A222" t="inlineStr">
        <is>
          <t>FRAG</t>
        </is>
      </c>
      <c r="B222" t="inlineStr">
        <is>
          <t>Fragmentación Desmonte 2025.xlsx</t>
        </is>
      </c>
      <c r="C222" t="inlineStr">
        <is>
          <t>ANÁLISIS DE FRAGMENTACIÓN</t>
        </is>
      </c>
      <c r="D222" t="n">
        <v>226</v>
      </c>
      <c r="E222" t="inlineStr">
        <is>
          <t>ROM (fragmentación post-voladura en el frente de carguío, por análisis de fotos)</t>
        </is>
      </c>
      <c r="F222" t="inlineStr"/>
      <c r="G222" t="inlineStr">
        <is>
          <t>no indicada en el archivo</t>
        </is>
      </c>
      <c r="H222" t="inlineStr">
        <is>
          <t>2025-06-20</t>
        </is>
      </c>
      <c r="I222" t="inlineStr">
        <is>
          <t>2025-06-25</t>
        </is>
      </c>
      <c r="J222" t="inlineStr">
        <is>
          <t>PALA 10</t>
        </is>
      </c>
      <c r="K222" t="n">
        <v>9</v>
      </c>
      <c r="L222" t="inlineStr">
        <is>
          <t>9-NP-3923-17</t>
        </is>
      </c>
      <c r="M222" t="n">
        <v>4</v>
      </c>
      <c r="N222" t="n">
        <v>3923</v>
      </c>
      <c r="O222" t="inlineStr">
        <is>
          <t>A</t>
        </is>
      </c>
      <c r="P222" t="n">
        <v>30</v>
      </c>
      <c r="Q222" t="inlineStr">
        <is>
          <t>Desmonte</t>
        </is>
      </c>
      <c r="R222" t="inlineStr">
        <is>
          <t>Producción</t>
        </is>
      </c>
      <c r="S222" t="n">
        <v>4</v>
      </c>
      <c r="T222" t="n">
        <v>9.4</v>
      </c>
      <c r="U222" t="n">
        <v>3</v>
      </c>
      <c r="V222" t="n">
        <v>1.050105165384258</v>
      </c>
      <c r="W222" t="n">
        <v>0.106</v>
      </c>
      <c r="X222" t="n">
        <v>0.167</v>
      </c>
      <c r="Y222" t="n">
        <v>0.9</v>
      </c>
      <c r="Z222" t="n">
        <v>2.5</v>
      </c>
      <c r="AA222" t="n">
        <v>4.6</v>
      </c>
      <c r="AB222" t="n">
        <v>6.9</v>
      </c>
      <c r="AC222" t="n">
        <v>9.4</v>
      </c>
      <c r="AD222" t="n">
        <v>12.5</v>
      </c>
      <c r="AE222" t="n">
        <v>16.2</v>
      </c>
      <c r="AF222" t="n">
        <v>21.2</v>
      </c>
      <c r="AG222" t="n">
        <v>29.1</v>
      </c>
      <c r="AH222" t="n">
        <v>75.7</v>
      </c>
      <c r="AI222" t="inlineStr"/>
      <c r="AJ222" t="n">
        <v>629320.3125</v>
      </c>
      <c r="AK222" t="n">
        <v>262601.8</v>
      </c>
      <c r="AL222" t="n">
        <v>0.4172784427643911</v>
      </c>
      <c r="AM222" t="inlineStr">
        <is>
          <t>1.2893903881419686</t>
        </is>
      </c>
      <c r="AN222" t="inlineStr">
        <is>
          <t>16.5</t>
        </is>
      </c>
      <c r="AO222" t="inlineStr">
        <is>
          <t>6.5</t>
        </is>
      </c>
      <c r="AP222" t="inlineStr">
        <is>
          <t>12 1/4</t>
        </is>
      </c>
      <c r="AQ222" t="inlineStr">
        <is>
          <t>6</t>
        </is>
      </c>
      <c r="AR222" t="inlineStr">
        <is>
          <t>7</t>
        </is>
      </c>
      <c r="AS222" t="inlineStr">
        <is>
          <t>1.5</t>
        </is>
      </c>
      <c r="AT222" t="n">
        <v>311</v>
      </c>
      <c r="AU222" t="inlineStr">
        <is>
          <t>Vertex 70</t>
        </is>
      </c>
      <c r="AV222" t="inlineStr">
        <is>
          <t xml:space="preserve"> 54AR/46D2</t>
        </is>
      </c>
      <c r="AW222" t="n">
        <v>0.6437991723048333</v>
      </c>
      <c r="AX222" t="n">
        <v>0.6861816837876249</v>
      </c>
      <c r="AY222" t="n">
        <v>0.7277863294814024</v>
      </c>
      <c r="AZ222" t="n">
        <v>0.7679608452418273</v>
      </c>
      <c r="BA222" t="n">
        <v>0.7905338316367136</v>
      </c>
      <c r="BB222" t="n">
        <v>3.700787401574803</v>
      </c>
      <c r="BC222" t="n">
        <v>1.102651074148603</v>
      </c>
      <c r="BD222" t="n">
        <v>2.25317082177932</v>
      </c>
      <c r="BE222" t="n">
        <v>3.521790447524373</v>
      </c>
      <c r="BF222" t="n">
        <v>4.958155344215252</v>
      </c>
      <c r="BG222" t="n">
        <v>6.630529878745683</v>
      </c>
      <c r="BH222" t="n">
        <v>8.649135619923374</v>
      </c>
      <c r="BI222" t="n">
        <v>11.21754840349852</v>
      </c>
      <c r="BJ222" t="n">
        <v>14.78906572162769</v>
      </c>
      <c r="BK222" t="n">
        <v>20.79987038072431</v>
      </c>
      <c r="BL222" t="n">
        <v>59.21289793735965</v>
      </c>
      <c r="BM222" t="inlineStr"/>
      <c r="BN222" t="n">
        <v>9</v>
      </c>
      <c r="BO222" t="n">
        <v>94</v>
      </c>
      <c r="BP222" t="n">
        <v>212</v>
      </c>
      <c r="BQ222" t="n">
        <v>291</v>
      </c>
      <c r="BR222" t="n">
        <v>757</v>
      </c>
      <c r="BS22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3">
      <c r="A223" t="inlineStr">
        <is>
          <t>FRAG</t>
        </is>
      </c>
      <c r="B223" t="inlineStr">
        <is>
          <t>Fragmentación Desmonte 2025.xlsx</t>
        </is>
      </c>
      <c r="C223" t="inlineStr">
        <is>
          <t>ANÁLISIS DE FRAGMENTACIÓN</t>
        </is>
      </c>
      <c r="D223" t="n">
        <v>227</v>
      </c>
      <c r="E223" t="inlineStr">
        <is>
          <t>ROM (fragmentación post-voladura en el frente de carguío, por análisis de fotos)</t>
        </is>
      </c>
      <c r="F223" t="inlineStr"/>
      <c r="G223" t="inlineStr">
        <is>
          <t>no indicada en el archivo</t>
        </is>
      </c>
      <c r="H223" t="inlineStr">
        <is>
          <t>2025-06-25</t>
        </is>
      </c>
      <c r="I223" t="inlineStr">
        <is>
          <t>2025-06-26</t>
        </is>
      </c>
      <c r="J223" t="inlineStr">
        <is>
          <t>PALA 08</t>
        </is>
      </c>
      <c r="K223" t="n">
        <v>9</v>
      </c>
      <c r="L223" t="inlineStr">
        <is>
          <t>9-NP-3923-28</t>
        </is>
      </c>
      <c r="M223" t="n">
        <v>6</v>
      </c>
      <c r="N223" t="n">
        <v>3923</v>
      </c>
      <c r="O223" t="inlineStr">
        <is>
          <t>A</t>
        </is>
      </c>
      <c r="P223" t="n">
        <v>30</v>
      </c>
      <c r="Q223" t="inlineStr">
        <is>
          <t>Desmonte</t>
        </is>
      </c>
      <c r="R223" t="inlineStr">
        <is>
          <t>Producción</t>
        </is>
      </c>
      <c r="S223" t="n">
        <v>7</v>
      </c>
      <c r="T223" t="n">
        <v>9.4</v>
      </c>
      <c r="U223" t="n">
        <v>3</v>
      </c>
      <c r="V223" t="n">
        <v>1.211749574734674</v>
      </c>
      <c r="W223" t="n">
        <v>0.066</v>
      </c>
      <c r="X223" t="n">
        <v>0.1</v>
      </c>
      <c r="Y223" t="n">
        <v>1.9</v>
      </c>
      <c r="Z223" t="n">
        <v>5.5</v>
      </c>
      <c r="AA223" t="n">
        <v>9.4</v>
      </c>
      <c r="AB223" t="n">
        <v>13.6</v>
      </c>
      <c r="AC223" t="n">
        <v>18.1</v>
      </c>
      <c r="AD223" t="n">
        <v>23.2</v>
      </c>
      <c r="AE223" t="n">
        <v>29.2</v>
      </c>
      <c r="AF223" t="n">
        <v>36.8</v>
      </c>
      <c r="AG223" t="n">
        <v>48.2</v>
      </c>
      <c r="AH223" t="n">
        <v>101.5</v>
      </c>
      <c r="AI223" t="inlineStr"/>
      <c r="AJ223" t="n">
        <v>538890</v>
      </c>
      <c r="AK223" t="n">
        <v>160348.74</v>
      </c>
      <c r="AL223" t="n">
        <v>0.2975537493737126</v>
      </c>
      <c r="AM223" t="inlineStr">
        <is>
          <t>-</t>
        </is>
      </c>
      <c r="AN223" t="inlineStr">
        <is>
          <t>16.5</t>
        </is>
      </c>
      <c r="AO223" t="inlineStr">
        <is>
          <t>6.5</t>
        </is>
      </c>
      <c r="AP223" t="inlineStr">
        <is>
          <t>12 1/4</t>
        </is>
      </c>
      <c r="AQ223" t="inlineStr">
        <is>
          <t>6</t>
        </is>
      </c>
      <c r="AR223" t="inlineStr">
        <is>
          <t>7</t>
        </is>
      </c>
      <c r="AS223" t="inlineStr">
        <is>
          <t>1.5</t>
        </is>
      </c>
      <c r="AT223" t="n">
        <v>287</v>
      </c>
      <c r="AU223" t="inlineStr">
        <is>
          <t>Emulgex 70</t>
        </is>
      </c>
      <c r="AV223" t="inlineStr">
        <is>
          <t>54AR/46D2</t>
        </is>
      </c>
      <c r="AW223" t="n">
        <v>0.6338478073603326</v>
      </c>
      <c r="AX223" t="n">
        <v>0.6593219723928287</v>
      </c>
      <c r="AY223" t="n">
        <v>0.6846601601654305</v>
      </c>
      <c r="AZ223" t="n">
        <v>0.7097284548405667</v>
      </c>
      <c r="BA223" t="n">
        <v>0.7242119456056075</v>
      </c>
      <c r="BB223" t="n">
        <v>3.700787401574803</v>
      </c>
      <c r="BC223" t="n">
        <v>1.467539588130438</v>
      </c>
      <c r="BD223" t="n">
        <v>2.726120893147056</v>
      </c>
      <c r="BE223" t="n">
        <v>4.014573971395234</v>
      </c>
      <c r="BF223" t="n">
        <v>5.399816428324183</v>
      </c>
      <c r="BG223" t="n">
        <v>6.946540691954924</v>
      </c>
      <c r="BH223" t="n">
        <v>8.745722929933365</v>
      </c>
      <c r="BI223" t="n">
        <v>10.95612579561582</v>
      </c>
      <c r="BJ223" t="n">
        <v>13.92151131371064</v>
      </c>
      <c r="BK223" t="n">
        <v>18.70886519693256</v>
      </c>
      <c r="BL223" t="n">
        <v>46.32262945670352</v>
      </c>
      <c r="BM223" t="inlineStr"/>
      <c r="BN223" t="n">
        <v>19</v>
      </c>
      <c r="BO223" t="n">
        <v>181</v>
      </c>
      <c r="BP223" t="n">
        <v>368</v>
      </c>
      <c r="BQ223" t="n">
        <v>482</v>
      </c>
      <c r="BR223" t="n">
        <v>1015</v>
      </c>
      <c r="BS22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4">
      <c r="A224" t="inlineStr">
        <is>
          <t>FRAG</t>
        </is>
      </c>
      <c r="B224" t="inlineStr">
        <is>
          <t>Fragmentación Desmonte 2025.xlsx</t>
        </is>
      </c>
      <c r="C224" t="inlineStr">
        <is>
          <t>ANÁLISIS DE FRAGMENTACIÓN</t>
        </is>
      </c>
      <c r="D224" t="n">
        <v>228</v>
      </c>
      <c r="E224" t="inlineStr">
        <is>
          <t>ROM (fragmentación post-voladura en el frente de carguío, por análisis de fotos)</t>
        </is>
      </c>
      <c r="F224" t="inlineStr"/>
      <c r="G224" t="inlineStr">
        <is>
          <t>no indicada en el archivo</t>
        </is>
      </c>
      <c r="H224" t="inlineStr">
        <is>
          <t>2025-06-20</t>
        </is>
      </c>
      <c r="I224" t="inlineStr">
        <is>
          <t>2025-06-27</t>
        </is>
      </c>
      <c r="J224" t="inlineStr">
        <is>
          <t>PALA 09</t>
        </is>
      </c>
      <c r="K224" t="n">
        <v>9</v>
      </c>
      <c r="L224" t="inlineStr">
        <is>
          <t>9-NP-3923-17</t>
        </is>
      </c>
      <c r="M224" t="n">
        <v>10</v>
      </c>
      <c r="N224" t="n">
        <v>3923</v>
      </c>
      <c r="O224" t="inlineStr">
        <is>
          <t>A</t>
        </is>
      </c>
      <c r="P224" t="n">
        <v>30</v>
      </c>
      <c r="Q224" t="inlineStr">
        <is>
          <t>Desmonte</t>
        </is>
      </c>
      <c r="R224" t="inlineStr">
        <is>
          <t>Producción</t>
        </is>
      </c>
      <c r="S224" t="n">
        <v>4</v>
      </c>
      <c r="T224" t="n">
        <v>18.1</v>
      </c>
      <c r="U224" t="n">
        <v>3</v>
      </c>
      <c r="V224" t="n">
        <v>1.10028324245141</v>
      </c>
      <c r="W224" t="n">
        <v>0.057</v>
      </c>
      <c r="X224" t="n">
        <v>0.091</v>
      </c>
      <c r="Y224" t="n">
        <v>2.2</v>
      </c>
      <c r="Z224" t="n">
        <v>5.8</v>
      </c>
      <c r="AA224" t="n">
        <v>9.6</v>
      </c>
      <c r="AB224" t="n">
        <v>13.7</v>
      </c>
      <c r="AC224" t="n">
        <v>18.2</v>
      </c>
      <c r="AD224" t="n">
        <v>23.3</v>
      </c>
      <c r="AE224" t="n">
        <v>29.4</v>
      </c>
      <c r="AF224" t="n">
        <v>37.4</v>
      </c>
      <c r="AG224" t="n">
        <v>50.1</v>
      </c>
      <c r="AH224" t="n">
        <v>128.5</v>
      </c>
      <c r="AI224" t="inlineStr"/>
      <c r="AJ224" t="n">
        <v>629320.3125</v>
      </c>
      <c r="AK224" t="n">
        <v>262601.8</v>
      </c>
      <c r="AL224" t="n">
        <v>0.4172784427643911</v>
      </c>
      <c r="AM224" t="inlineStr">
        <is>
          <t>1.2893903881419686</t>
        </is>
      </c>
      <c r="AN224" t="inlineStr">
        <is>
          <t>16.5</t>
        </is>
      </c>
      <c r="AO224" t="inlineStr">
        <is>
          <t>6.5</t>
        </is>
      </c>
      <c r="AP224" t="inlineStr">
        <is>
          <t>12 1/4</t>
        </is>
      </c>
      <c r="AQ224" t="inlineStr">
        <is>
          <t>6</t>
        </is>
      </c>
      <c r="AR224" t="inlineStr">
        <is>
          <t>7</t>
        </is>
      </c>
      <c r="AS224" t="inlineStr">
        <is>
          <t>1.5</t>
        </is>
      </c>
      <c r="AT224" t="n">
        <v>311</v>
      </c>
      <c r="AU224" t="inlineStr">
        <is>
          <t>Vertex 70</t>
        </is>
      </c>
      <c r="AV224" t="inlineStr">
        <is>
          <t xml:space="preserve"> 54AR/46D2</t>
        </is>
      </c>
      <c r="AW224" t="n">
        <v>0.6369226770793286</v>
      </c>
      <c r="AX224" t="n">
        <v>0.6600997702704411</v>
      </c>
      <c r="AY224" t="n">
        <v>0.6831610294618582</v>
      </c>
      <c r="AZ224" t="n">
        <v>0.706005577600096</v>
      </c>
      <c r="BA224" t="n">
        <v>0.7192266857160479</v>
      </c>
      <c r="BB224" t="n">
        <v>7.125984251968505</v>
      </c>
      <c r="BC224" t="n">
        <v>2.341168350350548</v>
      </c>
      <c r="BD224" t="n">
        <v>4.630575482721598</v>
      </c>
      <c r="BE224" t="n">
        <v>7.091832121988301</v>
      </c>
      <c r="BF224" t="n">
        <v>9.829698250412225</v>
      </c>
      <c r="BG224" t="n">
        <v>12.97214215615176</v>
      </c>
      <c r="BH224" t="n">
        <v>16.71753620904435</v>
      </c>
      <c r="BI224" t="n">
        <v>21.42632049688256</v>
      </c>
      <c r="BJ224" t="n">
        <v>27.89432582207208</v>
      </c>
      <c r="BK224" t="n">
        <v>38.62609437623682</v>
      </c>
      <c r="BL224" t="n">
        <v>104.8372775373064</v>
      </c>
      <c r="BM224" t="inlineStr"/>
      <c r="BN224" t="n">
        <v>22</v>
      </c>
      <c r="BO224" t="n">
        <v>182</v>
      </c>
      <c r="BP224" t="n">
        <v>374</v>
      </c>
      <c r="BQ224" t="n">
        <v>501</v>
      </c>
      <c r="BR224" t="n">
        <v>1285</v>
      </c>
      <c r="BS22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5">
      <c r="A225" t="inlineStr">
        <is>
          <t>FRAG</t>
        </is>
      </c>
      <c r="B225" t="inlineStr">
        <is>
          <t>Fragmentación Desmonte 2025.xlsx</t>
        </is>
      </c>
      <c r="C225" t="inlineStr">
        <is>
          <t>ANÁLISIS DE FRAGMENTACIÓN</t>
        </is>
      </c>
      <c r="D225" t="n">
        <v>229</v>
      </c>
      <c r="E225" t="inlineStr">
        <is>
          <t>ROM (fragmentación post-voladura en el frente de carguío, por análisis de fotos)</t>
        </is>
      </c>
      <c r="F225" t="inlineStr"/>
      <c r="G225" t="inlineStr">
        <is>
          <t>no indicada en el archivo</t>
        </is>
      </c>
      <c r="H225" t="inlineStr">
        <is>
          <t>2025-06-20</t>
        </is>
      </c>
      <c r="I225" t="inlineStr">
        <is>
          <t>2025-06-27</t>
        </is>
      </c>
      <c r="J225" t="inlineStr">
        <is>
          <t>PALA 09</t>
        </is>
      </c>
      <c r="K225" t="n">
        <v>9</v>
      </c>
      <c r="L225" t="inlineStr">
        <is>
          <t>9-NP-3923-17</t>
        </is>
      </c>
      <c r="M225" t="n">
        <v>11</v>
      </c>
      <c r="N225" t="n">
        <v>3923</v>
      </c>
      <c r="O225" t="inlineStr">
        <is>
          <t>B</t>
        </is>
      </c>
      <c r="P225" t="n">
        <v>30</v>
      </c>
      <c r="Q225" t="inlineStr">
        <is>
          <t>Desmonte</t>
        </is>
      </c>
      <c r="R225" t="inlineStr">
        <is>
          <t>Producción</t>
        </is>
      </c>
      <c r="S225" t="n">
        <v>6</v>
      </c>
      <c r="T225" t="n">
        <v>15</v>
      </c>
      <c r="U225" t="n">
        <v>3</v>
      </c>
      <c r="V225" t="n">
        <v>1.088703515682798</v>
      </c>
      <c r="W225" t="n">
        <v>0.092</v>
      </c>
      <c r="X225" t="n">
        <v>0.136</v>
      </c>
      <c r="Y225" t="n">
        <v>1.1</v>
      </c>
      <c r="Z225" t="n">
        <v>3.7</v>
      </c>
      <c r="AA225" t="n">
        <v>7</v>
      </c>
      <c r="AB225" t="n">
        <v>10.8</v>
      </c>
      <c r="AC225" t="n">
        <v>15.1</v>
      </c>
      <c r="AD225" t="n">
        <v>20.1</v>
      </c>
      <c r="AE225" t="n">
        <v>26.2</v>
      </c>
      <c r="AF225" t="n">
        <v>34.3</v>
      </c>
      <c r="AG225" t="n">
        <v>46.9</v>
      </c>
      <c r="AH225" t="n">
        <v>109.7</v>
      </c>
      <c r="AI225" t="inlineStr"/>
      <c r="AJ225" t="n">
        <v>629320.3125</v>
      </c>
      <c r="AK225" t="n">
        <v>262601.8</v>
      </c>
      <c r="AL225" t="n">
        <v>0.4172784427643911</v>
      </c>
      <c r="AM225" t="inlineStr">
        <is>
          <t>1.2893903881419686</t>
        </is>
      </c>
      <c r="AN225" t="inlineStr">
        <is>
          <t>16.5</t>
        </is>
      </c>
      <c r="AO225" t="inlineStr">
        <is>
          <t>6.5</t>
        </is>
      </c>
      <c r="AP225" t="inlineStr">
        <is>
          <t>12 1/4</t>
        </is>
      </c>
      <c r="AQ225" t="inlineStr">
        <is>
          <t>6</t>
        </is>
      </c>
      <c r="AR225" t="inlineStr">
        <is>
          <t>7</t>
        </is>
      </c>
      <c r="AS225" t="inlineStr">
        <is>
          <t>1.5</t>
        </is>
      </c>
      <c r="AT225" t="n">
        <v>311</v>
      </c>
      <c r="AU225" t="inlineStr">
        <is>
          <t>Vertex 70</t>
        </is>
      </c>
      <c r="AV225" t="inlineStr">
        <is>
          <t xml:space="preserve"> 54AR/46D2</t>
        </is>
      </c>
      <c r="AW225" t="n">
        <v>0.6398263275979965</v>
      </c>
      <c r="AX225" t="n">
        <v>0.6744098174399431</v>
      </c>
      <c r="AY225" t="n">
        <v>0.7085951309823308</v>
      </c>
      <c r="AZ225" t="n">
        <v>0.7420354344855344</v>
      </c>
      <c r="BA225" t="n">
        <v>0.7611087576469848</v>
      </c>
      <c r="BB225" t="n">
        <v>5.905511811023622</v>
      </c>
      <c r="BC225" t="n">
        <v>1.898443687873078</v>
      </c>
      <c r="BD225" t="n">
        <v>3.78225256609052</v>
      </c>
      <c r="BE225" t="n">
        <v>5.818928554370451</v>
      </c>
      <c r="BF225" t="n">
        <v>8.093433286243348</v>
      </c>
      <c r="BG225" t="n">
        <v>10.71237259716165</v>
      </c>
      <c r="BH225" t="n">
        <v>13.84260858535425</v>
      </c>
      <c r="BI225" t="n">
        <v>17.78851068283768</v>
      </c>
      <c r="BJ225" t="n">
        <v>23.22343401897937</v>
      </c>
      <c r="BK225" t="n">
        <v>32.26970236855277</v>
      </c>
      <c r="BL225" t="n">
        <v>88.52015142865157</v>
      </c>
      <c r="BM225" t="inlineStr"/>
      <c r="BN225" t="n">
        <v>11</v>
      </c>
      <c r="BO225" t="n">
        <v>151</v>
      </c>
      <c r="BP225" t="n">
        <v>343</v>
      </c>
      <c r="BQ225" t="n">
        <v>469</v>
      </c>
      <c r="BR225" t="n">
        <v>1097</v>
      </c>
      <c r="BS22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6">
      <c r="A226" t="inlineStr">
        <is>
          <t>FRAG</t>
        </is>
      </c>
      <c r="B226" t="inlineStr">
        <is>
          <t>Fragmentación Desmonte 2025.xlsx</t>
        </is>
      </c>
      <c r="C226" t="inlineStr">
        <is>
          <t>ANÁLISIS DE FRAGMENTACIÓN</t>
        </is>
      </c>
      <c r="D226" t="n">
        <v>230</v>
      </c>
      <c r="E226" t="inlineStr">
        <is>
          <t>ROM (fragmentación post-voladura en el frente de carguío, por análisis de fotos)</t>
        </is>
      </c>
      <c r="F226" t="inlineStr"/>
      <c r="G226" t="inlineStr">
        <is>
          <t>no indicada en el archivo</t>
        </is>
      </c>
      <c r="H226" t="inlineStr">
        <is>
          <t>2025-06-25</t>
        </is>
      </c>
      <c r="I226" t="inlineStr">
        <is>
          <t>2025-06-27</t>
        </is>
      </c>
      <c r="J226" t="inlineStr">
        <is>
          <t>PALA 08</t>
        </is>
      </c>
      <c r="K226" t="n">
        <v>9</v>
      </c>
      <c r="L226" t="inlineStr">
        <is>
          <t>9-NP-3923-28</t>
        </is>
      </c>
      <c r="M226" t="n">
        <v>6</v>
      </c>
      <c r="N226" t="n">
        <v>3923</v>
      </c>
      <c r="O226" t="inlineStr">
        <is>
          <t>A</t>
        </is>
      </c>
      <c r="P226" t="n">
        <v>30</v>
      </c>
      <c r="Q226" t="inlineStr">
        <is>
          <t>Desmonte</t>
        </is>
      </c>
      <c r="R226" t="inlineStr">
        <is>
          <t>Producción</t>
        </is>
      </c>
      <c r="S226" t="n">
        <v>11</v>
      </c>
      <c r="T226" t="n">
        <v>11.7</v>
      </c>
      <c r="U226" t="n">
        <v>3</v>
      </c>
      <c r="V226" t="n">
        <v>0.9077287759298772</v>
      </c>
      <c r="W226" t="n">
        <v>0.097</v>
      </c>
      <c r="X226" t="n">
        <v>0.151</v>
      </c>
      <c r="Y226" t="n">
        <v>1</v>
      </c>
      <c r="Z226" t="n">
        <v>3</v>
      </c>
      <c r="AA226" t="n">
        <v>5.4</v>
      </c>
      <c r="AB226" t="n">
        <v>8.300000000000001</v>
      </c>
      <c r="AC226" t="n">
        <v>11.7</v>
      </c>
      <c r="AD226" t="n">
        <v>15.9</v>
      </c>
      <c r="AE226" t="n">
        <v>21.3</v>
      </c>
      <c r="AF226" t="n">
        <v>28.9</v>
      </c>
      <c r="AG226" t="n">
        <v>42.1</v>
      </c>
      <c r="AH226" t="n">
        <v>159.1</v>
      </c>
      <c r="AI226" t="inlineStr"/>
      <c r="AJ226" t="n">
        <v>538890</v>
      </c>
      <c r="AK226" t="n">
        <v>160348.74</v>
      </c>
      <c r="AL226" t="n">
        <v>0.2975537493737126</v>
      </c>
      <c r="AM226" t="inlineStr">
        <is>
          <t>-</t>
        </is>
      </c>
      <c r="AN226" t="inlineStr">
        <is>
          <t>16.5</t>
        </is>
      </c>
      <c r="AO226" t="inlineStr">
        <is>
          <t>6.5</t>
        </is>
      </c>
      <c r="AP226" t="inlineStr">
        <is>
          <t>12 1/4</t>
        </is>
      </c>
      <c r="AQ226" t="inlineStr">
        <is>
          <t>6</t>
        </is>
      </c>
      <c r="AR226" t="inlineStr">
        <is>
          <t>7</t>
        </is>
      </c>
      <c r="AS226" t="inlineStr">
        <is>
          <t>1.5</t>
        </is>
      </c>
      <c r="AT226" t="n">
        <v>287</v>
      </c>
      <c r="AU226" t="inlineStr">
        <is>
          <t>Emulgex 70</t>
        </is>
      </c>
      <c r="AV226" t="inlineStr">
        <is>
          <t>54AR/46D2</t>
        </is>
      </c>
      <c r="AW226" t="n">
        <v>0.6507675606256029</v>
      </c>
      <c r="AX226" t="n">
        <v>0.6890415428235757</v>
      </c>
      <c r="AY226" t="n">
        <v>0.7266445453607617</v>
      </c>
      <c r="AZ226" t="n">
        <v>0.7630935195965842</v>
      </c>
      <c r="BA226" t="n">
        <v>0.7836839383432508</v>
      </c>
      <c r="BB226" t="n">
        <v>4.606299212598425</v>
      </c>
      <c r="BC226" t="n">
        <v>0.9806596741167294</v>
      </c>
      <c r="BD226" t="n">
        <v>2.241575515726967</v>
      </c>
      <c r="BE226" t="n">
        <v>3.757912644448658</v>
      </c>
      <c r="BF226" t="n">
        <v>5.582185472224152</v>
      </c>
      <c r="BG226" t="n">
        <v>7.813239315797911</v>
      </c>
      <c r="BH226" t="n">
        <v>10.62575541360015</v>
      </c>
      <c r="BI226" t="n">
        <v>14.35480432260524</v>
      </c>
      <c r="BJ226" t="n">
        <v>19.76371850988505</v>
      </c>
      <c r="BK226" t="n">
        <v>29.32385154825466</v>
      </c>
      <c r="BL226" t="n">
        <v>98.36530767365127</v>
      </c>
      <c r="BM226" t="inlineStr"/>
      <c r="BN226" t="n">
        <v>10</v>
      </c>
      <c r="BO226" t="n">
        <v>117</v>
      </c>
      <c r="BP226" t="n">
        <v>289</v>
      </c>
      <c r="BQ226" t="n">
        <v>421</v>
      </c>
      <c r="BR226" t="n">
        <v>1591</v>
      </c>
      <c r="BS22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7">
      <c r="A227" t="inlineStr">
        <is>
          <t>FRAG</t>
        </is>
      </c>
      <c r="B227" t="inlineStr">
        <is>
          <t>Fragmentación Desmonte 2025.xlsx</t>
        </is>
      </c>
      <c r="C227" t="inlineStr">
        <is>
          <t>ANÁLISIS DE FRAGMENTACIÓN</t>
        </is>
      </c>
      <c r="D227" t="n">
        <v>231</v>
      </c>
      <c r="E227" t="inlineStr">
        <is>
          <t>ROM (fragmentación post-voladura en el frente de carguío, por análisis de fotos)</t>
        </is>
      </c>
      <c r="F227" t="inlineStr"/>
      <c r="G227" t="inlineStr">
        <is>
          <t>no indicada en el archivo</t>
        </is>
      </c>
      <c r="H227" t="inlineStr">
        <is>
          <t>2025-06-25</t>
        </is>
      </c>
      <c r="I227" t="inlineStr">
        <is>
          <t>2025-06-28</t>
        </is>
      </c>
      <c r="J227" t="inlineStr">
        <is>
          <t>PALA 08</t>
        </is>
      </c>
      <c r="K227" t="n">
        <v>9</v>
      </c>
      <c r="L227" t="inlineStr">
        <is>
          <t>9-NP-3923-28</t>
        </is>
      </c>
      <c r="M227" t="n">
        <v>2</v>
      </c>
      <c r="N227" t="n">
        <v>3923</v>
      </c>
      <c r="O227" t="inlineStr">
        <is>
          <t>B</t>
        </is>
      </c>
      <c r="P227" t="n">
        <v>30</v>
      </c>
      <c r="Q227" t="inlineStr">
        <is>
          <t>Desmonte</t>
        </is>
      </c>
      <c r="R227" t="inlineStr">
        <is>
          <t>Producción</t>
        </is>
      </c>
      <c r="S227" t="n">
        <v>4</v>
      </c>
      <c r="T227" t="n">
        <v>10.8</v>
      </c>
      <c r="U227" t="n">
        <v>3</v>
      </c>
      <c r="V227" t="n">
        <v>0.9080435451750092</v>
      </c>
      <c r="W227" t="n">
        <v>0.146</v>
      </c>
      <c r="X227" t="n">
        <v>0.206</v>
      </c>
      <c r="Y227" t="n">
        <v>0.4</v>
      </c>
      <c r="Z227" t="n">
        <v>1.8</v>
      </c>
      <c r="AA227" t="n">
        <v>4.1</v>
      </c>
      <c r="AB227" t="n">
        <v>7.1</v>
      </c>
      <c r="AC227" t="n">
        <v>10.9</v>
      </c>
      <c r="AD227" t="n">
        <v>15.8</v>
      </c>
      <c r="AE227" t="n">
        <v>22.3</v>
      </c>
      <c r="AF227" t="n">
        <v>31.6</v>
      </c>
      <c r="AG227" t="n">
        <v>47.5</v>
      </c>
      <c r="AH227" t="n">
        <v>148</v>
      </c>
      <c r="AI227" t="inlineStr"/>
      <c r="AJ227" t="n">
        <v>538890</v>
      </c>
      <c r="AK227" t="n">
        <v>160348.74</v>
      </c>
      <c r="AL227" t="n">
        <v>0.2975537493737126</v>
      </c>
      <c r="AM227" t="inlineStr">
        <is>
          <t>-</t>
        </is>
      </c>
      <c r="AN227" t="inlineStr">
        <is>
          <t>16.5</t>
        </is>
      </c>
      <c r="AO227" t="inlineStr">
        <is>
          <t>6.5</t>
        </is>
      </c>
      <c r="AP227" t="inlineStr">
        <is>
          <t>12 1/4</t>
        </is>
      </c>
      <c r="AQ227" t="inlineStr">
        <is>
          <t>6</t>
        </is>
      </c>
      <c r="AR227" t="inlineStr">
        <is>
          <t>7</t>
        </is>
      </c>
      <c r="AS227" t="inlineStr">
        <is>
          <t>1.5</t>
        </is>
      </c>
      <c r="AT227" t="n">
        <v>287</v>
      </c>
      <c r="AU227" t="inlineStr">
        <is>
          <t>Emulgex 70</t>
        </is>
      </c>
      <c r="AV227" t="inlineStr">
        <is>
          <t>54AR/46D2</t>
        </is>
      </c>
      <c r="AW227" t="n">
        <v>0.6575237063193259</v>
      </c>
      <c r="AX227" t="n">
        <v>0.7094619630408812</v>
      </c>
      <c r="AY227" t="n">
        <v>0.7596675658123249</v>
      </c>
      <c r="AZ227" t="n">
        <v>0.8069027897115324</v>
      </c>
      <c r="BA227" t="n">
        <v>0.8326762431085457</v>
      </c>
      <c r="BB227" t="n">
        <v>4.251968503937008</v>
      </c>
      <c r="BC227" t="n">
        <v>0.9060025764559778</v>
      </c>
      <c r="BD227" t="n">
        <v>2.070332177657737</v>
      </c>
      <c r="BE227" t="n">
        <v>3.470208372592306</v>
      </c>
      <c r="BF227" t="n">
        <v>5.154108555404303</v>
      </c>
      <c r="BG227" t="n">
        <v>7.213230434536871</v>
      </c>
      <c r="BH227" t="n">
        <v>9.808717068652021</v>
      </c>
      <c r="BI227" t="n">
        <v>13.24964933673245</v>
      </c>
      <c r="BJ227" t="n">
        <v>18.24011735552313</v>
      </c>
      <c r="BK227" t="n">
        <v>27.05955076036774</v>
      </c>
      <c r="BL227" t="n">
        <v>90.73175690877736</v>
      </c>
      <c r="BM227" t="inlineStr"/>
      <c r="BN227" t="n">
        <v>4</v>
      </c>
      <c r="BO227" t="n">
        <v>109</v>
      </c>
      <c r="BP227" t="n">
        <v>316</v>
      </c>
      <c r="BQ227" t="n">
        <v>475</v>
      </c>
      <c r="BR227" t="n">
        <v>1480</v>
      </c>
      <c r="BS22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8">
      <c r="A228" t="inlineStr">
        <is>
          <t>FRAG</t>
        </is>
      </c>
      <c r="B228" t="inlineStr">
        <is>
          <t>Fragmentación Desmonte 2025.xlsx</t>
        </is>
      </c>
      <c r="C228" t="inlineStr">
        <is>
          <t>ANÁLISIS DE FRAGMENTACIÓN</t>
        </is>
      </c>
      <c r="D228" t="n">
        <v>232</v>
      </c>
      <c r="E228" t="inlineStr">
        <is>
          <t>ROM (fragmentación post-voladura en el frente de carguío, por análisis de fotos)</t>
        </is>
      </c>
      <c r="F228" t="inlineStr"/>
      <c r="G228" t="inlineStr">
        <is>
          <t>no indicada en el archivo</t>
        </is>
      </c>
      <c r="H228" t="inlineStr">
        <is>
          <t>2025-06-25</t>
        </is>
      </c>
      <c r="I228" t="inlineStr">
        <is>
          <t>2025-06-28</t>
        </is>
      </c>
      <c r="J228" t="inlineStr">
        <is>
          <t>PALA 08</t>
        </is>
      </c>
      <c r="K228" t="n">
        <v>9</v>
      </c>
      <c r="L228" t="inlineStr">
        <is>
          <t>9-NP-3923-28</t>
        </is>
      </c>
      <c r="M228" t="n">
        <v>3</v>
      </c>
      <c r="N228" t="n">
        <v>3923</v>
      </c>
      <c r="O228" t="inlineStr">
        <is>
          <t>A</t>
        </is>
      </c>
      <c r="P228" t="n">
        <v>30</v>
      </c>
      <c r="Q228" t="inlineStr">
        <is>
          <t>Desmonte</t>
        </is>
      </c>
      <c r="R228" t="inlineStr">
        <is>
          <t>TRIM</t>
        </is>
      </c>
      <c r="S228" t="n">
        <v>4</v>
      </c>
      <c r="T228" t="n">
        <v>18.6</v>
      </c>
      <c r="U228" t="n">
        <v>3</v>
      </c>
      <c r="V228" t="n">
        <v>1.135001778749246</v>
      </c>
      <c r="W228" t="n">
        <v>0.044</v>
      </c>
      <c r="X228" t="n">
        <v>0.07199999999999999</v>
      </c>
      <c r="Y228" t="n">
        <v>3</v>
      </c>
      <c r="Z228" t="n">
        <v>6.8</v>
      </c>
      <c r="AA228" t="n">
        <v>10.6</v>
      </c>
      <c r="AB228" t="n">
        <v>14.5</v>
      </c>
      <c r="AC228" t="n">
        <v>18.7</v>
      </c>
      <c r="AD228" t="n">
        <v>23.3</v>
      </c>
      <c r="AE228" t="n">
        <v>28.9</v>
      </c>
      <c r="AF228" t="n">
        <v>36.1</v>
      </c>
      <c r="AG228" t="n">
        <v>47.4</v>
      </c>
      <c r="AH228" t="n">
        <v>121.9</v>
      </c>
      <c r="AI228" t="inlineStr"/>
      <c r="AJ228" t="n">
        <v>538890</v>
      </c>
      <c r="AK228" t="n">
        <v>160348.74</v>
      </c>
      <c r="AL228" t="n">
        <v>0.2975537493737126</v>
      </c>
      <c r="AM228" t="inlineStr">
        <is>
          <t>-</t>
        </is>
      </c>
      <c r="AN228" t="inlineStr">
        <is>
          <t xml:space="preserve"> - </t>
        </is>
      </c>
      <c r="AO228" t="inlineStr">
        <is>
          <t xml:space="preserve"> - </t>
        </is>
      </c>
      <c r="AP228" t="inlineStr">
        <is>
          <t>9 7/8</t>
        </is>
      </c>
      <c r="AQ228" t="inlineStr">
        <is>
          <t xml:space="preserve"> - </t>
        </is>
      </c>
      <c r="AR228" t="inlineStr">
        <is>
          <t xml:space="preserve"> - </t>
        </is>
      </c>
      <c r="AS228" t="inlineStr">
        <is>
          <t xml:space="preserve"> - </t>
        </is>
      </c>
      <c r="AT228" t="n">
        <v>287</v>
      </c>
      <c r="AU228" t="inlineStr">
        <is>
          <t>Emulgex 70</t>
        </is>
      </c>
      <c r="AV228" t="inlineStr">
        <is>
          <t>54AR/46D2</t>
        </is>
      </c>
      <c r="AW228" t="n">
        <v>0.6350972423241283</v>
      </c>
      <c r="AX228" t="n">
        <v>0.6534447548425752</v>
      </c>
      <c r="AY228" t="n">
        <v>0.6717374830624864</v>
      </c>
      <c r="AZ228" t="n">
        <v>0.6899263001078366</v>
      </c>
      <c r="BA228" t="n">
        <v>0.7004976786040538</v>
      </c>
      <c r="BB228" t="n">
        <v>7.322834645669292</v>
      </c>
      <c r="BC228" t="n">
        <v>2.561164907393077</v>
      </c>
      <c r="BD228" t="n">
        <v>4.961115545491809</v>
      </c>
      <c r="BE228" t="n">
        <v>7.499634248740294</v>
      </c>
      <c r="BF228" t="n">
        <v>10.29164662841864</v>
      </c>
      <c r="BG228" t="n">
        <v>13.46701300324678</v>
      </c>
      <c r="BH228" t="n">
        <v>17.22115018217785</v>
      </c>
      <c r="BI228" t="n">
        <v>21.90487313339649</v>
      </c>
      <c r="BJ228" t="n">
        <v>28.28814628847807</v>
      </c>
      <c r="BK228" t="n">
        <v>38.78334016949618</v>
      </c>
      <c r="BL228" t="n">
        <v>102.0976392383779</v>
      </c>
      <c r="BM228" t="inlineStr"/>
      <c r="BN228" t="n">
        <v>30</v>
      </c>
      <c r="BO228" t="n">
        <v>187</v>
      </c>
      <c r="BP228" t="n">
        <v>361</v>
      </c>
      <c r="BQ228" t="n">
        <v>474</v>
      </c>
      <c r="BR228" t="n">
        <v>1219</v>
      </c>
      <c r="BS22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29">
      <c r="A229" t="inlineStr">
        <is>
          <t>FRAG</t>
        </is>
      </c>
      <c r="B229" t="inlineStr">
        <is>
          <t>Fragmentación Desmonte 2025.xlsx</t>
        </is>
      </c>
      <c r="C229" t="inlineStr">
        <is>
          <t>ANÁLISIS DE FRAGMENTACIÓN</t>
        </is>
      </c>
      <c r="D229" t="n">
        <v>233</v>
      </c>
      <c r="E229" t="inlineStr">
        <is>
          <t>ROM (fragmentación post-voladura en el frente de carguío, por análisis de fotos)</t>
        </is>
      </c>
      <c r="F229" t="inlineStr"/>
      <c r="G229" t="inlineStr">
        <is>
          <t>no indicada en el archivo</t>
        </is>
      </c>
      <c r="H229" t="inlineStr">
        <is>
          <t>2025-06-20</t>
        </is>
      </c>
      <c r="I229" t="inlineStr">
        <is>
          <t>2025-06-28</t>
        </is>
      </c>
      <c r="J229" t="inlineStr">
        <is>
          <t>PALA 09</t>
        </is>
      </c>
      <c r="K229" t="n">
        <v>9</v>
      </c>
      <c r="L229" t="inlineStr">
        <is>
          <t>9-NP-3923-17</t>
        </is>
      </c>
      <c r="M229" t="n">
        <v>1</v>
      </c>
      <c r="N229" t="n">
        <v>3923</v>
      </c>
      <c r="O229" t="inlineStr">
        <is>
          <t>B</t>
        </is>
      </c>
      <c r="P229" t="n">
        <v>30</v>
      </c>
      <c r="Q229" t="inlineStr">
        <is>
          <t>Desmonte</t>
        </is>
      </c>
      <c r="R229" t="inlineStr">
        <is>
          <t>Producción</t>
        </is>
      </c>
      <c r="S229" t="n">
        <v>8</v>
      </c>
      <c r="T229" t="n">
        <v>11.8</v>
      </c>
      <c r="U229" t="n">
        <v>3</v>
      </c>
      <c r="V229" t="n">
        <v>1.022345172241747</v>
      </c>
      <c r="W229" t="n">
        <v>0.098</v>
      </c>
      <c r="X229" t="n">
        <v>0.15</v>
      </c>
      <c r="Y229" t="n">
        <v>1</v>
      </c>
      <c r="Z229" t="n">
        <v>3.1</v>
      </c>
      <c r="AA229" t="n">
        <v>5.6</v>
      </c>
      <c r="AB229" t="n">
        <v>8.5</v>
      </c>
      <c r="AC229" t="n">
        <v>11.8</v>
      </c>
      <c r="AD229" t="n">
        <v>15.8</v>
      </c>
      <c r="AE229" t="n">
        <v>20.7</v>
      </c>
      <c r="AF229" t="n">
        <v>27.3</v>
      </c>
      <c r="AG229" t="n">
        <v>38</v>
      </c>
      <c r="AH229" t="n">
        <v>103.2</v>
      </c>
      <c r="AI229" t="inlineStr"/>
      <c r="AJ229" t="n">
        <v>629320.3125</v>
      </c>
      <c r="AK229" t="n">
        <v>262601.8</v>
      </c>
      <c r="AL229" t="n">
        <v>0.4172784427643911</v>
      </c>
      <c r="AM229" t="inlineStr">
        <is>
          <t>1.2893903881419686</t>
        </is>
      </c>
      <c r="AN229" t="inlineStr">
        <is>
          <t>16.5</t>
        </is>
      </c>
      <c r="AO229" t="inlineStr">
        <is>
          <t>6.5</t>
        </is>
      </c>
      <c r="AP229" t="inlineStr">
        <is>
          <t>12 1/4</t>
        </is>
      </c>
      <c r="AQ229" t="inlineStr">
        <is>
          <t>6</t>
        </is>
      </c>
      <c r="AR229" t="inlineStr">
        <is>
          <t>7</t>
        </is>
      </c>
      <c r="AS229" t="inlineStr">
        <is>
          <t>1.5</t>
        </is>
      </c>
      <c r="AT229" t="n">
        <v>311</v>
      </c>
      <c r="AU229" t="inlineStr">
        <is>
          <t>Vertex 70</t>
        </is>
      </c>
      <c r="AV229" t="inlineStr">
        <is>
          <t xml:space="preserve"> 54AR/46D2</t>
        </is>
      </c>
      <c r="AW229" t="n">
        <v>0.6440883654346875</v>
      </c>
      <c r="AX229" t="n">
        <v>0.682178710656261</v>
      </c>
      <c r="AY229" t="n">
        <v>0.7196907446556899</v>
      </c>
      <c r="AZ229" t="n">
        <v>0.7561541530443083</v>
      </c>
      <c r="BA229" t="n">
        <v>0.7768057586881104</v>
      </c>
      <c r="BB229" t="n">
        <v>4.645669291338583</v>
      </c>
      <c r="BC229" t="n">
        <v>1.305933335752532</v>
      </c>
      <c r="BD229" t="n">
        <v>2.720847468684857</v>
      </c>
      <c r="BE229" t="n">
        <v>4.304676185013641</v>
      </c>
      <c r="BF229" t="n">
        <v>6.116893243190982</v>
      </c>
      <c r="BG229" t="n">
        <v>8.24492123337394</v>
      </c>
      <c r="BH229" t="n">
        <v>10.83290989874475</v>
      </c>
      <c r="BI229" t="n">
        <v>14.14935566958902</v>
      </c>
      <c r="BJ229" t="n">
        <v>18.79485596932681</v>
      </c>
      <c r="BK229" t="n">
        <v>26.67969299610582</v>
      </c>
      <c r="BL229" t="n">
        <v>78.14006152730369</v>
      </c>
      <c r="BM229" t="inlineStr"/>
      <c r="BN229" t="n">
        <v>10</v>
      </c>
      <c r="BO229" t="n">
        <v>118</v>
      </c>
      <c r="BP229" t="n">
        <v>273</v>
      </c>
      <c r="BQ229" t="n">
        <v>380</v>
      </c>
      <c r="BR229" t="n">
        <v>1032</v>
      </c>
      <c r="BS22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0">
      <c r="A230" t="inlineStr">
        <is>
          <t>FRAG</t>
        </is>
      </c>
      <c r="B230" t="inlineStr">
        <is>
          <t>Fragmentación Desmonte 2025.xlsx</t>
        </is>
      </c>
      <c r="C230" t="inlineStr">
        <is>
          <t>ANÁLISIS DE FRAGMENTACIÓN</t>
        </is>
      </c>
      <c r="D230" t="n">
        <v>234</v>
      </c>
      <c r="E230" t="inlineStr">
        <is>
          <t>ROM (fragmentación post-voladura en el frente de carguío, por análisis de fotos)</t>
        </is>
      </c>
      <c r="F230" t="inlineStr"/>
      <c r="G230" t="inlineStr">
        <is>
          <t>no indicada en el archivo</t>
        </is>
      </c>
      <c r="H230" t="inlineStr">
        <is>
          <t>2025-06-25</t>
        </is>
      </c>
      <c r="I230" t="inlineStr">
        <is>
          <t>2025-06-29</t>
        </is>
      </c>
      <c r="J230" t="inlineStr">
        <is>
          <t>PALA 08</t>
        </is>
      </c>
      <c r="K230" t="n">
        <v>9</v>
      </c>
      <c r="L230" t="inlineStr">
        <is>
          <t>9-NP-3923-28</t>
        </is>
      </c>
      <c r="M230" t="n">
        <v>6</v>
      </c>
      <c r="N230" t="n">
        <v>3923</v>
      </c>
      <c r="O230" t="inlineStr">
        <is>
          <t>A</t>
        </is>
      </c>
      <c r="P230" t="n">
        <v>30</v>
      </c>
      <c r="Q230" t="inlineStr">
        <is>
          <t>Desmonte</t>
        </is>
      </c>
      <c r="R230" t="inlineStr">
        <is>
          <t>TRIM</t>
        </is>
      </c>
      <c r="S230" t="n">
        <v>8</v>
      </c>
      <c r="T230" t="n">
        <v>19</v>
      </c>
      <c r="U230" t="n">
        <v>3</v>
      </c>
      <c r="V230" t="n">
        <v>1.11752705425894</v>
      </c>
      <c r="W230" t="n">
        <v>0.061</v>
      </c>
      <c r="X230" t="n">
        <v>0.094</v>
      </c>
      <c r="Y230" t="n">
        <v>2.1</v>
      </c>
      <c r="Z230" t="n">
        <v>5.8</v>
      </c>
      <c r="AA230" t="n">
        <v>9.800000000000001</v>
      </c>
      <c r="AB230" t="n">
        <v>14.2</v>
      </c>
      <c r="AC230" t="n">
        <v>19</v>
      </c>
      <c r="AD230" t="n">
        <v>24.5</v>
      </c>
      <c r="AE230" t="n">
        <v>31</v>
      </c>
      <c r="AF230" t="n">
        <v>39.6</v>
      </c>
      <c r="AG230" t="n">
        <v>53</v>
      </c>
      <c r="AH230" t="n">
        <v>128.8</v>
      </c>
      <c r="AI230" t="inlineStr"/>
      <c r="AJ230" t="n">
        <v>538890</v>
      </c>
      <c r="AK230" t="n">
        <v>160348.74</v>
      </c>
      <c r="AL230" t="n">
        <v>0.2975537493737126</v>
      </c>
      <c r="AM230" t="inlineStr">
        <is>
          <t>-</t>
        </is>
      </c>
      <c r="AN230" t="inlineStr">
        <is>
          <t xml:space="preserve"> - </t>
        </is>
      </c>
      <c r="AO230" t="inlineStr">
        <is>
          <t xml:space="preserve"> - </t>
        </is>
      </c>
      <c r="AP230" t="inlineStr">
        <is>
          <t>9 7/8</t>
        </is>
      </c>
      <c r="AQ230" t="inlineStr">
        <is>
          <t xml:space="preserve"> - </t>
        </is>
      </c>
      <c r="AR230" t="inlineStr">
        <is>
          <t xml:space="preserve"> - </t>
        </is>
      </c>
      <c r="AS230" t="inlineStr">
        <is>
          <t xml:space="preserve"> - </t>
        </is>
      </c>
      <c r="AT230" t="n">
        <v>287</v>
      </c>
      <c r="AU230" t="inlineStr">
        <is>
          <t>Emulgex 70</t>
        </is>
      </c>
      <c r="AV230" t="inlineStr">
        <is>
          <t>54AR/46D2</t>
        </is>
      </c>
      <c r="AW230" t="n">
        <v>0.6365432724295026</v>
      </c>
      <c r="AX230" t="n">
        <v>0.6604841589521384</v>
      </c>
      <c r="AY230" t="n">
        <v>0.684299669856675</v>
      </c>
      <c r="AZ230" t="n">
        <v>0.7078784753944463</v>
      </c>
      <c r="BA230" t="n">
        <v>0.7215154906717604</v>
      </c>
      <c r="BB230" t="n">
        <v>7.480314960629921</v>
      </c>
      <c r="BC230" t="n">
        <v>2.536375787628464</v>
      </c>
      <c r="BD230" t="n">
        <v>4.964156020031988</v>
      </c>
      <c r="BE230" t="n">
        <v>7.552876519866435</v>
      </c>
      <c r="BF230" t="n">
        <v>10.41612984880517</v>
      </c>
      <c r="BG230" t="n">
        <v>13.68733771799833</v>
      </c>
      <c r="BH230" t="n">
        <v>17.5703228760917</v>
      </c>
      <c r="BI230" t="n">
        <v>22.4332428446642</v>
      </c>
      <c r="BJ230" t="n">
        <v>29.0865695554388</v>
      </c>
      <c r="BK230" t="n">
        <v>40.07523929495657</v>
      </c>
      <c r="BL230" t="n">
        <v>107.1075119606464</v>
      </c>
      <c r="BM230" t="inlineStr"/>
      <c r="BN230" t="n">
        <v>21</v>
      </c>
      <c r="BO230" t="n">
        <v>190</v>
      </c>
      <c r="BP230" t="n">
        <v>396</v>
      </c>
      <c r="BQ230" t="n">
        <v>530</v>
      </c>
      <c r="BR230" t="n">
        <v>1288</v>
      </c>
      <c r="BS23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1">
      <c r="A231" t="inlineStr">
        <is>
          <t>FRAG</t>
        </is>
      </c>
      <c r="B231" t="inlineStr">
        <is>
          <t>Fragmentación Desmonte 2025.xlsx</t>
        </is>
      </c>
      <c r="C231" t="inlineStr">
        <is>
          <t>ANÁLISIS DE FRAGMENTACIÓN</t>
        </is>
      </c>
      <c r="D231" t="n">
        <v>235</v>
      </c>
      <c r="E231" t="inlineStr">
        <is>
          <t>ROM (fragmentación post-voladura en el frente de carguío, por análisis de fotos)</t>
        </is>
      </c>
      <c r="F231" t="inlineStr"/>
      <c r="G231" t="inlineStr">
        <is>
          <t>no indicada en el archivo</t>
        </is>
      </c>
      <c r="H231" t="inlineStr">
        <is>
          <t>2025-06-25</t>
        </is>
      </c>
      <c r="I231" t="inlineStr">
        <is>
          <t>2025-06-29</t>
        </is>
      </c>
      <c r="J231" t="inlineStr">
        <is>
          <t>PALA 09</t>
        </is>
      </c>
      <c r="K231" t="n">
        <v>9</v>
      </c>
      <c r="L231" t="inlineStr">
        <is>
          <t>9-NP-3923-28</t>
        </is>
      </c>
      <c r="M231" t="n">
        <v>2</v>
      </c>
      <c r="N231" t="n">
        <v>3923</v>
      </c>
      <c r="O231" t="inlineStr">
        <is>
          <t>B</t>
        </is>
      </c>
      <c r="P231" t="n">
        <v>30</v>
      </c>
      <c r="Q231" t="inlineStr">
        <is>
          <t>Desmonte</t>
        </is>
      </c>
      <c r="R231" t="inlineStr">
        <is>
          <t>TRIM</t>
        </is>
      </c>
      <c r="S231" t="n">
        <v>5</v>
      </c>
      <c r="T231" t="n">
        <v>18.1</v>
      </c>
      <c r="U231" t="n">
        <v>2</v>
      </c>
      <c r="V231" t="n">
        <v>0.7224064880928189</v>
      </c>
      <c r="W231" t="n">
        <v>0.1</v>
      </c>
      <c r="X231" t="n">
        <v>0.141</v>
      </c>
      <c r="Y231" t="n">
        <v>0.9</v>
      </c>
      <c r="Z231" t="n">
        <v>3.8</v>
      </c>
      <c r="AA231" t="n">
        <v>7.8</v>
      </c>
      <c r="AB231" t="n">
        <v>12.5</v>
      </c>
      <c r="AC231" t="n">
        <v>18.1</v>
      </c>
      <c r="AD231" t="n">
        <v>24.7</v>
      </c>
      <c r="AE231" t="n">
        <v>32.8</v>
      </c>
      <c r="AF231" t="n">
        <v>43.5</v>
      </c>
      <c r="AG231" t="n">
        <v>60.1</v>
      </c>
      <c r="AH231" t="n">
        <v>133.2</v>
      </c>
      <c r="AI231" t="inlineStr"/>
      <c r="AJ231" t="n">
        <v>538890</v>
      </c>
      <c r="AK231" t="n">
        <v>160348.74</v>
      </c>
      <c r="AL231" t="n">
        <v>0.2975537493737126</v>
      </c>
      <c r="AM231" t="inlineStr">
        <is>
          <t>-</t>
        </is>
      </c>
      <c r="AN231" t="inlineStr">
        <is>
          <t xml:space="preserve"> - </t>
        </is>
      </c>
      <c r="AO231" t="inlineStr">
        <is>
          <t xml:space="preserve"> - </t>
        </is>
      </c>
      <c r="AP231" t="inlineStr">
        <is>
          <t>9 7/8</t>
        </is>
      </c>
      <c r="AQ231" t="inlineStr">
        <is>
          <t xml:space="preserve"> - </t>
        </is>
      </c>
      <c r="AR231" t="inlineStr">
        <is>
          <t xml:space="preserve"> - </t>
        </is>
      </c>
      <c r="AS231" t="inlineStr">
        <is>
          <t xml:space="preserve"> - </t>
        </is>
      </c>
      <c r="AT231" t="n">
        <v>287</v>
      </c>
      <c r="AU231" t="inlineStr">
        <is>
          <t>Emulgex 70</t>
        </is>
      </c>
      <c r="AV231" t="inlineStr">
        <is>
          <t>54AR/46D2</t>
        </is>
      </c>
      <c r="AW231" t="n">
        <v>0.6613538992412411</v>
      </c>
      <c r="AX231" t="n">
        <v>0.6969840404541352</v>
      </c>
      <c r="AY231" t="n">
        <v>0.7319424770164207</v>
      </c>
      <c r="AZ231" t="n">
        <v>0.7658335632574014</v>
      </c>
      <c r="BA231" t="n">
        <v>0.7850043167487314</v>
      </c>
      <c r="BB231" t="n">
        <v>7.125984251968505</v>
      </c>
      <c r="BC231" t="n">
        <v>0.8031719076675812</v>
      </c>
      <c r="BD231" t="n">
        <v>2.269595679600985</v>
      </c>
      <c r="BE231" t="n">
        <v>4.34416645806817</v>
      </c>
      <c r="BF231" t="n">
        <v>7.142519957340935</v>
      </c>
      <c r="BG231" t="n">
        <v>10.89781111258028</v>
      </c>
      <c r="BH231" t="n">
        <v>16.03698408785913</v>
      </c>
      <c r="BI231" t="n">
        <v>23.40308954033058</v>
      </c>
      <c r="BJ231" t="n">
        <v>34.97598043017068</v>
      </c>
      <c r="BK231" t="n">
        <v>57.42223123853896</v>
      </c>
      <c r="BL231" t="n">
        <v>262.7489475342497</v>
      </c>
      <c r="BM231" t="inlineStr"/>
      <c r="BN231" t="n">
        <v>9</v>
      </c>
      <c r="BO231" t="n">
        <v>181</v>
      </c>
      <c r="BP231" t="n">
        <v>435</v>
      </c>
      <c r="BQ231" t="n">
        <v>601</v>
      </c>
      <c r="BR231" t="n">
        <v>1332</v>
      </c>
      <c r="BS23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2">
      <c r="A232" t="inlineStr">
        <is>
          <t>FRAG</t>
        </is>
      </c>
      <c r="B232" t="inlineStr">
        <is>
          <t>Fragmentación Desmonte 2025.xlsx</t>
        </is>
      </c>
      <c r="C232" t="inlineStr">
        <is>
          <t>ANÁLISIS DE FRAGMENTACIÓN</t>
        </is>
      </c>
      <c r="D232" t="n">
        <v>236</v>
      </c>
      <c r="E232" t="inlineStr">
        <is>
          <t>ROM (fragmentación post-voladura en el frente de carguío, por análisis de fotos)</t>
        </is>
      </c>
      <c r="F232" t="inlineStr"/>
      <c r="G232" t="inlineStr">
        <is>
          <t>no indicada en el archivo</t>
        </is>
      </c>
      <c r="H232" t="inlineStr">
        <is>
          <t>2025-06-06</t>
        </is>
      </c>
      <c r="I232" t="inlineStr">
        <is>
          <t>2025-06-29</t>
        </is>
      </c>
      <c r="J232" t="inlineStr">
        <is>
          <t>PALA 07</t>
        </is>
      </c>
      <c r="K232" t="n">
        <v>9</v>
      </c>
      <c r="L232" t="inlineStr">
        <is>
          <t>9-NP-3908-01</t>
        </is>
      </c>
      <c r="M232" t="n">
        <v>11</v>
      </c>
      <c r="N232" t="n">
        <v>3908</v>
      </c>
      <c r="O232" t="inlineStr">
        <is>
          <t>A</t>
        </is>
      </c>
      <c r="P232" t="n">
        <v>30</v>
      </c>
      <c r="Q232" t="inlineStr">
        <is>
          <t>Desmonte</t>
        </is>
      </c>
      <c r="R232" t="inlineStr">
        <is>
          <t>Producción</t>
        </is>
      </c>
      <c r="S232" t="n">
        <v>5</v>
      </c>
      <c r="T232" t="n">
        <v>9</v>
      </c>
      <c r="U232" t="n">
        <v>3</v>
      </c>
      <c r="V232" t="n">
        <v>1.002637141855165</v>
      </c>
      <c r="W232" t="n">
        <v>0.121</v>
      </c>
      <c r="X232" t="n">
        <v>0.185</v>
      </c>
      <c r="Y232" t="n">
        <v>0.7</v>
      </c>
      <c r="Z232" t="n">
        <v>2.2</v>
      </c>
      <c r="AA232" t="n">
        <v>4.1</v>
      </c>
      <c r="AB232" t="n">
        <v>6.4</v>
      </c>
      <c r="AC232" t="n">
        <v>9.1</v>
      </c>
      <c r="AD232" t="n">
        <v>12.3</v>
      </c>
      <c r="AE232" t="n">
        <v>16.3</v>
      </c>
      <c r="AF232" t="n">
        <v>21.7</v>
      </c>
      <c r="AG232" t="n">
        <v>30.6</v>
      </c>
      <c r="AH232" t="n">
        <v>84.8</v>
      </c>
      <c r="AI232" t="inlineStr"/>
      <c r="AJ232" t="n">
        <v>1128050.55</v>
      </c>
      <c r="AK232" t="n">
        <v>520389.8</v>
      </c>
      <c r="AL232" t="n">
        <v>0.461317801759859</v>
      </c>
      <c r="AM232" t="inlineStr">
        <is>
          <t>1.4254720074379643</t>
        </is>
      </c>
      <c r="AN232" t="inlineStr">
        <is>
          <t>16.5</t>
        </is>
      </c>
      <c r="AO232" t="inlineStr">
        <is>
          <t>6.5</t>
        </is>
      </c>
      <c r="AP232" t="inlineStr">
        <is>
          <t>12 1/4</t>
        </is>
      </c>
      <c r="AQ232" t="inlineStr">
        <is>
          <t>6</t>
        </is>
      </c>
      <c r="AR232" t="inlineStr">
        <is>
          <t>7</t>
        </is>
      </c>
      <c r="AS232" t="inlineStr">
        <is>
          <t>1.5</t>
        </is>
      </c>
      <c r="AT232" t="n">
        <v>562</v>
      </c>
      <c r="AU232" t="inlineStr">
        <is>
          <t>Vertex 70</t>
        </is>
      </c>
      <c r="AV232" t="inlineStr">
        <is>
          <t>62AR/38D2</t>
        </is>
      </c>
      <c r="AW232" t="n">
        <v>0.6482030742567627</v>
      </c>
      <c r="AX232" t="n">
        <v>0.6950581082822116</v>
      </c>
      <c r="AY232" t="n">
        <v>0.7407915031743325</v>
      </c>
      <c r="AZ232" t="n">
        <v>0.784510309973751</v>
      </c>
      <c r="BA232" t="n">
        <v>0.8087933250057979</v>
      </c>
      <c r="BB232" t="n">
        <v>3.543307086614173</v>
      </c>
      <c r="BC232" t="n">
        <v>0.9538738765358</v>
      </c>
      <c r="BD232" t="n">
        <v>2.016230625376191</v>
      </c>
      <c r="BE232" t="n">
        <v>3.218790613725381</v>
      </c>
      <c r="BF232" t="n">
        <v>4.605560442583656</v>
      </c>
      <c r="BG232" t="n">
        <v>6.244341296679608</v>
      </c>
      <c r="BH232" t="n">
        <v>8.248513004776104</v>
      </c>
      <c r="BI232" t="n">
        <v>10.83046611849607</v>
      </c>
      <c r="BJ232" t="n">
        <v>14.46682210939354</v>
      </c>
      <c r="BK232" t="n">
        <v>20.67785551477335</v>
      </c>
      <c r="BL232" t="n">
        <v>61.85457455522182</v>
      </c>
      <c r="BM232" t="inlineStr"/>
      <c r="BN232" t="n">
        <v>7</v>
      </c>
      <c r="BO232" t="n">
        <v>91</v>
      </c>
      <c r="BP232" t="n">
        <v>217</v>
      </c>
      <c r="BQ232" t="n">
        <v>306</v>
      </c>
      <c r="BR232" t="n">
        <v>848</v>
      </c>
      <c r="BS23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3">
      <c r="A233" t="inlineStr">
        <is>
          <t>FRAG</t>
        </is>
      </c>
      <c r="B233" t="inlineStr">
        <is>
          <t>Fragmentación Desmonte 2025.xlsx</t>
        </is>
      </c>
      <c r="C233" t="inlineStr">
        <is>
          <t>ANÁLISIS DE FRAGMENTACIÓN</t>
        </is>
      </c>
      <c r="D233" t="n">
        <v>237</v>
      </c>
      <c r="E233" t="inlineStr">
        <is>
          <t>ROM (fragmentación post-voladura en el frente de carguío, por análisis de fotos)</t>
        </is>
      </c>
      <c r="F233" t="inlineStr"/>
      <c r="G233" t="inlineStr">
        <is>
          <t>no indicada en el archivo</t>
        </is>
      </c>
      <c r="H233" t="inlineStr">
        <is>
          <t>2025-06-17</t>
        </is>
      </c>
      <c r="I233" t="inlineStr">
        <is>
          <t>2025-06-29</t>
        </is>
      </c>
      <c r="J233" t="inlineStr">
        <is>
          <t>PALA 10</t>
        </is>
      </c>
      <c r="K233" t="n">
        <v>9</v>
      </c>
      <c r="L233" t="inlineStr">
        <is>
          <t>9-NP-3923-18</t>
        </is>
      </c>
      <c r="M233" t="n">
        <v>5</v>
      </c>
      <c r="N233" t="n">
        <v>3923</v>
      </c>
      <c r="O233" t="inlineStr">
        <is>
          <t>A</t>
        </is>
      </c>
      <c r="P233" t="n">
        <v>30</v>
      </c>
      <c r="Q233" t="inlineStr">
        <is>
          <t>Desmonte</t>
        </is>
      </c>
      <c r="R233" t="inlineStr">
        <is>
          <t>Producción</t>
        </is>
      </c>
      <c r="S233" t="n">
        <v>8</v>
      </c>
      <c r="T233" t="n">
        <v>9.800000000000001</v>
      </c>
      <c r="U233" t="n">
        <v>3</v>
      </c>
      <c r="V233" t="n">
        <v>1.051109836570939</v>
      </c>
      <c r="W233" t="n">
        <v>0.113</v>
      </c>
      <c r="X233" t="n">
        <v>0.173</v>
      </c>
      <c r="Y233" t="n">
        <v>0.8</v>
      </c>
      <c r="Z233" t="n">
        <v>2.5</v>
      </c>
      <c r="AA233" t="n">
        <v>4.6</v>
      </c>
      <c r="AB233" t="n">
        <v>7.1</v>
      </c>
      <c r="AC233" t="n">
        <v>9.9</v>
      </c>
      <c r="AD233" t="n">
        <v>13.2</v>
      </c>
      <c r="AE233" t="n">
        <v>17.3</v>
      </c>
      <c r="AF233" t="n">
        <v>22.9</v>
      </c>
      <c r="AG233" t="n">
        <v>31.6</v>
      </c>
      <c r="AH233" t="n">
        <v>79.5</v>
      </c>
      <c r="AI233" t="inlineStr"/>
      <c r="AJ233" t="n">
        <v>353553.75</v>
      </c>
      <c r="AK233" t="n">
        <v>197588.32</v>
      </c>
      <c r="AL233" t="n">
        <v>0.5588635957050379</v>
      </c>
      <c r="AM233" t="inlineStr">
        <is>
          <t>1.7268885107285668</t>
        </is>
      </c>
      <c r="AN233" t="inlineStr">
        <is>
          <t>16.5</t>
        </is>
      </c>
      <c r="AO233" t="inlineStr">
        <is>
          <t>6.5</t>
        </is>
      </c>
      <c r="AP233" t="inlineStr">
        <is>
          <t>12 1/4</t>
        </is>
      </c>
      <c r="AQ233" t="inlineStr">
        <is>
          <t>6</t>
        </is>
      </c>
      <c r="AR233" t="inlineStr">
        <is>
          <t>7</t>
        </is>
      </c>
      <c r="AS233" t="inlineStr">
        <is>
          <t>1.5</t>
        </is>
      </c>
      <c r="AT233" t="n">
        <v>235</v>
      </c>
      <c r="AU233" t="inlineStr">
        <is>
          <t>Vertex 70</t>
        </is>
      </c>
      <c r="AV233" t="inlineStr">
        <is>
          <t xml:space="preserve"> 53AR/47D2</t>
        </is>
      </c>
      <c r="AW233" t="n">
        <v>0.6441577853873457</v>
      </c>
      <c r="AX233" t="n">
        <v>0.6880482078528537</v>
      </c>
      <c r="AY233" t="n">
        <v>0.7310732384591725</v>
      </c>
      <c r="AZ233" t="n">
        <v>0.7725064114830242</v>
      </c>
      <c r="BA233" t="n">
        <v>0.7957115385767458</v>
      </c>
      <c r="BB233" t="n">
        <v>3.858267716535433</v>
      </c>
      <c r="BC233" t="n">
        <v>1.15192949453422</v>
      </c>
      <c r="BD233" t="n">
        <v>2.352259697645005</v>
      </c>
      <c r="BE233" t="n">
        <v>3.675100844168554</v>
      </c>
      <c r="BF233" t="n">
        <v>5.17230213281483</v>
      </c>
      <c r="BG233" t="n">
        <v>6.914986574584711</v>
      </c>
      <c r="BH233" t="n">
        <v>9.017901490378559</v>
      </c>
      <c r="BI233" t="n">
        <v>11.69291508812453</v>
      </c>
      <c r="BJ233" t="n">
        <v>15.41171053511357</v>
      </c>
      <c r="BK233" t="n">
        <v>21.66851540965268</v>
      </c>
      <c r="BL233" t="n">
        <v>61.62409623449058</v>
      </c>
      <c r="BM233" t="inlineStr"/>
      <c r="BN233" t="n">
        <v>8</v>
      </c>
      <c r="BO233" t="n">
        <v>99</v>
      </c>
      <c r="BP233" t="n">
        <v>229</v>
      </c>
      <c r="BQ233" t="n">
        <v>316</v>
      </c>
      <c r="BR233" t="n">
        <v>795</v>
      </c>
      <c r="BS23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4">
      <c r="A234" t="inlineStr">
        <is>
          <t>FRAG</t>
        </is>
      </c>
      <c r="B234" t="inlineStr">
        <is>
          <t>Fragmentación Desmonte 2025.xlsx</t>
        </is>
      </c>
      <c r="C234" t="inlineStr">
        <is>
          <t>ANÁLISIS DE FRAGMENTACIÓN</t>
        </is>
      </c>
      <c r="D234" t="n">
        <v>238</v>
      </c>
      <c r="E234" t="inlineStr">
        <is>
          <t>ROM (fragmentación post-voladura en el frente de carguío, por análisis de fotos)</t>
        </is>
      </c>
      <c r="F234" t="inlineStr"/>
      <c r="G234" t="inlineStr">
        <is>
          <t>no indicada en el archivo</t>
        </is>
      </c>
      <c r="H234" t="inlineStr">
        <is>
          <t>2025-06-20</t>
        </is>
      </c>
      <c r="I234" t="inlineStr">
        <is>
          <t>2025-06-30</t>
        </is>
      </c>
      <c r="J234" t="inlineStr">
        <is>
          <t>PALA 09</t>
        </is>
      </c>
      <c r="K234" t="n">
        <v>9</v>
      </c>
      <c r="L234" t="inlineStr">
        <is>
          <t>9-NP-3923-17</t>
        </is>
      </c>
      <c r="M234" t="n">
        <v>4</v>
      </c>
      <c r="N234" t="n">
        <v>3923</v>
      </c>
      <c r="O234" t="inlineStr">
        <is>
          <t>A</t>
        </is>
      </c>
      <c r="P234" t="n">
        <v>30</v>
      </c>
      <c r="Q234" t="inlineStr">
        <is>
          <t>Desmonte</t>
        </is>
      </c>
      <c r="R234" t="inlineStr">
        <is>
          <t>Producción</t>
        </is>
      </c>
      <c r="S234" t="n">
        <v>6</v>
      </c>
      <c r="T234" t="n">
        <v>13.2</v>
      </c>
      <c r="U234" t="n">
        <v>3</v>
      </c>
      <c r="V234" t="n">
        <v>1.077995331343662</v>
      </c>
      <c r="W234" t="n">
        <v>0.092</v>
      </c>
      <c r="X234" t="n">
        <v>0.139</v>
      </c>
      <c r="Y234" t="n">
        <v>1.1</v>
      </c>
      <c r="Z234" t="n">
        <v>3.5</v>
      </c>
      <c r="AA234" t="n">
        <v>6.3</v>
      </c>
      <c r="AB234" t="n">
        <v>9.6</v>
      </c>
      <c r="AC234" t="n">
        <v>13.3</v>
      </c>
      <c r="AD234" t="n">
        <v>17.6</v>
      </c>
      <c r="AE234" t="n">
        <v>22.9</v>
      </c>
      <c r="AF234" t="n">
        <v>29.8</v>
      </c>
      <c r="AG234" t="n">
        <v>40.8</v>
      </c>
      <c r="AH234" t="n">
        <v>99.3</v>
      </c>
      <c r="AI234" t="inlineStr"/>
      <c r="AJ234" t="n">
        <v>629320.3125</v>
      </c>
      <c r="AK234" t="n">
        <v>262601.8</v>
      </c>
      <c r="AL234" t="n">
        <v>0.4172784427643911</v>
      </c>
      <c r="AM234" t="inlineStr">
        <is>
          <t>1.2893903881419686</t>
        </is>
      </c>
      <c r="AN234" t="inlineStr">
        <is>
          <t>16.5</t>
        </is>
      </c>
      <c r="AO234" t="inlineStr">
        <is>
          <t>6.5</t>
        </is>
      </c>
      <c r="AP234" t="inlineStr">
        <is>
          <t>12 1/4</t>
        </is>
      </c>
      <c r="AQ234" t="inlineStr">
        <is>
          <t>6</t>
        </is>
      </c>
      <c r="AR234" t="inlineStr">
        <is>
          <t>7</t>
        </is>
      </c>
      <c r="AS234" t="inlineStr">
        <is>
          <t>1.5</t>
        </is>
      </c>
      <c r="AT234" t="n">
        <v>311</v>
      </c>
      <c r="AU234" t="inlineStr">
        <is>
          <t>Vertex 70</t>
        </is>
      </c>
      <c r="AV234" t="inlineStr">
        <is>
          <t xml:space="preserve"> 54AR/46D2</t>
        </is>
      </c>
      <c r="AW234" t="n">
        <v>0.6405015993362549</v>
      </c>
      <c r="AX234" t="n">
        <v>0.6758399852845746</v>
      </c>
      <c r="AY234" t="n">
        <v>0.7107476662321937</v>
      </c>
      <c r="AZ234" t="n">
        <v>0.7448535362575071</v>
      </c>
      <c r="BA234" t="n">
        <v>0.7642800562792773</v>
      </c>
      <c r="BB234" t="n">
        <v>5.196850393700787</v>
      </c>
      <c r="BC234" t="n">
        <v>1.63667791212255</v>
      </c>
      <c r="BD234" t="n">
        <v>3.28314169335954</v>
      </c>
      <c r="BE234" t="n">
        <v>5.072716530577666</v>
      </c>
      <c r="BF234" t="n">
        <v>7.078703444582038</v>
      </c>
      <c r="BG234" t="n">
        <v>9.395416127278835</v>
      </c>
      <c r="BH234" t="n">
        <v>12.17178295829441</v>
      </c>
      <c r="BI234" t="n">
        <v>15.68042445668062</v>
      </c>
      <c r="BJ234" t="n">
        <v>20.52555098689694</v>
      </c>
      <c r="BK234" t="n">
        <v>28.61425998572851</v>
      </c>
      <c r="BL234" t="n">
        <v>79.28353434910898</v>
      </c>
      <c r="BM234" t="inlineStr"/>
      <c r="BN234" t="n">
        <v>11</v>
      </c>
      <c r="BO234" t="n">
        <v>133</v>
      </c>
      <c r="BP234" t="n">
        <v>298</v>
      </c>
      <c r="BQ234" t="n">
        <v>408</v>
      </c>
      <c r="BR234" t="n">
        <v>993</v>
      </c>
      <c r="BS23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5">
      <c r="A235" t="inlineStr">
        <is>
          <t>FRAG</t>
        </is>
      </c>
      <c r="B235" t="inlineStr">
        <is>
          <t>Fragmentación Desmonte 2025.xlsx</t>
        </is>
      </c>
      <c r="C235" t="inlineStr">
        <is>
          <t>ANÁLISIS DE FRAGMENTACIÓN</t>
        </is>
      </c>
      <c r="D235" t="n">
        <v>239</v>
      </c>
      <c r="E235" t="inlineStr">
        <is>
          <t>ROM (fragmentación post-voladura en el frente de carguío, por análisis de fotos)</t>
        </is>
      </c>
      <c r="F235" t="inlineStr"/>
      <c r="G235" t="inlineStr">
        <is>
          <t>no indicada en el archivo</t>
        </is>
      </c>
      <c r="H235" t="inlineStr">
        <is>
          <t>2025-06-25</t>
        </is>
      </c>
      <c r="I235" t="inlineStr">
        <is>
          <t>2025-06-30</t>
        </is>
      </c>
      <c r="J235" t="inlineStr">
        <is>
          <t>PALA 08</t>
        </is>
      </c>
      <c r="K235" t="n">
        <v>9</v>
      </c>
      <c r="L235" t="inlineStr">
        <is>
          <t>9-NP-3923-28</t>
        </is>
      </c>
      <c r="M235" t="n">
        <v>2</v>
      </c>
      <c r="N235" t="n">
        <v>3923</v>
      </c>
      <c r="O235" t="inlineStr">
        <is>
          <t>B</t>
        </is>
      </c>
      <c r="P235" t="n">
        <v>30</v>
      </c>
      <c r="Q235" t="inlineStr">
        <is>
          <t>Desmonte</t>
        </is>
      </c>
      <c r="R235" t="inlineStr">
        <is>
          <t>TRIM</t>
        </is>
      </c>
      <c r="S235" t="n">
        <v>8</v>
      </c>
      <c r="T235" t="n">
        <v>14.1</v>
      </c>
      <c r="U235" t="n">
        <v>2</v>
      </c>
      <c r="V235" t="n">
        <v>0.6758473424865219</v>
      </c>
      <c r="W235" t="n">
        <v>0.128</v>
      </c>
      <c r="X235" t="n">
        <v>0.177</v>
      </c>
      <c r="Y235" t="n">
        <v>0.5</v>
      </c>
      <c r="Z235" t="n">
        <v>2.5</v>
      </c>
      <c r="AA235" t="n">
        <v>5.5</v>
      </c>
      <c r="AB235" t="n">
        <v>9.4</v>
      </c>
      <c r="AC235" t="n">
        <v>14.1</v>
      </c>
      <c r="AD235" t="n">
        <v>20</v>
      </c>
      <c r="AE235" t="n">
        <v>27.4</v>
      </c>
      <c r="AF235" t="n">
        <v>37.4</v>
      </c>
      <c r="AG235" t="n">
        <v>53.3</v>
      </c>
      <c r="AH235" t="n">
        <v>126.7</v>
      </c>
      <c r="AI235" t="inlineStr"/>
      <c r="AJ235" t="n">
        <v>538890</v>
      </c>
      <c r="AK235" t="n">
        <v>160348.74</v>
      </c>
      <c r="AL235" t="n">
        <v>0.2975537493737126</v>
      </c>
      <c r="AM235" t="inlineStr">
        <is>
          <t>-</t>
        </is>
      </c>
      <c r="AN235" t="inlineStr">
        <is>
          <t xml:space="preserve"> - </t>
        </is>
      </c>
      <c r="AO235" t="inlineStr">
        <is>
          <t xml:space="preserve"> - </t>
        </is>
      </c>
      <c r="AP235" t="inlineStr">
        <is>
          <t>9 7/8</t>
        </is>
      </c>
      <c r="AQ235" t="inlineStr">
        <is>
          <t xml:space="preserve"> - </t>
        </is>
      </c>
      <c r="AR235" t="inlineStr">
        <is>
          <t xml:space="preserve"> - </t>
        </is>
      </c>
      <c r="AS235" t="inlineStr">
        <is>
          <t xml:space="preserve"> - </t>
        </is>
      </c>
      <c r="AT235" t="n">
        <v>287</v>
      </c>
      <c r="AU235" t="inlineStr">
        <is>
          <t>Emulgex 70</t>
        </is>
      </c>
      <c r="AV235" t="inlineStr">
        <is>
          <t>54AR/46D2</t>
        </is>
      </c>
      <c r="AW235" t="n">
        <v>0.6731076015632166</v>
      </c>
      <c r="AX235" t="n">
        <v>0.7174991183248547</v>
      </c>
      <c r="AY235" t="n">
        <v>0.7604693396809493</v>
      </c>
      <c r="AZ235" t="n">
        <v>0.801230948352072</v>
      </c>
      <c r="BA235" t="n">
        <v>0.8237447035860901</v>
      </c>
      <c r="BB235" t="n">
        <v>5.551181102362205</v>
      </c>
      <c r="BC235" t="n">
        <v>0.5048353809643845</v>
      </c>
      <c r="BD235" t="n">
        <v>1.532388270724992</v>
      </c>
      <c r="BE235" t="n">
        <v>3.067262000849756</v>
      </c>
      <c r="BF235" t="n">
        <v>5.218820231353844</v>
      </c>
      <c r="BG235" t="n">
        <v>8.197862550623448</v>
      </c>
      <c r="BH235" t="n">
        <v>12.3891827740484</v>
      </c>
      <c r="BI235" t="n">
        <v>18.55673171749645</v>
      </c>
      <c r="BJ235" t="n">
        <v>28.51144809398902</v>
      </c>
      <c r="BK235" t="n">
        <v>48.4353192409576</v>
      </c>
      <c r="BL235" t="n">
        <v>246.1060343630141</v>
      </c>
      <c r="BM235" t="inlineStr"/>
      <c r="BN235" t="n">
        <v>5</v>
      </c>
      <c r="BO235" t="n">
        <v>141</v>
      </c>
      <c r="BP235" t="n">
        <v>374</v>
      </c>
      <c r="BQ235" t="n">
        <v>533</v>
      </c>
      <c r="BR235" t="n">
        <v>1267</v>
      </c>
      <c r="BS23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6">
      <c r="A236" t="inlineStr">
        <is>
          <t>FRAG</t>
        </is>
      </c>
      <c r="B236" t="inlineStr">
        <is>
          <t>Fragmentación Desmonte 2025.xlsx</t>
        </is>
      </c>
      <c r="C236" t="inlineStr">
        <is>
          <t>ANÁLISIS DE FRAGMENTACIÓN</t>
        </is>
      </c>
      <c r="D236" t="n">
        <v>240</v>
      </c>
      <c r="E236" t="inlineStr">
        <is>
          <t>ROM (fragmentación post-voladura en el frente de carguío, por análisis de fotos)</t>
        </is>
      </c>
      <c r="F236" t="inlineStr"/>
      <c r="G236" t="inlineStr">
        <is>
          <t>no indicada en el archivo</t>
        </is>
      </c>
      <c r="H236" t="inlineStr">
        <is>
          <t>2025-06-06</t>
        </is>
      </c>
      <c r="I236" t="inlineStr">
        <is>
          <t>2025-07-01</t>
        </is>
      </c>
      <c r="J236" t="inlineStr">
        <is>
          <t>PALA 07</t>
        </is>
      </c>
      <c r="K236" t="n">
        <v>9</v>
      </c>
      <c r="L236" t="inlineStr">
        <is>
          <t>9-NP-3908-01</t>
        </is>
      </c>
      <c r="M236" t="n">
        <v>11</v>
      </c>
      <c r="N236" t="n">
        <v>3908</v>
      </c>
      <c r="O236" t="inlineStr">
        <is>
          <t>A</t>
        </is>
      </c>
      <c r="P236" t="n">
        <v>30</v>
      </c>
      <c r="Q236" t="inlineStr">
        <is>
          <t>Desmonte</t>
        </is>
      </c>
      <c r="R236" t="inlineStr">
        <is>
          <t>Producción</t>
        </is>
      </c>
      <c r="S236" t="n">
        <v>4</v>
      </c>
      <c r="T236" t="n">
        <v>7.9</v>
      </c>
      <c r="U236" t="n">
        <v>3</v>
      </c>
      <c r="V236" t="n">
        <v>0.898601220805211</v>
      </c>
      <c r="W236" t="n">
        <v>0.131</v>
      </c>
      <c r="X236" t="n">
        <v>0.205</v>
      </c>
      <c r="Y236" t="n">
        <v>0.6</v>
      </c>
      <c r="Z236" t="n">
        <v>1.9</v>
      </c>
      <c r="AA236" t="n">
        <v>3.5</v>
      </c>
      <c r="AB236" t="n">
        <v>5.5</v>
      </c>
      <c r="AC236" t="n">
        <v>8</v>
      </c>
      <c r="AD236" t="n">
        <v>11</v>
      </c>
      <c r="AE236" t="n">
        <v>14.9</v>
      </c>
      <c r="AF236" t="n">
        <v>20.4</v>
      </c>
      <c r="AG236" t="n">
        <v>30.1</v>
      </c>
      <c r="AH236" t="n">
        <v>113.7</v>
      </c>
      <c r="AI236" t="inlineStr"/>
      <c r="AJ236" t="n">
        <v>1128050.55</v>
      </c>
      <c r="AK236" t="n">
        <v>520389.8</v>
      </c>
      <c r="AL236" t="n">
        <v>0.461317801759859</v>
      </c>
      <c r="AM236" t="inlineStr">
        <is>
          <t>1.4254720074379643</t>
        </is>
      </c>
      <c r="AN236" t="inlineStr">
        <is>
          <t>16.5</t>
        </is>
      </c>
      <c r="AO236" t="inlineStr">
        <is>
          <t>6.5</t>
        </is>
      </c>
      <c r="AP236" t="inlineStr">
        <is>
          <t>12 1/4</t>
        </is>
      </c>
      <c r="AQ236" t="inlineStr">
        <is>
          <t>6</t>
        </is>
      </c>
      <c r="AR236" t="inlineStr">
        <is>
          <t>7</t>
        </is>
      </c>
      <c r="AS236" t="inlineStr">
        <is>
          <t>1.5</t>
        </is>
      </c>
      <c r="AT236" t="n">
        <v>562</v>
      </c>
      <c r="AU236" t="inlineStr">
        <is>
          <t>Vertex 70</t>
        </is>
      </c>
      <c r="AV236" t="inlineStr">
        <is>
          <t>62AR/38D2</t>
        </is>
      </c>
      <c r="AW236" t="n">
        <v>0.6581869383186127</v>
      </c>
      <c r="AX236" t="n">
        <v>0.7098620439881247</v>
      </c>
      <c r="AY236" t="n">
        <v>0.7598118380608411</v>
      </c>
      <c r="AZ236" t="n">
        <v>0.8068163865100415</v>
      </c>
      <c r="BA236" t="n">
        <v>0.8324735102423282</v>
      </c>
      <c r="BB236" t="n">
        <v>3.110236220472441</v>
      </c>
      <c r="BC236" t="n">
        <v>0.6456888398456053</v>
      </c>
      <c r="BD236" t="n">
        <v>1.48835058071817</v>
      </c>
      <c r="BE236" t="n">
        <v>2.508290456013412</v>
      </c>
      <c r="BF236" t="n">
        <v>3.740942675883765</v>
      </c>
      <c r="BG236" t="n">
        <v>5.254013543959017</v>
      </c>
      <c r="BH236" t="n">
        <v>7.16764018819269</v>
      </c>
      <c r="BI236" t="n">
        <v>9.712714198513927</v>
      </c>
      <c r="BJ236" t="n">
        <v>13.41598551257773</v>
      </c>
      <c r="BK236" t="n">
        <v>19.98551975170946</v>
      </c>
      <c r="BL236" t="n">
        <v>67.86961601914042</v>
      </c>
      <c r="BM236" t="inlineStr"/>
      <c r="BN236" t="n">
        <v>6</v>
      </c>
      <c r="BO236" t="n">
        <v>80</v>
      </c>
      <c r="BP236" t="n">
        <v>204</v>
      </c>
      <c r="BQ236" t="n">
        <v>301</v>
      </c>
      <c r="BR236" t="n">
        <v>1137</v>
      </c>
      <c r="BS23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7">
      <c r="A237" t="inlineStr">
        <is>
          <t>FRAG</t>
        </is>
      </c>
      <c r="B237" t="inlineStr">
        <is>
          <t>Fragmentación Desmonte 2025.xlsx</t>
        </is>
      </c>
      <c r="C237" t="inlineStr">
        <is>
          <t>ANÁLISIS DE FRAGMENTACIÓN</t>
        </is>
      </c>
      <c r="D237" t="n">
        <v>241</v>
      </c>
      <c r="E237" t="inlineStr">
        <is>
          <t>ROM (fragmentación post-voladura en el frente de carguío, por análisis de fotos)</t>
        </is>
      </c>
      <c r="F237" t="inlineStr"/>
      <c r="G237" t="inlineStr">
        <is>
          <t>no indicada en el archivo</t>
        </is>
      </c>
      <c r="H237" t="inlineStr">
        <is>
          <t>2025-06-28</t>
        </is>
      </c>
      <c r="I237" t="inlineStr">
        <is>
          <t>2025-07-01</t>
        </is>
      </c>
      <c r="J237" t="inlineStr">
        <is>
          <t>PALA 10</t>
        </is>
      </c>
      <c r="K237" t="n">
        <v>9</v>
      </c>
      <c r="L237" t="inlineStr">
        <is>
          <t>9-NP-3923-22</t>
        </is>
      </c>
      <c r="M237" t="n">
        <v>1</v>
      </c>
      <c r="N237" t="n">
        <v>3923</v>
      </c>
      <c r="O237" t="inlineStr">
        <is>
          <t>A</t>
        </is>
      </c>
      <c r="P237" t="n">
        <v>30</v>
      </c>
      <c r="Q237" t="inlineStr">
        <is>
          <t>Desmonte</t>
        </is>
      </c>
      <c r="R237" t="inlineStr">
        <is>
          <t>TRIM</t>
        </is>
      </c>
      <c r="S237" t="n">
        <v>3</v>
      </c>
      <c r="T237" t="n">
        <v>12.2</v>
      </c>
      <c r="U237" t="n">
        <v>99.5</v>
      </c>
      <c r="V237" t="n">
        <v>34.77614419755449</v>
      </c>
      <c r="W237" t="n">
        <v>0.091</v>
      </c>
      <c r="X237" t="n">
        <v>0.141</v>
      </c>
      <c r="Y237" t="n">
        <v>1.1</v>
      </c>
      <c r="Z237" t="n">
        <v>3.3</v>
      </c>
      <c r="AA237" t="n">
        <v>5.9</v>
      </c>
      <c r="AB237" t="n">
        <v>8.9</v>
      </c>
      <c r="AC237" t="n">
        <v>12.3</v>
      </c>
      <c r="AD237" t="n">
        <v>16.2</v>
      </c>
      <c r="AE237" t="n">
        <v>21.1</v>
      </c>
      <c r="AF237" t="n">
        <v>27.6</v>
      </c>
      <c r="AG237" t="n">
        <v>37.9</v>
      </c>
      <c r="AH237" t="n">
        <v>99.5</v>
      </c>
      <c r="AI237" t="inlineStr"/>
      <c r="AJ237" t="n">
        <v>173167.5</v>
      </c>
      <c r="AK237" t="n">
        <v>42784</v>
      </c>
      <c r="AL237" t="n">
        <v>0.2470671459713861</v>
      </c>
      <c r="AM237" t="inlineStr">
        <is>
          <t>-</t>
        </is>
      </c>
      <c r="AN237" t="inlineStr">
        <is>
          <t xml:space="preserve"> - </t>
        </is>
      </c>
      <c r="AO237" t="inlineStr">
        <is>
          <t xml:space="preserve"> - </t>
        </is>
      </c>
      <c r="AP237" t="inlineStr">
        <is>
          <t>9 7/8</t>
        </is>
      </c>
      <c r="AQ237" t="inlineStr">
        <is>
          <t xml:space="preserve"> - </t>
        </is>
      </c>
      <c r="AR237" t="inlineStr">
        <is>
          <t xml:space="preserve"> - </t>
        </is>
      </c>
      <c r="AS237" t="inlineStr">
        <is>
          <t xml:space="preserve"> - </t>
        </is>
      </c>
      <c r="AT237" t="n">
        <v>174</v>
      </c>
      <c r="AU237" t="inlineStr">
        <is>
          <t>Emulgex 70</t>
        </is>
      </c>
      <c r="AV237" t="inlineStr">
        <is>
          <t>50AR/50D2</t>
        </is>
      </c>
      <c r="AW237" t="n">
        <v>0.4658451230869466</v>
      </c>
      <c r="AX237" t="n">
        <v>0.499150762360716</v>
      </c>
      <c r="AY237" t="n">
        <v>0.5334736397494481</v>
      </c>
      <c r="AZ237" t="n">
        <v>0.5686001565638239</v>
      </c>
      <c r="BA237" t="n">
        <v>0.5894201501375871</v>
      </c>
      <c r="BB237" t="n">
        <v>4.803149606299212</v>
      </c>
      <c r="BC237" t="n">
        <v>11.43553788022976</v>
      </c>
      <c r="BD237" t="n">
        <v>11.68498472762531</v>
      </c>
      <c r="BE237" t="n">
        <v>11.84364210270385</v>
      </c>
      <c r="BF237" t="n">
        <v>11.96660927439017</v>
      </c>
      <c r="BG237" t="n">
        <v>12.07209687879374</v>
      </c>
      <c r="BH237" t="n">
        <v>12.16936969968996</v>
      </c>
      <c r="BI237" t="n">
        <v>12.2652947976264</v>
      </c>
      <c r="BJ237" t="n">
        <v>12.36809519419513</v>
      </c>
      <c r="BK237" t="n">
        <v>12.49612806924249</v>
      </c>
      <c r="BL237" t="n">
        <v>12.89719462106628</v>
      </c>
      <c r="BM237" t="inlineStr"/>
      <c r="BN237" t="n">
        <v>11</v>
      </c>
      <c r="BO237" t="n">
        <v>123</v>
      </c>
      <c r="BP237" t="n">
        <v>276</v>
      </c>
      <c r="BQ237" t="n">
        <v>379</v>
      </c>
      <c r="BR237" t="n">
        <v>995</v>
      </c>
      <c r="BS23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8">
      <c r="A238" t="inlineStr">
        <is>
          <t>FRAG</t>
        </is>
      </c>
      <c r="B238" t="inlineStr">
        <is>
          <t>Fragmentación Desmonte 2025.xlsx</t>
        </is>
      </c>
      <c r="C238" t="inlineStr">
        <is>
          <t>ANÁLISIS DE FRAGMENTACIÓN</t>
        </is>
      </c>
      <c r="D238" t="n">
        <v>242</v>
      </c>
      <c r="E238" t="inlineStr">
        <is>
          <t>ROM (fragmentación post-voladura en el frente de carguío, por análisis de fotos)</t>
        </is>
      </c>
      <c r="F238" t="inlineStr"/>
      <c r="G238" t="inlineStr">
        <is>
          <t>no indicada en el archivo</t>
        </is>
      </c>
      <c r="H238" t="inlineStr">
        <is>
          <t>2025-06-30</t>
        </is>
      </c>
      <c r="I238" t="inlineStr">
        <is>
          <t>2025-07-01</t>
        </is>
      </c>
      <c r="J238" t="inlineStr">
        <is>
          <t>PALA 08</t>
        </is>
      </c>
      <c r="K238" t="n">
        <v>9</v>
      </c>
      <c r="L238" t="inlineStr">
        <is>
          <t>9-NP-3923-30</t>
        </is>
      </c>
      <c r="M238" t="n">
        <v>1</v>
      </c>
      <c r="N238" t="n">
        <v>3923</v>
      </c>
      <c r="O238" t="inlineStr">
        <is>
          <t>A</t>
        </is>
      </c>
      <c r="P238" t="n">
        <v>30</v>
      </c>
      <c r="Q238" t="inlineStr">
        <is>
          <t>Desmonte</t>
        </is>
      </c>
      <c r="R238" t="inlineStr">
        <is>
          <t>TRIM</t>
        </is>
      </c>
      <c r="S238" t="n">
        <v>6</v>
      </c>
      <c r="T238" t="n">
        <v>12.9</v>
      </c>
      <c r="U238" t="n">
        <v>3</v>
      </c>
      <c r="V238" t="n">
        <v>1.02064458616935</v>
      </c>
      <c r="W238" t="n">
        <v>0.108</v>
      </c>
      <c r="X238" t="n">
        <v>0.159</v>
      </c>
      <c r="Y238" t="n">
        <v>0.8</v>
      </c>
      <c r="Z238" t="n">
        <v>2.9</v>
      </c>
      <c r="AA238" t="n">
        <v>5.7</v>
      </c>
      <c r="AB238" t="n">
        <v>9.1</v>
      </c>
      <c r="AC238" t="n">
        <v>13</v>
      </c>
      <c r="AD238" t="n">
        <v>17.7</v>
      </c>
      <c r="AE238" t="n">
        <v>23.6</v>
      </c>
      <c r="AF238" t="n">
        <v>31.6</v>
      </c>
      <c r="AG238" t="n">
        <v>44.4</v>
      </c>
      <c r="AH238" t="n">
        <v>114.3</v>
      </c>
      <c r="AI238" t="inlineStr"/>
      <c r="AJ238" t="n">
        <v>553653.7875000001</v>
      </c>
      <c r="AK238" t="n">
        <v>175518.5</v>
      </c>
      <c r="AL238" t="n">
        <v>0.3170185122232185</v>
      </c>
      <c r="AM238" t="inlineStr">
        <is>
          <t>-</t>
        </is>
      </c>
      <c r="AN238" t="inlineStr">
        <is>
          <t xml:space="preserve"> - </t>
        </is>
      </c>
      <c r="AO238" t="inlineStr">
        <is>
          <t xml:space="preserve"> - </t>
        </is>
      </c>
      <c r="AP238" t="inlineStr">
        <is>
          <t>9 7/8</t>
        </is>
      </c>
      <c r="AQ238" t="inlineStr">
        <is>
          <t xml:space="preserve"> - </t>
        </is>
      </c>
      <c r="AR238" t="inlineStr">
        <is>
          <t xml:space="preserve"> - </t>
        </is>
      </c>
      <c r="AS238" t="inlineStr">
        <is>
          <t xml:space="preserve"> - </t>
        </is>
      </c>
      <c r="AT238" t="n">
        <v>284</v>
      </c>
      <c r="AU238" t="inlineStr">
        <is>
          <t>Emulgex 70</t>
        </is>
      </c>
      <c r="AV238" t="inlineStr">
        <is>
          <t>50AR/50D2</t>
        </is>
      </c>
      <c r="AW238" t="n">
        <v>0.6449034736403071</v>
      </c>
      <c r="AX238" t="n">
        <v>0.6852570913742664</v>
      </c>
      <c r="AY238" t="n">
        <v>0.7249185435584846</v>
      </c>
      <c r="AZ238" t="n">
        <v>0.7633255957491655</v>
      </c>
      <c r="BA238" t="n">
        <v>0.7849821642878607</v>
      </c>
      <c r="BB238" t="n">
        <v>5.078740157480315</v>
      </c>
      <c r="BC238" t="n">
        <v>1.42244636547876</v>
      </c>
      <c r="BD238" t="n">
        <v>2.967223368178931</v>
      </c>
      <c r="BE238" t="n">
        <v>4.698059336351808</v>
      </c>
      <c r="BF238" t="n">
        <v>6.679795320877192</v>
      </c>
      <c r="BG238" t="n">
        <v>9.008133131574921</v>
      </c>
      <c r="BH238" t="n">
        <v>11.84107022984933</v>
      </c>
      <c r="BI238" t="n">
        <v>15.47304373903384</v>
      </c>
      <c r="BJ238" t="n">
        <v>20.56286084584968</v>
      </c>
      <c r="BK238" t="n">
        <v>29.20645585337289</v>
      </c>
      <c r="BL238" t="n">
        <v>85.6937954813707</v>
      </c>
      <c r="BM238" t="inlineStr"/>
      <c r="BN238" t="n">
        <v>8</v>
      </c>
      <c r="BO238" t="n">
        <v>130</v>
      </c>
      <c r="BP238" t="n">
        <v>316</v>
      </c>
      <c r="BQ238" t="n">
        <v>444</v>
      </c>
      <c r="BR238" t="n">
        <v>1143</v>
      </c>
      <c r="BS23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39">
      <c r="A239" t="inlineStr">
        <is>
          <t>FRAG</t>
        </is>
      </c>
      <c r="B239" t="inlineStr">
        <is>
          <t>Fragmentación Desmonte 2025.xlsx</t>
        </is>
      </c>
      <c r="C239" t="inlineStr">
        <is>
          <t>ANÁLISIS DE FRAGMENTACIÓN</t>
        </is>
      </c>
      <c r="D239" t="n">
        <v>243</v>
      </c>
      <c r="E239" t="inlineStr">
        <is>
          <t>ROM (fragmentación post-voladura en el frente de carguío, por análisis de fotos)</t>
        </is>
      </c>
      <c r="F239" t="inlineStr"/>
      <c r="G239" t="inlineStr">
        <is>
          <t>no indicada en el archivo</t>
        </is>
      </c>
      <c r="H239" t="inlineStr">
        <is>
          <t>2025-06-30</t>
        </is>
      </c>
      <c r="I239" t="inlineStr">
        <is>
          <t>2025-07-02</t>
        </is>
      </c>
      <c r="J239" t="inlineStr">
        <is>
          <t>PALA 07</t>
        </is>
      </c>
      <c r="K239" t="n">
        <v>9</v>
      </c>
      <c r="L239" t="inlineStr">
        <is>
          <t>9-NP-3908-03</t>
        </is>
      </c>
      <c r="M239" t="n">
        <v>3</v>
      </c>
      <c r="N239" t="n">
        <v>3908</v>
      </c>
      <c r="O239" t="inlineStr">
        <is>
          <t>A</t>
        </is>
      </c>
      <c r="P239" t="n">
        <v>30</v>
      </c>
      <c r="Q239" t="inlineStr">
        <is>
          <t>Desmonte</t>
        </is>
      </c>
      <c r="R239" t="inlineStr">
        <is>
          <t>Producción</t>
        </is>
      </c>
      <c r="S239" t="n">
        <v>3</v>
      </c>
      <c r="T239" t="n">
        <v>10.1</v>
      </c>
      <c r="U239" t="n">
        <v>3</v>
      </c>
      <c r="V239" t="n">
        <v>0.9438525521208416</v>
      </c>
      <c r="W239" t="n">
        <v>0.124</v>
      </c>
      <c r="X239" t="n">
        <v>0.185</v>
      </c>
      <c r="Y239" t="n">
        <v>0.6</v>
      </c>
      <c r="Z239" t="n">
        <v>2.2</v>
      </c>
      <c r="AA239" t="n">
        <v>4.4</v>
      </c>
      <c r="AB239" t="n">
        <v>7</v>
      </c>
      <c r="AC239" t="n">
        <v>10.2</v>
      </c>
      <c r="AD239" t="n">
        <v>14.1</v>
      </c>
      <c r="AE239" t="n">
        <v>19.1</v>
      </c>
      <c r="AF239" t="n">
        <v>26.1</v>
      </c>
      <c r="AG239" t="n">
        <v>38</v>
      </c>
      <c r="AH239" t="n">
        <v>118.2</v>
      </c>
      <c r="AI239" t="inlineStr"/>
      <c r="AJ239" t="n">
        <v>608266.7250000001</v>
      </c>
      <c r="AK239" t="n">
        <v>318319.7</v>
      </c>
      <c r="AL239" t="n">
        <v>0.5233225605099473</v>
      </c>
      <c r="AM239" t="inlineStr">
        <is>
          <t>1.6170667119757371</t>
        </is>
      </c>
      <c r="AN239" t="inlineStr">
        <is>
          <t>16.5</t>
        </is>
      </c>
      <c r="AO239" t="inlineStr">
        <is>
          <t>6.5</t>
        </is>
      </c>
      <c r="AP239" t="inlineStr">
        <is>
          <t>12 1/4</t>
        </is>
      </c>
      <c r="AQ239" t="inlineStr">
        <is>
          <t>6</t>
        </is>
      </c>
      <c r="AR239" t="inlineStr">
        <is>
          <t>7</t>
        </is>
      </c>
      <c r="AS239" t="inlineStr">
        <is>
          <t>1.5</t>
        </is>
      </c>
      <c r="AT239" t="n">
        <v>332</v>
      </c>
      <c r="AU239" t="inlineStr">
        <is>
          <t>Vertex 70</t>
        </is>
      </c>
      <c r="AV239" t="inlineStr">
        <is>
          <t>50AR/50D2</t>
        </is>
      </c>
      <c r="AW239" t="n">
        <v>0.6523099480347334</v>
      </c>
      <c r="AX239" t="n">
        <v>0.699101807241552</v>
      </c>
      <c r="AY239" t="n">
        <v>0.744695467610112</v>
      </c>
      <c r="AZ239" t="n">
        <v>0.7881960442606187</v>
      </c>
      <c r="BA239" t="n">
        <v>0.8123161130597087</v>
      </c>
      <c r="BB239" t="n">
        <v>3.976377952755905</v>
      </c>
      <c r="BC239" t="n">
        <v>0.9308094681122562</v>
      </c>
      <c r="BD239" t="n">
        <v>2.061363643443465</v>
      </c>
      <c r="BE239" t="n">
        <v>3.388127793708994</v>
      </c>
      <c r="BF239" t="n">
        <v>4.957239625292772</v>
      </c>
      <c r="BG239" t="n">
        <v>6.849800710221956</v>
      </c>
      <c r="BH239" t="n">
        <v>9.206533172943359</v>
      </c>
      <c r="BI239" t="n">
        <v>12.29514732734708</v>
      </c>
      <c r="BJ239" t="n">
        <v>16.72207390770576</v>
      </c>
      <c r="BK239" t="n">
        <v>24.43905313529483</v>
      </c>
      <c r="BL239" t="n">
        <v>78.26874869487594</v>
      </c>
      <c r="BM239" t="inlineStr"/>
      <c r="BN239" t="n">
        <v>6</v>
      </c>
      <c r="BO239" t="n">
        <v>102</v>
      </c>
      <c r="BP239" t="n">
        <v>261</v>
      </c>
      <c r="BQ239" t="n">
        <v>380</v>
      </c>
      <c r="BR239" t="n">
        <v>1182</v>
      </c>
      <c r="BS23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0">
      <c r="A240" t="inlineStr">
        <is>
          <t>FRAG</t>
        </is>
      </c>
      <c r="B240" t="inlineStr">
        <is>
          <t>Fragmentación Desmonte 2025.xlsx</t>
        </is>
      </c>
      <c r="C240" t="inlineStr">
        <is>
          <t>ANÁLISIS DE FRAGMENTACIÓN</t>
        </is>
      </c>
      <c r="D240" t="n">
        <v>244</v>
      </c>
      <c r="E240" t="inlineStr">
        <is>
          <t>ROM (fragmentación post-voladura en el frente de carguío, por análisis de fotos)</t>
        </is>
      </c>
      <c r="F240" t="inlineStr"/>
      <c r="G240" t="inlineStr">
        <is>
          <t>no indicada en el archivo</t>
        </is>
      </c>
      <c r="H240" t="inlineStr">
        <is>
          <t>2025-06-28</t>
        </is>
      </c>
      <c r="I240" t="inlineStr">
        <is>
          <t>2025-07-02</t>
        </is>
      </c>
      <c r="J240" t="inlineStr">
        <is>
          <t>PALA 10</t>
        </is>
      </c>
      <c r="K240" t="n">
        <v>9</v>
      </c>
      <c r="L240" t="inlineStr">
        <is>
          <t>9-NP-3923-22</t>
        </is>
      </c>
      <c r="M240" t="n">
        <v>1</v>
      </c>
      <c r="N240" t="n">
        <v>3923</v>
      </c>
      <c r="O240" t="inlineStr">
        <is>
          <t>A</t>
        </is>
      </c>
      <c r="P240" t="n">
        <v>30</v>
      </c>
      <c r="Q240" t="inlineStr">
        <is>
          <t>Desmonte</t>
        </is>
      </c>
      <c r="R240" t="inlineStr">
        <is>
          <t>TRIM</t>
        </is>
      </c>
      <c r="S240" t="n">
        <v>1</v>
      </c>
      <c r="T240" t="n">
        <v>17.4</v>
      </c>
      <c r="U240" t="n">
        <v>2</v>
      </c>
      <c r="V240" t="n">
        <v>0.7256681959026914</v>
      </c>
      <c r="W240" t="n">
        <v>0.117</v>
      </c>
      <c r="X240" t="n">
        <v>0.16</v>
      </c>
      <c r="Y240" t="n">
        <v>0.6</v>
      </c>
      <c r="Z240" t="n">
        <v>3.1</v>
      </c>
      <c r="AA240" t="n">
        <v>6.9</v>
      </c>
      <c r="AB240" t="n">
        <v>11.7</v>
      </c>
      <c r="AC240" t="n">
        <v>17.5</v>
      </c>
      <c r="AD240" t="n">
        <v>24.4</v>
      </c>
      <c r="AE240" t="n">
        <v>32.9</v>
      </c>
      <c r="AF240" t="n">
        <v>44.1</v>
      </c>
      <c r="AG240" t="n">
        <v>61.1</v>
      </c>
      <c r="AH240" t="n">
        <v>127.2</v>
      </c>
      <c r="AI240" t="inlineStr"/>
      <c r="AJ240" t="n">
        <v>173167.5</v>
      </c>
      <c r="AK240" t="n">
        <v>42784</v>
      </c>
      <c r="AL240" t="n">
        <v>0.2470671459713861</v>
      </c>
      <c r="AM240" t="inlineStr">
        <is>
          <t>-</t>
        </is>
      </c>
      <c r="AN240" t="inlineStr">
        <is>
          <t xml:space="preserve"> - </t>
        </is>
      </c>
      <c r="AO240" t="inlineStr">
        <is>
          <t xml:space="preserve"> - </t>
        </is>
      </c>
      <c r="AP240" t="inlineStr">
        <is>
          <t>9 7/8</t>
        </is>
      </c>
      <c r="AQ240" t="inlineStr">
        <is>
          <t xml:space="preserve"> - </t>
        </is>
      </c>
      <c r="AR240" t="inlineStr">
        <is>
          <t xml:space="preserve"> - </t>
        </is>
      </c>
      <c r="AS240" t="inlineStr">
        <is>
          <t xml:space="preserve"> - </t>
        </is>
      </c>
      <c r="AT240" t="n">
        <v>174</v>
      </c>
      <c r="AU240" t="inlineStr">
        <is>
          <t>Emulgex 70</t>
        </is>
      </c>
      <c r="AV240" t="inlineStr">
        <is>
          <t>50AR/50D2</t>
        </is>
      </c>
      <c r="AW240" t="n">
        <v>0.6650187038336024</v>
      </c>
      <c r="AX240" t="n">
        <v>0.7053465168256292</v>
      </c>
      <c r="AY240" t="n">
        <v>0.7446895134230578</v>
      </c>
      <c r="AZ240" t="n">
        <v>0.782466858084099</v>
      </c>
      <c r="BA240" t="n">
        <v>0.8036083295916282</v>
      </c>
      <c r="BB240" t="n">
        <v>6.850393700787401</v>
      </c>
      <c r="BC240" t="n">
        <v>0.7829968518584964</v>
      </c>
      <c r="BD240" t="n">
        <v>2.202278474995232</v>
      </c>
      <c r="BE240" t="n">
        <v>4.203033594390702</v>
      </c>
      <c r="BF240" t="n">
        <v>6.895047205333134</v>
      </c>
      <c r="BG240" t="n">
        <v>10.50026652812784</v>
      </c>
      <c r="BH240" t="n">
        <v>15.42515717579016</v>
      </c>
      <c r="BI240" t="n">
        <v>22.47202845377394</v>
      </c>
      <c r="BJ240" t="n">
        <v>33.52390933966257</v>
      </c>
      <c r="BK240" t="n">
        <v>54.91576721800156</v>
      </c>
      <c r="BL240" t="n">
        <v>249.5682652996301</v>
      </c>
      <c r="BM240" t="inlineStr"/>
      <c r="BN240" t="n">
        <v>6</v>
      </c>
      <c r="BO240" t="n">
        <v>175</v>
      </c>
      <c r="BP240" t="n">
        <v>441</v>
      </c>
      <c r="BQ240" t="n">
        <v>611</v>
      </c>
      <c r="BR240" t="n">
        <v>1272</v>
      </c>
      <c r="BS24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1">
      <c r="A241" t="inlineStr">
        <is>
          <t>FRAG</t>
        </is>
      </c>
      <c r="B241" t="inlineStr">
        <is>
          <t>Fragmentación Desmonte 2025.xlsx</t>
        </is>
      </c>
      <c r="C241" t="inlineStr">
        <is>
          <t>ANÁLISIS DE FRAGMENTACIÓN</t>
        </is>
      </c>
      <c r="D241" t="n">
        <v>245</v>
      </c>
      <c r="E241" t="inlineStr">
        <is>
          <t>ROM (fragmentación post-voladura en el frente de carguío, por análisis de fotos)</t>
        </is>
      </c>
      <c r="F241" t="inlineStr"/>
      <c r="G241" t="inlineStr">
        <is>
          <t>no indicada en el archivo</t>
        </is>
      </c>
      <c r="H241" t="inlineStr">
        <is>
          <t>2025-06-20</t>
        </is>
      </c>
      <c r="I241" t="inlineStr">
        <is>
          <t>2025-07-04</t>
        </is>
      </c>
      <c r="J241" t="inlineStr">
        <is>
          <t>PALA 12</t>
        </is>
      </c>
      <c r="K241" t="n">
        <v>9</v>
      </c>
      <c r="L241" t="inlineStr">
        <is>
          <t>9-NP-3923-17</t>
        </is>
      </c>
      <c r="M241" t="n">
        <v>1</v>
      </c>
      <c r="N241" t="n">
        <v>3923</v>
      </c>
      <c r="O241" t="inlineStr">
        <is>
          <t>A</t>
        </is>
      </c>
      <c r="P241" t="n">
        <v>30</v>
      </c>
      <c r="Q241" t="inlineStr">
        <is>
          <t>Desmonte</t>
        </is>
      </c>
      <c r="R241" t="inlineStr">
        <is>
          <t>TRIM</t>
        </is>
      </c>
      <c r="S241" t="n">
        <v>4</v>
      </c>
      <c r="T241" t="n">
        <v>9.800000000000001</v>
      </c>
      <c r="U241" t="n">
        <v>3</v>
      </c>
      <c r="V241" t="n">
        <v>0.9452794397756572</v>
      </c>
      <c r="W241" t="n">
        <v>0.142</v>
      </c>
      <c r="X241" t="n">
        <v>0.205</v>
      </c>
      <c r="Y241" t="n">
        <v>0.5</v>
      </c>
      <c r="Z241" t="n">
        <v>1.9</v>
      </c>
      <c r="AA241" t="n">
        <v>3.9</v>
      </c>
      <c r="AB241" t="n">
        <v>6.6</v>
      </c>
      <c r="AC241" t="n">
        <v>9.800000000000001</v>
      </c>
      <c r="AD241" t="n">
        <v>13.9</v>
      </c>
      <c r="AE241" t="n">
        <v>19.2</v>
      </c>
      <c r="AF241" t="n">
        <v>26.6</v>
      </c>
      <c r="AG241" t="n">
        <v>39</v>
      </c>
      <c r="AH241" t="n">
        <v>112.9</v>
      </c>
      <c r="AI241" t="inlineStr"/>
      <c r="AJ241" t="n">
        <v>629320.3125</v>
      </c>
      <c r="AK241" t="n">
        <v>262601.8</v>
      </c>
      <c r="AL241" t="n">
        <v>0.4172784427643911</v>
      </c>
      <c r="AM241" t="inlineStr">
        <is>
          <t>1.2893903881419686</t>
        </is>
      </c>
      <c r="AN241" t="inlineStr">
        <is>
          <t xml:space="preserve"> - </t>
        </is>
      </c>
      <c r="AO241" t="inlineStr">
        <is>
          <t xml:space="preserve"> - </t>
        </is>
      </c>
      <c r="AP241" t="inlineStr">
        <is>
          <t>9 7/8</t>
        </is>
      </c>
      <c r="AQ241" t="inlineStr">
        <is>
          <t xml:space="preserve"> - </t>
        </is>
      </c>
      <c r="AR241" t="inlineStr">
        <is>
          <t xml:space="preserve"> - </t>
        </is>
      </c>
      <c r="AS241" t="inlineStr">
        <is>
          <t xml:space="preserve"> - </t>
        </is>
      </c>
      <c r="AT241" t="n">
        <v>311</v>
      </c>
      <c r="AU241" t="inlineStr">
        <is>
          <t>Vertex 70</t>
        </is>
      </c>
      <c r="AV241" t="inlineStr">
        <is>
          <t xml:space="preserve"> 54AR/46D2</t>
        </is>
      </c>
      <c r="AW241" t="n">
        <v>0.6543762569769842</v>
      </c>
      <c r="AX241" t="n">
        <v>0.7061304190015868</v>
      </c>
      <c r="AY241" t="n">
        <v>0.7562474836881914</v>
      </c>
      <c r="AZ241" t="n">
        <v>0.8035081206128503</v>
      </c>
      <c r="BA241" t="n">
        <v>0.8293536665285968</v>
      </c>
      <c r="BB241" t="n">
        <v>3.858267716535433</v>
      </c>
      <c r="BC241" t="n">
        <v>0.9064179745356832</v>
      </c>
      <c r="BD241" t="n">
        <v>2.004938761710011</v>
      </c>
      <c r="BE241" t="n">
        <v>3.292915054526794</v>
      </c>
      <c r="BF241" t="n">
        <v>4.81516495041804</v>
      </c>
      <c r="BG241" t="n">
        <v>6.650238231362398</v>
      </c>
      <c r="BH241" t="n">
        <v>8.934320828297109</v>
      </c>
      <c r="BI241" t="n">
        <v>11.92640381696613</v>
      </c>
      <c r="BJ241" t="n">
        <v>16.2130346118992</v>
      </c>
      <c r="BK241" t="n">
        <v>23.68153187915232</v>
      </c>
      <c r="BL241" t="n">
        <v>75.70956571635512</v>
      </c>
      <c r="BM241" t="inlineStr"/>
      <c r="BN241" t="n">
        <v>5</v>
      </c>
      <c r="BO241" t="n">
        <v>98</v>
      </c>
      <c r="BP241" t="n">
        <v>266</v>
      </c>
      <c r="BQ241" t="n">
        <v>390</v>
      </c>
      <c r="BR241" t="n">
        <v>1129</v>
      </c>
      <c r="BS24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2">
      <c r="A242" t="inlineStr">
        <is>
          <t>FRAG</t>
        </is>
      </c>
      <c r="B242" t="inlineStr">
        <is>
          <t>Fragmentación Desmonte 2025.xlsx</t>
        </is>
      </c>
      <c r="C242" t="inlineStr">
        <is>
          <t>ANÁLISIS DE FRAGMENTACIÓN</t>
        </is>
      </c>
      <c r="D242" t="n">
        <v>246</v>
      </c>
      <c r="E242" t="inlineStr">
        <is>
          <t>ROM (fragmentación post-voladura en el frente de carguío, por análisis de fotos)</t>
        </is>
      </c>
      <c r="F242" t="inlineStr"/>
      <c r="G242" t="inlineStr">
        <is>
          <t>no indicada en el archivo</t>
        </is>
      </c>
      <c r="H242" t="inlineStr">
        <is>
          <t>2025-06-28</t>
        </is>
      </c>
      <c r="I242" t="inlineStr">
        <is>
          <t>2025-07-04</t>
        </is>
      </c>
      <c r="J242" t="inlineStr">
        <is>
          <t>PALA 10</t>
        </is>
      </c>
      <c r="K242" t="n">
        <v>9</v>
      </c>
      <c r="L242" t="inlineStr">
        <is>
          <t>9-NP-3923-22</t>
        </is>
      </c>
      <c r="M242" t="n">
        <v>1</v>
      </c>
      <c r="N242" t="n">
        <v>3923</v>
      </c>
      <c r="O242" t="inlineStr">
        <is>
          <t>A</t>
        </is>
      </c>
      <c r="P242" t="n">
        <v>30</v>
      </c>
      <c r="Q242" t="inlineStr">
        <is>
          <t>Desmonte</t>
        </is>
      </c>
      <c r="R242" t="inlineStr">
        <is>
          <t>TRIM</t>
        </is>
      </c>
      <c r="S242" t="n">
        <v>4</v>
      </c>
      <c r="T242" t="n">
        <v>16</v>
      </c>
      <c r="U242" t="n">
        <v>3</v>
      </c>
      <c r="V242" t="n">
        <v>1.097303824706749</v>
      </c>
      <c r="W242" t="n">
        <v>0.08</v>
      </c>
      <c r="X242" t="n">
        <v>0.12</v>
      </c>
      <c r="Y242" t="n">
        <v>1.4</v>
      </c>
      <c r="Z242" t="n">
        <v>4.3</v>
      </c>
      <c r="AA242" t="n">
        <v>7.8</v>
      </c>
      <c r="AB242" t="n">
        <v>11.7</v>
      </c>
      <c r="AC242" t="n">
        <v>16.1</v>
      </c>
      <c r="AD242" t="n">
        <v>21.1</v>
      </c>
      <c r="AE242" t="n">
        <v>27.2</v>
      </c>
      <c r="AF242" t="n">
        <v>35.3</v>
      </c>
      <c r="AG242" t="n">
        <v>47.8</v>
      </c>
      <c r="AH242" t="n">
        <v>114.5</v>
      </c>
      <c r="AI242" t="inlineStr"/>
      <c r="AJ242" t="n">
        <v>173167.5</v>
      </c>
      <c r="AK242" t="n">
        <v>42784</v>
      </c>
      <c r="AL242" t="n">
        <v>0.2470671459713861</v>
      </c>
      <c r="AM242" t="inlineStr">
        <is>
          <t>-</t>
        </is>
      </c>
      <c r="AN242" t="inlineStr">
        <is>
          <t xml:space="preserve"> - </t>
        </is>
      </c>
      <c r="AO242" t="inlineStr">
        <is>
          <t xml:space="preserve"> - </t>
        </is>
      </c>
      <c r="AP242" t="inlineStr">
        <is>
          <t>9 7/8</t>
        </is>
      </c>
      <c r="AQ242" t="inlineStr">
        <is>
          <t xml:space="preserve"> - </t>
        </is>
      </c>
      <c r="AR242" t="inlineStr">
        <is>
          <t xml:space="preserve"> - </t>
        </is>
      </c>
      <c r="AS242" t="inlineStr">
        <is>
          <t xml:space="preserve"> - </t>
        </is>
      </c>
      <c r="AT242" t="n">
        <v>174</v>
      </c>
      <c r="AU242" t="inlineStr">
        <is>
          <t>Emulgex 70</t>
        </is>
      </c>
      <c r="AV242" t="inlineStr">
        <is>
          <t>50AR/50D2</t>
        </is>
      </c>
      <c r="AW242" t="n">
        <v>0.6385725728874043</v>
      </c>
      <c r="AX242" t="n">
        <v>0.669108106493447</v>
      </c>
      <c r="AY242" t="n">
        <v>0.6993742550857585</v>
      </c>
      <c r="AZ242" t="n">
        <v>0.729135030911259</v>
      </c>
      <c r="BA242" t="n">
        <v>0.7462123414221717</v>
      </c>
      <c r="BB242" t="n">
        <v>6.299212598425196</v>
      </c>
      <c r="BC242" t="n">
        <v>2.058080092954069</v>
      </c>
      <c r="BD242" t="n">
        <v>4.078203087139681</v>
      </c>
      <c r="BE242" t="n">
        <v>6.253094296107713</v>
      </c>
      <c r="BF242" t="n">
        <v>8.67484424291391</v>
      </c>
      <c r="BG242" t="n">
        <v>11.45672015786573</v>
      </c>
      <c r="BH242" t="n">
        <v>14.77474480167529</v>
      </c>
      <c r="BI242" t="n">
        <v>18.94907199769827</v>
      </c>
      <c r="BJ242" t="n">
        <v>24.68694196954048</v>
      </c>
      <c r="BK242" t="n">
        <v>34.21496187944484</v>
      </c>
      <c r="BL242" t="n">
        <v>93.11687882879632</v>
      </c>
      <c r="BM242" t="inlineStr"/>
      <c r="BN242" t="n">
        <v>14</v>
      </c>
      <c r="BO242" t="n">
        <v>161</v>
      </c>
      <c r="BP242" t="n">
        <v>353</v>
      </c>
      <c r="BQ242" t="n">
        <v>478</v>
      </c>
      <c r="BR242" t="n">
        <v>1145</v>
      </c>
      <c r="BS24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3">
      <c r="A243" t="inlineStr">
        <is>
          <t>FRAG</t>
        </is>
      </c>
      <c r="B243" t="inlineStr">
        <is>
          <t>Fragmentación Desmonte 2025.xlsx</t>
        </is>
      </c>
      <c r="C243" t="inlineStr">
        <is>
          <t>ANÁLISIS DE FRAGMENTACIÓN</t>
        </is>
      </c>
      <c r="D243" t="n">
        <v>247</v>
      </c>
      <c r="E243" t="inlineStr">
        <is>
          <t>ROM (fragmentación post-voladura en el frente de carguío, por análisis de fotos)</t>
        </is>
      </c>
      <c r="F243" t="inlineStr"/>
      <c r="G243" t="inlineStr">
        <is>
          <t>no indicada en el archivo</t>
        </is>
      </c>
      <c r="H243" t="inlineStr">
        <is>
          <t>2025-06-30</t>
        </is>
      </c>
      <c r="I243" t="inlineStr">
        <is>
          <t>2025-07-05</t>
        </is>
      </c>
      <c r="J243" t="inlineStr">
        <is>
          <t>PALA 09</t>
        </is>
      </c>
      <c r="K243" t="n">
        <v>9</v>
      </c>
      <c r="L243" t="inlineStr">
        <is>
          <t>9-NP-3923-30</t>
        </is>
      </c>
      <c r="M243" t="n">
        <v>2</v>
      </c>
      <c r="N243" t="n">
        <v>3923</v>
      </c>
      <c r="O243" t="inlineStr">
        <is>
          <t>C</t>
        </is>
      </c>
      <c r="P243" t="n">
        <v>30</v>
      </c>
      <c r="Q243" t="inlineStr">
        <is>
          <t>Desmonte</t>
        </is>
      </c>
      <c r="R243" t="inlineStr">
        <is>
          <t>TRIM</t>
        </is>
      </c>
      <c r="S243" t="n">
        <v>6</v>
      </c>
      <c r="T243" t="n">
        <v>13.3</v>
      </c>
      <c r="U243" t="n">
        <v>3</v>
      </c>
      <c r="V243" t="n">
        <v>0.9223849526326664</v>
      </c>
      <c r="W243" t="n">
        <v>0.126</v>
      </c>
      <c r="X243" t="n">
        <v>0.179</v>
      </c>
      <c r="Y243" t="n">
        <v>0.6</v>
      </c>
      <c r="Z243" t="n">
        <v>2.4</v>
      </c>
      <c r="AA243" t="n">
        <v>5.2</v>
      </c>
      <c r="AB243" t="n">
        <v>8.800000000000001</v>
      </c>
      <c r="AC243" t="n">
        <v>13.4</v>
      </c>
      <c r="AD243" t="n">
        <v>19.1</v>
      </c>
      <c r="AE243" t="n">
        <v>26.7</v>
      </c>
      <c r="AF243" t="n">
        <v>37.4</v>
      </c>
      <c r="AG243" t="n">
        <v>55.6</v>
      </c>
      <c r="AH243" t="n">
        <v>170.3</v>
      </c>
      <c r="AI243" t="inlineStr"/>
      <c r="AJ243" t="n">
        <v>553653.7875000001</v>
      </c>
      <c r="AK243" t="n">
        <v>175518.5</v>
      </c>
      <c r="AL243" t="n">
        <v>0.3170185122232185</v>
      </c>
      <c r="AM243" t="inlineStr">
        <is>
          <t>-</t>
        </is>
      </c>
      <c r="AN243" t="inlineStr">
        <is>
          <t xml:space="preserve"> - </t>
        </is>
      </c>
      <c r="AO243" t="inlineStr">
        <is>
          <t xml:space="preserve"> - </t>
        </is>
      </c>
      <c r="AP243" t="inlineStr">
        <is>
          <t>9 7/8</t>
        </is>
      </c>
      <c r="AQ243" t="inlineStr">
        <is>
          <t xml:space="preserve"> - </t>
        </is>
      </c>
      <c r="AR243" t="inlineStr">
        <is>
          <t xml:space="preserve"> - </t>
        </is>
      </c>
      <c r="AS243" t="inlineStr">
        <is>
          <t xml:space="preserve"> - </t>
        </is>
      </c>
      <c r="AT243" t="n">
        <v>284</v>
      </c>
      <c r="AU243" t="inlineStr">
        <is>
          <t>Emulgex 70</t>
        </is>
      </c>
      <c r="AV243" t="inlineStr">
        <is>
          <t>50AR/50D2</t>
        </is>
      </c>
      <c r="AW243" t="n">
        <v>0.6531684872293642</v>
      </c>
      <c r="AX243" t="n">
        <v>0.6984434850781238</v>
      </c>
      <c r="AY243" t="n">
        <v>0.7426086815725408</v>
      </c>
      <c r="AZ243" t="n">
        <v>0.7848536438408779</v>
      </c>
      <c r="BA243" t="n">
        <v>0.8083520197131209</v>
      </c>
      <c r="BB243" t="n">
        <v>5.236220472440945</v>
      </c>
      <c r="BC243" t="n">
        <v>1.159556023547141</v>
      </c>
      <c r="BD243" t="n">
        <v>2.615904765181087</v>
      </c>
      <c r="BE243" t="n">
        <v>4.349604326856736</v>
      </c>
      <c r="BF243" t="n">
        <v>6.420614773568191</v>
      </c>
      <c r="BG243" t="n">
        <v>8.938881784133574</v>
      </c>
      <c r="BH243" t="n">
        <v>12.09734834769108</v>
      </c>
      <c r="BI243" t="n">
        <v>16.26491854668429</v>
      </c>
      <c r="BJ243" t="n">
        <v>22.28007701254172</v>
      </c>
      <c r="BK243" t="n">
        <v>32.8508300870669</v>
      </c>
      <c r="BL243" t="n">
        <v>108.0974552127355</v>
      </c>
      <c r="BM243" t="inlineStr"/>
      <c r="BN243" t="n">
        <v>6</v>
      </c>
      <c r="BO243" t="n">
        <v>134</v>
      </c>
      <c r="BP243" t="n">
        <v>374</v>
      </c>
      <c r="BQ243" t="n">
        <v>556</v>
      </c>
      <c r="BR243" t="n">
        <v>1703</v>
      </c>
      <c r="BS24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4">
      <c r="A244" t="inlineStr">
        <is>
          <t>FRAG</t>
        </is>
      </c>
      <c r="B244" t="inlineStr">
        <is>
          <t>Fragmentación Desmonte 2025.xlsx</t>
        </is>
      </c>
      <c r="C244" t="inlineStr">
        <is>
          <t>ANÁLISIS DE FRAGMENTACIÓN</t>
        </is>
      </c>
      <c r="D244" t="n">
        <v>248</v>
      </c>
      <c r="E244" t="inlineStr">
        <is>
          <t>ROM (fragmentación post-voladura en el frente de carguío, por análisis de fotos)</t>
        </is>
      </c>
      <c r="F244" t="inlineStr"/>
      <c r="G244" t="inlineStr">
        <is>
          <t>no indicada en el archivo</t>
        </is>
      </c>
      <c r="H244" t="inlineStr">
        <is>
          <t>2025-06-30</t>
        </is>
      </c>
      <c r="I244" t="inlineStr">
        <is>
          <t>2025-07-07</t>
        </is>
      </c>
      <c r="J244" t="inlineStr">
        <is>
          <t>PALA 14</t>
        </is>
      </c>
      <c r="K244" t="n">
        <v>9</v>
      </c>
      <c r="L244" t="inlineStr">
        <is>
          <t>9-NP-3923-30</t>
        </is>
      </c>
      <c r="M244" t="n">
        <v>2</v>
      </c>
      <c r="N244" t="n">
        <v>3923</v>
      </c>
      <c r="O244" t="inlineStr">
        <is>
          <t>C</t>
        </is>
      </c>
      <c r="P244" t="n">
        <v>30</v>
      </c>
      <c r="Q244" t="inlineStr">
        <is>
          <t>Desmonte</t>
        </is>
      </c>
      <c r="R244" t="inlineStr">
        <is>
          <t>TRIM</t>
        </is>
      </c>
      <c r="S244" t="n">
        <v>4</v>
      </c>
      <c r="T244" t="n">
        <v>6.8</v>
      </c>
      <c r="U244" t="n">
        <v>3</v>
      </c>
      <c r="V244" t="n">
        <v>0.9193502501831216</v>
      </c>
      <c r="W244" t="n">
        <v>0.14</v>
      </c>
      <c r="X244" t="n">
        <v>0.22</v>
      </c>
      <c r="Y244" t="n">
        <v>0.5</v>
      </c>
      <c r="Z244" t="n">
        <v>1.7</v>
      </c>
      <c r="AA244" t="n">
        <v>3.1</v>
      </c>
      <c r="AB244" t="n">
        <v>4.8</v>
      </c>
      <c r="AC244" t="n">
        <v>6.9</v>
      </c>
      <c r="AD244" t="n">
        <v>9.4</v>
      </c>
      <c r="AE244" t="n">
        <v>12.6</v>
      </c>
      <c r="AF244" t="n">
        <v>17.1</v>
      </c>
      <c r="AG244" t="n">
        <v>25</v>
      </c>
      <c r="AH244" t="n">
        <v>88.90000000000001</v>
      </c>
      <c r="AI244" t="inlineStr"/>
      <c r="AJ244" t="n">
        <v>553653.7875000001</v>
      </c>
      <c r="AK244" t="n">
        <v>175518.5</v>
      </c>
      <c r="AL244" t="n">
        <v>0.3170185122232185</v>
      </c>
      <c r="AM244" t="inlineStr">
        <is>
          <t>-</t>
        </is>
      </c>
      <c r="AN244" t="inlineStr">
        <is>
          <t xml:space="preserve"> - </t>
        </is>
      </c>
      <c r="AO244" t="inlineStr">
        <is>
          <t xml:space="preserve"> - </t>
        </is>
      </c>
      <c r="AP244" t="inlineStr">
        <is>
          <t>9 7/8</t>
        </is>
      </c>
      <c r="AQ244" t="inlineStr">
        <is>
          <t xml:space="preserve"> - </t>
        </is>
      </c>
      <c r="AR244" t="inlineStr">
        <is>
          <t xml:space="preserve"> - </t>
        </is>
      </c>
      <c r="AS244" t="inlineStr">
        <is>
          <t xml:space="preserve"> - </t>
        </is>
      </c>
      <c r="AT244" t="n">
        <v>284</v>
      </c>
      <c r="AU244" t="inlineStr">
        <is>
          <t>Emulgex 70</t>
        </is>
      </c>
      <c r="AV244" t="inlineStr">
        <is>
          <t>50AR/50D2</t>
        </is>
      </c>
      <c r="AW244" t="n">
        <v>0.658248169191616</v>
      </c>
      <c r="AX244" t="n">
        <v>0.7136498824208795</v>
      </c>
      <c r="AY244" t="n">
        <v>0.7669601881295689</v>
      </c>
      <c r="AZ244" t="n">
        <v>0.8166737663475447</v>
      </c>
      <c r="BA244" t="n">
        <v>0.8435116105359173</v>
      </c>
      <c r="BB244" t="n">
        <v>2.677165354330708</v>
      </c>
      <c r="BC244" t="n">
        <v>0.588100413256556</v>
      </c>
      <c r="BD244" t="n">
        <v>1.330295102766641</v>
      </c>
      <c r="BE244" t="n">
        <v>2.215668332211794</v>
      </c>
      <c r="BF244" t="n">
        <v>3.27483849384748</v>
      </c>
      <c r="BG244" t="n">
        <v>4.564264782023884</v>
      </c>
      <c r="BH244" t="n">
        <v>6.183175700392101</v>
      </c>
      <c r="BI244" t="n">
        <v>8.321424281064683</v>
      </c>
      <c r="BJ244" t="n">
        <v>11.41073397170261</v>
      </c>
      <c r="BK244" t="n">
        <v>16.84611937451554</v>
      </c>
      <c r="BL244" t="n">
        <v>55.65144693339906</v>
      </c>
      <c r="BM244" t="inlineStr"/>
      <c r="BN244" t="n">
        <v>5</v>
      </c>
      <c r="BO244" t="n">
        <v>69</v>
      </c>
      <c r="BP244" t="n">
        <v>171</v>
      </c>
      <c r="BQ244" t="n">
        <v>250</v>
      </c>
      <c r="BR244" t="n">
        <v>889</v>
      </c>
      <c r="BS24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5">
      <c r="A245" t="inlineStr">
        <is>
          <t>FRAG</t>
        </is>
      </c>
      <c r="B245" t="inlineStr">
        <is>
          <t>Fragmentación Desmonte 2025.xlsx</t>
        </is>
      </c>
      <c r="C245" t="inlineStr">
        <is>
          <t>ANÁLISIS DE FRAGMENTACIÓN</t>
        </is>
      </c>
      <c r="D245" t="n">
        <v>249</v>
      </c>
      <c r="E245" t="inlineStr">
        <is>
          <t>ROM (fragmentación post-voladura en el frente de carguío, por análisis de fotos)</t>
        </is>
      </c>
      <c r="F245" t="inlineStr"/>
      <c r="G245" t="inlineStr">
        <is>
          <t>no indicada en el archivo</t>
        </is>
      </c>
      <c r="H245" t="inlineStr">
        <is>
          <t>2025-07-02</t>
        </is>
      </c>
      <c r="I245" t="inlineStr">
        <is>
          <t>2025-07-08</t>
        </is>
      </c>
      <c r="J245" t="inlineStr">
        <is>
          <t>PALA 06</t>
        </is>
      </c>
      <c r="K245" t="n">
        <v>10</v>
      </c>
      <c r="L245" t="inlineStr">
        <is>
          <t>10-NP-4403-26</t>
        </is>
      </c>
      <c r="M245" t="n">
        <v>5</v>
      </c>
      <c r="N245" t="n">
        <v>4403</v>
      </c>
      <c r="O245" t="inlineStr">
        <is>
          <t>C</t>
        </is>
      </c>
      <c r="P245" t="n">
        <v>30</v>
      </c>
      <c r="Q245" t="inlineStr">
        <is>
          <t>Desmonte</t>
        </is>
      </c>
      <c r="R245" t="inlineStr">
        <is>
          <t>Producción</t>
        </is>
      </c>
      <c r="S245" t="n">
        <v>5</v>
      </c>
      <c r="T245" t="n">
        <v>5</v>
      </c>
      <c r="U245" t="n">
        <v>3</v>
      </c>
      <c r="V245" t="n">
        <v>0.8907865548940345</v>
      </c>
      <c r="W245" t="n">
        <v>0.187</v>
      </c>
      <c r="X245" t="n">
        <v>0.286</v>
      </c>
      <c r="Y245" t="n">
        <v>0.3</v>
      </c>
      <c r="Z245" t="n">
        <v>1.1</v>
      </c>
      <c r="AA245" t="n">
        <v>2.1</v>
      </c>
      <c r="AB245" t="n">
        <v>3.4</v>
      </c>
      <c r="AC245" t="n">
        <v>5</v>
      </c>
      <c r="AD245" t="n">
        <v>7.1</v>
      </c>
      <c r="AE245" t="n">
        <v>9.800000000000001</v>
      </c>
      <c r="AF245" t="n">
        <v>13.6</v>
      </c>
      <c r="AG245" t="n">
        <v>20.4</v>
      </c>
      <c r="AH245" t="n">
        <v>73.90000000000001</v>
      </c>
      <c r="AI245" t="inlineStr"/>
      <c r="AJ245" t="n">
        <v>870375</v>
      </c>
      <c r="AK245" t="n">
        <v>267912.7</v>
      </c>
      <c r="AL245" t="n">
        <v>0.3078129541864139</v>
      </c>
      <c r="AM245" t="inlineStr">
        <is>
          <t>0.951142028436019</t>
        </is>
      </c>
      <c r="AN245" t="inlineStr">
        <is>
          <t>17</t>
        </is>
      </c>
      <c r="AO245" t="inlineStr">
        <is>
          <t>7</t>
        </is>
      </c>
      <c r="AP245" t="inlineStr">
        <is>
          <t>12 1/4</t>
        </is>
      </c>
      <c r="AQ245" t="inlineStr">
        <is>
          <t>9</t>
        </is>
      </c>
      <c r="AR245" t="inlineStr">
        <is>
          <t>10.35</t>
        </is>
      </c>
      <c r="AS245" t="inlineStr">
        <is>
          <t>2</t>
        </is>
      </c>
      <c r="AT245" t="n">
        <v>387</v>
      </c>
      <c r="AU245" t="inlineStr">
        <is>
          <t>Vertex 70</t>
        </is>
      </c>
      <c r="AV245" t="inlineStr">
        <is>
          <t>50AR/50D2</t>
        </is>
      </c>
      <c r="AW245" t="n">
        <v>0.6693708155272902</v>
      </c>
      <c r="AX245" t="n">
        <v>0.7406093649717751</v>
      </c>
      <c r="AY245" t="n">
        <v>0.8070428901238238</v>
      </c>
      <c r="AZ245" t="n">
        <v>0.8654776569832785</v>
      </c>
      <c r="BA245" t="n">
        <v>0.8948822851067273</v>
      </c>
      <c r="BB245" t="n">
        <v>1.968503937007874</v>
      </c>
      <c r="BC245" t="n">
        <v>0.3997835265224907</v>
      </c>
      <c r="BD245" t="n">
        <v>0.9283004935490988</v>
      </c>
      <c r="BE245" t="n">
        <v>1.571627836258969</v>
      </c>
      <c r="BF245" t="n">
        <v>2.352209075430121</v>
      </c>
      <c r="BG245" t="n">
        <v>3.313447764251857</v>
      </c>
      <c r="BH245" t="n">
        <v>4.532611031987079</v>
      </c>
      <c r="BI245" t="n">
        <v>6.158437790210831</v>
      </c>
      <c r="BJ245" t="n">
        <v>8.530670966966465</v>
      </c>
      <c r="BK245" t="n">
        <v>12.75247737880431</v>
      </c>
      <c r="BL245" t="n">
        <v>43.77362332303608</v>
      </c>
      <c r="BM245" t="inlineStr"/>
      <c r="BN245" t="n">
        <v>3</v>
      </c>
      <c r="BO245" t="n">
        <v>50</v>
      </c>
      <c r="BP245" t="n">
        <v>136</v>
      </c>
      <c r="BQ245" t="n">
        <v>204</v>
      </c>
      <c r="BR245" t="n">
        <v>739</v>
      </c>
      <c r="BS24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6">
      <c r="A246" t="inlineStr">
        <is>
          <t>FRAG</t>
        </is>
      </c>
      <c r="B246" t="inlineStr">
        <is>
          <t>Fragmentación Desmonte 2025.xlsx</t>
        </is>
      </c>
      <c r="C246" t="inlineStr">
        <is>
          <t>ANÁLISIS DE FRAGMENTACIÓN</t>
        </is>
      </c>
      <c r="D246" t="n">
        <v>250</v>
      </c>
      <c r="E246" t="inlineStr">
        <is>
          <t>ROM (fragmentación post-voladura en el frente de carguío, por análisis de fotos)</t>
        </is>
      </c>
      <c r="F246" t="inlineStr"/>
      <c r="G246" t="inlineStr">
        <is>
          <t>no indicada en el archivo</t>
        </is>
      </c>
      <c r="H246" t="inlineStr">
        <is>
          <t>2025-07-02</t>
        </is>
      </c>
      <c r="I246" t="inlineStr">
        <is>
          <t>2025-07-08</t>
        </is>
      </c>
      <c r="J246" t="inlineStr">
        <is>
          <t>SP</t>
        </is>
      </c>
      <c r="K246" t="n">
        <v>10</v>
      </c>
      <c r="L246" t="inlineStr">
        <is>
          <t>10-NP-4388-12</t>
        </is>
      </c>
      <c r="M246" t="n">
        <v>2</v>
      </c>
      <c r="N246" t="n">
        <v>4388</v>
      </c>
      <c r="O246" t="inlineStr">
        <is>
          <t>A</t>
        </is>
      </c>
      <c r="P246" t="n">
        <v>30</v>
      </c>
      <c r="Q246" t="inlineStr">
        <is>
          <t>Desmonte</t>
        </is>
      </c>
      <c r="R246" t="inlineStr">
        <is>
          <t>Producción</t>
        </is>
      </c>
      <c r="S246" t="n">
        <v>5</v>
      </c>
      <c r="T246" t="n">
        <v>7</v>
      </c>
      <c r="U246" t="n">
        <v>4</v>
      </c>
      <c r="V246" t="n">
        <v>1.205911901009418</v>
      </c>
      <c r="W246" t="n">
        <v>0.097</v>
      </c>
      <c r="X246" t="n">
        <v>0.174</v>
      </c>
      <c r="Y246" t="n">
        <v>1</v>
      </c>
      <c r="Z246" t="n">
        <v>2.3</v>
      </c>
      <c r="AA246" t="n">
        <v>3.7</v>
      </c>
      <c r="AB246" t="n">
        <v>5.3</v>
      </c>
      <c r="AC246" t="n">
        <v>7</v>
      </c>
      <c r="AD246" t="n">
        <v>9.1</v>
      </c>
      <c r="AE246" t="n">
        <v>11.8</v>
      </c>
      <c r="AF246" t="n">
        <v>15.5</v>
      </c>
      <c r="AG246" t="n">
        <v>22</v>
      </c>
      <c r="AH246" t="n">
        <v>96.7</v>
      </c>
      <c r="AI246" t="inlineStr"/>
      <c r="AJ246" t="n">
        <v>999652.5</v>
      </c>
      <c r="AK246" t="n">
        <v>374901.31</v>
      </c>
      <c r="AL246" t="n">
        <v>0.3750316334926387</v>
      </c>
      <c r="AM246" t="inlineStr">
        <is>
          <t>1.1588477474922534</t>
        </is>
      </c>
      <c r="AN246" t="inlineStr">
        <is>
          <t>17</t>
        </is>
      </c>
      <c r="AO246" t="inlineStr">
        <is>
          <t>7</t>
        </is>
      </c>
      <c r="AP246" t="inlineStr">
        <is>
          <t>12 1/4</t>
        </is>
      </c>
      <c r="AQ246" t="inlineStr">
        <is>
          <t>9</t>
        </is>
      </c>
      <c r="AR246" t="inlineStr">
        <is>
          <t>10.35</t>
        </is>
      </c>
      <c r="AS246" t="inlineStr">
        <is>
          <t>2</t>
        </is>
      </c>
      <c r="AT246" t="n">
        <v>429</v>
      </c>
      <c r="AU246" t="inlineStr">
        <is>
          <t>Vertex 70</t>
        </is>
      </c>
      <c r="AV246" t="inlineStr">
        <is>
          <t>50AR/50D2</t>
        </is>
      </c>
      <c r="AW246" t="n">
        <v>0.6354350593975159</v>
      </c>
      <c r="AX246" t="n">
        <v>0.6796665645877943</v>
      </c>
      <c r="AY246" t="n">
        <v>0.7231596983841418</v>
      </c>
      <c r="AZ246" t="n">
        <v>0.7651810861212399</v>
      </c>
      <c r="BA246" t="n">
        <v>0.7887804301975081</v>
      </c>
      <c r="BB246" t="n">
        <v>2.755905511811024</v>
      </c>
      <c r="BC246" t="n">
        <v>1.083067836346667</v>
      </c>
      <c r="BD246" t="n">
        <v>2.017961724746365</v>
      </c>
      <c r="BE246" t="n">
        <v>2.977289064710348</v>
      </c>
      <c r="BF246" t="n">
        <v>4.010363566579081</v>
      </c>
      <c r="BG246" t="n">
        <v>5.165387130585001</v>
      </c>
      <c r="BH246" t="n">
        <v>6.510498239759859</v>
      </c>
      <c r="BI246" t="n">
        <v>8.164869656830728</v>
      </c>
      <c r="BJ246" t="n">
        <v>10.38681088303432</v>
      </c>
      <c r="BK246" t="n">
        <v>13.97863180540389</v>
      </c>
      <c r="BL246" t="n">
        <v>34.76294003970867</v>
      </c>
      <c r="BM246" t="inlineStr"/>
      <c r="BN246" t="n">
        <v>10</v>
      </c>
      <c r="BO246" t="n">
        <v>70</v>
      </c>
      <c r="BP246" t="n">
        <v>155</v>
      </c>
      <c r="BQ246" t="n">
        <v>220</v>
      </c>
      <c r="BR246" t="n">
        <v>967</v>
      </c>
      <c r="BS24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7">
      <c r="A247" t="inlineStr">
        <is>
          <t>FRAG</t>
        </is>
      </c>
      <c r="B247" t="inlineStr">
        <is>
          <t>Fragmentación Desmonte 2025.xlsx</t>
        </is>
      </c>
      <c r="C247" t="inlineStr">
        <is>
          <t>ANÁLISIS DE FRAGMENTACIÓN</t>
        </is>
      </c>
      <c r="D247" t="n">
        <v>251</v>
      </c>
      <c r="E247" t="inlineStr">
        <is>
          <t>ROM (fragmentación post-voladura en el frente de carguío, por análisis de fotos)</t>
        </is>
      </c>
      <c r="F247" t="inlineStr"/>
      <c r="G247" t="inlineStr">
        <is>
          <t>no indicada en el archivo</t>
        </is>
      </c>
      <c r="H247" t="inlineStr">
        <is>
          <t>2025-07-07</t>
        </is>
      </c>
      <c r="I247" t="inlineStr">
        <is>
          <t>2025-07-09</t>
        </is>
      </c>
      <c r="J247" t="inlineStr">
        <is>
          <t>PALA 09</t>
        </is>
      </c>
      <c r="K247" t="n">
        <v>9</v>
      </c>
      <c r="L247" t="inlineStr">
        <is>
          <t>9-NP-3923-34</t>
        </is>
      </c>
      <c r="M247" t="n">
        <v>1</v>
      </c>
      <c r="N247" t="n">
        <v>3923</v>
      </c>
      <c r="O247" t="inlineStr">
        <is>
          <t>C</t>
        </is>
      </c>
      <c r="P247" t="n">
        <v>30</v>
      </c>
      <c r="Q247" t="inlineStr">
        <is>
          <t>Desmonte</t>
        </is>
      </c>
      <c r="R247" t="inlineStr">
        <is>
          <t>TRIM</t>
        </is>
      </c>
      <c r="S247" t="n">
        <v>4</v>
      </c>
      <c r="T247" t="n">
        <v>9.699999999999999</v>
      </c>
      <c r="U247" t="n">
        <v>3</v>
      </c>
      <c r="V247" t="n">
        <v>1.027481931757263</v>
      </c>
      <c r="W247" t="n">
        <v>0.109</v>
      </c>
      <c r="X247" t="n">
        <v>0.169</v>
      </c>
      <c r="Y247" t="n">
        <v>0.8</v>
      </c>
      <c r="Z247" t="n">
        <v>2.5</v>
      </c>
      <c r="AA247" t="n">
        <v>4.6</v>
      </c>
      <c r="AB247" t="n">
        <v>7</v>
      </c>
      <c r="AC247" t="n">
        <v>9.699999999999999</v>
      </c>
      <c r="AD247" t="n">
        <v>13</v>
      </c>
      <c r="AE247" t="n">
        <v>17</v>
      </c>
      <c r="AF247" t="n">
        <v>22.4</v>
      </c>
      <c r="AG247" t="n">
        <v>31.1</v>
      </c>
      <c r="AH247" t="n">
        <v>83.5</v>
      </c>
      <c r="AI247" t="inlineStr"/>
      <c r="AJ247" t="n">
        <v>379031.4</v>
      </c>
      <c r="AK247" t="n">
        <v>116971.4</v>
      </c>
      <c r="AL247" t="n">
        <v>0.3086060943763498</v>
      </c>
      <c r="AM247" t="inlineStr">
        <is>
          <t>-</t>
        </is>
      </c>
      <c r="AN247" t="inlineStr">
        <is>
          <t xml:space="preserve"> - </t>
        </is>
      </c>
      <c r="AO247" t="inlineStr">
        <is>
          <t xml:space="preserve"> - </t>
        </is>
      </c>
      <c r="AP247" t="inlineStr">
        <is>
          <t>9 7/8</t>
        </is>
      </c>
      <c r="AQ247" t="inlineStr">
        <is>
          <t xml:space="preserve"> - </t>
        </is>
      </c>
      <c r="AR247" t="inlineStr">
        <is>
          <t xml:space="preserve"> - </t>
        </is>
      </c>
      <c r="AS247" t="inlineStr">
        <is>
          <t xml:space="preserve"> - </t>
        </is>
      </c>
      <c r="AT247" t="n">
        <v>212</v>
      </c>
      <c r="AU247" t="inlineStr">
        <is>
          <t>Emulgex 70</t>
        </is>
      </c>
      <c r="AV247" t="inlineStr">
        <is>
          <t>72AR/28D2</t>
        </is>
      </c>
      <c r="AW247" t="n">
        <v>0.6452922470840199</v>
      </c>
      <c r="AX247" t="n">
        <v>0.6881619588461279</v>
      </c>
      <c r="AY247" t="n">
        <v>0.730204223892807</v>
      </c>
      <c r="AZ247" t="n">
        <v>0.770741837926839</v>
      </c>
      <c r="BA247" t="n">
        <v>0.7934832573806325</v>
      </c>
      <c r="BB247" t="n">
        <v>3.818897637795276</v>
      </c>
      <c r="BC247" t="n">
        <v>1.085400294434666</v>
      </c>
      <c r="BD247" t="n">
        <v>2.253094506410277</v>
      </c>
      <c r="BE247" t="n">
        <v>3.556474057403114</v>
      </c>
      <c r="BF247" t="n">
        <v>5.044837745991943</v>
      </c>
      <c r="BG247" t="n">
        <v>6.78976302616571</v>
      </c>
      <c r="BH247" t="n">
        <v>8.90882686341973</v>
      </c>
      <c r="BI247" t="n">
        <v>11.62069672189894</v>
      </c>
      <c r="BJ247" t="n">
        <v>15.41409643876137</v>
      </c>
      <c r="BK247" t="n">
        <v>21.84234612506273</v>
      </c>
      <c r="BL247" t="n">
        <v>63.62957706872798</v>
      </c>
      <c r="BM247" t="inlineStr"/>
      <c r="BN247" t="n">
        <v>8</v>
      </c>
      <c r="BO247" t="n">
        <v>97</v>
      </c>
      <c r="BP247" t="n">
        <v>224</v>
      </c>
      <c r="BQ247" t="n">
        <v>311</v>
      </c>
      <c r="BR247" t="n">
        <v>835</v>
      </c>
      <c r="BS24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8">
      <c r="A248" t="inlineStr">
        <is>
          <t>FRAG</t>
        </is>
      </c>
      <c r="B248" t="inlineStr">
        <is>
          <t>Fragmentación Desmonte 2025.xlsx</t>
        </is>
      </c>
      <c r="C248" t="inlineStr">
        <is>
          <t>ANÁLISIS DE FRAGMENTACIÓN</t>
        </is>
      </c>
      <c r="D248" t="n">
        <v>252</v>
      </c>
      <c r="E248" t="inlineStr">
        <is>
          <t>ROM (fragmentación post-voladura en el frente de carguío, por análisis de fotos)</t>
        </is>
      </c>
      <c r="F248" t="inlineStr"/>
      <c r="G248" t="inlineStr">
        <is>
          <t>no indicada en el archivo</t>
        </is>
      </c>
      <c r="H248" t="inlineStr">
        <is>
          <t>2025-07-04</t>
        </is>
      </c>
      <c r="I248" t="inlineStr">
        <is>
          <t>2025-07-09</t>
        </is>
      </c>
      <c r="J248" t="inlineStr">
        <is>
          <t>PALA 10</t>
        </is>
      </c>
      <c r="K248" t="n">
        <v>9</v>
      </c>
      <c r="L248" t="inlineStr">
        <is>
          <t>9-NP-3923-33</t>
        </is>
      </c>
      <c r="M248" t="n">
        <v>1</v>
      </c>
      <c r="N248" t="n">
        <v>3923</v>
      </c>
      <c r="O248" t="inlineStr">
        <is>
          <t>C</t>
        </is>
      </c>
      <c r="P248" t="n">
        <v>30</v>
      </c>
      <c r="Q248" t="inlineStr">
        <is>
          <t>Desmonte</t>
        </is>
      </c>
      <c r="R248" t="inlineStr">
        <is>
          <t>TRIM</t>
        </is>
      </c>
      <c r="S248" t="n">
        <v>4</v>
      </c>
      <c r="T248" t="n">
        <v>10.2</v>
      </c>
      <c r="U248" t="n">
        <v>3</v>
      </c>
      <c r="V248" t="n">
        <v>0.9491589337799688</v>
      </c>
      <c r="W248" t="n">
        <v>0.097</v>
      </c>
      <c r="X248" t="n">
        <v>0.156</v>
      </c>
      <c r="Y248" t="n">
        <v>1</v>
      </c>
      <c r="Z248" t="n">
        <v>2.8</v>
      </c>
      <c r="AA248" t="n">
        <v>5</v>
      </c>
      <c r="AB248" t="n">
        <v>7.4</v>
      </c>
      <c r="AC248" t="n">
        <v>10.3</v>
      </c>
      <c r="AD248" t="n">
        <v>13.7</v>
      </c>
      <c r="AE248" t="n">
        <v>18</v>
      </c>
      <c r="AF248" t="n">
        <v>24.1</v>
      </c>
      <c r="AG248" t="n">
        <v>34.2</v>
      </c>
      <c r="AH248" t="n">
        <v>116.8</v>
      </c>
      <c r="AI248" t="inlineStr"/>
      <c r="AJ248" t="n">
        <v>536373.75</v>
      </c>
      <c r="AK248" t="n">
        <v>172065.06</v>
      </c>
      <c r="AL248" t="n">
        <v>0.3207932155516559</v>
      </c>
      <c r="AM248" t="inlineStr">
        <is>
          <t>-</t>
        </is>
      </c>
      <c r="AN248" t="inlineStr">
        <is>
          <t xml:space="preserve"> - </t>
        </is>
      </c>
      <c r="AO248" t="inlineStr">
        <is>
          <t xml:space="preserve"> - </t>
        </is>
      </c>
      <c r="AP248" t="inlineStr">
        <is>
          <t>9 7/8</t>
        </is>
      </c>
      <c r="AQ248" t="inlineStr">
        <is>
          <t xml:space="preserve"> - </t>
        </is>
      </c>
      <c r="AR248" t="inlineStr">
        <is>
          <t xml:space="preserve"> - </t>
        </is>
      </c>
      <c r="AS248" t="inlineStr">
        <is>
          <t xml:space="preserve"> - </t>
        </is>
      </c>
      <c r="AT248" t="n">
        <v>302</v>
      </c>
      <c r="AU248" t="inlineStr">
        <is>
          <t>Emulgex 70</t>
        </is>
      </c>
      <c r="AV248" t="inlineStr">
        <is>
          <t>52AR/48D2</t>
        </is>
      </c>
      <c r="AW248" t="n">
        <v>0.6488262460109018</v>
      </c>
      <c r="AX248" t="n">
        <v>0.6883812695833309</v>
      </c>
      <c r="AY248" t="n">
        <v>0.7272287594979234</v>
      </c>
      <c r="AZ248" t="n">
        <v>0.7648362599012958</v>
      </c>
      <c r="BA248" t="n">
        <v>0.7860445024840714</v>
      </c>
      <c r="BB248" t="n">
        <v>4.015748031496063</v>
      </c>
      <c r="BC248" t="n">
        <v>0.9526392062788316</v>
      </c>
      <c r="BD248" t="n">
        <v>2.100350944060398</v>
      </c>
      <c r="BE248" t="n">
        <v>3.442631620927461</v>
      </c>
      <c r="BF248" t="n">
        <v>5.026279855795503</v>
      </c>
      <c r="BG248" t="n">
        <v>6.932654462532275</v>
      </c>
      <c r="BH248" t="n">
        <v>9.30250268827402</v>
      </c>
      <c r="BI248" t="n">
        <v>12.40323657763032</v>
      </c>
      <c r="BJ248" t="n">
        <v>16.84010389763947</v>
      </c>
      <c r="BK248" t="n">
        <v>24.55939717695632</v>
      </c>
      <c r="BL248" t="n">
        <v>78.14400030440126</v>
      </c>
      <c r="BM248" t="inlineStr"/>
      <c r="BN248" t="n">
        <v>10</v>
      </c>
      <c r="BO248" t="n">
        <v>103</v>
      </c>
      <c r="BP248" t="n">
        <v>241</v>
      </c>
      <c r="BQ248" t="n">
        <v>342</v>
      </c>
      <c r="BR248" t="n">
        <v>1168</v>
      </c>
      <c r="BS24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49">
      <c r="A249" t="inlineStr">
        <is>
          <t>FRAG</t>
        </is>
      </c>
      <c r="B249" t="inlineStr">
        <is>
          <t>Fragmentación Desmonte 2025.xlsx</t>
        </is>
      </c>
      <c r="C249" t="inlineStr">
        <is>
          <t>ANÁLISIS DE FRAGMENTACIÓN</t>
        </is>
      </c>
      <c r="D249" t="n">
        <v>253</v>
      </c>
      <c r="E249" t="inlineStr">
        <is>
          <t>ROM (fragmentación post-voladura en el frente de carguío, por análisis de fotos)</t>
        </is>
      </c>
      <c r="F249" t="inlineStr"/>
      <c r="G249" t="inlineStr">
        <is>
          <t>no indicada en el archivo</t>
        </is>
      </c>
      <c r="H249" t="inlineStr">
        <is>
          <t>2025-05-26</t>
        </is>
      </c>
      <c r="I249" t="inlineStr">
        <is>
          <t>2025-07-10</t>
        </is>
      </c>
      <c r="J249" t="inlineStr">
        <is>
          <t>PALA 06</t>
        </is>
      </c>
      <c r="K249" t="n">
        <v>10</v>
      </c>
      <c r="L249" t="inlineStr">
        <is>
          <t>10-NP-4403-19</t>
        </is>
      </c>
      <c r="M249" t="n">
        <v>2</v>
      </c>
      <c r="N249" t="n">
        <v>4403</v>
      </c>
      <c r="O249" t="inlineStr">
        <is>
          <t>C1</t>
        </is>
      </c>
      <c r="P249" t="n">
        <v>30</v>
      </c>
      <c r="Q249" t="inlineStr">
        <is>
          <t>Desmonte</t>
        </is>
      </c>
      <c r="R249" t="inlineStr">
        <is>
          <t>Producción</t>
        </is>
      </c>
      <c r="S249" t="n">
        <v>3</v>
      </c>
      <c r="T249" t="n">
        <v>5.3</v>
      </c>
      <c r="U249" t="n">
        <v>4</v>
      </c>
      <c r="V249" t="n">
        <v>1.232777026086267</v>
      </c>
      <c r="W249" t="n">
        <v>0.107</v>
      </c>
      <c r="X249" t="n">
        <v>0.204</v>
      </c>
      <c r="Y249" t="n">
        <v>0.9</v>
      </c>
      <c r="Z249" t="n">
        <v>1.9</v>
      </c>
      <c r="AA249" t="n">
        <v>3</v>
      </c>
      <c r="AB249" t="n">
        <v>4.1</v>
      </c>
      <c r="AC249" t="n">
        <v>5.3</v>
      </c>
      <c r="AD249" t="n">
        <v>6.8</v>
      </c>
      <c r="AE249" t="n">
        <v>8.6</v>
      </c>
      <c r="AF249" t="n">
        <v>11.2</v>
      </c>
      <c r="AG249" t="n">
        <v>15.5</v>
      </c>
      <c r="AH249" t="n">
        <v>66.7</v>
      </c>
      <c r="AI249" t="inlineStr"/>
      <c r="AJ249" t="n">
        <v>942067.5</v>
      </c>
      <c r="AK249" t="n">
        <v>272429</v>
      </c>
      <c r="AL249" t="n">
        <v>0.2891820384420437</v>
      </c>
      <c r="AM249" t="inlineStr">
        <is>
          <t>0.893572498785915</t>
        </is>
      </c>
      <c r="AN249" t="inlineStr">
        <is>
          <t>17</t>
        </is>
      </c>
      <c r="AO249" t="inlineStr">
        <is>
          <t>7</t>
        </is>
      </c>
      <c r="AP249" t="inlineStr">
        <is>
          <t>12 1/4</t>
        </is>
      </c>
      <c r="AQ249" t="inlineStr">
        <is>
          <t>8.5</t>
        </is>
      </c>
      <c r="AR249" t="inlineStr">
        <is>
          <t>9.8</t>
        </is>
      </c>
      <c r="AS249" t="inlineStr">
        <is>
          <t>2</t>
        </is>
      </c>
      <c r="AT249" t="n">
        <v>293</v>
      </c>
      <c r="AU249" t="inlineStr">
        <is>
          <t>Vertex 70</t>
        </is>
      </c>
      <c r="AV249" t="inlineStr">
        <is>
          <t>51AR/49D2</t>
        </is>
      </c>
      <c r="AW249" t="n">
        <v>0.6343530201550699</v>
      </c>
      <c r="AX249" t="n">
        <v>0.6861685188462487</v>
      </c>
      <c r="AY249" t="n">
        <v>0.7368211859834499</v>
      </c>
      <c r="AZ249" t="n">
        <v>0.7851208856082833</v>
      </c>
      <c r="BA249" t="n">
        <v>0.8118050627691248</v>
      </c>
      <c r="BB249" t="n">
        <v>2.086614173228346</v>
      </c>
      <c r="BC249" t="n">
        <v>0.8540729032267447</v>
      </c>
      <c r="BD249" t="n">
        <v>1.569866292507846</v>
      </c>
      <c r="BE249" t="n">
        <v>2.296623667454979</v>
      </c>
      <c r="BF249" t="n">
        <v>3.073501716146766</v>
      </c>
      <c r="BG249" t="n">
        <v>3.936925461992512</v>
      </c>
      <c r="BH249" t="n">
        <v>4.937170917737268</v>
      </c>
      <c r="BI249" t="n">
        <v>6.161269982370345</v>
      </c>
      <c r="BJ249" t="n">
        <v>7.796957868049551</v>
      </c>
      <c r="BK249" t="n">
        <v>10.42549769720444</v>
      </c>
      <c r="BL249" t="n">
        <v>25.41712598795837</v>
      </c>
      <c r="BM249" t="inlineStr"/>
      <c r="BN249" t="n">
        <v>9</v>
      </c>
      <c r="BO249" t="n">
        <v>53</v>
      </c>
      <c r="BP249" t="n">
        <v>112</v>
      </c>
      <c r="BQ249" t="n">
        <v>155</v>
      </c>
      <c r="BR249" t="n">
        <v>667</v>
      </c>
      <c r="BS24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0">
      <c r="A250" t="inlineStr">
        <is>
          <t>FRAG</t>
        </is>
      </c>
      <c r="B250" t="inlineStr">
        <is>
          <t>Fragmentación Desmonte 2025.xlsx</t>
        </is>
      </c>
      <c r="C250" t="inlineStr">
        <is>
          <t>ANÁLISIS DE FRAGMENTACIÓN</t>
        </is>
      </c>
      <c r="D250" t="n">
        <v>254</v>
      </c>
      <c r="E250" t="inlineStr">
        <is>
          <t>ROM (fragmentación post-voladura en el frente de carguío, por análisis de fotos)</t>
        </is>
      </c>
      <c r="F250" t="inlineStr"/>
      <c r="G250" t="inlineStr">
        <is>
          <t>no indicada en el archivo</t>
        </is>
      </c>
      <c r="H250" t="inlineStr">
        <is>
          <t>2025-05-15</t>
        </is>
      </c>
      <c r="I250" t="inlineStr">
        <is>
          <t>2025-07-10</t>
        </is>
      </c>
      <c r="J250" t="inlineStr">
        <is>
          <t>PALA 13</t>
        </is>
      </c>
      <c r="K250" t="n">
        <v>10</v>
      </c>
      <c r="L250" t="inlineStr">
        <is>
          <t>10-NP-4403-16</t>
        </is>
      </c>
      <c r="M250" t="n">
        <v>1</v>
      </c>
      <c r="N250" t="n">
        <v>4403</v>
      </c>
      <c r="O250" t="inlineStr">
        <is>
          <t>C1</t>
        </is>
      </c>
      <c r="P250" t="n">
        <v>30</v>
      </c>
      <c r="Q250" t="inlineStr">
        <is>
          <t>Desmonte</t>
        </is>
      </c>
      <c r="R250" t="inlineStr">
        <is>
          <t>Producción</t>
        </is>
      </c>
      <c r="S250" t="n">
        <v>3</v>
      </c>
      <c r="T250" t="n">
        <v>3.2</v>
      </c>
      <c r="U250" t="n">
        <v>3</v>
      </c>
      <c r="V250" t="n">
        <v>0.8228245946232197</v>
      </c>
      <c r="W250" t="n">
        <v>0.243</v>
      </c>
      <c r="X250" t="n">
        <v>0.372</v>
      </c>
      <c r="Y250" t="n">
        <v>0.2</v>
      </c>
      <c r="Z250" t="n">
        <v>0.7</v>
      </c>
      <c r="AA250" t="n">
        <v>1.3</v>
      </c>
      <c r="AB250" t="n">
        <v>2.2</v>
      </c>
      <c r="AC250" t="n">
        <v>3.3</v>
      </c>
      <c r="AD250" t="n">
        <v>4.7</v>
      </c>
      <c r="AE250" t="n">
        <v>6.6</v>
      </c>
      <c r="AF250" t="n">
        <v>9.5</v>
      </c>
      <c r="AG250" t="n">
        <v>14.8</v>
      </c>
      <c r="AH250" t="n">
        <v>72.90000000000001</v>
      </c>
      <c r="AI250" t="inlineStr"/>
      <c r="AJ250" t="n">
        <v>1233828.75</v>
      </c>
      <c r="AK250" t="n">
        <v>253987</v>
      </c>
      <c r="AL250" t="n">
        <v>0.2058527165945841</v>
      </c>
      <c r="AM250" t="inlineStr">
        <is>
          <t>0.6360848942772649</t>
        </is>
      </c>
      <c r="AN250" t="inlineStr">
        <is>
          <t>17</t>
        </is>
      </c>
      <c r="AO250" t="inlineStr">
        <is>
          <t>7</t>
        </is>
      </c>
      <c r="AP250" t="inlineStr">
        <is>
          <t>12 1/4</t>
        </is>
      </c>
      <c r="AQ250" t="inlineStr">
        <is>
          <t>8.5</t>
        </is>
      </c>
      <c r="AR250" t="inlineStr">
        <is>
          <t>9.8</t>
        </is>
      </c>
      <c r="AS250" t="inlineStr">
        <is>
          <t>2</t>
        </is>
      </c>
      <c r="AT250" t="n">
        <v>268</v>
      </c>
      <c r="AU250" t="inlineStr">
        <is>
          <t>Vertex 70</t>
        </is>
      </c>
      <c r="AV250" t="inlineStr">
        <is>
          <t>61D2/39AR</t>
        </is>
      </c>
      <c r="AW250" t="n">
        <v>0.6912502130213038</v>
      </c>
      <c r="AX250" t="n">
        <v>0.7814872988829783</v>
      </c>
      <c r="AY250" t="n">
        <v>0.8603031469405338</v>
      </c>
      <c r="AZ250" t="n">
        <v>0.921702664571783</v>
      </c>
      <c r="BA250" t="n">
        <v>0.9482814606606648</v>
      </c>
      <c r="BB250" t="n">
        <v>1.259842519685039</v>
      </c>
      <c r="BC250" t="n">
        <v>0.2076754456305966</v>
      </c>
      <c r="BD250" t="n">
        <v>0.5169727934198504</v>
      </c>
      <c r="BE250" t="n">
        <v>0.9141454401124418</v>
      </c>
      <c r="BF250" t="n">
        <v>1.414510637505369</v>
      </c>
      <c r="BG250" t="n">
        <v>2.049750714354166</v>
      </c>
      <c r="BH250" t="n">
        <v>2.877451808413718</v>
      </c>
      <c r="BI250" t="n">
        <v>4.009825837514891</v>
      </c>
      <c r="BJ250" t="n">
        <v>5.705930920972894</v>
      </c>
      <c r="BK250" t="n">
        <v>8.817796425231423</v>
      </c>
      <c r="BL250" t="n">
        <v>33.51335158233831</v>
      </c>
      <c r="BM250" t="inlineStr"/>
      <c r="BN250" t="n">
        <v>2</v>
      </c>
      <c r="BO250" t="n">
        <v>33</v>
      </c>
      <c r="BP250" t="n">
        <v>95</v>
      </c>
      <c r="BQ250" t="n">
        <v>148</v>
      </c>
      <c r="BR250" t="n">
        <v>729</v>
      </c>
      <c r="BS25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1">
      <c r="A251" t="inlineStr">
        <is>
          <t>FRAG</t>
        </is>
      </c>
      <c r="B251" t="inlineStr">
        <is>
          <t>Fragmentación Desmonte 2025.xlsx</t>
        </is>
      </c>
      <c r="C251" t="inlineStr">
        <is>
          <t>ANÁLISIS DE FRAGMENTACIÓN</t>
        </is>
      </c>
      <c r="D251" t="n">
        <v>255</v>
      </c>
      <c r="E251" t="inlineStr">
        <is>
          <t>ROM (fragmentación post-voladura en el frente de carguío, por análisis de fotos)</t>
        </is>
      </c>
      <c r="F251" t="inlineStr"/>
      <c r="G251" t="inlineStr">
        <is>
          <t>no indicada en el archivo</t>
        </is>
      </c>
      <c r="H251" t="inlineStr">
        <is>
          <t>2025-07-09</t>
        </is>
      </c>
      <c r="I251" t="inlineStr">
        <is>
          <t>2025-07-11</t>
        </is>
      </c>
      <c r="J251" t="inlineStr">
        <is>
          <t>PALA 10</t>
        </is>
      </c>
      <c r="K251" t="n">
        <v>9</v>
      </c>
      <c r="L251" t="inlineStr">
        <is>
          <t>9-NP-3908-19</t>
        </is>
      </c>
      <c r="M251" t="n">
        <v>4</v>
      </c>
      <c r="N251" t="n">
        <v>3908</v>
      </c>
      <c r="O251" t="inlineStr">
        <is>
          <t>A</t>
        </is>
      </c>
      <c r="P251" t="n">
        <v>30</v>
      </c>
      <c r="Q251" t="inlineStr">
        <is>
          <t>Desmonte</t>
        </is>
      </c>
      <c r="R251" t="inlineStr">
        <is>
          <t>Producción</t>
        </is>
      </c>
      <c r="S251" t="n">
        <v>9</v>
      </c>
      <c r="T251" t="n">
        <v>13.3</v>
      </c>
      <c r="U251" t="n">
        <v>2</v>
      </c>
      <c r="V251" t="n">
        <v>0.8017803517939356</v>
      </c>
      <c r="W251" t="n">
        <v>0.091</v>
      </c>
      <c r="X251" t="n">
        <v>0.136</v>
      </c>
      <c r="Y251" t="n">
        <v>1.1</v>
      </c>
      <c r="Z251" t="n">
        <v>3.6</v>
      </c>
      <c r="AA251" t="n">
        <v>6.5</v>
      </c>
      <c r="AB251" t="n">
        <v>9.800000000000001</v>
      </c>
      <c r="AC251" t="n">
        <v>13.3</v>
      </c>
      <c r="AD251" t="n">
        <v>17.3</v>
      </c>
      <c r="AE251" t="n">
        <v>22.1</v>
      </c>
      <c r="AF251" t="n">
        <v>28.1</v>
      </c>
      <c r="AG251" t="n">
        <v>37.1</v>
      </c>
      <c r="AH251" t="n">
        <v>75.8</v>
      </c>
      <c r="AI251" t="inlineStr"/>
      <c r="AJ251" t="n">
        <v>563392.5</v>
      </c>
      <c r="AK251" t="n">
        <v>182571</v>
      </c>
      <c r="AL251" t="n">
        <v>0.3240564970247208</v>
      </c>
      <c r="AM251" t="inlineStr">
        <is>
          <t>1.0013345758063872</t>
        </is>
      </c>
      <c r="AN251" t="inlineStr">
        <is>
          <t>16.5</t>
        </is>
      </c>
      <c r="AO251" t="inlineStr">
        <is>
          <t>6.5</t>
        </is>
      </c>
      <c r="AP251" t="inlineStr">
        <is>
          <t>12 1/4</t>
        </is>
      </c>
      <c r="AQ251" t="inlineStr">
        <is>
          <t>6</t>
        </is>
      </c>
      <c r="AR251" t="inlineStr">
        <is>
          <t>7</t>
        </is>
      </c>
      <c r="AS251" t="inlineStr">
        <is>
          <t>1.5</t>
        </is>
      </c>
      <c r="AT251" t="n">
        <v>204</v>
      </c>
      <c r="AU251" t="inlineStr">
        <is>
          <t>Vertex 70</t>
        </is>
      </c>
      <c r="AV251" t="inlineStr">
        <is>
          <t>49AR/51D2</t>
        </is>
      </c>
      <c r="AW251" t="n">
        <v>0.6551167343264446</v>
      </c>
      <c r="AX251" t="n">
        <v>0.6895661567968073</v>
      </c>
      <c r="AY251" t="n">
        <v>0.7234663024807902</v>
      </c>
      <c r="AZ251" t="n">
        <v>0.7564643738479875</v>
      </c>
      <c r="BA251" t="n">
        <v>0.7752055857305016</v>
      </c>
      <c r="BB251" t="n">
        <v>5.236220472440945</v>
      </c>
      <c r="BC251" t="n">
        <v>0.803362726136965</v>
      </c>
      <c r="BD251" t="n">
        <v>2.048283897199584</v>
      </c>
      <c r="BE251" t="n">
        <v>3.676504614136983</v>
      </c>
      <c r="BF251" t="n">
        <v>5.754428635271672</v>
      </c>
      <c r="BG251" t="n">
        <v>8.420255616787427</v>
      </c>
      <c r="BH251" t="n">
        <v>11.92610529615898</v>
      </c>
      <c r="BI251" t="n">
        <v>16.76481347435866</v>
      </c>
      <c r="BJ251" t="n">
        <v>24.07802026596962</v>
      </c>
      <c r="BK251" t="n">
        <v>37.63707615124706</v>
      </c>
      <c r="BL251" t="n">
        <v>148.1470942165584</v>
      </c>
      <c r="BM251" t="inlineStr"/>
      <c r="BN251" t="n">
        <v>11</v>
      </c>
      <c r="BO251" t="n">
        <v>133</v>
      </c>
      <c r="BP251" t="n">
        <v>281</v>
      </c>
      <c r="BQ251" t="n">
        <v>371</v>
      </c>
      <c r="BR251" t="n">
        <v>758</v>
      </c>
      <c r="BS25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2">
      <c r="A252" t="inlineStr">
        <is>
          <t>FRAG</t>
        </is>
      </c>
      <c r="B252" t="inlineStr">
        <is>
          <t>Fragmentación Desmonte 2025.xlsx</t>
        </is>
      </c>
      <c r="C252" t="inlineStr">
        <is>
          <t>ANÁLISIS DE FRAGMENTACIÓN</t>
        </is>
      </c>
      <c r="D252" t="n">
        <v>256</v>
      </c>
      <c r="E252" t="inlineStr">
        <is>
          <t>ROM (fragmentación post-voladura en el frente de carguío, por análisis de fotos)</t>
        </is>
      </c>
      <c r="F252" t="inlineStr"/>
      <c r="G252" t="inlineStr">
        <is>
          <t>no indicada en el archivo</t>
        </is>
      </c>
      <c r="H252" t="inlineStr">
        <is>
          <t>2025-07-09</t>
        </is>
      </c>
      <c r="I252" t="inlineStr">
        <is>
          <t>2025-07-11</t>
        </is>
      </c>
      <c r="J252" t="inlineStr">
        <is>
          <t>PALA 08</t>
        </is>
      </c>
      <c r="K252" t="n">
        <v>9</v>
      </c>
      <c r="L252" t="inlineStr">
        <is>
          <t>9-NP-3908-13</t>
        </is>
      </c>
      <c r="M252" t="n">
        <v>1</v>
      </c>
      <c r="N252" t="n">
        <v>3908</v>
      </c>
      <c r="O252" t="inlineStr">
        <is>
          <t>A</t>
        </is>
      </c>
      <c r="P252" t="n">
        <v>30</v>
      </c>
      <c r="Q252" t="inlineStr">
        <is>
          <t>Desmonte</t>
        </is>
      </c>
      <c r="R252" t="inlineStr">
        <is>
          <t>Producción</t>
        </is>
      </c>
      <c r="S252" t="n">
        <v>5</v>
      </c>
      <c r="T252" t="n">
        <v>13.3</v>
      </c>
      <c r="U252" t="n">
        <v>3</v>
      </c>
      <c r="V252" t="n">
        <v>1.099021405772286</v>
      </c>
      <c r="W252" t="n">
        <v>0.063</v>
      </c>
      <c r="X252" t="n">
        <v>0.104</v>
      </c>
      <c r="Y252" t="n">
        <v>1.8</v>
      </c>
      <c r="Z252" t="n">
        <v>4.5</v>
      </c>
      <c r="AA252" t="n">
        <v>7.2</v>
      </c>
      <c r="AB252" t="n">
        <v>10.2</v>
      </c>
      <c r="AC252" t="n">
        <v>13.4</v>
      </c>
      <c r="AD252" t="n">
        <v>17</v>
      </c>
      <c r="AE252" t="n">
        <v>21.3</v>
      </c>
      <c r="AF252" t="n">
        <v>27</v>
      </c>
      <c r="AG252" t="n">
        <v>36</v>
      </c>
      <c r="AH252" t="n">
        <v>94.90000000000001</v>
      </c>
      <c r="AI252" t="inlineStr"/>
      <c r="AJ252" t="n">
        <v>474993.75</v>
      </c>
      <c r="AK252" t="n">
        <v>225267</v>
      </c>
      <c r="AL252" t="n">
        <v>0.4742525559546836</v>
      </c>
      <c r="AM252" t="inlineStr">
        <is>
          <t>1.4654403978999722</t>
        </is>
      </c>
      <c r="AN252" t="inlineStr">
        <is>
          <t>16.5</t>
        </is>
      </c>
      <c r="AO252" t="inlineStr">
        <is>
          <t>6.5</t>
        </is>
      </c>
      <c r="AP252" t="inlineStr">
        <is>
          <t>12 1/4</t>
        </is>
      </c>
      <c r="AQ252" t="inlineStr">
        <is>
          <t>6</t>
        </is>
      </c>
      <c r="AR252" t="inlineStr">
        <is>
          <t>7</t>
        </is>
      </c>
      <c r="AS252" t="inlineStr">
        <is>
          <t>1.5</t>
        </is>
      </c>
      <c r="AT252" t="n">
        <v>259</v>
      </c>
      <c r="AU252" t="inlineStr">
        <is>
          <t>Vertex 70</t>
        </is>
      </c>
      <c r="AV252" t="inlineStr">
        <is>
          <t>49AR/51D2</t>
        </is>
      </c>
      <c r="AW252" t="n">
        <v>0.6376525432963502</v>
      </c>
      <c r="AX252" t="n">
        <v>0.6641307905601977</v>
      </c>
      <c r="AY252" t="n">
        <v>0.6904350333687154</v>
      </c>
      <c r="AZ252" t="n">
        <v>0.716413257149944</v>
      </c>
      <c r="BA252" t="n">
        <v>0.7313956388759368</v>
      </c>
      <c r="BB252" t="n">
        <v>5.236220472440945</v>
      </c>
      <c r="BC252" t="n">
        <v>1.716271041520028</v>
      </c>
      <c r="BD252" t="n">
        <v>3.39725605832538</v>
      </c>
      <c r="BE252" t="n">
        <v>5.205522271657353</v>
      </c>
      <c r="BF252" t="n">
        <v>7.217866326992369</v>
      </c>
      <c r="BG252" t="n">
        <v>9.528371177220244</v>
      </c>
      <c r="BH252" t="n">
        <v>12.2830358769729</v>
      </c>
      <c r="BI252" t="n">
        <v>15.74725232572696</v>
      </c>
      <c r="BJ252" t="n">
        <v>20.50711656859927</v>
      </c>
      <c r="BK252" t="n">
        <v>28.40742282467157</v>
      </c>
      <c r="BL252" t="n">
        <v>77.19064124395055</v>
      </c>
      <c r="BM252" t="inlineStr"/>
      <c r="BN252" t="n">
        <v>18</v>
      </c>
      <c r="BO252" t="n">
        <v>134</v>
      </c>
      <c r="BP252" t="n">
        <v>270</v>
      </c>
      <c r="BQ252" t="n">
        <v>360</v>
      </c>
      <c r="BR252" t="n">
        <v>949</v>
      </c>
      <c r="BS25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3">
      <c r="A253" t="inlineStr">
        <is>
          <t>FRAG</t>
        </is>
      </c>
      <c r="B253" t="inlineStr">
        <is>
          <t>Fragmentación Desmonte 2025.xlsx</t>
        </is>
      </c>
      <c r="C253" t="inlineStr">
        <is>
          <t>ANÁLISIS DE FRAGMENTACIÓN</t>
        </is>
      </c>
      <c r="D253" t="n">
        <v>257</v>
      </c>
      <c r="E253" t="inlineStr">
        <is>
          <t>ROM (fragmentación post-voladura en el frente de carguío, por análisis de fotos)</t>
        </is>
      </c>
      <c r="F253" t="inlineStr"/>
      <c r="G253" t="inlineStr">
        <is>
          <t>no indicada en el archivo</t>
        </is>
      </c>
      <c r="H253" t="inlineStr">
        <is>
          <t>2025-07-09</t>
        </is>
      </c>
      <c r="I253" t="inlineStr">
        <is>
          <t>2025-07-13</t>
        </is>
      </c>
      <c r="J253" t="inlineStr">
        <is>
          <t>PALA 08</t>
        </is>
      </c>
      <c r="K253" t="n">
        <v>9</v>
      </c>
      <c r="L253" t="inlineStr">
        <is>
          <t>9-NP-3908-13</t>
        </is>
      </c>
      <c r="M253" t="n">
        <v>13</v>
      </c>
      <c r="N253" t="n">
        <v>3908</v>
      </c>
      <c r="O253" t="inlineStr">
        <is>
          <t>A</t>
        </is>
      </c>
      <c r="P253" t="n">
        <v>30</v>
      </c>
      <c r="Q253" t="inlineStr">
        <is>
          <t>Desmonte</t>
        </is>
      </c>
      <c r="R253" t="inlineStr">
        <is>
          <t>Producción</t>
        </is>
      </c>
      <c r="S253" t="n">
        <v>10</v>
      </c>
      <c r="T253" t="n">
        <v>8.199999999999999</v>
      </c>
      <c r="U253" t="n">
        <v>3</v>
      </c>
      <c r="V253" t="n">
        <v>1.035500381361045</v>
      </c>
      <c r="W253" t="n">
        <v>0.131</v>
      </c>
      <c r="X253" t="n">
        <v>0.2</v>
      </c>
      <c r="Y253" t="n">
        <v>0.6</v>
      </c>
      <c r="Z253" t="n">
        <v>1.9</v>
      </c>
      <c r="AA253" t="n">
        <v>3.7</v>
      </c>
      <c r="AB253" t="n">
        <v>5.8</v>
      </c>
      <c r="AC253" t="n">
        <v>8.199999999999999</v>
      </c>
      <c r="AD253" t="n">
        <v>11.1</v>
      </c>
      <c r="AE253" t="n">
        <v>14.6</v>
      </c>
      <c r="AF253" t="n">
        <v>19.5</v>
      </c>
      <c r="AG253" t="n">
        <v>27.1</v>
      </c>
      <c r="AH253" t="n">
        <v>68.90000000000001</v>
      </c>
      <c r="AI253" t="inlineStr"/>
      <c r="AJ253" t="n">
        <v>474993.75</v>
      </c>
      <c r="AK253" t="n">
        <v>225267</v>
      </c>
      <c r="AL253" t="n">
        <v>0.4742525559546836</v>
      </c>
      <c r="AM253" t="inlineStr">
        <is>
          <t>1.4654403978999722</t>
        </is>
      </c>
      <c r="AN253" t="inlineStr">
        <is>
          <t>16.5</t>
        </is>
      </c>
      <c r="AO253" t="inlineStr">
        <is>
          <t>6.5</t>
        </is>
      </c>
      <c r="AP253" t="inlineStr">
        <is>
          <t>12 1/4</t>
        </is>
      </c>
      <c r="AQ253" t="inlineStr">
        <is>
          <t>6</t>
        </is>
      </c>
      <c r="AR253" t="inlineStr">
        <is>
          <t>7</t>
        </is>
      </c>
      <c r="AS253" t="inlineStr">
        <is>
          <t>1.5</t>
        </is>
      </c>
      <c r="AT253" t="n">
        <v>259</v>
      </c>
      <c r="AU253" t="inlineStr">
        <is>
          <t>Vertex 70</t>
        </is>
      </c>
      <c r="AV253" t="inlineStr">
        <is>
          <t>49AR/51D2</t>
        </is>
      </c>
      <c r="AW253" t="n">
        <v>0.6471355474391218</v>
      </c>
      <c r="AX253" t="n">
        <v>0.6977697361577981</v>
      </c>
      <c r="AY253" t="n">
        <v>0.747032308040177</v>
      </c>
      <c r="AZ253" t="n">
        <v>0.7937937547065511</v>
      </c>
      <c r="BA253" t="n">
        <v>0.8195405313741596</v>
      </c>
      <c r="BB253" t="n">
        <v>3.228346456692913</v>
      </c>
      <c r="BC253" t="n">
        <v>0.9332490952520724</v>
      </c>
      <c r="BD253" t="n">
        <v>1.92633084359337</v>
      </c>
      <c r="BE253" t="n">
        <v>3.029953974640164</v>
      </c>
      <c r="BF253" t="n">
        <v>4.286352710905389</v>
      </c>
      <c r="BG253" t="n">
        <v>5.755676067280136</v>
      </c>
      <c r="BH253" t="n">
        <v>7.536136750384307</v>
      </c>
      <c r="BI253" t="n">
        <v>9.809948396561264</v>
      </c>
      <c r="BJ253" t="n">
        <v>12.98382349938644</v>
      </c>
      <c r="BK253" t="n">
        <v>18.34896566749749</v>
      </c>
      <c r="BL253" t="n">
        <v>53.01216567209557</v>
      </c>
      <c r="BM253" t="inlineStr"/>
      <c r="BN253" t="n">
        <v>6</v>
      </c>
      <c r="BO253" t="n">
        <v>82</v>
      </c>
      <c r="BP253" t="n">
        <v>195</v>
      </c>
      <c r="BQ253" t="n">
        <v>271</v>
      </c>
      <c r="BR253" t="n">
        <v>689</v>
      </c>
      <c r="BS25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4">
      <c r="A254" t="inlineStr">
        <is>
          <t>FRAG</t>
        </is>
      </c>
      <c r="B254" t="inlineStr">
        <is>
          <t>Fragmentación Desmonte 2025.xlsx</t>
        </is>
      </c>
      <c r="C254" t="inlineStr">
        <is>
          <t>ANÁLISIS DE FRAGMENTACIÓN</t>
        </is>
      </c>
      <c r="D254" t="n">
        <v>258</v>
      </c>
      <c r="E254" t="inlineStr">
        <is>
          <t>ROM (fragmentación post-voladura en el frente de carguío, por análisis de fotos)</t>
        </is>
      </c>
      <c r="F254" t="inlineStr"/>
      <c r="G254" t="inlineStr">
        <is>
          <t>no indicada en el archivo</t>
        </is>
      </c>
      <c r="H254" t="inlineStr">
        <is>
          <t>2025-06-24</t>
        </is>
      </c>
      <c r="I254" t="inlineStr">
        <is>
          <t>2025-07-13</t>
        </is>
      </c>
      <c r="J254" t="inlineStr">
        <is>
          <t>PALA 09</t>
        </is>
      </c>
      <c r="K254" t="n">
        <v>9</v>
      </c>
      <c r="L254" t="inlineStr">
        <is>
          <t>9-NP-3908-10</t>
        </is>
      </c>
      <c r="M254" t="n">
        <v>10</v>
      </c>
      <c r="N254" t="n">
        <v>3908</v>
      </c>
      <c r="O254" t="inlineStr">
        <is>
          <t>B</t>
        </is>
      </c>
      <c r="P254" t="n">
        <v>30</v>
      </c>
      <c r="Q254" t="inlineStr">
        <is>
          <t>Desmonte</t>
        </is>
      </c>
      <c r="R254" t="inlineStr">
        <is>
          <t>Producción</t>
        </is>
      </c>
      <c r="S254" t="n">
        <v>7</v>
      </c>
      <c r="T254" t="n">
        <v>9.800000000000001</v>
      </c>
      <c r="U254" t="n">
        <v>3</v>
      </c>
      <c r="V254" t="n">
        <v>1.024263302176655</v>
      </c>
      <c r="W254" t="n">
        <v>0.099</v>
      </c>
      <c r="X254" t="n">
        <v>0.157</v>
      </c>
      <c r="Y254" t="n">
        <v>1</v>
      </c>
      <c r="Z254" t="n">
        <v>2.7</v>
      </c>
      <c r="AA254" t="n">
        <v>4.8</v>
      </c>
      <c r="AB254" t="n">
        <v>7.2</v>
      </c>
      <c r="AC254" t="n">
        <v>9.800000000000001</v>
      </c>
      <c r="AD254" t="n">
        <v>12.9</v>
      </c>
      <c r="AE254" t="n">
        <v>16.8</v>
      </c>
      <c r="AF254" t="n">
        <v>21.9</v>
      </c>
      <c r="AG254" t="n">
        <v>30.3</v>
      </c>
      <c r="AH254" t="n">
        <v>85.2</v>
      </c>
      <c r="AI254" t="inlineStr"/>
      <c r="AJ254" t="n">
        <v>90585</v>
      </c>
      <c r="AK254" t="n">
        <v>23440</v>
      </c>
      <c r="AL254" t="n">
        <v>0.258762488270685</v>
      </c>
      <c r="AM254" t="inlineStr">
        <is>
          <t>0.7995760887564165</t>
        </is>
      </c>
      <c r="AN254" t="inlineStr">
        <is>
          <t>17</t>
        </is>
      </c>
      <c r="AO254" t="inlineStr">
        <is>
          <t>7</t>
        </is>
      </c>
      <c r="AP254" t="inlineStr">
        <is>
          <t>12 1/4</t>
        </is>
      </c>
      <c r="AQ254" t="inlineStr">
        <is>
          <t>8.5</t>
        </is>
      </c>
      <c r="AR254" t="inlineStr">
        <is>
          <t>9.8</t>
        </is>
      </c>
      <c r="AS254" t="inlineStr">
        <is>
          <t>2</t>
        </is>
      </c>
      <c r="AT254" t="n">
        <v>27</v>
      </c>
      <c r="AU254" t="inlineStr">
        <is>
          <t>Vertex 70</t>
        </is>
      </c>
      <c r="AV254" t="inlineStr">
        <is>
          <t xml:space="preserve"> 54AR/46D2</t>
        </is>
      </c>
      <c r="AW254" t="n">
        <v>0.6445384496542124</v>
      </c>
      <c r="AX254" t="n">
        <v>0.6843913060362259</v>
      </c>
      <c r="AY254" t="n">
        <v>0.7235809260848998</v>
      </c>
      <c r="AZ254" t="n">
        <v>0.7615665443902966</v>
      </c>
      <c r="BA254" t="n">
        <v>0.783008432012161</v>
      </c>
      <c r="BB254" t="n">
        <v>3.858267716535433</v>
      </c>
      <c r="BC254" t="n">
        <v>1.089068751612001</v>
      </c>
      <c r="BD254" t="n">
        <v>2.265903979479797</v>
      </c>
      <c r="BE254" t="n">
        <v>3.581827658561265</v>
      </c>
      <c r="BF254" t="n">
        <v>5.086386338523878</v>
      </c>
      <c r="BG254" t="n">
        <v>6.852075650628462</v>
      </c>
      <c r="BH254" t="n">
        <v>8.998264300917942</v>
      </c>
      <c r="BI254" t="n">
        <v>11.74716479746654</v>
      </c>
      <c r="BJ254" t="n">
        <v>15.59568635431934</v>
      </c>
      <c r="BK254" t="n">
        <v>22.12388557217763</v>
      </c>
      <c r="BL254" t="n">
        <v>64.6666483766131</v>
      </c>
      <c r="BM254" t="inlineStr"/>
      <c r="BN254" t="n">
        <v>10</v>
      </c>
      <c r="BO254" t="n">
        <v>98</v>
      </c>
      <c r="BP254" t="n">
        <v>219</v>
      </c>
      <c r="BQ254" t="n">
        <v>303</v>
      </c>
      <c r="BR254" t="n">
        <v>852</v>
      </c>
      <c r="BS25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5">
      <c r="A255" t="inlineStr">
        <is>
          <t>FRAG</t>
        </is>
      </c>
      <c r="B255" t="inlineStr">
        <is>
          <t>Fragmentación Desmonte 2025.xlsx</t>
        </is>
      </c>
      <c r="C255" t="inlineStr">
        <is>
          <t>ANÁLISIS DE FRAGMENTACIÓN</t>
        </is>
      </c>
      <c r="D255" t="n">
        <v>259</v>
      </c>
      <c r="E255" t="inlineStr">
        <is>
          <t>ROM (fragmentación post-voladura en el frente de carguío, por análisis de fotos)</t>
        </is>
      </c>
      <c r="F255" t="inlineStr"/>
      <c r="G255" t="inlineStr">
        <is>
          <t>no indicada en el archivo</t>
        </is>
      </c>
      <c r="H255" t="inlineStr">
        <is>
          <t>2025-07-07</t>
        </is>
      </c>
      <c r="I255" t="inlineStr">
        <is>
          <t>2025-07-13</t>
        </is>
      </c>
      <c r="J255" t="inlineStr">
        <is>
          <t>PALA 10</t>
        </is>
      </c>
      <c r="K255" t="n">
        <v>9</v>
      </c>
      <c r="L255" t="inlineStr">
        <is>
          <t>9-NP-3908-14</t>
        </is>
      </c>
      <c r="M255" t="n">
        <v>14</v>
      </c>
      <c r="N255" t="n">
        <v>3908</v>
      </c>
      <c r="O255" t="inlineStr">
        <is>
          <t>A</t>
        </is>
      </c>
      <c r="P255" t="n">
        <v>30</v>
      </c>
      <c r="Q255" t="inlineStr">
        <is>
          <t>Desmonte</t>
        </is>
      </c>
      <c r="R255" t="inlineStr">
        <is>
          <t>Producción</t>
        </is>
      </c>
      <c r="S255" t="n">
        <v>8</v>
      </c>
      <c r="T255" t="n">
        <v>9.199999999999999</v>
      </c>
      <c r="U255" t="n">
        <v>3</v>
      </c>
      <c r="V255" t="n">
        <v>1.067421776934155</v>
      </c>
      <c r="W255" t="n">
        <v>0.096</v>
      </c>
      <c r="X255" t="n">
        <v>0.156</v>
      </c>
      <c r="Y255" t="n">
        <v>1</v>
      </c>
      <c r="Z255" t="n">
        <v>2.7</v>
      </c>
      <c r="AA255" t="n">
        <v>4.7</v>
      </c>
      <c r="AB255" t="n">
        <v>6.9</v>
      </c>
      <c r="AC255" t="n">
        <v>9.300000000000001</v>
      </c>
      <c r="AD255" t="n">
        <v>12.1</v>
      </c>
      <c r="AE255" t="n">
        <v>15.4</v>
      </c>
      <c r="AF255" t="n">
        <v>20</v>
      </c>
      <c r="AG255" t="n">
        <v>27.1</v>
      </c>
      <c r="AH255" t="n">
        <v>71.40000000000001</v>
      </c>
      <c r="AI255" t="inlineStr"/>
      <c r="AJ255" t="n">
        <v>370945.1625</v>
      </c>
      <c r="AK255" t="n">
        <v>139098.75</v>
      </c>
      <c r="AL255" t="n">
        <v>0.3749846717572438</v>
      </c>
      <c r="AM255" t="inlineStr">
        <is>
          <t>1.1587026357298835</t>
        </is>
      </c>
      <c r="AN255" t="inlineStr">
        <is>
          <t>16.5</t>
        </is>
      </c>
      <c r="AO255" t="inlineStr">
        <is>
          <t>6.5</t>
        </is>
      </c>
      <c r="AP255" t="inlineStr">
        <is>
          <t>12 1/4</t>
        </is>
      </c>
      <c r="AQ255" t="inlineStr">
        <is>
          <t>6</t>
        </is>
      </c>
      <c r="AR255" t="inlineStr">
        <is>
          <t>7</t>
        </is>
      </c>
      <c r="AS255" t="inlineStr">
        <is>
          <t>1.5</t>
        </is>
      </c>
      <c r="AT255" t="n">
        <v>149</v>
      </c>
      <c r="AU255" t="inlineStr">
        <is>
          <t>Vertex 70</t>
        </is>
      </c>
      <c r="AV255" t="inlineStr">
        <is>
          <t>72AR/28D2</t>
        </is>
      </c>
      <c r="AW255" t="n">
        <v>0.6420918902505284</v>
      </c>
      <c r="AX255" t="n">
        <v>0.6817157987193321</v>
      </c>
      <c r="AY255" t="n">
        <v>0.7207200737631374</v>
      </c>
      <c r="AZ255" t="n">
        <v>0.7585757035663977</v>
      </c>
      <c r="BA255" t="n">
        <v>0.7799714019137012</v>
      </c>
      <c r="BB255" t="n">
        <v>3.622047244094488</v>
      </c>
      <c r="BC255" t="n">
        <v>1.117368717667836</v>
      </c>
      <c r="BD255" t="n">
        <v>2.256927802648733</v>
      </c>
      <c r="BE255" t="n">
        <v>3.502195010312984</v>
      </c>
      <c r="BF255" t="n">
        <v>4.903282699165724</v>
      </c>
      <c r="BG255" t="n">
        <v>6.526303432180789</v>
      </c>
      <c r="BH255" t="n">
        <v>8.476551790516179</v>
      </c>
      <c r="BI255" t="n">
        <v>10.94743806823725</v>
      </c>
      <c r="BJ255" t="n">
        <v>14.36838144534427</v>
      </c>
      <c r="BK255" t="n">
        <v>20.09670296035719</v>
      </c>
      <c r="BL255" t="n">
        <v>56.24832084189317</v>
      </c>
      <c r="BM255" t="inlineStr"/>
      <c r="BN255" t="n">
        <v>10</v>
      </c>
      <c r="BO255" t="n">
        <v>93</v>
      </c>
      <c r="BP255" t="n">
        <v>200</v>
      </c>
      <c r="BQ255" t="n">
        <v>271</v>
      </c>
      <c r="BR255" t="n">
        <v>714</v>
      </c>
      <c r="BS25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6">
      <c r="A256" t="inlineStr">
        <is>
          <t>FRAG</t>
        </is>
      </c>
      <c r="B256" t="inlineStr">
        <is>
          <t>Fragmentación Desmonte 2025.xlsx</t>
        </is>
      </c>
      <c r="C256" t="inlineStr">
        <is>
          <t>ANÁLISIS DE FRAGMENTACIÓN</t>
        </is>
      </c>
      <c r="D256" t="n">
        <v>260</v>
      </c>
      <c r="E256" t="inlineStr">
        <is>
          <t>ROM (fragmentación post-voladura en el frente de carguío, por análisis de fotos)</t>
        </is>
      </c>
      <c r="F256" t="inlineStr"/>
      <c r="G256" t="inlineStr">
        <is>
          <t>no indicada en el archivo</t>
        </is>
      </c>
      <c r="H256" t="inlineStr">
        <is>
          <t>2025-04-19</t>
        </is>
      </c>
      <c r="I256" t="inlineStr">
        <is>
          <t>2025-07-14</t>
        </is>
      </c>
      <c r="J256" t="inlineStr">
        <is>
          <t>PALA 11</t>
        </is>
      </c>
      <c r="K256" t="n">
        <v>10</v>
      </c>
      <c r="L256" t="inlineStr">
        <is>
          <t>10-NP-4403-12</t>
        </is>
      </c>
      <c r="M256" t="n">
        <v>2</v>
      </c>
      <c r="N256" t="n">
        <v>4403</v>
      </c>
      <c r="O256" t="inlineStr">
        <is>
          <t>A</t>
        </is>
      </c>
      <c r="P256" t="n">
        <v>30</v>
      </c>
      <c r="Q256" t="inlineStr">
        <is>
          <t>Desmonte</t>
        </is>
      </c>
      <c r="R256" t="inlineStr">
        <is>
          <t>Producción</t>
        </is>
      </c>
      <c r="S256" t="n">
        <v>5</v>
      </c>
      <c r="T256" t="n">
        <v>16.6</v>
      </c>
      <c r="U256" t="n">
        <v>2</v>
      </c>
      <c r="V256" t="n">
        <v>0.7412538304486765</v>
      </c>
      <c r="W256" t="n">
        <v>0.105</v>
      </c>
      <c r="X256" t="n">
        <v>0.148</v>
      </c>
      <c r="Y256" t="n">
        <v>0.8</v>
      </c>
      <c r="Z256" t="n">
        <v>3.5</v>
      </c>
      <c r="AA256" t="n">
        <v>7.1</v>
      </c>
      <c r="AB256" t="n">
        <v>11.6</v>
      </c>
      <c r="AC256" t="n">
        <v>16.7</v>
      </c>
      <c r="AD256" t="n">
        <v>22.7</v>
      </c>
      <c r="AE256" t="n">
        <v>30.1</v>
      </c>
      <c r="AF256" t="n">
        <v>39.7</v>
      </c>
      <c r="AG256" t="n">
        <v>54.3</v>
      </c>
      <c r="AH256" t="n">
        <v>114.7</v>
      </c>
      <c r="AI256" t="inlineStr"/>
      <c r="AJ256" t="n">
        <v>899208.75</v>
      </c>
      <c r="AK256" t="n">
        <v>287267.97</v>
      </c>
      <c r="AL256" t="n">
        <v>0.3194674985091059</v>
      </c>
      <c r="AM256" t="inlineStr">
        <is>
          <t>0.9871545703931371</t>
        </is>
      </c>
      <c r="AN256" t="inlineStr">
        <is>
          <t>17</t>
        </is>
      </c>
      <c r="AO256" t="inlineStr">
        <is>
          <t>1.0 Aire / 6.0 Taco</t>
        </is>
      </c>
      <c r="AP256" t="inlineStr">
        <is>
          <t>12 1/4</t>
        </is>
      </c>
      <c r="AQ256" t="inlineStr">
        <is>
          <t>8.5</t>
        </is>
      </c>
      <c r="AR256" t="inlineStr">
        <is>
          <t>9.8</t>
        </is>
      </c>
      <c r="AS256" t="inlineStr">
        <is>
          <t>2</t>
        </is>
      </c>
      <c r="AT256" t="n">
        <v>309</v>
      </c>
      <c r="AU256" t="inlineStr">
        <is>
          <t>Vertex 70</t>
        </is>
      </c>
      <c r="AV256" t="inlineStr">
        <is>
          <t>49D2/51AR</t>
        </is>
      </c>
      <c r="AW256" t="n">
        <v>0.661404329068871</v>
      </c>
      <c r="AX256" t="n">
        <v>0.6987883405623307</v>
      </c>
      <c r="AY256" t="n">
        <v>0.7354102149748081</v>
      </c>
      <c r="AZ256" t="n">
        <v>0.7708117825388694</v>
      </c>
      <c r="BA256" t="n">
        <v>0.7907705639576382</v>
      </c>
      <c r="BB256" t="n">
        <v>6.535433070866143</v>
      </c>
      <c r="BC256" t="n">
        <v>0.7973270594952246</v>
      </c>
      <c r="BD256" t="n">
        <v>2.194348837274423</v>
      </c>
      <c r="BE256" t="n">
        <v>4.131373724170293</v>
      </c>
      <c r="BF256" t="n">
        <v>6.707316578312915</v>
      </c>
      <c r="BG256" t="n">
        <v>10.12444446438182</v>
      </c>
      <c r="BH256" t="n">
        <v>14.75327755610562</v>
      </c>
      <c r="BI256" t="n">
        <v>21.32383282737576</v>
      </c>
      <c r="BJ256" t="n">
        <v>31.54461030644365</v>
      </c>
      <c r="BK256" t="n">
        <v>51.14000806441251</v>
      </c>
      <c r="BL256" t="n">
        <v>225.1275452615396</v>
      </c>
      <c r="BM256" t="inlineStr"/>
      <c r="BN256" t="n">
        <v>8</v>
      </c>
      <c r="BO256" t="n">
        <v>167</v>
      </c>
      <c r="BP256" t="n">
        <v>397</v>
      </c>
      <c r="BQ256" t="n">
        <v>543</v>
      </c>
      <c r="BR256" t="n">
        <v>1147</v>
      </c>
      <c r="BS25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7">
      <c r="A257" t="inlineStr">
        <is>
          <t>FRAG</t>
        </is>
      </c>
      <c r="B257" t="inlineStr">
        <is>
          <t>Fragmentación Desmonte 2025.xlsx</t>
        </is>
      </c>
      <c r="C257" t="inlineStr">
        <is>
          <t>ANÁLISIS DE FRAGMENTACIÓN</t>
        </is>
      </c>
      <c r="D257" t="n">
        <v>261</v>
      </c>
      <c r="E257" t="inlineStr">
        <is>
          <t>ROM (fragmentación post-voladura en el frente de carguío, por análisis de fotos)</t>
        </is>
      </c>
      <c r="F257" t="inlineStr"/>
      <c r="G257" t="inlineStr">
        <is>
          <t>no indicada en el archivo</t>
        </is>
      </c>
      <c r="H257" t="inlineStr">
        <is>
          <t>2025-05-09</t>
        </is>
      </c>
      <c r="I257" t="inlineStr">
        <is>
          <t>2025-07-14</t>
        </is>
      </c>
      <c r="J257" t="inlineStr">
        <is>
          <t>PALA 11</t>
        </is>
      </c>
      <c r="K257" t="n">
        <v>10</v>
      </c>
      <c r="L257" t="inlineStr">
        <is>
          <t>10-NP-4403-14</t>
        </is>
      </c>
      <c r="M257" t="n">
        <v>3</v>
      </c>
      <c r="N257" t="n">
        <v>4403</v>
      </c>
      <c r="O257" t="inlineStr">
        <is>
          <t>C</t>
        </is>
      </c>
      <c r="P257" t="n">
        <v>30</v>
      </c>
      <c r="Q257" t="inlineStr">
        <is>
          <t>Desmonte</t>
        </is>
      </c>
      <c r="R257" t="inlineStr">
        <is>
          <t>Producción</t>
        </is>
      </c>
      <c r="S257" t="n">
        <v>4</v>
      </c>
      <c r="T257" t="n">
        <v>19.4</v>
      </c>
      <c r="U257" t="n">
        <v>3</v>
      </c>
      <c r="V257" t="n">
        <v>1.197425211493148</v>
      </c>
      <c r="W257" t="n">
        <v>0.053</v>
      </c>
      <c r="X257" t="n">
        <v>0.083</v>
      </c>
      <c r="Y257" t="n">
        <v>2.6</v>
      </c>
      <c r="Z257" t="n">
        <v>6.5</v>
      </c>
      <c r="AA257" t="n">
        <v>10.6</v>
      </c>
      <c r="AB257" t="n">
        <v>14.9</v>
      </c>
      <c r="AC257" t="n">
        <v>19.5</v>
      </c>
      <c r="AD257" t="n">
        <v>24.6</v>
      </c>
      <c r="AE257" t="n">
        <v>30.6</v>
      </c>
      <c r="AF257" t="n">
        <v>38.3</v>
      </c>
      <c r="AG257" t="n">
        <v>50</v>
      </c>
      <c r="AH257" t="n">
        <v>112.2</v>
      </c>
      <c r="AI257" t="inlineStr"/>
      <c r="AJ257" t="n">
        <v>820710</v>
      </c>
      <c r="AK257" t="n">
        <v>226706</v>
      </c>
      <c r="AL257" t="n">
        <v>0.2762315556042938</v>
      </c>
      <c r="AM257" t="inlineStr">
        <is>
          <t>0.8535555068172679</t>
        </is>
      </c>
      <c r="AN257" t="inlineStr">
        <is>
          <t>17</t>
        </is>
      </c>
      <c r="AO257" t="inlineStr">
        <is>
          <t>7</t>
        </is>
      </c>
      <c r="AP257" t="inlineStr">
        <is>
          <t>12 1/4</t>
        </is>
      </c>
      <c r="AQ257" t="inlineStr">
        <is>
          <t>8</t>
        </is>
      </c>
      <c r="AR257" t="inlineStr">
        <is>
          <t>9.2</t>
        </is>
      </c>
      <c r="AS257" t="inlineStr">
        <is>
          <t>2</t>
        </is>
      </c>
      <c r="AT257" t="n">
        <v>243</v>
      </c>
      <c r="AU257" t="inlineStr">
        <is>
          <t>Vertex 70</t>
        </is>
      </c>
      <c r="AV257" t="inlineStr">
        <is>
          <t>61D2/39AR</t>
        </is>
      </c>
      <c r="AW257" t="n">
        <v>0.6339172728062561</v>
      </c>
      <c r="AX257" t="n">
        <v>0.6550666967892451</v>
      </c>
      <c r="AY257" t="n">
        <v>0.6761375690203658</v>
      </c>
      <c r="AZ257" t="n">
        <v>0.6970541971869495</v>
      </c>
      <c r="BA257" t="n">
        <v>0.7091868875581648</v>
      </c>
      <c r="BB257" t="n">
        <v>7.637795275590551</v>
      </c>
      <c r="BC257" t="n">
        <v>2.962206838075237</v>
      </c>
      <c r="BD257" t="n">
        <v>5.543551421017699</v>
      </c>
      <c r="BE257" t="n">
        <v>8.201499926451428</v>
      </c>
      <c r="BF257" t="n">
        <v>11.07064388837128</v>
      </c>
      <c r="BG257" t="n">
        <v>14.28469780210714</v>
      </c>
      <c r="BH257" t="n">
        <v>18.03411255269636</v>
      </c>
      <c r="BI257" t="n">
        <v>22.65305349443578</v>
      </c>
      <c r="BJ257" t="n">
        <v>28.86692944967348</v>
      </c>
      <c r="BK257" t="n">
        <v>38.93114605848398</v>
      </c>
      <c r="BL257" t="n">
        <v>97.44356945879331</v>
      </c>
      <c r="BM257" t="inlineStr"/>
      <c r="BN257" t="n">
        <v>26</v>
      </c>
      <c r="BO257" t="n">
        <v>195</v>
      </c>
      <c r="BP257" t="n">
        <v>383</v>
      </c>
      <c r="BQ257" t="n">
        <v>500</v>
      </c>
      <c r="BR257" t="n">
        <v>1122</v>
      </c>
      <c r="BS25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8">
      <c r="A258" t="inlineStr">
        <is>
          <t>FRAG</t>
        </is>
      </c>
      <c r="B258" t="inlineStr">
        <is>
          <t>Fragmentación Desmonte 2025.xlsx</t>
        </is>
      </c>
      <c r="C258" t="inlineStr">
        <is>
          <t>ANÁLISIS DE FRAGMENTACIÓN</t>
        </is>
      </c>
      <c r="D258" t="n">
        <v>262</v>
      </c>
      <c r="E258" t="inlineStr">
        <is>
          <t>ROM (fragmentación post-voladura en el frente de carguío, por análisis de fotos)</t>
        </is>
      </c>
      <c r="F258" t="inlineStr"/>
      <c r="G258" t="inlineStr">
        <is>
          <t>no indicada en el archivo</t>
        </is>
      </c>
      <c r="H258" t="inlineStr">
        <is>
          <t>2025-07-05</t>
        </is>
      </c>
      <c r="I258" t="inlineStr">
        <is>
          <t>2025-07-14</t>
        </is>
      </c>
      <c r="J258" t="inlineStr">
        <is>
          <t>CARGADOR LETERNAU</t>
        </is>
      </c>
      <c r="K258" t="n">
        <v>10</v>
      </c>
      <c r="L258" t="inlineStr">
        <is>
          <t>10-NP-4403-20</t>
        </is>
      </c>
      <c r="M258" t="n">
        <v>1</v>
      </c>
      <c r="N258" t="n">
        <v>4403</v>
      </c>
      <c r="O258" t="inlineStr">
        <is>
          <t>A</t>
        </is>
      </c>
      <c r="P258" t="n">
        <v>30</v>
      </c>
      <c r="Q258" t="inlineStr">
        <is>
          <t>Desmonte</t>
        </is>
      </c>
      <c r="R258" t="inlineStr">
        <is>
          <t>Producción</t>
        </is>
      </c>
      <c r="S258" t="n">
        <v>3</v>
      </c>
      <c r="T258" t="n">
        <v>8.1</v>
      </c>
      <c r="U258" t="n">
        <v>2</v>
      </c>
      <c r="V258" t="n">
        <v>0.6484408594042186</v>
      </c>
      <c r="W258" t="n">
        <v>0.164</v>
      </c>
      <c r="X258" t="n">
        <v>0.233</v>
      </c>
      <c r="Y258" t="n">
        <v>0.3</v>
      </c>
      <c r="Z258" t="n">
        <v>1.4</v>
      </c>
      <c r="AA258" t="n">
        <v>3.1</v>
      </c>
      <c r="AB258" t="n">
        <v>5.4</v>
      </c>
      <c r="AC258" t="n">
        <v>8.199999999999999</v>
      </c>
      <c r="AD258" t="n">
        <v>11.7</v>
      </c>
      <c r="AE258" t="n">
        <v>16.1</v>
      </c>
      <c r="AF258" t="n">
        <v>22.4</v>
      </c>
      <c r="AG258" t="n">
        <v>32.5</v>
      </c>
      <c r="AH258" t="n">
        <v>84.90000000000001</v>
      </c>
      <c r="AI258" t="inlineStr"/>
      <c r="AJ258" t="n">
        <v>680162.5875</v>
      </c>
      <c r="AK258" t="n">
        <v>205059.8</v>
      </c>
      <c r="AL258" t="n">
        <v>0.3014864442246318</v>
      </c>
      <c r="AM258" t="inlineStr">
        <is>
          <t>0.931593112654112</t>
        </is>
      </c>
      <c r="AN258" t="inlineStr">
        <is>
          <t>17</t>
        </is>
      </c>
      <c r="AO258" t="inlineStr">
        <is>
          <t>7</t>
        </is>
      </c>
      <c r="AP258" t="inlineStr">
        <is>
          <t>12 1/4</t>
        </is>
      </c>
      <c r="AQ258" t="inlineStr">
        <is>
          <t>9</t>
        </is>
      </c>
      <c r="AR258" t="inlineStr">
        <is>
          <t>10.35</t>
        </is>
      </c>
      <c r="AS258" t="inlineStr">
        <is>
          <t>2</t>
        </is>
      </c>
      <c r="AT258" t="n">
        <v>387</v>
      </c>
      <c r="AU258" t="inlineStr">
        <is>
          <t>Vertex 70</t>
        </is>
      </c>
      <c r="AV258" t="inlineStr">
        <is>
          <t>52AR/48D2</t>
        </is>
      </c>
      <c r="AW258" t="n">
        <v>0.6894947643618116</v>
      </c>
      <c r="AX258" t="n">
        <v>0.7470465342988537</v>
      </c>
      <c r="AY258" t="n">
        <v>0.8012039329437824</v>
      </c>
      <c r="AZ258" t="n">
        <v>0.8502263957009625</v>
      </c>
      <c r="BA258" t="n">
        <v>0.8759097967519319</v>
      </c>
      <c r="BB258" t="n">
        <v>3.188976377952756</v>
      </c>
      <c r="BC258" t="n">
        <v>0.2519400900614438</v>
      </c>
      <c r="BD258" t="n">
        <v>0.8014886917064734</v>
      </c>
      <c r="BE258" t="n">
        <v>1.652028089965114</v>
      </c>
      <c r="BF258" t="n">
        <v>2.874713747883042</v>
      </c>
      <c r="BG258" t="n">
        <v>4.602696120583127</v>
      </c>
      <c r="BH258" t="n">
        <v>7.07838624785249</v>
      </c>
      <c r="BI258" t="n">
        <v>10.78472036433715</v>
      </c>
      <c r="BJ258" t="n">
        <v>16.87368304796976</v>
      </c>
      <c r="BK258" t="n">
        <v>29.31431926786945</v>
      </c>
      <c r="BL258" t="n">
        <v>159.5428899575232</v>
      </c>
      <c r="BM258" t="inlineStr"/>
      <c r="BN258" t="n">
        <v>3</v>
      </c>
      <c r="BO258" t="n">
        <v>82</v>
      </c>
      <c r="BP258" t="n">
        <v>224</v>
      </c>
      <c r="BQ258" t="n">
        <v>325</v>
      </c>
      <c r="BR258" t="n">
        <v>849</v>
      </c>
      <c r="BS25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59">
      <c r="A259" t="inlineStr">
        <is>
          <t>FRAG</t>
        </is>
      </c>
      <c r="B259" t="inlineStr">
        <is>
          <t>Fragmentación Desmonte 2025.xlsx</t>
        </is>
      </c>
      <c r="C259" t="inlineStr">
        <is>
          <t>ANÁLISIS DE FRAGMENTACIÓN</t>
        </is>
      </c>
      <c r="D259" t="n">
        <v>263</v>
      </c>
      <c r="E259" t="inlineStr">
        <is>
          <t>ROM (fragmentación post-voladura en el frente de carguío, por análisis de fotos)</t>
        </is>
      </c>
      <c r="F259" t="inlineStr"/>
      <c r="G259" t="inlineStr">
        <is>
          <t>no indicada en el archivo</t>
        </is>
      </c>
      <c r="H259" t="inlineStr">
        <is>
          <t>2025-05-09</t>
        </is>
      </c>
      <c r="I259" t="inlineStr">
        <is>
          <t>2025-07-14</t>
        </is>
      </c>
      <c r="J259" t="inlineStr">
        <is>
          <t>CARGADOR LETERNAU</t>
        </is>
      </c>
      <c r="K259" t="n">
        <v>10</v>
      </c>
      <c r="L259" t="inlineStr">
        <is>
          <t>10-NP-4403-14</t>
        </is>
      </c>
      <c r="M259" t="n">
        <v>3</v>
      </c>
      <c r="N259" t="n">
        <v>4403</v>
      </c>
      <c r="O259" t="inlineStr">
        <is>
          <t>C</t>
        </is>
      </c>
      <c r="P259" t="n">
        <v>30</v>
      </c>
      <c r="Q259" t="inlineStr">
        <is>
          <t>Desmonte</t>
        </is>
      </c>
      <c r="R259" t="inlineStr">
        <is>
          <t>Producción</t>
        </is>
      </c>
      <c r="S259" t="n">
        <v>4</v>
      </c>
      <c r="T259" t="n">
        <v>11.4</v>
      </c>
      <c r="U259" t="n">
        <v>3</v>
      </c>
      <c r="V259" t="n">
        <v>1.086552953599999</v>
      </c>
      <c r="W259" t="n">
        <v>0.096</v>
      </c>
      <c r="X259" t="n">
        <v>0.148</v>
      </c>
      <c r="Y259" t="n">
        <v>1</v>
      </c>
      <c r="Z259" t="n">
        <v>3.1</v>
      </c>
      <c r="AA259" t="n">
        <v>5.6</v>
      </c>
      <c r="AB259" t="n">
        <v>8.300000000000001</v>
      </c>
      <c r="AC259" t="n">
        <v>11.5</v>
      </c>
      <c r="AD259" t="n">
        <v>15.1</v>
      </c>
      <c r="AE259" t="n">
        <v>19.5</v>
      </c>
      <c r="AF259" t="n">
        <v>25.3</v>
      </c>
      <c r="AG259" t="n">
        <v>34.5</v>
      </c>
      <c r="AH259" t="n">
        <v>84</v>
      </c>
      <c r="AI259" t="inlineStr"/>
      <c r="AJ259" t="n">
        <v>820710</v>
      </c>
      <c r="AK259" t="n">
        <v>226706</v>
      </c>
      <c r="AL259" t="n">
        <v>0.2762315556042938</v>
      </c>
      <c r="AM259" t="inlineStr">
        <is>
          <t>0.8535555068172679</t>
        </is>
      </c>
      <c r="AN259" t="inlineStr">
        <is>
          <t>17</t>
        </is>
      </c>
      <c r="AO259" t="inlineStr">
        <is>
          <t>7</t>
        </is>
      </c>
      <c r="AP259" t="inlineStr">
        <is>
          <t>12 1/4</t>
        </is>
      </c>
      <c r="AQ259" t="inlineStr">
        <is>
          <t>8</t>
        </is>
      </c>
      <c r="AR259" t="inlineStr">
        <is>
          <t>9.2</t>
        </is>
      </c>
      <c r="AS259" t="inlineStr">
        <is>
          <t>2</t>
        </is>
      </c>
      <c r="AT259" t="n">
        <v>243</v>
      </c>
      <c r="AU259" t="inlineStr">
        <is>
          <t>Vertex 70</t>
        </is>
      </c>
      <c r="AV259" t="inlineStr">
        <is>
          <t>61D2/39AR</t>
        </is>
      </c>
      <c r="AW259" t="n">
        <v>0.640613762055473</v>
      </c>
      <c r="AX259" t="n">
        <v>0.6782284061610226</v>
      </c>
      <c r="AY259" t="n">
        <v>0.7153265768392073</v>
      </c>
      <c r="AZ259" t="n">
        <v>0.7514585997471107</v>
      </c>
      <c r="BA259" t="n">
        <v>0.7719623198494756</v>
      </c>
      <c r="BB259" t="n">
        <v>4.488188976377953</v>
      </c>
      <c r="BC259" t="n">
        <v>1.436926486449826</v>
      </c>
      <c r="BD259" t="n">
        <v>2.866684190891594</v>
      </c>
      <c r="BE259" t="n">
        <v>4.414104935151413</v>
      </c>
      <c r="BF259" t="n">
        <v>6.14350231347864</v>
      </c>
      <c r="BG259" t="n">
        <v>8.135980227180184</v>
      </c>
      <c r="BH259" t="n">
        <v>10.5187106372065</v>
      </c>
      <c r="BI259" t="n">
        <v>13.52383120341754</v>
      </c>
      <c r="BJ259" t="n">
        <v>17.66508626718826</v>
      </c>
      <c r="BK259" t="n">
        <v>24.56218830572383</v>
      </c>
      <c r="BL259" t="n">
        <v>67.51210456747165</v>
      </c>
      <c r="BM259" t="inlineStr"/>
      <c r="BN259" t="n">
        <v>10</v>
      </c>
      <c r="BO259" t="n">
        <v>115</v>
      </c>
      <c r="BP259" t="n">
        <v>253</v>
      </c>
      <c r="BQ259" t="n">
        <v>345</v>
      </c>
      <c r="BR259" t="n">
        <v>840</v>
      </c>
      <c r="BS25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0">
      <c r="A260" t="inlineStr">
        <is>
          <t>FRAG</t>
        </is>
      </c>
      <c r="B260" t="inlineStr">
        <is>
          <t>Fragmentación Desmonte 2025.xlsx</t>
        </is>
      </c>
      <c r="C260" t="inlineStr">
        <is>
          <t>ANÁLISIS DE FRAGMENTACIÓN</t>
        </is>
      </c>
      <c r="D260" t="n">
        <v>264</v>
      </c>
      <c r="E260" t="inlineStr">
        <is>
          <t>ROM (fragmentación post-voladura en el frente de carguío, por análisis de fotos)</t>
        </is>
      </c>
      <c r="F260" t="inlineStr"/>
      <c r="G260" t="inlineStr">
        <is>
          <t>no indicada en el archivo</t>
        </is>
      </c>
      <c r="H260" t="inlineStr">
        <is>
          <t>2025-07-09</t>
        </is>
      </c>
      <c r="I260" t="inlineStr">
        <is>
          <t>2025-07-15</t>
        </is>
      </c>
      <c r="J260" t="inlineStr">
        <is>
          <t>PALA 08</t>
        </is>
      </c>
      <c r="K260" t="n">
        <v>9</v>
      </c>
      <c r="L260" t="inlineStr">
        <is>
          <t>9-NP-3908-19</t>
        </is>
      </c>
      <c r="M260" t="n">
        <v>3</v>
      </c>
      <c r="N260" t="n">
        <v>3908</v>
      </c>
      <c r="O260" t="inlineStr">
        <is>
          <t>A</t>
        </is>
      </c>
      <c r="P260" t="n">
        <v>30</v>
      </c>
      <c r="Q260" t="inlineStr">
        <is>
          <t>Desmonte</t>
        </is>
      </c>
      <c r="R260" t="inlineStr">
        <is>
          <t>Producción</t>
        </is>
      </c>
      <c r="S260" t="n">
        <v>8</v>
      </c>
      <c r="T260" t="n">
        <v>10.1</v>
      </c>
      <c r="U260" t="n">
        <v>3</v>
      </c>
      <c r="V260" t="n">
        <v>1.077262578334926</v>
      </c>
      <c r="W260" t="n">
        <v>0.062</v>
      </c>
      <c r="X260" t="n">
        <v>0.111</v>
      </c>
      <c r="Y260" t="n">
        <v>1.7</v>
      </c>
      <c r="Z260" t="n">
        <v>3.8</v>
      </c>
      <c r="AA260" t="n">
        <v>5.8</v>
      </c>
      <c r="AB260" t="n">
        <v>7.9</v>
      </c>
      <c r="AC260" t="n">
        <v>10.2</v>
      </c>
      <c r="AD260" t="n">
        <v>12.7</v>
      </c>
      <c r="AE260" t="n">
        <v>15.8</v>
      </c>
      <c r="AF260" t="n">
        <v>19.8</v>
      </c>
      <c r="AG260" t="n">
        <v>26.3</v>
      </c>
      <c r="AH260" t="n">
        <v>76.3</v>
      </c>
      <c r="AI260" t="inlineStr"/>
      <c r="AJ260" t="n">
        <v>563392.5</v>
      </c>
      <c r="AK260" t="n">
        <v>182571</v>
      </c>
      <c r="AL260" t="n">
        <v>0.3240564970247208</v>
      </c>
      <c r="AM260" t="inlineStr">
        <is>
          <t>1.0013345758063872</t>
        </is>
      </c>
      <c r="AN260" t="inlineStr">
        <is>
          <t>16.5</t>
        </is>
      </c>
      <c r="AO260" t="inlineStr">
        <is>
          <t>6.5</t>
        </is>
      </c>
      <c r="AP260" t="inlineStr">
        <is>
          <t>12 1/4</t>
        </is>
      </c>
      <c r="AQ260" t="inlineStr">
        <is>
          <t>6</t>
        </is>
      </c>
      <c r="AR260" t="inlineStr">
        <is>
          <t>7</t>
        </is>
      </c>
      <c r="AS260" t="inlineStr">
        <is>
          <t>1.5</t>
        </is>
      </c>
      <c r="AT260" t="n">
        <v>204</v>
      </c>
      <c r="AU260" t="inlineStr">
        <is>
          <t>Vertex 70</t>
        </is>
      </c>
      <c r="AV260" t="inlineStr">
        <is>
          <t>49AR/51D2</t>
        </is>
      </c>
      <c r="AW260" t="n">
        <v>0.6388413051764079</v>
      </c>
      <c r="AX260" t="n">
        <v>0.6670919564371227</v>
      </c>
      <c r="AY260" t="n">
        <v>0.6951252702330957</v>
      </c>
      <c r="AZ260" t="n">
        <v>0.7227553113023102</v>
      </c>
      <c r="BA260" t="n">
        <v>0.7386541790813645</v>
      </c>
      <c r="BB260" t="n">
        <v>3.976377952755905</v>
      </c>
      <c r="BC260" t="n">
        <v>1.250529635399679</v>
      </c>
      <c r="BD260" t="n">
        <v>2.509724413419337</v>
      </c>
      <c r="BE260" t="n">
        <v>3.878872704690816</v>
      </c>
      <c r="BF260" t="n">
        <v>5.413985463035232</v>
      </c>
      <c r="BG260" t="n">
        <v>7.187254538239095</v>
      </c>
      <c r="BH260" t="n">
        <v>9.312744451501841</v>
      </c>
      <c r="BI260" t="n">
        <v>11.99930590044283</v>
      </c>
      <c r="BJ260" t="n">
        <v>15.70987303253708</v>
      </c>
      <c r="BK260" t="n">
        <v>21.90576952661622</v>
      </c>
      <c r="BL260" t="n">
        <v>60.73793939602183</v>
      </c>
      <c r="BM260" t="inlineStr"/>
      <c r="BN260" t="n">
        <v>17</v>
      </c>
      <c r="BO260" t="n">
        <v>102</v>
      </c>
      <c r="BP260" t="n">
        <v>198</v>
      </c>
      <c r="BQ260" t="n">
        <v>263</v>
      </c>
      <c r="BR260" t="n">
        <v>763</v>
      </c>
      <c r="BS26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1">
      <c r="A261" t="inlineStr">
        <is>
          <t>FRAG</t>
        </is>
      </c>
      <c r="B261" t="inlineStr">
        <is>
          <t>Fragmentación Desmonte 2025.xlsx</t>
        </is>
      </c>
      <c r="C261" t="inlineStr">
        <is>
          <t>ANÁLISIS DE FRAGMENTACIÓN</t>
        </is>
      </c>
      <c r="D261" t="n">
        <v>265</v>
      </c>
      <c r="E261" t="inlineStr">
        <is>
          <t>ROM (fragmentación post-voladura en el frente de carguío, por análisis de fotos)</t>
        </is>
      </c>
      <c r="F261" t="inlineStr"/>
      <c r="G261" t="inlineStr">
        <is>
          <t>no indicada en el archivo</t>
        </is>
      </c>
      <c r="H261" t="inlineStr">
        <is>
          <t>2025-07-12</t>
        </is>
      </c>
      <c r="I261" t="inlineStr">
        <is>
          <t>2025-07-15</t>
        </is>
      </c>
      <c r="J261" t="inlineStr">
        <is>
          <t>PALA 09</t>
        </is>
      </c>
      <c r="K261" t="n">
        <v>9</v>
      </c>
      <c r="L261" t="inlineStr">
        <is>
          <t>9-NP-3908-20</t>
        </is>
      </c>
      <c r="M261" t="n">
        <v>2</v>
      </c>
      <c r="N261" t="n">
        <v>3908</v>
      </c>
      <c r="O261" t="inlineStr">
        <is>
          <t>C</t>
        </is>
      </c>
      <c r="P261" t="n">
        <v>30</v>
      </c>
      <c r="Q261" t="inlineStr">
        <is>
          <t>Desmonte</t>
        </is>
      </c>
      <c r="R261" t="inlineStr">
        <is>
          <t>Producción</t>
        </is>
      </c>
      <c r="S261" t="n">
        <v>7</v>
      </c>
      <c r="T261" t="n">
        <v>10.1</v>
      </c>
      <c r="U261" t="n">
        <v>3</v>
      </c>
      <c r="V261" t="n">
        <v>1.095286525821271</v>
      </c>
      <c r="W261" t="n">
        <v>0.089</v>
      </c>
      <c r="X261" t="n">
        <v>0.148</v>
      </c>
      <c r="Y261" t="n">
        <v>1.1</v>
      </c>
      <c r="Z261" t="n">
        <v>3.1</v>
      </c>
      <c r="AA261" t="n">
        <v>5.2</v>
      </c>
      <c r="AB261" t="n">
        <v>7.6</v>
      </c>
      <c r="AC261" t="n">
        <v>10.2</v>
      </c>
      <c r="AD261" t="n">
        <v>13.2</v>
      </c>
      <c r="AE261" t="n">
        <v>16.8</v>
      </c>
      <c r="AF261" t="n">
        <v>21.5</v>
      </c>
      <c r="AG261" t="n">
        <v>28.9</v>
      </c>
      <c r="AH261" t="n">
        <v>72.90000000000001</v>
      </c>
      <c r="AI261" t="inlineStr"/>
      <c r="AJ261" t="n">
        <v>910853.2125</v>
      </c>
      <c r="AK261" t="n">
        <v>261793</v>
      </c>
      <c r="AL261" t="n">
        <v>0.2874151360584898</v>
      </c>
      <c r="AM261" t="inlineStr">
        <is>
          <t>0.8881127704207333</t>
        </is>
      </c>
      <c r="AN261" t="inlineStr">
        <is>
          <t>17</t>
        </is>
      </c>
      <c r="AO261" t="inlineStr">
        <is>
          <t>7</t>
        </is>
      </c>
      <c r="AP261" t="inlineStr">
        <is>
          <t>12 1/4</t>
        </is>
      </c>
      <c r="AQ261" t="inlineStr">
        <is>
          <t>8.5</t>
        </is>
      </c>
      <c r="AR261" t="inlineStr">
        <is>
          <t>9.8</t>
        </is>
      </c>
      <c r="AS261" t="inlineStr">
        <is>
          <t>2</t>
        </is>
      </c>
      <c r="AT261" t="n">
        <v>296</v>
      </c>
      <c r="AU261" t="inlineStr">
        <is>
          <t>Vertex 70</t>
        </is>
      </c>
      <c r="AV261" t="inlineStr">
        <is>
          <t>49AR/51D2</t>
        </is>
      </c>
      <c r="AW261" t="n">
        <v>0.6401779914650843</v>
      </c>
      <c r="AX261" t="n">
        <v>0.6777960665284246</v>
      </c>
      <c r="AY261" t="n">
        <v>0.7149027307144479</v>
      </c>
      <c r="AZ261" t="n">
        <v>0.7510485397692144</v>
      </c>
      <c r="BA261" t="n">
        <v>0.7715627994962979</v>
      </c>
      <c r="BB261" t="n">
        <v>3.976377952755905</v>
      </c>
      <c r="BC261" t="n">
        <v>1.294265126818534</v>
      </c>
      <c r="BD261" t="n">
        <v>2.567892586252956</v>
      </c>
      <c r="BE261" t="n">
        <v>3.940441356041808</v>
      </c>
      <c r="BF261" t="n">
        <v>5.469824838474239</v>
      </c>
      <c r="BG261" t="n">
        <v>7.227606924933971</v>
      </c>
      <c r="BH261" t="n">
        <v>9.325189222430271</v>
      </c>
      <c r="BI261" t="n">
        <v>11.96532916023024</v>
      </c>
      <c r="BJ261" t="n">
        <v>15.59608471059345</v>
      </c>
      <c r="BK261" t="n">
        <v>21.62845127978709</v>
      </c>
      <c r="BL261" t="n">
        <v>58.97101598126129</v>
      </c>
      <c r="BM261" t="inlineStr"/>
      <c r="BN261" t="n">
        <v>11</v>
      </c>
      <c r="BO261" t="n">
        <v>102</v>
      </c>
      <c r="BP261" t="n">
        <v>215</v>
      </c>
      <c r="BQ261" t="n">
        <v>289</v>
      </c>
      <c r="BR261" t="n">
        <v>729</v>
      </c>
      <c r="BS26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2">
      <c r="A262" t="inlineStr">
        <is>
          <t>FRAG</t>
        </is>
      </c>
      <c r="B262" t="inlineStr">
        <is>
          <t>Fragmentación Desmonte 2025.xlsx</t>
        </is>
      </c>
      <c r="C262" t="inlineStr">
        <is>
          <t>ANÁLISIS DE FRAGMENTACIÓN</t>
        </is>
      </c>
      <c r="D262" t="n">
        <v>266</v>
      </c>
      <c r="E262" t="inlineStr">
        <is>
          <t>ROM (fragmentación post-voladura en el frente de carguío, por análisis de fotos)</t>
        </is>
      </c>
      <c r="F262" t="inlineStr"/>
      <c r="G262" t="inlineStr">
        <is>
          <t>no indicada en el archivo</t>
        </is>
      </c>
      <c r="H262" t="inlineStr">
        <is>
          <t>2025-07-12</t>
        </is>
      </c>
      <c r="I262" t="inlineStr">
        <is>
          <t>2025-07-15</t>
        </is>
      </c>
      <c r="J262" t="inlineStr">
        <is>
          <t>PALA 10</t>
        </is>
      </c>
      <c r="K262" t="n">
        <v>9</v>
      </c>
      <c r="L262" t="inlineStr">
        <is>
          <t>9-NP-3908-20</t>
        </is>
      </c>
      <c r="M262" t="n">
        <v>1</v>
      </c>
      <c r="N262" t="n">
        <v>3908</v>
      </c>
      <c r="O262" t="inlineStr">
        <is>
          <t>A</t>
        </is>
      </c>
      <c r="P262" t="n">
        <v>30</v>
      </c>
      <c r="Q262" t="inlineStr">
        <is>
          <t>Desmonte</t>
        </is>
      </c>
      <c r="R262" t="inlineStr">
        <is>
          <t>Producción</t>
        </is>
      </c>
      <c r="S262" t="n">
        <v>8</v>
      </c>
      <c r="T262" t="n">
        <v>12.5</v>
      </c>
      <c r="U262" t="n">
        <v>3</v>
      </c>
      <c r="V262" t="n">
        <v>1.152702557892079</v>
      </c>
      <c r="W262" t="n">
        <v>0.08599999999999999</v>
      </c>
      <c r="X262" t="n">
        <v>0.132</v>
      </c>
      <c r="Y262" t="n">
        <v>1.2</v>
      </c>
      <c r="Z262" t="n">
        <v>3.6</v>
      </c>
      <c r="AA262" t="n">
        <v>6.3</v>
      </c>
      <c r="AB262" t="n">
        <v>9.300000000000001</v>
      </c>
      <c r="AC262" t="n">
        <v>12.6</v>
      </c>
      <c r="AD262" t="n">
        <v>16.3</v>
      </c>
      <c r="AE262" t="n">
        <v>20.8</v>
      </c>
      <c r="AF262" t="n">
        <v>26.6</v>
      </c>
      <c r="AG262" t="n">
        <v>35.4</v>
      </c>
      <c r="AH262" t="n">
        <v>79.09999999999999</v>
      </c>
      <c r="AI262" t="inlineStr"/>
      <c r="AJ262" t="n">
        <v>910853.2125</v>
      </c>
      <c r="AK262" t="n">
        <v>261793</v>
      </c>
      <c r="AL262" t="n">
        <v>0.2874151360584898</v>
      </c>
      <c r="AM262" t="inlineStr">
        <is>
          <t>0.8881127704207333</t>
        </is>
      </c>
      <c r="AN262" t="inlineStr">
        <is>
          <t>17</t>
        </is>
      </c>
      <c r="AO262" t="inlineStr">
        <is>
          <t>7</t>
        </is>
      </c>
      <c r="AP262" t="inlineStr">
        <is>
          <t>12 1/4</t>
        </is>
      </c>
      <c r="AQ262" t="inlineStr">
        <is>
          <t>8.5</t>
        </is>
      </c>
      <c r="AR262" t="inlineStr">
        <is>
          <t>9.8</t>
        </is>
      </c>
      <c r="AS262" t="inlineStr">
        <is>
          <t>2</t>
        </is>
      </c>
      <c r="AT262" t="n">
        <v>296</v>
      </c>
      <c r="AU262" t="inlineStr">
        <is>
          <t>Vertex 70</t>
        </is>
      </c>
      <c r="AV262" t="inlineStr">
        <is>
          <t>49AR/51D2</t>
        </is>
      </c>
      <c r="AW262" t="n">
        <v>0.6368262746433707</v>
      </c>
      <c r="AX262" t="n">
        <v>0.6704144166937054</v>
      </c>
      <c r="AY262" t="n">
        <v>0.703664358516659</v>
      </c>
      <c r="AZ262" t="n">
        <v>0.7362608693524066</v>
      </c>
      <c r="BA262" t="n">
        <v>0.7548956597622231</v>
      </c>
      <c r="BB262" t="n">
        <v>4.921259842519685</v>
      </c>
      <c r="BC262" t="n">
        <v>1.77442314888568</v>
      </c>
      <c r="BD262" t="n">
        <v>3.402433727180669</v>
      </c>
      <c r="BE262" t="n">
        <v>5.110867667919707</v>
      </c>
      <c r="BF262" t="n">
        <v>6.979572629172265</v>
      </c>
      <c r="BG262" t="n">
        <v>9.095401699531136</v>
      </c>
      <c r="BH262" t="n">
        <v>11.58705023294597</v>
      </c>
      <c r="BI262" t="n">
        <v>14.68409263556111</v>
      </c>
      <c r="BJ262" t="n">
        <v>18.88884398168529</v>
      </c>
      <c r="BK262" t="n">
        <v>25.77161986231907</v>
      </c>
      <c r="BL262" t="n">
        <v>66.84317071091678</v>
      </c>
      <c r="BM262" t="inlineStr"/>
      <c r="BN262" t="n">
        <v>12</v>
      </c>
      <c r="BO262" t="n">
        <v>126</v>
      </c>
      <c r="BP262" t="n">
        <v>266</v>
      </c>
      <c r="BQ262" t="n">
        <v>354</v>
      </c>
      <c r="BR262" t="n">
        <v>791</v>
      </c>
      <c r="BS26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3">
      <c r="A263" t="inlineStr">
        <is>
          <t>FRAG</t>
        </is>
      </c>
      <c r="B263" t="inlineStr">
        <is>
          <t>Fragmentación Desmonte 2025.xlsx</t>
        </is>
      </c>
      <c r="C263" t="inlineStr">
        <is>
          <t>ANÁLISIS DE FRAGMENTACIÓN</t>
        </is>
      </c>
      <c r="D263" t="n">
        <v>267</v>
      </c>
      <c r="E263" t="inlineStr">
        <is>
          <t>ROM (fragmentación post-voladura en el frente de carguío, por análisis de fotos)</t>
        </is>
      </c>
      <c r="F263" t="inlineStr"/>
      <c r="G263" t="inlineStr">
        <is>
          <t>no indicada en el archivo</t>
        </is>
      </c>
      <c r="H263" t="inlineStr">
        <is>
          <t>2025-07-09</t>
        </is>
      </c>
      <c r="I263" t="inlineStr">
        <is>
          <t>2025-07-16</t>
        </is>
      </c>
      <c r="J263" t="inlineStr">
        <is>
          <t>PALA 08</t>
        </is>
      </c>
      <c r="K263" t="n">
        <v>9</v>
      </c>
      <c r="L263" t="inlineStr">
        <is>
          <t>9-NP-3908-19</t>
        </is>
      </c>
      <c r="M263" t="n">
        <v>3</v>
      </c>
      <c r="N263" t="n">
        <v>3908</v>
      </c>
      <c r="O263" t="inlineStr">
        <is>
          <t>A</t>
        </is>
      </c>
      <c r="P263" t="n">
        <v>30</v>
      </c>
      <c r="Q263" t="inlineStr">
        <is>
          <t>Desmonte</t>
        </is>
      </c>
      <c r="R263" t="inlineStr">
        <is>
          <t>Producción</t>
        </is>
      </c>
      <c r="S263" t="n">
        <v>7</v>
      </c>
      <c r="T263" t="n">
        <v>15.2</v>
      </c>
      <c r="U263" t="n">
        <v>3</v>
      </c>
      <c r="V263" t="n">
        <v>1.114687506009267</v>
      </c>
      <c r="W263" t="n">
        <v>0.08699999999999999</v>
      </c>
      <c r="X263" t="n">
        <v>0.129</v>
      </c>
      <c r="Y263" t="n">
        <v>1.2</v>
      </c>
      <c r="Z263" t="n">
        <v>4</v>
      </c>
      <c r="AA263" t="n">
        <v>7.3</v>
      </c>
      <c r="AB263" t="n">
        <v>11</v>
      </c>
      <c r="AC263" t="n">
        <v>15.3</v>
      </c>
      <c r="AD263" t="n">
        <v>20.1</v>
      </c>
      <c r="AE263" t="n">
        <v>26</v>
      </c>
      <c r="AF263" t="n">
        <v>33.8</v>
      </c>
      <c r="AG263" t="n">
        <v>45.7</v>
      </c>
      <c r="AH263" t="n">
        <v>104.4</v>
      </c>
      <c r="AI263" t="inlineStr"/>
      <c r="AJ263" t="n">
        <v>563392.5</v>
      </c>
      <c r="AK263" t="n">
        <v>182571</v>
      </c>
      <c r="AL263" t="n">
        <v>0.3240564970247208</v>
      </c>
      <c r="AM263" t="inlineStr">
        <is>
          <t>1.0013345758063872</t>
        </is>
      </c>
      <c r="AN263" t="inlineStr">
        <is>
          <t>16.5</t>
        </is>
      </c>
      <c r="AO263" t="inlineStr">
        <is>
          <t>6.5</t>
        </is>
      </c>
      <c r="AP263" t="inlineStr">
        <is>
          <t>12 1/4</t>
        </is>
      </c>
      <c r="AQ263" t="inlineStr">
        <is>
          <t>6</t>
        </is>
      </c>
      <c r="AR263" t="inlineStr">
        <is>
          <t>7</t>
        </is>
      </c>
      <c r="AS263" t="inlineStr">
        <is>
          <t>1.5</t>
        </is>
      </c>
      <c r="AT263" t="n">
        <v>204</v>
      </c>
      <c r="AU263" t="inlineStr">
        <is>
          <t>Vertex 70</t>
        </is>
      </c>
      <c r="AV263" t="inlineStr">
        <is>
          <t>49AR/51D2</t>
        </is>
      </c>
      <c r="AW263" t="n">
        <v>0.6383106173456949</v>
      </c>
      <c r="AX263" t="n">
        <v>0.6711298218499105</v>
      </c>
      <c r="AY263" t="n">
        <v>0.703619819202032</v>
      </c>
      <c r="AZ263" t="n">
        <v>0.7354862039986405</v>
      </c>
      <c r="BA263" t="n">
        <v>0.753716398683383</v>
      </c>
      <c r="BB263" t="n">
        <v>5.984251968503937</v>
      </c>
      <c r="BC263" t="n">
        <v>2.018718615147114</v>
      </c>
      <c r="BD263" t="n">
        <v>3.957769641008265</v>
      </c>
      <c r="BE263" t="n">
        <v>6.028118493257539</v>
      </c>
      <c r="BF263" t="n">
        <v>8.32015433090611</v>
      </c>
      <c r="BG263" t="n">
        <v>10.94072578046367</v>
      </c>
      <c r="BH263" t="n">
        <v>14.05345749414125</v>
      </c>
      <c r="BI263" t="n">
        <v>17.95418970958035</v>
      </c>
      <c r="BJ263" t="n">
        <v>23.29451127127525</v>
      </c>
      <c r="BK263" t="n">
        <v>32.12120129615625</v>
      </c>
      <c r="BL263" t="n">
        <v>86.06432756525672</v>
      </c>
      <c r="BM263" t="inlineStr"/>
      <c r="BN263" t="n">
        <v>12</v>
      </c>
      <c r="BO263" t="n">
        <v>153</v>
      </c>
      <c r="BP263" t="n">
        <v>338</v>
      </c>
      <c r="BQ263" t="n">
        <v>457</v>
      </c>
      <c r="BR263" t="n">
        <v>1044</v>
      </c>
      <c r="BS26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4">
      <c r="A264" t="inlineStr">
        <is>
          <t>FRAG</t>
        </is>
      </c>
      <c r="B264" t="inlineStr">
        <is>
          <t>Fragmentación Desmonte 2025.xlsx</t>
        </is>
      </c>
      <c r="C264" t="inlineStr">
        <is>
          <t>ANÁLISIS DE FRAGMENTACIÓN</t>
        </is>
      </c>
      <c r="D264" t="n">
        <v>268</v>
      </c>
      <c r="E264" t="inlineStr">
        <is>
          <t>ROM (fragmentación post-voladura en el frente de carguío, por análisis de fotos)</t>
        </is>
      </c>
      <c r="F264" t="inlineStr"/>
      <c r="G264" t="inlineStr">
        <is>
          <t>no indicada en el archivo</t>
        </is>
      </c>
      <c r="H264" t="inlineStr">
        <is>
          <t>2025-07-12</t>
        </is>
      </c>
      <c r="I264" t="inlineStr">
        <is>
          <t>2025-07-16</t>
        </is>
      </c>
      <c r="J264" t="inlineStr">
        <is>
          <t>PALA 09</t>
        </is>
      </c>
      <c r="K264" t="n">
        <v>9</v>
      </c>
      <c r="L264" t="inlineStr">
        <is>
          <t>9-NP-3908-20</t>
        </is>
      </c>
      <c r="M264" t="n">
        <v>2</v>
      </c>
      <c r="N264" t="n">
        <v>3908</v>
      </c>
      <c r="O264" t="inlineStr">
        <is>
          <t>C</t>
        </is>
      </c>
      <c r="P264" t="n">
        <v>30</v>
      </c>
      <c r="Q264" t="inlineStr">
        <is>
          <t>Desmonte</t>
        </is>
      </c>
      <c r="R264" t="inlineStr">
        <is>
          <t>Producción</t>
        </is>
      </c>
      <c r="S264" t="n">
        <v>6</v>
      </c>
      <c r="T264" t="n">
        <v>8.4</v>
      </c>
      <c r="U264" t="n">
        <v>3</v>
      </c>
      <c r="V264" t="n">
        <v>0.9383161234344276</v>
      </c>
      <c r="W264" t="n">
        <v>0.128</v>
      </c>
      <c r="X264" t="n">
        <v>0.197</v>
      </c>
      <c r="Y264" t="n">
        <v>0.6</v>
      </c>
      <c r="Z264" t="n">
        <v>2</v>
      </c>
      <c r="AA264" t="n">
        <v>3.8</v>
      </c>
      <c r="AB264" t="n">
        <v>5.9</v>
      </c>
      <c r="AC264" t="n">
        <v>8.5</v>
      </c>
      <c r="AD264" t="n">
        <v>11.6</v>
      </c>
      <c r="AE264" t="n">
        <v>15.7</v>
      </c>
      <c r="AF264" t="n">
        <v>21.3</v>
      </c>
      <c r="AG264" t="n">
        <v>30.9</v>
      </c>
      <c r="AH264" t="n">
        <v>100.8</v>
      </c>
      <c r="AI264" t="inlineStr"/>
      <c r="AJ264" t="n">
        <v>910853.2125</v>
      </c>
      <c r="AK264" t="n">
        <v>261793</v>
      </c>
      <c r="AL264" t="n">
        <v>0.2874151360584898</v>
      </c>
      <c r="AM264" t="inlineStr">
        <is>
          <t>0.8881127704207333</t>
        </is>
      </c>
      <c r="AN264" t="inlineStr">
        <is>
          <t>17</t>
        </is>
      </c>
      <c r="AO264" t="inlineStr">
        <is>
          <t>7</t>
        </is>
      </c>
      <c r="AP264" t="inlineStr">
        <is>
          <t>12 1/4</t>
        </is>
      </c>
      <c r="AQ264" t="inlineStr">
        <is>
          <t>8.5</t>
        </is>
      </c>
      <c r="AR264" t="inlineStr">
        <is>
          <t>9.8</t>
        </is>
      </c>
      <c r="AS264" t="inlineStr">
        <is>
          <t>2</t>
        </is>
      </c>
      <c r="AT264" t="n">
        <v>296</v>
      </c>
      <c r="AU264" t="inlineStr">
        <is>
          <t>Vertex 70</t>
        </is>
      </c>
      <c r="AV264" t="inlineStr">
        <is>
          <t>49AR/51D2</t>
        </is>
      </c>
      <c r="AW264" t="n">
        <v>0.6540436528006761</v>
      </c>
      <c r="AX264" t="n">
        <v>0.7038071966416288</v>
      </c>
      <c r="AY264" t="n">
        <v>0.7521097687511582</v>
      </c>
      <c r="AZ264" t="n">
        <v>0.7978693450139616</v>
      </c>
      <c r="BA264" t="n">
        <v>0.8230326612891024</v>
      </c>
      <c r="BB264" t="n">
        <v>3.307086614173228</v>
      </c>
      <c r="BC264" t="n">
        <v>0.7633242960818529</v>
      </c>
      <c r="BD264" t="n">
        <v>1.69840114146637</v>
      </c>
      <c r="BE264" t="n">
        <v>2.799746934644064</v>
      </c>
      <c r="BF264" t="n">
        <v>4.10557626936821</v>
      </c>
      <c r="BG264" t="n">
        <v>5.683826164099892</v>
      </c>
      <c r="BH264" t="n">
        <v>7.652735269211291</v>
      </c>
      <c r="BI264" t="n">
        <v>10.23754008815982</v>
      </c>
      <c r="BJ264" t="n">
        <v>13.94890290990533</v>
      </c>
      <c r="BK264" t="n">
        <v>20.43180044836324</v>
      </c>
      <c r="BL264" t="n">
        <v>65.88602745740688</v>
      </c>
      <c r="BM264" t="inlineStr"/>
      <c r="BN264" t="n">
        <v>6</v>
      </c>
      <c r="BO264" t="n">
        <v>85</v>
      </c>
      <c r="BP264" t="n">
        <v>213</v>
      </c>
      <c r="BQ264" t="n">
        <v>309</v>
      </c>
      <c r="BR264" t="n">
        <v>1008</v>
      </c>
      <c r="BS26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5">
      <c r="A265" t="inlineStr">
        <is>
          <t>FRAG</t>
        </is>
      </c>
      <c r="B265" t="inlineStr">
        <is>
          <t>Fragmentación Desmonte 2025.xlsx</t>
        </is>
      </c>
      <c r="C265" t="inlineStr">
        <is>
          <t>ANÁLISIS DE FRAGMENTACIÓN</t>
        </is>
      </c>
      <c r="D265" t="n">
        <v>269</v>
      </c>
      <c r="E265" t="inlineStr">
        <is>
          <t>ROM (fragmentación post-voladura en el frente de carguío, por análisis de fotos)</t>
        </is>
      </c>
      <c r="F265" t="inlineStr"/>
      <c r="G265" t="inlineStr">
        <is>
          <t>no indicada en el archivo</t>
        </is>
      </c>
      <c r="H265" t="inlineStr">
        <is>
          <t>2025-07-12</t>
        </is>
      </c>
      <c r="I265" t="inlineStr">
        <is>
          <t>2025-07-16</t>
        </is>
      </c>
      <c r="J265" t="inlineStr">
        <is>
          <t>PALA 10</t>
        </is>
      </c>
      <c r="K265" t="n">
        <v>9</v>
      </c>
      <c r="L265" t="inlineStr">
        <is>
          <t>9-NP-3908-20</t>
        </is>
      </c>
      <c r="M265" t="n">
        <v>2</v>
      </c>
      <c r="N265" t="n">
        <v>3908</v>
      </c>
      <c r="O265" t="inlineStr">
        <is>
          <t>C</t>
        </is>
      </c>
      <c r="P265" t="n">
        <v>30</v>
      </c>
      <c r="Q265" t="inlineStr">
        <is>
          <t>Desmonte</t>
        </is>
      </c>
      <c r="R265" t="inlineStr">
        <is>
          <t>Producción</t>
        </is>
      </c>
      <c r="S265" t="n">
        <v>7</v>
      </c>
      <c r="T265" t="n">
        <v>13.1</v>
      </c>
      <c r="U265" t="n">
        <v>2</v>
      </c>
      <c r="V265" t="n">
        <v>0.7320477436383651</v>
      </c>
      <c r="W265" t="n">
        <v>0.118</v>
      </c>
      <c r="X265" t="n">
        <v>0.168</v>
      </c>
      <c r="Y265" t="n">
        <v>0.7</v>
      </c>
      <c r="Z265" t="n">
        <v>2.7</v>
      </c>
      <c r="AA265" t="n">
        <v>5.6</v>
      </c>
      <c r="AB265" t="n">
        <v>9.1</v>
      </c>
      <c r="AC265" t="n">
        <v>13.2</v>
      </c>
      <c r="AD265" t="n">
        <v>18</v>
      </c>
      <c r="AE265" t="n">
        <v>23.9</v>
      </c>
      <c r="AF265" t="n">
        <v>31.7</v>
      </c>
      <c r="AG265" t="n">
        <v>43.6</v>
      </c>
      <c r="AH265" t="n">
        <v>93.7</v>
      </c>
      <c r="AI265" t="inlineStr"/>
      <c r="AJ265" t="n">
        <v>910853.2125</v>
      </c>
      <c r="AK265" t="n">
        <v>261793</v>
      </c>
      <c r="AL265" t="n">
        <v>0.2874151360584898</v>
      </c>
      <c r="AM265" t="inlineStr">
        <is>
          <t>0.8881127704207333</t>
        </is>
      </c>
      <c r="AN265" t="inlineStr">
        <is>
          <t>17</t>
        </is>
      </c>
      <c r="AO265" t="inlineStr">
        <is>
          <t>7</t>
        </is>
      </c>
      <c r="AP265" t="inlineStr">
        <is>
          <t>12 1/4</t>
        </is>
      </c>
      <c r="AQ265" t="inlineStr">
        <is>
          <t>8.5</t>
        </is>
      </c>
      <c r="AR265" t="inlineStr">
        <is>
          <t>9.8</t>
        </is>
      </c>
      <c r="AS265" t="inlineStr">
        <is>
          <t>2</t>
        </is>
      </c>
      <c r="AT265" t="n">
        <v>296</v>
      </c>
      <c r="AU265" t="inlineStr">
        <is>
          <t>Vertex 70</t>
        </is>
      </c>
      <c r="AV265" t="inlineStr">
        <is>
          <t>49AR/51D2</t>
        </is>
      </c>
      <c r="AW265" t="n">
        <v>0.6661201824192443</v>
      </c>
      <c r="AX265" t="n">
        <v>0.7084227742864819</v>
      </c>
      <c r="AY265" t="n">
        <v>0.7495905462337309</v>
      </c>
      <c r="AZ265" t="n">
        <v>0.7889505896068858</v>
      </c>
      <c r="BA265" t="n">
        <v>0.810870711963715</v>
      </c>
      <c r="BB265" t="n">
        <v>5.15748031496063</v>
      </c>
      <c r="BC265" t="n">
        <v>0.6056460296924617</v>
      </c>
      <c r="BD265" t="n">
        <v>1.688174096159123</v>
      </c>
      <c r="BE265" t="n">
        <v>3.203772990333495</v>
      </c>
      <c r="BF265" t="n">
        <v>5.233144049110552</v>
      </c>
      <c r="BG265" t="n">
        <v>7.940245342793186</v>
      </c>
      <c r="BH265" t="n">
        <v>11.62539166453082</v>
      </c>
      <c r="BI265" t="n">
        <v>16.88092286443398</v>
      </c>
      <c r="BJ265" t="n">
        <v>25.09543466973974</v>
      </c>
      <c r="BK265" t="n">
        <v>40.93258751208425</v>
      </c>
      <c r="BL265" t="n">
        <v>183.5826698474376</v>
      </c>
      <c r="BM265" t="inlineStr"/>
      <c r="BN265" t="n">
        <v>7</v>
      </c>
      <c r="BO265" t="n">
        <v>132</v>
      </c>
      <c r="BP265" t="n">
        <v>317</v>
      </c>
      <c r="BQ265" t="n">
        <v>436</v>
      </c>
      <c r="BR265" t="n">
        <v>937</v>
      </c>
      <c r="BS26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6">
      <c r="A266" t="inlineStr">
        <is>
          <t>FRAG</t>
        </is>
      </c>
      <c r="B266" t="inlineStr">
        <is>
          <t>Fragmentación Desmonte 2025.xlsx</t>
        </is>
      </c>
      <c r="C266" t="inlineStr">
        <is>
          <t>ANÁLISIS DE FRAGMENTACIÓN</t>
        </is>
      </c>
      <c r="D266" t="n">
        <v>270</v>
      </c>
      <c r="E266" t="inlineStr">
        <is>
          <t>ROM (fragmentación post-voladura en el frente de carguío, por análisis de fotos)</t>
        </is>
      </c>
      <c r="F266" t="inlineStr"/>
      <c r="G266" t="inlineStr">
        <is>
          <t>no indicada en el archivo</t>
        </is>
      </c>
      <c r="H266" t="inlineStr">
        <is>
          <t>2025-07-15</t>
        </is>
      </c>
      <c r="I266" t="inlineStr">
        <is>
          <t>2025-07-17</t>
        </is>
      </c>
      <c r="J266" t="inlineStr">
        <is>
          <t>PALA 08</t>
        </is>
      </c>
      <c r="K266" t="n">
        <v>9</v>
      </c>
      <c r="L266" t="inlineStr">
        <is>
          <t>9-NP-3908-22</t>
        </is>
      </c>
      <c r="M266" t="n">
        <v>1</v>
      </c>
      <c r="N266" t="n">
        <v>3908</v>
      </c>
      <c r="O266" t="inlineStr">
        <is>
          <t>A</t>
        </is>
      </c>
      <c r="P266" t="n">
        <v>30</v>
      </c>
      <c r="Q266" t="inlineStr">
        <is>
          <t>Desmonte</t>
        </is>
      </c>
      <c r="R266" t="inlineStr">
        <is>
          <t>TRIM</t>
        </is>
      </c>
      <c r="S266" t="n">
        <v>7</v>
      </c>
      <c r="T266" t="n">
        <v>12.4</v>
      </c>
      <c r="U266" t="n">
        <v>3</v>
      </c>
      <c r="V266" t="n">
        <v>0.9355223794060172</v>
      </c>
      <c r="W266" t="n">
        <v>0.095</v>
      </c>
      <c r="X266" t="n">
        <v>0.147</v>
      </c>
      <c r="Y266" t="n">
        <v>1</v>
      </c>
      <c r="Z266" t="n">
        <v>3.1</v>
      </c>
      <c r="AA266" t="n">
        <v>5.8</v>
      </c>
      <c r="AB266" t="n">
        <v>8.800000000000001</v>
      </c>
      <c r="AC266" t="n">
        <v>12.4</v>
      </c>
      <c r="AD266" t="n">
        <v>16.8</v>
      </c>
      <c r="AE266" t="n">
        <v>22.4</v>
      </c>
      <c r="AF266" t="n">
        <v>30.2</v>
      </c>
      <c r="AG266" t="n">
        <v>43.5</v>
      </c>
      <c r="AH266" t="n">
        <v>148.8</v>
      </c>
      <c r="AI266" t="inlineStr"/>
      <c r="AJ266" t="n">
        <v>235547.8125</v>
      </c>
      <c r="AK266" t="n">
        <v>99304</v>
      </c>
      <c r="AL266" t="n">
        <v>0.4215874431013873</v>
      </c>
      <c r="AM266" t="inlineStr">
        <is>
          <t>-</t>
        </is>
      </c>
      <c r="AN266" t="inlineStr">
        <is>
          <t xml:space="preserve"> - </t>
        </is>
      </c>
      <c r="AO266" t="inlineStr">
        <is>
          <t xml:space="preserve"> - </t>
        </is>
      </c>
      <c r="AP266" t="inlineStr">
        <is>
          <t>9 7/8</t>
        </is>
      </c>
      <c r="AQ266" t="inlineStr">
        <is>
          <t xml:space="preserve"> - </t>
        </is>
      </c>
      <c r="AR266" t="inlineStr">
        <is>
          <t xml:space="preserve"> - </t>
        </is>
      </c>
      <c r="AS266" t="inlineStr">
        <is>
          <t xml:space="preserve"> - </t>
        </is>
      </c>
      <c r="AT266" t="n">
        <v>187</v>
      </c>
      <c r="AU266" t="inlineStr">
        <is>
          <t>Emulgex 70</t>
        </is>
      </c>
      <c r="AV266" t="inlineStr">
        <is>
          <t>50AR/50D2</t>
        </is>
      </c>
      <c r="AW266" t="n">
        <v>0.6486448862253895</v>
      </c>
      <c r="AX266" t="n">
        <v>0.6859339863544704</v>
      </c>
      <c r="AY266" t="n">
        <v>0.7226238584883515</v>
      </c>
      <c r="AZ266" t="n">
        <v>0.758270228659925</v>
      </c>
      <c r="BA266" t="n">
        <v>0.7784574913933522</v>
      </c>
      <c r="BB266" t="n">
        <v>4.881889763779528</v>
      </c>
      <c r="BC266" t="n">
        <v>1.118770615450436</v>
      </c>
      <c r="BD266" t="n">
        <v>2.495223609240613</v>
      </c>
      <c r="BE266" t="n">
        <v>4.119421542341439</v>
      </c>
      <c r="BF266" t="n">
        <v>6.047669782421154</v>
      </c>
      <c r="BG266" t="n">
        <v>8.380628619389412</v>
      </c>
      <c r="BH266" t="n">
        <v>11.29375223850355</v>
      </c>
      <c r="BI266" t="n">
        <v>15.12148997316502</v>
      </c>
      <c r="BJ266" t="n">
        <v>20.62244783506538</v>
      </c>
      <c r="BK266" t="n">
        <v>30.24139551825764</v>
      </c>
      <c r="BL266" t="n">
        <v>97.86040372428928</v>
      </c>
      <c r="BM266" t="inlineStr"/>
      <c r="BN266" t="n">
        <v>10</v>
      </c>
      <c r="BO266" t="n">
        <v>124</v>
      </c>
      <c r="BP266" t="n">
        <v>302</v>
      </c>
      <c r="BQ266" t="n">
        <v>435</v>
      </c>
      <c r="BR266" t="n">
        <v>1488</v>
      </c>
      <c r="BS26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7">
      <c r="A267" t="inlineStr">
        <is>
          <t>FRAG</t>
        </is>
      </c>
      <c r="B267" t="inlineStr">
        <is>
          <t>Fragmentación Desmonte 2025.xlsx</t>
        </is>
      </c>
      <c r="C267" t="inlineStr">
        <is>
          <t>ANÁLISIS DE FRAGMENTACIÓN</t>
        </is>
      </c>
      <c r="D267" t="n">
        <v>271</v>
      </c>
      <c r="E267" t="inlineStr">
        <is>
          <t>ROM (fragmentación post-voladura en el frente de carguío, por análisis de fotos)</t>
        </is>
      </c>
      <c r="F267" t="inlineStr"/>
      <c r="G267" t="inlineStr">
        <is>
          <t>no indicada en el archivo</t>
        </is>
      </c>
      <c r="H267" t="inlineStr">
        <is>
          <t>2025-07-12</t>
        </is>
      </c>
      <c r="I267" t="inlineStr">
        <is>
          <t>2025-07-17</t>
        </is>
      </c>
      <c r="J267" t="inlineStr">
        <is>
          <t>PALA 08</t>
        </is>
      </c>
      <c r="K267" t="n">
        <v>9</v>
      </c>
      <c r="L267" t="inlineStr">
        <is>
          <t>9-NP-3908-20</t>
        </is>
      </c>
      <c r="M267" t="n">
        <v>1</v>
      </c>
      <c r="N267" t="n">
        <v>3908</v>
      </c>
      <c r="O267" t="inlineStr">
        <is>
          <t>A</t>
        </is>
      </c>
      <c r="P267" t="n">
        <v>30</v>
      </c>
      <c r="Q267" t="inlineStr">
        <is>
          <t>Desmonte</t>
        </is>
      </c>
      <c r="R267" t="inlineStr">
        <is>
          <t>Producción</t>
        </is>
      </c>
      <c r="S267" t="n">
        <v>4</v>
      </c>
      <c r="T267" t="n">
        <v>15.3</v>
      </c>
      <c r="U267" t="n">
        <v>3</v>
      </c>
      <c r="V267" t="n">
        <v>1.053606496906515</v>
      </c>
      <c r="W267" t="n">
        <v>0.094</v>
      </c>
      <c r="X267" t="n">
        <v>0.138</v>
      </c>
      <c r="Y267" t="n">
        <v>1.1</v>
      </c>
      <c r="Z267" t="n">
        <v>3.7</v>
      </c>
      <c r="AA267" t="n">
        <v>7</v>
      </c>
      <c r="AB267" t="n">
        <v>10.9</v>
      </c>
      <c r="AC267" t="n">
        <v>15.4</v>
      </c>
      <c r="AD267" t="n">
        <v>20.7</v>
      </c>
      <c r="AE267" t="n">
        <v>27.3</v>
      </c>
      <c r="AF267" t="n">
        <v>36.1</v>
      </c>
      <c r="AG267" t="n">
        <v>49.9</v>
      </c>
      <c r="AH267" t="n">
        <v>122.8</v>
      </c>
      <c r="AI267" t="inlineStr"/>
      <c r="AJ267" t="n">
        <v>910853.2125</v>
      </c>
      <c r="AK267" t="n">
        <v>261793</v>
      </c>
      <c r="AL267" t="n">
        <v>0.2874151360584898</v>
      </c>
      <c r="AM267" t="inlineStr">
        <is>
          <t>0.8881127704207333</t>
        </is>
      </c>
      <c r="AN267" t="inlineStr">
        <is>
          <t>17</t>
        </is>
      </c>
      <c r="AO267" t="inlineStr">
        <is>
          <t>7</t>
        </is>
      </c>
      <c r="AP267" t="inlineStr">
        <is>
          <t>12 1/4</t>
        </is>
      </c>
      <c r="AQ267" t="inlineStr">
        <is>
          <t>8.5</t>
        </is>
      </c>
      <c r="AR267" t="inlineStr">
        <is>
          <t>9.8</t>
        </is>
      </c>
      <c r="AS267" t="inlineStr">
        <is>
          <t>2</t>
        </is>
      </c>
      <c r="AT267" t="n">
        <v>296</v>
      </c>
      <c r="AU267" t="inlineStr">
        <is>
          <t>Vertex 70</t>
        </is>
      </c>
      <c r="AV267" t="inlineStr">
        <is>
          <t>49AR/51D2</t>
        </is>
      </c>
      <c r="AW267" t="n">
        <v>0.6416027367248374</v>
      </c>
      <c r="AX267" t="n">
        <v>0.676680103207681</v>
      </c>
      <c r="AY267" t="n">
        <v>0.7113244400550567</v>
      </c>
      <c r="AZ267" t="n">
        <v>0.7451722469993418</v>
      </c>
      <c r="BA267" t="n">
        <v>0.7644534864434673</v>
      </c>
      <c r="BB267" t="n">
        <v>6.023622047244094</v>
      </c>
      <c r="BC267" t="n">
        <v>1.807567558817877</v>
      </c>
      <c r="BD267" t="n">
        <v>3.684844630931946</v>
      </c>
      <c r="BE267" t="n">
        <v>5.751008067790528</v>
      </c>
      <c r="BF267" t="n">
        <v>8.087362572147509</v>
      </c>
      <c r="BG267" t="n">
        <v>10.80477036178591</v>
      </c>
      <c r="BH267" t="n">
        <v>14.08174366729765</v>
      </c>
      <c r="BI267" t="n">
        <v>18.24762754864981</v>
      </c>
      <c r="BJ267" t="n">
        <v>24.03534000722951</v>
      </c>
      <c r="BK267" t="n">
        <v>33.76586887626566</v>
      </c>
      <c r="BL267" t="n">
        <v>95.79077975383196</v>
      </c>
      <c r="BM267" t="inlineStr"/>
      <c r="BN267" t="n">
        <v>11</v>
      </c>
      <c r="BO267" t="n">
        <v>154</v>
      </c>
      <c r="BP267" t="n">
        <v>361</v>
      </c>
      <c r="BQ267" t="n">
        <v>499</v>
      </c>
      <c r="BR267" t="n">
        <v>1228</v>
      </c>
      <c r="BS26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8">
      <c r="A268" t="inlineStr">
        <is>
          <t>FRAG</t>
        </is>
      </c>
      <c r="B268" t="inlineStr">
        <is>
          <t>Fragmentación Desmonte 2025.xlsx</t>
        </is>
      </c>
      <c r="C268" t="inlineStr">
        <is>
          <t>ANÁLISIS DE FRAGMENTACIÓN</t>
        </is>
      </c>
      <c r="D268" t="n">
        <v>272</v>
      </c>
      <c r="E268" t="inlineStr">
        <is>
          <t>ROM (fragmentación post-voladura en el frente de carguío, por análisis de fotos)</t>
        </is>
      </c>
      <c r="F268" t="inlineStr"/>
      <c r="G268" t="inlineStr">
        <is>
          <t>no indicada en el archivo</t>
        </is>
      </c>
      <c r="H268" t="inlineStr">
        <is>
          <t>2025-07-12</t>
        </is>
      </c>
      <c r="I268" t="inlineStr">
        <is>
          <t>2025-07-17</t>
        </is>
      </c>
      <c r="J268" t="inlineStr">
        <is>
          <t>PALA 10</t>
        </is>
      </c>
      <c r="K268" t="n">
        <v>9</v>
      </c>
      <c r="L268" t="inlineStr">
        <is>
          <t>9-NP-3908-20</t>
        </is>
      </c>
      <c r="M268" t="n">
        <v>2</v>
      </c>
      <c r="N268" t="n">
        <v>3908</v>
      </c>
      <c r="O268" t="inlineStr">
        <is>
          <t>C</t>
        </is>
      </c>
      <c r="P268" t="n">
        <v>30</v>
      </c>
      <c r="Q268" t="inlineStr">
        <is>
          <t>Desmonte</t>
        </is>
      </c>
      <c r="R268" t="inlineStr">
        <is>
          <t>Producción</t>
        </is>
      </c>
      <c r="S268" t="n">
        <v>8</v>
      </c>
      <c r="T268" t="n">
        <v>11</v>
      </c>
      <c r="U268" t="n">
        <v>3</v>
      </c>
      <c r="V268" t="n">
        <v>0.9899624146382462</v>
      </c>
      <c r="W268" t="n">
        <v>0.123</v>
      </c>
      <c r="X268" t="n">
        <v>0.181</v>
      </c>
      <c r="Y268" t="n">
        <v>0.6</v>
      </c>
      <c r="Z268" t="n">
        <v>2.3</v>
      </c>
      <c r="AA268" t="n">
        <v>4.7</v>
      </c>
      <c r="AB268" t="n">
        <v>7.6</v>
      </c>
      <c r="AC268" t="n">
        <v>11.1</v>
      </c>
      <c r="AD268" t="n">
        <v>15.3</v>
      </c>
      <c r="AE268" t="n">
        <v>20.7</v>
      </c>
      <c r="AF268" t="n">
        <v>28.1</v>
      </c>
      <c r="AG268" t="n">
        <v>40.1</v>
      </c>
      <c r="AH268" t="n">
        <v>108</v>
      </c>
      <c r="AI268" t="inlineStr"/>
      <c r="AJ268" t="n">
        <v>910853.2125</v>
      </c>
      <c r="AK268" t="n">
        <v>261793</v>
      </c>
      <c r="AL268" t="n">
        <v>0.2874151360584898</v>
      </c>
      <c r="AM268" t="inlineStr">
        <is>
          <t>0.8881127704207333</t>
        </is>
      </c>
      <c r="AN268" t="inlineStr">
        <is>
          <t>17</t>
        </is>
      </c>
      <c r="AO268" t="inlineStr">
        <is>
          <t>7</t>
        </is>
      </c>
      <c r="AP268" t="inlineStr">
        <is>
          <t>12 1/4</t>
        </is>
      </c>
      <c r="AQ268" t="inlineStr">
        <is>
          <t>8.5</t>
        </is>
      </c>
      <c r="AR268" t="inlineStr">
        <is>
          <t>9.8</t>
        </is>
      </c>
      <c r="AS268" t="inlineStr">
        <is>
          <t>2</t>
        </is>
      </c>
      <c r="AT268" t="n">
        <v>296</v>
      </c>
      <c r="AU268" t="inlineStr">
        <is>
          <t>Vertex 70</t>
        </is>
      </c>
      <c r="AV268" t="inlineStr">
        <is>
          <t>49AR/51D2</t>
        </is>
      </c>
      <c r="AW268" t="n">
        <v>0.6487018401712989</v>
      </c>
      <c r="AX268" t="n">
        <v>0.6945454238611188</v>
      </c>
      <c r="AY268" t="n">
        <v>0.7393247761687465</v>
      </c>
      <c r="AZ268" t="n">
        <v>0.7822038731483613</v>
      </c>
      <c r="BA268" t="n">
        <v>0.806070824721274</v>
      </c>
      <c r="BB268" t="n">
        <v>4.330708661417323</v>
      </c>
      <c r="BC268" t="n">
        <v>1.132820636341745</v>
      </c>
      <c r="BD268" t="n">
        <v>2.417531200719085</v>
      </c>
      <c r="BE268" t="n">
        <v>3.882626527870815</v>
      </c>
      <c r="BF268" t="n">
        <v>5.58094099278553</v>
      </c>
      <c r="BG268" t="n">
        <v>7.59633691134415</v>
      </c>
      <c r="BH268" t="n">
        <v>10.07026782008817</v>
      </c>
      <c r="BI268" t="n">
        <v>13.26865077314275</v>
      </c>
      <c r="BJ268" t="n">
        <v>17.78944737574611</v>
      </c>
      <c r="BK268" t="n">
        <v>25.54353556047523</v>
      </c>
      <c r="BL268" t="n">
        <v>77.488984248508</v>
      </c>
      <c r="BM268" t="inlineStr"/>
      <c r="BN268" t="n">
        <v>6</v>
      </c>
      <c r="BO268" t="n">
        <v>111</v>
      </c>
      <c r="BP268" t="n">
        <v>281</v>
      </c>
      <c r="BQ268" t="n">
        <v>401</v>
      </c>
      <c r="BR268" t="n">
        <v>1080</v>
      </c>
      <c r="BS26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69">
      <c r="A269" t="inlineStr">
        <is>
          <t>FRAG</t>
        </is>
      </c>
      <c r="B269" t="inlineStr">
        <is>
          <t>Fragmentación Desmonte 2025.xlsx</t>
        </is>
      </c>
      <c r="C269" t="inlineStr">
        <is>
          <t>ANÁLISIS DE FRAGMENTACIÓN</t>
        </is>
      </c>
      <c r="D269" t="n">
        <v>273</v>
      </c>
      <c r="E269" t="inlineStr">
        <is>
          <t>ROM (fragmentación post-voladura en el frente de carguío, por análisis de fotos)</t>
        </is>
      </c>
      <c r="F269" t="inlineStr"/>
      <c r="G269" t="inlineStr">
        <is>
          <t>no indicada en el archivo</t>
        </is>
      </c>
      <c r="H269" t="inlineStr">
        <is>
          <t>2025-07-12</t>
        </is>
      </c>
      <c r="I269" t="inlineStr">
        <is>
          <t>2025-07-17</t>
        </is>
      </c>
      <c r="J269" t="inlineStr">
        <is>
          <t>PALA 09</t>
        </is>
      </c>
      <c r="K269" t="n">
        <v>9</v>
      </c>
      <c r="L269" t="inlineStr">
        <is>
          <t>9-NP-3908-20</t>
        </is>
      </c>
      <c r="M269" t="n">
        <v>2</v>
      </c>
      <c r="N269" t="n">
        <v>3908</v>
      </c>
      <c r="O269" t="inlineStr">
        <is>
          <t>C</t>
        </is>
      </c>
      <c r="P269" t="n">
        <v>30</v>
      </c>
      <c r="Q269" t="inlineStr">
        <is>
          <t>Desmonte</t>
        </is>
      </c>
      <c r="R269" t="inlineStr">
        <is>
          <t>Producción</t>
        </is>
      </c>
      <c r="S269" t="n">
        <v>4</v>
      </c>
      <c r="T269" t="n">
        <v>10</v>
      </c>
      <c r="U269" t="n">
        <v>3</v>
      </c>
      <c r="V269" t="n">
        <v>0.984455319532502</v>
      </c>
      <c r="W269" t="n">
        <v>0.128</v>
      </c>
      <c r="X269" t="n">
        <v>0.189</v>
      </c>
      <c r="Y269" t="n">
        <v>0.6</v>
      </c>
      <c r="Z269" t="n">
        <v>2.1</v>
      </c>
      <c r="AA269" t="n">
        <v>4.3</v>
      </c>
      <c r="AB269" t="n">
        <v>6.9</v>
      </c>
      <c r="AC269" t="n">
        <v>10</v>
      </c>
      <c r="AD269" t="n">
        <v>13.8</v>
      </c>
      <c r="AE269" t="n">
        <v>18.6</v>
      </c>
      <c r="AF269" t="n">
        <v>25.3</v>
      </c>
      <c r="AG269" t="n">
        <v>36.1</v>
      </c>
      <c r="AH269" t="n">
        <v>99.2</v>
      </c>
      <c r="AI269" t="inlineStr"/>
      <c r="AJ269" t="n">
        <v>910853.2125</v>
      </c>
      <c r="AK269" t="n">
        <v>261793</v>
      </c>
      <c r="AL269" t="n">
        <v>0.2874151360584898</v>
      </c>
      <c r="AM269" t="inlineStr">
        <is>
          <t>0.8881127704207333</t>
        </is>
      </c>
      <c r="AN269" t="inlineStr">
        <is>
          <t>17</t>
        </is>
      </c>
      <c r="AO269" t="inlineStr">
        <is>
          <t>7</t>
        </is>
      </c>
      <c r="AP269" t="inlineStr">
        <is>
          <t>12 1/4</t>
        </is>
      </c>
      <c r="AQ269" t="inlineStr">
        <is>
          <t>8.5</t>
        </is>
      </c>
      <c r="AR269" t="inlineStr">
        <is>
          <t>9.8</t>
        </is>
      </c>
      <c r="AS269" t="inlineStr">
        <is>
          <t>2</t>
        </is>
      </c>
      <c r="AT269" t="n">
        <v>296</v>
      </c>
      <c r="AU269" t="inlineStr">
        <is>
          <t>Vertex 70</t>
        </is>
      </c>
      <c r="AV269" t="inlineStr">
        <is>
          <t>49AR/51D2</t>
        </is>
      </c>
      <c r="AW269" t="n">
        <v>0.6498215951976105</v>
      </c>
      <c r="AX269" t="n">
        <v>0.6976555155661932</v>
      </c>
      <c r="AY269" t="n">
        <v>0.7442673245772494</v>
      </c>
      <c r="AZ269" t="n">
        <v>0.7887035884244784</v>
      </c>
      <c r="BA269" t="n">
        <v>0.8133092926625192</v>
      </c>
      <c r="BB269" t="n">
        <v>3.937007874015748</v>
      </c>
      <c r="BC269" t="n">
        <v>1.016824124172264</v>
      </c>
      <c r="BD269" t="n">
        <v>2.179206575349972</v>
      </c>
      <c r="BE269" t="n">
        <v>3.509158029757592</v>
      </c>
      <c r="BF269" t="n">
        <v>5.054361037117205</v>
      </c>
      <c r="BG269" t="n">
        <v>6.891473236795305</v>
      </c>
      <c r="BH269" t="n">
        <v>9.150267583462901</v>
      </c>
      <c r="BI269" t="n">
        <v>12.07506911189526</v>
      </c>
      <c r="BJ269" t="n">
        <v>16.21577243532532</v>
      </c>
      <c r="BK269" t="n">
        <v>23.33109503042105</v>
      </c>
      <c r="BL269" t="n">
        <v>71.21806758036597</v>
      </c>
      <c r="BM269" t="inlineStr"/>
      <c r="BN269" t="n">
        <v>6</v>
      </c>
      <c r="BO269" t="n">
        <v>100</v>
      </c>
      <c r="BP269" t="n">
        <v>253</v>
      </c>
      <c r="BQ269" t="n">
        <v>361</v>
      </c>
      <c r="BR269" t="n">
        <v>992</v>
      </c>
      <c r="BS26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0">
      <c r="A270" t="inlineStr">
        <is>
          <t>FRAG</t>
        </is>
      </c>
      <c r="B270" t="inlineStr">
        <is>
          <t>Fragmentación Desmonte 2025.xlsx</t>
        </is>
      </c>
      <c r="C270" t="inlineStr">
        <is>
          <t>ANÁLISIS DE FRAGMENTACIÓN</t>
        </is>
      </c>
      <c r="D270" t="n">
        <v>274</v>
      </c>
      <c r="E270" t="inlineStr">
        <is>
          <t>ROM (fragmentación post-voladura en el frente de carguío, por análisis de fotos)</t>
        </is>
      </c>
      <c r="F270" t="inlineStr"/>
      <c r="G270" t="inlineStr">
        <is>
          <t>no indicada en el archivo</t>
        </is>
      </c>
      <c r="H270" t="inlineStr">
        <is>
          <t>2025-06-24</t>
        </is>
      </c>
      <c r="I270" t="inlineStr">
        <is>
          <t>2025-07-17</t>
        </is>
      </c>
      <c r="J270" t="inlineStr">
        <is>
          <t>PALA 09</t>
        </is>
      </c>
      <c r="K270" t="n">
        <v>9</v>
      </c>
      <c r="L270" t="inlineStr">
        <is>
          <t>9-NP-3908-10</t>
        </is>
      </c>
      <c r="M270" t="n">
        <v>1</v>
      </c>
      <c r="N270" t="n">
        <v>3908</v>
      </c>
      <c r="O270" t="inlineStr">
        <is>
          <t>B</t>
        </is>
      </c>
      <c r="P270" t="n">
        <v>30</v>
      </c>
      <c r="Q270" t="inlineStr">
        <is>
          <t>Desmonte</t>
        </is>
      </c>
      <c r="R270" t="inlineStr">
        <is>
          <t>Producción</t>
        </is>
      </c>
      <c r="S270" t="n">
        <v>4</v>
      </c>
      <c r="T270" t="n">
        <v>8</v>
      </c>
      <c r="U270" t="n">
        <v>3</v>
      </c>
      <c r="V270" t="n">
        <v>0.845249125847186</v>
      </c>
      <c r="W270" t="n">
        <v>0.153</v>
      </c>
      <c r="X270" t="n">
        <v>0.227</v>
      </c>
      <c r="Y270" t="n">
        <v>0.4</v>
      </c>
      <c r="Z270" t="n">
        <v>1.5</v>
      </c>
      <c r="AA270" t="n">
        <v>3.2</v>
      </c>
      <c r="AB270" t="n">
        <v>5.3</v>
      </c>
      <c r="AC270" t="n">
        <v>8</v>
      </c>
      <c r="AD270" t="n">
        <v>11.5</v>
      </c>
      <c r="AE270" t="n">
        <v>16.2</v>
      </c>
      <c r="AF270" t="n">
        <v>23.3</v>
      </c>
      <c r="AG270" t="n">
        <v>35.9</v>
      </c>
      <c r="AH270" t="n">
        <v>152.7</v>
      </c>
      <c r="AI270" t="inlineStr"/>
      <c r="AJ270" t="n">
        <v>90585</v>
      </c>
      <c r="AK270" t="n">
        <v>23440</v>
      </c>
      <c r="AL270" t="n">
        <v>0.258762488270685</v>
      </c>
      <c r="AM270" t="inlineStr">
        <is>
          <t>0.7995760887564165</t>
        </is>
      </c>
      <c r="AN270" t="inlineStr">
        <is>
          <t>17</t>
        </is>
      </c>
      <c r="AO270" t="inlineStr">
        <is>
          <t>7</t>
        </is>
      </c>
      <c r="AP270" t="inlineStr">
        <is>
          <t>12 1/4</t>
        </is>
      </c>
      <c r="AQ270" t="inlineStr">
        <is>
          <t>8.5</t>
        </is>
      </c>
      <c r="AR270" t="inlineStr">
        <is>
          <t>9.8</t>
        </is>
      </c>
      <c r="AS270" t="inlineStr">
        <is>
          <t>2</t>
        </is>
      </c>
      <c r="AT270" t="n">
        <v>27</v>
      </c>
      <c r="AU270" t="inlineStr">
        <is>
          <t>Vertex 70</t>
        </is>
      </c>
      <c r="AV270" t="inlineStr">
        <is>
          <t xml:space="preserve"> 54AR/46D2</t>
        </is>
      </c>
      <c r="AW270" t="n">
        <v>0.6660708518414278</v>
      </c>
      <c r="AX270" t="n">
        <v>0.7229962333964427</v>
      </c>
      <c r="AY270" t="n">
        <v>0.77742007546765</v>
      </c>
      <c r="AZ270" t="n">
        <v>0.8276947579858901</v>
      </c>
      <c r="BA270" t="n">
        <v>0.8545644585084519</v>
      </c>
      <c r="BB270" t="n">
        <v>3.149606299212598</v>
      </c>
      <c r="BC270" t="n">
        <v>0.5582601933326036</v>
      </c>
      <c r="BD270" t="n">
        <v>1.356472817741118</v>
      </c>
      <c r="BE270" t="n">
        <v>2.362605688753299</v>
      </c>
      <c r="BF270" t="n">
        <v>3.613701721596201</v>
      </c>
      <c r="BG270" t="n">
        <v>5.185292642824129</v>
      </c>
      <c r="BH270" t="n">
        <v>7.213934861443951</v>
      </c>
      <c r="BI270" t="n">
        <v>9.964745686264587</v>
      </c>
      <c r="BJ270" t="n">
        <v>14.04762106073046</v>
      </c>
      <c r="BK270" t="n">
        <v>21.45958236326544</v>
      </c>
      <c r="BL270" t="n">
        <v>78.72186665903736</v>
      </c>
      <c r="BM270" t="inlineStr"/>
      <c r="BN270" t="n">
        <v>4</v>
      </c>
      <c r="BO270" t="n">
        <v>80</v>
      </c>
      <c r="BP270" t="n">
        <v>233</v>
      </c>
      <c r="BQ270" t="n">
        <v>359</v>
      </c>
      <c r="BR270" t="n">
        <v>1527</v>
      </c>
      <c r="BS27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1">
      <c r="A271" t="inlineStr">
        <is>
          <t>FRAG</t>
        </is>
      </c>
      <c r="B271" t="inlineStr">
        <is>
          <t>Fragmentación Desmonte 2025.xlsx</t>
        </is>
      </c>
      <c r="C271" t="inlineStr">
        <is>
          <t>ANÁLISIS DE FRAGMENTACIÓN</t>
        </is>
      </c>
      <c r="D271" t="n">
        <v>275</v>
      </c>
      <c r="E271" t="inlineStr">
        <is>
          <t>ROM (fragmentación post-voladura en el frente de carguío, por análisis de fotos)</t>
        </is>
      </c>
      <c r="F271" t="inlineStr"/>
      <c r="G271" t="inlineStr">
        <is>
          <t>no indicada en el archivo</t>
        </is>
      </c>
      <c r="H271" t="inlineStr">
        <is>
          <t>2025-06-06</t>
        </is>
      </c>
      <c r="I271" t="inlineStr">
        <is>
          <t>2025-07-17</t>
        </is>
      </c>
      <c r="J271" t="inlineStr">
        <is>
          <t>PALA 09</t>
        </is>
      </c>
      <c r="K271" t="n">
        <v>9</v>
      </c>
      <c r="L271" t="inlineStr">
        <is>
          <t>9-NP-3908-01</t>
        </is>
      </c>
      <c r="M271" t="n">
        <v>12</v>
      </c>
      <c r="N271" t="n">
        <v>3908</v>
      </c>
      <c r="O271" t="inlineStr">
        <is>
          <t>C</t>
        </is>
      </c>
      <c r="P271" t="n">
        <v>30</v>
      </c>
      <c r="Q271" t="inlineStr">
        <is>
          <t>Desmonte</t>
        </is>
      </c>
      <c r="R271" t="inlineStr">
        <is>
          <t>Producción</t>
        </is>
      </c>
      <c r="S271" t="n">
        <v>4</v>
      </c>
      <c r="T271" t="n">
        <v>8.9</v>
      </c>
      <c r="U271" t="n">
        <v>3</v>
      </c>
      <c r="V271" t="n">
        <v>0.8897871043785976</v>
      </c>
      <c r="W271" t="n">
        <v>0.162</v>
      </c>
      <c r="X271" t="n">
        <v>0.23</v>
      </c>
      <c r="Y271" t="n">
        <v>0.3</v>
      </c>
      <c r="Z271" t="n">
        <v>1.5</v>
      </c>
      <c r="AA271" t="n">
        <v>3.3</v>
      </c>
      <c r="AB271" t="n">
        <v>5.8</v>
      </c>
      <c r="AC271" t="n">
        <v>9</v>
      </c>
      <c r="AD271" t="n">
        <v>13.1</v>
      </c>
      <c r="AE271" t="n">
        <v>18.7</v>
      </c>
      <c r="AF271" t="n">
        <v>26.8</v>
      </c>
      <c r="AG271" t="n">
        <v>40.8</v>
      </c>
      <c r="AH271" t="n">
        <v>133.7</v>
      </c>
      <c r="AI271" t="inlineStr"/>
      <c r="AJ271" t="n">
        <v>1128050.55</v>
      </c>
      <c r="AK271" t="n">
        <v>520389.8</v>
      </c>
      <c r="AL271" t="n">
        <v>0.461317801759859</v>
      </c>
      <c r="AM271" t="inlineStr">
        <is>
          <t>1.4254720074379643</t>
        </is>
      </c>
      <c r="AN271" t="inlineStr">
        <is>
          <t>16.5</t>
        </is>
      </c>
      <c r="AO271" t="inlineStr">
        <is>
          <t>6.5</t>
        </is>
      </c>
      <c r="AP271" t="inlineStr">
        <is>
          <t>12 1/4</t>
        </is>
      </c>
      <c r="AQ271" t="inlineStr">
        <is>
          <t>6</t>
        </is>
      </c>
      <c r="AR271" t="inlineStr">
        <is>
          <t>7</t>
        </is>
      </c>
      <c r="AS271" t="inlineStr">
        <is>
          <t>1.5</t>
        </is>
      </c>
      <c r="AT271" t="n">
        <v>562</v>
      </c>
      <c r="AU271" t="inlineStr">
        <is>
          <t>Vertex 70</t>
        </is>
      </c>
      <c r="AV271" t="inlineStr">
        <is>
          <t>62AR/38D2</t>
        </is>
      </c>
      <c r="AW271" t="n">
        <v>0.6621904931183284</v>
      </c>
      <c r="AX271" t="n">
        <v>0.7199665610340732</v>
      </c>
      <c r="AY271" t="n">
        <v>0.7752661748613993</v>
      </c>
      <c r="AZ271" t="n">
        <v>0.8263742669751786</v>
      </c>
      <c r="BA271" t="n">
        <v>0.8536842456899079</v>
      </c>
      <c r="BB271" t="n">
        <v>3.503937007874016</v>
      </c>
      <c r="BC271" t="n">
        <v>0.7095982441478135</v>
      </c>
      <c r="BD271" t="n">
        <v>1.64925258762386</v>
      </c>
      <c r="BE271" t="n">
        <v>2.793863268761315</v>
      </c>
      <c r="BF271" t="n">
        <v>4.18338723503985</v>
      </c>
      <c r="BG271" t="n">
        <v>5.895211869169245</v>
      </c>
      <c r="BH271" t="n">
        <v>8.06715830341428</v>
      </c>
      <c r="BI271" t="n">
        <v>10.96458542524892</v>
      </c>
      <c r="BJ271" t="n">
        <v>15.19370890939246</v>
      </c>
      <c r="BK271" t="n">
        <v>22.72329485470484</v>
      </c>
      <c r="BL271" t="n">
        <v>78.10716406461322</v>
      </c>
      <c r="BM271" t="inlineStr"/>
      <c r="BN271" t="n">
        <v>3</v>
      </c>
      <c r="BO271" t="n">
        <v>90</v>
      </c>
      <c r="BP271" t="n">
        <v>268</v>
      </c>
      <c r="BQ271" t="n">
        <v>408</v>
      </c>
      <c r="BR271" t="n">
        <v>1337</v>
      </c>
      <c r="BS27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2">
      <c r="A272" t="inlineStr">
        <is>
          <t>FRAG</t>
        </is>
      </c>
      <c r="B272" t="inlineStr">
        <is>
          <t>Fragmentación Desmonte 2025.xlsx</t>
        </is>
      </c>
      <c r="C272" t="inlineStr">
        <is>
          <t>ANÁLISIS DE FRAGMENTACIÓN</t>
        </is>
      </c>
      <c r="D272" t="n">
        <v>276</v>
      </c>
      <c r="E272" t="inlineStr">
        <is>
          <t>ROM (fragmentación post-voladura en el frente de carguío, por análisis de fotos)</t>
        </is>
      </c>
      <c r="F272" t="inlineStr"/>
      <c r="G272" t="inlineStr">
        <is>
          <t>no indicada en el archivo</t>
        </is>
      </c>
      <c r="H272" t="inlineStr">
        <is>
          <t>2025-06-06</t>
        </is>
      </c>
      <c r="I272" t="inlineStr">
        <is>
          <t>2025-07-17</t>
        </is>
      </c>
      <c r="J272" t="inlineStr">
        <is>
          <t>PALA 09</t>
        </is>
      </c>
      <c r="K272" t="n">
        <v>9</v>
      </c>
      <c r="L272" t="inlineStr">
        <is>
          <t>9-NP-3908-01</t>
        </is>
      </c>
      <c r="M272" t="n">
        <v>11</v>
      </c>
      <c r="N272" t="n">
        <v>3908</v>
      </c>
      <c r="O272" t="inlineStr">
        <is>
          <t>A</t>
        </is>
      </c>
      <c r="P272" t="n">
        <v>30</v>
      </c>
      <c r="Q272" t="inlineStr">
        <is>
          <t>Desmonte</t>
        </is>
      </c>
      <c r="R272" t="inlineStr">
        <is>
          <t>Producción</t>
        </is>
      </c>
      <c r="S272" t="n">
        <v>4</v>
      </c>
      <c r="T272" t="n">
        <v>14.1</v>
      </c>
      <c r="U272" t="n">
        <v>3</v>
      </c>
      <c r="V272" t="n">
        <v>1.141147201069434</v>
      </c>
      <c r="W272" t="n">
        <v>0.06900000000000001</v>
      </c>
      <c r="X272" t="n">
        <v>0.11</v>
      </c>
      <c r="Y272" t="n">
        <v>1.7</v>
      </c>
      <c r="Z272" t="n">
        <v>4.4</v>
      </c>
      <c r="AA272" t="n">
        <v>7.4</v>
      </c>
      <c r="AB272" t="n">
        <v>10.6</v>
      </c>
      <c r="AC272" t="n">
        <v>14.1</v>
      </c>
      <c r="AD272" t="n">
        <v>18</v>
      </c>
      <c r="AE272" t="n">
        <v>22.7</v>
      </c>
      <c r="AF272" t="n">
        <v>28.8</v>
      </c>
      <c r="AG272" t="n">
        <v>38.2</v>
      </c>
      <c r="AH272" t="n">
        <v>90.7</v>
      </c>
      <c r="AI272" t="inlineStr"/>
      <c r="AJ272" t="n">
        <v>1128050.55</v>
      </c>
      <c r="AK272" t="n">
        <v>520389.8</v>
      </c>
      <c r="AL272" t="n">
        <v>0.461317801759859</v>
      </c>
      <c r="AM272" t="inlineStr">
        <is>
          <t>1.4254720074379643</t>
        </is>
      </c>
      <c r="AN272" t="inlineStr">
        <is>
          <t>16.5</t>
        </is>
      </c>
      <c r="AO272" t="inlineStr">
        <is>
          <t>6.5</t>
        </is>
      </c>
      <c r="AP272" t="inlineStr">
        <is>
          <t>12 1/4</t>
        </is>
      </c>
      <c r="AQ272" t="inlineStr">
        <is>
          <t>6</t>
        </is>
      </c>
      <c r="AR272" t="inlineStr">
        <is>
          <t>7</t>
        </is>
      </c>
      <c r="AS272" t="inlineStr">
        <is>
          <t>1.5</t>
        </is>
      </c>
      <c r="AT272" t="n">
        <v>562</v>
      </c>
      <c r="AU272" t="inlineStr">
        <is>
          <t>Vertex 70</t>
        </is>
      </c>
      <c r="AV272" t="inlineStr">
        <is>
          <t>62AR/38D2</t>
        </is>
      </c>
      <c r="AW272" t="n">
        <v>0.6364497047116775</v>
      </c>
      <c r="AX272" t="n">
        <v>0.664456521733499</v>
      </c>
      <c r="AY272" t="n">
        <v>0.6922665426749779</v>
      </c>
      <c r="AZ272" t="n">
        <v>0.7196996103798864</v>
      </c>
      <c r="BA272" t="n">
        <v>0.735497728731386</v>
      </c>
      <c r="BB272" t="n">
        <v>5.551181102362205</v>
      </c>
      <c r="BC272" t="n">
        <v>1.96236984722787</v>
      </c>
      <c r="BD272" t="n">
        <v>3.787706473491292</v>
      </c>
      <c r="BE272" t="n">
        <v>5.713083974433234</v>
      </c>
      <c r="BF272" t="n">
        <v>7.826637298222465</v>
      </c>
      <c r="BG272" t="n">
        <v>10.22663348932424</v>
      </c>
      <c r="BH272" t="n">
        <v>13.06015902811626</v>
      </c>
      <c r="BI272" t="n">
        <v>16.59068831835099</v>
      </c>
      <c r="BJ272" t="n">
        <v>21.39587439576497</v>
      </c>
      <c r="BK272" t="n">
        <v>29.28415886828882</v>
      </c>
      <c r="BL272" t="n">
        <v>76.6901209923317</v>
      </c>
      <c r="BM272" t="inlineStr"/>
      <c r="BN272" t="n">
        <v>17</v>
      </c>
      <c r="BO272" t="n">
        <v>141</v>
      </c>
      <c r="BP272" t="n">
        <v>288</v>
      </c>
      <c r="BQ272" t="n">
        <v>382</v>
      </c>
      <c r="BR272" t="n">
        <v>907</v>
      </c>
      <c r="BS27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3">
      <c r="A273" t="inlineStr">
        <is>
          <t>FRAG</t>
        </is>
      </c>
      <c r="B273" t="inlineStr">
        <is>
          <t>Fragmentación Desmonte 2025.xlsx</t>
        </is>
      </c>
      <c r="C273" t="inlineStr">
        <is>
          <t>ANÁLISIS DE FRAGMENTACIÓN</t>
        </is>
      </c>
      <c r="D273" t="n">
        <v>277</v>
      </c>
      <c r="E273" t="inlineStr">
        <is>
          <t>ROM (fragmentación post-voladura en el frente de carguío, por análisis de fotos)</t>
        </is>
      </c>
      <c r="F273" t="inlineStr"/>
      <c r="G273" t="inlineStr">
        <is>
          <t>no indicada en el archivo</t>
        </is>
      </c>
      <c r="H273" t="inlineStr">
        <is>
          <t>2025-07-12</t>
        </is>
      </c>
      <c r="I273" t="inlineStr">
        <is>
          <t>2025-07-18</t>
        </is>
      </c>
      <c r="J273" t="inlineStr">
        <is>
          <t>PALA 10</t>
        </is>
      </c>
      <c r="K273" t="n">
        <v>9</v>
      </c>
      <c r="L273" t="inlineStr">
        <is>
          <t>9-NP-3908-20</t>
        </is>
      </c>
      <c r="M273" t="n">
        <v>2</v>
      </c>
      <c r="N273" t="n">
        <v>3908</v>
      </c>
      <c r="O273" t="inlineStr">
        <is>
          <t>C</t>
        </is>
      </c>
      <c r="P273" t="n">
        <v>30</v>
      </c>
      <c r="Q273" t="inlineStr">
        <is>
          <t>Desmonte</t>
        </is>
      </c>
      <c r="R273" t="inlineStr">
        <is>
          <t>Producción</t>
        </is>
      </c>
      <c r="S273" t="n">
        <v>11</v>
      </c>
      <c r="T273" t="n">
        <v>15.9</v>
      </c>
      <c r="U273" t="n">
        <v>3</v>
      </c>
      <c r="V273" t="n">
        <v>1.026846967086895</v>
      </c>
      <c r="W273" t="n">
        <v>0.092</v>
      </c>
      <c r="X273" t="n">
        <v>0.135</v>
      </c>
      <c r="Y273" t="n">
        <v>1.1</v>
      </c>
      <c r="Z273" t="n">
        <v>3.8</v>
      </c>
      <c r="AA273" t="n">
        <v>7.2</v>
      </c>
      <c r="AB273" t="n">
        <v>11.3</v>
      </c>
      <c r="AC273" t="n">
        <v>16</v>
      </c>
      <c r="AD273" t="n">
        <v>21.6</v>
      </c>
      <c r="AE273" t="n">
        <v>28.6</v>
      </c>
      <c r="AF273" t="n">
        <v>38</v>
      </c>
      <c r="AG273" t="n">
        <v>53.1</v>
      </c>
      <c r="AH273" t="n">
        <v>138</v>
      </c>
      <c r="AI273" t="inlineStr"/>
      <c r="AJ273" t="n">
        <v>910853.2125</v>
      </c>
      <c r="AK273" t="n">
        <v>261793</v>
      </c>
      <c r="AL273" t="n">
        <v>0.2874151360584898</v>
      </c>
      <c r="AM273" t="inlineStr">
        <is>
          <t>0.8881127704207333</t>
        </is>
      </c>
      <c r="AN273" t="inlineStr">
        <is>
          <t>17</t>
        </is>
      </c>
      <c r="AO273" t="inlineStr">
        <is>
          <t>7</t>
        </is>
      </c>
      <c r="AP273" t="inlineStr">
        <is>
          <t>12 1/4</t>
        </is>
      </c>
      <c r="AQ273" t="inlineStr">
        <is>
          <t>8.5</t>
        </is>
      </c>
      <c r="AR273" t="inlineStr">
        <is>
          <t>9.8</t>
        </is>
      </c>
      <c r="AS273" t="inlineStr">
        <is>
          <t>2</t>
        </is>
      </c>
      <c r="AT273" t="n">
        <v>296</v>
      </c>
      <c r="AU273" t="inlineStr">
        <is>
          <t>Vertex 70</t>
        </is>
      </c>
      <c r="AV273" t="inlineStr">
        <is>
          <t>49AR/51D2</t>
        </is>
      </c>
      <c r="AW273" t="n">
        <v>0.6426738334429369</v>
      </c>
      <c r="AX273" t="n">
        <v>0.6769842558450454</v>
      </c>
      <c r="AY273" t="n">
        <v>0.7108773860030924</v>
      </c>
      <c r="AZ273" t="n">
        <v>0.7440128974083748</v>
      </c>
      <c r="BA273" t="n">
        <v>0.7629050548658221</v>
      </c>
      <c r="BB273" t="n">
        <v>6.25984251968504</v>
      </c>
      <c r="BC273" t="n">
        <v>1.776753374767124</v>
      </c>
      <c r="BD273" t="n">
        <v>3.68988440510626</v>
      </c>
      <c r="BE273" t="n">
        <v>5.826068438708607</v>
      </c>
      <c r="BF273" t="n">
        <v>8.266030898449365</v>
      </c>
      <c r="BG273" t="n">
        <v>11.12715690006398</v>
      </c>
      <c r="BH273" t="n">
        <v>14.60236028425578</v>
      </c>
      <c r="BI273" t="n">
        <v>19.05048664418931</v>
      </c>
      <c r="BJ273" t="n">
        <v>25.27364281494237</v>
      </c>
      <c r="BK273" t="n">
        <v>35.82140905774096</v>
      </c>
      <c r="BL273" t="n">
        <v>104.4214116207378</v>
      </c>
      <c r="BM273" t="inlineStr"/>
      <c r="BN273" t="n">
        <v>11</v>
      </c>
      <c r="BO273" t="n">
        <v>160</v>
      </c>
      <c r="BP273" t="n">
        <v>380</v>
      </c>
      <c r="BQ273" t="n">
        <v>531</v>
      </c>
      <c r="BR273" t="n">
        <v>1380</v>
      </c>
      <c r="BS27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4">
      <c r="A274" t="inlineStr">
        <is>
          <t>FRAG</t>
        </is>
      </c>
      <c r="B274" t="inlineStr">
        <is>
          <t>Fragmentación Desmonte 2025.xlsx</t>
        </is>
      </c>
      <c r="C274" t="inlineStr">
        <is>
          <t>ANÁLISIS DE FRAGMENTACIÓN</t>
        </is>
      </c>
      <c r="D274" t="n">
        <v>278</v>
      </c>
      <c r="E274" t="inlineStr">
        <is>
          <t>ROM (fragmentación post-voladura en el frente de carguío, por análisis de fotos)</t>
        </is>
      </c>
      <c r="F274" t="inlineStr"/>
      <c r="G274" t="inlineStr">
        <is>
          <t>no indicada en el archivo</t>
        </is>
      </c>
      <c r="H274" t="inlineStr">
        <is>
          <t>2025-07-15</t>
        </is>
      </c>
      <c r="I274" t="inlineStr">
        <is>
          <t>2025-07-18</t>
        </is>
      </c>
      <c r="J274" t="inlineStr">
        <is>
          <t>PALA 09</t>
        </is>
      </c>
      <c r="K274" t="n">
        <v>9</v>
      </c>
      <c r="L274" t="inlineStr">
        <is>
          <t>9-NP-3908-23</t>
        </is>
      </c>
      <c r="M274" t="n">
        <v>2</v>
      </c>
      <c r="N274" t="n">
        <v>3908</v>
      </c>
      <c r="O274" t="inlineStr">
        <is>
          <t>A</t>
        </is>
      </c>
      <c r="P274" t="n">
        <v>30</v>
      </c>
      <c r="Q274" t="inlineStr">
        <is>
          <t>Desmonte</t>
        </is>
      </c>
      <c r="R274" t="inlineStr">
        <is>
          <t>Producción</t>
        </is>
      </c>
      <c r="S274" t="n">
        <v>4</v>
      </c>
      <c r="T274" t="n">
        <v>13.1</v>
      </c>
      <c r="U274" t="n">
        <v>3</v>
      </c>
      <c r="V274" t="n">
        <v>0.9559120363533488</v>
      </c>
      <c r="W274" t="n">
        <v>0.07000000000000001</v>
      </c>
      <c r="X274" t="n">
        <v>0.116</v>
      </c>
      <c r="Y274" t="n">
        <v>1.6</v>
      </c>
      <c r="Z274" t="n">
        <v>4</v>
      </c>
      <c r="AA274" t="n">
        <v>6.7</v>
      </c>
      <c r="AB274" t="n">
        <v>9.699999999999999</v>
      </c>
      <c r="AC274" t="n">
        <v>13.1</v>
      </c>
      <c r="AD274" t="n">
        <v>17.1</v>
      </c>
      <c r="AE274" t="n">
        <v>22.1</v>
      </c>
      <c r="AF274" t="n">
        <v>29.1</v>
      </c>
      <c r="AG274" t="n">
        <v>40.7</v>
      </c>
      <c r="AH274" t="n">
        <v>144.6</v>
      </c>
      <c r="AI274" t="inlineStr"/>
      <c r="AJ274" t="n">
        <v>1033516.6875</v>
      </c>
      <c r="AK274" t="n">
        <v>174835</v>
      </c>
      <c r="AL274" t="n">
        <v>0.1691651447088995</v>
      </c>
      <c r="AM274" t="inlineStr">
        <is>
          <t>0.5227202971504996</t>
        </is>
      </c>
      <c r="AN274" t="inlineStr">
        <is>
          <t>16.5</t>
        </is>
      </c>
      <c r="AO274" t="inlineStr">
        <is>
          <t>6.5</t>
        </is>
      </c>
      <c r="AP274" t="inlineStr">
        <is>
          <t>12 1/4</t>
        </is>
      </c>
      <c r="AQ274" t="inlineStr">
        <is>
          <t>6</t>
        </is>
      </c>
      <c r="AR274" t="inlineStr">
        <is>
          <t>7</t>
        </is>
      </c>
      <c r="AS274" t="inlineStr">
        <is>
          <t>1.5</t>
        </is>
      </c>
      <c r="AT274" t="n">
        <v>180</v>
      </c>
      <c r="AU274" t="inlineStr">
        <is>
          <t>Vertex 70</t>
        </is>
      </c>
      <c r="AV274" t="inlineStr">
        <is>
          <t>50AR/50D2</t>
        </is>
      </c>
      <c r="AW274" t="n">
        <v>0.6442423021375334</v>
      </c>
      <c r="AX274" t="n">
        <v>0.6737321610341509</v>
      </c>
      <c r="AY274" t="n">
        <v>0.7029375205709407</v>
      </c>
      <c r="AZ274" t="n">
        <v>0.7316438985185689</v>
      </c>
      <c r="BA274" t="n">
        <v>0.748116573851938</v>
      </c>
      <c r="BB274" t="n">
        <v>5.15748031496063</v>
      </c>
      <c r="BC274" t="n">
        <v>1.244152904198611</v>
      </c>
      <c r="BD274" t="n">
        <v>2.72779330888087</v>
      </c>
      <c r="BE274" t="n">
        <v>4.455475917227597</v>
      </c>
      <c r="BF274" t="n">
        <v>6.487675339090503</v>
      </c>
      <c r="BG274" t="n">
        <v>8.928025261311252</v>
      </c>
      <c r="BH274" t="n">
        <v>11.95510826110817</v>
      </c>
      <c r="BI274" t="n">
        <v>15.90765353374088</v>
      </c>
      <c r="BJ274" t="n">
        <v>21.55150580317796</v>
      </c>
      <c r="BK274" t="n">
        <v>31.34677486104877</v>
      </c>
      <c r="BL274" t="n">
        <v>98.92808466479514</v>
      </c>
      <c r="BM274" t="inlineStr"/>
      <c r="BN274" t="n">
        <v>16</v>
      </c>
      <c r="BO274" t="n">
        <v>131</v>
      </c>
      <c r="BP274" t="n">
        <v>291</v>
      </c>
      <c r="BQ274" t="n">
        <v>407</v>
      </c>
      <c r="BR274" t="n">
        <v>1446</v>
      </c>
      <c r="BS27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5">
      <c r="A275" t="inlineStr">
        <is>
          <t>FRAG</t>
        </is>
      </c>
      <c r="B275" t="inlineStr">
        <is>
          <t>Fragmentación Desmonte 2025.xlsx</t>
        </is>
      </c>
      <c r="C275" t="inlineStr">
        <is>
          <t>ANÁLISIS DE FRAGMENTACIÓN</t>
        </is>
      </c>
      <c r="D275" t="n">
        <v>279</v>
      </c>
      <c r="E275" t="inlineStr">
        <is>
          <t>ROM (fragmentación post-voladura en el frente de carguío, por análisis de fotos)</t>
        </is>
      </c>
      <c r="F275" t="inlineStr"/>
      <c r="G275" t="inlineStr">
        <is>
          <t>no indicada en el archivo</t>
        </is>
      </c>
      <c r="H275" t="inlineStr">
        <is>
          <t>2025-06-30</t>
        </is>
      </c>
      <c r="I275" t="inlineStr">
        <is>
          <t>2025-07-18</t>
        </is>
      </c>
      <c r="J275" t="inlineStr">
        <is>
          <t>PALA 09</t>
        </is>
      </c>
      <c r="K275" t="n">
        <v>9</v>
      </c>
      <c r="L275" t="inlineStr">
        <is>
          <t>9-NP-3908-03</t>
        </is>
      </c>
      <c r="M275" t="n">
        <v>3</v>
      </c>
      <c r="N275" t="n">
        <v>3908</v>
      </c>
      <c r="O275" t="inlineStr">
        <is>
          <t>A</t>
        </is>
      </c>
      <c r="P275" t="n">
        <v>30</v>
      </c>
      <c r="Q275" t="inlineStr">
        <is>
          <t>Desmonte</t>
        </is>
      </c>
      <c r="R275" t="inlineStr">
        <is>
          <t>Producción</t>
        </is>
      </c>
      <c r="S275" t="n">
        <v>3</v>
      </c>
      <c r="T275" t="n">
        <v>19.8</v>
      </c>
      <c r="U275" t="n">
        <v>3</v>
      </c>
      <c r="V275" t="n">
        <v>1.097634417676126</v>
      </c>
      <c r="W275" t="n">
        <v>0.059</v>
      </c>
      <c r="X275" t="n">
        <v>0.092</v>
      </c>
      <c r="Y275" t="n">
        <v>2.2</v>
      </c>
      <c r="Z275" t="n">
        <v>6</v>
      </c>
      <c r="AA275" t="n">
        <v>10.2</v>
      </c>
      <c r="AB275" t="n">
        <v>14.8</v>
      </c>
      <c r="AC275" t="n">
        <v>19.8</v>
      </c>
      <c r="AD275" t="n">
        <v>25.5</v>
      </c>
      <c r="AE275" t="n">
        <v>32.5</v>
      </c>
      <c r="AF275" t="n">
        <v>41.6</v>
      </c>
      <c r="AG275" t="n">
        <v>55.9</v>
      </c>
      <c r="AH275" t="n">
        <v>140.7</v>
      </c>
      <c r="AI275" t="inlineStr"/>
      <c r="AJ275" t="n">
        <v>608266.7250000001</v>
      </c>
      <c r="AK275" t="n">
        <v>318319.7</v>
      </c>
      <c r="AL275" t="n">
        <v>0.5233225605099473</v>
      </c>
      <c r="AM275" t="inlineStr">
        <is>
          <t>1.6170667119757371</t>
        </is>
      </c>
      <c r="AN275" t="inlineStr">
        <is>
          <t>16.5</t>
        </is>
      </c>
      <c r="AO275" t="inlineStr">
        <is>
          <t>6.5</t>
        </is>
      </c>
      <c r="AP275" t="inlineStr">
        <is>
          <t>12 1/4</t>
        </is>
      </c>
      <c r="AQ275" t="inlineStr">
        <is>
          <t>6</t>
        </is>
      </c>
      <c r="AR275" t="inlineStr">
        <is>
          <t>7</t>
        </is>
      </c>
      <c r="AS275" t="inlineStr">
        <is>
          <t>1.5</t>
        </is>
      </c>
      <c r="AT275" t="n">
        <v>332</v>
      </c>
      <c r="AU275" t="inlineStr">
        <is>
          <t>Vertex 70</t>
        </is>
      </c>
      <c r="AV275" t="inlineStr">
        <is>
          <t>50AR/50D2</t>
        </is>
      </c>
      <c r="AW275" t="n">
        <v>0.6370570138469231</v>
      </c>
      <c r="AX275" t="n">
        <v>0.6604879413820837</v>
      </c>
      <c r="AY275" t="n">
        <v>0.6837987733453221</v>
      </c>
      <c r="AZ275" t="n">
        <v>0.7068851765147415</v>
      </c>
      <c r="BA275" t="n">
        <v>0.7202427549224488</v>
      </c>
      <c r="BB275" t="n">
        <v>7.795275590551181</v>
      </c>
      <c r="BC275" t="n">
        <v>2.548447750120916</v>
      </c>
      <c r="BD275" t="n">
        <v>5.048854515579928</v>
      </c>
      <c r="BE275" t="n">
        <v>7.74039417066827</v>
      </c>
      <c r="BF275" t="n">
        <v>10.73709921974105</v>
      </c>
      <c r="BG275" t="n">
        <v>14.17911754386371</v>
      </c>
      <c r="BH275" t="n">
        <v>18.28418542276899</v>
      </c>
      <c r="BI275" t="n">
        <v>23.44828186190722</v>
      </c>
      <c r="BJ275" t="n">
        <v>30.54610048278984</v>
      </c>
      <c r="BK275" t="n">
        <v>42.33132354667932</v>
      </c>
      <c r="BL275" t="n">
        <v>115.1710265401845</v>
      </c>
      <c r="BM275" t="inlineStr"/>
      <c r="BN275" t="n">
        <v>22</v>
      </c>
      <c r="BO275" t="n">
        <v>198</v>
      </c>
      <c r="BP275" t="n">
        <v>416</v>
      </c>
      <c r="BQ275" t="n">
        <v>559</v>
      </c>
      <c r="BR275" t="n">
        <v>1407</v>
      </c>
      <c r="BS27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6">
      <c r="A276" t="inlineStr">
        <is>
          <t>FRAG</t>
        </is>
      </c>
      <c r="B276" t="inlineStr">
        <is>
          <t>Fragmentación Desmonte 2025.xlsx</t>
        </is>
      </c>
      <c r="C276" t="inlineStr">
        <is>
          <t>ANÁLISIS DE FRAGMENTACIÓN</t>
        </is>
      </c>
      <c r="D276" t="n">
        <v>280</v>
      </c>
      <c r="E276" t="inlineStr">
        <is>
          <t>ROM (fragmentación post-voladura en el frente de carguío, por análisis de fotos)</t>
        </is>
      </c>
      <c r="F276" t="inlineStr"/>
      <c r="G276" t="inlineStr">
        <is>
          <t>no indicada en el archivo</t>
        </is>
      </c>
      <c r="H276" t="inlineStr">
        <is>
          <t>2025-07-09</t>
        </is>
      </c>
      <c r="I276" t="inlineStr">
        <is>
          <t>2025-07-19</t>
        </is>
      </c>
      <c r="J276" t="inlineStr">
        <is>
          <t>PALA 10</t>
        </is>
      </c>
      <c r="K276" t="n">
        <v>9</v>
      </c>
      <c r="L276" t="inlineStr">
        <is>
          <t>9-NP-3908-19</t>
        </is>
      </c>
      <c r="M276" t="n">
        <v>3</v>
      </c>
      <c r="N276" t="n">
        <v>3908</v>
      </c>
      <c r="O276" t="inlineStr">
        <is>
          <t>A</t>
        </is>
      </c>
      <c r="P276" t="n">
        <v>30</v>
      </c>
      <c r="Q276" t="inlineStr">
        <is>
          <t>Desmonte</t>
        </is>
      </c>
      <c r="R276" t="inlineStr">
        <is>
          <t>Producción</t>
        </is>
      </c>
      <c r="S276" t="n">
        <v>7</v>
      </c>
      <c r="T276" t="n">
        <v>11.1</v>
      </c>
      <c r="U276" t="n">
        <v>3</v>
      </c>
      <c r="V276" t="n">
        <v>0.9775021008858744</v>
      </c>
      <c r="W276" t="n">
        <v>0.116</v>
      </c>
      <c r="X276" t="n">
        <v>0.173</v>
      </c>
      <c r="Y276" t="n">
        <v>0.7</v>
      </c>
      <c r="Z276" t="n">
        <v>2.5</v>
      </c>
      <c r="AA276" t="n">
        <v>4.9</v>
      </c>
      <c r="AB276" t="n">
        <v>7.7</v>
      </c>
      <c r="AC276" t="n">
        <v>11.1</v>
      </c>
      <c r="AD276" t="n">
        <v>15.2</v>
      </c>
      <c r="AE276" t="n">
        <v>20.5</v>
      </c>
      <c r="AF276" t="n">
        <v>27.7</v>
      </c>
      <c r="AG276" t="n">
        <v>39.5</v>
      </c>
      <c r="AH276" t="n">
        <v>112.9</v>
      </c>
      <c r="AI276" t="inlineStr"/>
      <c r="AJ276" t="n">
        <v>563392.5</v>
      </c>
      <c r="AK276" t="n">
        <v>182571</v>
      </c>
      <c r="AL276" t="n">
        <v>0.3240564970247208</v>
      </c>
      <c r="AM276" t="inlineStr">
        <is>
          <t>1.0013345758063872</t>
        </is>
      </c>
      <c r="AN276" t="inlineStr">
        <is>
          <t>16.5</t>
        </is>
      </c>
      <c r="AO276" t="inlineStr">
        <is>
          <t>6.5</t>
        </is>
      </c>
      <c r="AP276" t="inlineStr">
        <is>
          <t>12 1/4</t>
        </is>
      </c>
      <c r="AQ276" t="inlineStr">
        <is>
          <t>6</t>
        </is>
      </c>
      <c r="AR276" t="inlineStr">
        <is>
          <t>7</t>
        </is>
      </c>
      <c r="AS276" t="inlineStr">
        <is>
          <t>1.5</t>
        </is>
      </c>
      <c r="AT276" t="n">
        <v>204</v>
      </c>
      <c r="AU276" t="inlineStr">
        <is>
          <t>Vertex 70</t>
        </is>
      </c>
      <c r="AV276" t="inlineStr">
        <is>
          <t>49AR/51D2</t>
        </is>
      </c>
      <c r="AW276" t="n">
        <v>0.6487747772574451</v>
      </c>
      <c r="AX276" t="n">
        <v>0.6926075990778795</v>
      </c>
      <c r="AY276" t="n">
        <v>0.735500399567897</v>
      </c>
      <c r="AZ276" t="n">
        <v>0.7767241610714919</v>
      </c>
      <c r="BA276" t="n">
        <v>0.7997715281995864</v>
      </c>
      <c r="BB276" t="n">
        <v>4.370078740157481</v>
      </c>
      <c r="BC276" t="n">
        <v>1.110470714418798</v>
      </c>
      <c r="BD276" t="n">
        <v>2.392844789609405</v>
      </c>
      <c r="BE276" t="n">
        <v>3.866257888480247</v>
      </c>
      <c r="BF276" t="n">
        <v>5.583176315095896</v>
      </c>
      <c r="BG276" t="n">
        <v>7.629304095700166</v>
      </c>
      <c r="BH276" t="n">
        <v>10.15038329165031</v>
      </c>
      <c r="BI276" t="n">
        <v>13.42131611283817</v>
      </c>
      <c r="BJ276" t="n">
        <v>18.06150597594981</v>
      </c>
      <c r="BK276" t="n">
        <v>26.05405445977081</v>
      </c>
      <c r="BL276" t="n">
        <v>80.1637182461086</v>
      </c>
      <c r="BM276" t="inlineStr"/>
      <c r="BN276" t="n">
        <v>7</v>
      </c>
      <c r="BO276" t="n">
        <v>111</v>
      </c>
      <c r="BP276" t="n">
        <v>277</v>
      </c>
      <c r="BQ276" t="n">
        <v>395</v>
      </c>
      <c r="BR276" t="n">
        <v>1129</v>
      </c>
      <c r="BS27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7">
      <c r="A277" t="inlineStr">
        <is>
          <t>FRAG</t>
        </is>
      </c>
      <c r="B277" t="inlineStr">
        <is>
          <t>Fragmentación Desmonte 2025.xlsx</t>
        </is>
      </c>
      <c r="C277" t="inlineStr">
        <is>
          <t>ANÁLISIS DE FRAGMENTACIÓN</t>
        </is>
      </c>
      <c r="D277" t="n">
        <v>281</v>
      </c>
      <c r="E277" t="inlineStr">
        <is>
          <t>ROM (fragmentación post-voladura en el frente de carguío, por análisis de fotos)</t>
        </is>
      </c>
      <c r="F277" t="inlineStr"/>
      <c r="G277" t="inlineStr">
        <is>
          <t>no indicada en el archivo</t>
        </is>
      </c>
      <c r="H277" t="inlineStr">
        <is>
          <t>2025-07-15</t>
        </is>
      </c>
      <c r="I277" t="inlineStr">
        <is>
          <t>2025-07-19</t>
        </is>
      </c>
      <c r="J277" t="inlineStr">
        <is>
          <t>PALA 09</t>
        </is>
      </c>
      <c r="K277" t="n">
        <v>9</v>
      </c>
      <c r="L277" t="inlineStr">
        <is>
          <t>9-NP-3908-23</t>
        </is>
      </c>
      <c r="M277" t="n">
        <v>2</v>
      </c>
      <c r="N277" t="n">
        <v>3908</v>
      </c>
      <c r="O277" t="inlineStr">
        <is>
          <t>A</t>
        </is>
      </c>
      <c r="P277" t="n">
        <v>30</v>
      </c>
      <c r="Q277" t="inlineStr">
        <is>
          <t>Desmonte</t>
        </is>
      </c>
      <c r="R277" t="inlineStr">
        <is>
          <t>Producción</t>
        </is>
      </c>
      <c r="S277" t="n">
        <v>4</v>
      </c>
      <c r="T277" t="n">
        <v>11.6</v>
      </c>
      <c r="U277" t="n">
        <v>3</v>
      </c>
      <c r="V277" t="n">
        <v>1.000970876487922</v>
      </c>
      <c r="W277" t="n">
        <v>0.109</v>
      </c>
      <c r="X277" t="n">
        <v>0.163</v>
      </c>
      <c r="Y277" t="n">
        <v>0.8</v>
      </c>
      <c r="Z277" t="n">
        <v>2.7</v>
      </c>
      <c r="AA277" t="n">
        <v>5.2</v>
      </c>
      <c r="AB277" t="n">
        <v>8.199999999999999</v>
      </c>
      <c r="AC277" t="n">
        <v>11.6</v>
      </c>
      <c r="AD277" t="n">
        <v>15.8</v>
      </c>
      <c r="AE277" t="n">
        <v>21</v>
      </c>
      <c r="AF277" t="n">
        <v>28.1</v>
      </c>
      <c r="AG277" t="n">
        <v>39.7</v>
      </c>
      <c r="AH277" t="n">
        <v>108.7</v>
      </c>
      <c r="AI277" t="inlineStr"/>
      <c r="AJ277" t="n">
        <v>1033516.6875</v>
      </c>
      <c r="AK277" t="n">
        <v>174835</v>
      </c>
      <c r="AL277" t="n">
        <v>0.1691651447088995</v>
      </c>
      <c r="AM277" t="inlineStr">
        <is>
          <t>0.5227202971504996</t>
        </is>
      </c>
      <c r="AN277" t="inlineStr">
        <is>
          <t>16.5</t>
        </is>
      </c>
      <c r="AO277" t="inlineStr">
        <is>
          <t>6.5</t>
        </is>
      </c>
      <c r="AP277" t="inlineStr">
        <is>
          <t>12 1/4</t>
        </is>
      </c>
      <c r="AQ277" t="inlineStr">
        <is>
          <t>6</t>
        </is>
      </c>
      <c r="AR277" t="inlineStr">
        <is>
          <t>7</t>
        </is>
      </c>
      <c r="AS277" t="inlineStr">
        <is>
          <t>1.5</t>
        </is>
      </c>
      <c r="AT277" t="n">
        <v>180</v>
      </c>
      <c r="AU277" t="inlineStr">
        <is>
          <t>Vertex 70</t>
        </is>
      </c>
      <c r="AV277" t="inlineStr">
        <is>
          <t>50AR/50D2</t>
        </is>
      </c>
      <c r="AW277" t="n">
        <v>0.6463912459112854</v>
      </c>
      <c r="AX277" t="n">
        <v>0.6877369905808008</v>
      </c>
      <c r="AY277" t="n">
        <v>0.728319365636614</v>
      </c>
      <c r="AZ277" t="n">
        <v>0.7675311287823895</v>
      </c>
      <c r="BA277" t="n">
        <v>0.7895870394730224</v>
      </c>
      <c r="BB277" t="n">
        <v>4.566929133858268</v>
      </c>
      <c r="BC277" t="n">
        <v>1.224852563449752</v>
      </c>
      <c r="BD277" t="n">
        <v>2.592233748948379</v>
      </c>
      <c r="BE277" t="n">
        <v>4.141568580502795</v>
      </c>
      <c r="BF277" t="n">
        <v>5.92943919319385</v>
      </c>
      <c r="BG277" t="n">
        <v>8.04336615179707</v>
      </c>
      <c r="BH277" t="n">
        <v>10.629873792806</v>
      </c>
      <c r="BI277" t="n">
        <v>13.96357022092491</v>
      </c>
      <c r="BJ277" t="n">
        <v>18.66086436245162</v>
      </c>
      <c r="BK277" t="n">
        <v>26.68838858251362</v>
      </c>
      <c r="BL277" t="n">
        <v>79.97989516422516</v>
      </c>
      <c r="BM277" t="inlineStr"/>
      <c r="BN277" t="n">
        <v>8</v>
      </c>
      <c r="BO277" t="n">
        <v>116</v>
      </c>
      <c r="BP277" t="n">
        <v>281</v>
      </c>
      <c r="BQ277" t="n">
        <v>397</v>
      </c>
      <c r="BR277" t="n">
        <v>1087</v>
      </c>
      <c r="BS27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8">
      <c r="A278" t="inlineStr">
        <is>
          <t>FRAG</t>
        </is>
      </c>
      <c r="B278" t="inlineStr">
        <is>
          <t>Fragmentación Desmonte 2025.xlsx</t>
        </is>
      </c>
      <c r="C278" t="inlineStr">
        <is>
          <t>ANÁLISIS DE FRAGMENTACIÓN</t>
        </is>
      </c>
      <c r="D278" t="n">
        <v>282</v>
      </c>
      <c r="E278" t="inlineStr">
        <is>
          <t>ROM (fragmentación post-voladura en el frente de carguío, por análisis de fotos)</t>
        </is>
      </c>
      <c r="F278" t="inlineStr"/>
      <c r="G278" t="inlineStr">
        <is>
          <t>no indicada en el archivo</t>
        </is>
      </c>
      <c r="H278" t="inlineStr">
        <is>
          <t>2025-07-15</t>
        </is>
      </c>
      <c r="I278" t="inlineStr">
        <is>
          <t>2025-07-19</t>
        </is>
      </c>
      <c r="J278" t="inlineStr">
        <is>
          <t>PALA 09</t>
        </is>
      </c>
      <c r="K278" t="n">
        <v>9</v>
      </c>
      <c r="L278" t="inlineStr">
        <is>
          <t>9-NP-3908-23</t>
        </is>
      </c>
      <c r="M278" t="n">
        <v>3</v>
      </c>
      <c r="N278" t="n">
        <v>3908</v>
      </c>
      <c r="O278" t="inlineStr">
        <is>
          <t>B</t>
        </is>
      </c>
      <c r="P278" t="n">
        <v>30</v>
      </c>
      <c r="Q278" t="inlineStr">
        <is>
          <t>Desmonte</t>
        </is>
      </c>
      <c r="R278" t="inlineStr">
        <is>
          <t>Producción</t>
        </is>
      </c>
      <c r="S278" t="n">
        <v>4</v>
      </c>
      <c r="T278" t="n">
        <v>8.4</v>
      </c>
      <c r="U278" t="n">
        <v>3</v>
      </c>
      <c r="V278" t="n">
        <v>0.9640673182927456</v>
      </c>
      <c r="W278" t="n">
        <v>0.131</v>
      </c>
      <c r="X278" t="n">
        <v>0.2</v>
      </c>
      <c r="Y278" t="n">
        <v>0.6</v>
      </c>
      <c r="Z278" t="n">
        <v>1.9</v>
      </c>
      <c r="AA278" t="n">
        <v>3.8</v>
      </c>
      <c r="AB278" t="n">
        <v>5.9</v>
      </c>
      <c r="AC278" t="n">
        <v>8.5</v>
      </c>
      <c r="AD278" t="n">
        <v>11.6</v>
      </c>
      <c r="AE278" t="n">
        <v>15.6</v>
      </c>
      <c r="AF278" t="n">
        <v>21.2</v>
      </c>
      <c r="AG278" t="n">
        <v>30.4</v>
      </c>
      <c r="AH278" t="n">
        <v>90.90000000000001</v>
      </c>
      <c r="AI278" t="inlineStr"/>
      <c r="AJ278" t="n">
        <v>1033516.6875</v>
      </c>
      <c r="AK278" t="n">
        <v>174835</v>
      </c>
      <c r="AL278" t="n">
        <v>0.1691651447088995</v>
      </c>
      <c r="AM278" t="inlineStr">
        <is>
          <t>0.5227202971504996</t>
        </is>
      </c>
      <c r="AN278" t="inlineStr">
        <is>
          <t>16.5</t>
        </is>
      </c>
      <c r="AO278" t="inlineStr">
        <is>
          <t>6.5</t>
        </is>
      </c>
      <c r="AP278" t="inlineStr">
        <is>
          <t>12 1/4</t>
        </is>
      </c>
      <c r="AQ278" t="inlineStr">
        <is>
          <t>6</t>
        </is>
      </c>
      <c r="AR278" t="inlineStr">
        <is>
          <t>7</t>
        </is>
      </c>
      <c r="AS278" t="inlineStr">
        <is>
          <t>1.5</t>
        </is>
      </c>
      <c r="AT278" t="n">
        <v>180</v>
      </c>
      <c r="AU278" t="inlineStr">
        <is>
          <t>Vertex 70</t>
        </is>
      </c>
      <c r="AV278" t="inlineStr">
        <is>
          <t>50AR/50D2</t>
        </is>
      </c>
      <c r="AW278" t="n">
        <v>0.6523884796031587</v>
      </c>
      <c r="AX278" t="n">
        <v>0.7029321740599914</v>
      </c>
      <c r="AY278" t="n">
        <v>0.7519894728580783</v>
      </c>
      <c r="AZ278" t="n">
        <v>0.7984286438536943</v>
      </c>
      <c r="BA278" t="n">
        <v>0.8239351391016276</v>
      </c>
      <c r="BB278" t="n">
        <v>3.307086614173228</v>
      </c>
      <c r="BC278" t="n">
        <v>0.8138239370694457</v>
      </c>
      <c r="BD278" t="n">
        <v>1.772491193400232</v>
      </c>
      <c r="BE278" t="n">
        <v>2.883129890043215</v>
      </c>
      <c r="BF278" t="n">
        <v>4.184838570999045</v>
      </c>
      <c r="BG278" t="n">
        <v>5.743438823659332</v>
      </c>
      <c r="BH278" t="n">
        <v>7.671803774705649</v>
      </c>
      <c r="BI278" t="n">
        <v>10.18358528745468</v>
      </c>
      <c r="BJ278" t="n">
        <v>13.76121143904037</v>
      </c>
      <c r="BK278" t="n">
        <v>19.95241478346261</v>
      </c>
      <c r="BL278" t="n">
        <v>62.35911818422916</v>
      </c>
      <c r="BM278" t="inlineStr"/>
      <c r="BN278" t="n">
        <v>6</v>
      </c>
      <c r="BO278" t="n">
        <v>85</v>
      </c>
      <c r="BP278" t="n">
        <v>212</v>
      </c>
      <c r="BQ278" t="n">
        <v>304</v>
      </c>
      <c r="BR278" t="n">
        <v>909</v>
      </c>
      <c r="BS27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79">
      <c r="A279" t="inlineStr">
        <is>
          <t>FRAG</t>
        </is>
      </c>
      <c r="B279" t="inlineStr">
        <is>
          <t>Fragmentación Desmonte 2025.xlsx</t>
        </is>
      </c>
      <c r="C279" t="inlineStr">
        <is>
          <t>ANÁLISIS DE FRAGMENTACIÓN</t>
        </is>
      </c>
      <c r="D279" t="n">
        <v>283</v>
      </c>
      <c r="E279" t="inlineStr">
        <is>
          <t>ROM (fragmentación post-voladura en el frente de carguío, por análisis de fotos)</t>
        </is>
      </c>
      <c r="F279" t="inlineStr"/>
      <c r="G279" t="inlineStr">
        <is>
          <t>no indicada en el archivo</t>
        </is>
      </c>
      <c r="H279" t="inlineStr">
        <is>
          <t>2025-07-16</t>
        </is>
      </c>
      <c r="I279" t="inlineStr">
        <is>
          <t>2025-07-20</t>
        </is>
      </c>
      <c r="J279" t="inlineStr">
        <is>
          <t>PALA 10</t>
        </is>
      </c>
      <c r="K279" t="n">
        <v>9</v>
      </c>
      <c r="L279" t="inlineStr">
        <is>
          <t>9-NP-3908-24</t>
        </is>
      </c>
      <c r="M279" t="n">
        <v>6</v>
      </c>
      <c r="N279" t="n">
        <v>3908</v>
      </c>
      <c r="O279" t="inlineStr">
        <is>
          <t>A</t>
        </is>
      </c>
      <c r="P279" t="n">
        <v>30</v>
      </c>
      <c r="Q279" t="inlineStr">
        <is>
          <t>Desmonte</t>
        </is>
      </c>
      <c r="R279" t="inlineStr">
        <is>
          <t>Producción</t>
        </is>
      </c>
      <c r="S279" t="n">
        <v>5</v>
      </c>
      <c r="T279" t="n">
        <v>16.3</v>
      </c>
      <c r="U279" t="n">
        <v>4</v>
      </c>
      <c r="V279" t="n">
        <v>1.539004097664266</v>
      </c>
      <c r="W279" t="n">
        <v>0.035</v>
      </c>
      <c r="X279" t="n">
        <v>0.062</v>
      </c>
      <c r="Y279" t="n">
        <v>3.3</v>
      </c>
      <c r="Z279" t="n">
        <v>6.7</v>
      </c>
      <c r="AA279" t="n">
        <v>9.9</v>
      </c>
      <c r="AB279" t="n">
        <v>13</v>
      </c>
      <c r="AC279" t="n">
        <v>16.3</v>
      </c>
      <c r="AD279" t="n">
        <v>19.9</v>
      </c>
      <c r="AE279" t="n">
        <v>24.2</v>
      </c>
      <c r="AF279" t="n">
        <v>29.7</v>
      </c>
      <c r="AG279" t="n">
        <v>38.3</v>
      </c>
      <c r="AH279" t="n">
        <v>102</v>
      </c>
      <c r="AI279" t="inlineStr"/>
      <c r="AJ279" t="n">
        <v>356730</v>
      </c>
      <c r="AK279" t="n">
        <v>136889.5</v>
      </c>
      <c r="AL279" t="n">
        <v>0.3837341967314215</v>
      </c>
      <c r="AM279" t="inlineStr">
        <is>
          <t>1.1857386679000925</t>
        </is>
      </c>
      <c r="AN279" t="inlineStr">
        <is>
          <t>16.5</t>
        </is>
      </c>
      <c r="AO279" t="inlineStr">
        <is>
          <t>6</t>
        </is>
      </c>
      <c r="AP279" t="inlineStr">
        <is>
          <t>12 1/4</t>
        </is>
      </c>
      <c r="AQ279" t="inlineStr">
        <is>
          <t>6</t>
        </is>
      </c>
      <c r="AR279" t="inlineStr">
        <is>
          <t>7</t>
        </is>
      </c>
      <c r="AS279" t="inlineStr">
        <is>
          <t>1.5</t>
        </is>
      </c>
      <c r="AT279" t="n">
        <v>157</v>
      </c>
      <c r="AU279" t="inlineStr">
        <is>
          <t>Vertex 70</t>
        </is>
      </c>
      <c r="AV279" t="inlineStr">
        <is>
          <t>50AR/50D2</t>
        </is>
      </c>
      <c r="AW279" t="n">
        <v>0.6277387197921154</v>
      </c>
      <c r="AX279" t="n">
        <v>0.6435464295545992</v>
      </c>
      <c r="AY279" t="n">
        <v>0.6593326155656363</v>
      </c>
      <c r="AZ279" t="n">
        <v>0.6750666489760582</v>
      </c>
      <c r="BA279" t="n">
        <v>0.6842336831515382</v>
      </c>
      <c r="BB279" t="n">
        <v>6.417322834645669</v>
      </c>
      <c r="BC279" t="n">
        <v>3.777045226126857</v>
      </c>
      <c r="BD279" t="n">
        <v>6.150588869311887</v>
      </c>
      <c r="BE279" t="n">
        <v>8.341946349914485</v>
      </c>
      <c r="BF279" t="n">
        <v>10.53493091421761</v>
      </c>
      <c r="BG279" t="n">
        <v>12.8457844099574</v>
      </c>
      <c r="BH279" t="n">
        <v>15.39990158540821</v>
      </c>
      <c r="BI279" t="n">
        <v>18.3895021159106</v>
      </c>
      <c r="BJ279" t="n">
        <v>22.20641709660287</v>
      </c>
      <c r="BK279" t="n">
        <v>28.0249470147349</v>
      </c>
      <c r="BL279" t="n">
        <v>57.22216472077713</v>
      </c>
      <c r="BM279" t="inlineStr"/>
      <c r="BN279" t="n">
        <v>33</v>
      </c>
      <c r="BO279" t="n">
        <v>163</v>
      </c>
      <c r="BP279" t="n">
        <v>297</v>
      </c>
      <c r="BQ279" t="n">
        <v>383</v>
      </c>
      <c r="BR279" t="n">
        <v>1020</v>
      </c>
      <c r="BS27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0">
      <c r="A280" t="inlineStr">
        <is>
          <t>FRAG</t>
        </is>
      </c>
      <c r="B280" t="inlineStr">
        <is>
          <t>Fragmentación Desmonte 2025.xlsx</t>
        </is>
      </c>
      <c r="C280" t="inlineStr">
        <is>
          <t>ANÁLISIS DE FRAGMENTACIÓN</t>
        </is>
      </c>
      <c r="D280" t="n">
        <v>284</v>
      </c>
      <c r="E280" t="inlineStr">
        <is>
          <t>ROM (fragmentación post-voladura en el frente de carguío, por análisis de fotos)</t>
        </is>
      </c>
      <c r="F280" t="inlineStr"/>
      <c r="G280" t="inlineStr">
        <is>
          <t>no indicada en el archivo</t>
        </is>
      </c>
      <c r="H280" t="inlineStr">
        <is>
          <t>2025-07-12</t>
        </is>
      </c>
      <c r="I280" t="inlineStr">
        <is>
          <t>2025-07-20</t>
        </is>
      </c>
      <c r="J280" t="inlineStr">
        <is>
          <t>PALA 07</t>
        </is>
      </c>
      <c r="K280" t="n">
        <v>9</v>
      </c>
      <c r="L280" t="inlineStr">
        <is>
          <t>9-NP-3908-20</t>
        </is>
      </c>
      <c r="M280" t="n">
        <v>2</v>
      </c>
      <c r="N280" t="n">
        <v>3908</v>
      </c>
      <c r="O280" t="inlineStr">
        <is>
          <t>C</t>
        </is>
      </c>
      <c r="P280" t="n">
        <v>30</v>
      </c>
      <c r="Q280" t="inlineStr">
        <is>
          <t>Desmonte</t>
        </is>
      </c>
      <c r="R280" t="inlineStr">
        <is>
          <t>Producción</t>
        </is>
      </c>
      <c r="S280" t="n">
        <v>6</v>
      </c>
      <c r="T280" t="n">
        <v>7.6</v>
      </c>
      <c r="U280" t="n">
        <v>3</v>
      </c>
      <c r="V280" t="n">
        <v>0.8473488076107286</v>
      </c>
      <c r="W280" t="n">
        <v>0.157</v>
      </c>
      <c r="X280" t="n">
        <v>0.233</v>
      </c>
      <c r="Y280" t="n">
        <v>0.4</v>
      </c>
      <c r="Z280" t="n">
        <v>1.5</v>
      </c>
      <c r="AA280" t="n">
        <v>3</v>
      </c>
      <c r="AB280" t="n">
        <v>5</v>
      </c>
      <c r="AC280" t="n">
        <v>7.6</v>
      </c>
      <c r="AD280" t="n">
        <v>10.9</v>
      </c>
      <c r="AE280" t="n">
        <v>15.4</v>
      </c>
      <c r="AF280" t="n">
        <v>21.9</v>
      </c>
      <c r="AG280" t="n">
        <v>33.8</v>
      </c>
      <c r="AH280" t="n">
        <v>143.2</v>
      </c>
      <c r="AI280" t="inlineStr"/>
      <c r="AJ280" t="n">
        <v>910853.2125</v>
      </c>
      <c r="AK280" t="n">
        <v>261793</v>
      </c>
      <c r="AL280" t="n">
        <v>0.2874151360584898</v>
      </c>
      <c r="AM280" t="inlineStr">
        <is>
          <t>0.8881127704207333</t>
        </is>
      </c>
      <c r="AN280" t="inlineStr">
        <is>
          <t>17</t>
        </is>
      </c>
      <c r="AO280" t="inlineStr">
        <is>
          <t>7</t>
        </is>
      </c>
      <c r="AP280" t="inlineStr">
        <is>
          <t>12 1/4</t>
        </is>
      </c>
      <c r="AQ280" t="inlineStr">
        <is>
          <t>8.5</t>
        </is>
      </c>
      <c r="AR280" t="inlineStr">
        <is>
          <t>9.8</t>
        </is>
      </c>
      <c r="AS280" t="inlineStr">
        <is>
          <t>2</t>
        </is>
      </c>
      <c r="AT280" t="n">
        <v>296</v>
      </c>
      <c r="AU280" t="inlineStr">
        <is>
          <t>Vertex 70</t>
        </is>
      </c>
      <c r="AV280" t="inlineStr">
        <is>
          <t>49AR/51D2</t>
        </is>
      </c>
      <c r="AW280" t="n">
        <v>0.6667537838094018</v>
      </c>
      <c r="AX280" t="n">
        <v>0.7251363760623415</v>
      </c>
      <c r="AY280" t="n">
        <v>0.7808165279506407</v>
      </c>
      <c r="AZ280" t="n">
        <v>0.8320163497752028</v>
      </c>
      <c r="BA280" t="n">
        <v>0.8592311535893954</v>
      </c>
      <c r="BB280" t="n">
        <v>2.992125984251969</v>
      </c>
      <c r="BC280" t="n">
        <v>0.5338575590161956</v>
      </c>
      <c r="BD280" t="n">
        <v>1.294328156420197</v>
      </c>
      <c r="BE280" t="n">
        <v>2.251269117078261</v>
      </c>
      <c r="BF280" t="n">
        <v>3.439783740545935</v>
      </c>
      <c r="BG280" t="n">
        <v>4.931323743058591</v>
      </c>
      <c r="BH280" t="n">
        <v>6.854994733459885</v>
      </c>
      <c r="BI280" t="n">
        <v>9.461358265132732</v>
      </c>
      <c r="BJ280" t="n">
        <v>13.32663490743674</v>
      </c>
      <c r="BK280" t="n">
        <v>20.33681767207063</v>
      </c>
      <c r="BL280" t="n">
        <v>74.3632527964259</v>
      </c>
      <c r="BM280" t="inlineStr"/>
      <c r="BN280" t="n">
        <v>4</v>
      </c>
      <c r="BO280" t="n">
        <v>76</v>
      </c>
      <c r="BP280" t="n">
        <v>219</v>
      </c>
      <c r="BQ280" t="n">
        <v>338</v>
      </c>
      <c r="BR280" t="n">
        <v>1432</v>
      </c>
      <c r="BS28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1">
      <c r="A281" t="inlineStr">
        <is>
          <t>FRAG</t>
        </is>
      </c>
      <c r="B281" t="inlineStr">
        <is>
          <t>Fragmentación Desmonte 2025.xlsx</t>
        </is>
      </c>
      <c r="C281" t="inlineStr">
        <is>
          <t>ANÁLISIS DE FRAGMENTACIÓN</t>
        </is>
      </c>
      <c r="D281" t="n">
        <v>285</v>
      </c>
      <c r="E281" t="inlineStr">
        <is>
          <t>ROM (fragmentación post-voladura en el frente de carguío, por análisis de fotos)</t>
        </is>
      </c>
      <c r="F281" t="inlineStr"/>
      <c r="G281" t="inlineStr">
        <is>
          <t>no indicada en el archivo</t>
        </is>
      </c>
      <c r="H281" t="inlineStr">
        <is>
          <t>2025-07-15</t>
        </is>
      </c>
      <c r="I281" t="inlineStr">
        <is>
          <t>2025-07-20</t>
        </is>
      </c>
      <c r="J281" t="inlineStr">
        <is>
          <t>PALA 09</t>
        </is>
      </c>
      <c r="K281" t="n">
        <v>9</v>
      </c>
      <c r="L281" t="inlineStr">
        <is>
          <t>9-NP-3908-23</t>
        </is>
      </c>
      <c r="M281" t="n">
        <v>2</v>
      </c>
      <c r="N281" t="n">
        <v>3908</v>
      </c>
      <c r="O281" t="inlineStr">
        <is>
          <t>A</t>
        </is>
      </c>
      <c r="P281" t="n">
        <v>30</v>
      </c>
      <c r="Q281" t="inlineStr">
        <is>
          <t>Desmonte</t>
        </is>
      </c>
      <c r="R281" t="inlineStr">
        <is>
          <t>Producción</t>
        </is>
      </c>
      <c r="S281" t="n">
        <v>7</v>
      </c>
      <c r="T281" t="n">
        <v>12.5</v>
      </c>
      <c r="U281" t="n">
        <v>3</v>
      </c>
      <c r="V281" t="n">
        <v>1.128826078837554</v>
      </c>
      <c r="W281" t="n">
        <v>0.082</v>
      </c>
      <c r="X281" t="n">
        <v>0.129</v>
      </c>
      <c r="Y281" t="n">
        <v>1.3</v>
      </c>
      <c r="Z281" t="n">
        <v>3.7</v>
      </c>
      <c r="AA281" t="n">
        <v>6.4</v>
      </c>
      <c r="AB281" t="n">
        <v>9.300000000000001</v>
      </c>
      <c r="AC281" t="n">
        <v>12.5</v>
      </c>
      <c r="AD281" t="n">
        <v>16.2</v>
      </c>
      <c r="AE281" t="n">
        <v>20.7</v>
      </c>
      <c r="AF281" t="n">
        <v>26.4</v>
      </c>
      <c r="AG281" t="n">
        <v>35.3</v>
      </c>
      <c r="AH281" t="n">
        <v>82.59999999999999</v>
      </c>
      <c r="AI281" t="inlineStr"/>
      <c r="AJ281" t="n">
        <v>1033516.6875</v>
      </c>
      <c r="AK281" t="n">
        <v>174835</v>
      </c>
      <c r="AL281" t="n">
        <v>0.1691651447088995</v>
      </c>
      <c r="AM281" t="inlineStr">
        <is>
          <t>0.5227202971504996</t>
        </is>
      </c>
      <c r="AN281" t="inlineStr">
        <is>
          <t>16.5</t>
        </is>
      </c>
      <c r="AO281" t="inlineStr">
        <is>
          <t>6.5</t>
        </is>
      </c>
      <c r="AP281" t="inlineStr">
        <is>
          <t>12 1/4</t>
        </is>
      </c>
      <c r="AQ281" t="inlineStr">
        <is>
          <t>6</t>
        </is>
      </c>
      <c r="AR281" t="inlineStr">
        <is>
          <t>7</t>
        </is>
      </c>
      <c r="AS281" t="inlineStr">
        <is>
          <t>1.5</t>
        </is>
      </c>
      <c r="AT281" t="n">
        <v>180</v>
      </c>
      <c r="AU281" t="inlineStr">
        <is>
          <t>Vertex 70</t>
        </is>
      </c>
      <c r="AV281" t="inlineStr">
        <is>
          <t>50AR/50D2</t>
        </is>
      </c>
      <c r="AW281" t="n">
        <v>0.6377125476351468</v>
      </c>
      <c r="AX281" t="n">
        <v>0.6705351094719327</v>
      </c>
      <c r="AY281" t="n">
        <v>0.7030336793910208</v>
      </c>
      <c r="AZ281" t="n">
        <v>0.7349141020839891</v>
      </c>
      <c r="BA281" t="n">
        <v>0.7531550902823718</v>
      </c>
      <c r="BB281" t="n">
        <v>4.921259842519685</v>
      </c>
      <c r="BC281" t="n">
        <v>1.702643598466699</v>
      </c>
      <c r="BD281" t="n">
        <v>3.310064638567213</v>
      </c>
      <c r="BE281" t="n">
        <v>5.015093439616022</v>
      </c>
      <c r="BF281" t="n">
        <v>6.894071108909532</v>
      </c>
      <c r="BG281" t="n">
        <v>9.034437118628045</v>
      </c>
      <c r="BH281" t="n">
        <v>11.56847778271137</v>
      </c>
      <c r="BI281" t="n">
        <v>14.73419446002076</v>
      </c>
      <c r="BJ281" t="n">
        <v>19.05450905455479</v>
      </c>
      <c r="BK281" t="n">
        <v>26.16906587605424</v>
      </c>
      <c r="BL281" t="n">
        <v>69.25617758081518</v>
      </c>
      <c r="BM281" t="inlineStr"/>
      <c r="BN281" t="n">
        <v>13</v>
      </c>
      <c r="BO281" t="n">
        <v>125</v>
      </c>
      <c r="BP281" t="n">
        <v>264</v>
      </c>
      <c r="BQ281" t="n">
        <v>353</v>
      </c>
      <c r="BR281" t="n">
        <v>826</v>
      </c>
      <c r="BS28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2">
      <c r="A282" t="inlineStr">
        <is>
          <t>FRAG</t>
        </is>
      </c>
      <c r="B282" t="inlineStr">
        <is>
          <t>Fragmentación Desmonte 2025.xlsx</t>
        </is>
      </c>
      <c r="C282" t="inlineStr">
        <is>
          <t>ANÁLISIS DE FRAGMENTACIÓN</t>
        </is>
      </c>
      <c r="D282" t="n">
        <v>286</v>
      </c>
      <c r="E282" t="inlineStr">
        <is>
          <t>ROM (fragmentación post-voladura en el frente de carguío, por análisis de fotos)</t>
        </is>
      </c>
      <c r="F282" t="inlineStr"/>
      <c r="G282" t="inlineStr">
        <is>
          <t>no indicada en el archivo</t>
        </is>
      </c>
      <c r="H282" t="inlineStr">
        <is>
          <t>2025-07-12</t>
        </is>
      </c>
      <c r="I282" t="inlineStr">
        <is>
          <t>2025-07-21</t>
        </is>
      </c>
      <c r="J282" t="inlineStr">
        <is>
          <t>PALA 07</t>
        </is>
      </c>
      <c r="K282" t="n">
        <v>9</v>
      </c>
      <c r="L282" t="inlineStr">
        <is>
          <t>9-NP-3908-20</t>
        </is>
      </c>
      <c r="M282" t="n">
        <v>2</v>
      </c>
      <c r="N282" t="n">
        <v>3908</v>
      </c>
      <c r="O282" t="inlineStr">
        <is>
          <t>C</t>
        </is>
      </c>
      <c r="P282" t="n">
        <v>30</v>
      </c>
      <c r="Q282" t="inlineStr">
        <is>
          <t>Desmonte</t>
        </is>
      </c>
      <c r="R282" t="inlineStr">
        <is>
          <t>Producción</t>
        </is>
      </c>
      <c r="S282" t="n">
        <v>3</v>
      </c>
      <c r="T282" t="n">
        <v>7.2</v>
      </c>
      <c r="U282" t="n">
        <v>4</v>
      </c>
      <c r="V282" t="n">
        <v>1.190148436564083</v>
      </c>
      <c r="W282" t="n">
        <v>0.091</v>
      </c>
      <c r="X282" t="n">
        <v>0.166</v>
      </c>
      <c r="Y282" t="n">
        <v>1.1</v>
      </c>
      <c r="Z282" t="n">
        <v>2.4</v>
      </c>
      <c r="AA282" t="n">
        <v>3.9</v>
      </c>
      <c r="AB282" t="n">
        <v>5.5</v>
      </c>
      <c r="AC282" t="n">
        <v>7.3</v>
      </c>
      <c r="AD282" t="n">
        <v>9.4</v>
      </c>
      <c r="AE282" t="n">
        <v>12.1</v>
      </c>
      <c r="AF282" t="n">
        <v>16</v>
      </c>
      <c r="AG282" t="n">
        <v>22.6</v>
      </c>
      <c r="AH282" t="n">
        <v>106.9</v>
      </c>
      <c r="AI282" t="inlineStr"/>
      <c r="AJ282" t="n">
        <v>910853.2125</v>
      </c>
      <c r="AK282" t="n">
        <v>261793</v>
      </c>
      <c r="AL282" t="n">
        <v>0.2874151360584898</v>
      </c>
      <c r="AM282" t="inlineStr">
        <is>
          <t>0.8881127704207333</t>
        </is>
      </c>
      <c r="AN282" t="inlineStr">
        <is>
          <t>17</t>
        </is>
      </c>
      <c r="AO282" t="inlineStr">
        <is>
          <t>7</t>
        </is>
      </c>
      <c r="AP282" t="inlineStr">
        <is>
          <t>12 1/4</t>
        </is>
      </c>
      <c r="AQ282" t="inlineStr">
        <is>
          <t>8.5</t>
        </is>
      </c>
      <c r="AR282" t="inlineStr">
        <is>
          <t>9.8</t>
        </is>
      </c>
      <c r="AS282" t="inlineStr">
        <is>
          <t>2</t>
        </is>
      </c>
      <c r="AT282" t="n">
        <v>296</v>
      </c>
      <c r="AU282" t="inlineStr">
        <is>
          <t>Vertex 70</t>
        </is>
      </c>
      <c r="AV282" t="inlineStr">
        <is>
          <t>49AR/51D2</t>
        </is>
      </c>
      <c r="AW282" t="n">
        <v>0.6360861675662974</v>
      </c>
      <c r="AX282" t="n">
        <v>0.678289526120176</v>
      </c>
      <c r="AY282" t="n">
        <v>0.7198415069915298</v>
      </c>
      <c r="AZ282" t="n">
        <v>0.7601066065916758</v>
      </c>
      <c r="BA282" t="n">
        <v>0.7828035784252155</v>
      </c>
      <c r="BB282" t="n">
        <v>2.834645669291338</v>
      </c>
      <c r="BC282" t="n">
        <v>1.086815543665409</v>
      </c>
      <c r="BD282" t="n">
        <v>2.041703402689984</v>
      </c>
      <c r="BE282" t="n">
        <v>3.027874778759492</v>
      </c>
      <c r="BF282" t="n">
        <v>4.094624288177362</v>
      </c>
      <c r="BG282" t="n">
        <v>5.291625033818463</v>
      </c>
      <c r="BH282" t="n">
        <v>6.690085690223354</v>
      </c>
      <c r="BI282" t="n">
        <v>8.415291301009528</v>
      </c>
      <c r="BJ282" t="n">
        <v>10.73956415807693</v>
      </c>
      <c r="BK282" t="n">
        <v>14.51033587020418</v>
      </c>
      <c r="BL282" t="n">
        <v>36.52327304710734</v>
      </c>
      <c r="BM282" t="inlineStr"/>
      <c r="BN282" t="n">
        <v>11</v>
      </c>
      <c r="BO282" t="n">
        <v>73</v>
      </c>
      <c r="BP282" t="n">
        <v>160</v>
      </c>
      <c r="BQ282" t="n">
        <v>226</v>
      </c>
      <c r="BR282" t="n">
        <v>1069</v>
      </c>
      <c r="BS28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3">
      <c r="A283" t="inlineStr">
        <is>
          <t>FRAG</t>
        </is>
      </c>
      <c r="B283" t="inlineStr">
        <is>
          <t>Fragmentación Desmonte 2025.xlsx</t>
        </is>
      </c>
      <c r="C283" t="inlineStr">
        <is>
          <t>ANÁLISIS DE FRAGMENTACIÓN</t>
        </is>
      </c>
      <c r="D283" t="n">
        <v>287</v>
      </c>
      <c r="E283" t="inlineStr">
        <is>
          <t>ROM (fragmentación post-voladura en el frente de carguío, por análisis de fotos)</t>
        </is>
      </c>
      <c r="F283" t="inlineStr"/>
      <c r="G283" t="inlineStr">
        <is>
          <t>no indicada en el archivo</t>
        </is>
      </c>
      <c r="H283" t="inlineStr">
        <is>
          <t>2025-07-15</t>
        </is>
      </c>
      <c r="I283" t="inlineStr">
        <is>
          <t>2025-07-21</t>
        </is>
      </c>
      <c r="J283" t="inlineStr">
        <is>
          <t>PALA 09</t>
        </is>
      </c>
      <c r="K283" t="n">
        <v>9</v>
      </c>
      <c r="L283" t="inlineStr">
        <is>
          <t>9-NP-3908-23</t>
        </is>
      </c>
      <c r="M283" t="n">
        <v>3</v>
      </c>
      <c r="N283" t="n">
        <v>3908</v>
      </c>
      <c r="O283" t="inlineStr">
        <is>
          <t>B</t>
        </is>
      </c>
      <c r="P283" t="n">
        <v>30</v>
      </c>
      <c r="Q283" t="inlineStr">
        <is>
          <t>Desmonte</t>
        </is>
      </c>
      <c r="R283" t="inlineStr">
        <is>
          <t>Producción</t>
        </is>
      </c>
      <c r="S283" t="n">
        <v>3</v>
      </c>
      <c r="T283" t="n">
        <v>15.5</v>
      </c>
      <c r="U283" t="n">
        <v>3</v>
      </c>
      <c r="V283" t="n">
        <v>1.000449133693779</v>
      </c>
      <c r="W283" t="n">
        <v>0.077</v>
      </c>
      <c r="X283" t="n">
        <v>0.119</v>
      </c>
      <c r="Y283" t="n">
        <v>1.5</v>
      </c>
      <c r="Z283" t="n">
        <v>4.2</v>
      </c>
      <c r="AA283" t="n">
        <v>7.5</v>
      </c>
      <c r="AB283" t="n">
        <v>11.2</v>
      </c>
      <c r="AC283" t="n">
        <v>15.5</v>
      </c>
      <c r="AD283" t="n">
        <v>20.5</v>
      </c>
      <c r="AE283" t="n">
        <v>26.8</v>
      </c>
      <c r="AF283" t="n">
        <v>35.3</v>
      </c>
      <c r="AG283" t="n">
        <v>49.3</v>
      </c>
      <c r="AH283" t="n">
        <v>145.5</v>
      </c>
      <c r="AI283" t="inlineStr"/>
      <c r="AJ283" t="n">
        <v>1033516.6875</v>
      </c>
      <c r="AK283" t="n">
        <v>174835</v>
      </c>
      <c r="AL283" t="n">
        <v>0.1691651447088995</v>
      </c>
      <c r="AM283" t="inlineStr">
        <is>
          <t>0.5227202971504996</t>
        </is>
      </c>
      <c r="AN283" t="inlineStr">
        <is>
          <t>16.5</t>
        </is>
      </c>
      <c r="AO283" t="inlineStr">
        <is>
          <t>6.5</t>
        </is>
      </c>
      <c r="AP283" t="inlineStr">
        <is>
          <t>12 1/4</t>
        </is>
      </c>
      <c r="AQ283" t="inlineStr">
        <is>
          <t>6</t>
        </is>
      </c>
      <c r="AR283" t="inlineStr">
        <is>
          <t>7</t>
        </is>
      </c>
      <c r="AS283" t="inlineStr">
        <is>
          <t>1.5</t>
        </is>
      </c>
      <c r="AT283" t="n">
        <v>180</v>
      </c>
      <c r="AU283" t="inlineStr">
        <is>
          <t>Vertex 70</t>
        </is>
      </c>
      <c r="AV283" t="inlineStr">
        <is>
          <t>50AR/50D2</t>
        </is>
      </c>
      <c r="AW283" t="n">
        <v>0.6425630875173713</v>
      </c>
      <c r="AX283" t="n">
        <v>0.6728230834999746</v>
      </c>
      <c r="AY283" t="n">
        <v>0.7027904453051056</v>
      </c>
      <c r="AZ283" t="n">
        <v>0.7322338183685257</v>
      </c>
      <c r="BA283" t="n">
        <v>0.7491189974873094</v>
      </c>
      <c r="BB283" t="n">
        <v>6.102362204724409</v>
      </c>
      <c r="BC283" t="n">
        <v>1.634738673184843</v>
      </c>
      <c r="BD283" t="n">
        <v>3.461054835360707</v>
      </c>
      <c r="BE283" t="n">
        <v>5.531020893283419</v>
      </c>
      <c r="BF283" t="n">
        <v>7.920185217632451</v>
      </c>
      <c r="BG283" t="n">
        <v>10.74554921946781</v>
      </c>
      <c r="BH283" t="n">
        <v>14.20306375147397</v>
      </c>
      <c r="BI283" t="n">
        <v>18.66002339152853</v>
      </c>
      <c r="BJ283" t="n">
        <v>24.9409586862771</v>
      </c>
      <c r="BK283" t="n">
        <v>35.67670822781374</v>
      </c>
      <c r="BL283" t="n">
        <v>106.9773501970788</v>
      </c>
      <c r="BM283" t="inlineStr"/>
      <c r="BN283" t="n">
        <v>15</v>
      </c>
      <c r="BO283" t="n">
        <v>155</v>
      </c>
      <c r="BP283" t="n">
        <v>353</v>
      </c>
      <c r="BQ283" t="n">
        <v>493</v>
      </c>
      <c r="BR283" t="n">
        <v>1455</v>
      </c>
      <c r="BS28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4">
      <c r="A284" t="inlineStr">
        <is>
          <t>FRAG</t>
        </is>
      </c>
      <c r="B284" t="inlineStr">
        <is>
          <t>Fragmentación Desmonte 2025.xlsx</t>
        </is>
      </c>
      <c r="C284" t="inlineStr">
        <is>
          <t>ANÁLISIS DE FRAGMENTACIÓN</t>
        </is>
      </c>
      <c r="D284" t="n">
        <v>288</v>
      </c>
      <c r="E284" t="inlineStr">
        <is>
          <t>ROM (fragmentación post-voladura en el frente de carguío, por análisis de fotos)</t>
        </is>
      </c>
      <c r="F284" t="inlineStr"/>
      <c r="G284" t="inlineStr">
        <is>
          <t>no indicada en el archivo</t>
        </is>
      </c>
      <c r="H284" t="inlineStr">
        <is>
          <t>2025-07-16</t>
        </is>
      </c>
      <c r="I284" t="inlineStr">
        <is>
          <t>2025-07-21</t>
        </is>
      </c>
      <c r="J284" t="inlineStr">
        <is>
          <t>PALA 10</t>
        </is>
      </c>
      <c r="K284" t="n">
        <v>9</v>
      </c>
      <c r="L284" t="inlineStr">
        <is>
          <t>9-NP-3908-24</t>
        </is>
      </c>
      <c r="M284" t="n">
        <v>4</v>
      </c>
      <c r="N284" t="n">
        <v>3908</v>
      </c>
      <c r="O284" t="inlineStr">
        <is>
          <t>A</t>
        </is>
      </c>
      <c r="P284" t="n">
        <v>30</v>
      </c>
      <c r="Q284" t="inlineStr">
        <is>
          <t>Desmonte</t>
        </is>
      </c>
      <c r="R284" t="inlineStr">
        <is>
          <t>Producción</t>
        </is>
      </c>
      <c r="S284" t="n">
        <v>4</v>
      </c>
      <c r="T284" t="n">
        <v>12.1</v>
      </c>
      <c r="U284" t="n">
        <v>3</v>
      </c>
      <c r="V284" t="n">
        <v>1.039073088444222</v>
      </c>
      <c r="W284" t="n">
        <v>0.113</v>
      </c>
      <c r="X284" t="n">
        <v>0.166</v>
      </c>
      <c r="Y284" t="n">
        <v>0.7</v>
      </c>
      <c r="Z284" t="n">
        <v>2.7</v>
      </c>
      <c r="AA284" t="n">
        <v>5.3</v>
      </c>
      <c r="AB284" t="n">
        <v>8.4</v>
      </c>
      <c r="AC284" t="n">
        <v>12.1</v>
      </c>
      <c r="AD284" t="n">
        <v>16.5</v>
      </c>
      <c r="AE284" t="n">
        <v>21.9</v>
      </c>
      <c r="AF284" t="n">
        <v>29.2</v>
      </c>
      <c r="AG284" t="n">
        <v>40.8</v>
      </c>
      <c r="AH284" t="n">
        <v>100.6</v>
      </c>
      <c r="AI284" t="inlineStr"/>
      <c r="AJ284" t="n">
        <v>356730</v>
      </c>
      <c r="AK284" t="n">
        <v>136889.5</v>
      </c>
      <c r="AL284" t="n">
        <v>0.3837341967314215</v>
      </c>
      <c r="AM284" t="inlineStr">
        <is>
          <t>1.1857386679000925</t>
        </is>
      </c>
      <c r="AN284" t="inlineStr">
        <is>
          <t>16.5</t>
        </is>
      </c>
      <c r="AO284" t="inlineStr">
        <is>
          <t>6</t>
        </is>
      </c>
      <c r="AP284" t="inlineStr">
        <is>
          <t>12 1/4</t>
        </is>
      </c>
      <c r="AQ284" t="inlineStr">
        <is>
          <t>6</t>
        </is>
      </c>
      <c r="AR284" t="inlineStr">
        <is>
          <t>7</t>
        </is>
      </c>
      <c r="AS284" t="inlineStr">
        <is>
          <t>1.5</t>
        </is>
      </c>
      <c r="AT284" t="n">
        <v>157</v>
      </c>
      <c r="AU284" t="inlineStr">
        <is>
          <t>Vertex 70</t>
        </is>
      </c>
      <c r="AV284" t="inlineStr">
        <is>
          <t>50AR/50D2</t>
        </is>
      </c>
      <c r="AW284" t="n">
        <v>0.6443738760648388</v>
      </c>
      <c r="AX284" t="n">
        <v>0.6864980402830501</v>
      </c>
      <c r="AY284" t="n">
        <v>0.7278489313934051</v>
      </c>
      <c r="AZ284" t="n">
        <v>0.7677857786095517</v>
      </c>
      <c r="BA284" t="n">
        <v>0.7902319019047155</v>
      </c>
      <c r="BB284" t="n">
        <v>4.763779527559055</v>
      </c>
      <c r="BC284" t="n">
        <v>1.38744020542785</v>
      </c>
      <c r="BD284" t="n">
        <v>2.856705098798435</v>
      </c>
      <c r="BE284" t="n">
        <v>4.486361034678096</v>
      </c>
      <c r="BF284" t="n">
        <v>6.339107227622669</v>
      </c>
      <c r="BG284" t="n">
        <v>8.503474185587814</v>
      </c>
      <c r="BH284" t="n">
        <v>11.12362542846715</v>
      </c>
      <c r="BI284" t="n">
        <v>14.46673594725774</v>
      </c>
      <c r="BJ284" t="n">
        <v>19.12880601970073</v>
      </c>
      <c r="BK284" t="n">
        <v>27.00103274627965</v>
      </c>
      <c r="BL284" t="n">
        <v>77.72488028060393</v>
      </c>
      <c r="BM284" t="inlineStr"/>
      <c r="BN284" t="n">
        <v>7</v>
      </c>
      <c r="BO284" t="n">
        <v>121</v>
      </c>
      <c r="BP284" t="n">
        <v>292</v>
      </c>
      <c r="BQ284" t="n">
        <v>408</v>
      </c>
      <c r="BR284" t="n">
        <v>1006</v>
      </c>
      <c r="BS28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5">
      <c r="A285" t="inlineStr">
        <is>
          <t>FRAG</t>
        </is>
      </c>
      <c r="B285" t="inlineStr">
        <is>
          <t>Fragmentación Desmonte 2025.xlsx</t>
        </is>
      </c>
      <c r="C285" t="inlineStr">
        <is>
          <t>ANÁLISIS DE FRAGMENTACIÓN</t>
        </is>
      </c>
      <c r="D285" t="n">
        <v>289</v>
      </c>
      <c r="E285" t="inlineStr">
        <is>
          <t>ROM (fragmentación post-voladura en el frente de carguío, por análisis de fotos)</t>
        </is>
      </c>
      <c r="F285" t="inlineStr"/>
      <c r="G285" t="inlineStr">
        <is>
          <t>no indicada en el archivo</t>
        </is>
      </c>
      <c r="H285" t="inlineStr">
        <is>
          <t>2025-07-16</t>
        </is>
      </c>
      <c r="I285" t="inlineStr">
        <is>
          <t>2025-07-22</t>
        </is>
      </c>
      <c r="J285" t="inlineStr">
        <is>
          <t>PALA 10</t>
        </is>
      </c>
      <c r="K285" t="n">
        <v>9</v>
      </c>
      <c r="L285" t="inlineStr">
        <is>
          <t>9-NP-3908-24</t>
        </is>
      </c>
      <c r="M285" t="n">
        <v>4</v>
      </c>
      <c r="N285" t="n">
        <v>3908</v>
      </c>
      <c r="O285" t="inlineStr">
        <is>
          <t>A</t>
        </is>
      </c>
      <c r="P285" t="n">
        <v>30</v>
      </c>
      <c r="Q285" t="inlineStr">
        <is>
          <t>Desmonte</t>
        </is>
      </c>
      <c r="R285" t="inlineStr">
        <is>
          <t>Producción</t>
        </is>
      </c>
      <c r="S285" t="n">
        <v>4</v>
      </c>
      <c r="T285" t="n">
        <v>17.1</v>
      </c>
      <c r="U285" t="n">
        <v>4</v>
      </c>
      <c r="V285" t="n">
        <v>1.170038645384549</v>
      </c>
      <c r="W285" t="n">
        <v>0.065</v>
      </c>
      <c r="X285" t="n">
        <v>0.105</v>
      </c>
      <c r="Y285" t="n">
        <v>1.8</v>
      </c>
      <c r="Z285" t="n">
        <v>4.8</v>
      </c>
      <c r="AA285" t="n">
        <v>8.4</v>
      </c>
      <c r="AB285" t="n">
        <v>12.4</v>
      </c>
      <c r="AC285" t="n">
        <v>17.1</v>
      </c>
      <c r="AD285" t="n">
        <v>22.9</v>
      </c>
      <c r="AE285" t="n">
        <v>30.3</v>
      </c>
      <c r="AF285" t="n">
        <v>40.9</v>
      </c>
      <c r="AG285" t="n">
        <v>59.6</v>
      </c>
      <c r="AH285" t="n">
        <v>270.9</v>
      </c>
      <c r="AI285" t="inlineStr"/>
      <c r="AJ285" t="n">
        <v>356730</v>
      </c>
      <c r="AK285" t="n">
        <v>136889.5</v>
      </c>
      <c r="AL285" t="n">
        <v>0.3837341967314215</v>
      </c>
      <c r="AM285" t="inlineStr">
        <is>
          <t>1.1857386679000925</t>
        </is>
      </c>
      <c r="AN285" t="inlineStr">
        <is>
          <t>16.5</t>
        </is>
      </c>
      <c r="AO285" t="inlineStr">
        <is>
          <t>6</t>
        </is>
      </c>
      <c r="AP285" t="inlineStr">
        <is>
          <t>12 1/4</t>
        </is>
      </c>
      <c r="AQ285" t="inlineStr">
        <is>
          <t>6</t>
        </is>
      </c>
      <c r="AR285" t="inlineStr">
        <is>
          <t>7</t>
        </is>
      </c>
      <c r="AS285" t="inlineStr">
        <is>
          <t>1.5</t>
        </is>
      </c>
      <c r="AT285" t="n">
        <v>157</v>
      </c>
      <c r="AU285" t="inlineStr">
        <is>
          <t>Vertex 70</t>
        </is>
      </c>
      <c r="AV285" t="inlineStr">
        <is>
          <t>50AR/50D2</t>
        </is>
      </c>
      <c r="AW285" t="n">
        <v>0.6352871937910631</v>
      </c>
      <c r="AX285" t="n">
        <v>0.6620279610670855</v>
      </c>
      <c r="AY285" t="n">
        <v>0.6886033667313537</v>
      </c>
      <c r="AZ285" t="n">
        <v>0.7148574983573923</v>
      </c>
      <c r="BA285" t="n">
        <v>0.7300017744588221</v>
      </c>
      <c r="BB285" t="n">
        <v>6.73228346456693</v>
      </c>
      <c r="BC285" t="n">
        <v>2.498651317819037</v>
      </c>
      <c r="BD285" t="n">
        <v>4.74513943926495</v>
      </c>
      <c r="BE285" t="n">
        <v>7.0849331974104</v>
      </c>
      <c r="BF285" t="n">
        <v>9.630852931381366</v>
      </c>
      <c r="BG285" t="n">
        <v>12.50126580654154</v>
      </c>
      <c r="BH285" t="n">
        <v>15.86890667014586</v>
      </c>
      <c r="BI285" t="n">
        <v>20.03996586179433</v>
      </c>
      <c r="BJ285" t="n">
        <v>25.68235914191714</v>
      </c>
      <c r="BK285" t="n">
        <v>34.87963597665176</v>
      </c>
      <c r="BL285" t="n">
        <v>89.19785665560309</v>
      </c>
      <c r="BM285" t="inlineStr"/>
      <c r="BN285" t="n">
        <v>18</v>
      </c>
      <c r="BO285" t="n">
        <v>171</v>
      </c>
      <c r="BP285" t="n">
        <v>409</v>
      </c>
      <c r="BQ285" t="n">
        <v>596</v>
      </c>
      <c r="BR285" t="n">
        <v>2709</v>
      </c>
      <c r="BS28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6">
      <c r="A286" t="inlineStr">
        <is>
          <t>FRAG</t>
        </is>
      </c>
      <c r="B286" t="inlineStr">
        <is>
          <t>Fragmentación Desmonte 2025.xlsx</t>
        </is>
      </c>
      <c r="C286" t="inlineStr">
        <is>
          <t>ANÁLISIS DE FRAGMENTACIÓN</t>
        </is>
      </c>
      <c r="D286" t="n">
        <v>290</v>
      </c>
      <c r="E286" t="inlineStr">
        <is>
          <t>ROM (fragmentación post-voladura en el frente de carguío, por análisis de fotos)</t>
        </is>
      </c>
      <c r="F286" t="inlineStr"/>
      <c r="G286" t="inlineStr">
        <is>
          <t>no indicada en el archivo</t>
        </is>
      </c>
      <c r="H286" t="inlineStr">
        <is>
          <t>2025-07-15</t>
        </is>
      </c>
      <c r="I286" t="inlineStr">
        <is>
          <t>2025-07-22</t>
        </is>
      </c>
      <c r="J286" t="inlineStr">
        <is>
          <t>PALA 09</t>
        </is>
      </c>
      <c r="K286" t="n">
        <v>9</v>
      </c>
      <c r="L286" t="inlineStr">
        <is>
          <t>9-NP-3908-23</t>
        </is>
      </c>
      <c r="M286" t="n">
        <v>3</v>
      </c>
      <c r="N286" t="n">
        <v>3908</v>
      </c>
      <c r="O286" t="inlineStr">
        <is>
          <t>B</t>
        </is>
      </c>
      <c r="P286" t="n">
        <v>30</v>
      </c>
      <c r="Q286" t="inlineStr">
        <is>
          <t>Desmonte</t>
        </is>
      </c>
      <c r="R286" t="inlineStr">
        <is>
          <t>Producción</t>
        </is>
      </c>
      <c r="S286" t="n">
        <v>5</v>
      </c>
      <c r="T286" t="n">
        <v>10.9</v>
      </c>
      <c r="U286" t="n">
        <v>3</v>
      </c>
      <c r="V286" t="n">
        <v>0.9274351217781092</v>
      </c>
      <c r="W286" t="n">
        <v>0.098</v>
      </c>
      <c r="X286" t="n">
        <v>0.155</v>
      </c>
      <c r="Y286" t="n">
        <v>1</v>
      </c>
      <c r="Z286" t="n">
        <v>2.8</v>
      </c>
      <c r="AA286" t="n">
        <v>5.1</v>
      </c>
      <c r="AB286" t="n">
        <v>7.8</v>
      </c>
      <c r="AC286" t="n">
        <v>11</v>
      </c>
      <c r="AD286" t="n">
        <v>14.8</v>
      </c>
      <c r="AE286" t="n">
        <v>19.6</v>
      </c>
      <c r="AF286" t="n">
        <v>26.5</v>
      </c>
      <c r="AG286" t="n">
        <v>38.1</v>
      </c>
      <c r="AH286" t="n">
        <v>136.7</v>
      </c>
      <c r="AI286" t="inlineStr"/>
      <c r="AJ286" t="n">
        <v>1033516.6875</v>
      </c>
      <c r="AK286" t="n">
        <v>174835</v>
      </c>
      <c r="AL286" t="n">
        <v>0.1691651447088995</v>
      </c>
      <c r="AM286" t="inlineStr">
        <is>
          <t>0.5227202971504996</t>
        </is>
      </c>
      <c r="AN286" t="inlineStr">
        <is>
          <t>16.5</t>
        </is>
      </c>
      <c r="AO286" t="inlineStr">
        <is>
          <t>6.5</t>
        </is>
      </c>
      <c r="AP286" t="inlineStr">
        <is>
          <t>12 1/4</t>
        </is>
      </c>
      <c r="AQ286" t="inlineStr">
        <is>
          <t>6</t>
        </is>
      </c>
      <c r="AR286" t="inlineStr">
        <is>
          <t>7</t>
        </is>
      </c>
      <c r="AS286" t="inlineStr">
        <is>
          <t>1.5</t>
        </is>
      </c>
      <c r="AT286" t="n">
        <v>180</v>
      </c>
      <c r="AU286" t="inlineStr">
        <is>
          <t>Vertex 70</t>
        </is>
      </c>
      <c r="AV286" t="inlineStr">
        <is>
          <t>50AR/50D2</t>
        </is>
      </c>
      <c r="AW286" t="n">
        <v>0.6500379939395512</v>
      </c>
      <c r="AX286" t="n">
        <v>0.6893273587842831</v>
      </c>
      <c r="AY286" t="n">
        <v>0.7279058557436803</v>
      </c>
      <c r="AZ286" t="n">
        <v>0.7652507941088096</v>
      </c>
      <c r="BA286" t="n">
        <v>0.7863125590991022</v>
      </c>
      <c r="BB286" t="n">
        <v>4.291338582677166</v>
      </c>
      <c r="BC286" t="n">
        <v>0.963022030668642</v>
      </c>
      <c r="BD286" t="n">
        <v>2.162929797390354</v>
      </c>
      <c r="BE286" t="n">
        <v>3.586474698712097</v>
      </c>
      <c r="BF286" t="n">
        <v>5.28291575753421</v>
      </c>
      <c r="BG286" t="n">
        <v>7.341718676685711</v>
      </c>
      <c r="BH286" t="n">
        <v>9.919486260977198</v>
      </c>
      <c r="BI286" t="n">
        <v>13.31529609771478</v>
      </c>
      <c r="BJ286" t="n">
        <v>18.20838558919414</v>
      </c>
      <c r="BK286" t="n">
        <v>26.79062599943918</v>
      </c>
      <c r="BL286" t="n">
        <v>87.58612133582888</v>
      </c>
      <c r="BM286" t="inlineStr"/>
      <c r="BN286" t="n">
        <v>10</v>
      </c>
      <c r="BO286" t="n">
        <v>110</v>
      </c>
      <c r="BP286" t="n">
        <v>265</v>
      </c>
      <c r="BQ286" t="n">
        <v>381</v>
      </c>
      <c r="BR286" t="n">
        <v>1367</v>
      </c>
      <c r="BS28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7">
      <c r="A287" t="inlineStr">
        <is>
          <t>FRAG</t>
        </is>
      </c>
      <c r="B287" t="inlineStr">
        <is>
          <t>Fragmentación Desmonte 2025.xlsx</t>
        </is>
      </c>
      <c r="C287" t="inlineStr">
        <is>
          <t>ANÁLISIS DE FRAGMENTACIÓN</t>
        </is>
      </c>
      <c r="D287" t="n">
        <v>291</v>
      </c>
      <c r="E287" t="inlineStr">
        <is>
          <t>ROM (fragmentación post-voladura en el frente de carguío, por análisis de fotos)</t>
        </is>
      </c>
      <c r="F287" t="inlineStr"/>
      <c r="G287" t="inlineStr">
        <is>
          <t>no indicada en el archivo</t>
        </is>
      </c>
      <c r="H287" t="inlineStr">
        <is>
          <t>2025-07-20</t>
        </is>
      </c>
      <c r="I287" t="inlineStr">
        <is>
          <t>2025-07-22</t>
        </is>
      </c>
      <c r="J287" t="inlineStr">
        <is>
          <t>PALA 07</t>
        </is>
      </c>
      <c r="K287" t="n">
        <v>9</v>
      </c>
      <c r="L287" t="inlineStr">
        <is>
          <t>9-NP-3908-26</t>
        </is>
      </c>
      <c r="M287" t="n">
        <v>1</v>
      </c>
      <c r="N287" t="n">
        <v>3908</v>
      </c>
      <c r="O287" t="inlineStr">
        <is>
          <t>C</t>
        </is>
      </c>
      <c r="P287" t="n">
        <v>30</v>
      </c>
      <c r="Q287" t="inlineStr">
        <is>
          <t>Desmonte</t>
        </is>
      </c>
      <c r="R287" t="inlineStr">
        <is>
          <t>TRIM</t>
        </is>
      </c>
      <c r="S287" t="n">
        <v>2</v>
      </c>
      <c r="T287" t="n">
        <v>17.2</v>
      </c>
      <c r="U287" t="n">
        <v>3</v>
      </c>
      <c r="V287" t="n">
        <v>1.060920711934636</v>
      </c>
      <c r="W287" t="n">
        <v>0.09</v>
      </c>
      <c r="X287" t="n">
        <v>0.131</v>
      </c>
      <c r="Y287" t="n">
        <v>1.2</v>
      </c>
      <c r="Z287" t="n">
        <v>4.1</v>
      </c>
      <c r="AA287" t="n">
        <v>7.8</v>
      </c>
      <c r="AB287" t="n">
        <v>12.2</v>
      </c>
      <c r="AC287" t="n">
        <v>17.2</v>
      </c>
      <c r="AD287" t="n">
        <v>23.2</v>
      </c>
      <c r="AE287" t="n">
        <v>30.5</v>
      </c>
      <c r="AF287" t="n">
        <v>40.2</v>
      </c>
      <c r="AG287" t="n">
        <v>55.6</v>
      </c>
      <c r="AH287" t="n">
        <v>134.4</v>
      </c>
      <c r="AI287" t="inlineStr"/>
      <c r="AJ287" t="n">
        <v>181005</v>
      </c>
      <c r="AK287" t="n">
        <v>63296</v>
      </c>
      <c r="AL287" t="n">
        <v>0.3496919974586337</v>
      </c>
      <c r="AM287" t="inlineStr">
        <is>
          <t>-</t>
        </is>
      </c>
      <c r="AN287" t="inlineStr">
        <is>
          <t xml:space="preserve"> - </t>
        </is>
      </c>
      <c r="AO287" t="inlineStr">
        <is>
          <t xml:space="preserve"> - </t>
        </is>
      </c>
      <c r="AP287" t="inlineStr">
        <is>
          <t>9 7/8</t>
        </is>
      </c>
      <c r="AQ287" t="inlineStr">
        <is>
          <t xml:space="preserve"> - </t>
        </is>
      </c>
      <c r="AR287" t="inlineStr">
        <is>
          <t xml:space="preserve"> - </t>
        </is>
      </c>
      <c r="AS287" t="inlineStr">
        <is>
          <t xml:space="preserve"> - </t>
        </is>
      </c>
      <c r="AT287" t="n">
        <v>160</v>
      </c>
      <c r="AU287" t="inlineStr">
        <is>
          <t>Emulgex 70</t>
        </is>
      </c>
      <c r="AV287" t="inlineStr">
        <is>
          <t>47AR/53D2</t>
        </is>
      </c>
      <c r="AW287" t="n">
        <v>0.6407885551153971</v>
      </c>
      <c r="AX287" t="n">
        <v>0.6740994451124454</v>
      </c>
      <c r="AY287" t="n">
        <v>0.7070438391754965</v>
      </c>
      <c r="AZ287" t="n">
        <v>0.7393120789266387</v>
      </c>
      <c r="BA287" t="n">
        <v>0.7577469799305591</v>
      </c>
      <c r="BB287" t="n">
        <v>6.771653543307086</v>
      </c>
      <c r="BC287" t="n">
        <v>2.062180170059873</v>
      </c>
      <c r="BD287" t="n">
        <v>4.183296993833783</v>
      </c>
      <c r="BE287" t="n">
        <v>6.5089460499749</v>
      </c>
      <c r="BF287" t="n">
        <v>9.131725143920034</v>
      </c>
      <c r="BG287" t="n">
        <v>12.17570470707586</v>
      </c>
      <c r="BH287" t="n">
        <v>15.83951514848087</v>
      </c>
      <c r="BI287" t="n">
        <v>20.48877123531868</v>
      </c>
      <c r="BJ287" t="n">
        <v>26.93611298526727</v>
      </c>
      <c r="BK287" t="n">
        <v>37.75242103406445</v>
      </c>
      <c r="BL287" t="n">
        <v>106.33312335867</v>
      </c>
      <c r="BM287" t="inlineStr"/>
      <c r="BN287" t="n">
        <v>12</v>
      </c>
      <c r="BO287" t="n">
        <v>172</v>
      </c>
      <c r="BP287" t="n">
        <v>402</v>
      </c>
      <c r="BQ287" t="n">
        <v>556</v>
      </c>
      <c r="BR287" t="n">
        <v>1344</v>
      </c>
      <c r="BS28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8">
      <c r="A288" t="inlineStr">
        <is>
          <t>FRAG</t>
        </is>
      </c>
      <c r="B288" t="inlineStr">
        <is>
          <t>Fragmentación Desmonte 2025.xlsx</t>
        </is>
      </c>
      <c r="C288" t="inlineStr">
        <is>
          <t>ANÁLISIS DE FRAGMENTACIÓN</t>
        </is>
      </c>
      <c r="D288" t="n">
        <v>292</v>
      </c>
      <c r="E288" t="inlineStr">
        <is>
          <t>ROM (fragmentación post-voladura en el frente de carguío, por análisis de fotos)</t>
        </is>
      </c>
      <c r="F288" t="inlineStr"/>
      <c r="G288" t="inlineStr">
        <is>
          <t>no indicada en el archivo</t>
        </is>
      </c>
      <c r="H288" t="inlineStr">
        <is>
          <t>2025-07-20</t>
        </is>
      </c>
      <c r="I288" t="inlineStr">
        <is>
          <t>2025-07-23</t>
        </is>
      </c>
      <c r="J288" t="inlineStr">
        <is>
          <t>PALA 07</t>
        </is>
      </c>
      <c r="K288" t="n">
        <v>9</v>
      </c>
      <c r="L288" t="inlineStr">
        <is>
          <t>9-NP-3908-26</t>
        </is>
      </c>
      <c r="M288" t="n">
        <v>1</v>
      </c>
      <c r="N288" t="n">
        <v>3908</v>
      </c>
      <c r="O288" t="inlineStr">
        <is>
          <t>C</t>
        </is>
      </c>
      <c r="P288" t="n">
        <v>30</v>
      </c>
      <c r="Q288" t="inlineStr">
        <is>
          <t>Desmonte</t>
        </is>
      </c>
      <c r="R288" t="inlineStr">
        <is>
          <t>TRIM</t>
        </is>
      </c>
      <c r="S288" t="n">
        <v>5</v>
      </c>
      <c r="T288" t="n">
        <v>17.6</v>
      </c>
      <c r="U288" t="n">
        <v>3</v>
      </c>
      <c r="V288" t="n">
        <v>1.011131296162157</v>
      </c>
      <c r="W288" t="n">
        <v>0.089</v>
      </c>
      <c r="X288" t="n">
        <v>0.13</v>
      </c>
      <c r="Y288" t="n">
        <v>1.2</v>
      </c>
      <c r="Z288" t="n">
        <v>4.1</v>
      </c>
      <c r="AA288" t="n">
        <v>7.9</v>
      </c>
      <c r="AB288" t="n">
        <v>12.4</v>
      </c>
      <c r="AC288" t="n">
        <v>17.6</v>
      </c>
      <c r="AD288" t="n">
        <v>23.9</v>
      </c>
      <c r="AE288" t="n">
        <v>31.8</v>
      </c>
      <c r="AF288" t="n">
        <v>42.4</v>
      </c>
      <c r="AG288" t="n">
        <v>59.7</v>
      </c>
      <c r="AH288" t="n">
        <v>159.5</v>
      </c>
      <c r="AI288" t="inlineStr"/>
      <c r="AJ288" t="n">
        <v>181005</v>
      </c>
      <c r="AK288" t="n">
        <v>63296</v>
      </c>
      <c r="AL288" t="n">
        <v>0.3496919974586337</v>
      </c>
      <c r="AM288" t="inlineStr">
        <is>
          <t>-</t>
        </is>
      </c>
      <c r="AN288" t="inlineStr">
        <is>
          <t xml:space="preserve"> - </t>
        </is>
      </c>
      <c r="AO288" t="inlineStr">
        <is>
          <t xml:space="preserve"> - </t>
        </is>
      </c>
      <c r="AP288" t="inlineStr">
        <is>
          <t>9 7/8</t>
        </is>
      </c>
      <c r="AQ288" t="inlineStr">
        <is>
          <t xml:space="preserve"> - </t>
        </is>
      </c>
      <c r="AR288" t="inlineStr">
        <is>
          <t xml:space="preserve"> - </t>
        </is>
      </c>
      <c r="AS288" t="inlineStr">
        <is>
          <t xml:space="preserve"> - </t>
        </is>
      </c>
      <c r="AT288" t="n">
        <v>160</v>
      </c>
      <c r="AU288" t="inlineStr">
        <is>
          <t>Emulgex 70</t>
        </is>
      </c>
      <c r="AV288" t="inlineStr">
        <is>
          <t>47AR/53D2</t>
        </is>
      </c>
      <c r="AW288" t="n">
        <v>0.6430203684788429</v>
      </c>
      <c r="AX288" t="n">
        <v>0.6760630186759526</v>
      </c>
      <c r="AY288" t="n">
        <v>0.7087271251168672</v>
      </c>
      <c r="AZ288" t="n">
        <v>0.7407093176737192</v>
      </c>
      <c r="BA288" t="n">
        <v>0.7589770030261114</v>
      </c>
      <c r="BB288" t="n">
        <v>6.929133858267717</v>
      </c>
      <c r="BC288" t="n">
        <v>1.900857910441115</v>
      </c>
      <c r="BD288" t="n">
        <v>3.992714743147737</v>
      </c>
      <c r="BE288" t="n">
        <v>6.349129576138612</v>
      </c>
      <c r="BF288" t="n">
        <v>9.057261280797896</v>
      </c>
      <c r="BG288" t="n">
        <v>12.24871253409721</v>
      </c>
      <c r="BH288" t="n">
        <v>16.1422447463617</v>
      </c>
      <c r="BI288" t="n">
        <v>21.14666355470699</v>
      </c>
      <c r="BJ288" t="n">
        <v>28.17809762784647</v>
      </c>
      <c r="BK288" t="n">
        <v>40.15510935239807</v>
      </c>
      <c r="BL288" t="n">
        <v>119.017152887273</v>
      </c>
      <c r="BM288" t="inlineStr"/>
      <c r="BN288" t="n">
        <v>12</v>
      </c>
      <c r="BO288" t="n">
        <v>176</v>
      </c>
      <c r="BP288" t="n">
        <v>424</v>
      </c>
      <c r="BQ288" t="n">
        <v>597</v>
      </c>
      <c r="BR288" t="n">
        <v>1595</v>
      </c>
      <c r="BS28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89">
      <c r="A289" t="inlineStr">
        <is>
          <t>FRAG</t>
        </is>
      </c>
      <c r="B289" t="inlineStr">
        <is>
          <t>Fragmentación Desmonte 2025.xlsx</t>
        </is>
      </c>
      <c r="C289" t="inlineStr">
        <is>
          <t>ANÁLISIS DE FRAGMENTACIÓN</t>
        </is>
      </c>
      <c r="D289" t="n">
        <v>293</v>
      </c>
      <c r="E289" t="inlineStr">
        <is>
          <t>ROM (fragmentación post-voladura en el frente de carguío, por análisis de fotos)</t>
        </is>
      </c>
      <c r="F289" t="inlineStr"/>
      <c r="G289" t="inlineStr">
        <is>
          <t>no indicada en el archivo</t>
        </is>
      </c>
      <c r="H289" t="inlineStr">
        <is>
          <t>2025-07-22</t>
        </is>
      </c>
      <c r="I289" t="inlineStr">
        <is>
          <t>2025-07-23</t>
        </is>
      </c>
      <c r="J289" t="inlineStr">
        <is>
          <t>PALA 12</t>
        </is>
      </c>
      <c r="K289" t="n">
        <v>9</v>
      </c>
      <c r="L289" t="inlineStr">
        <is>
          <t>9-NP-3893-04</t>
        </is>
      </c>
      <c r="M289" t="n">
        <v>4</v>
      </c>
      <c r="N289" t="n">
        <v>3893</v>
      </c>
      <c r="O289" t="inlineStr">
        <is>
          <t>B</t>
        </is>
      </c>
      <c r="P289" t="n">
        <v>30</v>
      </c>
      <c r="Q289" t="inlineStr">
        <is>
          <t>Desmonte</t>
        </is>
      </c>
      <c r="R289" t="inlineStr">
        <is>
          <t>Producción</t>
        </is>
      </c>
      <c r="S289" t="n">
        <v>4</v>
      </c>
      <c r="T289" t="n">
        <v>5.7</v>
      </c>
      <c r="U289" t="n">
        <v>3</v>
      </c>
      <c r="V289" t="n">
        <v>0.9348377212498308</v>
      </c>
      <c r="W289" t="n">
        <v>0.182</v>
      </c>
      <c r="X289" t="n">
        <v>0.271</v>
      </c>
      <c r="Y289" t="n">
        <v>0.3</v>
      </c>
      <c r="Z289" t="n">
        <v>1.1</v>
      </c>
      <c r="AA289" t="n">
        <v>2.3</v>
      </c>
      <c r="AB289" t="n">
        <v>3.9</v>
      </c>
      <c r="AC289" t="n">
        <v>5.7</v>
      </c>
      <c r="AD289" t="n">
        <v>8.1</v>
      </c>
      <c r="AE289" t="n">
        <v>11.2</v>
      </c>
      <c r="AF289" t="n">
        <v>15.5</v>
      </c>
      <c r="AG289" t="n">
        <v>22.8</v>
      </c>
      <c r="AH289" t="n">
        <v>68.59999999999999</v>
      </c>
      <c r="AI289" t="inlineStr"/>
      <c r="AJ289" t="n">
        <v>375922.3875</v>
      </c>
      <c r="AK289" t="n">
        <v>291518.27</v>
      </c>
      <c r="AL289" t="n">
        <v>0.7754746184144194</v>
      </c>
      <c r="AM289" t="inlineStr">
        <is>
          <t>2.3962165709005556</t>
        </is>
      </c>
      <c r="AN289" t="inlineStr">
        <is>
          <t>16.5</t>
        </is>
      </c>
      <c r="AO289" t="inlineStr">
        <is>
          <t>6</t>
        </is>
      </c>
      <c r="AP289" t="inlineStr">
        <is>
          <t>12 1/4</t>
        </is>
      </c>
      <c r="AQ289" t="inlineStr">
        <is>
          <t>5.5</t>
        </is>
      </c>
      <c r="AR289" t="inlineStr">
        <is>
          <t>6.5</t>
        </is>
      </c>
      <c r="AS289" t="inlineStr">
        <is>
          <t>1.5</t>
        </is>
      </c>
      <c r="AT289" t="n">
        <v>295</v>
      </c>
      <c r="AU289" t="inlineStr">
        <is>
          <t>Vertex 70</t>
        </is>
      </c>
      <c r="AV289" t="inlineStr">
        <is>
          <t>47AR/53D2</t>
        </is>
      </c>
      <c r="AW289" t="n">
        <v>0.662631325887533</v>
      </c>
      <c r="AX289" t="n">
        <v>0.7304803269938697</v>
      </c>
      <c r="AY289" t="n">
        <v>0.7944462263897288</v>
      </c>
      <c r="AZ289" t="n">
        <v>0.8517667342330335</v>
      </c>
      <c r="BA289" t="n">
        <v>0.8812441749118525</v>
      </c>
      <c r="BB289" t="n">
        <v>2.244094488188976</v>
      </c>
      <c r="BC289" t="n">
        <v>0.513368381084166</v>
      </c>
      <c r="BD289" t="n">
        <v>1.145651887783304</v>
      </c>
      <c r="BE289" t="n">
        <v>1.892077403134493</v>
      </c>
      <c r="BF289" t="n">
        <v>2.778515723847025</v>
      </c>
      <c r="BG289" t="n">
        <v>3.85128053823535</v>
      </c>
      <c r="BH289" t="n">
        <v>5.19112759745326</v>
      </c>
      <c r="BI289" t="n">
        <v>6.952017678144</v>
      </c>
      <c r="BJ289" t="n">
        <v>9.483205918621568</v>
      </c>
      <c r="BK289" t="n">
        <v>13.91036617415079</v>
      </c>
      <c r="BL289" t="n">
        <v>45.05232992381593</v>
      </c>
      <c r="BM289" t="inlineStr"/>
      <c r="BN289" t="n">
        <v>3</v>
      </c>
      <c r="BO289" t="n">
        <v>57</v>
      </c>
      <c r="BP289" t="n">
        <v>155</v>
      </c>
      <c r="BQ289" t="n">
        <v>228</v>
      </c>
      <c r="BR289" t="n">
        <v>686</v>
      </c>
      <c r="BS28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0">
      <c r="A290" t="inlineStr">
        <is>
          <t>FRAG</t>
        </is>
      </c>
      <c r="B290" t="inlineStr">
        <is>
          <t>Fragmentación Desmonte 2025.xlsx</t>
        </is>
      </c>
      <c r="C290" t="inlineStr">
        <is>
          <t>ANÁLISIS DE FRAGMENTACIÓN</t>
        </is>
      </c>
      <c r="D290" t="n">
        <v>294</v>
      </c>
      <c r="E290" t="inlineStr">
        <is>
          <t>ROM (fragmentación post-voladura en el frente de carguío, por análisis de fotos)</t>
        </is>
      </c>
      <c r="F290" t="inlineStr"/>
      <c r="G290" t="inlineStr">
        <is>
          <t>no indicada en el archivo</t>
        </is>
      </c>
      <c r="H290" t="inlineStr">
        <is>
          <t>2025-07-12</t>
        </is>
      </c>
      <c r="I290" t="inlineStr">
        <is>
          <t>2025-07-23</t>
        </is>
      </c>
      <c r="J290" t="inlineStr">
        <is>
          <t>PALA 10</t>
        </is>
      </c>
      <c r="K290" t="n">
        <v>9</v>
      </c>
      <c r="L290" t="inlineStr">
        <is>
          <t>9-NP-3908-20</t>
        </is>
      </c>
      <c r="M290" t="n">
        <v>1</v>
      </c>
      <c r="N290" t="n">
        <v>3908</v>
      </c>
      <c r="O290" t="inlineStr">
        <is>
          <t>A</t>
        </is>
      </c>
      <c r="P290" t="n">
        <v>30</v>
      </c>
      <c r="Q290" t="inlineStr">
        <is>
          <t>Desmonte</t>
        </is>
      </c>
      <c r="R290" t="inlineStr">
        <is>
          <t>Producción</t>
        </is>
      </c>
      <c r="S290" t="n">
        <v>3</v>
      </c>
      <c r="T290" t="n">
        <v>9</v>
      </c>
      <c r="U290" t="n">
        <v>3</v>
      </c>
      <c r="V290" t="n">
        <v>0.9159130253752116</v>
      </c>
      <c r="W290" t="n">
        <v>0.117</v>
      </c>
      <c r="X290" t="n">
        <v>0.183</v>
      </c>
      <c r="Y290" t="n">
        <v>0.7</v>
      </c>
      <c r="Z290" t="n">
        <v>2.2</v>
      </c>
      <c r="AA290" t="n">
        <v>4.1</v>
      </c>
      <c r="AB290" t="n">
        <v>6.4</v>
      </c>
      <c r="AC290" t="n">
        <v>9.1</v>
      </c>
      <c r="AD290" t="n">
        <v>12.3</v>
      </c>
      <c r="AE290" t="n">
        <v>16.6</v>
      </c>
      <c r="AF290" t="n">
        <v>22.6</v>
      </c>
      <c r="AG290" t="n">
        <v>32.9</v>
      </c>
      <c r="AH290" t="n">
        <v>119.1</v>
      </c>
      <c r="AI290" t="inlineStr"/>
      <c r="AJ290" t="n">
        <v>910853.2125</v>
      </c>
      <c r="AK290" t="n">
        <v>261793</v>
      </c>
      <c r="AL290" t="n">
        <v>0.2874151360584898</v>
      </c>
      <c r="AM290" t="inlineStr">
        <is>
          <t>0.8881127704207333</t>
        </is>
      </c>
      <c r="AN290" t="inlineStr">
        <is>
          <t>17</t>
        </is>
      </c>
      <c r="AO290" t="inlineStr">
        <is>
          <t>7</t>
        </is>
      </c>
      <c r="AP290" t="inlineStr">
        <is>
          <t>12 1/4</t>
        </is>
      </c>
      <c r="AQ290" t="inlineStr">
        <is>
          <t>8.5</t>
        </is>
      </c>
      <c r="AR290" t="inlineStr">
        <is>
          <t>9.8</t>
        </is>
      </c>
      <c r="AS290" t="inlineStr">
        <is>
          <t>2</t>
        </is>
      </c>
      <c r="AT290" t="n">
        <v>296</v>
      </c>
      <c r="AU290" t="inlineStr">
        <is>
          <t>Vertex 70</t>
        </is>
      </c>
      <c r="AV290" t="inlineStr">
        <is>
          <t>49AR/51D2</t>
        </is>
      </c>
      <c r="AW290" t="n">
        <v>0.6541114740337964</v>
      </c>
      <c r="AX290" t="n">
        <v>0.7003730234134897</v>
      </c>
      <c r="AY290" t="n">
        <v>0.7454385627947349</v>
      </c>
      <c r="AZ290" t="n">
        <v>0.7884413639991116</v>
      </c>
      <c r="BA290" t="n">
        <v>0.8122958495578207</v>
      </c>
      <c r="BB290" t="n">
        <v>3.543307086614173</v>
      </c>
      <c r="BC290" t="n">
        <v>0.7712508491015715</v>
      </c>
      <c r="BD290" t="n">
        <v>1.749937396226546</v>
      </c>
      <c r="BE290" t="n">
        <v>2.920187416939666</v>
      </c>
      <c r="BF290" t="n">
        <v>4.322476623487134</v>
      </c>
      <c r="BG290" t="n">
        <v>6.031907562649383</v>
      </c>
      <c r="BH290" t="n">
        <v>8.180695057866114</v>
      </c>
      <c r="BI290" t="n">
        <v>11.02199829616928</v>
      </c>
      <c r="BJ290" t="n">
        <v>15.13180795295892</v>
      </c>
      <c r="BK290" t="n">
        <v>22.37237210320194</v>
      </c>
      <c r="BL290" t="n">
        <v>74.2397034174308</v>
      </c>
      <c r="BM290" t="inlineStr"/>
      <c r="BN290" t="n">
        <v>7</v>
      </c>
      <c r="BO290" t="n">
        <v>91</v>
      </c>
      <c r="BP290" t="n">
        <v>226</v>
      </c>
      <c r="BQ290" t="n">
        <v>329</v>
      </c>
      <c r="BR290" t="n">
        <v>1191</v>
      </c>
      <c r="BS29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1">
      <c r="A291" t="inlineStr">
        <is>
          <t>FRAG</t>
        </is>
      </c>
      <c r="B291" t="inlineStr">
        <is>
          <t>Fragmentación Desmonte 2025.xlsx</t>
        </is>
      </c>
      <c r="C291" t="inlineStr">
        <is>
          <t>ANÁLISIS DE FRAGMENTACIÓN</t>
        </is>
      </c>
      <c r="D291" t="n">
        <v>295</v>
      </c>
      <c r="E291" t="inlineStr">
        <is>
          <t>ROM (fragmentación post-voladura en el frente de carguío, por análisis de fotos)</t>
        </is>
      </c>
      <c r="F291" t="inlineStr"/>
      <c r="G291" t="inlineStr">
        <is>
          <t>no indicada en el archivo</t>
        </is>
      </c>
      <c r="H291" t="inlineStr">
        <is>
          <t>2025-07-20</t>
        </is>
      </c>
      <c r="I291" t="inlineStr">
        <is>
          <t>2025-07-23</t>
        </is>
      </c>
      <c r="J291" t="inlineStr">
        <is>
          <t>PALA 09</t>
        </is>
      </c>
      <c r="K291" t="n">
        <v>9</v>
      </c>
      <c r="L291" t="inlineStr">
        <is>
          <t>9-NP-3908-33</t>
        </is>
      </c>
      <c r="M291" t="n">
        <v>2</v>
      </c>
      <c r="N291" t="n">
        <v>3908</v>
      </c>
      <c r="O291" t="inlineStr">
        <is>
          <t>C</t>
        </is>
      </c>
      <c r="P291" t="n">
        <v>30</v>
      </c>
      <c r="Q291" t="inlineStr">
        <is>
          <t>Desmonte</t>
        </is>
      </c>
      <c r="R291" t="inlineStr">
        <is>
          <t>Producción</t>
        </is>
      </c>
      <c r="S291" t="n">
        <v>4</v>
      </c>
      <c r="T291" t="n">
        <v>13.5</v>
      </c>
      <c r="U291" t="n">
        <v>2</v>
      </c>
      <c r="V291" t="n">
        <v>0.7768782155018865</v>
      </c>
      <c r="W291" t="n">
        <v>0.112</v>
      </c>
      <c r="X291" t="n">
        <v>0.159</v>
      </c>
      <c r="Y291" t="n">
        <v>0.7</v>
      </c>
      <c r="Z291" t="n">
        <v>3</v>
      </c>
      <c r="AA291" t="n">
        <v>6</v>
      </c>
      <c r="AB291" t="n">
        <v>9.5</v>
      </c>
      <c r="AC291" t="n">
        <v>13.5</v>
      </c>
      <c r="AD291" t="n">
        <v>18.2</v>
      </c>
      <c r="AE291" t="n">
        <v>23.8</v>
      </c>
      <c r="AF291" t="n">
        <v>31</v>
      </c>
      <c r="AG291" t="n">
        <v>41.6</v>
      </c>
      <c r="AH291" t="n">
        <v>82.59999999999999</v>
      </c>
      <c r="AI291" t="inlineStr"/>
      <c r="AJ291" t="n">
        <v>370961.25</v>
      </c>
      <c r="AK291" t="n">
        <v>146849</v>
      </c>
      <c r="AL291" t="n">
        <v>0.3958607536501454</v>
      </c>
      <c r="AM291" t="inlineStr">
        <is>
          <t>1.2232097287789492</t>
        </is>
      </c>
      <c r="AN291" t="inlineStr">
        <is>
          <t>16.5</t>
        </is>
      </c>
      <c r="AO291" t="inlineStr">
        <is>
          <t>6</t>
        </is>
      </c>
      <c r="AP291" t="inlineStr">
        <is>
          <t>12 1/4</t>
        </is>
      </c>
      <c r="AQ291" t="inlineStr">
        <is>
          <t>5.5</t>
        </is>
      </c>
      <c r="AR291" t="inlineStr">
        <is>
          <t>6.5</t>
        </is>
      </c>
      <c r="AS291" t="inlineStr">
        <is>
          <t>1.5</t>
        </is>
      </c>
      <c r="AT291" t="n">
        <v>172</v>
      </c>
      <c r="AU291" t="inlineStr">
        <is>
          <t>Vertex 70</t>
        </is>
      </c>
      <c r="AV291" t="inlineStr">
        <is>
          <t>47AR/53D2</t>
        </is>
      </c>
      <c r="AW291" t="n">
        <v>0.6608393037293701</v>
      </c>
      <c r="AX291" t="n">
        <v>0.7009858957255114</v>
      </c>
      <c r="AY291" t="n">
        <v>0.7402216475478778</v>
      </c>
      <c r="AZ291" t="n">
        <v>0.7779776910533389</v>
      </c>
      <c r="BA291" t="n">
        <v>0.7991501295215779</v>
      </c>
      <c r="BB291" t="n">
        <v>5.31496062992126</v>
      </c>
      <c r="BC291" t="n">
        <v>0.7452839611260162</v>
      </c>
      <c r="BD291" t="n">
        <v>1.958076034376628</v>
      </c>
      <c r="BE291" t="n">
        <v>3.581110324329592</v>
      </c>
      <c r="BF291" t="n">
        <v>5.686191317519402</v>
      </c>
      <c r="BG291" t="n">
        <v>8.422554273971922</v>
      </c>
      <c r="BH291" t="n">
        <v>12.06321057320034</v>
      </c>
      <c r="BI291" t="n">
        <v>17.14367007405957</v>
      </c>
      <c r="BJ291" t="n">
        <v>24.90952592771925</v>
      </c>
      <c r="BK291" t="n">
        <v>39.49834544931272</v>
      </c>
      <c r="BL291" t="n">
        <v>162.4541584995242</v>
      </c>
      <c r="BM291" t="inlineStr"/>
      <c r="BN291" t="n">
        <v>7</v>
      </c>
      <c r="BO291" t="n">
        <v>135</v>
      </c>
      <c r="BP291" t="n">
        <v>310</v>
      </c>
      <c r="BQ291" t="n">
        <v>416</v>
      </c>
      <c r="BR291" t="n">
        <v>826</v>
      </c>
      <c r="BS29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2">
      <c r="A292" t="inlineStr">
        <is>
          <t>FRAG</t>
        </is>
      </c>
      <c r="B292" t="inlineStr">
        <is>
          <t>Fragmentación Desmonte 2025.xlsx</t>
        </is>
      </c>
      <c r="C292" t="inlineStr">
        <is>
          <t>ANÁLISIS DE FRAGMENTACIÓN</t>
        </is>
      </c>
      <c r="D292" t="n">
        <v>296</v>
      </c>
      <c r="E292" t="inlineStr">
        <is>
          <t>ROM (fragmentación post-voladura en el frente de carguío, por análisis de fotos)</t>
        </is>
      </c>
      <c r="F292" t="inlineStr"/>
      <c r="G292" t="inlineStr">
        <is>
          <t>no indicada en el archivo</t>
        </is>
      </c>
      <c r="H292" t="inlineStr">
        <is>
          <t>2025-07-20</t>
        </is>
      </c>
      <c r="I292" t="inlineStr">
        <is>
          <t>2025-07-23</t>
        </is>
      </c>
      <c r="J292" t="inlineStr">
        <is>
          <t>PALA 09</t>
        </is>
      </c>
      <c r="K292" t="n">
        <v>9</v>
      </c>
      <c r="L292" t="inlineStr">
        <is>
          <t>9-NP-3908-33</t>
        </is>
      </c>
      <c r="M292" t="n">
        <v>3</v>
      </c>
      <c r="N292" t="n">
        <v>3908</v>
      </c>
      <c r="O292" t="inlineStr">
        <is>
          <t>B</t>
        </is>
      </c>
      <c r="P292" t="n">
        <v>30</v>
      </c>
      <c r="Q292" t="inlineStr">
        <is>
          <t>Desmonte</t>
        </is>
      </c>
      <c r="R292" t="inlineStr">
        <is>
          <t>Producción</t>
        </is>
      </c>
      <c r="S292" t="n">
        <v>4</v>
      </c>
      <c r="T292" t="n">
        <v>23.2</v>
      </c>
      <c r="U292" t="n">
        <v>3</v>
      </c>
      <c r="V292" t="n">
        <v>1.002211946440876</v>
      </c>
      <c r="W292" t="n">
        <v>0.067</v>
      </c>
      <c r="X292" t="n">
        <v>0.099</v>
      </c>
      <c r="Y292" t="n">
        <v>2</v>
      </c>
      <c r="Z292" t="n">
        <v>6.1</v>
      </c>
      <c r="AA292" t="n">
        <v>11</v>
      </c>
      <c r="AB292" t="n">
        <v>16.7</v>
      </c>
      <c r="AC292" t="n">
        <v>23.2</v>
      </c>
      <c r="AD292" t="n">
        <v>31</v>
      </c>
      <c r="AE292" t="n">
        <v>40.7</v>
      </c>
      <c r="AF292" t="n">
        <v>53.9</v>
      </c>
      <c r="AG292" t="n">
        <v>75.40000000000001</v>
      </c>
      <c r="AH292" t="n">
        <v>216.5</v>
      </c>
      <c r="AI292" t="inlineStr"/>
      <c r="AJ292" t="n">
        <v>370961.25</v>
      </c>
      <c r="AK292" t="n">
        <v>146849</v>
      </c>
      <c r="AL292" t="n">
        <v>0.3958607536501454</v>
      </c>
      <c r="AM292" t="inlineStr">
        <is>
          <t>1.2232097287789492</t>
        </is>
      </c>
      <c r="AN292" t="inlineStr">
        <is>
          <t>16.5</t>
        </is>
      </c>
      <c r="AO292" t="inlineStr">
        <is>
          <t>6</t>
        </is>
      </c>
      <c r="AP292" t="inlineStr">
        <is>
          <t>12 1/4</t>
        </is>
      </c>
      <c r="AQ292" t="inlineStr">
        <is>
          <t>5.5</t>
        </is>
      </c>
      <c r="AR292" t="inlineStr">
        <is>
          <t>6.5</t>
        </is>
      </c>
      <c r="AS292" t="inlineStr">
        <is>
          <t>1.5</t>
        </is>
      </c>
      <c r="AT292" t="n">
        <v>172</v>
      </c>
      <c r="AU292" t="inlineStr">
        <is>
          <t>Vertex 70</t>
        </is>
      </c>
      <c r="AV292" t="inlineStr">
        <is>
          <t>47AR/53D2</t>
        </is>
      </c>
      <c r="AW292" t="n">
        <v>0.6407443049151617</v>
      </c>
      <c r="AX292" t="n">
        <v>0.6659406608934515</v>
      </c>
      <c r="AY292" t="n">
        <v>0.6909701599146161</v>
      </c>
      <c r="AZ292" t="n">
        <v>0.7157013961360559</v>
      </c>
      <c r="BA292" t="n">
        <v>0.7299758186165608</v>
      </c>
      <c r="BB292" t="n">
        <v>9.133858267716535</v>
      </c>
      <c r="BC292" t="n">
        <v>2.456534599176804</v>
      </c>
      <c r="BD292" t="n">
        <v>5.194096832736073</v>
      </c>
      <c r="BE292" t="n">
        <v>8.293708169826733</v>
      </c>
      <c r="BF292" t="n">
        <v>11.86873736953631</v>
      </c>
      <c r="BG292" t="n">
        <v>16.0940280685128</v>
      </c>
      <c r="BH292" t="n">
        <v>21.26204699046578</v>
      </c>
      <c r="BI292" t="n">
        <v>27.92072786726727</v>
      </c>
      <c r="BJ292" t="n">
        <v>37.29976271512424</v>
      </c>
      <c r="BK292" t="n">
        <v>53.32173107154976</v>
      </c>
      <c r="BL292" t="n">
        <v>159.5777941508564</v>
      </c>
      <c r="BM292" t="inlineStr"/>
      <c r="BN292" t="n">
        <v>20</v>
      </c>
      <c r="BO292" t="n">
        <v>232</v>
      </c>
      <c r="BP292" t="n">
        <v>539</v>
      </c>
      <c r="BQ292" t="n">
        <v>754</v>
      </c>
      <c r="BR292" t="n">
        <v>2165</v>
      </c>
      <c r="BS29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3">
      <c r="A293" t="inlineStr">
        <is>
          <t>FRAG</t>
        </is>
      </c>
      <c r="B293" t="inlineStr">
        <is>
          <t>Fragmentación Desmonte 2025.xlsx</t>
        </is>
      </c>
      <c r="C293" t="inlineStr">
        <is>
          <t>ANÁLISIS DE FRAGMENTACIÓN</t>
        </is>
      </c>
      <c r="D293" t="n">
        <v>297</v>
      </c>
      <c r="E293" t="inlineStr">
        <is>
          <t>ROM (fragmentación post-voladura en el frente de carguío, por análisis de fotos)</t>
        </is>
      </c>
      <c r="F293" t="inlineStr"/>
      <c r="G293" t="inlineStr">
        <is>
          <t>no indicada en el archivo</t>
        </is>
      </c>
      <c r="H293" t="inlineStr">
        <is>
          <t>2025-07-20</t>
        </is>
      </c>
      <c r="I293" t="inlineStr">
        <is>
          <t>2025-07-24</t>
        </is>
      </c>
      <c r="J293" t="inlineStr">
        <is>
          <t>PALA 09</t>
        </is>
      </c>
      <c r="K293" t="n">
        <v>9</v>
      </c>
      <c r="L293" t="inlineStr">
        <is>
          <t>9-NP-3908-33</t>
        </is>
      </c>
      <c r="M293" t="n">
        <v>4</v>
      </c>
      <c r="N293" t="n">
        <v>3908</v>
      </c>
      <c r="O293" t="inlineStr">
        <is>
          <t>B</t>
        </is>
      </c>
      <c r="P293" t="n">
        <v>30</v>
      </c>
      <c r="Q293" t="inlineStr">
        <is>
          <t>Desmonte</t>
        </is>
      </c>
      <c r="R293" t="inlineStr">
        <is>
          <t>Producción</t>
        </is>
      </c>
      <c r="S293" t="n">
        <v>4</v>
      </c>
      <c r="T293" t="n">
        <v>16.5</v>
      </c>
      <c r="U293" t="n">
        <v>2</v>
      </c>
      <c r="V293" t="n">
        <v>0.6433247738971486</v>
      </c>
      <c r="W293" t="n">
        <v>0.135</v>
      </c>
      <c r="X293" t="n">
        <v>0.182</v>
      </c>
      <c r="Y293" t="n">
        <v>0.4</v>
      </c>
      <c r="Z293" t="n">
        <v>2.4</v>
      </c>
      <c r="AA293" t="n">
        <v>5.8</v>
      </c>
      <c r="AB293" t="n">
        <v>10.5</v>
      </c>
      <c r="AC293" t="n">
        <v>16.6</v>
      </c>
      <c r="AD293" t="n">
        <v>24.2</v>
      </c>
      <c r="AE293" t="n">
        <v>34.3</v>
      </c>
      <c r="AF293" t="n">
        <v>48.2</v>
      </c>
      <c r="AG293" t="n">
        <v>70.8</v>
      </c>
      <c r="AH293" t="n">
        <v>176.9</v>
      </c>
      <c r="AI293" t="inlineStr"/>
      <c r="AJ293" t="n">
        <v>370961.25</v>
      </c>
      <c r="AK293" t="n">
        <v>146849</v>
      </c>
      <c r="AL293" t="n">
        <v>0.3958607536501454</v>
      </c>
      <c r="AM293" t="inlineStr">
        <is>
          <t>1.2232097287789492</t>
        </is>
      </c>
      <c r="AN293" t="inlineStr">
        <is>
          <t>16.5</t>
        </is>
      </c>
      <c r="AO293" t="inlineStr">
        <is>
          <t>6</t>
        </is>
      </c>
      <c r="AP293" t="inlineStr">
        <is>
          <t>12 1/4</t>
        </is>
      </c>
      <c r="AQ293" t="inlineStr">
        <is>
          <t>5.5</t>
        </is>
      </c>
      <c r="AR293" t="inlineStr">
        <is>
          <t>6.5</t>
        </is>
      </c>
      <c r="AS293" t="inlineStr">
        <is>
          <t>1.5</t>
        </is>
      </c>
      <c r="AT293" t="n">
        <v>172</v>
      </c>
      <c r="AU293" t="inlineStr">
        <is>
          <t>Vertex 70</t>
        </is>
      </c>
      <c r="AV293" t="inlineStr">
        <is>
          <t>47AR/53D2</t>
        </is>
      </c>
      <c r="AW293" t="n">
        <v>0.6775378295258316</v>
      </c>
      <c r="AX293" t="n">
        <v>0.7230565819927819</v>
      </c>
      <c r="AY293" t="n">
        <v>0.7669669787125266</v>
      </c>
      <c r="AZ293" t="n">
        <v>0.8084142186715113</v>
      </c>
      <c r="BA293" t="n">
        <v>0.8311882937447788</v>
      </c>
      <c r="BB293" t="n">
        <v>6.496062992125984</v>
      </c>
      <c r="BC293" t="n">
        <v>0.4992409364194562</v>
      </c>
      <c r="BD293" t="n">
        <v>1.602903107529546</v>
      </c>
      <c r="BE293" t="n">
        <v>3.322961891772205</v>
      </c>
      <c r="BF293" t="n">
        <v>5.807854745456912</v>
      </c>
      <c r="BG293" t="n">
        <v>9.333812859107766</v>
      </c>
      <c r="BH293" t="n">
        <v>14.40348396524906</v>
      </c>
      <c r="BI293" t="n">
        <v>22.01894509191264</v>
      </c>
      <c r="BJ293" t="n">
        <v>34.57351173785686</v>
      </c>
      <c r="BK293" t="n">
        <v>60.32828830479781</v>
      </c>
      <c r="BL293" t="n">
        <v>332.7898920251687</v>
      </c>
      <c r="BM293" t="inlineStr"/>
      <c r="BN293" t="n">
        <v>4</v>
      </c>
      <c r="BO293" t="n">
        <v>166</v>
      </c>
      <c r="BP293" t="n">
        <v>482</v>
      </c>
      <c r="BQ293" t="n">
        <v>708</v>
      </c>
      <c r="BR293" t="n">
        <v>1769</v>
      </c>
      <c r="BS29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4">
      <c r="A294" t="inlineStr">
        <is>
          <t>FRAG</t>
        </is>
      </c>
      <c r="B294" t="inlineStr">
        <is>
          <t>Fragmentación Desmonte 2025.xlsx</t>
        </is>
      </c>
      <c r="C294" t="inlineStr">
        <is>
          <t>ANÁLISIS DE FRAGMENTACIÓN</t>
        </is>
      </c>
      <c r="D294" t="n">
        <v>298</v>
      </c>
      <c r="E294" t="inlineStr">
        <is>
          <t>ROM (fragmentación post-voladura en el frente de carguío, por análisis de fotos)</t>
        </is>
      </c>
      <c r="F294" t="inlineStr"/>
      <c r="G294" t="inlineStr">
        <is>
          <t>no indicada en el archivo</t>
        </is>
      </c>
      <c r="H294" t="inlineStr">
        <is>
          <t>2025-07-23</t>
        </is>
      </c>
      <c r="I294" t="inlineStr">
        <is>
          <t>2025-07-24</t>
        </is>
      </c>
      <c r="J294" t="inlineStr">
        <is>
          <t>PALA 10</t>
        </is>
      </c>
      <c r="K294" t="n">
        <v>9</v>
      </c>
      <c r="L294" t="inlineStr">
        <is>
          <t>9-NP-3908-30</t>
        </is>
      </c>
      <c r="M294" t="n">
        <v>2</v>
      </c>
      <c r="N294" t="n">
        <v>3908</v>
      </c>
      <c r="O294" t="inlineStr">
        <is>
          <t>A</t>
        </is>
      </c>
      <c r="P294" t="n">
        <v>30</v>
      </c>
      <c r="Q294" t="inlineStr">
        <is>
          <t>Desmonte</t>
        </is>
      </c>
      <c r="R294" t="inlineStr">
        <is>
          <t>TRIM</t>
        </is>
      </c>
      <c r="S294" t="n">
        <v>3</v>
      </c>
      <c r="T294" t="n">
        <v>16.6</v>
      </c>
      <c r="U294" t="n">
        <v>2</v>
      </c>
      <c r="V294" t="n">
        <v>0.7063680910907079</v>
      </c>
      <c r="W294" t="n">
        <v>0.121</v>
      </c>
      <c r="X294" t="n">
        <v>0.165</v>
      </c>
      <c r="Y294" t="n">
        <v>0.6</v>
      </c>
      <c r="Z294" t="n">
        <v>2.9</v>
      </c>
      <c r="AA294" t="n">
        <v>6.5</v>
      </c>
      <c r="AB294" t="n">
        <v>11.1</v>
      </c>
      <c r="AC294" t="n">
        <v>16.6</v>
      </c>
      <c r="AD294" t="n">
        <v>23.3</v>
      </c>
      <c r="AE294" t="n">
        <v>31.7</v>
      </c>
      <c r="AF294" t="n">
        <v>42.8</v>
      </c>
      <c r="AG294" t="n">
        <v>59.9</v>
      </c>
      <c r="AH294" t="n">
        <v>130.2</v>
      </c>
      <c r="AI294" t="inlineStr"/>
      <c r="AJ294" t="n">
        <v>58553.9625</v>
      </c>
      <c r="AK294" t="n">
        <v>19469.68</v>
      </c>
      <c r="AL294" t="n">
        <v>0.332508325119756</v>
      </c>
      <c r="AM294" t="inlineStr">
        <is>
          <t>-</t>
        </is>
      </c>
      <c r="AN294" t="inlineStr">
        <is>
          <t xml:space="preserve"> - </t>
        </is>
      </c>
      <c r="AO294" t="inlineStr">
        <is>
          <t xml:space="preserve"> - </t>
        </is>
      </c>
      <c r="AP294" t="inlineStr">
        <is>
          <t>9 7/8</t>
        </is>
      </c>
      <c r="AQ294" t="inlineStr">
        <is>
          <t xml:space="preserve"> - </t>
        </is>
      </c>
      <c r="AR294" t="inlineStr">
        <is>
          <t xml:space="preserve"> - </t>
        </is>
      </c>
      <c r="AS294" t="inlineStr">
        <is>
          <t xml:space="preserve"> - </t>
        </is>
      </c>
      <c r="AT294" t="n">
        <v>54</v>
      </c>
      <c r="AU294" t="inlineStr">
        <is>
          <t>-</t>
        </is>
      </c>
      <c r="AV294" t="inlineStr">
        <is>
          <t>47AR/53D2</t>
        </is>
      </c>
      <c r="AW294" t="n">
        <v>0.667672514852601</v>
      </c>
      <c r="AX294" t="n">
        <v>0.7091987149395083</v>
      </c>
      <c r="AY294" t="n">
        <v>0.7496184109433564</v>
      </c>
      <c r="AZ294" t="n">
        <v>0.78829388535575</v>
      </c>
      <c r="BA294" t="n">
        <v>0.8098568806153978</v>
      </c>
      <c r="BB294" t="n">
        <v>6.535433070866143</v>
      </c>
      <c r="BC294" t="n">
        <v>0.6863102979625668</v>
      </c>
      <c r="BD294" t="n">
        <v>1.985655178342101</v>
      </c>
      <c r="BE294" t="n">
        <v>3.85712553478075</v>
      </c>
      <c r="BF294" t="n">
        <v>6.413748176578373</v>
      </c>
      <c r="BG294" t="n">
        <v>9.880203484117484</v>
      </c>
      <c r="BH294" t="n">
        <v>14.66759491532624</v>
      </c>
      <c r="BI294" t="n">
        <v>21.58919813735304</v>
      </c>
      <c r="BJ294" t="n">
        <v>32.56081293726592</v>
      </c>
      <c r="BK294" t="n">
        <v>54.06225011171957</v>
      </c>
      <c r="BL294" t="n">
        <v>256.0655141185622</v>
      </c>
      <c r="BM294" t="inlineStr"/>
      <c r="BN294" t="n">
        <v>6</v>
      </c>
      <c r="BO294" t="n">
        <v>166</v>
      </c>
      <c r="BP294" t="n">
        <v>428</v>
      </c>
      <c r="BQ294" t="n">
        <v>599</v>
      </c>
      <c r="BR294" t="n">
        <v>1302</v>
      </c>
      <c r="BS29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5">
      <c r="A295" t="inlineStr">
        <is>
          <t>FRAG</t>
        </is>
      </c>
      <c r="B295" t="inlineStr">
        <is>
          <t>Fragmentación Desmonte 2025.xlsx</t>
        </is>
      </c>
      <c r="C295" t="inlineStr">
        <is>
          <t>ANÁLISIS DE FRAGMENTACIÓN</t>
        </is>
      </c>
      <c r="D295" t="n">
        <v>299</v>
      </c>
      <c r="E295" t="inlineStr">
        <is>
          <t>ROM (fragmentación post-voladura en el frente de carguío, por análisis de fotos)</t>
        </is>
      </c>
      <c r="F295" t="inlineStr"/>
      <c r="G295" t="inlineStr">
        <is>
          <t>no indicada en el archivo</t>
        </is>
      </c>
      <c r="H295" t="inlineStr">
        <is>
          <t>2025-07-24</t>
        </is>
      </c>
      <c r="I295" t="inlineStr">
        <is>
          <t>2025-07-26</t>
        </is>
      </c>
      <c r="J295" t="inlineStr">
        <is>
          <t>PALA 09</t>
        </is>
      </c>
      <c r="K295" t="n">
        <v>9</v>
      </c>
      <c r="L295" t="inlineStr">
        <is>
          <t>9-NP-3908-35</t>
        </is>
      </c>
      <c r="M295" t="n">
        <v>2</v>
      </c>
      <c r="N295" t="n">
        <v>3908</v>
      </c>
      <c r="O295" t="inlineStr">
        <is>
          <t>C</t>
        </is>
      </c>
      <c r="P295" t="n">
        <v>30</v>
      </c>
      <c r="Q295" t="inlineStr">
        <is>
          <t>Desmonte</t>
        </is>
      </c>
      <c r="R295" t="inlineStr">
        <is>
          <t>TRIM/Rampa</t>
        </is>
      </c>
      <c r="S295" t="n">
        <v>7</v>
      </c>
      <c r="T295" t="n">
        <v>16.5</v>
      </c>
      <c r="U295" t="n">
        <v>3</v>
      </c>
      <c r="V295" t="n">
        <v>0.937314139006555</v>
      </c>
      <c r="W295" t="n">
        <v>0.08799999999999999</v>
      </c>
      <c r="X295" t="n">
        <v>0.132</v>
      </c>
      <c r="Y295" t="n">
        <v>1.2</v>
      </c>
      <c r="Z295" t="n">
        <v>3.9</v>
      </c>
      <c r="AA295" t="n">
        <v>7.4</v>
      </c>
      <c r="AB295" t="n">
        <v>11.6</v>
      </c>
      <c r="AC295" t="n">
        <v>16.5</v>
      </c>
      <c r="AD295" t="n">
        <v>22.5</v>
      </c>
      <c r="AE295" t="n">
        <v>30.3</v>
      </c>
      <c r="AF295" t="n">
        <v>41.2</v>
      </c>
      <c r="AG295" t="n">
        <v>59.6</v>
      </c>
      <c r="AH295" t="n">
        <v>196.5</v>
      </c>
      <c r="AI295" t="inlineStr"/>
      <c r="AJ295" t="n">
        <v>525184.6875</v>
      </c>
      <c r="AK295" t="n">
        <v>143866.46</v>
      </c>
      <c r="AL295" t="n">
        <v>0.2739349859662464</v>
      </c>
      <c r="AM295" t="inlineStr">
        <is>
          <t>0.8464591066357012</t>
        </is>
      </c>
      <c r="AN295" t="inlineStr">
        <is>
          <t xml:space="preserve"> - </t>
        </is>
      </c>
      <c r="AO295" t="inlineStr">
        <is>
          <t xml:space="preserve"> - </t>
        </is>
      </c>
      <c r="AP295" t="inlineStr">
        <is>
          <t>9 7/8</t>
        </is>
      </c>
      <c r="AQ295" t="inlineStr">
        <is>
          <t xml:space="preserve"> - </t>
        </is>
      </c>
      <c r="AR295" t="inlineStr">
        <is>
          <t xml:space="preserve"> - </t>
        </is>
      </c>
      <c r="AS295" t="inlineStr">
        <is>
          <t xml:space="preserve"> - </t>
        </is>
      </c>
      <c r="AT295" t="n">
        <v>337</v>
      </c>
      <c r="AU295" t="inlineStr">
        <is>
          <t>Vertex 70</t>
        </is>
      </c>
      <c r="AV295" t="inlineStr">
        <is>
          <t>43AR/57D2</t>
        </is>
      </c>
      <c r="AW295" t="n">
        <v>0.6468668731754466</v>
      </c>
      <c r="AX295" t="n">
        <v>0.6803861097868553</v>
      </c>
      <c r="AY295" t="n">
        <v>0.713474714973744</v>
      </c>
      <c r="AZ295" t="n">
        <v>0.7458133269345277</v>
      </c>
      <c r="BA295" t="n">
        <v>0.764251826272624</v>
      </c>
      <c r="BB295" t="n">
        <v>6.496062992125984</v>
      </c>
      <c r="BC295" t="n">
        <v>1.495547841562338</v>
      </c>
      <c r="BD295" t="n">
        <v>3.330449041046938</v>
      </c>
      <c r="BE295" t="n">
        <v>5.493047488802291</v>
      </c>
      <c r="BF295" t="n">
        <v>8.058355569516326</v>
      </c>
      <c r="BG295" t="n">
        <v>11.15999762690453</v>
      </c>
      <c r="BH295" t="n">
        <v>15.03066148470098</v>
      </c>
      <c r="BI295" t="n">
        <v>20.11370692107384</v>
      </c>
      <c r="BJ295" t="n">
        <v>27.41448976712332</v>
      </c>
      <c r="BK295" t="n">
        <v>40.1720466079726</v>
      </c>
      <c r="BL295" t="n">
        <v>129.7042516746075</v>
      </c>
      <c r="BM295" t="inlineStr"/>
      <c r="BN295" t="n">
        <v>12</v>
      </c>
      <c r="BO295" t="n">
        <v>165</v>
      </c>
      <c r="BP295" t="n">
        <v>412</v>
      </c>
      <c r="BQ295" t="n">
        <v>596</v>
      </c>
      <c r="BR295" t="n">
        <v>1965</v>
      </c>
      <c r="BS29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6">
      <c r="A296" t="inlineStr">
        <is>
          <t>FRAG</t>
        </is>
      </c>
      <c r="B296" t="inlineStr">
        <is>
          <t>Fragmentación Desmonte 2025.xlsx</t>
        </is>
      </c>
      <c r="C296" t="inlineStr">
        <is>
          <t>ANÁLISIS DE FRAGMENTACIÓN</t>
        </is>
      </c>
      <c r="D296" t="n">
        <v>300</v>
      </c>
      <c r="E296" t="inlineStr">
        <is>
          <t>ROM (fragmentación post-voladura en el frente de carguío, por análisis de fotos)</t>
        </is>
      </c>
      <c r="F296" t="inlineStr"/>
      <c r="G296" t="inlineStr">
        <is>
          <t>no indicada en el archivo</t>
        </is>
      </c>
      <c r="H296" t="inlineStr">
        <is>
          <t>2025-07-15</t>
        </is>
      </c>
      <c r="I296" t="inlineStr">
        <is>
          <t>2025-07-29</t>
        </is>
      </c>
      <c r="J296" t="inlineStr">
        <is>
          <t>PALA 09</t>
        </is>
      </c>
      <c r="K296" t="n">
        <v>9</v>
      </c>
      <c r="L296" t="inlineStr">
        <is>
          <t>9-NP-3908-23</t>
        </is>
      </c>
      <c r="M296" t="n">
        <v>1</v>
      </c>
      <c r="N296" t="n">
        <v>3908</v>
      </c>
      <c r="O296" t="inlineStr">
        <is>
          <t>C</t>
        </is>
      </c>
      <c r="P296" t="n">
        <v>30</v>
      </c>
      <c r="Q296" t="inlineStr">
        <is>
          <t>Desmonte</t>
        </is>
      </c>
      <c r="R296" t="inlineStr">
        <is>
          <t>TRIM</t>
        </is>
      </c>
      <c r="S296" t="n">
        <v>5</v>
      </c>
      <c r="T296" t="n">
        <v>14.1</v>
      </c>
      <c r="U296" t="n">
        <v>2.96</v>
      </c>
      <c r="V296" t="n">
        <v>0.9019006509539444</v>
      </c>
      <c r="W296" t="n">
        <v>0.104</v>
      </c>
      <c r="X296" t="n">
        <v>0.154</v>
      </c>
      <c r="Y296" t="n">
        <v>0.9</v>
      </c>
      <c r="Z296" t="n">
        <v>3.1</v>
      </c>
      <c r="AA296" t="n">
        <v>6</v>
      </c>
      <c r="AB296" t="n">
        <v>9.699999999999999</v>
      </c>
      <c r="AC296" t="n">
        <v>14.1</v>
      </c>
      <c r="AD296" t="n">
        <v>19.6</v>
      </c>
      <c r="AE296" t="n">
        <v>26.8</v>
      </c>
      <c r="AF296" t="n">
        <v>37</v>
      </c>
      <c r="AG296" t="n">
        <v>54.4</v>
      </c>
      <c r="AH296" t="n">
        <v>186.1</v>
      </c>
      <c r="AI296" t="inlineStr"/>
      <c r="AJ296" t="n">
        <v>1033516.6875</v>
      </c>
      <c r="AK296" t="n">
        <v>174835</v>
      </c>
      <c r="AL296" t="n">
        <v>0.1691651447088995</v>
      </c>
      <c r="AM296" t="inlineStr">
        <is>
          <t>0.5227202971504996</t>
        </is>
      </c>
      <c r="AN296" t="inlineStr">
        <is>
          <t xml:space="preserve"> - </t>
        </is>
      </c>
      <c r="AO296" t="inlineStr">
        <is>
          <t xml:space="preserve"> - </t>
        </is>
      </c>
      <c r="AP296" t="inlineStr">
        <is>
          <t>12 1/4</t>
        </is>
      </c>
      <c r="AQ296" t="inlineStr">
        <is>
          <t xml:space="preserve"> - </t>
        </is>
      </c>
      <c r="AR296" t="inlineStr">
        <is>
          <t xml:space="preserve"> - </t>
        </is>
      </c>
      <c r="AS296" t="inlineStr">
        <is>
          <t xml:space="preserve"> - </t>
        </is>
      </c>
      <c r="AT296" t="n">
        <v>180</v>
      </c>
      <c r="AU296" t="inlineStr">
        <is>
          <t>Vertex 70</t>
        </is>
      </c>
      <c r="AV296" t="inlineStr">
        <is>
          <t>50AR/50D2</t>
        </is>
      </c>
      <c r="AW296" t="n">
        <v>0.6515021110636599</v>
      </c>
      <c r="AX296" t="n">
        <v>0.6905225971806961</v>
      </c>
      <c r="AY296" t="n">
        <v>0.7288258842946264</v>
      </c>
      <c r="AZ296" t="n">
        <v>0.7658988335422311</v>
      </c>
      <c r="BA296" t="n">
        <v>0.7868070762774906</v>
      </c>
      <c r="BB296" t="n">
        <v>5.551181102362205</v>
      </c>
      <c r="BC296" t="n">
        <v>1.163038498691772</v>
      </c>
      <c r="BD296" t="n">
        <v>2.672694068587407</v>
      </c>
      <c r="BE296" t="n">
        <v>4.495651070989945</v>
      </c>
      <c r="BF296" t="n">
        <v>6.695156449136728</v>
      </c>
      <c r="BG296" t="n">
        <v>9.39141921388372</v>
      </c>
      <c r="BH296" t="n">
        <v>12.7974306271781</v>
      </c>
      <c r="BI296" t="n">
        <v>17.32225514990188</v>
      </c>
      <c r="BJ296" t="n">
        <v>23.89864112523959</v>
      </c>
      <c r="BK296" t="n">
        <v>35.54944683376797</v>
      </c>
      <c r="BL296" t="n">
        <v>120.1850303137303</v>
      </c>
      <c r="BM296" t="inlineStr"/>
      <c r="BN296" t="n">
        <v>9</v>
      </c>
      <c r="BO296" t="n">
        <v>141</v>
      </c>
      <c r="BP296" t="n">
        <v>370</v>
      </c>
      <c r="BQ296" t="n">
        <v>544</v>
      </c>
      <c r="BR296" t="n">
        <v>1861</v>
      </c>
      <c r="BS29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7">
      <c r="A297" t="inlineStr">
        <is>
          <t>FRAG</t>
        </is>
      </c>
      <c r="B297" t="inlineStr">
        <is>
          <t>Fragmentación Desmonte 2025.xlsx</t>
        </is>
      </c>
      <c r="C297" t="inlineStr">
        <is>
          <t>ANÁLISIS DE FRAGMENTACIÓN</t>
        </is>
      </c>
      <c r="D297" t="n">
        <v>301</v>
      </c>
      <c r="E297" t="inlineStr">
        <is>
          <t>ROM (fragmentación post-voladura en el frente de carguío, por análisis de fotos)</t>
        </is>
      </c>
      <c r="F297" t="inlineStr"/>
      <c r="G297" t="inlineStr">
        <is>
          <t>no indicada en el archivo</t>
        </is>
      </c>
      <c r="H297" t="inlineStr">
        <is>
          <t>2025-07-28</t>
        </is>
      </c>
      <c r="I297" t="inlineStr">
        <is>
          <t>2025-07-31</t>
        </is>
      </c>
      <c r="J297" t="inlineStr">
        <is>
          <t>PALA 15</t>
        </is>
      </c>
      <c r="K297" t="n">
        <v>9</v>
      </c>
      <c r="L297" t="inlineStr">
        <is>
          <t>9-NP-3893-05</t>
        </is>
      </c>
      <c r="M297" t="n">
        <v>2</v>
      </c>
      <c r="N297" t="n">
        <v>3893</v>
      </c>
      <c r="O297" t="inlineStr">
        <is>
          <t>C</t>
        </is>
      </c>
      <c r="P297" t="n">
        <v>30</v>
      </c>
      <c r="Q297" t="inlineStr">
        <is>
          <t>Desmonte</t>
        </is>
      </c>
      <c r="R297" t="inlineStr">
        <is>
          <t>Producción</t>
        </is>
      </c>
      <c r="S297" t="n">
        <v>6</v>
      </c>
      <c r="T297" t="n">
        <v>12.9</v>
      </c>
      <c r="U297" t="n">
        <v>3</v>
      </c>
      <c r="V297" t="n">
        <v>0.9347662905319428</v>
      </c>
      <c r="W297" t="n">
        <v>0.117</v>
      </c>
      <c r="X297" t="n">
        <v>0.17</v>
      </c>
      <c r="Y297" t="n">
        <v>0.7</v>
      </c>
      <c r="Z297" t="n">
        <v>2.6</v>
      </c>
      <c r="AA297" t="n">
        <v>5.3</v>
      </c>
      <c r="AB297" t="n">
        <v>8.800000000000001</v>
      </c>
      <c r="AC297" t="n">
        <v>12.9</v>
      </c>
      <c r="AD297" t="n">
        <v>18.1</v>
      </c>
      <c r="AE297" t="n">
        <v>24.8</v>
      </c>
      <c r="AF297" t="n">
        <v>34.3</v>
      </c>
      <c r="AG297" t="n">
        <v>50.2</v>
      </c>
      <c r="AH297" t="n">
        <v>155.3</v>
      </c>
      <c r="AI297" t="inlineStr"/>
      <c r="AJ297" t="n">
        <v>511351.5</v>
      </c>
      <c r="AK297" t="n">
        <v>174204.3</v>
      </c>
      <c r="AL297" t="n">
        <v>0.3406742720027221</v>
      </c>
      <c r="AM297" t="inlineStr">
        <is>
          <t>1.0526835004884114</t>
        </is>
      </c>
      <c r="AN297" t="inlineStr">
        <is>
          <t>16.5</t>
        </is>
      </c>
      <c r="AO297" t="inlineStr">
        <is>
          <t>6</t>
        </is>
      </c>
      <c r="AP297" t="inlineStr">
        <is>
          <t>12 1/4</t>
        </is>
      </c>
      <c r="AQ297" t="inlineStr">
        <is>
          <t>5.5</t>
        </is>
      </c>
      <c r="AR297" t="inlineStr">
        <is>
          <t>6.5</t>
        </is>
      </c>
      <c r="AS297" t="inlineStr">
        <is>
          <t>1.5</t>
        </is>
      </c>
      <c r="AT297" t="n">
        <v>184</v>
      </c>
      <c r="AU297" t="inlineStr">
        <is>
          <t>Vertex 70</t>
        </is>
      </c>
      <c r="AV297" t="inlineStr">
        <is>
          <t>46AR/54D2</t>
        </is>
      </c>
      <c r="AW297" t="n">
        <v>0.6512786116330467</v>
      </c>
      <c r="AX297" t="n">
        <v>0.6943237828206666</v>
      </c>
      <c r="AY297" t="n">
        <v>0.7364340809562786</v>
      </c>
      <c r="AZ297" t="n">
        <v>0.7769169674481806</v>
      </c>
      <c r="BA297" t="n">
        <v>0.7995652711071628</v>
      </c>
      <c r="BB297" t="n">
        <v>5.078740157480315</v>
      </c>
      <c r="BC297" t="n">
        <v>1.161620005216598</v>
      </c>
      <c r="BD297" t="n">
        <v>2.592473236412033</v>
      </c>
      <c r="BE297" t="n">
        <v>4.281709075776003</v>
      </c>
      <c r="BF297" t="n">
        <v>6.287874529660547</v>
      </c>
      <c r="BG297" t="n">
        <v>8.715794829902817</v>
      </c>
      <c r="BH297" t="n">
        <v>11.74825745115532</v>
      </c>
      <c r="BI297" t="n">
        <v>15.73375242722908</v>
      </c>
      <c r="BJ297" t="n">
        <v>21.46282722633648</v>
      </c>
      <c r="BK297" t="n">
        <v>31.48350135776249</v>
      </c>
      <c r="BL297" t="n">
        <v>101.9766449803876</v>
      </c>
      <c r="BM297" t="inlineStr"/>
      <c r="BN297" t="n">
        <v>7</v>
      </c>
      <c r="BO297" t="n">
        <v>129</v>
      </c>
      <c r="BP297" t="n">
        <v>343</v>
      </c>
      <c r="BQ297" t="n">
        <v>502</v>
      </c>
      <c r="BR297" t="n">
        <v>1553</v>
      </c>
      <c r="BS29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8">
      <c r="A298" t="inlineStr">
        <is>
          <t>FRAG</t>
        </is>
      </c>
      <c r="B298" t="inlineStr">
        <is>
          <t>Fragmentación Desmonte 2025.xlsx</t>
        </is>
      </c>
      <c r="C298" t="inlineStr">
        <is>
          <t>ANÁLISIS DE FRAGMENTACIÓN</t>
        </is>
      </c>
      <c r="D298" t="n">
        <v>302</v>
      </c>
      <c r="E298" t="inlineStr">
        <is>
          <t>ROM (fragmentación post-voladura en el frente de carguío, por análisis de fotos)</t>
        </is>
      </c>
      <c r="F298" t="inlineStr"/>
      <c r="G298" t="inlineStr">
        <is>
          <t>no indicada en el archivo</t>
        </is>
      </c>
      <c r="H298" t="inlineStr">
        <is>
          <t>2025-07-12</t>
        </is>
      </c>
      <c r="I298" t="inlineStr">
        <is>
          <t>2025-07-31</t>
        </is>
      </c>
      <c r="J298" t="inlineStr">
        <is>
          <t>PALA 09</t>
        </is>
      </c>
      <c r="K298" t="n">
        <v>9</v>
      </c>
      <c r="L298" t="inlineStr">
        <is>
          <t>9-NP-3908-20</t>
        </is>
      </c>
      <c r="M298" t="n">
        <v>2</v>
      </c>
      <c r="N298" t="n">
        <v>3908</v>
      </c>
      <c r="O298" t="inlineStr">
        <is>
          <t>C</t>
        </is>
      </c>
      <c r="P298" t="n">
        <v>30</v>
      </c>
      <c r="Q298" t="inlineStr">
        <is>
          <t>Desmonte</t>
        </is>
      </c>
      <c r="R298" t="inlineStr">
        <is>
          <t>Producción</t>
        </is>
      </c>
      <c r="S298" t="n">
        <v>7</v>
      </c>
      <c r="T298" t="n">
        <v>18.7</v>
      </c>
      <c r="U298" t="n">
        <v>3</v>
      </c>
      <c r="V298" t="n">
        <v>1.037058920780927</v>
      </c>
      <c r="W298" t="n">
        <v>0.07099999999999999</v>
      </c>
      <c r="X298" t="n">
        <v>0.108</v>
      </c>
      <c r="Y298" t="n">
        <v>1.7</v>
      </c>
      <c r="Z298" t="n">
        <v>5.1</v>
      </c>
      <c r="AA298" t="n">
        <v>9.1</v>
      </c>
      <c r="AB298" t="n">
        <v>13.6</v>
      </c>
      <c r="AC298" t="n">
        <v>18.7</v>
      </c>
      <c r="AD298" t="n">
        <v>24.7</v>
      </c>
      <c r="AE298" t="n">
        <v>32.1</v>
      </c>
      <c r="AF298" t="n">
        <v>42.1</v>
      </c>
      <c r="AG298" t="n">
        <v>58</v>
      </c>
      <c r="AH298" t="n">
        <v>156.4</v>
      </c>
      <c r="AI298" t="inlineStr"/>
      <c r="AJ298" t="n">
        <v>910853.2125</v>
      </c>
      <c r="AK298" t="n">
        <v>261793</v>
      </c>
      <c r="AL298" t="n">
        <v>0.2874151360584898</v>
      </c>
      <c r="AM298" t="inlineStr">
        <is>
          <t>0.8881127704207333</t>
        </is>
      </c>
      <c r="AN298" t="inlineStr">
        <is>
          <t>17</t>
        </is>
      </c>
      <c r="AO298" t="inlineStr">
        <is>
          <t>7</t>
        </is>
      </c>
      <c r="AP298" t="inlineStr">
        <is>
          <t>12 1/4</t>
        </is>
      </c>
      <c r="AQ298" t="inlineStr">
        <is>
          <t>8.5</t>
        </is>
      </c>
      <c r="AR298" t="inlineStr">
        <is>
          <t>9.8</t>
        </is>
      </c>
      <c r="AS298" t="inlineStr">
        <is>
          <t>2</t>
        </is>
      </c>
      <c r="AT298" t="n">
        <v>296</v>
      </c>
      <c r="AU298" t="inlineStr">
        <is>
          <t>Vertex 70</t>
        </is>
      </c>
      <c r="AV298" t="inlineStr">
        <is>
          <t>49AR/51D2</t>
        </is>
      </c>
      <c r="AW298" t="n">
        <v>0.6401705278436557</v>
      </c>
      <c r="AX298" t="n">
        <v>0.6676537868884262</v>
      </c>
      <c r="AY298" t="n">
        <v>0.6949279096860604</v>
      </c>
      <c r="AZ298" t="n">
        <v>0.7218215641602019</v>
      </c>
      <c r="BA298" t="n">
        <v>0.7373063254939854</v>
      </c>
      <c r="BB298" t="n">
        <v>7.362204724409448</v>
      </c>
      <c r="BC298" t="n">
        <v>2.135225472736771</v>
      </c>
      <c r="BD298" t="n">
        <v>4.402547467515039</v>
      </c>
      <c r="BE298" t="n">
        <v>6.920119319766253</v>
      </c>
      <c r="BF298" t="n">
        <v>9.784509284847276</v>
      </c>
      <c r="BG298" t="n">
        <v>13.13273289958718</v>
      </c>
      <c r="BH298" t="n">
        <v>17.18824860924823</v>
      </c>
      <c r="BI298" t="n">
        <v>22.36544152487276</v>
      </c>
      <c r="BJ298" t="n">
        <v>29.58900806302105</v>
      </c>
      <c r="BK298" t="n">
        <v>41.7939722708614</v>
      </c>
      <c r="BL298" t="n">
        <v>120.5549789726371</v>
      </c>
      <c r="BM298" t="inlineStr"/>
      <c r="BN298" t="n">
        <v>17</v>
      </c>
      <c r="BO298" t="n">
        <v>187</v>
      </c>
      <c r="BP298" t="n">
        <v>421</v>
      </c>
      <c r="BQ298" t="n">
        <v>580</v>
      </c>
      <c r="BR298" t="n">
        <v>1564</v>
      </c>
      <c r="BS29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299">
      <c r="A299" t="inlineStr">
        <is>
          <t>FRAG</t>
        </is>
      </c>
      <c r="B299" t="inlineStr">
        <is>
          <t>Fragmentación Desmonte 2025.xlsx</t>
        </is>
      </c>
      <c r="C299" t="inlineStr">
        <is>
          <t>ANÁLISIS DE FRAGMENTACIÓN</t>
        </is>
      </c>
      <c r="D299" t="n">
        <v>303</v>
      </c>
      <c r="E299" t="inlineStr">
        <is>
          <t>ROM (fragmentación post-voladura en el frente de carguío, por análisis de fotos)</t>
        </is>
      </c>
      <c r="F299" t="inlineStr"/>
      <c r="G299" t="inlineStr">
        <is>
          <t>no indicada en el archivo</t>
        </is>
      </c>
      <c r="H299" t="inlineStr">
        <is>
          <t>2025-07-30</t>
        </is>
      </c>
      <c r="I299" t="inlineStr">
        <is>
          <t>2025-08-01</t>
        </is>
      </c>
      <c r="J299" t="inlineStr">
        <is>
          <t>PALA 08</t>
        </is>
      </c>
      <c r="K299" t="n">
        <v>9</v>
      </c>
      <c r="L299" t="inlineStr">
        <is>
          <t>9-NP-3893-06</t>
        </is>
      </c>
      <c r="M299" t="n">
        <v>1</v>
      </c>
      <c r="N299" t="n">
        <v>3893</v>
      </c>
      <c r="O299" t="inlineStr">
        <is>
          <t>A</t>
        </is>
      </c>
      <c r="P299" t="n">
        <v>30</v>
      </c>
      <c r="Q299" t="inlineStr">
        <is>
          <t>Desmonte</t>
        </is>
      </c>
      <c r="R299" t="inlineStr">
        <is>
          <t>Producción</t>
        </is>
      </c>
      <c r="S299" t="n">
        <v>5</v>
      </c>
      <c r="T299" t="n">
        <v>17</v>
      </c>
      <c r="U299" t="n">
        <v>3</v>
      </c>
      <c r="V299" t="n">
        <v>1.142841421478318</v>
      </c>
      <c r="W299" t="n">
        <v>0.075</v>
      </c>
      <c r="X299" t="n">
        <v>0.113</v>
      </c>
      <c r="Y299" t="n">
        <v>1.6</v>
      </c>
      <c r="Z299" t="n">
        <v>4.7</v>
      </c>
      <c r="AA299" t="n">
        <v>8.5</v>
      </c>
      <c r="AB299" t="n">
        <v>12.5</v>
      </c>
      <c r="AC299" t="n">
        <v>17.1</v>
      </c>
      <c r="AD299" t="n">
        <v>22.2</v>
      </c>
      <c r="AE299" t="n">
        <v>28.4</v>
      </c>
      <c r="AF299" t="n">
        <v>36.5</v>
      </c>
      <c r="AG299" t="n">
        <v>48.8</v>
      </c>
      <c r="AH299" t="n">
        <v>109.6</v>
      </c>
      <c r="AI299" t="n">
        <v>14273</v>
      </c>
      <c r="AJ299" t="n">
        <v>358792.5</v>
      </c>
      <c r="AK299" t="n">
        <v>162041.65</v>
      </c>
      <c r="AL299" t="n">
        <v>0.4516305385424723</v>
      </c>
      <c r="AM299" t="inlineStr">
        <is>
          <t>1.3955383640962393</t>
        </is>
      </c>
      <c r="AN299" t="inlineStr">
        <is>
          <t>16.5</t>
        </is>
      </c>
      <c r="AO299" t="inlineStr">
        <is>
          <t>6</t>
        </is>
      </c>
      <c r="AP299" t="inlineStr">
        <is>
          <t>12 1/4</t>
        </is>
      </c>
      <c r="AQ299" t="inlineStr">
        <is>
          <t>5.5</t>
        </is>
      </c>
      <c r="AR299" t="inlineStr">
        <is>
          <t>6.5</t>
        </is>
      </c>
      <c r="AS299" t="inlineStr">
        <is>
          <t>1.5</t>
        </is>
      </c>
      <c r="AT299" t="n">
        <v>175</v>
      </c>
      <c r="AU299" t="inlineStr">
        <is>
          <t>Vertex 70</t>
        </is>
      </c>
      <c r="AV299" t="inlineStr">
        <is>
          <t>53AR/47D2</t>
        </is>
      </c>
      <c r="AW299" t="n">
        <v>0.6365060988072626</v>
      </c>
      <c r="AX299" t="n">
        <v>0.6652745485037379</v>
      </c>
      <c r="AY299" t="n">
        <v>0.6938298385430999</v>
      </c>
      <c r="AZ299" t="n">
        <v>0.7219763061752759</v>
      </c>
      <c r="BA299" t="n">
        <v>0.7381705606902715</v>
      </c>
      <c r="BB299" t="n">
        <v>6.692913385826771</v>
      </c>
      <c r="BC299" t="n">
        <v>2.372904768387065</v>
      </c>
      <c r="BD299" t="n">
        <v>4.575645588875743</v>
      </c>
      <c r="BE299" t="n">
        <v>6.897346730851193</v>
      </c>
      <c r="BF299" t="n">
        <v>9.444609358605829</v>
      </c>
      <c r="BG299" t="n">
        <v>12.33585579382464</v>
      </c>
      <c r="BH299" t="n">
        <v>15.74807942331382</v>
      </c>
      <c r="BI299" t="n">
        <v>19.99813446436199</v>
      </c>
      <c r="BJ299" t="n">
        <v>25.78050131272354</v>
      </c>
      <c r="BK299" t="n">
        <v>35.26890765283473</v>
      </c>
      <c r="BL299" t="n">
        <v>92.23141038573225</v>
      </c>
      <c r="BM299" t="inlineStr"/>
      <c r="BN299" t="n">
        <v>16</v>
      </c>
      <c r="BO299" t="n">
        <v>171</v>
      </c>
      <c r="BP299" t="n">
        <v>365</v>
      </c>
      <c r="BQ299" t="n">
        <v>488</v>
      </c>
      <c r="BR299" t="n">
        <v>1096</v>
      </c>
      <c r="BS29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0">
      <c r="A300" t="inlineStr">
        <is>
          <t>FRAG</t>
        </is>
      </c>
      <c r="B300" t="inlineStr">
        <is>
          <t>Fragmentación Desmonte 2025.xlsx</t>
        </is>
      </c>
      <c r="C300" t="inlineStr">
        <is>
          <t>ANÁLISIS DE FRAGMENTACIÓN</t>
        </is>
      </c>
      <c r="D300" t="n">
        <v>304</v>
      </c>
      <c r="E300" t="inlineStr">
        <is>
          <t>ROM (fragmentación post-voladura en el frente de carguío, por análisis de fotos)</t>
        </is>
      </c>
      <c r="F300" t="inlineStr"/>
      <c r="G300" t="inlineStr">
        <is>
          <t>no indicada en el archivo</t>
        </is>
      </c>
      <c r="H300" t="inlineStr">
        <is>
          <t>2025-07-30</t>
        </is>
      </c>
      <c r="I300" t="inlineStr">
        <is>
          <t>2025-08-02</t>
        </is>
      </c>
      <c r="J300" t="inlineStr">
        <is>
          <t>PALA 08</t>
        </is>
      </c>
      <c r="K300" t="n">
        <v>9</v>
      </c>
      <c r="L300" t="inlineStr">
        <is>
          <t>9-NP-3893-06</t>
        </is>
      </c>
      <c r="M300" t="n">
        <v>1</v>
      </c>
      <c r="N300" t="n">
        <v>3893</v>
      </c>
      <c r="O300" t="inlineStr">
        <is>
          <t>A</t>
        </is>
      </c>
      <c r="P300" t="n">
        <v>30</v>
      </c>
      <c r="Q300" t="inlineStr">
        <is>
          <t>Desmonte</t>
        </is>
      </c>
      <c r="R300" t="inlineStr">
        <is>
          <t>Producción</t>
        </is>
      </c>
      <c r="S300" t="n">
        <v>8</v>
      </c>
      <c r="T300" t="n">
        <v>9.699999999999999</v>
      </c>
      <c r="U300" t="n">
        <v>3</v>
      </c>
      <c r="V300" t="n">
        <v>0.941242983238626</v>
      </c>
      <c r="W300" t="n">
        <v>0.103</v>
      </c>
      <c r="X300" t="n">
        <v>0.165</v>
      </c>
      <c r="Y300" t="n">
        <v>0.9</v>
      </c>
      <c r="Z300" t="n">
        <v>2.6</v>
      </c>
      <c r="AA300" t="n">
        <v>4.6</v>
      </c>
      <c r="AB300" t="n">
        <v>7</v>
      </c>
      <c r="AC300" t="n">
        <v>9.800000000000001</v>
      </c>
      <c r="AD300" t="n">
        <v>13.1</v>
      </c>
      <c r="AE300" t="n">
        <v>17.3</v>
      </c>
      <c r="AF300" t="n">
        <v>23.2</v>
      </c>
      <c r="AG300" t="n">
        <v>33.2</v>
      </c>
      <c r="AH300" t="n">
        <v>114.8</v>
      </c>
      <c r="AI300" t="n">
        <v>16665</v>
      </c>
      <c r="AJ300" t="n">
        <v>358792.5</v>
      </c>
      <c r="AK300" t="n">
        <v>162041.65</v>
      </c>
      <c r="AL300" t="n">
        <v>0.4516305385424723</v>
      </c>
      <c r="AM300" t="inlineStr">
        <is>
          <t>1.3955383640962393</t>
        </is>
      </c>
      <c r="AN300" t="inlineStr">
        <is>
          <t>16.5</t>
        </is>
      </c>
      <c r="AO300" t="inlineStr">
        <is>
          <t>6</t>
        </is>
      </c>
      <c r="AP300" t="inlineStr">
        <is>
          <t>12 1/4</t>
        </is>
      </c>
      <c r="AQ300" t="inlineStr">
        <is>
          <t>5.5</t>
        </is>
      </c>
      <c r="AR300" t="inlineStr">
        <is>
          <t>6.5</t>
        </is>
      </c>
      <c r="AS300" t="inlineStr">
        <is>
          <t>1.5</t>
        </is>
      </c>
      <c r="AT300" t="n">
        <v>175</v>
      </c>
      <c r="AU300" t="inlineStr">
        <is>
          <t>Vertex 70</t>
        </is>
      </c>
      <c r="AV300" t="inlineStr">
        <is>
          <t>53AR/47D2</t>
        </is>
      </c>
      <c r="AW300" t="n">
        <v>0.6502970477454397</v>
      </c>
      <c r="AX300" t="n">
        <v>0.6920989766509027</v>
      </c>
      <c r="AY300" t="n">
        <v>0.7330536938715105</v>
      </c>
      <c r="AZ300" t="n">
        <v>0.7725290449157105</v>
      </c>
      <c r="BA300" t="n">
        <v>0.7946799368170814</v>
      </c>
      <c r="BB300" t="n">
        <v>3.818897637795276</v>
      </c>
      <c r="BC300" t="n">
        <v>0.8880560315493128</v>
      </c>
      <c r="BD300" t="n">
        <v>1.971022151724465</v>
      </c>
      <c r="BE300" t="n">
        <v>3.244105650888557</v>
      </c>
      <c r="BF300" t="n">
        <v>4.751528665117383</v>
      </c>
      <c r="BG300" t="n">
        <v>6.571442885345446</v>
      </c>
      <c r="BH300" t="n">
        <v>8.839647755579401</v>
      </c>
      <c r="BI300" t="n">
        <v>11.81465109726524</v>
      </c>
      <c r="BJ300" t="n">
        <v>16.08227868550343</v>
      </c>
      <c r="BK300" t="n">
        <v>23.52874201759563</v>
      </c>
      <c r="BL300" t="n">
        <v>75.5969402838479</v>
      </c>
      <c r="BM300" t="inlineStr"/>
      <c r="BN300" t="n">
        <v>9</v>
      </c>
      <c r="BO300" t="n">
        <v>98</v>
      </c>
      <c r="BP300" t="n">
        <v>232</v>
      </c>
      <c r="BQ300" t="n">
        <v>332</v>
      </c>
      <c r="BR300" t="n">
        <v>1148</v>
      </c>
      <c r="BS30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1">
      <c r="A301" t="inlineStr">
        <is>
          <t>FRAG</t>
        </is>
      </c>
      <c r="B301" t="inlineStr">
        <is>
          <t>Fragmentación Desmonte 2025.xlsx</t>
        </is>
      </c>
      <c r="C301" t="inlineStr">
        <is>
          <t>ANÁLISIS DE FRAGMENTACIÓN</t>
        </is>
      </c>
      <c r="D301" t="n">
        <v>305</v>
      </c>
      <c r="E301" t="inlineStr">
        <is>
          <t>ROM (fragmentación post-voladura en el frente de carguío, por análisis de fotos)</t>
        </is>
      </c>
      <c r="F301" t="inlineStr"/>
      <c r="G301" t="inlineStr">
        <is>
          <t>no indicada en el archivo</t>
        </is>
      </c>
      <c r="H301" t="inlineStr">
        <is>
          <t>2025-07-28</t>
        </is>
      </c>
      <c r="I301" t="inlineStr">
        <is>
          <t>2025-08-02</t>
        </is>
      </c>
      <c r="J301" t="inlineStr">
        <is>
          <t>PALA 09</t>
        </is>
      </c>
      <c r="K301" t="n">
        <v>9</v>
      </c>
      <c r="L301" t="inlineStr">
        <is>
          <t>9-NP-3893-05</t>
        </is>
      </c>
      <c r="M301" t="n">
        <v>1</v>
      </c>
      <c r="N301" t="n">
        <v>3893</v>
      </c>
      <c r="O301" t="inlineStr">
        <is>
          <t>C</t>
        </is>
      </c>
      <c r="P301" t="n">
        <v>30</v>
      </c>
      <c r="Q301" t="inlineStr">
        <is>
          <t>Desmonte</t>
        </is>
      </c>
      <c r="R301" t="inlineStr">
        <is>
          <t>Producción</t>
        </is>
      </c>
      <c r="S301" t="n">
        <v>5</v>
      </c>
      <c r="T301" t="n">
        <v>16.9</v>
      </c>
      <c r="U301" t="n">
        <v>3</v>
      </c>
      <c r="V301" t="n">
        <v>1.134032408564292</v>
      </c>
      <c r="W301" t="n">
        <v>0.039</v>
      </c>
      <c r="X301" t="n">
        <v>0.068</v>
      </c>
      <c r="Y301" t="n">
        <v>3.1</v>
      </c>
      <c r="Z301" t="n">
        <v>6.6</v>
      </c>
      <c r="AA301" t="n">
        <v>9.9</v>
      </c>
      <c r="AB301" t="n">
        <v>13.3</v>
      </c>
      <c r="AC301" t="n">
        <v>16.9</v>
      </c>
      <c r="AD301" t="n">
        <v>20.9</v>
      </c>
      <c r="AE301" t="n">
        <v>25.6</v>
      </c>
      <c r="AF301" t="n">
        <v>31.8</v>
      </c>
      <c r="AG301" t="n">
        <v>41.5</v>
      </c>
      <c r="AH301" t="n">
        <v>110.4</v>
      </c>
      <c r="AI301" t="n">
        <v>11099</v>
      </c>
      <c r="AJ301" t="n">
        <v>511351.5</v>
      </c>
      <c r="AK301" t="n">
        <v>174204.3</v>
      </c>
      <c r="AL301" t="n">
        <v>0.3406742720027221</v>
      </c>
      <c r="AM301" t="inlineStr">
        <is>
          <t>1.0526835004884114</t>
        </is>
      </c>
      <c r="AN301" t="inlineStr">
        <is>
          <t>16.5</t>
        </is>
      </c>
      <c r="AO301" t="inlineStr">
        <is>
          <t>6</t>
        </is>
      </c>
      <c r="AP301" t="inlineStr">
        <is>
          <t>12 1/4</t>
        </is>
      </c>
      <c r="AQ301" t="inlineStr">
        <is>
          <t>5.5</t>
        </is>
      </c>
      <c r="AR301" t="inlineStr">
        <is>
          <t>6.5</t>
        </is>
      </c>
      <c r="AS301" t="inlineStr">
        <is>
          <t>1.5</t>
        </is>
      </c>
      <c r="AT301" t="n">
        <v>184</v>
      </c>
      <c r="AU301" t="inlineStr">
        <is>
          <t>Vertex 70</t>
        </is>
      </c>
      <c r="AV301" t="inlineStr">
        <is>
          <t>46AR/54D2</t>
        </is>
      </c>
      <c r="AW301" t="n">
        <v>0.6349532480696574</v>
      </c>
      <c r="AX301" t="n">
        <v>0.6522826643513879</v>
      </c>
      <c r="AY301" t="n">
        <v>0.6695659519311907</v>
      </c>
      <c r="AZ301" t="n">
        <v>0.6867618629814883</v>
      </c>
      <c r="BA301" t="n">
        <v>0.6967633531689625</v>
      </c>
      <c r="BB301" t="n">
        <v>6.653543307086614</v>
      </c>
      <c r="BC301" t="n">
        <v>2.323139324210044</v>
      </c>
      <c r="BD301" t="n">
        <v>4.502591055565975</v>
      </c>
      <c r="BE301" t="n">
        <v>6.808895187816023</v>
      </c>
      <c r="BF301" t="n">
        <v>9.346282824525662</v>
      </c>
      <c r="BG301" t="n">
        <v>12.23277989068558</v>
      </c>
      <c r="BH301" t="n">
        <v>15.64614392267876</v>
      </c>
      <c r="BI301" t="n">
        <v>19.90559745106437</v>
      </c>
      <c r="BJ301" t="n">
        <v>25.71188407575079</v>
      </c>
      <c r="BK301" t="n">
        <v>35.26076772849517</v>
      </c>
      <c r="BL301" t="n">
        <v>92.90125632006163</v>
      </c>
      <c r="BM301" t="inlineStr"/>
      <c r="BN301" t="n">
        <v>31</v>
      </c>
      <c r="BO301" t="n">
        <v>169</v>
      </c>
      <c r="BP301" t="n">
        <v>318</v>
      </c>
      <c r="BQ301" t="n">
        <v>415</v>
      </c>
      <c r="BR301" t="n">
        <v>1104</v>
      </c>
      <c r="BS30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2">
      <c r="A302" t="inlineStr">
        <is>
          <t>FRAG</t>
        </is>
      </c>
      <c r="B302" t="inlineStr">
        <is>
          <t>Fragmentación Desmonte 2025.xlsx</t>
        </is>
      </c>
      <c r="C302" t="inlineStr">
        <is>
          <t>ANÁLISIS DE FRAGMENTACIÓN</t>
        </is>
      </c>
      <c r="D302" t="n">
        <v>306</v>
      </c>
      <c r="E302" t="inlineStr">
        <is>
          <t>ROM (fragmentación post-voladura en el frente de carguío, por análisis de fotos)</t>
        </is>
      </c>
      <c r="F302" t="inlineStr"/>
      <c r="G302" t="inlineStr">
        <is>
          <t>no indicada en el archivo</t>
        </is>
      </c>
      <c r="H302" t="inlineStr">
        <is>
          <t>2025-07-23</t>
        </is>
      </c>
      <c r="I302" t="inlineStr">
        <is>
          <t>2025-08-03</t>
        </is>
      </c>
      <c r="J302" t="inlineStr">
        <is>
          <t>PALA 08</t>
        </is>
      </c>
      <c r="K302" t="n">
        <v>9</v>
      </c>
      <c r="L302" t="inlineStr">
        <is>
          <t>9-NP-3893-02</t>
        </is>
      </c>
      <c r="M302" t="n">
        <v>6</v>
      </c>
      <c r="N302" t="n">
        <v>3893</v>
      </c>
      <c r="O302" t="inlineStr">
        <is>
          <t>A</t>
        </is>
      </c>
      <c r="P302" t="n">
        <v>30</v>
      </c>
      <c r="Q302" t="inlineStr">
        <is>
          <t>Desmonte</t>
        </is>
      </c>
      <c r="R302" t="inlineStr">
        <is>
          <t>Producción</t>
        </is>
      </c>
      <c r="S302" t="n">
        <v>4</v>
      </c>
      <c r="T302" t="n">
        <v>15.4</v>
      </c>
      <c r="U302" t="n">
        <v>3</v>
      </c>
      <c r="V302" t="n">
        <v>1.214122950634759</v>
      </c>
      <c r="W302" t="n">
        <v>0.07000000000000001</v>
      </c>
      <c r="X302" t="n">
        <v>0.108</v>
      </c>
      <c r="Y302" t="n">
        <v>1.7</v>
      </c>
      <c r="Z302" t="n">
        <v>4.7</v>
      </c>
      <c r="AA302" t="n">
        <v>8.1</v>
      </c>
      <c r="AB302" t="n">
        <v>11.6</v>
      </c>
      <c r="AC302" t="n">
        <v>15.4</v>
      </c>
      <c r="AD302" t="n">
        <v>19.7</v>
      </c>
      <c r="AE302" t="n">
        <v>24.7</v>
      </c>
      <c r="AF302" t="n">
        <v>31.1</v>
      </c>
      <c r="AG302" t="n">
        <v>40.7</v>
      </c>
      <c r="AH302" t="n">
        <v>86</v>
      </c>
      <c r="AI302" t="n">
        <v>15681</v>
      </c>
      <c r="AJ302" t="n">
        <v>270664.35</v>
      </c>
      <c r="AK302" t="n">
        <v>190047.7</v>
      </c>
      <c r="AL302" t="n">
        <v>0.7021526846812297</v>
      </c>
      <c r="AM302" t="inlineStr">
        <is>
          <t>2.1696517956649997</t>
        </is>
      </c>
      <c r="AN302" t="inlineStr">
        <is>
          <t>16.5</t>
        </is>
      </c>
      <c r="AO302" t="inlineStr">
        <is>
          <t>6</t>
        </is>
      </c>
      <c r="AP302" t="inlineStr">
        <is>
          <t>12 1/4</t>
        </is>
      </c>
      <c r="AQ302" t="inlineStr">
        <is>
          <t>5.5</t>
        </is>
      </c>
      <c r="AR302" t="inlineStr">
        <is>
          <t>6.5</t>
        </is>
      </c>
      <c r="AS302" t="inlineStr">
        <is>
          <t>1.5</t>
        </is>
      </c>
      <c r="AT302" t="n">
        <v>194</v>
      </c>
      <c r="AU302" t="inlineStr">
        <is>
          <t>Vertex 70</t>
        </is>
      </c>
      <c r="AV302" t="inlineStr">
        <is>
          <t>47AR/53D2</t>
        </is>
      </c>
      <c r="AW302" t="n">
        <v>0.6339082446573815</v>
      </c>
      <c r="AX302" t="n">
        <v>0.6614160069254655</v>
      </c>
      <c r="AY302" t="n">
        <v>0.6887524695145459</v>
      </c>
      <c r="AZ302" t="n">
        <v>0.7157480564433242</v>
      </c>
      <c r="BA302" t="n">
        <v>0.7313112547860821</v>
      </c>
      <c r="BB302" t="n">
        <v>6.062992125984252</v>
      </c>
      <c r="BC302" t="n">
        <v>2.413011095396436</v>
      </c>
      <c r="BD302" t="n">
        <v>4.477018087024365</v>
      </c>
      <c r="BE302" t="n">
        <v>6.58801546823476</v>
      </c>
      <c r="BF302" t="n">
        <v>8.856099363729738</v>
      </c>
      <c r="BG302" t="n">
        <v>11.38723368899826</v>
      </c>
      <c r="BH302" t="n">
        <v>14.33012009362748</v>
      </c>
      <c r="BI302" t="n">
        <v>17.94402334795559</v>
      </c>
      <c r="BJ302" t="n">
        <v>22.79007964469286</v>
      </c>
      <c r="BK302" t="n">
        <v>30.60948219608789</v>
      </c>
      <c r="BL302" t="n">
        <v>75.65402592715606</v>
      </c>
      <c r="BM302" t="inlineStr"/>
      <c r="BN302" t="n">
        <v>17</v>
      </c>
      <c r="BO302" t="n">
        <v>154</v>
      </c>
      <c r="BP302" t="n">
        <v>311</v>
      </c>
      <c r="BQ302" t="n">
        <v>407</v>
      </c>
      <c r="BR302" t="n">
        <v>860</v>
      </c>
      <c r="BS30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3">
      <c r="A303" t="inlineStr">
        <is>
          <t>FRAG</t>
        </is>
      </c>
      <c r="B303" t="inlineStr">
        <is>
          <t>Fragmentación Desmonte 2025.xlsx</t>
        </is>
      </c>
      <c r="C303" t="inlineStr">
        <is>
          <t>ANÁLISIS DE FRAGMENTACIÓN</t>
        </is>
      </c>
      <c r="D303" t="n">
        <v>307</v>
      </c>
      <c r="E303" t="inlineStr">
        <is>
          <t>ROM (fragmentación post-voladura en el frente de carguío, por análisis de fotos)</t>
        </is>
      </c>
      <c r="F303" t="inlineStr"/>
      <c r="G303" t="inlineStr">
        <is>
          <t>no indicada en el archivo</t>
        </is>
      </c>
      <c r="H303" t="inlineStr">
        <is>
          <t>2025-07-28</t>
        </is>
      </c>
      <c r="I303" t="inlineStr">
        <is>
          <t>2025-08-03</t>
        </is>
      </c>
      <c r="J303" t="inlineStr">
        <is>
          <t>PALA 09</t>
        </is>
      </c>
      <c r="K303" t="n">
        <v>9</v>
      </c>
      <c r="L303" t="inlineStr">
        <is>
          <t>9-NP-3893-05</t>
        </is>
      </c>
      <c r="M303" t="n">
        <v>1</v>
      </c>
      <c r="N303" t="n">
        <v>3893</v>
      </c>
      <c r="O303" t="inlineStr">
        <is>
          <t>B</t>
        </is>
      </c>
      <c r="P303" t="n">
        <v>30</v>
      </c>
      <c r="Q303" t="inlineStr">
        <is>
          <t>Desmonte</t>
        </is>
      </c>
      <c r="R303" t="inlineStr">
        <is>
          <t>Producción</t>
        </is>
      </c>
      <c r="S303" t="n">
        <v>3</v>
      </c>
      <c r="T303" t="n">
        <v>15.8</v>
      </c>
      <c r="U303" t="n">
        <v>3</v>
      </c>
      <c r="V303" t="n">
        <v>1.164144927533552</v>
      </c>
      <c r="W303" t="n">
        <v>0.075</v>
      </c>
      <c r="X303" t="n">
        <v>0.114</v>
      </c>
      <c r="Y303" t="n">
        <v>1.6</v>
      </c>
      <c r="Z303" t="n">
        <v>4.6</v>
      </c>
      <c r="AA303" t="n">
        <v>8</v>
      </c>
      <c r="AB303" t="n">
        <v>11.7</v>
      </c>
      <c r="AC303" t="n">
        <v>15.8</v>
      </c>
      <c r="AD303" t="n">
        <v>20.4</v>
      </c>
      <c r="AE303" t="n">
        <v>26</v>
      </c>
      <c r="AF303" t="n">
        <v>33.1</v>
      </c>
      <c r="AG303" t="n">
        <v>43.9</v>
      </c>
      <c r="AH303" t="n">
        <v>96.90000000000001</v>
      </c>
      <c r="AI303" t="n">
        <v>11906</v>
      </c>
      <c r="AJ303" t="n">
        <v>511351.5</v>
      </c>
      <c r="AK303" t="n">
        <v>174204.3</v>
      </c>
      <c r="AL303" t="n">
        <v>0.3406742720027221</v>
      </c>
      <c r="AM303" t="inlineStr">
        <is>
          <t>1.0526835004884114</t>
        </is>
      </c>
      <c r="AN303" t="inlineStr">
        <is>
          <t>16.5</t>
        </is>
      </c>
      <c r="AO303" t="inlineStr">
        <is>
          <t>6</t>
        </is>
      </c>
      <c r="AP303" t="inlineStr">
        <is>
          <t>12 1/4</t>
        </is>
      </c>
      <c r="AQ303" t="inlineStr">
        <is>
          <t>5.5</t>
        </is>
      </c>
      <c r="AR303" t="inlineStr">
        <is>
          <t>6.5</t>
        </is>
      </c>
      <c r="AS303" t="inlineStr">
        <is>
          <t>1.5</t>
        </is>
      </c>
      <c r="AT303" t="n">
        <v>184</v>
      </c>
      <c r="AU303" t="inlineStr">
        <is>
          <t>Vertex 70</t>
        </is>
      </c>
      <c r="AV303" t="inlineStr">
        <is>
          <t>46AR/54D2</t>
        </is>
      </c>
      <c r="AW303" t="n">
        <v>0.6357703873737499</v>
      </c>
      <c r="AX303" t="n">
        <v>0.6647957719132085</v>
      </c>
      <c r="AY303" t="n">
        <v>0.6936074300967251</v>
      </c>
      <c r="AZ303" t="n">
        <v>0.7220045810084189</v>
      </c>
      <c r="BA303" t="n">
        <v>0.7383406878583569</v>
      </c>
      <c r="BB303" t="n">
        <v>6.220472440944882</v>
      </c>
      <c r="BC303" t="n">
        <v>2.28632416182292</v>
      </c>
      <c r="BD303" t="n">
        <v>4.356034504971614</v>
      </c>
      <c r="BE303" t="n">
        <v>6.51717587642104</v>
      </c>
      <c r="BF303" t="n">
        <v>8.872856083738919</v>
      </c>
      <c r="BG303" t="n">
        <v>11.53257334622423</v>
      </c>
      <c r="BH303" t="n">
        <v>14.65695324164598</v>
      </c>
      <c r="BI303" t="n">
        <v>18.5313380445289</v>
      </c>
      <c r="BJ303" t="n">
        <v>23.77881241666936</v>
      </c>
      <c r="BK303" t="n">
        <v>32.34448274229454</v>
      </c>
      <c r="BL303" t="n">
        <v>83.10882955890949</v>
      </c>
      <c r="BM303" t="inlineStr"/>
      <c r="BN303" t="n">
        <v>16</v>
      </c>
      <c r="BO303" t="n">
        <v>158</v>
      </c>
      <c r="BP303" t="n">
        <v>331</v>
      </c>
      <c r="BQ303" t="n">
        <v>439</v>
      </c>
      <c r="BR303" t="n">
        <v>969</v>
      </c>
      <c r="BS30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4">
      <c r="A304" t="inlineStr">
        <is>
          <t>FRAG</t>
        </is>
      </c>
      <c r="B304" t="inlineStr">
        <is>
          <t>Fragmentación Desmonte 2025.xlsx</t>
        </is>
      </c>
      <c r="C304" t="inlineStr">
        <is>
          <t>ANÁLISIS DE FRAGMENTACIÓN</t>
        </is>
      </c>
      <c r="D304" t="n">
        <v>308</v>
      </c>
      <c r="E304" t="inlineStr">
        <is>
          <t>ROM (fragmentación post-voladura en el frente de carguío, por análisis de fotos)</t>
        </is>
      </c>
      <c r="F304" t="inlineStr"/>
      <c r="G304" t="inlineStr">
        <is>
          <t>no indicada en el archivo</t>
        </is>
      </c>
      <c r="H304" t="inlineStr">
        <is>
          <t>2025-07-28</t>
        </is>
      </c>
      <c r="I304" t="inlineStr">
        <is>
          <t>2025-08-03</t>
        </is>
      </c>
      <c r="J304" t="inlineStr">
        <is>
          <t>PALA 09</t>
        </is>
      </c>
      <c r="K304" t="n">
        <v>9</v>
      </c>
      <c r="L304" t="inlineStr">
        <is>
          <t>9-NP-3893-05</t>
        </is>
      </c>
      <c r="M304" t="n">
        <v>2</v>
      </c>
      <c r="N304" t="n">
        <v>3893</v>
      </c>
      <c r="O304" t="inlineStr">
        <is>
          <t>C</t>
        </is>
      </c>
      <c r="P304" t="n">
        <v>30</v>
      </c>
      <c r="Q304" t="inlineStr">
        <is>
          <t>Desmonte</t>
        </is>
      </c>
      <c r="R304" t="inlineStr">
        <is>
          <t>Producción</t>
        </is>
      </c>
      <c r="S304" t="n">
        <v>4</v>
      </c>
      <c r="T304" t="n">
        <v>10.8</v>
      </c>
      <c r="U304" t="n">
        <v>3</v>
      </c>
      <c r="V304" t="n">
        <v>0.8870740402753129</v>
      </c>
      <c r="W304" t="n">
        <v>0.119</v>
      </c>
      <c r="X304" t="n">
        <v>0.179</v>
      </c>
      <c r="Y304" t="n">
        <v>0.7</v>
      </c>
      <c r="Z304" t="n">
        <v>2.3</v>
      </c>
      <c r="AA304" t="n">
        <v>4.6</v>
      </c>
      <c r="AB304" t="n">
        <v>7.4</v>
      </c>
      <c r="AC304" t="n">
        <v>10.9</v>
      </c>
      <c r="AD304" t="n">
        <v>15.2</v>
      </c>
      <c r="AE304" t="n">
        <v>20.9</v>
      </c>
      <c r="AF304" t="n">
        <v>29.1</v>
      </c>
      <c r="AG304" t="n">
        <v>43.4</v>
      </c>
      <c r="AH304" t="n">
        <v>164.2</v>
      </c>
      <c r="AI304" t="n">
        <v>11320</v>
      </c>
      <c r="AJ304" t="n">
        <v>511351.5</v>
      </c>
      <c r="AK304" t="n">
        <v>174204.3</v>
      </c>
      <c r="AL304" t="n">
        <v>0.3406742720027221</v>
      </c>
      <c r="AM304" t="inlineStr">
        <is>
          <t>1.0526835004884114</t>
        </is>
      </c>
      <c r="AN304" t="inlineStr">
        <is>
          <t>16.5</t>
        </is>
      </c>
      <c r="AO304" t="inlineStr">
        <is>
          <t>6</t>
        </is>
      </c>
      <c r="AP304" t="inlineStr">
        <is>
          <t>12 1/4</t>
        </is>
      </c>
      <c r="AQ304" t="inlineStr">
        <is>
          <t>5.5</t>
        </is>
      </c>
      <c r="AR304" t="inlineStr">
        <is>
          <t>6.5</t>
        </is>
      </c>
      <c r="AS304" t="inlineStr">
        <is>
          <t>1.5</t>
        </is>
      </c>
      <c r="AT304" t="n">
        <v>184</v>
      </c>
      <c r="AU304" t="inlineStr">
        <is>
          <t>Vertex 70</t>
        </is>
      </c>
      <c r="AV304" t="inlineStr">
        <is>
          <t>46AR/54D2</t>
        </is>
      </c>
      <c r="AW304" t="n">
        <v>0.6557340660096078</v>
      </c>
      <c r="AX304" t="n">
        <v>0.7009675887814363</v>
      </c>
      <c r="AY304" t="n">
        <v>0.7450463576304172</v>
      </c>
      <c r="AZ304" t="n">
        <v>0.7871589465587885</v>
      </c>
      <c r="BA304" t="n">
        <v>0.8105592252771869</v>
      </c>
      <c r="BB304" t="n">
        <v>4.251968503937008</v>
      </c>
      <c r="BC304" t="n">
        <v>0.8544505973452244</v>
      </c>
      <c r="BD304" t="n">
        <v>1.991048454706424</v>
      </c>
      <c r="BE304" t="n">
        <v>3.378313396432453</v>
      </c>
      <c r="BF304" t="n">
        <v>5.064762315572878</v>
      </c>
      <c r="BG304" t="n">
        <v>7.144733601681439</v>
      </c>
      <c r="BH304" t="n">
        <v>9.7864194567459</v>
      </c>
      <c r="BI304" t="n">
        <v>13.31383179698524</v>
      </c>
      <c r="BJ304" t="n">
        <v>18.46749313834858</v>
      </c>
      <c r="BK304" t="n">
        <v>27.65349878467505</v>
      </c>
      <c r="BL304" t="n">
        <v>95.41346086914189</v>
      </c>
      <c r="BM304" t="inlineStr"/>
      <c r="BN304" t="n">
        <v>7</v>
      </c>
      <c r="BO304" t="n">
        <v>109</v>
      </c>
      <c r="BP304" t="n">
        <v>291</v>
      </c>
      <c r="BQ304" t="n">
        <v>434</v>
      </c>
      <c r="BR304" t="n">
        <v>1642</v>
      </c>
      <c r="BS30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5">
      <c r="A305" t="inlineStr">
        <is>
          <t>FRAG</t>
        </is>
      </c>
      <c r="B305" t="inlineStr">
        <is>
          <t>Fragmentación Desmonte 2025.xlsx</t>
        </is>
      </c>
      <c r="C305" t="inlineStr">
        <is>
          <t>ANÁLISIS DE FRAGMENTACIÓN</t>
        </is>
      </c>
      <c r="D305" t="n">
        <v>309</v>
      </c>
      <c r="E305" t="inlineStr">
        <is>
          <t>ROM (fragmentación post-voladura en el frente de carguío, por análisis de fotos)</t>
        </is>
      </c>
      <c r="F305" t="inlineStr"/>
      <c r="G305" t="inlineStr">
        <is>
          <t>no indicada en el archivo</t>
        </is>
      </c>
      <c r="H305" t="inlineStr">
        <is>
          <t>2025-07-23</t>
        </is>
      </c>
      <c r="I305" t="inlineStr">
        <is>
          <t>2025-08-04</t>
        </is>
      </c>
      <c r="J305" t="inlineStr">
        <is>
          <t>PALA 08</t>
        </is>
      </c>
      <c r="K305" t="n">
        <v>9</v>
      </c>
      <c r="L305" t="inlineStr">
        <is>
          <t>9-NP-3893-02</t>
        </is>
      </c>
      <c r="M305" t="n">
        <v>6</v>
      </c>
      <c r="N305" t="n">
        <v>3893</v>
      </c>
      <c r="O305" t="inlineStr">
        <is>
          <t>A</t>
        </is>
      </c>
      <c r="P305" t="n">
        <v>30</v>
      </c>
      <c r="Q305" t="inlineStr">
        <is>
          <t>Desmonte</t>
        </is>
      </c>
      <c r="R305" t="inlineStr">
        <is>
          <t>Producción</t>
        </is>
      </c>
      <c r="S305" t="n">
        <v>3</v>
      </c>
      <c r="T305" t="n">
        <v>14.3</v>
      </c>
      <c r="U305" t="n">
        <v>3</v>
      </c>
      <c r="V305" t="n">
        <v>1.06526083330101</v>
      </c>
      <c r="W305" t="n">
        <v>0.101</v>
      </c>
      <c r="X305" t="n">
        <v>0.148</v>
      </c>
      <c r="Y305" t="n">
        <v>0.9</v>
      </c>
      <c r="Z305" t="n">
        <v>3.3</v>
      </c>
      <c r="AA305" t="n">
        <v>6.4</v>
      </c>
      <c r="AB305" t="n">
        <v>10.1</v>
      </c>
      <c r="AC305" t="n">
        <v>14.4</v>
      </c>
      <c r="AD305" t="n">
        <v>19.4</v>
      </c>
      <c r="AE305" t="n">
        <v>25.6</v>
      </c>
      <c r="AF305" t="n">
        <v>33.9</v>
      </c>
      <c r="AG305" t="n">
        <v>46.9</v>
      </c>
      <c r="AH305" t="n">
        <v>111.2</v>
      </c>
      <c r="AI305" t="n">
        <v>13853</v>
      </c>
      <c r="AJ305" t="n">
        <v>270664.35</v>
      </c>
      <c r="AK305" t="n">
        <v>190047.7</v>
      </c>
      <c r="AL305" t="n">
        <v>0.7021526846812297</v>
      </c>
      <c r="AM305" t="inlineStr">
        <is>
          <t>2.1696517956649997</t>
        </is>
      </c>
      <c r="AN305" t="inlineStr">
        <is>
          <t>16.5</t>
        </is>
      </c>
      <c r="AO305" t="inlineStr">
        <is>
          <t>6</t>
        </is>
      </c>
      <c r="AP305" t="inlineStr">
        <is>
          <t>12 1/4</t>
        </is>
      </c>
      <c r="AQ305" t="inlineStr">
        <is>
          <t>5.5</t>
        </is>
      </c>
      <c r="AR305" t="inlineStr">
        <is>
          <t>6.5</t>
        </is>
      </c>
      <c r="AS305" t="inlineStr">
        <is>
          <t>1.5</t>
        </is>
      </c>
      <c r="AT305" t="n">
        <v>194</v>
      </c>
      <c r="AU305" t="inlineStr">
        <is>
          <t>Vertex 70</t>
        </is>
      </c>
      <c r="AV305" t="inlineStr">
        <is>
          <t>47AR/53D2</t>
        </is>
      </c>
      <c r="AW305" t="n">
        <v>0.6416909549494367</v>
      </c>
      <c r="AX305" t="n">
        <v>0.6792968748407699</v>
      </c>
      <c r="AY305" t="n">
        <v>0.7163737909274757</v>
      </c>
      <c r="AZ305" t="n">
        <v>0.7524714688706935</v>
      </c>
      <c r="BA305" t="n">
        <v>0.772948980729803</v>
      </c>
      <c r="BB305" t="n">
        <v>5.62992125984252</v>
      </c>
      <c r="BC305" t="n">
        <v>1.729367879452403</v>
      </c>
      <c r="BD305" t="n">
        <v>3.498065265581005</v>
      </c>
      <c r="BE305" t="n">
        <v>5.43297443402346</v>
      </c>
      <c r="BF305" t="n">
        <v>7.611683761508464</v>
      </c>
      <c r="BG305" t="n">
        <v>10.13708229629812</v>
      </c>
      <c r="BH305" t="n">
        <v>13.17332107196474</v>
      </c>
      <c r="BI305" t="n">
        <v>17.02213040541569</v>
      </c>
      <c r="BJ305" t="n">
        <v>22.35366965236537</v>
      </c>
      <c r="BK305" t="n">
        <v>31.28681746600137</v>
      </c>
      <c r="BL305" t="n">
        <v>87.7511611130663</v>
      </c>
      <c r="BM305" t="inlineStr"/>
      <c r="BN305" t="n">
        <v>9</v>
      </c>
      <c r="BO305" t="n">
        <v>144</v>
      </c>
      <c r="BP305" t="n">
        <v>339</v>
      </c>
      <c r="BQ305" t="n">
        <v>469</v>
      </c>
      <c r="BR305" t="n">
        <v>1112</v>
      </c>
      <c r="BS30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6">
      <c r="A306" t="inlineStr">
        <is>
          <t>FRAG</t>
        </is>
      </c>
      <c r="B306" t="inlineStr">
        <is>
          <t>Fragmentación Desmonte 2025.xlsx</t>
        </is>
      </c>
      <c r="C306" t="inlineStr">
        <is>
          <t>ANÁLISIS DE FRAGMENTACIÓN</t>
        </is>
      </c>
      <c r="D306" t="n">
        <v>310</v>
      </c>
      <c r="E306" t="inlineStr">
        <is>
          <t>ROM (fragmentación post-voladura en el frente de carguío, por análisis de fotos)</t>
        </is>
      </c>
      <c r="F306" t="inlineStr"/>
      <c r="G306" t="inlineStr">
        <is>
          <t>no indicada en el archivo</t>
        </is>
      </c>
      <c r="H306" t="inlineStr">
        <is>
          <t>2025-07-30</t>
        </is>
      </c>
      <c r="I306" t="inlineStr">
        <is>
          <t>2025-08-04</t>
        </is>
      </c>
      <c r="J306" t="inlineStr">
        <is>
          <t>PALA 09</t>
        </is>
      </c>
      <c r="K306" t="n">
        <v>9</v>
      </c>
      <c r="L306" t="inlineStr">
        <is>
          <t>9-NP-3893-06</t>
        </is>
      </c>
      <c r="M306" t="n">
        <v>2</v>
      </c>
      <c r="N306" t="n">
        <v>3893</v>
      </c>
      <c r="O306" t="inlineStr">
        <is>
          <t>C</t>
        </is>
      </c>
      <c r="P306" t="n">
        <v>30</v>
      </c>
      <c r="Q306" t="inlineStr">
        <is>
          <t>Desmonte</t>
        </is>
      </c>
      <c r="R306" t="inlineStr">
        <is>
          <t>Producción</t>
        </is>
      </c>
      <c r="S306" t="n">
        <v>6</v>
      </c>
      <c r="T306" t="n">
        <v>11.5</v>
      </c>
      <c r="U306" t="n">
        <v>3</v>
      </c>
      <c r="V306" t="n">
        <v>0.7032791793686912</v>
      </c>
      <c r="W306" t="n">
        <v>0.117</v>
      </c>
      <c r="X306" t="n">
        <v>0.172</v>
      </c>
      <c r="Y306" t="n">
        <v>0.7</v>
      </c>
      <c r="Z306" t="n">
        <v>2.5</v>
      </c>
      <c r="AA306" t="n">
        <v>5</v>
      </c>
      <c r="AB306" t="n">
        <v>8</v>
      </c>
      <c r="AC306" t="n">
        <v>1.5</v>
      </c>
      <c r="AD306" t="n">
        <v>15.7</v>
      </c>
      <c r="AE306" t="n">
        <v>21.1</v>
      </c>
      <c r="AF306" t="n">
        <v>28.3</v>
      </c>
      <c r="AG306" t="n">
        <v>39.8</v>
      </c>
      <c r="AH306" t="n">
        <v>102</v>
      </c>
      <c r="AI306" t="n">
        <v>11012</v>
      </c>
      <c r="AJ306" t="n">
        <v>358792.5</v>
      </c>
      <c r="AK306" t="n">
        <v>162041.65</v>
      </c>
      <c r="AL306" t="n">
        <v>0.4516305385424723</v>
      </c>
      <c r="AM306" t="inlineStr">
        <is>
          <t>1.3955383640962393</t>
        </is>
      </c>
      <c r="AN306" t="inlineStr">
        <is>
          <t>16.5</t>
        </is>
      </c>
      <c r="AO306" t="inlineStr">
        <is>
          <t>6</t>
        </is>
      </c>
      <c r="AP306" t="inlineStr">
        <is>
          <t>12 1/4</t>
        </is>
      </c>
      <c r="AQ306" t="inlineStr">
        <is>
          <t>5.5</t>
        </is>
      </c>
      <c r="AR306" t="inlineStr">
        <is>
          <t>6.5</t>
        </is>
      </c>
      <c r="AS306" t="inlineStr">
        <is>
          <t>1.5</t>
        </is>
      </c>
      <c r="AT306" t="n">
        <v>175</v>
      </c>
      <c r="AU306" t="inlineStr">
        <is>
          <t>Vertex 70</t>
        </is>
      </c>
      <c r="AV306" t="inlineStr">
        <is>
          <t>53AR/47D2</t>
        </is>
      </c>
      <c r="AW306" t="n">
        <v>0.6694514204495055</v>
      </c>
      <c r="AX306" t="n">
        <v>0.7126830555106711</v>
      </c>
      <c r="AY306" t="n">
        <v>0.7546537879494615</v>
      </c>
      <c r="AZ306" t="n">
        <v>0.794641023953373</v>
      </c>
      <c r="BA306" t="n">
        <v>0.8168288840224066</v>
      </c>
      <c r="BB306" t="n">
        <v>4.52755905511811</v>
      </c>
      <c r="BC306" t="n">
        <v>0.4688493687204562</v>
      </c>
      <c r="BD306" t="n">
        <v>1.362834503473894</v>
      </c>
      <c r="BE306" t="n">
        <v>2.655030919433788</v>
      </c>
      <c r="BF306" t="n">
        <v>4.424739556906816</v>
      </c>
      <c r="BG306" t="n">
        <v>6.829138227637517</v>
      </c>
      <c r="BH306" t="n">
        <v>10.15576364047182</v>
      </c>
      <c r="BI306" t="n">
        <v>14.97364506025366</v>
      </c>
      <c r="BJ306" t="n">
        <v>22.62403583094475</v>
      </c>
      <c r="BK306" t="n">
        <v>37.64749686909452</v>
      </c>
      <c r="BL306" t="n">
        <v>179.5394101634428</v>
      </c>
      <c r="BM306" t="inlineStr"/>
      <c r="BN306" t="n">
        <v>7</v>
      </c>
      <c r="BO306" t="n">
        <v>15</v>
      </c>
      <c r="BP306" t="n">
        <v>283</v>
      </c>
      <c r="BQ306" t="n">
        <v>398</v>
      </c>
      <c r="BR306" t="n">
        <v>1020</v>
      </c>
      <c r="BS30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7">
      <c r="A307" t="inlineStr">
        <is>
          <t>FRAG</t>
        </is>
      </c>
      <c r="B307" t="inlineStr">
        <is>
          <t>Fragmentación Desmonte 2025.xlsx</t>
        </is>
      </c>
      <c r="C307" t="inlineStr">
        <is>
          <t>ANÁLISIS DE FRAGMENTACIÓN</t>
        </is>
      </c>
      <c r="D307" t="n">
        <v>311</v>
      </c>
      <c r="E307" t="inlineStr">
        <is>
          <t>ROM (fragmentación post-voladura en el frente de carguío, por análisis de fotos)</t>
        </is>
      </c>
      <c r="F307" t="inlineStr"/>
      <c r="G307" t="inlineStr">
        <is>
          <t>no indicada en el archivo</t>
        </is>
      </c>
      <c r="H307" t="inlineStr">
        <is>
          <t>2025-08-03</t>
        </is>
      </c>
      <c r="I307" t="inlineStr">
        <is>
          <t>2025-08-05</t>
        </is>
      </c>
      <c r="J307" t="inlineStr">
        <is>
          <t>PALA 15</t>
        </is>
      </c>
      <c r="K307" t="n">
        <v>9</v>
      </c>
      <c r="L307" t="inlineStr">
        <is>
          <t>9-NP-3893-11</t>
        </is>
      </c>
      <c r="M307" t="n">
        <v>1</v>
      </c>
      <c r="N307" t="n">
        <v>3893</v>
      </c>
      <c r="O307" t="inlineStr">
        <is>
          <t>C</t>
        </is>
      </c>
      <c r="P307" t="n">
        <v>30</v>
      </c>
      <c r="Q307" t="inlineStr">
        <is>
          <t>Desmonte</t>
        </is>
      </c>
      <c r="R307" t="inlineStr">
        <is>
          <t>Producción</t>
        </is>
      </c>
      <c r="S307" t="n">
        <v>4</v>
      </c>
      <c r="T307" t="n">
        <v>9.699999999999999</v>
      </c>
      <c r="U307" t="n">
        <v>3</v>
      </c>
      <c r="V307" t="n">
        <v>0.9185910621692214</v>
      </c>
      <c r="W307" t="n">
        <v>0.124</v>
      </c>
      <c r="X307" t="n">
        <v>0.187</v>
      </c>
      <c r="Y307" t="n">
        <v>0.6</v>
      </c>
      <c r="Z307" t="n">
        <v>2.2</v>
      </c>
      <c r="AA307" t="n">
        <v>4.2</v>
      </c>
      <c r="AB307" t="n">
        <v>6.7</v>
      </c>
      <c r="AC307" t="n">
        <v>9.800000000000001</v>
      </c>
      <c r="AD307" t="n">
        <v>13.6</v>
      </c>
      <c r="AE307" t="n">
        <v>18.4</v>
      </c>
      <c r="AF307" t="n">
        <v>25.4</v>
      </c>
      <c r="AG307" t="n">
        <v>37.2</v>
      </c>
      <c r="AH307" t="n">
        <v>126.7</v>
      </c>
      <c r="AI307" t="inlineStr"/>
      <c r="AJ307" t="n">
        <v>504894.2250000001</v>
      </c>
      <c r="AK307" t="n">
        <v>150368</v>
      </c>
      <c r="AL307" t="n">
        <v>0.2978207960291088</v>
      </c>
      <c r="AM307" t="inlineStr">
        <is>
          <t>0.9202662597299462</t>
        </is>
      </c>
      <c r="AN307" t="inlineStr">
        <is>
          <t>17</t>
        </is>
      </c>
      <c r="AO307" t="inlineStr">
        <is>
          <t>7</t>
        </is>
      </c>
      <c r="AP307" t="inlineStr">
        <is>
          <t>12 1/4</t>
        </is>
      </c>
      <c r="AQ307" t="inlineStr">
        <is>
          <t>8.5</t>
        </is>
      </c>
      <c r="AR307" t="inlineStr">
        <is>
          <t>9.8</t>
        </is>
      </c>
      <c r="AS307" t="inlineStr">
        <is>
          <t>2</t>
        </is>
      </c>
      <c r="AT307" t="n">
        <v>154</v>
      </c>
      <c r="AU307" t="inlineStr">
        <is>
          <t>Vertex 70</t>
        </is>
      </c>
      <c r="AV307" t="inlineStr">
        <is>
          <t>53AR/47D2</t>
        </is>
      </c>
      <c r="AW307" t="n">
        <v>0.6543910718067317</v>
      </c>
      <c r="AX307" t="n">
        <v>0.7016487472319495</v>
      </c>
      <c r="AY307" t="n">
        <v>0.7476325504261261</v>
      </c>
      <c r="AZ307" t="n">
        <v>0.791417281571868</v>
      </c>
      <c r="BA307" t="n">
        <v>0.8156438923606448</v>
      </c>
      <c r="BB307" t="n">
        <v>3.818897637795276</v>
      </c>
      <c r="BC307" t="n">
        <v>0.8372125328699431</v>
      </c>
      <c r="BD307" t="n">
        <v>1.895069794622099</v>
      </c>
      <c r="BE307" t="n">
        <v>3.157657906332888</v>
      </c>
      <c r="BF307" t="n">
        <v>4.668640718618664</v>
      </c>
      <c r="BG307" t="n">
        <v>6.508644615509891</v>
      </c>
      <c r="BH307" t="n">
        <v>8.819425136711263</v>
      </c>
      <c r="BI307" t="n">
        <v>11.87224798441676</v>
      </c>
      <c r="BJ307" t="n">
        <v>16.2840413418277</v>
      </c>
      <c r="BK307" t="n">
        <v>24.04851795526226</v>
      </c>
      <c r="BL307" t="n">
        <v>79.52319536220756</v>
      </c>
      <c r="BM307" t="inlineStr"/>
      <c r="BN307" t="n">
        <v>6</v>
      </c>
      <c r="BO307" t="n">
        <v>98</v>
      </c>
      <c r="BP307" t="n">
        <v>254</v>
      </c>
      <c r="BQ307" t="n">
        <v>372</v>
      </c>
      <c r="BR307" t="n">
        <v>1267</v>
      </c>
      <c r="BS30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8">
      <c r="A308" t="inlineStr">
        <is>
          <t>FRAG</t>
        </is>
      </c>
      <c r="B308" t="inlineStr">
        <is>
          <t>Fragmentación Desmonte 2025.xlsx</t>
        </is>
      </c>
      <c r="C308" t="inlineStr">
        <is>
          <t>ANÁLISIS DE FRAGMENTACIÓN</t>
        </is>
      </c>
      <c r="D308" t="n">
        <v>312</v>
      </c>
      <c r="E308" t="inlineStr">
        <is>
          <t>ROM (fragmentación post-voladura en el frente de carguío, por análisis de fotos)</t>
        </is>
      </c>
      <c r="F308" t="inlineStr"/>
      <c r="G308" t="inlineStr">
        <is>
          <t>no indicada en el archivo</t>
        </is>
      </c>
      <c r="H308" t="inlineStr">
        <is>
          <t>2025-07-28</t>
        </is>
      </c>
      <c r="I308" t="inlineStr">
        <is>
          <t>2025-08-05</t>
        </is>
      </c>
      <c r="J308" t="inlineStr">
        <is>
          <t>PALA 09</t>
        </is>
      </c>
      <c r="K308" t="n">
        <v>9</v>
      </c>
      <c r="L308" t="inlineStr">
        <is>
          <t>9-NP-3893-05</t>
        </is>
      </c>
      <c r="M308" t="n">
        <v>2</v>
      </c>
      <c r="N308" t="n">
        <v>3893</v>
      </c>
      <c r="O308" t="inlineStr">
        <is>
          <t>C</t>
        </is>
      </c>
      <c r="P308" t="n">
        <v>30</v>
      </c>
      <c r="Q308" t="inlineStr">
        <is>
          <t>Desmonte</t>
        </is>
      </c>
      <c r="R308" t="inlineStr">
        <is>
          <t>Producción</t>
        </is>
      </c>
      <c r="S308" t="n">
        <v>3</v>
      </c>
      <c r="T308" t="n">
        <v>24.1</v>
      </c>
      <c r="U308" t="n">
        <v>2</v>
      </c>
      <c r="V308" t="n">
        <v>0.9095116944244244</v>
      </c>
      <c r="W308" t="n">
        <v>0.076</v>
      </c>
      <c r="X308" t="n">
        <v>0.107</v>
      </c>
      <c r="Y308" t="n">
        <v>1.7</v>
      </c>
      <c r="Z308" t="n">
        <v>6.2</v>
      </c>
      <c r="AA308" t="n">
        <v>11.7</v>
      </c>
      <c r="AB308" t="n">
        <v>17.7</v>
      </c>
      <c r="AC308" t="n">
        <v>24.2</v>
      </c>
      <c r="AD308" t="n">
        <v>31.3</v>
      </c>
      <c r="AE308" t="n">
        <v>39.5</v>
      </c>
      <c r="AF308" t="n">
        <v>49.4</v>
      </c>
      <c r="AG308" t="n">
        <v>63.3</v>
      </c>
      <c r="AH308" t="n">
        <v>108.6</v>
      </c>
      <c r="AI308" t="n">
        <v>11012</v>
      </c>
      <c r="AJ308" t="n">
        <v>511351.5</v>
      </c>
      <c r="AK308" t="n">
        <v>174204.3</v>
      </c>
      <c r="AL308" t="n">
        <v>0.3406742720027221</v>
      </c>
      <c r="AM308" t="inlineStr">
        <is>
          <t>1.0526835004884114</t>
        </is>
      </c>
      <c r="AN308" t="inlineStr">
        <is>
          <t>16.5</t>
        </is>
      </c>
      <c r="AO308" t="inlineStr">
        <is>
          <t>6</t>
        </is>
      </c>
      <c r="AP308" t="inlineStr">
        <is>
          <t>12 1/4</t>
        </is>
      </c>
      <c r="AQ308" t="inlineStr">
        <is>
          <t>5.5</t>
        </is>
      </c>
      <c r="AR308" t="inlineStr">
        <is>
          <t>6.5</t>
        </is>
      </c>
      <c r="AS308" t="inlineStr">
        <is>
          <t>1.5</t>
        </is>
      </c>
      <c r="AT308" t="n">
        <v>184</v>
      </c>
      <c r="AU308" t="inlineStr">
        <is>
          <t>Vertex 70</t>
        </is>
      </c>
      <c r="AV308" t="inlineStr">
        <is>
          <t>46AR/54D2</t>
        </is>
      </c>
      <c r="AW308" t="n">
        <v>0.6452596738342133</v>
      </c>
      <c r="AX308" t="n">
        <v>0.6724634229134039</v>
      </c>
      <c r="AY308" t="n">
        <v>0.6994329179102482</v>
      </c>
      <c r="AZ308" t="n">
        <v>0.7260003446122305</v>
      </c>
      <c r="BA308" t="n">
        <v>0.741285927609976</v>
      </c>
      <c r="BB308" t="n">
        <v>9.488188976377954</v>
      </c>
      <c r="BC308" t="n">
        <v>2.029831988729066</v>
      </c>
      <c r="BD308" t="n">
        <v>4.632242983916685</v>
      </c>
      <c r="BE308" t="n">
        <v>7.757910400672022</v>
      </c>
      <c r="BF308" t="n">
        <v>11.51503993017588</v>
      </c>
      <c r="BG308" t="n">
        <v>16.10668094860961</v>
      </c>
      <c r="BH308" t="n">
        <v>21.89137232962347</v>
      </c>
      <c r="BI308" t="n">
        <v>29.55659225300395</v>
      </c>
      <c r="BJ308" t="n">
        <v>40.66806539729173</v>
      </c>
      <c r="BK308" t="n">
        <v>60.29342616102005</v>
      </c>
      <c r="BL308" t="n">
        <v>201.7718283817937</v>
      </c>
      <c r="BM308" t="inlineStr"/>
      <c r="BN308" t="n">
        <v>17</v>
      </c>
      <c r="BO308" t="n">
        <v>242</v>
      </c>
      <c r="BP308" t="n">
        <v>494</v>
      </c>
      <c r="BQ308" t="n">
        <v>633</v>
      </c>
      <c r="BR308" t="n">
        <v>1086</v>
      </c>
      <c r="BS30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09">
      <c r="A309" t="inlineStr">
        <is>
          <t>FRAG</t>
        </is>
      </c>
      <c r="B309" t="inlineStr">
        <is>
          <t>Fragmentación Desmonte 2025.xlsx</t>
        </is>
      </c>
      <c r="C309" t="inlineStr">
        <is>
          <t>ANÁLISIS DE FRAGMENTACIÓN</t>
        </is>
      </c>
      <c r="D309" t="n">
        <v>313</v>
      </c>
      <c r="E309" t="inlineStr">
        <is>
          <t>ROM (fragmentación post-voladura en el frente de carguío, por análisis de fotos)</t>
        </is>
      </c>
      <c r="F309" t="inlineStr"/>
      <c r="G309" t="inlineStr">
        <is>
          <t>no indicada en el archivo</t>
        </is>
      </c>
      <c r="H309" t="inlineStr">
        <is>
          <t>2025-08-03</t>
        </is>
      </c>
      <c r="I309" t="inlineStr">
        <is>
          <t>2025-08-06</t>
        </is>
      </c>
      <c r="J309" t="inlineStr">
        <is>
          <t>PALA 09</t>
        </is>
      </c>
      <c r="K309" t="n">
        <v>9</v>
      </c>
      <c r="L309" t="inlineStr">
        <is>
          <t>9-NP-3893-11</t>
        </is>
      </c>
      <c r="M309" t="n">
        <v>1</v>
      </c>
      <c r="N309" t="n">
        <v>3893</v>
      </c>
      <c r="O309" t="inlineStr">
        <is>
          <t>C</t>
        </is>
      </c>
      <c r="P309" t="n">
        <v>30</v>
      </c>
      <c r="Q309" t="inlineStr">
        <is>
          <t>Desmonte</t>
        </is>
      </c>
      <c r="R309" t="inlineStr">
        <is>
          <t>Producción</t>
        </is>
      </c>
      <c r="S309" t="n">
        <v>4</v>
      </c>
      <c r="T309" t="n">
        <v>11.5</v>
      </c>
      <c r="U309" t="n">
        <v>2</v>
      </c>
      <c r="V309" t="n">
        <v>0.7671146062415509</v>
      </c>
      <c r="W309" t="n">
        <v>0.126</v>
      </c>
      <c r="X309" t="n">
        <v>0.179</v>
      </c>
      <c r="Y309" t="n">
        <v>0.6</v>
      </c>
      <c r="Z309" t="n">
        <v>2.4</v>
      </c>
      <c r="AA309" t="n">
        <v>4.9</v>
      </c>
      <c r="AB309" t="n">
        <v>8</v>
      </c>
      <c r="AC309" t="n">
        <v>11.5</v>
      </c>
      <c r="AD309" t="n">
        <v>15.6</v>
      </c>
      <c r="AE309" t="n">
        <v>20.6</v>
      </c>
      <c r="AF309" t="n">
        <v>26.9</v>
      </c>
      <c r="AG309" t="n">
        <v>36.4</v>
      </c>
      <c r="AH309" t="n">
        <v>72.5</v>
      </c>
      <c r="AI309" t="n">
        <v>11100</v>
      </c>
      <c r="AJ309" t="n">
        <v>504894.2250000001</v>
      </c>
      <c r="AK309" t="n">
        <v>150368</v>
      </c>
      <c r="AL309" t="n">
        <v>0.2978207960291088</v>
      </c>
      <c r="AM309" t="inlineStr">
        <is>
          <t>0.9202662597299462</t>
        </is>
      </c>
      <c r="AN309" t="inlineStr">
        <is>
          <t>17</t>
        </is>
      </c>
      <c r="AO309" t="inlineStr">
        <is>
          <t>7</t>
        </is>
      </c>
      <c r="AP309" t="inlineStr">
        <is>
          <t>12 1/4</t>
        </is>
      </c>
      <c r="AQ309" t="inlineStr">
        <is>
          <t>8.5</t>
        </is>
      </c>
      <c r="AR309" t="inlineStr">
        <is>
          <t>9.8</t>
        </is>
      </c>
      <c r="AS309" t="inlineStr">
        <is>
          <t>2</t>
        </is>
      </c>
      <c r="AT309" t="n">
        <v>154</v>
      </c>
      <c r="AU309" t="inlineStr">
        <is>
          <t>Vertex 70</t>
        </is>
      </c>
      <c r="AV309" t="inlineStr">
        <is>
          <t>53AR/47D2</t>
        </is>
      </c>
      <c r="AW309" t="n">
        <v>0.6652720903668071</v>
      </c>
      <c r="AX309" t="n">
        <v>0.7103295122906699</v>
      </c>
      <c r="AY309" t="n">
        <v>0.7540638371412258</v>
      </c>
      <c r="AZ309" t="n">
        <v>0.7956612653554773</v>
      </c>
      <c r="BA309" t="n">
        <v>0.8186840518890055</v>
      </c>
      <c r="BB309" t="n">
        <v>4.52755905511811</v>
      </c>
      <c r="BC309" t="n">
        <v>0.6118912460056283</v>
      </c>
      <c r="BD309" t="n">
        <v>1.627501466511237</v>
      </c>
      <c r="BE309" t="n">
        <v>2.999484285478167</v>
      </c>
      <c r="BF309" t="n">
        <v>4.790778915396592</v>
      </c>
      <c r="BG309" t="n">
        <v>7.131815689473065</v>
      </c>
      <c r="BH309" t="n">
        <v>10.26136100448664</v>
      </c>
      <c r="BI309" t="n">
        <v>14.64834724503914</v>
      </c>
      <c r="BJ309" t="n">
        <v>21.38530789021732</v>
      </c>
      <c r="BK309" t="n">
        <v>34.1096455694376</v>
      </c>
      <c r="BL309" t="n">
        <v>142.8386974065805</v>
      </c>
      <c r="BM309" t="inlineStr"/>
      <c r="BN309" t="n">
        <v>6</v>
      </c>
      <c r="BO309" t="n">
        <v>115</v>
      </c>
      <c r="BP309" t="n">
        <v>269</v>
      </c>
      <c r="BQ309" t="n">
        <v>364</v>
      </c>
      <c r="BR309" t="n">
        <v>725</v>
      </c>
      <c r="BS30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0">
      <c r="A310" t="inlineStr">
        <is>
          <t>FRAG</t>
        </is>
      </c>
      <c r="B310" t="inlineStr">
        <is>
          <t>Fragmentación Desmonte 2025.xlsx</t>
        </is>
      </c>
      <c r="C310" t="inlineStr">
        <is>
          <t>ANÁLISIS DE FRAGMENTACIÓN</t>
        </is>
      </c>
      <c r="D310" t="n">
        <v>314</v>
      </c>
      <c r="E310" t="inlineStr">
        <is>
          <t>ROM (fragmentación post-voladura en el frente de carguío, por análisis de fotos)</t>
        </is>
      </c>
      <c r="F310" t="inlineStr"/>
      <c r="G310" t="inlineStr">
        <is>
          <t>no indicada en el archivo</t>
        </is>
      </c>
      <c r="H310" t="inlineStr">
        <is>
          <t>2025-07-13</t>
        </is>
      </c>
      <c r="I310" t="inlineStr">
        <is>
          <t>2025-08-07</t>
        </is>
      </c>
      <c r="J310" t="inlineStr">
        <is>
          <t>PALA 10</t>
        </is>
      </c>
      <c r="K310" t="n">
        <v>9</v>
      </c>
      <c r="L310" t="inlineStr">
        <is>
          <t>9-NP-3908-21</t>
        </is>
      </c>
      <c r="M310" t="n">
        <v>3</v>
      </c>
      <c r="N310" t="n">
        <v>3908</v>
      </c>
      <c r="O310" t="inlineStr">
        <is>
          <t>A</t>
        </is>
      </c>
      <c r="P310" t="n">
        <v>30</v>
      </c>
      <c r="Q310" t="inlineStr">
        <is>
          <t>Desmonte</t>
        </is>
      </c>
      <c r="R310" t="inlineStr">
        <is>
          <t>Producción</t>
        </is>
      </c>
      <c r="S310" t="n">
        <v>3</v>
      </c>
      <c r="T310" t="n">
        <v>15.2</v>
      </c>
      <c r="U310" t="n">
        <v>3</v>
      </c>
      <c r="V310" t="n">
        <v>1.470903411625457</v>
      </c>
      <c r="W310" t="n">
        <v>0.028</v>
      </c>
      <c r="X310" t="n">
        <v>0.051</v>
      </c>
      <c r="Y310" t="n">
        <v>3.9</v>
      </c>
      <c r="Z310" t="n">
        <v>7.2</v>
      </c>
      <c r="AA310" t="n">
        <v>10</v>
      </c>
      <c r="AB310" t="n">
        <v>12.6</v>
      </c>
      <c r="AC310" t="n">
        <v>15.2</v>
      </c>
      <c r="AD310" t="n">
        <v>18</v>
      </c>
      <c r="AE310" t="n">
        <v>21.1</v>
      </c>
      <c r="AF310" t="n">
        <v>24.9</v>
      </c>
      <c r="AG310" t="n">
        <v>30.4</v>
      </c>
      <c r="AH310" t="n">
        <v>60.8</v>
      </c>
      <c r="AI310" t="n">
        <v>12054</v>
      </c>
      <c r="AJ310" t="n">
        <v>161122.5</v>
      </c>
      <c r="AK310" t="n">
        <v>113394</v>
      </c>
      <c r="AL310" t="n">
        <v>0.7037750779686264</v>
      </c>
      <c r="AM310" t="inlineStr">
        <is>
          <t>2.174664990923055</t>
        </is>
      </c>
      <c r="AN310" t="inlineStr">
        <is>
          <t>17</t>
        </is>
      </c>
      <c r="AO310" t="inlineStr">
        <is>
          <t>6.5</t>
        </is>
      </c>
      <c r="AP310" t="inlineStr">
        <is>
          <t>12 1/4</t>
        </is>
      </c>
      <c r="AQ310" t="inlineStr">
        <is>
          <t>6</t>
        </is>
      </c>
      <c r="AR310" t="inlineStr">
        <is>
          <t>7</t>
        </is>
      </c>
      <c r="AS310" t="inlineStr">
        <is>
          <t>2</t>
        </is>
      </c>
      <c r="AT310" t="n">
        <v>130</v>
      </c>
      <c r="AU310" t="inlineStr">
        <is>
          <t>Vertex 70</t>
        </is>
      </c>
      <c r="AV310" t="inlineStr">
        <is>
          <t>44AR/56D2</t>
        </is>
      </c>
      <c r="AW310" t="n">
        <v>0.6293652213329972</v>
      </c>
      <c r="AX310" t="n">
        <v>0.6423685850054695</v>
      </c>
      <c r="AY310" t="n">
        <v>0.6553589204546837</v>
      </c>
      <c r="AZ310" t="n">
        <v>0.6683192783583378</v>
      </c>
      <c r="BA310" t="n">
        <v>0.6758797576637685</v>
      </c>
      <c r="BB310" t="n">
        <v>5.984251968503937</v>
      </c>
      <c r="BC310" t="n">
        <v>3.291599240446649</v>
      </c>
      <c r="BD310" t="n">
        <v>5.482464836801416</v>
      </c>
      <c r="BE310" t="n">
        <v>7.541438500413241</v>
      </c>
      <c r="BF310" t="n">
        <v>9.627455341814183</v>
      </c>
      <c r="BG310" t="n">
        <v>11.84753755949606</v>
      </c>
      <c r="BH310" t="n">
        <v>14.3229263815625</v>
      </c>
      <c r="BI310" t="n">
        <v>17.24452284607665</v>
      </c>
      <c r="BJ310" t="n">
        <v>21.0064153773485</v>
      </c>
      <c r="BK310" t="n">
        <v>26.79769742458445</v>
      </c>
      <c r="BL310" t="n">
        <v>56.55492265561854</v>
      </c>
      <c r="BM310" t="inlineStr"/>
      <c r="BN310" t="n">
        <v>39</v>
      </c>
      <c r="BO310" t="n">
        <v>152</v>
      </c>
      <c r="BP310" t="n">
        <v>249</v>
      </c>
      <c r="BQ310" t="n">
        <v>304</v>
      </c>
      <c r="BR310" t="n">
        <v>608</v>
      </c>
      <c r="BS31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1">
      <c r="A311" t="inlineStr">
        <is>
          <t>FRAG</t>
        </is>
      </c>
      <c r="B311" t="inlineStr">
        <is>
          <t>Fragmentación Desmonte 2025.xlsx</t>
        </is>
      </c>
      <c r="C311" t="inlineStr">
        <is>
          <t>ANÁLISIS DE FRAGMENTACIÓN</t>
        </is>
      </c>
      <c r="D311" t="n">
        <v>315</v>
      </c>
      <c r="E311" t="inlineStr">
        <is>
          <t>ROM (fragmentación post-voladura en el frente de carguío, por análisis de fotos)</t>
        </is>
      </c>
      <c r="F311" t="inlineStr"/>
      <c r="G311" t="inlineStr">
        <is>
          <t>no indicada en el archivo</t>
        </is>
      </c>
      <c r="H311" t="inlineStr">
        <is>
          <t>2025-07-22</t>
        </is>
      </c>
      <c r="I311" t="inlineStr">
        <is>
          <t>2025-08-08</t>
        </is>
      </c>
      <c r="J311" t="inlineStr">
        <is>
          <t>PALA 09</t>
        </is>
      </c>
      <c r="K311" t="n">
        <v>9</v>
      </c>
      <c r="L311" t="inlineStr">
        <is>
          <t>9-NP-3893-04</t>
        </is>
      </c>
      <c r="M311" t="n">
        <v>3</v>
      </c>
      <c r="N311" t="n">
        <v>3893</v>
      </c>
      <c r="O311" t="inlineStr">
        <is>
          <t>A</t>
        </is>
      </c>
      <c r="P311" t="n">
        <v>30</v>
      </c>
      <c r="Q311" t="inlineStr">
        <is>
          <t>Desmonte</t>
        </is>
      </c>
      <c r="R311" t="inlineStr">
        <is>
          <t>Producción</t>
        </is>
      </c>
      <c r="S311" t="n">
        <v>5</v>
      </c>
      <c r="T311" t="n">
        <v>8.6</v>
      </c>
      <c r="U311" t="n">
        <v>2</v>
      </c>
      <c r="V311" t="n">
        <v>0.75727690691953</v>
      </c>
      <c r="W311" t="n">
        <v>0.156</v>
      </c>
      <c r="X311" t="n">
        <v>0.22</v>
      </c>
      <c r="Y311" t="n">
        <v>0.3</v>
      </c>
      <c r="Z311" t="n">
        <v>1.6</v>
      </c>
      <c r="AA311" t="n">
        <v>3.5</v>
      </c>
      <c r="AB311" t="n">
        <v>5.9</v>
      </c>
      <c r="AC311" t="n">
        <v>8.699999999999999</v>
      </c>
      <c r="AD311" t="n">
        <v>12</v>
      </c>
      <c r="AE311" t="n">
        <v>16</v>
      </c>
      <c r="AF311" t="n">
        <v>21.2</v>
      </c>
      <c r="AG311" t="n">
        <v>28.9</v>
      </c>
      <c r="AH311" t="n">
        <v>56.6</v>
      </c>
      <c r="AI311" t="n">
        <v>16925</v>
      </c>
      <c r="AJ311" t="n">
        <v>375922.3875</v>
      </c>
      <c r="AK311" t="n">
        <v>291518.27</v>
      </c>
      <c r="AL311" t="n">
        <v>0.7754746184144194</v>
      </c>
      <c r="AM311" t="inlineStr">
        <is>
          <t>2.3962165709005556</t>
        </is>
      </c>
      <c r="AN311" t="inlineStr">
        <is>
          <t>16.5</t>
        </is>
      </c>
      <c r="AO311" t="inlineStr">
        <is>
          <t>6</t>
        </is>
      </c>
      <c r="AP311" t="inlineStr">
        <is>
          <t>12 1/4</t>
        </is>
      </c>
      <c r="AQ311" t="inlineStr">
        <is>
          <t>5.5</t>
        </is>
      </c>
      <c r="AR311" t="inlineStr">
        <is>
          <t>6.5</t>
        </is>
      </c>
      <c r="AS311" t="inlineStr">
        <is>
          <t>1.5</t>
        </is>
      </c>
      <c r="AT311" t="n">
        <v>295</v>
      </c>
      <c r="AU311" t="inlineStr">
        <is>
          <t>Vertex 70</t>
        </is>
      </c>
      <c r="AV311" t="inlineStr">
        <is>
          <t>47AR/53D2</t>
        </is>
      </c>
      <c r="AW311" t="n">
        <v>0.6738739825024653</v>
      </c>
      <c r="AX311" t="n">
        <v>0.7288412104476534</v>
      </c>
      <c r="AY311" t="n">
        <v>0.7812960677040952</v>
      </c>
      <c r="AZ311" t="n">
        <v>0.8297415009367282</v>
      </c>
      <c r="BA311" t="n">
        <v>0.855665603476527</v>
      </c>
      <c r="BB311" t="n">
        <v>3.385826771653543</v>
      </c>
      <c r="BC311" t="n">
        <v>0.4404779301756489</v>
      </c>
      <c r="BD311" t="n">
        <v>1.186562020910472</v>
      </c>
      <c r="BE311" t="n">
        <v>2.204271340012081</v>
      </c>
      <c r="BF311" t="n">
        <v>3.542145637208049</v>
      </c>
      <c r="BG311" t="n">
        <v>5.300357245649741</v>
      </c>
      <c r="BH311" t="n">
        <v>7.662361212972911</v>
      </c>
      <c r="BI311" t="n">
        <v>10.98890604135897</v>
      </c>
      <c r="BJ311" t="n">
        <v>16.12189516883293</v>
      </c>
      <c r="BK311" t="n">
        <v>25.87091843677102</v>
      </c>
      <c r="BL311" t="n">
        <v>110.3723898787311</v>
      </c>
      <c r="BM311" t="inlineStr"/>
      <c r="BN311" t="n">
        <v>3</v>
      </c>
      <c r="BO311" t="n">
        <v>87</v>
      </c>
      <c r="BP311" t="n">
        <v>212</v>
      </c>
      <c r="BQ311" t="n">
        <v>289</v>
      </c>
      <c r="BR311" t="n">
        <v>566</v>
      </c>
      <c r="BS311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2">
      <c r="A312" t="inlineStr">
        <is>
          <t>FRAG</t>
        </is>
      </c>
      <c r="B312" t="inlineStr">
        <is>
          <t>Fragmentación Desmonte 2025.xlsx</t>
        </is>
      </c>
      <c r="C312" t="inlineStr">
        <is>
          <t>ANÁLISIS DE FRAGMENTACIÓN</t>
        </is>
      </c>
      <c r="D312" t="n">
        <v>316</v>
      </c>
      <c r="E312" t="inlineStr">
        <is>
          <t>ROM (fragmentación post-voladura en el frente de carguío, por análisis de fotos)</t>
        </is>
      </c>
      <c r="F312" t="inlineStr"/>
      <c r="G312" t="inlineStr">
        <is>
          <t>no indicada en el archivo</t>
        </is>
      </c>
      <c r="H312" t="inlineStr">
        <is>
          <t>2025-06-23</t>
        </is>
      </c>
      <c r="I312" t="inlineStr">
        <is>
          <t>2025-08-08</t>
        </is>
      </c>
      <c r="J312" t="inlineStr">
        <is>
          <t>PALA 07</t>
        </is>
      </c>
      <c r="K312" t="n">
        <v>9</v>
      </c>
      <c r="L312" t="inlineStr">
        <is>
          <t>9-NP-3908-09</t>
        </is>
      </c>
      <c r="M312" t="n">
        <v>2</v>
      </c>
      <c r="N312" t="n">
        <v>3908</v>
      </c>
      <c r="O312" t="inlineStr">
        <is>
          <t>C</t>
        </is>
      </c>
      <c r="P312" t="n">
        <v>30</v>
      </c>
      <c r="Q312" t="inlineStr">
        <is>
          <t>Desmonte</t>
        </is>
      </c>
      <c r="R312" t="inlineStr">
        <is>
          <t>Producción</t>
        </is>
      </c>
      <c r="S312" t="n">
        <v>4</v>
      </c>
      <c r="T312" t="n">
        <v>13.1</v>
      </c>
      <c r="U312" t="n">
        <v>3</v>
      </c>
      <c r="V312" t="n">
        <v>1.237044104526819</v>
      </c>
      <c r="W312" t="n">
        <v>0.044</v>
      </c>
      <c r="X312" t="n">
        <v>0.078</v>
      </c>
      <c r="Y312" t="n">
        <v>2.6</v>
      </c>
      <c r="Z312" t="n">
        <v>5.4</v>
      </c>
      <c r="AA312" t="n">
        <v>8</v>
      </c>
      <c r="AB312" t="n">
        <v>10.5</v>
      </c>
      <c r="AC312" t="n">
        <v>13.2</v>
      </c>
      <c r="AD312" t="n">
        <v>16.1</v>
      </c>
      <c r="AE312" t="n">
        <v>19.5</v>
      </c>
      <c r="AF312" t="n">
        <v>23.7</v>
      </c>
      <c r="AG312" t="n">
        <v>30.3</v>
      </c>
      <c r="AH312" t="n">
        <v>70.90000000000001</v>
      </c>
      <c r="AI312" t="n">
        <v>11790</v>
      </c>
      <c r="AJ312" t="n">
        <v>83861.25</v>
      </c>
      <c r="AK312" t="n">
        <v>44317</v>
      </c>
      <c r="AL312" t="n">
        <v>0.5284562297843164</v>
      </c>
      <c r="AM312" t="inlineStr">
        <is>
          <t>1.6329297500335376</t>
        </is>
      </c>
      <c r="AN312" t="inlineStr">
        <is>
          <t>16.5</t>
        </is>
      </c>
      <c r="AO312" t="inlineStr">
        <is>
          <t>6.5</t>
        </is>
      </c>
      <c r="AP312" t="inlineStr">
        <is>
          <t>12 1/4</t>
        </is>
      </c>
      <c r="AQ312" t="inlineStr">
        <is>
          <t>6</t>
        </is>
      </c>
      <c r="AR312" t="inlineStr">
        <is>
          <t>7</t>
        </is>
      </c>
      <c r="AS312" t="inlineStr">
        <is>
          <t>1.5</t>
        </is>
      </c>
      <c r="AT312" t="n">
        <v>49</v>
      </c>
      <c r="AU312" t="inlineStr">
        <is>
          <t>Vertex 70</t>
        </is>
      </c>
      <c r="AV312" t="inlineStr">
        <is>
          <t xml:space="preserve"> 54AR/46D2</t>
        </is>
      </c>
      <c r="AW312" t="n">
        <v>0.6328750010262747</v>
      </c>
      <c r="AX312" t="n">
        <v>0.6527535969170049</v>
      </c>
      <c r="AY312" t="n">
        <v>0.6725699944760263</v>
      </c>
      <c r="AZ312" t="n">
        <v>0.6922617327440908</v>
      </c>
      <c r="BA312" t="n">
        <v>0.7036970986417075</v>
      </c>
      <c r="BB312" t="n">
        <v>5.15748031496063</v>
      </c>
      <c r="BC312" t="n">
        <v>2.124344760339208</v>
      </c>
      <c r="BD312" t="n">
        <v>3.896554967215588</v>
      </c>
      <c r="BE312" t="n">
        <v>5.692958808140362</v>
      </c>
      <c r="BF312" t="n">
        <v>7.61106032006375</v>
      </c>
      <c r="BG312" t="n">
        <v>9.740875718029216</v>
      </c>
      <c r="BH312" t="n">
        <v>12.2061814673797</v>
      </c>
      <c r="BI312" t="n">
        <v>15.22089161406478</v>
      </c>
      <c r="BJ312" t="n">
        <v>19.24608154025576</v>
      </c>
      <c r="BK312" t="n">
        <v>25.70861688917752</v>
      </c>
      <c r="BL312" t="n">
        <v>62.48464856648029</v>
      </c>
      <c r="BM312" t="inlineStr"/>
      <c r="BN312" t="n">
        <v>26</v>
      </c>
      <c r="BO312" t="n">
        <v>132</v>
      </c>
      <c r="BP312" t="n">
        <v>237</v>
      </c>
      <c r="BQ312" t="n">
        <v>303</v>
      </c>
      <c r="BR312" t="n">
        <v>709</v>
      </c>
      <c r="BS312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3">
      <c r="A313" t="inlineStr">
        <is>
          <t>FRAG</t>
        </is>
      </c>
      <c r="B313" t="inlineStr">
        <is>
          <t>Fragmentación Desmonte 2025.xlsx</t>
        </is>
      </c>
      <c r="C313" t="inlineStr">
        <is>
          <t>ANÁLISIS DE FRAGMENTACIÓN</t>
        </is>
      </c>
      <c r="D313" t="n">
        <v>317</v>
      </c>
      <c r="E313" t="inlineStr">
        <is>
          <t>ROM (fragmentación post-voladura en el frente de carguío, por análisis de fotos)</t>
        </is>
      </c>
      <c r="F313" t="inlineStr"/>
      <c r="G313" t="inlineStr">
        <is>
          <t>no indicada en el archivo</t>
        </is>
      </c>
      <c r="H313" t="inlineStr">
        <is>
          <t>2025-08-01</t>
        </is>
      </c>
      <c r="I313" t="inlineStr">
        <is>
          <t>2025-08-09</t>
        </is>
      </c>
      <c r="J313" t="inlineStr">
        <is>
          <t>PALA 09</t>
        </is>
      </c>
      <c r="K313" t="n">
        <v>9</v>
      </c>
      <c r="L313" t="inlineStr">
        <is>
          <t>9-NP-3893-08</t>
        </is>
      </c>
      <c r="M313" t="n">
        <v>1</v>
      </c>
      <c r="N313" t="n">
        <v>3893</v>
      </c>
      <c r="O313" t="inlineStr">
        <is>
          <t>A</t>
        </is>
      </c>
      <c r="P313" t="n">
        <v>30</v>
      </c>
      <c r="Q313" t="inlineStr">
        <is>
          <t>Desmonte</t>
        </is>
      </c>
      <c r="R313" t="inlineStr">
        <is>
          <t>Producción</t>
        </is>
      </c>
      <c r="S313" t="n">
        <v>4</v>
      </c>
      <c r="T313" t="n">
        <v>11.5</v>
      </c>
      <c r="U313" t="n">
        <v>2</v>
      </c>
      <c r="V313" t="n">
        <v>0.8701331355896301</v>
      </c>
      <c r="W313" t="n">
        <v>0.108</v>
      </c>
      <c r="X313" t="n">
        <v>0.158</v>
      </c>
      <c r="Y313" t="n">
        <v>0.8</v>
      </c>
      <c r="Z313" t="n">
        <v>2.9</v>
      </c>
      <c r="AA313" t="n">
        <v>5.5</v>
      </c>
      <c r="AB313" t="n">
        <v>8.4</v>
      </c>
      <c r="AC313" t="n">
        <v>11.6</v>
      </c>
      <c r="AD313" t="n">
        <v>15.1</v>
      </c>
      <c r="AE313" t="n">
        <v>19.2</v>
      </c>
      <c r="AF313" t="n">
        <v>24.2</v>
      </c>
      <c r="AG313" t="n">
        <v>31.4</v>
      </c>
      <c r="AH313" t="n">
        <v>56.2</v>
      </c>
      <c r="AI313" t="n">
        <v>17145</v>
      </c>
      <c r="AJ313" t="n">
        <v>656557.275</v>
      </c>
      <c r="AK313" t="n">
        <v>374351.9</v>
      </c>
      <c r="AL313" t="n">
        <v>0.5701740187099442</v>
      </c>
      <c r="AM313" t="inlineStr">
        <is>
          <t>1.7618377178137277</t>
        </is>
      </c>
      <c r="AN313" t="inlineStr">
        <is>
          <t>16.5</t>
        </is>
      </c>
      <c r="AO313" t="inlineStr">
        <is>
          <t>6</t>
        </is>
      </c>
      <c r="AP313" t="inlineStr">
        <is>
          <t>12 1/4</t>
        </is>
      </c>
      <c r="AQ313" t="inlineStr">
        <is>
          <t>5.5</t>
        </is>
      </c>
      <c r="AR313" t="inlineStr">
        <is>
          <t>6.5</t>
        </is>
      </c>
      <c r="AS313" t="inlineStr">
        <is>
          <t>1.5</t>
        </is>
      </c>
      <c r="AT313" t="n">
        <v>371</v>
      </c>
      <c r="AU313" t="inlineStr">
        <is>
          <t>Vertex 70</t>
        </is>
      </c>
      <c r="AV313" t="inlineStr">
        <is>
          <t>53AR/47D2</t>
        </is>
      </c>
      <c r="AW313" t="n">
        <v>0.6540858462115599</v>
      </c>
      <c r="AX313" t="n">
        <v>0.6940793173880972</v>
      </c>
      <c r="AY313" t="n">
        <v>0.7332689618194852</v>
      </c>
      <c r="AZ313" t="n">
        <v>0.7710989959965917</v>
      </c>
      <c r="BA313" t="n">
        <v>0.792373905208684</v>
      </c>
      <c r="BB313" t="n">
        <v>4.52755905511811</v>
      </c>
      <c r="BC313" t="n">
        <v>0.8659861992799621</v>
      </c>
      <c r="BD313" t="n">
        <v>2.051439779230237</v>
      </c>
      <c r="BE313" t="n">
        <v>3.516797712082329</v>
      </c>
      <c r="BF313" t="n">
        <v>5.314108050934147</v>
      </c>
      <c r="BG313" t="n">
        <v>7.546865221253753</v>
      </c>
      <c r="BH313" t="n">
        <v>10.40074922932537</v>
      </c>
      <c r="BI313" t="n">
        <v>14.23464070316672</v>
      </c>
      <c r="BJ313" t="n">
        <v>19.87092463036776</v>
      </c>
      <c r="BK313" t="n">
        <v>29.98983041391422</v>
      </c>
      <c r="BL313" t="n">
        <v>105.9998704329465</v>
      </c>
      <c r="BM313" t="inlineStr"/>
      <c r="BN313" t="n">
        <v>8</v>
      </c>
      <c r="BO313" t="n">
        <v>116</v>
      </c>
      <c r="BP313" t="n">
        <v>242</v>
      </c>
      <c r="BQ313" t="n">
        <v>314</v>
      </c>
      <c r="BR313" t="n">
        <v>562</v>
      </c>
      <c r="BS313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4">
      <c r="A314" t="inlineStr">
        <is>
          <t>FRAG</t>
        </is>
      </c>
      <c r="B314" t="inlineStr">
        <is>
          <t>Fragmentación Desmonte 2025.xlsx</t>
        </is>
      </c>
      <c r="C314" t="inlineStr">
        <is>
          <t>ANÁLISIS DE FRAGMENTACIÓN</t>
        </is>
      </c>
      <c r="D314" t="n">
        <v>318</v>
      </c>
      <c r="E314" t="inlineStr">
        <is>
          <t>ROM (fragmentación post-voladura en el frente de carguío, por análisis de fotos)</t>
        </is>
      </c>
      <c r="F314" t="inlineStr"/>
      <c r="G314" t="inlineStr">
        <is>
          <t>no indicada en el archivo</t>
        </is>
      </c>
      <c r="H314" t="inlineStr">
        <is>
          <t>2025-06-23</t>
        </is>
      </c>
      <c r="I314" t="inlineStr">
        <is>
          <t>2025-08-09</t>
        </is>
      </c>
      <c r="J314" t="inlineStr">
        <is>
          <t>PALA 15</t>
        </is>
      </c>
      <c r="K314" t="n">
        <v>9</v>
      </c>
      <c r="L314" t="inlineStr">
        <is>
          <t>9-NP-3908-09</t>
        </is>
      </c>
      <c r="M314" t="n">
        <v>2</v>
      </c>
      <c r="N314" t="n">
        <v>3908</v>
      </c>
      <c r="O314" t="inlineStr">
        <is>
          <t>C</t>
        </is>
      </c>
      <c r="P314" t="n">
        <v>30</v>
      </c>
      <c r="Q314" t="inlineStr">
        <is>
          <t>Desmonte</t>
        </is>
      </c>
      <c r="R314" t="inlineStr">
        <is>
          <t>Producción</t>
        </is>
      </c>
      <c r="S314" t="n">
        <v>5</v>
      </c>
      <c r="T314" t="n">
        <v>13.7</v>
      </c>
      <c r="U314" t="n">
        <v>2</v>
      </c>
      <c r="V314" t="n">
        <v>0.814511043627787</v>
      </c>
      <c r="W314" t="n">
        <v>0.09</v>
      </c>
      <c r="X314" t="n">
        <v>0.134</v>
      </c>
      <c r="Y314" t="n">
        <v>1.2</v>
      </c>
      <c r="Z314" t="n">
        <v>3.7</v>
      </c>
      <c r="AA314" t="n">
        <v>6.8</v>
      </c>
      <c r="AB314" t="n">
        <v>10.1</v>
      </c>
      <c r="AC314" t="n">
        <v>13.7</v>
      </c>
      <c r="AD314" t="n">
        <v>17.9</v>
      </c>
      <c r="AE314" t="n">
        <v>22.7</v>
      </c>
      <c r="AF314" t="n">
        <v>28.8</v>
      </c>
      <c r="AG314" t="n">
        <v>37.9</v>
      </c>
      <c r="AH314" t="n">
        <v>75.5</v>
      </c>
      <c r="AI314" t="inlineStr"/>
      <c r="AJ314" t="n">
        <v>83861.25</v>
      </c>
      <c r="AK314" t="n">
        <v>44317</v>
      </c>
      <c r="AL314" t="n">
        <v>0.5284562297843164</v>
      </c>
      <c r="AM314" t="inlineStr">
        <is>
          <t>1.6329297500335376</t>
        </is>
      </c>
      <c r="AN314" t="inlineStr">
        <is>
          <t>16.5</t>
        </is>
      </c>
      <c r="AO314" t="inlineStr">
        <is>
          <t>6.5</t>
        </is>
      </c>
      <c r="AP314" t="inlineStr">
        <is>
          <t>12 1/4</t>
        </is>
      </c>
      <c r="AQ314" t="inlineStr">
        <is>
          <t>6</t>
        </is>
      </c>
      <c r="AR314" t="inlineStr">
        <is>
          <t>7</t>
        </is>
      </c>
      <c r="AS314" t="inlineStr">
        <is>
          <t>1.5</t>
        </is>
      </c>
      <c r="AT314" t="n">
        <v>49</v>
      </c>
      <c r="AU314" t="inlineStr">
        <is>
          <t>Vertex 70</t>
        </is>
      </c>
      <c r="AV314" t="inlineStr">
        <is>
          <t xml:space="preserve"> 54AR/46D2</t>
        </is>
      </c>
      <c r="AW314" t="n">
        <v>0.6540038776077679</v>
      </c>
      <c r="AX314" t="n">
        <v>0.6879615287416802</v>
      </c>
      <c r="AY314" t="n">
        <v>0.721401714178879</v>
      </c>
      <c r="AZ314" t="n">
        <v>0.7539875329976163</v>
      </c>
      <c r="BA314" t="n">
        <v>0.772515951590623</v>
      </c>
      <c r="BB314" t="n">
        <v>5.393700787401574</v>
      </c>
      <c r="BC314" t="n">
        <v>0.8646343046579187</v>
      </c>
      <c r="BD314" t="n">
        <v>2.172489742351148</v>
      </c>
      <c r="BE314" t="n">
        <v>3.863954577695136</v>
      </c>
      <c r="BF314" t="n">
        <v>6.005622771041547</v>
      </c>
      <c r="BG314" t="n">
        <v>8.735688527580205</v>
      </c>
      <c r="BH314" t="n">
        <v>12.30573862244888</v>
      </c>
      <c r="BI314" t="n">
        <v>17.20664170144265</v>
      </c>
      <c r="BJ314" t="n">
        <v>24.57314859778357</v>
      </c>
      <c r="BK314" t="n">
        <v>38.14378564445659</v>
      </c>
      <c r="BL314" t="n">
        <v>146.9603169590148</v>
      </c>
      <c r="BM314" t="inlineStr"/>
      <c r="BN314" t="n">
        <v>12</v>
      </c>
      <c r="BO314" t="n">
        <v>137</v>
      </c>
      <c r="BP314" t="n">
        <v>288</v>
      </c>
      <c r="BQ314" t="n">
        <v>379</v>
      </c>
      <c r="BR314" t="n">
        <v>755</v>
      </c>
      <c r="BS314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5">
      <c r="A315" t="inlineStr">
        <is>
          <t>FRAG</t>
        </is>
      </c>
      <c r="B315" t="inlineStr">
        <is>
          <t>Fragmentación Desmonte 2025.xlsx</t>
        </is>
      </c>
      <c r="C315" t="inlineStr">
        <is>
          <t>ANÁLISIS DE FRAGMENTACIÓN</t>
        </is>
      </c>
      <c r="D315" t="n">
        <v>319</v>
      </c>
      <c r="E315" t="inlineStr">
        <is>
          <t>ROM (fragmentación post-voladura en el frente de carguío, por análisis de fotos)</t>
        </is>
      </c>
      <c r="F315" t="inlineStr"/>
      <c r="G315" t="inlineStr">
        <is>
          <t>no indicada en el archivo</t>
        </is>
      </c>
      <c r="H315" t="inlineStr">
        <is>
          <t>2025-06-23</t>
        </is>
      </c>
      <c r="I315" t="inlineStr">
        <is>
          <t>2025-08-10</t>
        </is>
      </c>
      <c r="J315" t="inlineStr">
        <is>
          <t>PALA 09</t>
        </is>
      </c>
      <c r="K315" t="n">
        <v>9</v>
      </c>
      <c r="L315" t="inlineStr">
        <is>
          <t>9-NP-3908-09</t>
        </is>
      </c>
      <c r="M315" t="n">
        <v>2</v>
      </c>
      <c r="N315" t="n">
        <v>3908</v>
      </c>
      <c r="O315" t="inlineStr">
        <is>
          <t>C</t>
        </is>
      </c>
      <c r="P315" t="n">
        <v>30</v>
      </c>
      <c r="Q315" t="inlineStr">
        <is>
          <t>Desmonte</t>
        </is>
      </c>
      <c r="R315" t="inlineStr">
        <is>
          <t>Producción</t>
        </is>
      </c>
      <c r="S315" t="n">
        <v>3</v>
      </c>
      <c r="T315" t="n">
        <v>17</v>
      </c>
      <c r="U315" t="n">
        <v>3</v>
      </c>
      <c r="V315" t="n">
        <v>1.275259590074419</v>
      </c>
      <c r="W315" t="n">
        <v>0.039</v>
      </c>
      <c r="X315" t="n">
        <v>0.066</v>
      </c>
      <c r="Y315" t="n">
        <v>3.3</v>
      </c>
      <c r="Z315" t="n">
        <v>6.9</v>
      </c>
      <c r="AA315" t="n">
        <v>10.3</v>
      </c>
      <c r="AB315" t="n">
        <v>13.6</v>
      </c>
      <c r="AC315" t="n">
        <v>17.1</v>
      </c>
      <c r="AD315" t="n">
        <v>20.8</v>
      </c>
      <c r="AE315" t="n">
        <v>25.1</v>
      </c>
      <c r="AF315" t="n">
        <v>30.6</v>
      </c>
      <c r="AG315" t="n">
        <v>38.8</v>
      </c>
      <c r="AH315" t="n">
        <v>86.5</v>
      </c>
      <c r="AI315" t="n">
        <v>12283</v>
      </c>
      <c r="AJ315" t="n">
        <v>83861.25</v>
      </c>
      <c r="AK315" t="n">
        <v>44317</v>
      </c>
      <c r="AL315" t="n">
        <v>0.5284562297843164</v>
      </c>
      <c r="AM315" t="inlineStr">
        <is>
          <t>1.6329297500335376</t>
        </is>
      </c>
      <c r="AN315" t="inlineStr">
        <is>
          <t>16.5</t>
        </is>
      </c>
      <c r="AO315" t="inlineStr">
        <is>
          <t>6.5</t>
        </is>
      </c>
      <c r="AP315" t="inlineStr">
        <is>
          <t>12 1/4</t>
        </is>
      </c>
      <c r="AQ315" t="inlineStr">
        <is>
          <t>6</t>
        </is>
      </c>
      <c r="AR315" t="inlineStr">
        <is>
          <t>7</t>
        </is>
      </c>
      <c r="AS315" t="inlineStr">
        <is>
          <t>1.5</t>
        </is>
      </c>
      <c r="AT315" t="n">
        <v>49</v>
      </c>
      <c r="AU315" t="inlineStr">
        <is>
          <t>Vertex 70</t>
        </is>
      </c>
      <c r="AV315" t="inlineStr">
        <is>
          <t xml:space="preserve"> 54AR/46D2</t>
        </is>
      </c>
      <c r="AW315" t="n">
        <v>0.6320202128721215</v>
      </c>
      <c r="AX315" t="n">
        <v>0.648844026033897</v>
      </c>
      <c r="AY315" t="n">
        <v>0.665631935816434</v>
      </c>
      <c r="AZ315" t="n">
        <v>0.6823465188092255</v>
      </c>
      <c r="BA315" t="n">
        <v>0.6920745284770149</v>
      </c>
      <c r="BB315" t="n">
        <v>6.692913385826771</v>
      </c>
      <c r="BC315" t="n">
        <v>2.911238644290893</v>
      </c>
      <c r="BD315" t="n">
        <v>5.243710173537365</v>
      </c>
      <c r="BE315" t="n">
        <v>7.574634105167971</v>
      </c>
      <c r="BF315" t="n">
        <v>10.03898374128544</v>
      </c>
      <c r="BG315" t="n">
        <v>12.75356378453257</v>
      </c>
      <c r="BH315" t="n">
        <v>15.87366366391054</v>
      </c>
      <c r="BI315" t="n">
        <v>19.66368085599522</v>
      </c>
      <c r="BJ315" t="n">
        <v>24.68956045856107</v>
      </c>
      <c r="BK315" t="n">
        <v>32.69503664763612</v>
      </c>
      <c r="BL315" t="n">
        <v>77.37816085294995</v>
      </c>
      <c r="BM315" t="inlineStr"/>
      <c r="BN315" t="n">
        <v>33</v>
      </c>
      <c r="BO315" t="n">
        <v>171</v>
      </c>
      <c r="BP315" t="n">
        <v>306</v>
      </c>
      <c r="BQ315" t="n">
        <v>388</v>
      </c>
      <c r="BR315" t="n">
        <v>865</v>
      </c>
      <c r="BS315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6">
      <c r="A316" t="inlineStr">
        <is>
          <t>FRAG</t>
        </is>
      </c>
      <c r="B316" t="inlineStr">
        <is>
          <t>Fragmentación Desmonte 2025.xlsx</t>
        </is>
      </c>
      <c r="C316" t="inlineStr">
        <is>
          <t>ANÁLISIS DE FRAGMENTACIÓN</t>
        </is>
      </c>
      <c r="D316" t="n">
        <v>320</v>
      </c>
      <c r="E316" t="inlineStr">
        <is>
          <t>ROM (fragmentación post-voladura en el frente de carguío, por análisis de fotos)</t>
        </is>
      </c>
      <c r="F316" t="inlineStr"/>
      <c r="G316" t="inlineStr">
        <is>
          <t>no indicada en el archivo</t>
        </is>
      </c>
      <c r="H316" t="inlineStr">
        <is>
          <t>2025-06-23</t>
        </is>
      </c>
      <c r="I316" t="inlineStr">
        <is>
          <t>2025-08-10</t>
        </is>
      </c>
      <c r="J316" t="inlineStr">
        <is>
          <t>PALA 09</t>
        </is>
      </c>
      <c r="K316" t="n">
        <v>9</v>
      </c>
      <c r="L316" t="inlineStr">
        <is>
          <t>9-NP-3908-09</t>
        </is>
      </c>
      <c r="M316" t="n">
        <v>1</v>
      </c>
      <c r="N316" t="n">
        <v>3908</v>
      </c>
      <c r="O316" t="inlineStr">
        <is>
          <t>A</t>
        </is>
      </c>
      <c r="P316" t="n">
        <v>30</v>
      </c>
      <c r="Q316" t="inlineStr">
        <is>
          <t>Desmonte</t>
        </is>
      </c>
      <c r="R316" t="inlineStr">
        <is>
          <t>Producción</t>
        </is>
      </c>
      <c r="S316" t="n">
        <v>5</v>
      </c>
      <c r="T316" t="n">
        <v>3.2</v>
      </c>
      <c r="U316" t="n">
        <v>3</v>
      </c>
      <c r="V316" t="n">
        <v>0.7923648540260433</v>
      </c>
      <c r="W316" t="n">
        <v>0.272</v>
      </c>
      <c r="X316" t="n">
        <v>0.391</v>
      </c>
      <c r="Y316" t="n">
        <v>0.1</v>
      </c>
      <c r="Z316" t="n">
        <v>0.5</v>
      </c>
      <c r="AA316" t="n">
        <v>1.2</v>
      </c>
      <c r="AB316" t="n">
        <v>2</v>
      </c>
      <c r="AC316" t="n">
        <v>3.2</v>
      </c>
      <c r="AD316" t="n">
        <v>4.9</v>
      </c>
      <c r="AE316" t="n">
        <v>7.2</v>
      </c>
      <c r="AF316" t="n">
        <v>10.7</v>
      </c>
      <c r="AG316" t="n">
        <v>17.5</v>
      </c>
      <c r="AH316" t="n">
        <v>88.5</v>
      </c>
      <c r="AI316" t="n">
        <v>11644</v>
      </c>
      <c r="AJ316" t="n">
        <v>83861.25</v>
      </c>
      <c r="AK316" t="n">
        <v>44317</v>
      </c>
      <c r="AL316" t="n">
        <v>0.5284562297843164</v>
      </c>
      <c r="AM316" t="inlineStr">
        <is>
          <t>1.6329297500335376</t>
        </is>
      </c>
      <c r="AN316" t="inlineStr">
        <is>
          <t>16.5</t>
        </is>
      </c>
      <c r="AO316" t="inlineStr">
        <is>
          <t>6.5</t>
        </is>
      </c>
      <c r="AP316" t="inlineStr">
        <is>
          <t>12 1/4</t>
        </is>
      </c>
      <c r="AQ316" t="inlineStr">
        <is>
          <t>6</t>
        </is>
      </c>
      <c r="AR316" t="inlineStr">
        <is>
          <t>7</t>
        </is>
      </c>
      <c r="AS316" t="inlineStr">
        <is>
          <t>1.5</t>
        </is>
      </c>
      <c r="AT316" t="n">
        <v>49</v>
      </c>
      <c r="AU316" t="inlineStr">
        <is>
          <t>Vertex 70</t>
        </is>
      </c>
      <c r="AV316" t="inlineStr">
        <is>
          <t xml:space="preserve"> 54AR/46D2</t>
        </is>
      </c>
      <c r="AW316" t="n">
        <v>0.6995764798337778</v>
      </c>
      <c r="AX316" t="n">
        <v>0.7933899459931754</v>
      </c>
      <c r="AY316" t="n">
        <v>0.8735389688853918</v>
      </c>
      <c r="AZ316" t="n">
        <v>0.9335654440988324</v>
      </c>
      <c r="BA316" t="n">
        <v>0.9583047015272542</v>
      </c>
      <c r="BB316" t="n">
        <v>1.259842519685039</v>
      </c>
      <c r="BC316" t="n">
        <v>0.1869500643144122</v>
      </c>
      <c r="BD316" t="n">
        <v>0.4819857366789258</v>
      </c>
      <c r="BE316" t="n">
        <v>0.8711599706934106</v>
      </c>
      <c r="BF316" t="n">
        <v>1.370809175743534</v>
      </c>
      <c r="BG316" t="n">
        <v>2.014951364178176</v>
      </c>
      <c r="BH316" t="n">
        <v>2.865723542078609</v>
      </c>
      <c r="BI316" t="n">
        <v>4.044751475721919</v>
      </c>
      <c r="BJ316" t="n">
        <v>5.834210937380918</v>
      </c>
      <c r="BK316" t="n">
        <v>9.168165205389064</v>
      </c>
      <c r="BL316" t="n">
        <v>36.68012971390708</v>
      </c>
      <c r="BM316" t="inlineStr"/>
      <c r="BN316" t="n">
        <v>1</v>
      </c>
      <c r="BO316" t="n">
        <v>32</v>
      </c>
      <c r="BP316" t="n">
        <v>107</v>
      </c>
      <c r="BQ316" t="n">
        <v>175</v>
      </c>
      <c r="BR316" t="n">
        <v>885</v>
      </c>
      <c r="BS316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7">
      <c r="A317" t="inlineStr">
        <is>
          <t>FRAG</t>
        </is>
      </c>
      <c r="B317" t="inlineStr">
        <is>
          <t>Fragmentación Desmonte 2025.xlsx</t>
        </is>
      </c>
      <c r="C317" t="inlineStr">
        <is>
          <t>ANÁLISIS DE FRAGMENTACIÓN</t>
        </is>
      </c>
      <c r="D317" t="n">
        <v>321</v>
      </c>
      <c r="E317" t="inlineStr">
        <is>
          <t>ROM (fragmentación post-voladura en el frente de carguío, por análisis de fotos)</t>
        </is>
      </c>
      <c r="F317" t="inlineStr"/>
      <c r="G317" t="inlineStr">
        <is>
          <t>no indicada en el archivo</t>
        </is>
      </c>
      <c r="H317" t="inlineStr">
        <is>
          <t>2025-07-25</t>
        </is>
      </c>
      <c r="I317" t="inlineStr">
        <is>
          <t>2025-08-11</t>
        </is>
      </c>
      <c r="J317" t="inlineStr">
        <is>
          <t>PALA 06</t>
        </is>
      </c>
      <c r="K317" t="n">
        <v>10</v>
      </c>
      <c r="L317" t="inlineStr">
        <is>
          <t>10-NP-4388-18</t>
        </is>
      </c>
      <c r="M317" t="n">
        <v>1</v>
      </c>
      <c r="N317" t="n">
        <v>4388</v>
      </c>
      <c r="O317" t="inlineStr">
        <is>
          <t>C1</t>
        </is>
      </c>
      <c r="P317" t="n">
        <v>30</v>
      </c>
      <c r="Q317" t="inlineStr">
        <is>
          <t>Desmonte</t>
        </is>
      </c>
      <c r="R317" t="inlineStr">
        <is>
          <t>Producción</t>
        </is>
      </c>
      <c r="S317" t="n">
        <v>6</v>
      </c>
      <c r="T317" t="n">
        <v>12.6</v>
      </c>
      <c r="U317" t="n">
        <v>3</v>
      </c>
      <c r="V317" t="n">
        <v>1.27669964577954</v>
      </c>
      <c r="W317" t="n">
        <v>0.065</v>
      </c>
      <c r="X317" t="n">
        <v>0.106</v>
      </c>
      <c r="Y317" t="n">
        <v>1.8</v>
      </c>
      <c r="Z317" t="n">
        <v>4.4</v>
      </c>
      <c r="AA317" t="n">
        <v>7.1</v>
      </c>
      <c r="AB317" t="n">
        <v>9.800000000000001</v>
      </c>
      <c r="AC317" t="n">
        <v>12.6</v>
      </c>
      <c r="AD317" t="n">
        <v>15.7</v>
      </c>
      <c r="AE317" t="n">
        <v>19.3</v>
      </c>
      <c r="AF317" t="n">
        <v>23.9</v>
      </c>
      <c r="AG317" t="n">
        <v>30.6</v>
      </c>
      <c r="AH317" t="n">
        <v>63.6</v>
      </c>
      <c r="AI317" t="n">
        <v>11278</v>
      </c>
      <c r="AJ317" t="n">
        <v>849406.8</v>
      </c>
      <c r="AK317" t="n">
        <v>234602.19</v>
      </c>
      <c r="AL317" t="n">
        <v>0.2761953283161849</v>
      </c>
      <c r="AM317" t="inlineStr">
        <is>
          <t>0.8534435644970112</t>
        </is>
      </c>
      <c r="AN317" t="inlineStr">
        <is>
          <t>17</t>
        </is>
      </c>
      <c r="AO317" t="inlineStr">
        <is>
          <t>6.5</t>
        </is>
      </c>
      <c r="AP317" t="inlineStr">
        <is>
          <t>12 1/4</t>
        </is>
      </c>
      <c r="AQ317" t="inlineStr">
        <is>
          <t>8.5</t>
        </is>
      </c>
      <c r="AR317" t="inlineStr">
        <is>
          <t>9.8</t>
        </is>
      </c>
      <c r="AS317" t="inlineStr">
        <is>
          <t>2</t>
        </is>
      </c>
      <c r="AT317" t="n">
        <v>227</v>
      </c>
      <c r="AU317" t="inlineStr">
        <is>
          <t>Vertex 70</t>
        </is>
      </c>
      <c r="AV317" t="inlineStr">
        <is>
          <t>42AR/58D2</t>
        </is>
      </c>
      <c r="AW317" t="n">
        <v>0.631915387593863</v>
      </c>
      <c r="AX317" t="n">
        <v>0.6589206254127267</v>
      </c>
      <c r="AY317" t="n">
        <v>0.6857753148105136</v>
      </c>
      <c r="AZ317" t="n">
        <v>0.7123198890672096</v>
      </c>
      <c r="BA317" t="n">
        <v>0.7276375911107802</v>
      </c>
      <c r="BB317" t="n">
        <v>4.960629921259843</v>
      </c>
      <c r="BC317" t="n">
        <v>2.16204067886564</v>
      </c>
      <c r="BD317" t="n">
        <v>3.891674178122122</v>
      </c>
      <c r="BE317" t="n">
        <v>5.619262136238463</v>
      </c>
      <c r="BF317" t="n">
        <v>7.445080602960564</v>
      </c>
      <c r="BG317" t="n">
        <v>9.455706212186572</v>
      </c>
      <c r="BH317" t="n">
        <v>11.76609576829141</v>
      </c>
      <c r="BI317" t="n">
        <v>14.57186490274202</v>
      </c>
      <c r="BJ317" t="n">
        <v>18.29162045076051</v>
      </c>
      <c r="BK317" t="n">
        <v>24.21492213061579</v>
      </c>
      <c r="BL317" t="n">
        <v>57.25292025998807</v>
      </c>
      <c r="BM317" t="inlineStr"/>
      <c r="BN317" t="n">
        <v>18</v>
      </c>
      <c r="BO317" t="n">
        <v>126</v>
      </c>
      <c r="BP317" t="n">
        <v>239</v>
      </c>
      <c r="BQ317" t="n">
        <v>306</v>
      </c>
      <c r="BR317" t="n">
        <v>636</v>
      </c>
      <c r="BS317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8">
      <c r="A318" t="inlineStr">
        <is>
          <t>FRAG</t>
        </is>
      </c>
      <c r="B318" t="inlineStr">
        <is>
          <t>Fragmentación Desmonte 2025.xlsx</t>
        </is>
      </c>
      <c r="C318" t="inlineStr">
        <is>
          <t>ANÁLISIS DE FRAGMENTACIÓN</t>
        </is>
      </c>
      <c r="D318" t="n">
        <v>322</v>
      </c>
      <c r="E318" t="inlineStr">
        <is>
          <t>ROM (fragmentación post-voladura en el frente de carguío, por análisis de fotos)</t>
        </is>
      </c>
      <c r="F318" t="inlineStr"/>
      <c r="G318" t="inlineStr">
        <is>
          <t>no indicada en el archivo</t>
        </is>
      </c>
      <c r="H318" t="inlineStr">
        <is>
          <t>2025-07-22</t>
        </is>
      </c>
      <c r="I318" t="inlineStr">
        <is>
          <t>2025-08-11</t>
        </is>
      </c>
      <c r="J318" t="inlineStr">
        <is>
          <t>PALA 11</t>
        </is>
      </c>
      <c r="K318" t="n">
        <v>10</v>
      </c>
      <c r="L318" t="inlineStr">
        <is>
          <t>10-NP-4388-17</t>
        </is>
      </c>
      <c r="M318" t="n">
        <v>2</v>
      </c>
      <c r="N318" t="n">
        <v>4388</v>
      </c>
      <c r="O318" t="inlineStr">
        <is>
          <t>C</t>
        </is>
      </c>
      <c r="P318" t="n">
        <v>30</v>
      </c>
      <c r="Q318" t="inlineStr">
        <is>
          <t>Desmonte</t>
        </is>
      </c>
      <c r="R318" t="inlineStr">
        <is>
          <t>Producción</t>
        </is>
      </c>
      <c r="S318" t="n">
        <v>5</v>
      </c>
      <c r="T318" t="n">
        <v>6.8</v>
      </c>
      <c r="U318" t="n">
        <v>3</v>
      </c>
      <c r="V318" t="n">
        <v>0.9321656658945296</v>
      </c>
      <c r="W318" t="n">
        <v>0.147</v>
      </c>
      <c r="X318" t="n">
        <v>0.227</v>
      </c>
      <c r="Y318" t="n">
        <v>0.5</v>
      </c>
      <c r="Z318" t="n">
        <v>1.6</v>
      </c>
      <c r="AA318" t="n">
        <v>3</v>
      </c>
      <c r="AB318" t="n">
        <v>4.8</v>
      </c>
      <c r="AC318" t="n">
        <v>6.9</v>
      </c>
      <c r="AD318" t="n">
        <v>9.5</v>
      </c>
      <c r="AE318" t="n">
        <v>12.8</v>
      </c>
      <c r="AF318" t="n">
        <v>17.5</v>
      </c>
      <c r="AG318" t="n">
        <v>25.5</v>
      </c>
      <c r="AH318" t="n">
        <v>84</v>
      </c>
      <c r="AI318" t="n">
        <v>12673</v>
      </c>
      <c r="AJ318" t="n">
        <v>1219420.125</v>
      </c>
      <c r="AK318" t="n">
        <v>443684.96</v>
      </c>
      <c r="AL318" t="n">
        <v>0.3638491369002131</v>
      </c>
      <c r="AM318" t="inlineStr">
        <is>
          <t>1.1242938330216585</t>
        </is>
      </c>
      <c r="AN318" t="inlineStr">
        <is>
          <t>17</t>
        </is>
      </c>
      <c r="AO318" t="inlineStr">
        <is>
          <t>6.5</t>
        </is>
      </c>
      <c r="AP318" t="inlineStr">
        <is>
          <t>12 1/4</t>
        </is>
      </c>
      <c r="AQ318" t="inlineStr">
        <is>
          <t>8.5</t>
        </is>
      </c>
      <c r="AR318" t="inlineStr">
        <is>
          <t>9.8</t>
        </is>
      </c>
      <c r="AS318" t="inlineStr">
        <is>
          <t>2</t>
        </is>
      </c>
      <c r="AT318" t="n">
        <v>452</v>
      </c>
      <c r="AU318" t="inlineStr">
        <is>
          <t>Vertex 70</t>
        </is>
      </c>
      <c r="AV318" t="inlineStr">
        <is>
          <t>47AR/53D2</t>
        </is>
      </c>
      <c r="AW318" t="n">
        <v>0.6579249999410746</v>
      </c>
      <c r="AX318" t="n">
        <v>0.715071268759786</v>
      </c>
      <c r="AY318" t="n">
        <v>0.7699490447253994</v>
      </c>
      <c r="AZ318" t="n">
        <v>0.8209065409679892</v>
      </c>
      <c r="BA318" t="n">
        <v>0.8482706302172066</v>
      </c>
      <c r="BB318" t="n">
        <v>2.677165354330708</v>
      </c>
      <c r="BC318" t="n">
        <v>0.6082279879046715</v>
      </c>
      <c r="BD318" t="n">
        <v>1.360471002314981</v>
      </c>
      <c r="BE318" t="n">
        <v>2.250091011926377</v>
      </c>
      <c r="BF318" t="n">
        <v>3.30790013144679</v>
      </c>
      <c r="BG318" t="n">
        <v>4.589349510953193</v>
      </c>
      <c r="BH318" t="n">
        <v>6.19126428819515</v>
      </c>
      <c r="BI318" t="n">
        <v>8.298357116623491</v>
      </c>
      <c r="BJ318" t="n">
        <v>11.32981883014326</v>
      </c>
      <c r="BK318" t="n">
        <v>16.63731675757601</v>
      </c>
      <c r="BL318" t="n">
        <v>54.06609217721963</v>
      </c>
      <c r="BM318" t="inlineStr"/>
      <c r="BN318" t="n">
        <v>5</v>
      </c>
      <c r="BO318" t="n">
        <v>69</v>
      </c>
      <c r="BP318" t="n">
        <v>175</v>
      </c>
      <c r="BQ318" t="n">
        <v>255</v>
      </c>
      <c r="BR318" t="n">
        <v>840</v>
      </c>
      <c r="BS318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19">
      <c r="A319" t="inlineStr">
        <is>
          <t>FRAG</t>
        </is>
      </c>
      <c r="B319" t="inlineStr">
        <is>
          <t>Fragmentación Desmonte 2025.xlsx</t>
        </is>
      </c>
      <c r="C319" t="inlineStr">
        <is>
          <t>ANÁLISIS DE FRAGMENTACIÓN</t>
        </is>
      </c>
      <c r="D319" t="n">
        <v>323</v>
      </c>
      <c r="E319" t="inlineStr">
        <is>
          <t>ROM (fragmentación post-voladura en el frente de carguío, por análisis de fotos)</t>
        </is>
      </c>
      <c r="F319" t="inlineStr"/>
      <c r="G319" t="inlineStr">
        <is>
          <t>no indicada en el archivo</t>
        </is>
      </c>
      <c r="H319" t="inlineStr">
        <is>
          <t>2025-08-09</t>
        </is>
      </c>
      <c r="I319" t="inlineStr">
        <is>
          <t>2025-08-12</t>
        </is>
      </c>
      <c r="J319" t="inlineStr">
        <is>
          <t>PALA 09</t>
        </is>
      </c>
      <c r="K319" t="n">
        <v>9</v>
      </c>
      <c r="L319" t="inlineStr">
        <is>
          <t>9-NP-3893-20</t>
        </is>
      </c>
      <c r="M319" t="n">
        <v>1</v>
      </c>
      <c r="N319" t="n">
        <v>3893</v>
      </c>
      <c r="O319" t="inlineStr">
        <is>
          <t>A</t>
        </is>
      </c>
      <c r="P319" t="n">
        <v>30</v>
      </c>
      <c r="Q319" t="inlineStr">
        <is>
          <t>Desmonte</t>
        </is>
      </c>
      <c r="R319" t="inlineStr">
        <is>
          <t>Producción</t>
        </is>
      </c>
      <c r="S319" t="n">
        <v>7</v>
      </c>
      <c r="T319" t="n">
        <v>19.8</v>
      </c>
      <c r="U319" t="n">
        <v>3</v>
      </c>
      <c r="V319" t="n">
        <v>1.241363138776116</v>
      </c>
      <c r="W319" t="n">
        <v>0.047</v>
      </c>
      <c r="X319" t="n">
        <v>0.075</v>
      </c>
      <c r="Y319" t="n">
        <v>2.9</v>
      </c>
      <c r="Z319" t="n">
        <v>7</v>
      </c>
      <c r="AA319" t="n">
        <v>11.2</v>
      </c>
      <c r="AB319" t="n">
        <v>15.4</v>
      </c>
      <c r="AC319" t="n">
        <v>19.8</v>
      </c>
      <c r="AD319" t="n">
        <v>24.7</v>
      </c>
      <c r="AE319" t="n">
        <v>30.4</v>
      </c>
      <c r="AF319" t="n">
        <v>37.6</v>
      </c>
      <c r="AG319" t="n">
        <v>48.5</v>
      </c>
      <c r="AH319" t="n">
        <v>105.6</v>
      </c>
      <c r="AI319" t="n">
        <v>10882</v>
      </c>
      <c r="AJ319" t="n">
        <v>256624.5</v>
      </c>
      <c r="AK319" t="n">
        <v>89267</v>
      </c>
      <c r="AL319" t="n">
        <v>0.3478506533865628</v>
      </c>
      <c r="AM319" t="inlineStr">
        <is>
          <t>1.074858518964479</t>
        </is>
      </c>
      <c r="AN319" t="inlineStr">
        <is>
          <t>17</t>
        </is>
      </c>
      <c r="AO319" t="inlineStr">
        <is>
          <t>6.5</t>
        </is>
      </c>
      <c r="AP319" t="inlineStr">
        <is>
          <t>12 1/4</t>
        </is>
      </c>
      <c r="AQ319" t="inlineStr">
        <is>
          <t>8.5</t>
        </is>
      </c>
      <c r="AR319" t="inlineStr">
        <is>
          <t>9.8</t>
        </is>
      </c>
      <c r="AS319" t="inlineStr">
        <is>
          <t>2</t>
        </is>
      </c>
      <c r="AT319" t="n">
        <v>89</v>
      </c>
      <c r="AU319" t="inlineStr">
        <is>
          <t>Vertex 70</t>
        </is>
      </c>
      <c r="AV319" t="inlineStr">
        <is>
          <t>100% D2</t>
        </is>
      </c>
      <c r="AW319" t="n">
        <v>0.6327498205137605</v>
      </c>
      <c r="AX319" t="n">
        <v>0.6518647982640027</v>
      </c>
      <c r="AY319" t="n">
        <v>0.6709248146694071</v>
      </c>
      <c r="AZ319" t="n">
        <v>0.6898744818589815</v>
      </c>
      <c r="BA319" t="n">
        <v>0.7008853301104709</v>
      </c>
      <c r="BB319" t="n">
        <v>7.795275590551181</v>
      </c>
      <c r="BC319" t="n">
        <v>3.231228544871412</v>
      </c>
      <c r="BD319" t="n">
        <v>5.914347672310429</v>
      </c>
      <c r="BE319" t="n">
        <v>8.629610588717847</v>
      </c>
      <c r="BF319" t="n">
        <v>11.52549430969768</v>
      </c>
      <c r="BG319" t="n">
        <v>14.73803507269514</v>
      </c>
      <c r="BH319" t="n">
        <v>18.45357442419128</v>
      </c>
      <c r="BI319" t="n">
        <v>22.99361462912919</v>
      </c>
      <c r="BJ319" t="n">
        <v>29.05058827484804</v>
      </c>
      <c r="BK319" t="n">
        <v>38.7662553203844</v>
      </c>
      <c r="BL319" t="n">
        <v>93.93047881416186</v>
      </c>
      <c r="BM319" t="inlineStr"/>
      <c r="BN319" t="n">
        <v>29</v>
      </c>
      <c r="BO319" t="n">
        <v>198</v>
      </c>
      <c r="BP319" t="n">
        <v>376</v>
      </c>
      <c r="BQ319" t="n">
        <v>485</v>
      </c>
      <c r="BR319" t="n">
        <v>1056</v>
      </c>
      <c r="BS319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  <row r="320">
      <c r="A320" t="inlineStr">
        <is>
          <t>FRAG</t>
        </is>
      </c>
      <c r="B320" t="inlineStr">
        <is>
          <t>Fragmentación Desmonte 2025.xlsx</t>
        </is>
      </c>
      <c r="C320" t="inlineStr">
        <is>
          <t>ANÁLISIS DE FRAGMENTACIÓN</t>
        </is>
      </c>
      <c r="D320" t="n">
        <v>324</v>
      </c>
      <c r="E320" t="inlineStr">
        <is>
          <t>ROM (fragmentación post-voladura en el frente de carguío, por análisis de fotos)</t>
        </is>
      </c>
      <c r="F320" t="inlineStr"/>
      <c r="G320" t="inlineStr">
        <is>
          <t>no indicada en el archivo</t>
        </is>
      </c>
      <c r="H320" t="inlineStr">
        <is>
          <t>2025-08-09</t>
        </is>
      </c>
      <c r="I320" t="inlineStr">
        <is>
          <t>2025-08-12</t>
        </is>
      </c>
      <c r="J320" t="inlineStr">
        <is>
          <t>PALA 08</t>
        </is>
      </c>
      <c r="K320" t="n">
        <v>9</v>
      </c>
      <c r="L320" t="inlineStr">
        <is>
          <t>9-NP-3893-20</t>
        </is>
      </c>
      <c r="M320" t="n">
        <v>1</v>
      </c>
      <c r="N320" t="n">
        <v>3893</v>
      </c>
      <c r="O320" t="inlineStr">
        <is>
          <t>A</t>
        </is>
      </c>
      <c r="P320" t="n">
        <v>30</v>
      </c>
      <c r="Q320" t="inlineStr">
        <is>
          <t>Desmonte</t>
        </is>
      </c>
      <c r="R320" t="inlineStr">
        <is>
          <t>Producción</t>
        </is>
      </c>
      <c r="S320" t="n">
        <v>6</v>
      </c>
      <c r="T320" t="n">
        <v>13.1</v>
      </c>
      <c r="U320" t="n">
        <v>3</v>
      </c>
      <c r="V320" t="n">
        <v>0.9992747621278274</v>
      </c>
      <c r="W320" t="n">
        <v>0.104</v>
      </c>
      <c r="X320" t="n">
        <v>0.155</v>
      </c>
      <c r="Y320" t="n">
        <v>0.9</v>
      </c>
      <c r="Z320" t="n">
        <v>3</v>
      </c>
      <c r="AA320" t="n">
        <v>5.8</v>
      </c>
      <c r="AB320" t="n">
        <v>9.199999999999999</v>
      </c>
      <c r="AC320" t="n">
        <v>13.2</v>
      </c>
      <c r="AD320" t="n">
        <v>17.9</v>
      </c>
      <c r="AE320" t="n">
        <v>23.9</v>
      </c>
      <c r="AF320" t="n">
        <v>32.1</v>
      </c>
      <c r="AG320" t="n">
        <v>45.4</v>
      </c>
      <c r="AH320" t="n">
        <v>124.4</v>
      </c>
      <c r="AI320" t="n">
        <v>11959</v>
      </c>
      <c r="AJ320" t="n">
        <v>256624.5</v>
      </c>
      <c r="AK320" t="n">
        <v>89267</v>
      </c>
      <c r="AL320" t="n">
        <v>0.3478506533865628</v>
      </c>
      <c r="AM320" t="inlineStr">
        <is>
          <t>1.074858518964479</t>
        </is>
      </c>
      <c r="AN320" t="inlineStr">
        <is>
          <t>17</t>
        </is>
      </c>
      <c r="AO320" t="inlineStr">
        <is>
          <t>6.5</t>
        </is>
      </c>
      <c r="AP320" t="inlineStr">
        <is>
          <t>12 1/4</t>
        </is>
      </c>
      <c r="AQ320" t="inlineStr">
        <is>
          <t>8.5</t>
        </is>
      </c>
      <c r="AR320" t="inlineStr">
        <is>
          <t>9.8</t>
        </is>
      </c>
      <c r="AS320" t="inlineStr">
        <is>
          <t>2</t>
        </is>
      </c>
      <c r="AT320" t="n">
        <v>89</v>
      </c>
      <c r="AU320" t="inlineStr">
        <is>
          <t>Vertex 70</t>
        </is>
      </c>
      <c r="AV320" t="inlineStr">
        <is>
          <t>100% D2</t>
        </is>
      </c>
      <c r="AW320" t="n">
        <v>0.6457878104687568</v>
      </c>
      <c r="AX320" t="n">
        <v>0.6851235071121881</v>
      </c>
      <c r="AY320" t="n">
        <v>0.7238032948417346</v>
      </c>
      <c r="AZ320" t="n">
        <v>0.7613065010580315</v>
      </c>
      <c r="BA320" t="n">
        <v>0.7824871881840232</v>
      </c>
      <c r="BB320" t="n">
        <v>5.15748031496063</v>
      </c>
      <c r="BC320" t="n">
        <v>1.377970365335155</v>
      </c>
      <c r="BD320" t="n">
        <v>2.920000071210191</v>
      </c>
      <c r="BE320" t="n">
        <v>4.668947094151395</v>
      </c>
      <c r="BF320" t="n">
        <v>6.688554103110119</v>
      </c>
      <c r="BG320" t="n">
        <v>9.077813028040689</v>
      </c>
      <c r="BH320" t="n">
        <v>12.00264702605466</v>
      </c>
      <c r="BI320" t="n">
        <v>15.77416870942011</v>
      </c>
      <c r="BJ320" t="n">
        <v>21.09091978338188</v>
      </c>
      <c r="BK320" t="n">
        <v>30.18212876178784</v>
      </c>
      <c r="BL320" t="n">
        <v>90.61861074166492</v>
      </c>
      <c r="BM320" t="inlineStr"/>
      <c r="BN320" t="n">
        <v>9</v>
      </c>
      <c r="BO320" t="n">
        <v>132</v>
      </c>
      <c r="BP320" t="n">
        <v>321</v>
      </c>
      <c r="BQ320" t="n">
        <v>454</v>
      </c>
      <c r="BR320" t="n">
        <v>1244</v>
      </c>
      <c r="BS320" t="inlineStr">
        <is>
          <t>P10–P90 y Xmax medidos por análisis de imagen (n_fotos); modeloRR_* = bloque "MODELO ROSIN-RAMMLER" del archivo (valores pegados, sin fórmula); las fracciones modeloRR_pasa_* no son coherentes con P10–P90 medidos (ver resumen)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fuente_id</t>
        </is>
      </c>
      <c r="B1" s="1" t="inlineStr">
        <is>
          <t>archivo</t>
        </is>
      </c>
      <c r="C1" s="1" t="inlineStr">
        <is>
          <t>base_medida</t>
        </is>
      </c>
      <c r="D1" s="1" t="inlineStr">
        <is>
          <t>agrupacion</t>
        </is>
      </c>
      <c r="E1" s="1" t="inlineStr">
        <is>
          <t>clave</t>
        </is>
      </c>
      <c r="F1" s="1" t="inlineStr">
        <is>
          <t>codigo_tipo</t>
        </is>
      </c>
      <c r="G1" s="1" t="inlineStr">
        <is>
          <t>litologia_codigo</t>
        </is>
      </c>
      <c r="H1" s="1" t="inlineStr">
        <is>
          <t>litologia_normalizada</t>
        </is>
      </c>
      <c r="I1" s="1" t="inlineStr">
        <is>
          <t>subtipo</t>
        </is>
      </c>
      <c r="J1" s="1" t="inlineStr">
        <is>
          <t>criterio_asignacion</t>
        </is>
      </c>
      <c r="K1" s="1" t="inlineStr">
        <is>
          <t>litologia_tentativa</t>
        </is>
      </c>
      <c r="L1" s="1" t="inlineStr">
        <is>
          <t>grupo_geologia_2024</t>
        </is>
      </c>
      <c r="M1" s="1" t="inlineStr">
        <is>
          <t>n_registros</t>
        </is>
      </c>
      <c r="N1" s="1" t="inlineStr">
        <is>
          <t>volumen_m3</t>
        </is>
      </c>
      <c r="O1" s="1" t="inlineStr">
        <is>
          <t>toneladas</t>
        </is>
      </c>
      <c r="P1" s="1" t="inlineStr">
        <is>
          <t>metros</t>
        </is>
      </c>
      <c r="Q1" s="1" t="inlineStr">
        <is>
          <t>pct</t>
        </is>
      </c>
    </row>
    <row r="2">
      <c r="A2" t="inlineStr">
        <is>
          <t>MR24</t>
        </is>
      </c>
      <c r="B2" t="inlineStr">
        <is>
          <t>SIMULACIONES_MR2024_V3</t>
        </is>
      </c>
      <c r="C2" t="inlineStr">
        <is>
          <t>toneladas (6000 m3 x MR24_BD); pct sobre toneladas</t>
        </is>
      </c>
      <c r="D2" t="inlineStr">
        <is>
          <t>total</t>
        </is>
      </c>
      <c r="E2" t="inlineStr">
        <is>
          <t>total</t>
        </is>
      </c>
      <c r="F2" t="inlineStr">
        <is>
          <t>MR24_RT</t>
        </is>
      </c>
      <c r="G2" t="inlineStr">
        <is>
          <t>1</t>
        </is>
      </c>
      <c r="H2" t="inlineStr">
        <is>
          <t>Intrusivo</t>
        </is>
      </c>
      <c r="I2" t="inlineStr">
        <is>
          <t>RT1</t>
        </is>
      </c>
      <c r="J2" t="inlineStr">
        <is>
          <t>Geologia_2024=Intrusivo_1</t>
        </is>
      </c>
      <c r="K2" t="inlineStr">
        <is>
          <t>Intrusivo</t>
        </is>
      </c>
      <c r="L2" t="inlineStr">
        <is>
          <t>Intrusivo</t>
        </is>
      </c>
      <c r="M2" t="n">
        <v>46813</v>
      </c>
      <c r="N2" t="n">
        <v>280878000</v>
      </c>
      <c r="O2" t="n">
        <v>691214562</v>
      </c>
      <c r="P2" t="inlineStr"/>
      <c r="Q2" t="n">
        <v>13.859</v>
      </c>
    </row>
    <row r="3">
      <c r="A3" t="inlineStr">
        <is>
          <t>MR24</t>
        </is>
      </c>
      <c r="B3" t="inlineStr">
        <is>
          <t>SIMULACIONES_MR2024_V3</t>
        </is>
      </c>
      <c r="C3" t="inlineStr">
        <is>
          <t>toneladas (6000 m3 x MR24_BD); pct sobre toneladas</t>
        </is>
      </c>
      <c r="D3" t="inlineStr">
        <is>
          <t>total</t>
        </is>
      </c>
      <c r="E3" t="inlineStr">
        <is>
          <t>total</t>
        </is>
      </c>
      <c r="F3" t="inlineStr">
        <is>
          <t>MR24_RT</t>
        </is>
      </c>
      <c r="G3" t="inlineStr">
        <is>
          <t>2</t>
        </is>
      </c>
      <c r="H3" t="inlineStr">
        <is>
          <t>Intrusivo</t>
        </is>
      </c>
      <c r="I3" t="inlineStr">
        <is>
          <t>RT2</t>
        </is>
      </c>
      <c r="J3" t="inlineStr">
        <is>
          <t>Geologia_2024=Intrusivo_2</t>
        </is>
      </c>
      <c r="K3" t="inlineStr">
        <is>
          <t>Intrusivo</t>
        </is>
      </c>
      <c r="L3" t="inlineStr">
        <is>
          <t>Intrusivo</t>
        </is>
      </c>
      <c r="M3" t="n">
        <v>3137</v>
      </c>
      <c r="N3" t="n">
        <v>18822000</v>
      </c>
      <c r="O3" t="n">
        <v>50636466</v>
      </c>
      <c r="P3" t="inlineStr"/>
      <c r="Q3" t="n">
        <v>1.015</v>
      </c>
    </row>
    <row r="4">
      <c r="A4" t="inlineStr">
        <is>
          <t>MR24</t>
        </is>
      </c>
      <c r="B4" t="inlineStr">
        <is>
          <t>SIMULACIONES_MR2024_V3</t>
        </is>
      </c>
      <c r="C4" t="inlineStr">
        <is>
          <t>toneladas (6000 m3 x MR24_BD); pct sobre toneladas</t>
        </is>
      </c>
      <c r="D4" t="inlineStr">
        <is>
          <t>total</t>
        </is>
      </c>
      <c r="E4" t="inlineStr">
        <is>
          <t>total</t>
        </is>
      </c>
      <c r="F4" t="inlineStr">
        <is>
          <t>MR24_RT</t>
        </is>
      </c>
      <c r="G4" t="inlineStr">
        <is>
          <t>10</t>
        </is>
      </c>
      <c r="H4" t="inlineStr">
        <is>
          <t>sin asignar</t>
        </is>
      </c>
      <c r="I4" t="inlineStr">
        <is>
          <t>Sedimentario_10</t>
        </is>
      </c>
      <c r="J4" t="inlineStr">
        <is>
          <t>Geologia_2024=Sedimentario_10 (no especifica caliza)</t>
        </is>
      </c>
      <c r="K4" t="inlineStr">
        <is>
          <t>Caliza (hipótesis: siglas C*)</t>
        </is>
      </c>
      <c r="L4" t="inlineStr">
        <is>
          <t>Sedimentario</t>
        </is>
      </c>
      <c r="M4" t="n">
        <v>24434</v>
      </c>
      <c r="N4" t="n">
        <v>146604000</v>
      </c>
      <c r="O4" t="n">
        <v>397090530</v>
      </c>
      <c r="P4" t="inlineStr"/>
      <c r="Q4" t="n">
        <v>7.962</v>
      </c>
    </row>
    <row r="5">
      <c r="A5" t="inlineStr">
        <is>
          <t>MR24</t>
        </is>
      </c>
      <c r="B5" t="inlineStr">
        <is>
          <t>SIMULACIONES_MR2024_V3</t>
        </is>
      </c>
      <c r="C5" t="inlineStr">
        <is>
          <t>toneladas (6000 m3 x MR24_BD); pct sobre toneladas</t>
        </is>
      </c>
      <c r="D5" t="inlineStr">
        <is>
          <t>total</t>
        </is>
      </c>
      <c r="E5" t="inlineStr">
        <is>
          <t>total</t>
        </is>
      </c>
      <c r="F5" t="inlineStr">
        <is>
          <t>MR24_RT</t>
        </is>
      </c>
      <c r="G5" t="inlineStr">
        <is>
          <t>11</t>
        </is>
      </c>
      <c r="H5" t="inlineStr">
        <is>
          <t>sin asignar</t>
        </is>
      </c>
      <c r="I5" t="inlineStr">
        <is>
          <t>Sedimentario_11</t>
        </is>
      </c>
      <c r="J5" t="inlineStr">
        <is>
          <t>Geologia_2024=Sedimentario_11 (no especifica caliza)</t>
        </is>
      </c>
      <c r="K5" t="inlineStr">
        <is>
          <t>Caliza (hipótesis: Sedimentario; RT11~NUMEQ10, siglas C*)</t>
        </is>
      </c>
      <c r="L5" t="inlineStr">
        <is>
          <t>Sedimentario</t>
        </is>
      </c>
      <c r="M5" t="n">
        <v>58104</v>
      </c>
      <c r="N5" t="n">
        <v>348624000</v>
      </c>
      <c r="O5" t="n">
        <v>945099690</v>
      </c>
      <c r="P5" t="inlineStr"/>
      <c r="Q5" t="n">
        <v>18.949</v>
      </c>
    </row>
    <row r="6">
      <c r="A6" t="inlineStr">
        <is>
          <t>MR24</t>
        </is>
      </c>
      <c r="B6" t="inlineStr">
        <is>
          <t>SIMULACIONES_MR2024_V3</t>
        </is>
      </c>
      <c r="C6" t="inlineStr">
        <is>
          <t>toneladas (6000 m3 x MR24_BD); pct sobre toneladas</t>
        </is>
      </c>
      <c r="D6" t="inlineStr">
        <is>
          <t>total</t>
        </is>
      </c>
      <c r="E6" t="inlineStr">
        <is>
          <t>total</t>
        </is>
      </c>
      <c r="F6" t="inlineStr">
        <is>
          <t>MR24_RT</t>
        </is>
      </c>
      <c r="G6" t="inlineStr">
        <is>
          <t>13</t>
        </is>
      </c>
      <c r="H6" t="inlineStr">
        <is>
          <t>sin asignar</t>
        </is>
      </c>
      <c r="I6" t="inlineStr">
        <is>
          <t>Metamorfico_13</t>
        </is>
      </c>
      <c r="J6" t="inlineStr">
        <is>
          <t>Geologia_2024=Metamorfico_13 (no distingue hornfels/mármol)</t>
        </is>
      </c>
      <c r="K6" t="inlineStr">
        <is>
          <t>Hornfels (hipótesis: siglas HG, HGS, HC)</t>
        </is>
      </c>
      <c r="L6" t="inlineStr">
        <is>
          <t>Metamorfico</t>
        </is>
      </c>
      <c r="M6" t="n">
        <v>48510</v>
      </c>
      <c r="N6" t="n">
        <v>291060000</v>
      </c>
      <c r="O6" t="n">
        <v>787753656</v>
      </c>
      <c r="P6" t="inlineStr"/>
      <c r="Q6" t="n">
        <v>15.794</v>
      </c>
    </row>
    <row r="7">
      <c r="A7" t="inlineStr">
        <is>
          <t>MR24</t>
        </is>
      </c>
      <c r="B7" t="inlineStr">
        <is>
          <t>SIMULACIONES_MR2024_V3</t>
        </is>
      </c>
      <c r="C7" t="inlineStr">
        <is>
          <t>toneladas (6000 m3 x MR24_BD); pct sobre toneladas</t>
        </is>
      </c>
      <c r="D7" t="inlineStr">
        <is>
          <t>total</t>
        </is>
      </c>
      <c r="E7" t="inlineStr">
        <is>
          <t>total</t>
        </is>
      </c>
      <c r="F7" t="inlineStr">
        <is>
          <t>MR24_RT</t>
        </is>
      </c>
      <c r="G7" t="inlineStr">
        <is>
          <t>14</t>
        </is>
      </c>
      <c r="H7" t="inlineStr">
        <is>
          <t>sin asignar</t>
        </is>
      </c>
      <c r="I7" t="inlineStr">
        <is>
          <t>Metamorfico_14</t>
        </is>
      </c>
      <c r="J7" t="inlineStr">
        <is>
          <t>Geologia_2024=Metamorfico_14 (no distingue hornfels/mármol)</t>
        </is>
      </c>
      <c r="K7" t="inlineStr">
        <is>
          <t>Hornfels (hipótesis: siglas HBV, HGV, HCB, HDP; 'Diop. Hornfels'~HGV)</t>
        </is>
      </c>
      <c r="L7" t="inlineStr">
        <is>
          <t>Metamorfico</t>
        </is>
      </c>
      <c r="M7" t="n">
        <v>9983</v>
      </c>
      <c r="N7" t="n">
        <v>59898000</v>
      </c>
      <c r="O7" t="n">
        <v>171283434</v>
      </c>
      <c r="P7" t="inlineStr"/>
      <c r="Q7" t="n">
        <v>3.434</v>
      </c>
    </row>
    <row r="8">
      <c r="A8" t="inlineStr">
        <is>
          <t>MR24</t>
        </is>
      </c>
      <c r="B8" t="inlineStr">
        <is>
          <t>SIMULACIONES_MR2024_V3</t>
        </is>
      </c>
      <c r="C8" t="inlineStr">
        <is>
          <t>toneladas (6000 m3 x MR24_BD); pct sobre toneladas</t>
        </is>
      </c>
      <c r="D8" t="inlineStr">
        <is>
          <t>total</t>
        </is>
      </c>
      <c r="E8" t="inlineStr">
        <is>
          <t>total</t>
        </is>
      </c>
      <c r="F8" t="inlineStr">
        <is>
          <t>MR24_RT</t>
        </is>
      </c>
      <c r="G8" t="inlineStr">
        <is>
          <t>16</t>
        </is>
      </c>
      <c r="H8" t="inlineStr">
        <is>
          <t>sin asignar</t>
        </is>
      </c>
      <c r="I8" t="inlineStr">
        <is>
          <t>Metamorfico_16</t>
        </is>
      </c>
      <c r="J8" t="inlineStr">
        <is>
          <t>Geologia_2024=Metamorfico_16 (no distingue hornfels/mármol)</t>
        </is>
      </c>
      <c r="K8" t="inlineStr">
        <is>
          <t>Mármol (hipótesis: siglas MC, MG, MGS, MPA, MCGB; 'Marble'~MCGB)</t>
        </is>
      </c>
      <c r="L8" t="inlineStr">
        <is>
          <t>Metamorfico</t>
        </is>
      </c>
      <c r="M8" t="n">
        <v>110698</v>
      </c>
      <c r="N8" t="n">
        <v>664188000</v>
      </c>
      <c r="O8" t="n">
        <v>1801011150</v>
      </c>
      <c r="P8" t="inlineStr"/>
      <c r="Q8" t="n">
        <v>36.11</v>
      </c>
    </row>
    <row r="9">
      <c r="A9" t="inlineStr">
        <is>
          <t>MR24</t>
        </is>
      </c>
      <c r="B9" t="inlineStr">
        <is>
          <t>SIMULACIONES_MR2024_V3</t>
        </is>
      </c>
      <c r="C9" t="inlineStr">
        <is>
          <t>toneladas (6000 m3 x MR24_BD); pct sobre toneladas</t>
        </is>
      </c>
      <c r="D9" t="inlineStr">
        <is>
          <t>total</t>
        </is>
      </c>
      <c r="E9" t="inlineStr">
        <is>
          <t>total</t>
        </is>
      </c>
      <c r="F9" t="inlineStr">
        <is>
          <t>MR24_RT</t>
        </is>
      </c>
      <c r="G9" t="inlineStr">
        <is>
          <t>19</t>
        </is>
      </c>
      <c r="H9" t="inlineStr">
        <is>
          <t>sin asignar</t>
        </is>
      </c>
      <c r="I9" t="inlineStr">
        <is>
          <t>Metamorfico_19</t>
        </is>
      </c>
      <c r="J9" t="inlineStr">
        <is>
          <t>Geologia_2024=Metamorfico_19 (no distingue hornfels/mármol)</t>
        </is>
      </c>
      <c r="K9" t="inlineStr">
        <is>
          <t>Mármol (hipótesis: sigla MDP)</t>
        </is>
      </c>
      <c r="L9" t="inlineStr">
        <is>
          <t>Metamorfico</t>
        </is>
      </c>
      <c r="M9" t="n">
        <v>8020</v>
      </c>
      <c r="N9" t="n">
        <v>48120000</v>
      </c>
      <c r="O9" t="n">
        <v>137022624</v>
      </c>
      <c r="P9" t="inlineStr"/>
      <c r="Q9" t="n">
        <v>2.747</v>
      </c>
    </row>
    <row r="10">
      <c r="A10" t="inlineStr">
        <is>
          <t>MR24</t>
        </is>
      </c>
      <c r="B10" t="inlineStr">
        <is>
          <t>SIMULACIONES_MR2024_V3</t>
        </is>
      </c>
      <c r="C10" t="inlineStr">
        <is>
          <t>toneladas (6000 m3 x MR24_BD); pct sobre toneladas</t>
        </is>
      </c>
      <c r="D10" t="inlineStr">
        <is>
          <t>total</t>
        </is>
      </c>
      <c r="E10" t="inlineStr">
        <is>
          <t>total</t>
        </is>
      </c>
      <c r="F10" t="inlineStr">
        <is>
          <t>MR24_RT</t>
        </is>
      </c>
      <c r="G10" t="inlineStr">
        <is>
          <t>53</t>
        </is>
      </c>
      <c r="H10" t="inlineStr">
        <is>
          <t>sin asignar</t>
        </is>
      </c>
      <c r="I10" t="inlineStr">
        <is>
          <t>RT53</t>
        </is>
      </c>
      <c r="J10" t="inlineStr">
        <is>
          <t>código sin etiqueta en los datos</t>
        </is>
      </c>
      <c r="K10" t="inlineStr">
        <is>
          <t>sin hipótesis</t>
        </is>
      </c>
      <c r="L10" t="inlineStr">
        <is>
          <t>sin leyenda</t>
        </is>
      </c>
      <c r="M10" t="n">
        <v>403</v>
      </c>
      <c r="N10" t="n">
        <v>2418000</v>
      </c>
      <c r="O10" t="n">
        <v>6425370</v>
      </c>
      <c r="P10" t="inlineStr"/>
      <c r="Q10" t="n">
        <v>0.129</v>
      </c>
    </row>
    <row r="11">
      <c r="A11" t="inlineStr">
        <is>
          <t>MR24</t>
        </is>
      </c>
      <c r="B11" t="inlineStr">
        <is>
          <t>SIMULACIONES_MR2024_V3</t>
        </is>
      </c>
      <c r="C11" t="inlineStr">
        <is>
          <t>toneladas (6000 m3 x MR24_BD); pct sobre toneladas</t>
        </is>
      </c>
      <c r="D11" t="inlineStr">
        <is>
          <t>periodo_XLE2WST_AMIN</t>
        </is>
      </c>
      <c r="E11" t="inlineStr">
        <is>
          <t>2025</t>
        </is>
      </c>
      <c r="F11" t="inlineStr">
        <is>
          <t>MR24_RT</t>
        </is>
      </c>
      <c r="G11" t="inlineStr">
        <is>
          <t>1</t>
        </is>
      </c>
      <c r="H11" t="inlineStr">
        <is>
          <t>Intrusivo</t>
        </is>
      </c>
      <c r="I11" t="inlineStr">
        <is>
          <t>RT1</t>
        </is>
      </c>
      <c r="J11" t="inlineStr">
        <is>
          <t>Geologia_2024=Intrusivo_1</t>
        </is>
      </c>
      <c r="K11" t="inlineStr">
        <is>
          <t>Intrusivo</t>
        </is>
      </c>
      <c r="L11" t="inlineStr">
        <is>
          <t>Intrusivo</t>
        </is>
      </c>
      <c r="M11" t="n">
        <v>806</v>
      </c>
      <c r="N11" t="n">
        <v>4836000</v>
      </c>
      <c r="O11" t="n">
        <v>11819802</v>
      </c>
      <c r="P11" t="inlineStr"/>
      <c r="Q11" t="n">
        <v>6.196</v>
      </c>
    </row>
    <row r="12">
      <c r="A12" t="inlineStr">
        <is>
          <t>MR24</t>
        </is>
      </c>
      <c r="B12" t="inlineStr">
        <is>
          <t>SIMULACIONES_MR2024_V3</t>
        </is>
      </c>
      <c r="C12" t="inlineStr">
        <is>
          <t>toneladas (6000 m3 x MR24_BD); pct sobre toneladas</t>
        </is>
      </c>
      <c r="D12" t="inlineStr">
        <is>
          <t>periodo_XLE2WST_AMIN</t>
        </is>
      </c>
      <c r="E12" t="inlineStr">
        <is>
          <t>2025</t>
        </is>
      </c>
      <c r="F12" t="inlineStr">
        <is>
          <t>MR24_RT</t>
        </is>
      </c>
      <c r="G12" t="inlineStr">
        <is>
          <t>2</t>
        </is>
      </c>
      <c r="H12" t="inlineStr">
        <is>
          <t>Intrusivo</t>
        </is>
      </c>
      <c r="I12" t="inlineStr">
        <is>
          <t>RT2</t>
        </is>
      </c>
      <c r="J12" t="inlineStr">
        <is>
          <t>Geologia_2024=Intrusivo_2</t>
        </is>
      </c>
      <c r="K12" t="inlineStr">
        <is>
          <t>Intrusivo</t>
        </is>
      </c>
      <c r="L12" t="inlineStr">
        <is>
          <t>Intrusivo</t>
        </is>
      </c>
      <c r="M12" t="n">
        <v>46</v>
      </c>
      <c r="N12" t="n">
        <v>276000</v>
      </c>
      <c r="O12" t="n">
        <v>734106</v>
      </c>
      <c r="P12" t="inlineStr"/>
      <c r="Q12" t="n">
        <v>0.385</v>
      </c>
    </row>
    <row r="13">
      <c r="A13" t="inlineStr">
        <is>
          <t>MR24</t>
        </is>
      </c>
      <c r="B13" t="inlineStr">
        <is>
          <t>SIMULACIONES_MR2024_V3</t>
        </is>
      </c>
      <c r="C13" t="inlineStr">
        <is>
          <t>toneladas (6000 m3 x MR24_BD); pct sobre toneladas</t>
        </is>
      </c>
      <c r="D13" t="inlineStr">
        <is>
          <t>periodo_XLE2WST_AMIN</t>
        </is>
      </c>
      <c r="E13" t="inlineStr">
        <is>
          <t>2025</t>
        </is>
      </c>
      <c r="F13" t="inlineStr">
        <is>
          <t>MR24_RT</t>
        </is>
      </c>
      <c r="G13" t="inlineStr">
        <is>
          <t>10</t>
        </is>
      </c>
      <c r="H13" t="inlineStr">
        <is>
          <t>sin asignar</t>
        </is>
      </c>
      <c r="I13" t="inlineStr">
        <is>
          <t>Sedimentario_10</t>
        </is>
      </c>
      <c r="J13" t="inlineStr">
        <is>
          <t>Geologia_2024=Sedimentario_10 (no especifica caliza)</t>
        </is>
      </c>
      <c r="K13" t="inlineStr">
        <is>
          <t>Caliza (hipótesis: siglas C*)</t>
        </is>
      </c>
      <c r="L13" t="inlineStr">
        <is>
          <t>Sedimentario</t>
        </is>
      </c>
      <c r="M13" t="n">
        <v>1887</v>
      </c>
      <c r="N13" t="n">
        <v>11322000</v>
      </c>
      <c r="O13" t="n">
        <v>30585570</v>
      </c>
      <c r="P13" t="inlineStr"/>
      <c r="Q13" t="n">
        <v>16.032</v>
      </c>
    </row>
    <row r="14">
      <c r="A14" t="inlineStr">
        <is>
          <t>MR24</t>
        </is>
      </c>
      <c r="B14" t="inlineStr">
        <is>
          <t>SIMULACIONES_MR2024_V3</t>
        </is>
      </c>
      <c r="C14" t="inlineStr">
        <is>
          <t>toneladas (6000 m3 x MR24_BD); pct sobre toneladas</t>
        </is>
      </c>
      <c r="D14" t="inlineStr">
        <is>
          <t>periodo_XLE2WST_AMIN</t>
        </is>
      </c>
      <c r="E14" t="inlineStr">
        <is>
          <t>2025</t>
        </is>
      </c>
      <c r="F14" t="inlineStr">
        <is>
          <t>MR24_RT</t>
        </is>
      </c>
      <c r="G14" t="inlineStr">
        <is>
          <t>11</t>
        </is>
      </c>
      <c r="H14" t="inlineStr">
        <is>
          <t>sin asignar</t>
        </is>
      </c>
      <c r="I14" t="inlineStr">
        <is>
          <t>Sedimentario_11</t>
        </is>
      </c>
      <c r="J14" t="inlineStr">
        <is>
          <t>Geologia_2024=Sedimentario_11 (no especifica caliza)</t>
        </is>
      </c>
      <c r="K14" t="inlineStr">
        <is>
          <t>Caliza (hipótesis: Sedimentario; RT11~NUMEQ10, siglas C*)</t>
        </is>
      </c>
      <c r="L14" t="inlineStr">
        <is>
          <t>Sedimentario</t>
        </is>
      </c>
      <c r="M14" t="n">
        <v>1986</v>
      </c>
      <c r="N14" t="n">
        <v>11916000</v>
      </c>
      <c r="O14" t="n">
        <v>32230674</v>
      </c>
      <c r="P14" t="inlineStr"/>
      <c r="Q14" t="n">
        <v>16.895</v>
      </c>
    </row>
    <row r="15">
      <c r="A15" t="inlineStr">
        <is>
          <t>MR24</t>
        </is>
      </c>
      <c r="B15" t="inlineStr">
        <is>
          <t>SIMULACIONES_MR2024_V3</t>
        </is>
      </c>
      <c r="C15" t="inlineStr">
        <is>
          <t>toneladas (6000 m3 x MR24_BD); pct sobre toneladas</t>
        </is>
      </c>
      <c r="D15" t="inlineStr">
        <is>
          <t>periodo_XLE2WST_AMIN</t>
        </is>
      </c>
      <c r="E15" t="inlineStr">
        <is>
          <t>2025</t>
        </is>
      </c>
      <c r="F15" t="inlineStr">
        <is>
          <t>MR24_RT</t>
        </is>
      </c>
      <c r="G15" t="inlineStr">
        <is>
          <t>13</t>
        </is>
      </c>
      <c r="H15" t="inlineStr">
        <is>
          <t>sin asignar</t>
        </is>
      </c>
      <c r="I15" t="inlineStr">
        <is>
          <t>Metamorfico_13</t>
        </is>
      </c>
      <c r="J15" t="inlineStr">
        <is>
          <t>Geologia_2024=Metamorfico_13 (no distingue hornfels/mármol)</t>
        </is>
      </c>
      <c r="K15" t="inlineStr">
        <is>
          <t>Hornfels (hipótesis: siglas HG, HGS, HC)</t>
        </is>
      </c>
      <c r="L15" t="inlineStr">
        <is>
          <t>Metamorfico</t>
        </is>
      </c>
      <c r="M15" t="n">
        <v>1605</v>
      </c>
      <c r="N15" t="n">
        <v>9630000</v>
      </c>
      <c r="O15" t="n">
        <v>25963122</v>
      </c>
      <c r="P15" t="inlineStr"/>
      <c r="Q15" t="n">
        <v>13.609</v>
      </c>
    </row>
    <row r="16">
      <c r="A16" t="inlineStr">
        <is>
          <t>MR24</t>
        </is>
      </c>
      <c r="B16" t="inlineStr">
        <is>
          <t>SIMULACIONES_MR2024_V3</t>
        </is>
      </c>
      <c r="C16" t="inlineStr">
        <is>
          <t>toneladas (6000 m3 x MR24_BD); pct sobre toneladas</t>
        </is>
      </c>
      <c r="D16" t="inlineStr">
        <is>
          <t>periodo_XLE2WST_AMIN</t>
        </is>
      </c>
      <c r="E16" t="inlineStr">
        <is>
          <t>2025</t>
        </is>
      </c>
      <c r="F16" t="inlineStr">
        <is>
          <t>MR24_RT</t>
        </is>
      </c>
      <c r="G16" t="inlineStr">
        <is>
          <t>14</t>
        </is>
      </c>
      <c r="H16" t="inlineStr">
        <is>
          <t>sin asignar</t>
        </is>
      </c>
      <c r="I16" t="inlineStr">
        <is>
          <t>Metamorfico_14</t>
        </is>
      </c>
      <c r="J16" t="inlineStr">
        <is>
          <t>Geologia_2024=Metamorfico_14 (no distingue hornfels/mármol)</t>
        </is>
      </c>
      <c r="K16" t="inlineStr">
        <is>
          <t>Hornfels (hipótesis: siglas HBV, HGV, HCB, HDP; 'Diop. Hornfels'~HGV)</t>
        </is>
      </c>
      <c r="L16" t="inlineStr">
        <is>
          <t>Metamorfico</t>
        </is>
      </c>
      <c r="M16" t="n">
        <v>85</v>
      </c>
      <c r="N16" t="n">
        <v>510000</v>
      </c>
      <c r="O16" t="n">
        <v>1468158</v>
      </c>
      <c r="P16" t="inlineStr"/>
      <c r="Q16" t="n">
        <v>0.77</v>
      </c>
    </row>
    <row r="17">
      <c r="A17" t="inlineStr">
        <is>
          <t>MR24</t>
        </is>
      </c>
      <c r="B17" t="inlineStr">
        <is>
          <t>SIMULACIONES_MR2024_V3</t>
        </is>
      </c>
      <c r="C17" t="inlineStr">
        <is>
          <t>toneladas (6000 m3 x MR24_BD); pct sobre toneladas</t>
        </is>
      </c>
      <c r="D17" t="inlineStr">
        <is>
          <t>periodo_XLE2WST_AMIN</t>
        </is>
      </c>
      <c r="E17" t="inlineStr">
        <is>
          <t>2025</t>
        </is>
      </c>
      <c r="F17" t="inlineStr">
        <is>
          <t>MR24_RT</t>
        </is>
      </c>
      <c r="G17" t="inlineStr">
        <is>
          <t>16</t>
        </is>
      </c>
      <c r="H17" t="inlineStr">
        <is>
          <t>sin asignar</t>
        </is>
      </c>
      <c r="I17" t="inlineStr">
        <is>
          <t>Metamorfico_16</t>
        </is>
      </c>
      <c r="J17" t="inlineStr">
        <is>
          <t>Geologia_2024=Metamorfico_16 (no distingue hornfels/mármol)</t>
        </is>
      </c>
      <c r="K17" t="inlineStr">
        <is>
          <t>Mármol (hipótesis: siglas MC, MG, MGS, MPA, MCGB; 'Marble'~MCGB)</t>
        </is>
      </c>
      <c r="L17" t="inlineStr">
        <is>
          <t>Metamorfico</t>
        </is>
      </c>
      <c r="M17" t="n">
        <v>5106</v>
      </c>
      <c r="N17" t="n">
        <v>30636000</v>
      </c>
      <c r="O17" t="n">
        <v>83099964</v>
      </c>
      <c r="P17" t="inlineStr"/>
      <c r="Q17" t="n">
        <v>43.559</v>
      </c>
    </row>
    <row r="18">
      <c r="A18" t="inlineStr">
        <is>
          <t>MR24</t>
        </is>
      </c>
      <c r="B18" t="inlineStr">
        <is>
          <t>SIMULACIONES_MR2024_V3</t>
        </is>
      </c>
      <c r="C18" t="inlineStr">
        <is>
          <t>toneladas (6000 m3 x MR24_BD); pct sobre toneladas</t>
        </is>
      </c>
      <c r="D18" t="inlineStr">
        <is>
          <t>periodo_XLE2WST_AMIN</t>
        </is>
      </c>
      <c r="E18" t="inlineStr">
        <is>
          <t>2025</t>
        </is>
      </c>
      <c r="F18" t="inlineStr">
        <is>
          <t>MR24_RT</t>
        </is>
      </c>
      <c r="G18" t="inlineStr">
        <is>
          <t>19</t>
        </is>
      </c>
      <c r="H18" t="inlineStr">
        <is>
          <t>sin asignar</t>
        </is>
      </c>
      <c r="I18" t="inlineStr">
        <is>
          <t>Metamorfico_19</t>
        </is>
      </c>
      <c r="J18" t="inlineStr">
        <is>
          <t>Geologia_2024=Metamorfico_19 (no distingue hornfels/mármol)</t>
        </is>
      </c>
      <c r="K18" t="inlineStr">
        <is>
          <t>Mármol (hipótesis: sigla MDP)</t>
        </is>
      </c>
      <c r="L18" t="inlineStr">
        <is>
          <t>Metamorfico</t>
        </is>
      </c>
      <c r="M18" t="n">
        <v>267</v>
      </c>
      <c r="N18" t="n">
        <v>1602000</v>
      </c>
      <c r="O18" t="n">
        <v>4532958</v>
      </c>
      <c r="P18" t="inlineStr"/>
      <c r="Q18" t="n">
        <v>2.376</v>
      </c>
    </row>
    <row r="19">
      <c r="A19" t="inlineStr">
        <is>
          <t>MR24</t>
        </is>
      </c>
      <c r="B19" t="inlineStr">
        <is>
          <t>SIMULACIONES_MR2024_V3</t>
        </is>
      </c>
      <c r="C19" t="inlineStr">
        <is>
          <t>toneladas (6000 m3 x MR24_BD); pct sobre toneladas</t>
        </is>
      </c>
      <c r="D19" t="inlineStr">
        <is>
          <t>periodo_XLE2WST_AMIN</t>
        </is>
      </c>
      <c r="E19" t="inlineStr">
        <is>
          <t>2025</t>
        </is>
      </c>
      <c r="F19" t="inlineStr">
        <is>
          <t>MR24_RT</t>
        </is>
      </c>
      <c r="G19" t="inlineStr">
        <is>
          <t>53</t>
        </is>
      </c>
      <c r="H19" t="inlineStr">
        <is>
          <t>sin asignar</t>
        </is>
      </c>
      <c r="I19" t="inlineStr">
        <is>
          <t>RT53</t>
        </is>
      </c>
      <c r="J19" t="inlineStr">
        <is>
          <t>código sin etiqueta en los datos</t>
        </is>
      </c>
      <c r="K19" t="inlineStr">
        <is>
          <t>sin hipótesis</t>
        </is>
      </c>
      <c r="L19" t="inlineStr">
        <is>
          <t>sin leyenda</t>
        </is>
      </c>
      <c r="M19" t="n">
        <v>22</v>
      </c>
      <c r="N19" t="n">
        <v>132000</v>
      </c>
      <c r="O19" t="n">
        <v>340146</v>
      </c>
      <c r="P19" t="inlineStr"/>
      <c r="Q19" t="n">
        <v>0.178</v>
      </c>
    </row>
    <row r="20">
      <c r="A20" t="inlineStr">
        <is>
          <t>MR24</t>
        </is>
      </c>
      <c r="B20" t="inlineStr">
        <is>
          <t>SIMULACIONES_MR2024_V3</t>
        </is>
      </c>
      <c r="C20" t="inlineStr">
        <is>
          <t>toneladas (6000 m3 x MR24_BD); pct sobre toneladas</t>
        </is>
      </c>
      <c r="D20" t="inlineStr">
        <is>
          <t>periodo_XLE2WST_AMIN</t>
        </is>
      </c>
      <c r="E20" t="inlineStr">
        <is>
          <t>2026</t>
        </is>
      </c>
      <c r="F20" t="inlineStr">
        <is>
          <t>MR24_RT</t>
        </is>
      </c>
      <c r="G20" t="inlineStr">
        <is>
          <t>1</t>
        </is>
      </c>
      <c r="H20" t="inlineStr">
        <is>
          <t>Intrusivo</t>
        </is>
      </c>
      <c r="I20" t="inlineStr">
        <is>
          <t>RT1</t>
        </is>
      </c>
      <c r="J20" t="inlineStr">
        <is>
          <t>Geologia_2024=Intrusivo_1</t>
        </is>
      </c>
      <c r="K20" t="inlineStr">
        <is>
          <t>Intrusivo</t>
        </is>
      </c>
      <c r="L20" t="inlineStr">
        <is>
          <t>Intrusivo</t>
        </is>
      </c>
      <c r="M20" t="n">
        <v>1133</v>
      </c>
      <c r="N20" t="n">
        <v>6798000</v>
      </c>
      <c r="O20" t="n">
        <v>16653570</v>
      </c>
      <c r="P20" t="inlineStr"/>
      <c r="Q20" t="n">
        <v>8.608000000000001</v>
      </c>
    </row>
    <row r="21">
      <c r="A21" t="inlineStr">
        <is>
          <t>MR24</t>
        </is>
      </c>
      <c r="B21" t="inlineStr">
        <is>
          <t>SIMULACIONES_MR2024_V3</t>
        </is>
      </c>
      <c r="C21" t="inlineStr">
        <is>
          <t>toneladas (6000 m3 x MR24_BD); pct sobre toneladas</t>
        </is>
      </c>
      <c r="D21" t="inlineStr">
        <is>
          <t>periodo_XLE2WST_AMIN</t>
        </is>
      </c>
      <c r="E21" t="inlineStr">
        <is>
          <t>2026</t>
        </is>
      </c>
      <c r="F21" t="inlineStr">
        <is>
          <t>MR24_RT</t>
        </is>
      </c>
      <c r="G21" t="inlineStr">
        <is>
          <t>2</t>
        </is>
      </c>
      <c r="H21" t="inlineStr">
        <is>
          <t>Intrusivo</t>
        </is>
      </c>
      <c r="I21" t="inlineStr">
        <is>
          <t>RT2</t>
        </is>
      </c>
      <c r="J21" t="inlineStr">
        <is>
          <t>Geologia_2024=Intrusivo_2</t>
        </is>
      </c>
      <c r="K21" t="inlineStr">
        <is>
          <t>Intrusivo</t>
        </is>
      </c>
      <c r="L21" t="inlineStr">
        <is>
          <t>Intrusivo</t>
        </is>
      </c>
      <c r="M21" t="n">
        <v>28</v>
      </c>
      <c r="N21" t="n">
        <v>168000</v>
      </c>
      <c r="O21" t="n">
        <v>447126</v>
      </c>
      <c r="P21" t="inlineStr"/>
      <c r="Q21" t="n">
        <v>0.231</v>
      </c>
    </row>
    <row r="22">
      <c r="A22" t="inlineStr">
        <is>
          <t>MR24</t>
        </is>
      </c>
      <c r="B22" t="inlineStr">
        <is>
          <t>SIMULACIONES_MR2024_V3</t>
        </is>
      </c>
      <c r="C22" t="inlineStr">
        <is>
          <t>toneladas (6000 m3 x MR24_BD); pct sobre toneladas</t>
        </is>
      </c>
      <c r="D22" t="inlineStr">
        <is>
          <t>periodo_XLE2WST_AMIN</t>
        </is>
      </c>
      <c r="E22" t="inlineStr">
        <is>
          <t>2026</t>
        </is>
      </c>
      <c r="F22" t="inlineStr">
        <is>
          <t>MR24_RT</t>
        </is>
      </c>
      <c r="G22" t="inlineStr">
        <is>
          <t>10</t>
        </is>
      </c>
      <c r="H22" t="inlineStr">
        <is>
          <t>sin asignar</t>
        </is>
      </c>
      <c r="I22" t="inlineStr">
        <is>
          <t>Sedimentario_10</t>
        </is>
      </c>
      <c r="J22" t="inlineStr">
        <is>
          <t>Geologia_2024=Sedimentario_10 (no especifica caliza)</t>
        </is>
      </c>
      <c r="K22" t="inlineStr">
        <is>
          <t>Caliza (hipótesis: siglas C*)</t>
        </is>
      </c>
      <c r="L22" t="inlineStr">
        <is>
          <t>Sedimentario</t>
        </is>
      </c>
      <c r="M22" t="n">
        <v>560</v>
      </c>
      <c r="N22" t="n">
        <v>3360000</v>
      </c>
      <c r="O22" t="n">
        <v>9065682</v>
      </c>
      <c r="P22" t="inlineStr"/>
      <c r="Q22" t="n">
        <v>4.686</v>
      </c>
    </row>
    <row r="23">
      <c r="A23" t="inlineStr">
        <is>
          <t>MR24</t>
        </is>
      </c>
      <c r="B23" t="inlineStr">
        <is>
          <t>SIMULACIONES_MR2024_V3</t>
        </is>
      </c>
      <c r="C23" t="inlineStr">
        <is>
          <t>toneladas (6000 m3 x MR24_BD); pct sobre toneladas</t>
        </is>
      </c>
      <c r="D23" t="inlineStr">
        <is>
          <t>periodo_XLE2WST_AMIN</t>
        </is>
      </c>
      <c r="E23" t="inlineStr">
        <is>
          <t>2026</t>
        </is>
      </c>
      <c r="F23" t="inlineStr">
        <is>
          <t>MR24_RT</t>
        </is>
      </c>
      <c r="G23" t="inlineStr">
        <is>
          <t>11</t>
        </is>
      </c>
      <c r="H23" t="inlineStr">
        <is>
          <t>sin asignar</t>
        </is>
      </c>
      <c r="I23" t="inlineStr">
        <is>
          <t>Sedimentario_11</t>
        </is>
      </c>
      <c r="J23" t="inlineStr">
        <is>
          <t>Geologia_2024=Sedimentario_11 (no especifica caliza)</t>
        </is>
      </c>
      <c r="K23" t="inlineStr">
        <is>
          <t>Caliza (hipótesis: Sedimentario; RT11~NUMEQ10, siglas C*)</t>
        </is>
      </c>
      <c r="L23" t="inlineStr">
        <is>
          <t>Sedimentario</t>
        </is>
      </c>
      <c r="M23" t="n">
        <v>2048</v>
      </c>
      <c r="N23" t="n">
        <v>12288000</v>
      </c>
      <c r="O23" t="n">
        <v>33317802</v>
      </c>
      <c r="P23" t="inlineStr"/>
      <c r="Q23" t="n">
        <v>17.222</v>
      </c>
    </row>
    <row r="24">
      <c r="A24" t="inlineStr">
        <is>
          <t>MR24</t>
        </is>
      </c>
      <c r="B24" t="inlineStr">
        <is>
          <t>SIMULACIONES_MR2024_V3</t>
        </is>
      </c>
      <c r="C24" t="inlineStr">
        <is>
          <t>toneladas (6000 m3 x MR24_BD); pct sobre toneladas</t>
        </is>
      </c>
      <c r="D24" t="inlineStr">
        <is>
          <t>periodo_XLE2WST_AMIN</t>
        </is>
      </c>
      <c r="E24" t="inlineStr">
        <is>
          <t>2026</t>
        </is>
      </c>
      <c r="F24" t="inlineStr">
        <is>
          <t>MR24_RT</t>
        </is>
      </c>
      <c r="G24" t="inlineStr">
        <is>
          <t>13</t>
        </is>
      </c>
      <c r="H24" t="inlineStr">
        <is>
          <t>sin asignar</t>
        </is>
      </c>
      <c r="I24" t="inlineStr">
        <is>
          <t>Metamorfico_13</t>
        </is>
      </c>
      <c r="J24" t="inlineStr">
        <is>
          <t>Geologia_2024=Metamorfico_13 (no distingue hornfels/mármol)</t>
        </is>
      </c>
      <c r="K24" t="inlineStr">
        <is>
          <t>Hornfels (hipótesis: siglas HG, HGS, HC)</t>
        </is>
      </c>
      <c r="L24" t="inlineStr">
        <is>
          <t>Metamorfico</t>
        </is>
      </c>
      <c r="M24" t="n">
        <v>1088</v>
      </c>
      <c r="N24" t="n">
        <v>6528000</v>
      </c>
      <c r="O24" t="n">
        <v>17595030</v>
      </c>
      <c r="P24" t="inlineStr"/>
      <c r="Q24" t="n">
        <v>9.095000000000001</v>
      </c>
    </row>
    <row r="25">
      <c r="A25" t="inlineStr">
        <is>
          <t>MR24</t>
        </is>
      </c>
      <c r="B25" t="inlineStr">
        <is>
          <t>SIMULACIONES_MR2024_V3</t>
        </is>
      </c>
      <c r="C25" t="inlineStr">
        <is>
          <t>toneladas (6000 m3 x MR24_BD); pct sobre toneladas</t>
        </is>
      </c>
      <c r="D25" t="inlineStr">
        <is>
          <t>periodo_XLE2WST_AMIN</t>
        </is>
      </c>
      <c r="E25" t="inlineStr">
        <is>
          <t>2026</t>
        </is>
      </c>
      <c r="F25" t="inlineStr">
        <is>
          <t>MR24_RT</t>
        </is>
      </c>
      <c r="G25" t="inlineStr">
        <is>
          <t>14</t>
        </is>
      </c>
      <c r="H25" t="inlineStr">
        <is>
          <t>sin asignar</t>
        </is>
      </c>
      <c r="I25" t="inlineStr">
        <is>
          <t>Metamorfico_14</t>
        </is>
      </c>
      <c r="J25" t="inlineStr">
        <is>
          <t>Geologia_2024=Metamorfico_14 (no distingue hornfels/mármol)</t>
        </is>
      </c>
      <c r="K25" t="inlineStr">
        <is>
          <t>Hornfels (hipótesis: siglas HBV, HGV, HCB, HDP; 'Diop. Hornfels'~HGV)</t>
        </is>
      </c>
      <c r="L25" t="inlineStr">
        <is>
          <t>Metamorfico</t>
        </is>
      </c>
      <c r="M25" t="n">
        <v>315</v>
      </c>
      <c r="N25" t="n">
        <v>1890000</v>
      </c>
      <c r="O25" t="n">
        <v>5415990</v>
      </c>
      <c r="P25" t="inlineStr"/>
      <c r="Q25" t="n">
        <v>2.8</v>
      </c>
    </row>
    <row r="26">
      <c r="A26" t="inlineStr">
        <is>
          <t>MR24</t>
        </is>
      </c>
      <c r="B26" t="inlineStr">
        <is>
          <t>SIMULACIONES_MR2024_V3</t>
        </is>
      </c>
      <c r="C26" t="inlineStr">
        <is>
          <t>toneladas (6000 m3 x MR24_BD); pct sobre toneladas</t>
        </is>
      </c>
      <c r="D26" t="inlineStr">
        <is>
          <t>periodo_XLE2WST_AMIN</t>
        </is>
      </c>
      <c r="E26" t="inlineStr">
        <is>
          <t>2026</t>
        </is>
      </c>
      <c r="F26" t="inlineStr">
        <is>
          <t>MR24_RT</t>
        </is>
      </c>
      <c r="G26" t="inlineStr">
        <is>
          <t>16</t>
        </is>
      </c>
      <c r="H26" t="inlineStr">
        <is>
          <t>sin asignar</t>
        </is>
      </c>
      <c r="I26" t="inlineStr">
        <is>
          <t>Metamorfico_16</t>
        </is>
      </c>
      <c r="J26" t="inlineStr">
        <is>
          <t>Geologia_2024=Metamorfico_16 (no distingue hornfels/mármol)</t>
        </is>
      </c>
      <c r="K26" t="inlineStr">
        <is>
          <t>Mármol (hipótesis: siglas MC, MG, MGS, MPA, MCGB; 'Marble'~MCGB)</t>
        </is>
      </c>
      <c r="L26" t="inlineStr">
        <is>
          <t>Metamorfico</t>
        </is>
      </c>
      <c r="M26" t="n">
        <v>6252</v>
      </c>
      <c r="N26" t="n">
        <v>37512000</v>
      </c>
      <c r="O26" t="n">
        <v>101387838</v>
      </c>
      <c r="P26" t="inlineStr"/>
      <c r="Q26" t="n">
        <v>52.408</v>
      </c>
    </row>
    <row r="27">
      <c r="A27" t="inlineStr">
        <is>
          <t>MR24</t>
        </is>
      </c>
      <c r="B27" t="inlineStr">
        <is>
          <t>SIMULACIONES_MR2024_V3</t>
        </is>
      </c>
      <c r="C27" t="inlineStr">
        <is>
          <t>toneladas (6000 m3 x MR24_BD); pct sobre toneladas</t>
        </is>
      </c>
      <c r="D27" t="inlineStr">
        <is>
          <t>periodo_XLE2WST_AMIN</t>
        </is>
      </c>
      <c r="E27" t="inlineStr">
        <is>
          <t>2026</t>
        </is>
      </c>
      <c r="F27" t="inlineStr">
        <is>
          <t>MR24_RT</t>
        </is>
      </c>
      <c r="G27" t="inlineStr">
        <is>
          <t>19</t>
        </is>
      </c>
      <c r="H27" t="inlineStr">
        <is>
          <t>sin asignar</t>
        </is>
      </c>
      <c r="I27" t="inlineStr">
        <is>
          <t>Metamorfico_19</t>
        </is>
      </c>
      <c r="J27" t="inlineStr">
        <is>
          <t>Geologia_2024=Metamorfico_19 (no distingue hornfels/mármol)</t>
        </is>
      </c>
      <c r="K27" t="inlineStr">
        <is>
          <t>Mármol (hipótesis: sigla MDP)</t>
        </is>
      </c>
      <c r="L27" t="inlineStr">
        <is>
          <t>Metamorfico</t>
        </is>
      </c>
      <c r="M27" t="n">
        <v>517</v>
      </c>
      <c r="N27" t="n">
        <v>3102000</v>
      </c>
      <c r="O27" t="n">
        <v>8860056</v>
      </c>
      <c r="P27" t="inlineStr"/>
      <c r="Q27" t="n">
        <v>4.58</v>
      </c>
    </row>
    <row r="28">
      <c r="A28" t="inlineStr">
        <is>
          <t>MR24</t>
        </is>
      </c>
      <c r="B28" t="inlineStr">
        <is>
          <t>SIMULACIONES_MR2024_V3</t>
        </is>
      </c>
      <c r="C28" t="inlineStr">
        <is>
          <t>toneladas (6000 m3 x MR24_BD); pct sobre toneladas</t>
        </is>
      </c>
      <c r="D28" t="inlineStr">
        <is>
          <t>periodo_XLE2WST_AMIN</t>
        </is>
      </c>
      <c r="E28" t="inlineStr">
        <is>
          <t>2026</t>
        </is>
      </c>
      <c r="F28" t="inlineStr">
        <is>
          <t>MR24_RT</t>
        </is>
      </c>
      <c r="G28" t="inlineStr">
        <is>
          <t>53</t>
        </is>
      </c>
      <c r="H28" t="inlineStr">
        <is>
          <t>sin asignar</t>
        </is>
      </c>
      <c r="I28" t="inlineStr">
        <is>
          <t>RT53</t>
        </is>
      </c>
      <c r="J28" t="inlineStr">
        <is>
          <t>código sin etiqueta en los datos</t>
        </is>
      </c>
      <c r="K28" t="inlineStr">
        <is>
          <t>sin hipótesis</t>
        </is>
      </c>
      <c r="L28" t="inlineStr">
        <is>
          <t>sin leyenda</t>
        </is>
      </c>
      <c r="M28" t="n">
        <v>46</v>
      </c>
      <c r="N28" t="n">
        <v>276000</v>
      </c>
      <c r="O28" t="n">
        <v>715620</v>
      </c>
      <c r="P28" t="inlineStr"/>
      <c r="Q28" t="n">
        <v>0.37</v>
      </c>
    </row>
    <row r="29">
      <c r="A29" t="inlineStr">
        <is>
          <t>MR24</t>
        </is>
      </c>
      <c r="B29" t="inlineStr">
        <is>
          <t>SIMULACIONES_MR2024_V3</t>
        </is>
      </c>
      <c r="C29" t="inlineStr">
        <is>
          <t>toneladas (6000 m3 x MR24_BD); pct sobre toneladas</t>
        </is>
      </c>
      <c r="D29" t="inlineStr">
        <is>
          <t>periodo_XLE2WST_AMIN</t>
        </is>
      </c>
      <c r="E29" t="inlineStr">
        <is>
          <t>2027</t>
        </is>
      </c>
      <c r="F29" t="inlineStr">
        <is>
          <t>MR24_RT</t>
        </is>
      </c>
      <c r="G29" t="inlineStr">
        <is>
          <t>1</t>
        </is>
      </c>
      <c r="H29" t="inlineStr">
        <is>
          <t>Intrusivo</t>
        </is>
      </c>
      <c r="I29" t="inlineStr">
        <is>
          <t>RT1</t>
        </is>
      </c>
      <c r="J29" t="inlineStr">
        <is>
          <t>Geologia_2024=Intrusivo_1</t>
        </is>
      </c>
      <c r="K29" t="inlineStr">
        <is>
          <t>Intrusivo</t>
        </is>
      </c>
      <c r="L29" t="inlineStr">
        <is>
          <t>Intrusivo</t>
        </is>
      </c>
      <c r="M29" t="n">
        <v>1781</v>
      </c>
      <c r="N29" t="n">
        <v>10686000</v>
      </c>
      <c r="O29" t="n">
        <v>26092044</v>
      </c>
      <c r="P29" t="inlineStr"/>
      <c r="Q29" t="n">
        <v>15.651</v>
      </c>
    </row>
    <row r="30">
      <c r="A30" t="inlineStr">
        <is>
          <t>MR24</t>
        </is>
      </c>
      <c r="B30" t="inlineStr">
        <is>
          <t>SIMULACIONES_MR2024_V3</t>
        </is>
      </c>
      <c r="C30" t="inlineStr">
        <is>
          <t>toneladas (6000 m3 x MR24_BD); pct sobre toneladas</t>
        </is>
      </c>
      <c r="D30" t="inlineStr">
        <is>
          <t>periodo_XLE2WST_AMIN</t>
        </is>
      </c>
      <c r="E30" t="inlineStr">
        <is>
          <t>2027</t>
        </is>
      </c>
      <c r="F30" t="inlineStr">
        <is>
          <t>MR24_RT</t>
        </is>
      </c>
      <c r="G30" t="inlineStr">
        <is>
          <t>2</t>
        </is>
      </c>
      <c r="H30" t="inlineStr">
        <is>
          <t>Intrusivo</t>
        </is>
      </c>
      <c r="I30" t="inlineStr">
        <is>
          <t>RT2</t>
        </is>
      </c>
      <c r="J30" t="inlineStr">
        <is>
          <t>Geologia_2024=Intrusivo_2</t>
        </is>
      </c>
      <c r="K30" t="inlineStr">
        <is>
          <t>Intrusivo</t>
        </is>
      </c>
      <c r="L30" t="inlineStr">
        <is>
          <t>Intrusivo</t>
        </is>
      </c>
      <c r="M30" t="n">
        <v>33</v>
      </c>
      <c r="N30" t="n">
        <v>198000</v>
      </c>
      <c r="O30" t="n">
        <v>523956</v>
      </c>
      <c r="P30" t="inlineStr"/>
      <c r="Q30" t="n">
        <v>0.314</v>
      </c>
    </row>
    <row r="31">
      <c r="A31" t="inlineStr">
        <is>
          <t>MR24</t>
        </is>
      </c>
      <c r="B31" t="inlineStr">
        <is>
          <t>SIMULACIONES_MR2024_V3</t>
        </is>
      </c>
      <c r="C31" t="inlineStr">
        <is>
          <t>toneladas (6000 m3 x MR24_BD); pct sobre toneladas</t>
        </is>
      </c>
      <c r="D31" t="inlineStr">
        <is>
          <t>periodo_XLE2WST_AMIN</t>
        </is>
      </c>
      <c r="E31" t="inlineStr">
        <is>
          <t>2027</t>
        </is>
      </c>
      <c r="F31" t="inlineStr">
        <is>
          <t>MR24_RT</t>
        </is>
      </c>
      <c r="G31" t="inlineStr">
        <is>
          <t>10</t>
        </is>
      </c>
      <c r="H31" t="inlineStr">
        <is>
          <t>sin asignar</t>
        </is>
      </c>
      <c r="I31" t="inlineStr">
        <is>
          <t>Sedimentario_10</t>
        </is>
      </c>
      <c r="J31" t="inlineStr">
        <is>
          <t>Geologia_2024=Sedimentario_10 (no especifica caliza)</t>
        </is>
      </c>
      <c r="K31" t="inlineStr">
        <is>
          <t>Caliza (hipótesis: siglas C*)</t>
        </is>
      </c>
      <c r="L31" t="inlineStr">
        <is>
          <t>Sedimentario</t>
        </is>
      </c>
      <c r="M31" t="n">
        <v>368</v>
      </c>
      <c r="N31" t="n">
        <v>2208000</v>
      </c>
      <c r="O31" t="n">
        <v>5970360</v>
      </c>
      <c r="P31" t="inlineStr"/>
      <c r="Q31" t="n">
        <v>3.581</v>
      </c>
    </row>
    <row r="32">
      <c r="A32" t="inlineStr">
        <is>
          <t>MR24</t>
        </is>
      </c>
      <c r="B32" t="inlineStr">
        <is>
          <t>SIMULACIONES_MR2024_V3</t>
        </is>
      </c>
      <c r="C32" t="inlineStr">
        <is>
          <t>toneladas (6000 m3 x MR24_BD); pct sobre toneladas</t>
        </is>
      </c>
      <c r="D32" t="inlineStr">
        <is>
          <t>periodo_XLE2WST_AMIN</t>
        </is>
      </c>
      <c r="E32" t="inlineStr">
        <is>
          <t>2027</t>
        </is>
      </c>
      <c r="F32" t="inlineStr">
        <is>
          <t>MR24_RT</t>
        </is>
      </c>
      <c r="G32" t="inlineStr">
        <is>
          <t>11</t>
        </is>
      </c>
      <c r="H32" t="inlineStr">
        <is>
          <t>sin asignar</t>
        </is>
      </c>
      <c r="I32" t="inlineStr">
        <is>
          <t>Sedimentario_11</t>
        </is>
      </c>
      <c r="J32" t="inlineStr">
        <is>
          <t>Geologia_2024=Sedimentario_11 (no especifica caliza)</t>
        </is>
      </c>
      <c r="K32" t="inlineStr">
        <is>
          <t>Caliza (hipótesis: Sedimentario; RT11~NUMEQ10, siglas C*)</t>
        </is>
      </c>
      <c r="L32" t="inlineStr">
        <is>
          <t>Sedimentario</t>
        </is>
      </c>
      <c r="M32" t="n">
        <v>269</v>
      </c>
      <c r="N32" t="n">
        <v>1614000</v>
      </c>
      <c r="O32" t="n">
        <v>4364520</v>
      </c>
      <c r="P32" t="inlineStr"/>
      <c r="Q32" t="n">
        <v>2.618</v>
      </c>
    </row>
    <row r="33">
      <c r="A33" t="inlineStr">
        <is>
          <t>MR24</t>
        </is>
      </c>
      <c r="B33" t="inlineStr">
        <is>
          <t>SIMULACIONES_MR2024_V3</t>
        </is>
      </c>
      <c r="C33" t="inlineStr">
        <is>
          <t>toneladas (6000 m3 x MR24_BD); pct sobre toneladas</t>
        </is>
      </c>
      <c r="D33" t="inlineStr">
        <is>
          <t>periodo_XLE2WST_AMIN</t>
        </is>
      </c>
      <c r="E33" t="inlineStr">
        <is>
          <t>2027</t>
        </is>
      </c>
      <c r="F33" t="inlineStr">
        <is>
          <t>MR24_RT</t>
        </is>
      </c>
      <c r="G33" t="inlineStr">
        <is>
          <t>13</t>
        </is>
      </c>
      <c r="H33" t="inlineStr">
        <is>
          <t>sin asignar</t>
        </is>
      </c>
      <c r="I33" t="inlineStr">
        <is>
          <t>Metamorfico_13</t>
        </is>
      </c>
      <c r="J33" t="inlineStr">
        <is>
          <t>Geologia_2024=Metamorfico_13 (no distingue hornfels/mármol)</t>
        </is>
      </c>
      <c r="K33" t="inlineStr">
        <is>
          <t>Hornfels (hipótesis: siglas HG, HGS, HC)</t>
        </is>
      </c>
      <c r="L33" t="inlineStr">
        <is>
          <t>Metamorfico</t>
        </is>
      </c>
      <c r="M33" t="n">
        <v>444</v>
      </c>
      <c r="N33" t="n">
        <v>2664000</v>
      </c>
      <c r="O33" t="n">
        <v>7221858</v>
      </c>
      <c r="P33" t="inlineStr"/>
      <c r="Q33" t="n">
        <v>4.332</v>
      </c>
    </row>
    <row r="34">
      <c r="A34" t="inlineStr">
        <is>
          <t>MR24</t>
        </is>
      </c>
      <c r="B34" t="inlineStr">
        <is>
          <t>SIMULACIONES_MR2024_V3</t>
        </is>
      </c>
      <c r="C34" t="inlineStr">
        <is>
          <t>toneladas (6000 m3 x MR24_BD); pct sobre toneladas</t>
        </is>
      </c>
      <c r="D34" t="inlineStr">
        <is>
          <t>periodo_XLE2WST_AMIN</t>
        </is>
      </c>
      <c r="E34" t="inlineStr">
        <is>
          <t>2027</t>
        </is>
      </c>
      <c r="F34" t="inlineStr">
        <is>
          <t>MR24_RT</t>
        </is>
      </c>
      <c r="G34" t="inlineStr">
        <is>
          <t>14</t>
        </is>
      </c>
      <c r="H34" t="inlineStr">
        <is>
          <t>sin asignar</t>
        </is>
      </c>
      <c r="I34" t="inlineStr">
        <is>
          <t>Metamorfico_14</t>
        </is>
      </c>
      <c r="J34" t="inlineStr">
        <is>
          <t>Geologia_2024=Metamorfico_14 (no distingue hornfels/mármol)</t>
        </is>
      </c>
      <c r="K34" t="inlineStr">
        <is>
          <t>Hornfels (hipótesis: siglas HBV, HGV, HCB, HDP; 'Diop. Hornfels'~HGV)</t>
        </is>
      </c>
      <c r="L34" t="inlineStr">
        <is>
          <t>Metamorfico</t>
        </is>
      </c>
      <c r="M34" t="n">
        <v>252</v>
      </c>
      <c r="N34" t="n">
        <v>1512000</v>
      </c>
      <c r="O34" t="n">
        <v>4309038</v>
      </c>
      <c r="P34" t="inlineStr"/>
      <c r="Q34" t="n">
        <v>2.585</v>
      </c>
    </row>
    <row r="35">
      <c r="A35" t="inlineStr">
        <is>
          <t>MR24</t>
        </is>
      </c>
      <c r="B35" t="inlineStr">
        <is>
          <t>SIMULACIONES_MR2024_V3</t>
        </is>
      </c>
      <c r="C35" t="inlineStr">
        <is>
          <t>toneladas (6000 m3 x MR24_BD); pct sobre toneladas</t>
        </is>
      </c>
      <c r="D35" t="inlineStr">
        <is>
          <t>periodo_XLE2WST_AMIN</t>
        </is>
      </c>
      <c r="E35" t="inlineStr">
        <is>
          <t>2027</t>
        </is>
      </c>
      <c r="F35" t="inlineStr">
        <is>
          <t>MR24_RT</t>
        </is>
      </c>
      <c r="G35" t="inlineStr">
        <is>
          <t>16</t>
        </is>
      </c>
      <c r="H35" t="inlineStr">
        <is>
          <t>sin asignar</t>
        </is>
      </c>
      <c r="I35" t="inlineStr">
        <is>
          <t>Metamorfico_16</t>
        </is>
      </c>
      <c r="J35" t="inlineStr">
        <is>
          <t>Geologia_2024=Metamorfico_16 (no distingue hornfels/mármol)</t>
        </is>
      </c>
      <c r="K35" t="inlineStr">
        <is>
          <t>Mármol (hipótesis: siglas MC, MG, MGS, MPA, MCGB; 'Marble'~MCGB)</t>
        </is>
      </c>
      <c r="L35" t="inlineStr">
        <is>
          <t>Metamorfico</t>
        </is>
      </c>
      <c r="M35" t="n">
        <v>6685</v>
      </c>
      <c r="N35" t="n">
        <v>40110000</v>
      </c>
      <c r="O35" t="n">
        <v>108348132</v>
      </c>
      <c r="P35" t="inlineStr"/>
      <c r="Q35" t="n">
        <v>64.992</v>
      </c>
    </row>
    <row r="36">
      <c r="A36" t="inlineStr">
        <is>
          <t>MR24</t>
        </is>
      </c>
      <c r="B36" t="inlineStr">
        <is>
          <t>SIMULACIONES_MR2024_V3</t>
        </is>
      </c>
      <c r="C36" t="inlineStr">
        <is>
          <t>toneladas (6000 m3 x MR24_BD); pct sobre toneladas</t>
        </is>
      </c>
      <c r="D36" t="inlineStr">
        <is>
          <t>periodo_XLE2WST_AMIN</t>
        </is>
      </c>
      <c r="E36" t="inlineStr">
        <is>
          <t>2027</t>
        </is>
      </c>
      <c r="F36" t="inlineStr">
        <is>
          <t>MR24_RT</t>
        </is>
      </c>
      <c r="G36" t="inlineStr">
        <is>
          <t>19</t>
        </is>
      </c>
      <c r="H36" t="inlineStr">
        <is>
          <t>sin asignar</t>
        </is>
      </c>
      <c r="I36" t="inlineStr">
        <is>
          <t>Metamorfico_19</t>
        </is>
      </c>
      <c r="J36" t="inlineStr">
        <is>
          <t>Geologia_2024=Metamorfico_19 (no distingue hornfels/mármol)</t>
        </is>
      </c>
      <c r="K36" t="inlineStr">
        <is>
          <t>Mármol (hipótesis: sigla MDP)</t>
        </is>
      </c>
      <c r="L36" t="inlineStr">
        <is>
          <t>Metamorfico</t>
        </is>
      </c>
      <c r="M36" t="n">
        <v>528</v>
      </c>
      <c r="N36" t="n">
        <v>3168000</v>
      </c>
      <c r="O36" t="n">
        <v>9006792</v>
      </c>
      <c r="P36" t="inlineStr"/>
      <c r="Q36" t="n">
        <v>5.403</v>
      </c>
    </row>
    <row r="37">
      <c r="A37" t="inlineStr">
        <is>
          <t>MR24</t>
        </is>
      </c>
      <c r="B37" t="inlineStr">
        <is>
          <t>SIMULACIONES_MR2024_V3</t>
        </is>
      </c>
      <c r="C37" t="inlineStr">
        <is>
          <t>toneladas (6000 m3 x MR24_BD); pct sobre toneladas</t>
        </is>
      </c>
      <c r="D37" t="inlineStr">
        <is>
          <t>periodo_XLE2WST_AMIN</t>
        </is>
      </c>
      <c r="E37" t="inlineStr">
        <is>
          <t>2027</t>
        </is>
      </c>
      <c r="F37" t="inlineStr">
        <is>
          <t>MR24_RT</t>
        </is>
      </c>
      <c r="G37" t="inlineStr">
        <is>
          <t>53</t>
        </is>
      </c>
      <c r="H37" t="inlineStr">
        <is>
          <t>sin asignar</t>
        </is>
      </c>
      <c r="I37" t="inlineStr">
        <is>
          <t>RT53</t>
        </is>
      </c>
      <c r="J37" t="inlineStr">
        <is>
          <t>código sin etiqueta en los datos</t>
        </is>
      </c>
      <c r="K37" t="inlineStr">
        <is>
          <t>sin hipótesis</t>
        </is>
      </c>
      <c r="L37" t="inlineStr">
        <is>
          <t>sin leyenda</t>
        </is>
      </c>
      <c r="M37" t="n">
        <v>56</v>
      </c>
      <c r="N37" t="n">
        <v>336000</v>
      </c>
      <c r="O37" t="n">
        <v>872478</v>
      </c>
      <c r="P37" t="inlineStr"/>
      <c r="Q37" t="n">
        <v>0.523</v>
      </c>
    </row>
    <row r="38">
      <c r="A38" t="inlineStr">
        <is>
          <t>MR24</t>
        </is>
      </c>
      <c r="B38" t="inlineStr">
        <is>
          <t>SIMULACIONES_MR2024_V3</t>
        </is>
      </c>
      <c r="C38" t="inlineStr">
        <is>
          <t>toneladas (6000 m3 x MR24_BD); pct sobre toneladas</t>
        </is>
      </c>
      <c r="D38" t="inlineStr">
        <is>
          <t>periodo_XLE2WST_AMIN</t>
        </is>
      </c>
      <c r="E38" t="inlineStr">
        <is>
          <t>2028</t>
        </is>
      </c>
      <c r="F38" t="inlineStr">
        <is>
          <t>MR24_RT</t>
        </is>
      </c>
      <c r="G38" t="inlineStr">
        <is>
          <t>1</t>
        </is>
      </c>
      <c r="H38" t="inlineStr">
        <is>
          <t>Intrusivo</t>
        </is>
      </c>
      <c r="I38" t="inlineStr">
        <is>
          <t>RT1</t>
        </is>
      </c>
      <c r="J38" t="inlineStr">
        <is>
          <t>Geologia_2024=Intrusivo_1</t>
        </is>
      </c>
      <c r="K38" t="inlineStr">
        <is>
          <t>Intrusivo</t>
        </is>
      </c>
      <c r="L38" t="inlineStr">
        <is>
          <t>Intrusivo</t>
        </is>
      </c>
      <c r="M38" t="n">
        <v>1416</v>
      </c>
      <c r="N38" t="n">
        <v>8496000</v>
      </c>
      <c r="O38" t="n">
        <v>20698452</v>
      </c>
      <c r="P38" t="inlineStr"/>
      <c r="Q38" t="n">
        <v>11.365</v>
      </c>
    </row>
    <row r="39">
      <c r="A39" t="inlineStr">
        <is>
          <t>MR24</t>
        </is>
      </c>
      <c r="B39" t="inlineStr">
        <is>
          <t>SIMULACIONES_MR2024_V3</t>
        </is>
      </c>
      <c r="C39" t="inlineStr">
        <is>
          <t>toneladas (6000 m3 x MR24_BD); pct sobre toneladas</t>
        </is>
      </c>
      <c r="D39" t="inlineStr">
        <is>
          <t>periodo_XLE2WST_AMIN</t>
        </is>
      </c>
      <c r="E39" t="inlineStr">
        <is>
          <t>2028</t>
        </is>
      </c>
      <c r="F39" t="inlineStr">
        <is>
          <t>MR24_RT</t>
        </is>
      </c>
      <c r="G39" t="inlineStr">
        <is>
          <t>2</t>
        </is>
      </c>
      <c r="H39" t="inlineStr">
        <is>
          <t>Intrusivo</t>
        </is>
      </c>
      <c r="I39" t="inlineStr">
        <is>
          <t>RT2</t>
        </is>
      </c>
      <c r="J39" t="inlineStr">
        <is>
          <t>Geologia_2024=Intrusivo_2</t>
        </is>
      </c>
      <c r="K39" t="inlineStr">
        <is>
          <t>Intrusivo</t>
        </is>
      </c>
      <c r="L39" t="inlineStr">
        <is>
          <t>Intrusivo</t>
        </is>
      </c>
      <c r="M39" t="n">
        <v>60</v>
      </c>
      <c r="N39" t="n">
        <v>360000</v>
      </c>
      <c r="O39" t="n">
        <v>961602</v>
      </c>
      <c r="P39" t="inlineStr"/>
      <c r="Q39" t="n">
        <v>0.528</v>
      </c>
    </row>
    <row r="40">
      <c r="A40" t="inlineStr">
        <is>
          <t>MR24</t>
        </is>
      </c>
      <c r="B40" t="inlineStr">
        <is>
          <t>SIMULACIONES_MR2024_V3</t>
        </is>
      </c>
      <c r="C40" t="inlineStr">
        <is>
          <t>toneladas (6000 m3 x MR24_BD); pct sobre toneladas</t>
        </is>
      </c>
      <c r="D40" t="inlineStr">
        <is>
          <t>periodo_XLE2WST_AMIN</t>
        </is>
      </c>
      <c r="E40" t="inlineStr">
        <is>
          <t>2028</t>
        </is>
      </c>
      <c r="F40" t="inlineStr">
        <is>
          <t>MR24_RT</t>
        </is>
      </c>
      <c r="G40" t="inlineStr">
        <is>
          <t>10</t>
        </is>
      </c>
      <c r="H40" t="inlineStr">
        <is>
          <t>sin asignar</t>
        </is>
      </c>
      <c r="I40" t="inlineStr">
        <is>
          <t>Sedimentario_10</t>
        </is>
      </c>
      <c r="J40" t="inlineStr">
        <is>
          <t>Geologia_2024=Sedimentario_10 (no especifica caliza)</t>
        </is>
      </c>
      <c r="K40" t="inlineStr">
        <is>
          <t>Caliza (hipótesis: siglas C*)</t>
        </is>
      </c>
      <c r="L40" t="inlineStr">
        <is>
          <t>Sedimentario</t>
        </is>
      </c>
      <c r="M40" t="n">
        <v>367</v>
      </c>
      <c r="N40" t="n">
        <v>2202000</v>
      </c>
      <c r="O40" t="n">
        <v>5963622</v>
      </c>
      <c r="P40" t="inlineStr"/>
      <c r="Q40" t="n">
        <v>3.274</v>
      </c>
    </row>
    <row r="41">
      <c r="A41" t="inlineStr">
        <is>
          <t>MR24</t>
        </is>
      </c>
      <c r="B41" t="inlineStr">
        <is>
          <t>SIMULACIONES_MR2024_V3</t>
        </is>
      </c>
      <c r="C41" t="inlineStr">
        <is>
          <t>toneladas (6000 m3 x MR24_BD); pct sobre toneladas</t>
        </is>
      </c>
      <c r="D41" t="inlineStr">
        <is>
          <t>periodo_XLE2WST_AMIN</t>
        </is>
      </c>
      <c r="E41" t="inlineStr">
        <is>
          <t>2028</t>
        </is>
      </c>
      <c r="F41" t="inlineStr">
        <is>
          <t>MR24_RT</t>
        </is>
      </c>
      <c r="G41" t="inlineStr">
        <is>
          <t>11</t>
        </is>
      </c>
      <c r="H41" t="inlineStr">
        <is>
          <t>sin asignar</t>
        </is>
      </c>
      <c r="I41" t="inlineStr">
        <is>
          <t>Sedimentario_11</t>
        </is>
      </c>
      <c r="J41" t="inlineStr">
        <is>
          <t>Geologia_2024=Sedimentario_11 (no especifica caliza)</t>
        </is>
      </c>
      <c r="K41" t="inlineStr">
        <is>
          <t>Caliza (hipótesis: Sedimentario; RT11~NUMEQ10, siglas C*)</t>
        </is>
      </c>
      <c r="L41" t="inlineStr">
        <is>
          <t>Sedimentario</t>
        </is>
      </c>
      <c r="M41" t="n">
        <v>1190</v>
      </c>
      <c r="N41" t="n">
        <v>7140000</v>
      </c>
      <c r="O41" t="n">
        <v>19359228</v>
      </c>
      <c r="P41" t="inlineStr"/>
      <c r="Q41" t="n">
        <v>10.63</v>
      </c>
    </row>
    <row r="42">
      <c r="A42" t="inlineStr">
        <is>
          <t>MR24</t>
        </is>
      </c>
      <c r="B42" t="inlineStr">
        <is>
          <t>SIMULACIONES_MR2024_V3</t>
        </is>
      </c>
      <c r="C42" t="inlineStr">
        <is>
          <t>toneladas (6000 m3 x MR24_BD); pct sobre toneladas</t>
        </is>
      </c>
      <c r="D42" t="inlineStr">
        <is>
          <t>periodo_XLE2WST_AMIN</t>
        </is>
      </c>
      <c r="E42" t="inlineStr">
        <is>
          <t>2028</t>
        </is>
      </c>
      <c r="F42" t="inlineStr">
        <is>
          <t>MR24_RT</t>
        </is>
      </c>
      <c r="G42" t="inlineStr">
        <is>
          <t>13</t>
        </is>
      </c>
      <c r="H42" t="inlineStr">
        <is>
          <t>sin asignar</t>
        </is>
      </c>
      <c r="I42" t="inlineStr">
        <is>
          <t>Metamorfico_13</t>
        </is>
      </c>
      <c r="J42" t="inlineStr">
        <is>
          <t>Geologia_2024=Metamorfico_13 (no distingue hornfels/mármol)</t>
        </is>
      </c>
      <c r="K42" t="inlineStr">
        <is>
          <t>Hornfels (hipótesis: siglas HG, HGS, HC)</t>
        </is>
      </c>
      <c r="L42" t="inlineStr">
        <is>
          <t>Metamorfico</t>
        </is>
      </c>
      <c r="M42" t="n">
        <v>1787</v>
      </c>
      <c r="N42" t="n">
        <v>10722000</v>
      </c>
      <c r="O42" t="n">
        <v>28982172</v>
      </c>
      <c r="P42" t="inlineStr"/>
      <c r="Q42" t="n">
        <v>15.913</v>
      </c>
    </row>
    <row r="43">
      <c r="A43" t="inlineStr">
        <is>
          <t>MR24</t>
        </is>
      </c>
      <c r="B43" t="inlineStr">
        <is>
          <t>SIMULACIONES_MR2024_V3</t>
        </is>
      </c>
      <c r="C43" t="inlineStr">
        <is>
          <t>toneladas (6000 m3 x MR24_BD); pct sobre toneladas</t>
        </is>
      </c>
      <c r="D43" t="inlineStr">
        <is>
          <t>periodo_XLE2WST_AMIN</t>
        </is>
      </c>
      <c r="E43" t="inlineStr">
        <is>
          <t>2028</t>
        </is>
      </c>
      <c r="F43" t="inlineStr">
        <is>
          <t>MR24_RT</t>
        </is>
      </c>
      <c r="G43" t="inlineStr">
        <is>
          <t>14</t>
        </is>
      </c>
      <c r="H43" t="inlineStr">
        <is>
          <t>sin asignar</t>
        </is>
      </c>
      <c r="I43" t="inlineStr">
        <is>
          <t>Metamorfico_14</t>
        </is>
      </c>
      <c r="J43" t="inlineStr">
        <is>
          <t>Geologia_2024=Metamorfico_14 (no distingue hornfels/mármol)</t>
        </is>
      </c>
      <c r="K43" t="inlineStr">
        <is>
          <t>Hornfels (hipótesis: siglas HBV, HGV, HCB, HDP; 'Diop. Hornfels'~HGV)</t>
        </is>
      </c>
      <c r="L43" t="inlineStr">
        <is>
          <t>Metamorfico</t>
        </is>
      </c>
      <c r="M43" t="n">
        <v>357</v>
      </c>
      <c r="N43" t="n">
        <v>2142000</v>
      </c>
      <c r="O43" t="n">
        <v>6118350</v>
      </c>
      <c r="P43" t="inlineStr"/>
      <c r="Q43" t="n">
        <v>3.359</v>
      </c>
    </row>
    <row r="44">
      <c r="A44" t="inlineStr">
        <is>
          <t>MR24</t>
        </is>
      </c>
      <c r="B44" t="inlineStr">
        <is>
          <t>SIMULACIONES_MR2024_V3</t>
        </is>
      </c>
      <c r="C44" t="inlineStr">
        <is>
          <t>toneladas (6000 m3 x MR24_BD); pct sobre toneladas</t>
        </is>
      </c>
      <c r="D44" t="inlineStr">
        <is>
          <t>periodo_XLE2WST_AMIN</t>
        </is>
      </c>
      <c r="E44" t="inlineStr">
        <is>
          <t>2028</t>
        </is>
      </c>
      <c r="F44" t="inlineStr">
        <is>
          <t>MR24_RT</t>
        </is>
      </c>
      <c r="G44" t="inlineStr">
        <is>
          <t>16</t>
        </is>
      </c>
      <c r="H44" t="inlineStr">
        <is>
          <t>sin asignar</t>
        </is>
      </c>
      <c r="I44" t="inlineStr">
        <is>
          <t>Metamorfico_16</t>
        </is>
      </c>
      <c r="J44" t="inlineStr">
        <is>
          <t>Geologia_2024=Metamorfico_16 (no distingue hornfels/mármol)</t>
        </is>
      </c>
      <c r="K44" t="inlineStr">
        <is>
          <t>Mármol (hipótesis: siglas MC, MG, MGS, MPA, MCGB; 'Marble'~MCGB)</t>
        </is>
      </c>
      <c r="L44" t="inlineStr">
        <is>
          <t>Metamorfico</t>
        </is>
      </c>
      <c r="M44" t="n">
        <v>5628</v>
      </c>
      <c r="N44" t="n">
        <v>33768000</v>
      </c>
      <c r="O44" t="n">
        <v>91411968</v>
      </c>
      <c r="P44" t="inlineStr"/>
      <c r="Q44" t="n">
        <v>50.192</v>
      </c>
    </row>
    <row r="45">
      <c r="A45" t="inlineStr">
        <is>
          <t>MR24</t>
        </is>
      </c>
      <c r="B45" t="inlineStr">
        <is>
          <t>SIMULACIONES_MR2024_V3</t>
        </is>
      </c>
      <c r="C45" t="inlineStr">
        <is>
          <t>toneladas (6000 m3 x MR24_BD); pct sobre toneladas</t>
        </is>
      </c>
      <c r="D45" t="inlineStr">
        <is>
          <t>periodo_XLE2WST_AMIN</t>
        </is>
      </c>
      <c r="E45" t="inlineStr">
        <is>
          <t>2028</t>
        </is>
      </c>
      <c r="F45" t="inlineStr">
        <is>
          <t>MR24_RT</t>
        </is>
      </c>
      <c r="G45" t="inlineStr">
        <is>
          <t>19</t>
        </is>
      </c>
      <c r="H45" t="inlineStr">
        <is>
          <t>sin asignar</t>
        </is>
      </c>
      <c r="I45" t="inlineStr">
        <is>
          <t>Metamorfico_19</t>
        </is>
      </c>
      <c r="J45" t="inlineStr">
        <is>
          <t>Geologia_2024=Metamorfico_19 (no distingue hornfels/mármol)</t>
        </is>
      </c>
      <c r="K45" t="inlineStr">
        <is>
          <t>Mármol (hipótesis: sigla MDP)</t>
        </is>
      </c>
      <c r="L45" t="inlineStr">
        <is>
          <t>Metamorfico</t>
        </is>
      </c>
      <c r="M45" t="n">
        <v>497</v>
      </c>
      <c r="N45" t="n">
        <v>2982000</v>
      </c>
      <c r="O45" t="n">
        <v>8464314</v>
      </c>
      <c r="P45" t="inlineStr"/>
      <c r="Q45" t="n">
        <v>4.648</v>
      </c>
    </row>
    <row r="46">
      <c r="A46" t="inlineStr">
        <is>
          <t>MR24</t>
        </is>
      </c>
      <c r="B46" t="inlineStr">
        <is>
          <t>SIMULACIONES_MR2024_V3</t>
        </is>
      </c>
      <c r="C46" t="inlineStr">
        <is>
          <t>toneladas (6000 m3 x MR24_BD); pct sobre toneladas</t>
        </is>
      </c>
      <c r="D46" t="inlineStr">
        <is>
          <t>periodo_XLE2WST_AMIN</t>
        </is>
      </c>
      <c r="E46" t="inlineStr">
        <is>
          <t>2028</t>
        </is>
      </c>
      <c r="F46" t="inlineStr">
        <is>
          <t>MR24_RT</t>
        </is>
      </c>
      <c r="G46" t="inlineStr">
        <is>
          <t>53</t>
        </is>
      </c>
      <c r="H46" t="inlineStr">
        <is>
          <t>sin asignar</t>
        </is>
      </c>
      <c r="I46" t="inlineStr">
        <is>
          <t>RT53</t>
        </is>
      </c>
      <c r="J46" t="inlineStr">
        <is>
          <t>código sin etiqueta en los datos</t>
        </is>
      </c>
      <c r="K46" t="inlineStr">
        <is>
          <t>sin hipótesis</t>
        </is>
      </c>
      <c r="L46" t="inlineStr">
        <is>
          <t>sin leyenda</t>
        </is>
      </c>
      <c r="M46" t="n">
        <v>10</v>
      </c>
      <c r="N46" t="n">
        <v>60000</v>
      </c>
      <c r="O46" t="n">
        <v>164208</v>
      </c>
      <c r="P46" t="inlineStr"/>
      <c r="Q46" t="n">
        <v>0.09</v>
      </c>
    </row>
    <row r="47">
      <c r="A47" t="inlineStr">
        <is>
          <t>MR24</t>
        </is>
      </c>
      <c r="B47" t="inlineStr">
        <is>
          <t>SIMULACIONES_MR2024_V3</t>
        </is>
      </c>
      <c r="C47" t="inlineStr">
        <is>
          <t>toneladas (6000 m3 x MR24_BD); pct sobre toneladas</t>
        </is>
      </c>
      <c r="D47" t="inlineStr">
        <is>
          <t>periodo_XLE2WST_AMIN</t>
        </is>
      </c>
      <c r="E47" t="inlineStr">
        <is>
          <t>2029</t>
        </is>
      </c>
      <c r="F47" t="inlineStr">
        <is>
          <t>MR24_RT</t>
        </is>
      </c>
      <c r="G47" t="inlineStr">
        <is>
          <t>1</t>
        </is>
      </c>
      <c r="H47" t="inlineStr">
        <is>
          <t>Intrusivo</t>
        </is>
      </c>
      <c r="I47" t="inlineStr">
        <is>
          <t>RT1</t>
        </is>
      </c>
      <c r="J47" t="inlineStr">
        <is>
          <t>Geologia_2024=Intrusivo_1</t>
        </is>
      </c>
      <c r="K47" t="inlineStr">
        <is>
          <t>Intrusivo</t>
        </is>
      </c>
      <c r="L47" t="inlineStr">
        <is>
          <t>Intrusivo</t>
        </is>
      </c>
      <c r="M47" t="n">
        <v>2200</v>
      </c>
      <c r="N47" t="n">
        <v>13200000</v>
      </c>
      <c r="O47" t="n">
        <v>32276790</v>
      </c>
      <c r="P47" t="inlineStr"/>
      <c r="Q47" t="n">
        <v>14.417</v>
      </c>
    </row>
    <row r="48">
      <c r="A48" t="inlineStr">
        <is>
          <t>MR24</t>
        </is>
      </c>
      <c r="B48" t="inlineStr">
        <is>
          <t>SIMULACIONES_MR2024_V3</t>
        </is>
      </c>
      <c r="C48" t="inlineStr">
        <is>
          <t>toneladas (6000 m3 x MR24_BD); pct sobre toneladas</t>
        </is>
      </c>
      <c r="D48" t="inlineStr">
        <is>
          <t>periodo_XLE2WST_AMIN</t>
        </is>
      </c>
      <c r="E48" t="inlineStr">
        <is>
          <t>2029</t>
        </is>
      </c>
      <c r="F48" t="inlineStr">
        <is>
          <t>MR24_RT</t>
        </is>
      </c>
      <c r="G48" t="inlineStr">
        <is>
          <t>2</t>
        </is>
      </c>
      <c r="H48" t="inlineStr">
        <is>
          <t>Intrusivo</t>
        </is>
      </c>
      <c r="I48" t="inlineStr">
        <is>
          <t>RT2</t>
        </is>
      </c>
      <c r="J48" t="inlineStr">
        <is>
          <t>Geologia_2024=Intrusivo_2</t>
        </is>
      </c>
      <c r="K48" t="inlineStr">
        <is>
          <t>Intrusivo</t>
        </is>
      </c>
      <c r="L48" t="inlineStr">
        <is>
          <t>Intrusivo</t>
        </is>
      </c>
      <c r="M48" t="n">
        <v>109</v>
      </c>
      <c r="N48" t="n">
        <v>654000</v>
      </c>
      <c r="O48" t="n">
        <v>1760370</v>
      </c>
      <c r="P48" t="inlineStr"/>
      <c r="Q48" t="n">
        <v>0.786</v>
      </c>
    </row>
    <row r="49">
      <c r="A49" t="inlineStr">
        <is>
          <t>MR24</t>
        </is>
      </c>
      <c r="B49" t="inlineStr">
        <is>
          <t>SIMULACIONES_MR2024_V3</t>
        </is>
      </c>
      <c r="C49" t="inlineStr">
        <is>
          <t>toneladas (6000 m3 x MR24_BD); pct sobre toneladas</t>
        </is>
      </c>
      <c r="D49" t="inlineStr">
        <is>
          <t>periodo_XLE2WST_AMIN</t>
        </is>
      </c>
      <c r="E49" t="inlineStr">
        <is>
          <t>2029</t>
        </is>
      </c>
      <c r="F49" t="inlineStr">
        <is>
          <t>MR24_RT</t>
        </is>
      </c>
      <c r="G49" t="inlineStr">
        <is>
          <t>10</t>
        </is>
      </c>
      <c r="H49" t="inlineStr">
        <is>
          <t>sin asignar</t>
        </is>
      </c>
      <c r="I49" t="inlineStr">
        <is>
          <t>Sedimentario_10</t>
        </is>
      </c>
      <c r="J49" t="inlineStr">
        <is>
          <t>Geologia_2024=Sedimentario_10 (no especifica caliza)</t>
        </is>
      </c>
      <c r="K49" t="inlineStr">
        <is>
          <t>Caliza (hipótesis: siglas C*)</t>
        </is>
      </c>
      <c r="L49" t="inlineStr">
        <is>
          <t>Sedimentario</t>
        </is>
      </c>
      <c r="M49" t="n">
        <v>421</v>
      </c>
      <c r="N49" t="n">
        <v>2526000</v>
      </c>
      <c r="O49" t="n">
        <v>6847050</v>
      </c>
      <c r="P49" t="inlineStr"/>
      <c r="Q49" t="n">
        <v>3.058</v>
      </c>
    </row>
    <row r="50">
      <c r="A50" t="inlineStr">
        <is>
          <t>MR24</t>
        </is>
      </c>
      <c r="B50" t="inlineStr">
        <is>
          <t>SIMULACIONES_MR2024_V3</t>
        </is>
      </c>
      <c r="C50" t="inlineStr">
        <is>
          <t>toneladas (6000 m3 x MR24_BD); pct sobre toneladas</t>
        </is>
      </c>
      <c r="D50" t="inlineStr">
        <is>
          <t>periodo_XLE2WST_AMIN</t>
        </is>
      </c>
      <c r="E50" t="inlineStr">
        <is>
          <t>2029</t>
        </is>
      </c>
      <c r="F50" t="inlineStr">
        <is>
          <t>MR24_RT</t>
        </is>
      </c>
      <c r="G50" t="inlineStr">
        <is>
          <t>11</t>
        </is>
      </c>
      <c r="H50" t="inlineStr">
        <is>
          <t>sin asignar</t>
        </is>
      </c>
      <c r="I50" t="inlineStr">
        <is>
          <t>Sedimentario_11</t>
        </is>
      </c>
      <c r="J50" t="inlineStr">
        <is>
          <t>Geologia_2024=Sedimentario_11 (no especifica caliza)</t>
        </is>
      </c>
      <c r="K50" t="inlineStr">
        <is>
          <t>Caliza (hipótesis: Sedimentario; RT11~NUMEQ10, siglas C*)</t>
        </is>
      </c>
      <c r="L50" t="inlineStr">
        <is>
          <t>Sedimentario</t>
        </is>
      </c>
      <c r="M50" t="n">
        <v>2706</v>
      </c>
      <c r="N50" t="n">
        <v>16236000</v>
      </c>
      <c r="O50" t="n">
        <v>44087184</v>
      </c>
      <c r="P50" t="inlineStr"/>
      <c r="Q50" t="n">
        <v>19.692</v>
      </c>
    </row>
    <row r="51">
      <c r="A51" t="inlineStr">
        <is>
          <t>MR24</t>
        </is>
      </c>
      <c r="B51" t="inlineStr">
        <is>
          <t>SIMULACIONES_MR2024_V3</t>
        </is>
      </c>
      <c r="C51" t="inlineStr">
        <is>
          <t>toneladas (6000 m3 x MR24_BD); pct sobre toneladas</t>
        </is>
      </c>
      <c r="D51" t="inlineStr">
        <is>
          <t>periodo_XLE2WST_AMIN</t>
        </is>
      </c>
      <c r="E51" t="inlineStr">
        <is>
          <t>2029</t>
        </is>
      </c>
      <c r="F51" t="inlineStr">
        <is>
          <t>MR24_RT</t>
        </is>
      </c>
      <c r="G51" t="inlineStr">
        <is>
          <t>13</t>
        </is>
      </c>
      <c r="H51" t="inlineStr">
        <is>
          <t>sin asignar</t>
        </is>
      </c>
      <c r="I51" t="inlineStr">
        <is>
          <t>Metamorfico_13</t>
        </is>
      </c>
      <c r="J51" t="inlineStr">
        <is>
          <t>Geologia_2024=Metamorfico_13 (no distingue hornfels/mármol)</t>
        </is>
      </c>
      <c r="K51" t="inlineStr">
        <is>
          <t>Hornfels (hipótesis: siglas HG, HGS, HC)</t>
        </is>
      </c>
      <c r="L51" t="inlineStr">
        <is>
          <t>Metamorfico</t>
        </is>
      </c>
      <c r="M51" t="n">
        <v>2528</v>
      </c>
      <c r="N51" t="n">
        <v>15168000</v>
      </c>
      <c r="O51" t="n">
        <v>41065404</v>
      </c>
      <c r="P51" t="inlineStr"/>
      <c r="Q51" t="n">
        <v>18.343</v>
      </c>
    </row>
    <row r="52">
      <c r="A52" t="inlineStr">
        <is>
          <t>MR24</t>
        </is>
      </c>
      <c r="B52" t="inlineStr">
        <is>
          <t>SIMULACIONES_MR2024_V3</t>
        </is>
      </c>
      <c r="C52" t="inlineStr">
        <is>
          <t>toneladas (6000 m3 x MR24_BD); pct sobre toneladas</t>
        </is>
      </c>
      <c r="D52" t="inlineStr">
        <is>
          <t>periodo_XLE2WST_AMIN</t>
        </is>
      </c>
      <c r="E52" t="inlineStr">
        <is>
          <t>2029</t>
        </is>
      </c>
      <c r="F52" t="inlineStr">
        <is>
          <t>MR24_RT</t>
        </is>
      </c>
      <c r="G52" t="inlineStr">
        <is>
          <t>14</t>
        </is>
      </c>
      <c r="H52" t="inlineStr">
        <is>
          <t>sin asignar</t>
        </is>
      </c>
      <c r="I52" t="inlineStr">
        <is>
          <t>Metamorfico_14</t>
        </is>
      </c>
      <c r="J52" t="inlineStr">
        <is>
          <t>Geologia_2024=Metamorfico_14 (no distingue hornfels/mármol)</t>
        </is>
      </c>
      <c r="K52" t="inlineStr">
        <is>
          <t>Hornfels (hipótesis: siglas HBV, HGV, HCB, HDP; 'Diop. Hornfels'~HGV)</t>
        </is>
      </c>
      <c r="L52" t="inlineStr">
        <is>
          <t>Metamorfico</t>
        </is>
      </c>
      <c r="M52" t="n">
        <v>825</v>
      </c>
      <c r="N52" t="n">
        <v>4950000</v>
      </c>
      <c r="O52" t="n">
        <v>14278626</v>
      </c>
      <c r="P52" t="inlineStr"/>
      <c r="Q52" t="n">
        <v>6.378</v>
      </c>
    </row>
    <row r="53">
      <c r="A53" t="inlineStr">
        <is>
          <t>MR24</t>
        </is>
      </c>
      <c r="B53" t="inlineStr">
        <is>
          <t>SIMULACIONES_MR2024_V3</t>
        </is>
      </c>
      <c r="C53" t="inlineStr">
        <is>
          <t>toneladas (6000 m3 x MR24_BD); pct sobre toneladas</t>
        </is>
      </c>
      <c r="D53" t="inlineStr">
        <is>
          <t>periodo_XLE2WST_AMIN</t>
        </is>
      </c>
      <c r="E53" t="inlineStr">
        <is>
          <t>2029</t>
        </is>
      </c>
      <c r="F53" t="inlineStr">
        <is>
          <t>MR24_RT</t>
        </is>
      </c>
      <c r="G53" t="inlineStr">
        <is>
          <t>16</t>
        </is>
      </c>
      <c r="H53" t="inlineStr">
        <is>
          <t>sin asignar</t>
        </is>
      </c>
      <c r="I53" t="inlineStr">
        <is>
          <t>Metamorfico_16</t>
        </is>
      </c>
      <c r="J53" t="inlineStr">
        <is>
          <t>Geologia_2024=Metamorfico_16 (no distingue hornfels/mármol)</t>
        </is>
      </c>
      <c r="K53" t="inlineStr">
        <is>
          <t>Mármol (hipótesis: siglas MC, MG, MGS, MPA, MCGB; 'Marble'~MCGB)</t>
        </is>
      </c>
      <c r="L53" t="inlineStr">
        <is>
          <t>Metamorfico</t>
        </is>
      </c>
      <c r="M53" t="n">
        <v>4883</v>
      </c>
      <c r="N53" t="n">
        <v>29298000</v>
      </c>
      <c r="O53" t="n">
        <v>79463760</v>
      </c>
      <c r="P53" t="inlineStr"/>
      <c r="Q53" t="n">
        <v>35.494</v>
      </c>
    </row>
    <row r="54">
      <c r="A54" t="inlineStr">
        <is>
          <t>MR24</t>
        </is>
      </c>
      <c r="B54" t="inlineStr">
        <is>
          <t>SIMULACIONES_MR2024_V3</t>
        </is>
      </c>
      <c r="C54" t="inlineStr">
        <is>
          <t>toneladas (6000 m3 x MR24_BD); pct sobre toneladas</t>
        </is>
      </c>
      <c r="D54" t="inlineStr">
        <is>
          <t>periodo_XLE2WST_AMIN</t>
        </is>
      </c>
      <c r="E54" t="inlineStr">
        <is>
          <t>2029</t>
        </is>
      </c>
      <c r="F54" t="inlineStr">
        <is>
          <t>MR24_RT</t>
        </is>
      </c>
      <c r="G54" t="inlineStr">
        <is>
          <t>19</t>
        </is>
      </c>
      <c r="H54" t="inlineStr">
        <is>
          <t>sin asignar</t>
        </is>
      </c>
      <c r="I54" t="inlineStr">
        <is>
          <t>Metamorfico_19</t>
        </is>
      </c>
      <c r="J54" t="inlineStr">
        <is>
          <t>Geologia_2024=Metamorfico_19 (no distingue hornfels/mármol)</t>
        </is>
      </c>
      <c r="K54" t="inlineStr">
        <is>
          <t>Mármol (hipótesis: sigla MDP)</t>
        </is>
      </c>
      <c r="L54" t="inlineStr">
        <is>
          <t>Metamorfico</t>
        </is>
      </c>
      <c r="M54" t="n">
        <v>208</v>
      </c>
      <c r="N54" t="n">
        <v>1248000</v>
      </c>
      <c r="O54" t="n">
        <v>3558720</v>
      </c>
      <c r="P54" t="inlineStr"/>
      <c r="Q54" t="n">
        <v>1.59</v>
      </c>
    </row>
    <row r="55">
      <c r="A55" t="inlineStr">
        <is>
          <t>MR24</t>
        </is>
      </c>
      <c r="B55" t="inlineStr">
        <is>
          <t>SIMULACIONES_MR2024_V3</t>
        </is>
      </c>
      <c r="C55" t="inlineStr">
        <is>
          <t>toneladas (6000 m3 x MR24_BD); pct sobre toneladas</t>
        </is>
      </c>
      <c r="D55" t="inlineStr">
        <is>
          <t>periodo_XLE2WST_AMIN</t>
        </is>
      </c>
      <c r="E55" t="inlineStr">
        <is>
          <t>2029</t>
        </is>
      </c>
      <c r="F55" t="inlineStr">
        <is>
          <t>MR24_RT</t>
        </is>
      </c>
      <c r="G55" t="inlineStr">
        <is>
          <t>53</t>
        </is>
      </c>
      <c r="H55" t="inlineStr">
        <is>
          <t>sin asignar</t>
        </is>
      </c>
      <c r="I55" t="inlineStr">
        <is>
          <t>RT53</t>
        </is>
      </c>
      <c r="J55" t="inlineStr">
        <is>
          <t>código sin etiqueta en los datos</t>
        </is>
      </c>
      <c r="K55" t="inlineStr">
        <is>
          <t>sin hipótesis</t>
        </is>
      </c>
      <c r="L55" t="inlineStr">
        <is>
          <t>sin leyenda</t>
        </is>
      </c>
      <c r="M55" t="n">
        <v>35</v>
      </c>
      <c r="N55" t="n">
        <v>210000</v>
      </c>
      <c r="O55" t="n">
        <v>541464</v>
      </c>
      <c r="P55" t="inlineStr"/>
      <c r="Q55" t="n">
        <v>0.242</v>
      </c>
    </row>
    <row r="56">
      <c r="A56" t="inlineStr">
        <is>
          <t>MR24</t>
        </is>
      </c>
      <c r="B56" t="inlineStr">
        <is>
          <t>SIMULACIONES_MR2024_V3</t>
        </is>
      </c>
      <c r="C56" t="inlineStr">
        <is>
          <t>toneladas (6000 m3 x MR24_BD); pct sobre toneladas</t>
        </is>
      </c>
      <c r="D56" t="inlineStr">
        <is>
          <t>periodo_XLE2WST_AMIN</t>
        </is>
      </c>
      <c r="E56" t="inlineStr">
        <is>
          <t>2030</t>
        </is>
      </c>
      <c r="F56" t="inlineStr">
        <is>
          <t>MR24_RT</t>
        </is>
      </c>
      <c r="G56" t="inlineStr">
        <is>
          <t>1</t>
        </is>
      </c>
      <c r="H56" t="inlineStr">
        <is>
          <t>Intrusivo</t>
        </is>
      </c>
      <c r="I56" t="inlineStr">
        <is>
          <t>RT1</t>
        </is>
      </c>
      <c r="J56" t="inlineStr">
        <is>
          <t>Geologia_2024=Intrusivo_1</t>
        </is>
      </c>
      <c r="K56" t="inlineStr">
        <is>
          <t>Intrusivo</t>
        </is>
      </c>
      <c r="L56" t="inlineStr">
        <is>
          <t>Intrusivo</t>
        </is>
      </c>
      <c r="M56" t="n">
        <v>1962</v>
      </c>
      <c r="N56" t="n">
        <v>11772000</v>
      </c>
      <c r="O56" t="n">
        <v>28800252</v>
      </c>
      <c r="P56" t="inlineStr"/>
      <c r="Q56" t="n">
        <v>12.45</v>
      </c>
    </row>
    <row r="57">
      <c r="A57" t="inlineStr">
        <is>
          <t>MR24</t>
        </is>
      </c>
      <c r="B57" t="inlineStr">
        <is>
          <t>SIMULACIONES_MR2024_V3</t>
        </is>
      </c>
      <c r="C57" t="inlineStr">
        <is>
          <t>toneladas (6000 m3 x MR24_BD); pct sobre toneladas</t>
        </is>
      </c>
      <c r="D57" t="inlineStr">
        <is>
          <t>periodo_XLE2WST_AMIN</t>
        </is>
      </c>
      <c r="E57" t="inlineStr">
        <is>
          <t>2030</t>
        </is>
      </c>
      <c r="F57" t="inlineStr">
        <is>
          <t>MR24_RT</t>
        </is>
      </c>
      <c r="G57" t="inlineStr">
        <is>
          <t>2</t>
        </is>
      </c>
      <c r="H57" t="inlineStr">
        <is>
          <t>Intrusivo</t>
        </is>
      </c>
      <c r="I57" t="inlineStr">
        <is>
          <t>RT2</t>
        </is>
      </c>
      <c r="J57" t="inlineStr">
        <is>
          <t>Geologia_2024=Intrusivo_2</t>
        </is>
      </c>
      <c r="K57" t="inlineStr">
        <is>
          <t>Intrusivo</t>
        </is>
      </c>
      <c r="L57" t="inlineStr">
        <is>
          <t>Intrusivo</t>
        </is>
      </c>
      <c r="M57" t="n">
        <v>156</v>
      </c>
      <c r="N57" t="n">
        <v>936000</v>
      </c>
      <c r="O57" t="n">
        <v>2523666</v>
      </c>
      <c r="P57" t="inlineStr"/>
      <c r="Q57" t="n">
        <v>1.091</v>
      </c>
    </row>
    <row r="58">
      <c r="A58" t="inlineStr">
        <is>
          <t>MR24</t>
        </is>
      </c>
      <c r="B58" t="inlineStr">
        <is>
          <t>SIMULACIONES_MR2024_V3</t>
        </is>
      </c>
      <c r="C58" t="inlineStr">
        <is>
          <t>toneladas (6000 m3 x MR24_BD); pct sobre toneladas</t>
        </is>
      </c>
      <c r="D58" t="inlineStr">
        <is>
          <t>periodo_XLE2WST_AMIN</t>
        </is>
      </c>
      <c r="E58" t="inlineStr">
        <is>
          <t>2030</t>
        </is>
      </c>
      <c r="F58" t="inlineStr">
        <is>
          <t>MR24_RT</t>
        </is>
      </c>
      <c r="G58" t="inlineStr">
        <is>
          <t>10</t>
        </is>
      </c>
      <c r="H58" t="inlineStr">
        <is>
          <t>sin asignar</t>
        </is>
      </c>
      <c r="I58" t="inlineStr">
        <is>
          <t>Sedimentario_10</t>
        </is>
      </c>
      <c r="J58" t="inlineStr">
        <is>
          <t>Geologia_2024=Sedimentario_10 (no especifica caliza)</t>
        </is>
      </c>
      <c r="K58" t="inlineStr">
        <is>
          <t>Caliza (hipótesis: siglas C*)</t>
        </is>
      </c>
      <c r="L58" t="inlineStr">
        <is>
          <t>Sedimentario</t>
        </is>
      </c>
      <c r="M58" t="n">
        <v>588</v>
      </c>
      <c r="N58" t="n">
        <v>3528000</v>
      </c>
      <c r="O58" t="n">
        <v>9571734</v>
      </c>
      <c r="P58" t="inlineStr"/>
      <c r="Q58" t="n">
        <v>4.138</v>
      </c>
    </row>
    <row r="59">
      <c r="A59" t="inlineStr">
        <is>
          <t>MR24</t>
        </is>
      </c>
      <c r="B59" t="inlineStr">
        <is>
          <t>SIMULACIONES_MR2024_V3</t>
        </is>
      </c>
      <c r="C59" t="inlineStr">
        <is>
          <t>toneladas (6000 m3 x MR24_BD); pct sobre toneladas</t>
        </is>
      </c>
      <c r="D59" t="inlineStr">
        <is>
          <t>periodo_XLE2WST_AMIN</t>
        </is>
      </c>
      <c r="E59" t="inlineStr">
        <is>
          <t>2030</t>
        </is>
      </c>
      <c r="F59" t="inlineStr">
        <is>
          <t>MR24_RT</t>
        </is>
      </c>
      <c r="G59" t="inlineStr">
        <is>
          <t>11</t>
        </is>
      </c>
      <c r="H59" t="inlineStr">
        <is>
          <t>sin asignar</t>
        </is>
      </c>
      <c r="I59" t="inlineStr">
        <is>
          <t>Sedimentario_11</t>
        </is>
      </c>
      <c r="J59" t="inlineStr">
        <is>
          <t>Geologia_2024=Sedimentario_11 (no especifica caliza)</t>
        </is>
      </c>
      <c r="K59" t="inlineStr">
        <is>
          <t>Caliza (hipótesis: Sedimentario; RT11~NUMEQ10, siglas C*)</t>
        </is>
      </c>
      <c r="L59" t="inlineStr">
        <is>
          <t>Sedimentario</t>
        </is>
      </c>
      <c r="M59" t="n">
        <v>1672</v>
      </c>
      <c r="N59" t="n">
        <v>10032000</v>
      </c>
      <c r="O59" t="n">
        <v>27206028</v>
      </c>
      <c r="P59" t="inlineStr"/>
      <c r="Q59" t="n">
        <v>11.761</v>
      </c>
    </row>
    <row r="60">
      <c r="A60" t="inlineStr">
        <is>
          <t>MR24</t>
        </is>
      </c>
      <c r="B60" t="inlineStr">
        <is>
          <t>SIMULACIONES_MR2024_V3</t>
        </is>
      </c>
      <c r="C60" t="inlineStr">
        <is>
          <t>toneladas (6000 m3 x MR24_BD); pct sobre toneladas</t>
        </is>
      </c>
      <c r="D60" t="inlineStr">
        <is>
          <t>periodo_XLE2WST_AMIN</t>
        </is>
      </c>
      <c r="E60" t="inlineStr">
        <is>
          <t>2030</t>
        </is>
      </c>
      <c r="F60" t="inlineStr">
        <is>
          <t>MR24_RT</t>
        </is>
      </c>
      <c r="G60" t="inlineStr">
        <is>
          <t>13</t>
        </is>
      </c>
      <c r="H60" t="inlineStr">
        <is>
          <t>sin asignar</t>
        </is>
      </c>
      <c r="I60" t="inlineStr">
        <is>
          <t>Metamorfico_13</t>
        </is>
      </c>
      <c r="J60" t="inlineStr">
        <is>
          <t>Geologia_2024=Metamorfico_13 (no distingue hornfels/mármol)</t>
        </is>
      </c>
      <c r="K60" t="inlineStr">
        <is>
          <t>Hornfels (hipótesis: siglas HG, HGS, HC)</t>
        </is>
      </c>
      <c r="L60" t="inlineStr">
        <is>
          <t>Metamorfico</t>
        </is>
      </c>
      <c r="M60" t="n">
        <v>5608</v>
      </c>
      <c r="N60" t="n">
        <v>33648000</v>
      </c>
      <c r="O60" t="n">
        <v>90970566</v>
      </c>
      <c r="P60" t="inlineStr"/>
      <c r="Q60" t="n">
        <v>39.325</v>
      </c>
    </row>
    <row r="61">
      <c r="A61" t="inlineStr">
        <is>
          <t>MR24</t>
        </is>
      </c>
      <c r="B61" t="inlineStr">
        <is>
          <t>SIMULACIONES_MR2024_V3</t>
        </is>
      </c>
      <c r="C61" t="inlineStr">
        <is>
          <t>toneladas (6000 m3 x MR24_BD); pct sobre toneladas</t>
        </is>
      </c>
      <c r="D61" t="inlineStr">
        <is>
          <t>periodo_XLE2WST_AMIN</t>
        </is>
      </c>
      <c r="E61" t="inlineStr">
        <is>
          <t>2030</t>
        </is>
      </c>
      <c r="F61" t="inlineStr">
        <is>
          <t>MR24_RT</t>
        </is>
      </c>
      <c r="G61" t="inlineStr">
        <is>
          <t>14</t>
        </is>
      </c>
      <c r="H61" t="inlineStr">
        <is>
          <t>sin asignar</t>
        </is>
      </c>
      <c r="I61" t="inlineStr">
        <is>
          <t>Metamorfico_14</t>
        </is>
      </c>
      <c r="J61" t="inlineStr">
        <is>
          <t>Geologia_2024=Metamorfico_14 (no distingue hornfels/mármol)</t>
        </is>
      </c>
      <c r="K61" t="inlineStr">
        <is>
          <t>Hornfels (hipótesis: siglas HBV, HGV, HCB, HDP; 'Diop. Hornfels'~HGV)</t>
        </is>
      </c>
      <c r="L61" t="inlineStr">
        <is>
          <t>Metamorfico</t>
        </is>
      </c>
      <c r="M61" t="n">
        <v>969</v>
      </c>
      <c r="N61" t="n">
        <v>5814000</v>
      </c>
      <c r="O61" t="n">
        <v>16584828</v>
      </c>
      <c r="P61" t="inlineStr"/>
      <c r="Q61" t="n">
        <v>7.169</v>
      </c>
    </row>
    <row r="62">
      <c r="A62" t="inlineStr">
        <is>
          <t>MR24</t>
        </is>
      </c>
      <c r="B62" t="inlineStr">
        <is>
          <t>SIMULACIONES_MR2024_V3</t>
        </is>
      </c>
      <c r="C62" t="inlineStr">
        <is>
          <t>toneladas (6000 m3 x MR24_BD); pct sobre toneladas</t>
        </is>
      </c>
      <c r="D62" t="inlineStr">
        <is>
          <t>periodo_XLE2WST_AMIN</t>
        </is>
      </c>
      <c r="E62" t="inlineStr">
        <is>
          <t>2030</t>
        </is>
      </c>
      <c r="F62" t="inlineStr">
        <is>
          <t>MR24_RT</t>
        </is>
      </c>
      <c r="G62" t="inlineStr">
        <is>
          <t>16</t>
        </is>
      </c>
      <c r="H62" t="inlineStr">
        <is>
          <t>sin asignar</t>
        </is>
      </c>
      <c r="I62" t="inlineStr">
        <is>
          <t>Metamorfico_16</t>
        </is>
      </c>
      <c r="J62" t="inlineStr">
        <is>
          <t>Geologia_2024=Metamorfico_16 (no distingue hornfels/mármol)</t>
        </is>
      </c>
      <c r="K62" t="inlineStr">
        <is>
          <t>Mármol (hipótesis: siglas MC, MG, MGS, MPA, MCGB; 'Marble'~MCGB)</t>
        </is>
      </c>
      <c r="L62" t="inlineStr">
        <is>
          <t>Metamorfico</t>
        </is>
      </c>
      <c r="M62" t="n">
        <v>2889</v>
      </c>
      <c r="N62" t="n">
        <v>17334000</v>
      </c>
      <c r="O62" t="n">
        <v>47219022</v>
      </c>
      <c r="P62" t="inlineStr"/>
      <c r="Q62" t="n">
        <v>20.412</v>
      </c>
    </row>
    <row r="63">
      <c r="A63" t="inlineStr">
        <is>
          <t>MR24</t>
        </is>
      </c>
      <c r="B63" t="inlineStr">
        <is>
          <t>SIMULACIONES_MR2024_V3</t>
        </is>
      </c>
      <c r="C63" t="inlineStr">
        <is>
          <t>toneladas (6000 m3 x MR24_BD); pct sobre toneladas</t>
        </is>
      </c>
      <c r="D63" t="inlineStr">
        <is>
          <t>periodo_XLE2WST_AMIN</t>
        </is>
      </c>
      <c r="E63" t="inlineStr">
        <is>
          <t>2030</t>
        </is>
      </c>
      <c r="F63" t="inlineStr">
        <is>
          <t>MR24_RT</t>
        </is>
      </c>
      <c r="G63" t="inlineStr">
        <is>
          <t>19</t>
        </is>
      </c>
      <c r="H63" t="inlineStr">
        <is>
          <t>sin asignar</t>
        </is>
      </c>
      <c r="I63" t="inlineStr">
        <is>
          <t>Metamorfico_19</t>
        </is>
      </c>
      <c r="J63" t="inlineStr">
        <is>
          <t>Geologia_2024=Metamorfico_19 (no distingue hornfels/mármol)</t>
        </is>
      </c>
      <c r="K63" t="inlineStr">
        <is>
          <t>Mármol (hipótesis: sigla MDP)</t>
        </is>
      </c>
      <c r="L63" t="inlineStr">
        <is>
          <t>Metamorfico</t>
        </is>
      </c>
      <c r="M63" t="n">
        <v>463</v>
      </c>
      <c r="N63" t="n">
        <v>2778000</v>
      </c>
      <c r="O63" t="n">
        <v>7925844</v>
      </c>
      <c r="P63" t="inlineStr"/>
      <c r="Q63" t="n">
        <v>3.426</v>
      </c>
    </row>
    <row r="64">
      <c r="A64" t="inlineStr">
        <is>
          <t>MR24</t>
        </is>
      </c>
      <c r="B64" t="inlineStr">
        <is>
          <t>SIMULACIONES_MR2024_V3</t>
        </is>
      </c>
      <c r="C64" t="inlineStr">
        <is>
          <t>toneladas (6000 m3 x MR24_BD); pct sobre toneladas</t>
        </is>
      </c>
      <c r="D64" t="inlineStr">
        <is>
          <t>periodo_XLE2WST_AMIN</t>
        </is>
      </c>
      <c r="E64" t="inlineStr">
        <is>
          <t>2030</t>
        </is>
      </c>
      <c r="F64" t="inlineStr">
        <is>
          <t>MR24_RT</t>
        </is>
      </c>
      <c r="G64" t="inlineStr">
        <is>
          <t>53</t>
        </is>
      </c>
      <c r="H64" t="inlineStr">
        <is>
          <t>sin asignar</t>
        </is>
      </c>
      <c r="I64" t="inlineStr">
        <is>
          <t>RT53</t>
        </is>
      </c>
      <c r="J64" t="inlineStr">
        <is>
          <t>código sin etiqueta en los datos</t>
        </is>
      </c>
      <c r="K64" t="inlineStr">
        <is>
          <t>sin hipótesis</t>
        </is>
      </c>
      <c r="L64" t="inlineStr">
        <is>
          <t>sin leyenda</t>
        </is>
      </c>
      <c r="M64" t="n">
        <v>33</v>
      </c>
      <c r="N64" t="n">
        <v>198000</v>
      </c>
      <c r="O64" t="n">
        <v>526530</v>
      </c>
      <c r="P64" t="inlineStr"/>
      <c r="Q64" t="n">
        <v>0.228</v>
      </c>
    </row>
    <row r="65">
      <c r="A65" t="inlineStr">
        <is>
          <t>MR24</t>
        </is>
      </c>
      <c r="B65" t="inlineStr">
        <is>
          <t>SIMULACIONES_MR2024_V3</t>
        </is>
      </c>
      <c r="C65" t="inlineStr">
        <is>
          <t>toneladas (6000 m3 x MR24_BD); pct sobre toneladas</t>
        </is>
      </c>
      <c r="D65" t="inlineStr">
        <is>
          <t>periodo_XLE2WST_AMIN</t>
        </is>
      </c>
      <c r="E65" t="inlineStr">
        <is>
          <t>2031</t>
        </is>
      </c>
      <c r="F65" t="inlineStr">
        <is>
          <t>MR24_RT</t>
        </is>
      </c>
      <c r="G65" t="inlineStr">
        <is>
          <t>1</t>
        </is>
      </c>
      <c r="H65" t="inlineStr">
        <is>
          <t>Intrusivo</t>
        </is>
      </c>
      <c r="I65" t="inlineStr">
        <is>
          <t>RT1</t>
        </is>
      </c>
      <c r="J65" t="inlineStr">
        <is>
          <t>Geologia_2024=Intrusivo_1</t>
        </is>
      </c>
      <c r="K65" t="inlineStr">
        <is>
          <t>Intrusivo</t>
        </is>
      </c>
      <c r="L65" t="inlineStr">
        <is>
          <t>Intrusivo</t>
        </is>
      </c>
      <c r="M65" t="n">
        <v>1889</v>
      </c>
      <c r="N65" t="n">
        <v>11334000</v>
      </c>
      <c r="O65" t="n">
        <v>27866922</v>
      </c>
      <c r="P65" t="inlineStr"/>
      <c r="Q65" t="n">
        <v>13.19</v>
      </c>
    </row>
    <row r="66">
      <c r="A66" t="inlineStr">
        <is>
          <t>MR24</t>
        </is>
      </c>
      <c r="B66" t="inlineStr">
        <is>
          <t>SIMULACIONES_MR2024_V3</t>
        </is>
      </c>
      <c r="C66" t="inlineStr">
        <is>
          <t>toneladas (6000 m3 x MR24_BD); pct sobre toneladas</t>
        </is>
      </c>
      <c r="D66" t="inlineStr">
        <is>
          <t>periodo_XLE2WST_AMIN</t>
        </is>
      </c>
      <c r="E66" t="inlineStr">
        <is>
          <t>2031</t>
        </is>
      </c>
      <c r="F66" t="inlineStr">
        <is>
          <t>MR24_RT</t>
        </is>
      </c>
      <c r="G66" t="inlineStr">
        <is>
          <t>2</t>
        </is>
      </c>
      <c r="H66" t="inlineStr">
        <is>
          <t>Intrusivo</t>
        </is>
      </c>
      <c r="I66" t="inlineStr">
        <is>
          <t>RT2</t>
        </is>
      </c>
      <c r="J66" t="inlineStr">
        <is>
          <t>Geologia_2024=Intrusivo_2</t>
        </is>
      </c>
      <c r="K66" t="inlineStr">
        <is>
          <t>Intrusivo</t>
        </is>
      </c>
      <c r="L66" t="inlineStr">
        <is>
          <t>Intrusivo</t>
        </is>
      </c>
      <c r="M66" t="n">
        <v>165</v>
      </c>
      <c r="N66" t="n">
        <v>990000</v>
      </c>
      <c r="O66" t="n">
        <v>2732562</v>
      </c>
      <c r="P66" t="inlineStr"/>
      <c r="Q66" t="n">
        <v>1.293</v>
      </c>
    </row>
    <row r="67">
      <c r="A67" t="inlineStr">
        <is>
          <t>MR24</t>
        </is>
      </c>
      <c r="B67" t="inlineStr">
        <is>
          <t>SIMULACIONES_MR2024_V3</t>
        </is>
      </c>
      <c r="C67" t="inlineStr">
        <is>
          <t>toneladas (6000 m3 x MR24_BD); pct sobre toneladas</t>
        </is>
      </c>
      <c r="D67" t="inlineStr">
        <is>
          <t>periodo_XLE2WST_AMIN</t>
        </is>
      </c>
      <c r="E67" t="inlineStr">
        <is>
          <t>2031</t>
        </is>
      </c>
      <c r="F67" t="inlineStr">
        <is>
          <t>MR24_RT</t>
        </is>
      </c>
      <c r="G67" t="inlineStr">
        <is>
          <t>10</t>
        </is>
      </c>
      <c r="H67" t="inlineStr">
        <is>
          <t>sin asignar</t>
        </is>
      </c>
      <c r="I67" t="inlineStr">
        <is>
          <t>Sedimentario_10</t>
        </is>
      </c>
      <c r="J67" t="inlineStr">
        <is>
          <t>Geologia_2024=Sedimentario_10 (no especifica caliza)</t>
        </is>
      </c>
      <c r="K67" t="inlineStr">
        <is>
          <t>Caliza (hipótesis: siglas C*)</t>
        </is>
      </c>
      <c r="L67" t="inlineStr">
        <is>
          <t>Sedimentario</t>
        </is>
      </c>
      <c r="M67" t="n">
        <v>1076</v>
      </c>
      <c r="N67" t="n">
        <v>6456000</v>
      </c>
      <c r="O67" t="n">
        <v>17495310</v>
      </c>
      <c r="P67" t="inlineStr"/>
      <c r="Q67" t="n">
        <v>8.281000000000001</v>
      </c>
    </row>
    <row r="68">
      <c r="A68" t="inlineStr">
        <is>
          <t>MR24</t>
        </is>
      </c>
      <c r="B68" t="inlineStr">
        <is>
          <t>SIMULACIONES_MR2024_V3</t>
        </is>
      </c>
      <c r="C68" t="inlineStr">
        <is>
          <t>toneladas (6000 m3 x MR24_BD); pct sobre toneladas</t>
        </is>
      </c>
      <c r="D68" t="inlineStr">
        <is>
          <t>periodo_XLE2WST_AMIN</t>
        </is>
      </c>
      <c r="E68" t="inlineStr">
        <is>
          <t>2031</t>
        </is>
      </c>
      <c r="F68" t="inlineStr">
        <is>
          <t>MR24_RT</t>
        </is>
      </c>
      <c r="G68" t="inlineStr">
        <is>
          <t>11</t>
        </is>
      </c>
      <c r="H68" t="inlineStr">
        <is>
          <t>sin asignar</t>
        </is>
      </c>
      <c r="I68" t="inlineStr">
        <is>
          <t>Sedimentario_11</t>
        </is>
      </c>
      <c r="J68" t="inlineStr">
        <is>
          <t>Geologia_2024=Sedimentario_11 (no especifica caliza)</t>
        </is>
      </c>
      <c r="K68" t="inlineStr">
        <is>
          <t>Caliza (hipótesis: Sedimentario; RT11~NUMEQ10, siglas C*)</t>
        </is>
      </c>
      <c r="L68" t="inlineStr">
        <is>
          <t>Sedimentario</t>
        </is>
      </c>
      <c r="M68" t="n">
        <v>862</v>
      </c>
      <c r="N68" t="n">
        <v>5172000</v>
      </c>
      <c r="O68" t="n">
        <v>13998144</v>
      </c>
      <c r="P68" t="inlineStr"/>
      <c r="Q68" t="n">
        <v>6.626</v>
      </c>
    </row>
    <row r="69">
      <c r="A69" t="inlineStr">
        <is>
          <t>MR24</t>
        </is>
      </c>
      <c r="B69" t="inlineStr">
        <is>
          <t>SIMULACIONES_MR2024_V3</t>
        </is>
      </c>
      <c r="C69" t="inlineStr">
        <is>
          <t>toneladas (6000 m3 x MR24_BD); pct sobre toneladas</t>
        </is>
      </c>
      <c r="D69" t="inlineStr">
        <is>
          <t>periodo_XLE2WST_AMIN</t>
        </is>
      </c>
      <c r="E69" t="inlineStr">
        <is>
          <t>2031</t>
        </is>
      </c>
      <c r="F69" t="inlineStr">
        <is>
          <t>MR24_RT</t>
        </is>
      </c>
      <c r="G69" t="inlineStr">
        <is>
          <t>13</t>
        </is>
      </c>
      <c r="H69" t="inlineStr">
        <is>
          <t>sin asignar</t>
        </is>
      </c>
      <c r="I69" t="inlineStr">
        <is>
          <t>Metamorfico_13</t>
        </is>
      </c>
      <c r="J69" t="inlineStr">
        <is>
          <t>Geologia_2024=Metamorfico_13 (no distingue hornfels/mármol)</t>
        </is>
      </c>
      <c r="K69" t="inlineStr">
        <is>
          <t>Hornfels (hipótesis: siglas HG, HGS, HC)</t>
        </is>
      </c>
      <c r="L69" t="inlineStr">
        <is>
          <t>Metamorfico</t>
        </is>
      </c>
      <c r="M69" t="n">
        <v>4748</v>
      </c>
      <c r="N69" t="n">
        <v>28488000</v>
      </c>
      <c r="O69" t="n">
        <v>77486004</v>
      </c>
      <c r="P69" t="inlineStr"/>
      <c r="Q69" t="n">
        <v>36.677</v>
      </c>
    </row>
    <row r="70">
      <c r="A70" t="inlineStr">
        <is>
          <t>MR24</t>
        </is>
      </c>
      <c r="B70" t="inlineStr">
        <is>
          <t>SIMULACIONES_MR2024_V3</t>
        </is>
      </c>
      <c r="C70" t="inlineStr">
        <is>
          <t>toneladas (6000 m3 x MR24_BD); pct sobre toneladas</t>
        </is>
      </c>
      <c r="D70" t="inlineStr">
        <is>
          <t>periodo_XLE2WST_AMIN</t>
        </is>
      </c>
      <c r="E70" t="inlineStr">
        <is>
          <t>2031</t>
        </is>
      </c>
      <c r="F70" t="inlineStr">
        <is>
          <t>MR24_RT</t>
        </is>
      </c>
      <c r="G70" t="inlineStr">
        <is>
          <t>14</t>
        </is>
      </c>
      <c r="H70" t="inlineStr">
        <is>
          <t>sin asignar</t>
        </is>
      </c>
      <c r="I70" t="inlineStr">
        <is>
          <t>Metamorfico_14</t>
        </is>
      </c>
      <c r="J70" t="inlineStr">
        <is>
          <t>Geologia_2024=Metamorfico_14 (no distingue hornfels/mármol)</t>
        </is>
      </c>
      <c r="K70" t="inlineStr">
        <is>
          <t>Hornfels (hipótesis: siglas HBV, HGV, HCB, HDP; 'Diop. Hornfels'~HGV)</t>
        </is>
      </c>
      <c r="L70" t="inlineStr">
        <is>
          <t>Metamorfico</t>
        </is>
      </c>
      <c r="M70" t="n">
        <v>879</v>
      </c>
      <c r="N70" t="n">
        <v>5274000</v>
      </c>
      <c r="O70" t="n">
        <v>15077562</v>
      </c>
      <c r="P70" t="inlineStr"/>
      <c r="Q70" t="n">
        <v>7.137</v>
      </c>
    </row>
    <row r="71">
      <c r="A71" t="inlineStr">
        <is>
          <t>MR24</t>
        </is>
      </c>
      <c r="B71" t="inlineStr">
        <is>
          <t>SIMULACIONES_MR2024_V3</t>
        </is>
      </c>
      <c r="C71" t="inlineStr">
        <is>
          <t>toneladas (6000 m3 x MR24_BD); pct sobre toneladas</t>
        </is>
      </c>
      <c r="D71" t="inlineStr">
        <is>
          <t>periodo_XLE2WST_AMIN</t>
        </is>
      </c>
      <c r="E71" t="inlineStr">
        <is>
          <t>2031</t>
        </is>
      </c>
      <c r="F71" t="inlineStr">
        <is>
          <t>MR24_RT</t>
        </is>
      </c>
      <c r="G71" t="inlineStr">
        <is>
          <t>16</t>
        </is>
      </c>
      <c r="H71" t="inlineStr">
        <is>
          <t>sin asignar</t>
        </is>
      </c>
      <c r="I71" t="inlineStr">
        <is>
          <t>Metamorfico_16</t>
        </is>
      </c>
      <c r="J71" t="inlineStr">
        <is>
          <t>Geologia_2024=Metamorfico_16 (no distingue hornfels/mármol)</t>
        </is>
      </c>
      <c r="K71" t="inlineStr">
        <is>
          <t>Mármol (hipótesis: siglas MC, MG, MGS, MPA, MCGB; 'Marble'~MCGB)</t>
        </is>
      </c>
      <c r="L71" t="inlineStr">
        <is>
          <t>Metamorfico</t>
        </is>
      </c>
      <c r="M71" t="n">
        <v>3136</v>
      </c>
      <c r="N71" t="n">
        <v>18816000</v>
      </c>
      <c r="O71" t="n">
        <v>51242904</v>
      </c>
      <c r="P71" t="inlineStr"/>
      <c r="Q71" t="n">
        <v>24.255</v>
      </c>
    </row>
    <row r="72">
      <c r="A72" t="inlineStr">
        <is>
          <t>MR24</t>
        </is>
      </c>
      <c r="B72" t="inlineStr">
        <is>
          <t>SIMULACIONES_MR2024_V3</t>
        </is>
      </c>
      <c r="C72" t="inlineStr">
        <is>
          <t>toneladas (6000 m3 x MR24_BD); pct sobre toneladas</t>
        </is>
      </c>
      <c r="D72" t="inlineStr">
        <is>
          <t>periodo_XLE2WST_AMIN</t>
        </is>
      </c>
      <c r="E72" t="inlineStr">
        <is>
          <t>2031</t>
        </is>
      </c>
      <c r="F72" t="inlineStr">
        <is>
          <t>MR24_RT</t>
        </is>
      </c>
      <c r="G72" t="inlineStr">
        <is>
          <t>19</t>
        </is>
      </c>
      <c r="H72" t="inlineStr">
        <is>
          <t>sin asignar</t>
        </is>
      </c>
      <c r="I72" t="inlineStr">
        <is>
          <t>Metamorfico_19</t>
        </is>
      </c>
      <c r="J72" t="inlineStr">
        <is>
          <t>Geologia_2024=Metamorfico_19 (no distingue hornfels/mármol)</t>
        </is>
      </c>
      <c r="K72" t="inlineStr">
        <is>
          <t>Mármol (hipótesis: sigla MDP)</t>
        </is>
      </c>
      <c r="L72" t="inlineStr">
        <is>
          <t>Metamorfico</t>
        </is>
      </c>
      <c r="M72" t="n">
        <v>287</v>
      </c>
      <c r="N72" t="n">
        <v>1722000</v>
      </c>
      <c r="O72" t="n">
        <v>4861896</v>
      </c>
      <c r="P72" t="inlineStr"/>
      <c r="Q72" t="n">
        <v>2.301</v>
      </c>
    </row>
    <row r="73">
      <c r="A73" t="inlineStr">
        <is>
          <t>MR24</t>
        </is>
      </c>
      <c r="B73" t="inlineStr">
        <is>
          <t>SIMULACIONES_MR2024_V3</t>
        </is>
      </c>
      <c r="C73" t="inlineStr">
        <is>
          <t>toneladas (6000 m3 x MR24_BD); pct sobre toneladas</t>
        </is>
      </c>
      <c r="D73" t="inlineStr">
        <is>
          <t>periodo_XLE2WST_AMIN</t>
        </is>
      </c>
      <c r="E73" t="inlineStr">
        <is>
          <t>2031</t>
        </is>
      </c>
      <c r="F73" t="inlineStr">
        <is>
          <t>MR24_RT</t>
        </is>
      </c>
      <c r="G73" t="inlineStr">
        <is>
          <t>53</t>
        </is>
      </c>
      <c r="H73" t="inlineStr">
        <is>
          <t>sin asignar</t>
        </is>
      </c>
      <c r="I73" t="inlineStr">
        <is>
          <t>RT53</t>
        </is>
      </c>
      <c r="J73" t="inlineStr">
        <is>
          <t>código sin etiqueta en los datos</t>
        </is>
      </c>
      <c r="K73" t="inlineStr">
        <is>
          <t>sin hipótesis</t>
        </is>
      </c>
      <c r="L73" t="inlineStr">
        <is>
          <t>sin leyenda</t>
        </is>
      </c>
      <c r="M73" t="n">
        <v>31</v>
      </c>
      <c r="N73" t="n">
        <v>186000</v>
      </c>
      <c r="O73" t="n">
        <v>504174</v>
      </c>
      <c r="P73" t="inlineStr"/>
      <c r="Q73" t="n">
        <v>0.239</v>
      </c>
    </row>
    <row r="74">
      <c r="A74" t="inlineStr">
        <is>
          <t>MR24</t>
        </is>
      </c>
      <c r="B74" t="inlineStr">
        <is>
          <t>SIMULACIONES_MR2024_V3</t>
        </is>
      </c>
      <c r="C74" t="inlineStr">
        <is>
          <t>toneladas (6000 m3 x MR24_BD); pct sobre toneladas</t>
        </is>
      </c>
      <c r="D74" t="inlineStr">
        <is>
          <t>periodo_XLE2WST_AMIN</t>
        </is>
      </c>
      <c r="E74" t="inlineStr">
        <is>
          <t>2032</t>
        </is>
      </c>
      <c r="F74" t="inlineStr">
        <is>
          <t>MR24_RT</t>
        </is>
      </c>
      <c r="G74" t="inlineStr">
        <is>
          <t>1</t>
        </is>
      </c>
      <c r="H74" t="inlineStr">
        <is>
          <t>Intrusivo</t>
        </is>
      </c>
      <c r="I74" t="inlineStr">
        <is>
          <t>RT1</t>
        </is>
      </c>
      <c r="J74" t="inlineStr">
        <is>
          <t>Geologia_2024=Intrusivo_1</t>
        </is>
      </c>
      <c r="K74" t="inlineStr">
        <is>
          <t>Intrusivo</t>
        </is>
      </c>
      <c r="L74" t="inlineStr">
        <is>
          <t>Intrusivo</t>
        </is>
      </c>
      <c r="M74" t="n">
        <v>3377</v>
      </c>
      <c r="N74" t="n">
        <v>20262000</v>
      </c>
      <c r="O74" t="n">
        <v>50063082</v>
      </c>
      <c r="P74" t="inlineStr"/>
      <c r="Q74" t="n">
        <v>18.617</v>
      </c>
    </row>
    <row r="75">
      <c r="A75" t="inlineStr">
        <is>
          <t>MR24</t>
        </is>
      </c>
      <c r="B75" t="inlineStr">
        <is>
          <t>SIMULACIONES_MR2024_V3</t>
        </is>
      </c>
      <c r="C75" t="inlineStr">
        <is>
          <t>toneladas (6000 m3 x MR24_BD); pct sobre toneladas</t>
        </is>
      </c>
      <c r="D75" t="inlineStr">
        <is>
          <t>periodo_XLE2WST_AMIN</t>
        </is>
      </c>
      <c r="E75" t="inlineStr">
        <is>
          <t>2032</t>
        </is>
      </c>
      <c r="F75" t="inlineStr">
        <is>
          <t>MR24_RT</t>
        </is>
      </c>
      <c r="G75" t="inlineStr">
        <is>
          <t>2</t>
        </is>
      </c>
      <c r="H75" t="inlineStr">
        <is>
          <t>Intrusivo</t>
        </is>
      </c>
      <c r="I75" t="inlineStr">
        <is>
          <t>RT2</t>
        </is>
      </c>
      <c r="J75" t="inlineStr">
        <is>
          <t>Geologia_2024=Intrusivo_2</t>
        </is>
      </c>
      <c r="K75" t="inlineStr">
        <is>
          <t>Intrusivo</t>
        </is>
      </c>
      <c r="L75" t="inlineStr">
        <is>
          <t>Intrusivo</t>
        </is>
      </c>
      <c r="M75" t="n">
        <v>257</v>
      </c>
      <c r="N75" t="n">
        <v>1542000</v>
      </c>
      <c r="O75" t="n">
        <v>4173654</v>
      </c>
      <c r="P75" t="inlineStr"/>
      <c r="Q75" t="n">
        <v>1.552</v>
      </c>
    </row>
    <row r="76">
      <c r="A76" t="inlineStr">
        <is>
          <t>MR24</t>
        </is>
      </c>
      <c r="B76" t="inlineStr">
        <is>
          <t>SIMULACIONES_MR2024_V3</t>
        </is>
      </c>
      <c r="C76" t="inlineStr">
        <is>
          <t>toneladas (6000 m3 x MR24_BD); pct sobre toneladas</t>
        </is>
      </c>
      <c r="D76" t="inlineStr">
        <is>
          <t>periodo_XLE2WST_AMIN</t>
        </is>
      </c>
      <c r="E76" t="inlineStr">
        <is>
          <t>2032</t>
        </is>
      </c>
      <c r="F76" t="inlineStr">
        <is>
          <t>MR24_RT</t>
        </is>
      </c>
      <c r="G76" t="inlineStr">
        <is>
          <t>10</t>
        </is>
      </c>
      <c r="H76" t="inlineStr">
        <is>
          <t>sin asignar</t>
        </is>
      </c>
      <c r="I76" t="inlineStr">
        <is>
          <t>Sedimentario_10</t>
        </is>
      </c>
      <c r="J76" t="inlineStr">
        <is>
          <t>Geologia_2024=Sedimentario_10 (no especifica caliza)</t>
        </is>
      </c>
      <c r="K76" t="inlineStr">
        <is>
          <t>Caliza (hipótesis: siglas C*)</t>
        </is>
      </c>
      <c r="L76" t="inlineStr">
        <is>
          <t>Sedimentario</t>
        </is>
      </c>
      <c r="M76" t="n">
        <v>2347</v>
      </c>
      <c r="N76" t="n">
        <v>14082000</v>
      </c>
      <c r="O76" t="n">
        <v>38104206</v>
      </c>
      <c r="P76" t="inlineStr"/>
      <c r="Q76" t="n">
        <v>14.17</v>
      </c>
    </row>
    <row r="77">
      <c r="A77" t="inlineStr">
        <is>
          <t>MR24</t>
        </is>
      </c>
      <c r="B77" t="inlineStr">
        <is>
          <t>SIMULACIONES_MR2024_V3</t>
        </is>
      </c>
      <c r="C77" t="inlineStr">
        <is>
          <t>toneladas (6000 m3 x MR24_BD); pct sobre toneladas</t>
        </is>
      </c>
      <c r="D77" t="inlineStr">
        <is>
          <t>periodo_XLE2WST_AMIN</t>
        </is>
      </c>
      <c r="E77" t="inlineStr">
        <is>
          <t>2032</t>
        </is>
      </c>
      <c r="F77" t="inlineStr">
        <is>
          <t>MR24_RT</t>
        </is>
      </c>
      <c r="G77" t="inlineStr">
        <is>
          <t>11</t>
        </is>
      </c>
      <c r="H77" t="inlineStr">
        <is>
          <t>sin asignar</t>
        </is>
      </c>
      <c r="I77" t="inlineStr">
        <is>
          <t>Sedimentario_11</t>
        </is>
      </c>
      <c r="J77" t="inlineStr">
        <is>
          <t>Geologia_2024=Sedimentario_11 (no especifica caliza)</t>
        </is>
      </c>
      <c r="K77" t="inlineStr">
        <is>
          <t>Caliza (hipótesis: Sedimentario; RT11~NUMEQ10, siglas C*)</t>
        </is>
      </c>
      <c r="L77" t="inlineStr">
        <is>
          <t>Sedimentario</t>
        </is>
      </c>
      <c r="M77" t="n">
        <v>1791</v>
      </c>
      <c r="N77" t="n">
        <v>10746000</v>
      </c>
      <c r="O77" t="n">
        <v>29108556</v>
      </c>
      <c r="P77" t="inlineStr"/>
      <c r="Q77" t="n">
        <v>10.825</v>
      </c>
    </row>
    <row r="78">
      <c r="A78" t="inlineStr">
        <is>
          <t>MR24</t>
        </is>
      </c>
      <c r="B78" t="inlineStr">
        <is>
          <t>SIMULACIONES_MR2024_V3</t>
        </is>
      </c>
      <c r="C78" t="inlineStr">
        <is>
          <t>toneladas (6000 m3 x MR24_BD); pct sobre toneladas</t>
        </is>
      </c>
      <c r="D78" t="inlineStr">
        <is>
          <t>periodo_XLE2WST_AMIN</t>
        </is>
      </c>
      <c r="E78" t="inlineStr">
        <is>
          <t>2032</t>
        </is>
      </c>
      <c r="F78" t="inlineStr">
        <is>
          <t>MR24_RT</t>
        </is>
      </c>
      <c r="G78" t="inlineStr">
        <is>
          <t>13</t>
        </is>
      </c>
      <c r="H78" t="inlineStr">
        <is>
          <t>sin asignar</t>
        </is>
      </c>
      <c r="I78" t="inlineStr">
        <is>
          <t>Metamorfico_13</t>
        </is>
      </c>
      <c r="J78" t="inlineStr">
        <is>
          <t>Geologia_2024=Metamorfico_13 (no distingue hornfels/mármol)</t>
        </is>
      </c>
      <c r="K78" t="inlineStr">
        <is>
          <t>Hornfels (hipótesis: siglas HG, HGS, HC)</t>
        </is>
      </c>
      <c r="L78" t="inlineStr">
        <is>
          <t>Metamorfico</t>
        </is>
      </c>
      <c r="M78" t="n">
        <v>2966</v>
      </c>
      <c r="N78" t="n">
        <v>17796000</v>
      </c>
      <c r="O78" t="n">
        <v>48386100</v>
      </c>
      <c r="P78" t="inlineStr"/>
      <c r="Q78" t="n">
        <v>17.993</v>
      </c>
    </row>
    <row r="79">
      <c r="A79" t="inlineStr">
        <is>
          <t>MR24</t>
        </is>
      </c>
      <c r="B79" t="inlineStr">
        <is>
          <t>SIMULACIONES_MR2024_V3</t>
        </is>
      </c>
      <c r="C79" t="inlineStr">
        <is>
          <t>toneladas (6000 m3 x MR24_BD); pct sobre toneladas</t>
        </is>
      </c>
      <c r="D79" t="inlineStr">
        <is>
          <t>periodo_XLE2WST_AMIN</t>
        </is>
      </c>
      <c r="E79" t="inlineStr">
        <is>
          <t>2032</t>
        </is>
      </c>
      <c r="F79" t="inlineStr">
        <is>
          <t>MR24_RT</t>
        </is>
      </c>
      <c r="G79" t="inlineStr">
        <is>
          <t>14</t>
        </is>
      </c>
      <c r="H79" t="inlineStr">
        <is>
          <t>sin asignar</t>
        </is>
      </c>
      <c r="I79" t="inlineStr">
        <is>
          <t>Metamorfico_14</t>
        </is>
      </c>
      <c r="J79" t="inlineStr">
        <is>
          <t>Geologia_2024=Metamorfico_14 (no distingue hornfels/mármol)</t>
        </is>
      </c>
      <c r="K79" t="inlineStr">
        <is>
          <t>Hornfels (hipótesis: siglas HBV, HGV, HCB, HDP; 'Diop. Hornfels'~HGV)</t>
        </is>
      </c>
      <c r="L79" t="inlineStr">
        <is>
          <t>Metamorfico</t>
        </is>
      </c>
      <c r="M79" t="n">
        <v>830</v>
      </c>
      <c r="N79" t="n">
        <v>4980000</v>
      </c>
      <c r="O79" t="n">
        <v>14450226</v>
      </c>
      <c r="P79" t="inlineStr"/>
      <c r="Q79" t="n">
        <v>5.374</v>
      </c>
    </row>
    <row r="80">
      <c r="A80" t="inlineStr">
        <is>
          <t>MR24</t>
        </is>
      </c>
      <c r="B80" t="inlineStr">
        <is>
          <t>SIMULACIONES_MR2024_V3</t>
        </is>
      </c>
      <c r="C80" t="inlineStr">
        <is>
          <t>toneladas (6000 m3 x MR24_BD); pct sobre toneladas</t>
        </is>
      </c>
      <c r="D80" t="inlineStr">
        <is>
          <t>periodo_XLE2WST_AMIN</t>
        </is>
      </c>
      <c r="E80" t="inlineStr">
        <is>
          <t>2032</t>
        </is>
      </c>
      <c r="F80" t="inlineStr">
        <is>
          <t>MR24_RT</t>
        </is>
      </c>
      <c r="G80" t="inlineStr">
        <is>
          <t>16</t>
        </is>
      </c>
      <c r="H80" t="inlineStr">
        <is>
          <t>sin asignar</t>
        </is>
      </c>
      <c r="I80" t="inlineStr">
        <is>
          <t>Metamorfico_16</t>
        </is>
      </c>
      <c r="J80" t="inlineStr">
        <is>
          <t>Geologia_2024=Metamorfico_16 (no distingue hornfels/mármol)</t>
        </is>
      </c>
      <c r="K80" t="inlineStr">
        <is>
          <t>Mármol (hipótesis: siglas MC, MG, MGS, MPA, MCGB; 'Marble'~MCGB)</t>
        </is>
      </c>
      <c r="L80" t="inlineStr">
        <is>
          <t>Metamorfico</t>
        </is>
      </c>
      <c r="M80" t="n">
        <v>4592</v>
      </c>
      <c r="N80" t="n">
        <v>27552000</v>
      </c>
      <c r="O80" t="n">
        <v>75040722</v>
      </c>
      <c r="P80" t="inlineStr"/>
      <c r="Q80" t="n">
        <v>27.906</v>
      </c>
    </row>
    <row r="81">
      <c r="A81" t="inlineStr">
        <is>
          <t>MR24</t>
        </is>
      </c>
      <c r="B81" t="inlineStr">
        <is>
          <t>SIMULACIONES_MR2024_V3</t>
        </is>
      </c>
      <c r="C81" t="inlineStr">
        <is>
          <t>toneladas (6000 m3 x MR24_BD); pct sobre toneladas</t>
        </is>
      </c>
      <c r="D81" t="inlineStr">
        <is>
          <t>periodo_XLE2WST_AMIN</t>
        </is>
      </c>
      <c r="E81" t="inlineStr">
        <is>
          <t>2032</t>
        </is>
      </c>
      <c r="F81" t="inlineStr">
        <is>
          <t>MR24_RT</t>
        </is>
      </c>
      <c r="G81" t="inlineStr">
        <is>
          <t>19</t>
        </is>
      </c>
      <c r="H81" t="inlineStr">
        <is>
          <t>sin asignar</t>
        </is>
      </c>
      <c r="I81" t="inlineStr">
        <is>
          <t>Metamorfico_19</t>
        </is>
      </c>
      <c r="J81" t="inlineStr">
        <is>
          <t>Geologia_2024=Metamorfico_19 (no distingue hornfels/mármol)</t>
        </is>
      </c>
      <c r="K81" t="inlineStr">
        <is>
          <t>Mármol (hipótesis: sigla MDP)</t>
        </is>
      </c>
      <c r="L81" t="inlineStr">
        <is>
          <t>Metamorfico</t>
        </is>
      </c>
      <c r="M81" t="n">
        <v>552</v>
      </c>
      <c r="N81" t="n">
        <v>3312000</v>
      </c>
      <c r="O81" t="n">
        <v>9452226</v>
      </c>
      <c r="P81" t="inlineStr"/>
      <c r="Q81" t="n">
        <v>3.515</v>
      </c>
    </row>
    <row r="82">
      <c r="A82" t="inlineStr">
        <is>
          <t>MR24</t>
        </is>
      </c>
      <c r="B82" t="inlineStr">
        <is>
          <t>SIMULACIONES_MR2024_V3</t>
        </is>
      </c>
      <c r="C82" t="inlineStr">
        <is>
          <t>toneladas (6000 m3 x MR24_BD); pct sobre toneladas</t>
        </is>
      </c>
      <c r="D82" t="inlineStr">
        <is>
          <t>periodo_XLE2WST_AMIN</t>
        </is>
      </c>
      <c r="E82" t="inlineStr">
        <is>
          <t>2032</t>
        </is>
      </c>
      <c r="F82" t="inlineStr">
        <is>
          <t>MR24_RT</t>
        </is>
      </c>
      <c r="G82" t="inlineStr">
        <is>
          <t>53</t>
        </is>
      </c>
      <c r="H82" t="inlineStr">
        <is>
          <t>sin asignar</t>
        </is>
      </c>
      <c r="I82" t="inlineStr">
        <is>
          <t>RT53</t>
        </is>
      </c>
      <c r="J82" t="inlineStr">
        <is>
          <t>código sin etiqueta en los datos</t>
        </is>
      </c>
      <c r="K82" t="inlineStr">
        <is>
          <t>sin hipótesis</t>
        </is>
      </c>
      <c r="L82" t="inlineStr">
        <is>
          <t>sin leyenda</t>
        </is>
      </c>
      <c r="M82" t="n">
        <v>8</v>
      </c>
      <c r="N82" t="n">
        <v>48000</v>
      </c>
      <c r="O82" t="n">
        <v>130884</v>
      </c>
      <c r="P82" t="inlineStr"/>
      <c r="Q82" t="n">
        <v>0.049</v>
      </c>
    </row>
    <row r="83">
      <c r="A83" t="inlineStr">
        <is>
          <t>MR24</t>
        </is>
      </c>
      <c r="B83" t="inlineStr">
        <is>
          <t>SIMULACIONES_MR2024_V3</t>
        </is>
      </c>
      <c r="C83" t="inlineStr">
        <is>
          <t>toneladas (6000 m3 x MR24_BD); pct sobre toneladas</t>
        </is>
      </c>
      <c r="D83" t="inlineStr">
        <is>
          <t>periodo_XLE2WST_AMIN</t>
        </is>
      </c>
      <c r="E83" t="inlineStr">
        <is>
          <t>2033</t>
        </is>
      </c>
      <c r="F83" t="inlineStr">
        <is>
          <t>MR24_RT</t>
        </is>
      </c>
      <c r="G83" t="inlineStr">
        <is>
          <t>1</t>
        </is>
      </c>
      <c r="H83" t="inlineStr">
        <is>
          <t>Intrusivo</t>
        </is>
      </c>
      <c r="I83" t="inlineStr">
        <is>
          <t>RT1</t>
        </is>
      </c>
      <c r="J83" t="inlineStr">
        <is>
          <t>Geologia_2024=Intrusivo_1</t>
        </is>
      </c>
      <c r="K83" t="inlineStr">
        <is>
          <t>Intrusivo</t>
        </is>
      </c>
      <c r="L83" t="inlineStr">
        <is>
          <t>Intrusivo</t>
        </is>
      </c>
      <c r="M83" t="n">
        <v>1450</v>
      </c>
      <c r="N83" t="n">
        <v>8700000</v>
      </c>
      <c r="O83" t="n">
        <v>21804306</v>
      </c>
      <c r="P83" t="inlineStr"/>
      <c r="Q83" t="n">
        <v>8.911</v>
      </c>
    </row>
    <row r="84">
      <c r="A84" t="inlineStr">
        <is>
          <t>MR24</t>
        </is>
      </c>
      <c r="B84" t="inlineStr">
        <is>
          <t>SIMULACIONES_MR2024_V3</t>
        </is>
      </c>
      <c r="C84" t="inlineStr">
        <is>
          <t>toneladas (6000 m3 x MR24_BD); pct sobre toneladas</t>
        </is>
      </c>
      <c r="D84" t="inlineStr">
        <is>
          <t>periodo_XLE2WST_AMIN</t>
        </is>
      </c>
      <c r="E84" t="inlineStr">
        <is>
          <t>2033</t>
        </is>
      </c>
      <c r="F84" t="inlineStr">
        <is>
          <t>MR24_RT</t>
        </is>
      </c>
      <c r="G84" t="inlineStr">
        <is>
          <t>2</t>
        </is>
      </c>
      <c r="H84" t="inlineStr">
        <is>
          <t>Intrusivo</t>
        </is>
      </c>
      <c r="I84" t="inlineStr">
        <is>
          <t>RT2</t>
        </is>
      </c>
      <c r="J84" t="inlineStr">
        <is>
          <t>Geologia_2024=Intrusivo_2</t>
        </is>
      </c>
      <c r="K84" t="inlineStr">
        <is>
          <t>Intrusivo</t>
        </is>
      </c>
      <c r="L84" t="inlineStr">
        <is>
          <t>Intrusivo</t>
        </is>
      </c>
      <c r="M84" t="n">
        <v>149</v>
      </c>
      <c r="N84" t="n">
        <v>894000</v>
      </c>
      <c r="O84" t="n">
        <v>2416686</v>
      </c>
      <c r="P84" t="inlineStr"/>
      <c r="Q84" t="n">
        <v>0.988</v>
      </c>
    </row>
    <row r="85">
      <c r="A85" t="inlineStr">
        <is>
          <t>MR24</t>
        </is>
      </c>
      <c r="B85" t="inlineStr">
        <is>
          <t>SIMULACIONES_MR2024_V3</t>
        </is>
      </c>
      <c r="C85" t="inlineStr">
        <is>
          <t>toneladas (6000 m3 x MR24_BD); pct sobre toneladas</t>
        </is>
      </c>
      <c r="D85" t="inlineStr">
        <is>
          <t>periodo_XLE2WST_AMIN</t>
        </is>
      </c>
      <c r="E85" t="inlineStr">
        <is>
          <t>2033</t>
        </is>
      </c>
      <c r="F85" t="inlineStr">
        <is>
          <t>MR24_RT</t>
        </is>
      </c>
      <c r="G85" t="inlineStr">
        <is>
          <t>10</t>
        </is>
      </c>
      <c r="H85" t="inlineStr">
        <is>
          <t>sin asignar</t>
        </is>
      </c>
      <c r="I85" t="inlineStr">
        <is>
          <t>Sedimentario_10</t>
        </is>
      </c>
      <c r="J85" t="inlineStr">
        <is>
          <t>Geologia_2024=Sedimentario_10 (no especifica caliza)</t>
        </is>
      </c>
      <c r="K85" t="inlineStr">
        <is>
          <t>Caliza (hipótesis: siglas C*)</t>
        </is>
      </c>
      <c r="L85" t="inlineStr">
        <is>
          <t>Sedimentario</t>
        </is>
      </c>
      <c r="M85" t="n">
        <v>986</v>
      </c>
      <c r="N85" t="n">
        <v>5916000</v>
      </c>
      <c r="O85" t="n">
        <v>16000554</v>
      </c>
      <c r="P85" t="inlineStr"/>
      <c r="Q85" t="n">
        <v>6.539</v>
      </c>
    </row>
    <row r="86">
      <c r="A86" t="inlineStr">
        <is>
          <t>MR24</t>
        </is>
      </c>
      <c r="B86" t="inlineStr">
        <is>
          <t>SIMULACIONES_MR2024_V3</t>
        </is>
      </c>
      <c r="C86" t="inlineStr">
        <is>
          <t>toneladas (6000 m3 x MR24_BD); pct sobre toneladas</t>
        </is>
      </c>
      <c r="D86" t="inlineStr">
        <is>
          <t>periodo_XLE2WST_AMIN</t>
        </is>
      </c>
      <c r="E86" t="inlineStr">
        <is>
          <t>2033</t>
        </is>
      </c>
      <c r="F86" t="inlineStr">
        <is>
          <t>MR24_RT</t>
        </is>
      </c>
      <c r="G86" t="inlineStr">
        <is>
          <t>11</t>
        </is>
      </c>
      <c r="H86" t="inlineStr">
        <is>
          <t>sin asignar</t>
        </is>
      </c>
      <c r="I86" t="inlineStr">
        <is>
          <t>Sedimentario_11</t>
        </is>
      </c>
      <c r="J86" t="inlineStr">
        <is>
          <t>Geologia_2024=Sedimentario_11 (no especifica caliza)</t>
        </is>
      </c>
      <c r="K86" t="inlineStr">
        <is>
          <t>Caliza (hipótesis: Sedimentario; RT11~NUMEQ10, siglas C*)</t>
        </is>
      </c>
      <c r="L86" t="inlineStr">
        <is>
          <t>Sedimentario</t>
        </is>
      </c>
      <c r="M86" t="n">
        <v>3854</v>
      </c>
      <c r="N86" t="n">
        <v>23124000</v>
      </c>
      <c r="O86" t="n">
        <v>62615964</v>
      </c>
      <c r="P86" t="inlineStr"/>
      <c r="Q86" t="n">
        <v>25.591</v>
      </c>
    </row>
    <row r="87">
      <c r="A87" t="inlineStr">
        <is>
          <t>MR24</t>
        </is>
      </c>
      <c r="B87" t="inlineStr">
        <is>
          <t>SIMULACIONES_MR2024_V3</t>
        </is>
      </c>
      <c r="C87" t="inlineStr">
        <is>
          <t>toneladas (6000 m3 x MR24_BD); pct sobre toneladas</t>
        </is>
      </c>
      <c r="D87" t="inlineStr">
        <is>
          <t>periodo_XLE2WST_AMIN</t>
        </is>
      </c>
      <c r="E87" t="inlineStr">
        <is>
          <t>2033</t>
        </is>
      </c>
      <c r="F87" t="inlineStr">
        <is>
          <t>MR24_RT</t>
        </is>
      </c>
      <c r="G87" t="inlineStr">
        <is>
          <t>13</t>
        </is>
      </c>
      <c r="H87" t="inlineStr">
        <is>
          <t>sin asignar</t>
        </is>
      </c>
      <c r="I87" t="inlineStr">
        <is>
          <t>Metamorfico_13</t>
        </is>
      </c>
      <c r="J87" t="inlineStr">
        <is>
          <t>Geologia_2024=Metamorfico_13 (no distingue hornfels/mármol)</t>
        </is>
      </c>
      <c r="K87" t="inlineStr">
        <is>
          <t>Hornfels (hipótesis: siglas HG, HGS, HC)</t>
        </is>
      </c>
      <c r="L87" t="inlineStr">
        <is>
          <t>Metamorfico</t>
        </is>
      </c>
      <c r="M87" t="n">
        <v>1564</v>
      </c>
      <c r="N87" t="n">
        <v>9384000</v>
      </c>
      <c r="O87" t="n">
        <v>25408074</v>
      </c>
      <c r="P87" t="inlineStr"/>
      <c r="Q87" t="n">
        <v>10.384</v>
      </c>
    </row>
    <row r="88">
      <c r="A88" t="inlineStr">
        <is>
          <t>MR24</t>
        </is>
      </c>
      <c r="B88" t="inlineStr">
        <is>
          <t>SIMULACIONES_MR2024_V3</t>
        </is>
      </c>
      <c r="C88" t="inlineStr">
        <is>
          <t>toneladas (6000 m3 x MR24_BD); pct sobre toneladas</t>
        </is>
      </c>
      <c r="D88" t="inlineStr">
        <is>
          <t>periodo_XLE2WST_AMIN</t>
        </is>
      </c>
      <c r="E88" t="inlineStr">
        <is>
          <t>2033</t>
        </is>
      </c>
      <c r="F88" t="inlineStr">
        <is>
          <t>MR24_RT</t>
        </is>
      </c>
      <c r="G88" t="inlineStr">
        <is>
          <t>14</t>
        </is>
      </c>
      <c r="H88" t="inlineStr">
        <is>
          <t>sin asignar</t>
        </is>
      </c>
      <c r="I88" t="inlineStr">
        <is>
          <t>Metamorfico_14</t>
        </is>
      </c>
      <c r="J88" t="inlineStr">
        <is>
          <t>Geologia_2024=Metamorfico_14 (no distingue hornfels/mármol)</t>
        </is>
      </c>
      <c r="K88" t="inlineStr">
        <is>
          <t>Hornfels (hipótesis: siglas HBV, HGV, HCB, HDP; 'Diop. Hornfels'~HGV)</t>
        </is>
      </c>
      <c r="L88" t="inlineStr">
        <is>
          <t>Metamorfico</t>
        </is>
      </c>
      <c r="M88" t="n">
        <v>1112</v>
      </c>
      <c r="N88" t="n">
        <v>6672000</v>
      </c>
      <c r="O88" t="n">
        <v>19156236</v>
      </c>
      <c r="P88" t="inlineStr"/>
      <c r="Q88" t="n">
        <v>7.829</v>
      </c>
    </row>
    <row r="89">
      <c r="A89" t="inlineStr">
        <is>
          <t>MR24</t>
        </is>
      </c>
      <c r="B89" t="inlineStr">
        <is>
          <t>SIMULACIONES_MR2024_V3</t>
        </is>
      </c>
      <c r="C89" t="inlineStr">
        <is>
          <t>toneladas (6000 m3 x MR24_BD); pct sobre toneladas</t>
        </is>
      </c>
      <c r="D89" t="inlineStr">
        <is>
          <t>periodo_XLE2WST_AMIN</t>
        </is>
      </c>
      <c r="E89" t="inlineStr">
        <is>
          <t>2033</t>
        </is>
      </c>
      <c r="F89" t="inlineStr">
        <is>
          <t>MR24_RT</t>
        </is>
      </c>
      <c r="G89" t="inlineStr">
        <is>
          <t>16</t>
        </is>
      </c>
      <c r="H89" t="inlineStr">
        <is>
          <t>sin asignar</t>
        </is>
      </c>
      <c r="I89" t="inlineStr">
        <is>
          <t>Metamorfico_16</t>
        </is>
      </c>
      <c r="J89" t="inlineStr">
        <is>
          <t>Geologia_2024=Metamorfico_16 (no distingue hornfels/mármol)</t>
        </is>
      </c>
      <c r="K89" t="inlineStr">
        <is>
          <t>Mármol (hipótesis: siglas MC, MG, MGS, MPA, MCGB; 'Marble'~MCGB)</t>
        </is>
      </c>
      <c r="L89" t="inlineStr">
        <is>
          <t>Metamorfico</t>
        </is>
      </c>
      <c r="M89" t="n">
        <v>5131</v>
      </c>
      <c r="N89" t="n">
        <v>30786000</v>
      </c>
      <c r="O89" t="n">
        <v>83510988</v>
      </c>
      <c r="P89" t="inlineStr"/>
      <c r="Q89" t="n">
        <v>34.131</v>
      </c>
    </row>
    <row r="90">
      <c r="A90" t="inlineStr">
        <is>
          <t>MR24</t>
        </is>
      </c>
      <c r="B90" t="inlineStr">
        <is>
          <t>SIMULACIONES_MR2024_V3</t>
        </is>
      </c>
      <c r="C90" t="inlineStr">
        <is>
          <t>toneladas (6000 m3 x MR24_BD); pct sobre toneladas</t>
        </is>
      </c>
      <c r="D90" t="inlineStr">
        <is>
          <t>periodo_XLE2WST_AMIN</t>
        </is>
      </c>
      <c r="E90" t="inlineStr">
        <is>
          <t>2033</t>
        </is>
      </c>
      <c r="F90" t="inlineStr">
        <is>
          <t>MR24_RT</t>
        </is>
      </c>
      <c r="G90" t="inlineStr">
        <is>
          <t>19</t>
        </is>
      </c>
      <c r="H90" t="inlineStr">
        <is>
          <t>sin asignar</t>
        </is>
      </c>
      <c r="I90" t="inlineStr">
        <is>
          <t>Metamorfico_19</t>
        </is>
      </c>
      <c r="J90" t="inlineStr">
        <is>
          <t>Geologia_2024=Metamorfico_19 (no distingue hornfels/mármol)</t>
        </is>
      </c>
      <c r="K90" t="inlineStr">
        <is>
          <t>Mármol (hipótesis: sigla MDP)</t>
        </is>
      </c>
      <c r="L90" t="inlineStr">
        <is>
          <t>Metamorfico</t>
        </is>
      </c>
      <c r="M90" t="n">
        <v>792</v>
      </c>
      <c r="N90" t="n">
        <v>4752000</v>
      </c>
      <c r="O90" t="n">
        <v>13490844</v>
      </c>
      <c r="P90" t="inlineStr"/>
      <c r="Q90" t="n">
        <v>5.514</v>
      </c>
    </row>
    <row r="91">
      <c r="A91" t="inlineStr">
        <is>
          <t>MR24</t>
        </is>
      </c>
      <c r="B91" t="inlineStr">
        <is>
          <t>SIMULACIONES_MR2024_V3</t>
        </is>
      </c>
      <c r="C91" t="inlineStr">
        <is>
          <t>toneladas (6000 m3 x MR24_BD); pct sobre toneladas</t>
        </is>
      </c>
      <c r="D91" t="inlineStr">
        <is>
          <t>periodo_XLE2WST_AMIN</t>
        </is>
      </c>
      <c r="E91" t="inlineStr">
        <is>
          <t>2033</t>
        </is>
      </c>
      <c r="F91" t="inlineStr">
        <is>
          <t>MR24_RT</t>
        </is>
      </c>
      <c r="G91" t="inlineStr">
        <is>
          <t>53</t>
        </is>
      </c>
      <c r="H91" t="inlineStr">
        <is>
          <t>sin asignar</t>
        </is>
      </c>
      <c r="I91" t="inlineStr">
        <is>
          <t>RT53</t>
        </is>
      </c>
      <c r="J91" t="inlineStr">
        <is>
          <t>código sin etiqueta en los datos</t>
        </is>
      </c>
      <c r="K91" t="inlineStr">
        <is>
          <t>sin hipótesis</t>
        </is>
      </c>
      <c r="L91" t="inlineStr">
        <is>
          <t>sin leyenda</t>
        </is>
      </c>
      <c r="M91" t="n">
        <v>15</v>
      </c>
      <c r="N91" t="n">
        <v>90000</v>
      </c>
      <c r="O91" t="n">
        <v>273276</v>
      </c>
      <c r="P91" t="inlineStr"/>
      <c r="Q91" t="n">
        <v>0.112</v>
      </c>
    </row>
    <row r="92">
      <c r="A92" t="inlineStr">
        <is>
          <t>MR24</t>
        </is>
      </c>
      <c r="B92" t="inlineStr">
        <is>
          <t>SIMULACIONES_MR2024_V3</t>
        </is>
      </c>
      <c r="C92" t="inlineStr">
        <is>
          <t>toneladas (6000 m3 x MR24_BD); pct sobre toneladas</t>
        </is>
      </c>
      <c r="D92" t="inlineStr">
        <is>
          <t>periodo_XLE2WST_AMIN</t>
        </is>
      </c>
      <c r="E92" t="inlineStr">
        <is>
          <t>2034</t>
        </is>
      </c>
      <c r="F92" t="inlineStr">
        <is>
          <t>MR24_RT</t>
        </is>
      </c>
      <c r="G92" t="inlineStr">
        <is>
          <t>1</t>
        </is>
      </c>
      <c r="H92" t="inlineStr">
        <is>
          <t>Intrusivo</t>
        </is>
      </c>
      <c r="I92" t="inlineStr">
        <is>
          <t>RT1</t>
        </is>
      </c>
      <c r="J92" t="inlineStr">
        <is>
          <t>Geologia_2024=Intrusivo_1</t>
        </is>
      </c>
      <c r="K92" t="inlineStr">
        <is>
          <t>Intrusivo</t>
        </is>
      </c>
      <c r="L92" t="inlineStr">
        <is>
          <t>Intrusivo</t>
        </is>
      </c>
      <c r="M92" t="n">
        <v>609</v>
      </c>
      <c r="N92" t="n">
        <v>3654000</v>
      </c>
      <c r="O92" t="n">
        <v>9177288</v>
      </c>
      <c r="P92" t="inlineStr"/>
      <c r="Q92" t="n">
        <v>3.52</v>
      </c>
    </row>
    <row r="93">
      <c r="A93" t="inlineStr">
        <is>
          <t>MR24</t>
        </is>
      </c>
      <c r="B93" t="inlineStr">
        <is>
          <t>SIMULACIONES_MR2024_V3</t>
        </is>
      </c>
      <c r="C93" t="inlineStr">
        <is>
          <t>toneladas (6000 m3 x MR24_BD); pct sobre toneladas</t>
        </is>
      </c>
      <c r="D93" t="inlineStr">
        <is>
          <t>periodo_XLE2WST_AMIN</t>
        </is>
      </c>
      <c r="E93" t="inlineStr">
        <is>
          <t>2034</t>
        </is>
      </c>
      <c r="F93" t="inlineStr">
        <is>
          <t>MR24_RT</t>
        </is>
      </c>
      <c r="G93" t="inlineStr">
        <is>
          <t>2</t>
        </is>
      </c>
      <c r="H93" t="inlineStr">
        <is>
          <t>Intrusivo</t>
        </is>
      </c>
      <c r="I93" t="inlineStr">
        <is>
          <t>RT2</t>
        </is>
      </c>
      <c r="J93" t="inlineStr">
        <is>
          <t>Geologia_2024=Intrusivo_2</t>
        </is>
      </c>
      <c r="K93" t="inlineStr">
        <is>
          <t>Intrusivo</t>
        </is>
      </c>
      <c r="L93" t="inlineStr">
        <is>
          <t>Intrusivo</t>
        </is>
      </c>
      <c r="M93" t="n">
        <v>208</v>
      </c>
      <c r="N93" t="n">
        <v>1248000</v>
      </c>
      <c r="O93" t="n">
        <v>3318714</v>
      </c>
      <c r="P93" t="inlineStr"/>
      <c r="Q93" t="n">
        <v>1.273</v>
      </c>
    </row>
    <row r="94">
      <c r="A94" t="inlineStr">
        <is>
          <t>MR24</t>
        </is>
      </c>
      <c r="B94" t="inlineStr">
        <is>
          <t>SIMULACIONES_MR2024_V3</t>
        </is>
      </c>
      <c r="C94" t="inlineStr">
        <is>
          <t>toneladas (6000 m3 x MR24_BD); pct sobre toneladas</t>
        </is>
      </c>
      <c r="D94" t="inlineStr">
        <is>
          <t>periodo_XLE2WST_AMIN</t>
        </is>
      </c>
      <c r="E94" t="inlineStr">
        <is>
          <t>2034</t>
        </is>
      </c>
      <c r="F94" t="inlineStr">
        <is>
          <t>MR24_RT</t>
        </is>
      </c>
      <c r="G94" t="inlineStr">
        <is>
          <t>10</t>
        </is>
      </c>
      <c r="H94" t="inlineStr">
        <is>
          <t>sin asignar</t>
        </is>
      </c>
      <c r="I94" t="inlineStr">
        <is>
          <t>Sedimentario_10</t>
        </is>
      </c>
      <c r="J94" t="inlineStr">
        <is>
          <t>Geologia_2024=Sedimentario_10 (no especifica caliza)</t>
        </is>
      </c>
      <c r="K94" t="inlineStr">
        <is>
          <t>Caliza (hipótesis: siglas C*)</t>
        </is>
      </c>
      <c r="L94" t="inlineStr">
        <is>
          <t>Sedimentario</t>
        </is>
      </c>
      <c r="M94" t="n">
        <v>400</v>
      </c>
      <c r="N94" t="n">
        <v>2400000</v>
      </c>
      <c r="O94" t="n">
        <v>6480342</v>
      </c>
      <c r="P94" t="inlineStr"/>
      <c r="Q94" t="n">
        <v>2.486</v>
      </c>
    </row>
    <row r="95">
      <c r="A95" t="inlineStr">
        <is>
          <t>MR24</t>
        </is>
      </c>
      <c r="B95" t="inlineStr">
        <is>
          <t>SIMULACIONES_MR2024_V3</t>
        </is>
      </c>
      <c r="C95" t="inlineStr">
        <is>
          <t>toneladas (6000 m3 x MR24_BD); pct sobre toneladas</t>
        </is>
      </c>
      <c r="D95" t="inlineStr">
        <is>
          <t>periodo_XLE2WST_AMIN</t>
        </is>
      </c>
      <c r="E95" t="inlineStr">
        <is>
          <t>2034</t>
        </is>
      </c>
      <c r="F95" t="inlineStr">
        <is>
          <t>MR24_RT</t>
        </is>
      </c>
      <c r="G95" t="inlineStr">
        <is>
          <t>11</t>
        </is>
      </c>
      <c r="H95" t="inlineStr">
        <is>
          <t>sin asignar</t>
        </is>
      </c>
      <c r="I95" t="inlineStr">
        <is>
          <t>Sedimentario_11</t>
        </is>
      </c>
      <c r="J95" t="inlineStr">
        <is>
          <t>Geologia_2024=Sedimentario_11 (no especifica caliza)</t>
        </is>
      </c>
      <c r="K95" t="inlineStr">
        <is>
          <t>Caliza (hipótesis: Sedimentario; RT11~NUMEQ10, siglas C*)</t>
        </is>
      </c>
      <c r="L95" t="inlineStr">
        <is>
          <t>Sedimentario</t>
        </is>
      </c>
      <c r="M95" t="n">
        <v>5898</v>
      </c>
      <c r="N95" t="n">
        <v>35388000</v>
      </c>
      <c r="O95" t="n">
        <v>95928396</v>
      </c>
      <c r="P95" t="inlineStr"/>
      <c r="Q95" t="n">
        <v>36.797</v>
      </c>
    </row>
    <row r="96">
      <c r="A96" t="inlineStr">
        <is>
          <t>MR24</t>
        </is>
      </c>
      <c r="B96" t="inlineStr">
        <is>
          <t>SIMULACIONES_MR2024_V3</t>
        </is>
      </c>
      <c r="C96" t="inlineStr">
        <is>
          <t>toneladas (6000 m3 x MR24_BD); pct sobre toneladas</t>
        </is>
      </c>
      <c r="D96" t="inlineStr">
        <is>
          <t>periodo_XLE2WST_AMIN</t>
        </is>
      </c>
      <c r="E96" t="inlineStr">
        <is>
          <t>2034</t>
        </is>
      </c>
      <c r="F96" t="inlineStr">
        <is>
          <t>MR24_RT</t>
        </is>
      </c>
      <c r="G96" t="inlineStr">
        <is>
          <t>13</t>
        </is>
      </c>
      <c r="H96" t="inlineStr">
        <is>
          <t>sin asignar</t>
        </is>
      </c>
      <c r="I96" t="inlineStr">
        <is>
          <t>Metamorfico_13</t>
        </is>
      </c>
      <c r="J96" t="inlineStr">
        <is>
          <t>Geologia_2024=Metamorfico_13 (no distingue hornfels/mármol)</t>
        </is>
      </c>
      <c r="K96" t="inlineStr">
        <is>
          <t>Hornfels (hipótesis: siglas HG, HGS, HC)</t>
        </is>
      </c>
      <c r="L96" t="inlineStr">
        <is>
          <t>Metamorfico</t>
        </is>
      </c>
      <c r="M96" t="n">
        <v>3112</v>
      </c>
      <c r="N96" t="n">
        <v>18672000</v>
      </c>
      <c r="O96" t="n">
        <v>50256324</v>
      </c>
      <c r="P96" t="inlineStr"/>
      <c r="Q96" t="n">
        <v>19.278</v>
      </c>
    </row>
    <row r="97">
      <c r="A97" t="inlineStr">
        <is>
          <t>MR24</t>
        </is>
      </c>
      <c r="B97" t="inlineStr">
        <is>
          <t>SIMULACIONES_MR2024_V3</t>
        </is>
      </c>
      <c r="C97" t="inlineStr">
        <is>
          <t>toneladas (6000 m3 x MR24_BD); pct sobre toneladas</t>
        </is>
      </c>
      <c r="D97" t="inlineStr">
        <is>
          <t>periodo_XLE2WST_AMIN</t>
        </is>
      </c>
      <c r="E97" t="inlineStr">
        <is>
          <t>2034</t>
        </is>
      </c>
      <c r="F97" t="inlineStr">
        <is>
          <t>MR24_RT</t>
        </is>
      </c>
      <c r="G97" t="inlineStr">
        <is>
          <t>14</t>
        </is>
      </c>
      <c r="H97" t="inlineStr">
        <is>
          <t>sin asignar</t>
        </is>
      </c>
      <c r="I97" t="inlineStr">
        <is>
          <t>Metamorfico_14</t>
        </is>
      </c>
      <c r="J97" t="inlineStr">
        <is>
          <t>Geologia_2024=Metamorfico_14 (no distingue hornfels/mármol)</t>
        </is>
      </c>
      <c r="K97" t="inlineStr">
        <is>
          <t>Hornfels (hipótesis: siglas HBV, HGV, HCB, HDP; 'Diop. Hornfels'~HGV)</t>
        </is>
      </c>
      <c r="L97" t="inlineStr">
        <is>
          <t>Metamorfico</t>
        </is>
      </c>
      <c r="M97" t="n">
        <v>666</v>
      </c>
      <c r="N97" t="n">
        <v>3996000</v>
      </c>
      <c r="O97" t="n">
        <v>11448822</v>
      </c>
      <c r="P97" t="inlineStr"/>
      <c r="Q97" t="n">
        <v>4.392</v>
      </c>
    </row>
    <row r="98">
      <c r="A98" t="inlineStr">
        <is>
          <t>MR24</t>
        </is>
      </c>
      <c r="B98" t="inlineStr">
        <is>
          <t>SIMULACIONES_MR2024_V3</t>
        </is>
      </c>
      <c r="C98" t="inlineStr">
        <is>
          <t>toneladas (6000 m3 x MR24_BD); pct sobre toneladas</t>
        </is>
      </c>
      <c r="D98" t="inlineStr">
        <is>
          <t>periodo_XLE2WST_AMIN</t>
        </is>
      </c>
      <c r="E98" t="inlineStr">
        <is>
          <t>2034</t>
        </is>
      </c>
      <c r="F98" t="inlineStr">
        <is>
          <t>MR24_RT</t>
        </is>
      </c>
      <c r="G98" t="inlineStr">
        <is>
          <t>16</t>
        </is>
      </c>
      <c r="H98" t="inlineStr">
        <is>
          <t>sin asignar</t>
        </is>
      </c>
      <c r="I98" t="inlineStr">
        <is>
          <t>Metamorfico_16</t>
        </is>
      </c>
      <c r="J98" t="inlineStr">
        <is>
          <t>Geologia_2024=Metamorfico_16 (no distingue hornfels/mármol)</t>
        </is>
      </c>
      <c r="K98" t="inlineStr">
        <is>
          <t>Mármol (hipótesis: siglas MC, MG, MGS, MPA, MCGB; 'Marble'~MCGB)</t>
        </is>
      </c>
      <c r="L98" t="inlineStr">
        <is>
          <t>Metamorfico</t>
        </is>
      </c>
      <c r="M98" t="n">
        <v>4524</v>
      </c>
      <c r="N98" t="n">
        <v>27144000</v>
      </c>
      <c r="O98" t="n">
        <v>73397748</v>
      </c>
      <c r="P98" t="inlineStr"/>
      <c r="Q98" t="n">
        <v>28.154</v>
      </c>
    </row>
    <row r="99">
      <c r="A99" t="inlineStr">
        <is>
          <t>MR24</t>
        </is>
      </c>
      <c r="B99" t="inlineStr">
        <is>
          <t>SIMULACIONES_MR2024_V3</t>
        </is>
      </c>
      <c r="C99" t="inlineStr">
        <is>
          <t>toneladas (6000 m3 x MR24_BD); pct sobre toneladas</t>
        </is>
      </c>
      <c r="D99" t="inlineStr">
        <is>
          <t>periodo_XLE2WST_AMIN</t>
        </is>
      </c>
      <c r="E99" t="inlineStr">
        <is>
          <t>2034</t>
        </is>
      </c>
      <c r="F99" t="inlineStr">
        <is>
          <t>MR24_RT</t>
        </is>
      </c>
      <c r="G99" t="inlineStr">
        <is>
          <t>19</t>
        </is>
      </c>
      <c r="H99" t="inlineStr">
        <is>
          <t>sin asignar</t>
        </is>
      </c>
      <c r="I99" t="inlineStr">
        <is>
          <t>Metamorfico_19</t>
        </is>
      </c>
      <c r="J99" t="inlineStr">
        <is>
          <t>Geologia_2024=Metamorfico_19 (no distingue hornfels/mármol)</t>
        </is>
      </c>
      <c r="K99" t="inlineStr">
        <is>
          <t>Mármol (hipótesis: sigla MDP)</t>
        </is>
      </c>
      <c r="L99" t="inlineStr">
        <is>
          <t>Metamorfico</t>
        </is>
      </c>
      <c r="M99" t="n">
        <v>620</v>
      </c>
      <c r="N99" t="n">
        <v>3720000</v>
      </c>
      <c r="O99" t="n">
        <v>10660188</v>
      </c>
      <c r="P99" t="inlineStr"/>
      <c r="Q99" t="n">
        <v>4.089</v>
      </c>
    </row>
    <row r="100">
      <c r="A100" t="inlineStr">
        <is>
          <t>MR24</t>
        </is>
      </c>
      <c r="B100" t="inlineStr">
        <is>
          <t>SIMULACIONES_MR2024_V3</t>
        </is>
      </c>
      <c r="C100" t="inlineStr">
        <is>
          <t>toneladas (6000 m3 x MR24_BD); pct sobre toneladas</t>
        </is>
      </c>
      <c r="D100" t="inlineStr">
        <is>
          <t>periodo_XLE2WST_AMIN</t>
        </is>
      </c>
      <c r="E100" t="inlineStr">
        <is>
          <t>2034</t>
        </is>
      </c>
      <c r="F100" t="inlineStr">
        <is>
          <t>MR24_RT</t>
        </is>
      </c>
      <c r="G100" t="inlineStr">
        <is>
          <t>53</t>
        </is>
      </c>
      <c r="H100" t="inlineStr">
        <is>
          <t>sin asignar</t>
        </is>
      </c>
      <c r="I100" t="inlineStr">
        <is>
          <t>RT53</t>
        </is>
      </c>
      <c r="J100" t="inlineStr">
        <is>
          <t>código sin etiqueta en los datos</t>
        </is>
      </c>
      <c r="K100" t="inlineStr">
        <is>
          <t>sin hipótesis</t>
        </is>
      </c>
      <c r="L100" t="inlineStr">
        <is>
          <t>sin leyenda</t>
        </is>
      </c>
      <c r="M100" t="n">
        <v>2</v>
      </c>
      <c r="N100" t="n">
        <v>12000</v>
      </c>
      <c r="O100" t="n">
        <v>30420</v>
      </c>
      <c r="P100" t="inlineStr"/>
      <c r="Q100" t="n">
        <v>0.012</v>
      </c>
    </row>
    <row r="101">
      <c r="A101" t="inlineStr">
        <is>
          <t>MR24</t>
        </is>
      </c>
      <c r="B101" t="inlineStr">
        <is>
          <t>SIMULACIONES_MR2024_V3</t>
        </is>
      </c>
      <c r="C101" t="inlineStr">
        <is>
          <t>toneladas (6000 m3 x MR24_BD); pct sobre toneladas</t>
        </is>
      </c>
      <c r="D101" t="inlineStr">
        <is>
          <t>periodo_XLE2WST_AMIN</t>
        </is>
      </c>
      <c r="E101" t="inlineStr">
        <is>
          <t>2035</t>
        </is>
      </c>
      <c r="F101" t="inlineStr">
        <is>
          <t>MR24_RT</t>
        </is>
      </c>
      <c r="G101" t="inlineStr">
        <is>
          <t>1</t>
        </is>
      </c>
      <c r="H101" t="inlineStr">
        <is>
          <t>Intrusivo</t>
        </is>
      </c>
      <c r="I101" t="inlineStr">
        <is>
          <t>RT1</t>
        </is>
      </c>
      <c r="J101" t="inlineStr">
        <is>
          <t>Geologia_2024=Intrusivo_1</t>
        </is>
      </c>
      <c r="K101" t="inlineStr">
        <is>
          <t>Intrusivo</t>
        </is>
      </c>
      <c r="L101" t="inlineStr">
        <is>
          <t>Intrusivo</t>
        </is>
      </c>
      <c r="M101" t="n">
        <v>2352</v>
      </c>
      <c r="N101" t="n">
        <v>14112000</v>
      </c>
      <c r="O101" t="n">
        <v>34610922</v>
      </c>
      <c r="P101" t="inlineStr"/>
      <c r="Q101" t="n">
        <v>13.917</v>
      </c>
    </row>
    <row r="102">
      <c r="A102" t="inlineStr">
        <is>
          <t>MR24</t>
        </is>
      </c>
      <c r="B102" t="inlineStr">
        <is>
          <t>SIMULACIONES_MR2024_V3</t>
        </is>
      </c>
      <c r="C102" t="inlineStr">
        <is>
          <t>toneladas (6000 m3 x MR24_BD); pct sobre toneladas</t>
        </is>
      </c>
      <c r="D102" t="inlineStr">
        <is>
          <t>periodo_XLE2WST_AMIN</t>
        </is>
      </c>
      <c r="E102" t="inlineStr">
        <is>
          <t>2035</t>
        </is>
      </c>
      <c r="F102" t="inlineStr">
        <is>
          <t>MR24_RT</t>
        </is>
      </c>
      <c r="G102" t="inlineStr">
        <is>
          <t>2</t>
        </is>
      </c>
      <c r="H102" t="inlineStr">
        <is>
          <t>Intrusivo</t>
        </is>
      </c>
      <c r="I102" t="inlineStr">
        <is>
          <t>RT2</t>
        </is>
      </c>
      <c r="J102" t="inlineStr">
        <is>
          <t>Geologia_2024=Intrusivo_2</t>
        </is>
      </c>
      <c r="K102" t="inlineStr">
        <is>
          <t>Intrusivo</t>
        </is>
      </c>
      <c r="L102" t="inlineStr">
        <is>
          <t>Intrusivo</t>
        </is>
      </c>
      <c r="M102" t="n">
        <v>232</v>
      </c>
      <c r="N102" t="n">
        <v>1392000</v>
      </c>
      <c r="O102" t="n">
        <v>3711276</v>
      </c>
      <c r="P102" t="inlineStr"/>
      <c r="Q102" t="n">
        <v>1.492</v>
      </c>
    </row>
    <row r="103">
      <c r="A103" t="inlineStr">
        <is>
          <t>MR24</t>
        </is>
      </c>
      <c r="B103" t="inlineStr">
        <is>
          <t>SIMULACIONES_MR2024_V3</t>
        </is>
      </c>
      <c r="C103" t="inlineStr">
        <is>
          <t>toneladas (6000 m3 x MR24_BD); pct sobre toneladas</t>
        </is>
      </c>
      <c r="D103" t="inlineStr">
        <is>
          <t>periodo_XLE2WST_AMIN</t>
        </is>
      </c>
      <c r="E103" t="inlineStr">
        <is>
          <t>2035</t>
        </is>
      </c>
      <c r="F103" t="inlineStr">
        <is>
          <t>MR24_RT</t>
        </is>
      </c>
      <c r="G103" t="inlineStr">
        <is>
          <t>10</t>
        </is>
      </c>
      <c r="H103" t="inlineStr">
        <is>
          <t>sin asignar</t>
        </is>
      </c>
      <c r="I103" t="inlineStr">
        <is>
          <t>Sedimentario_10</t>
        </is>
      </c>
      <c r="J103" t="inlineStr">
        <is>
          <t>Geologia_2024=Sedimentario_10 (no especifica caliza)</t>
        </is>
      </c>
      <c r="K103" t="inlineStr">
        <is>
          <t>Caliza (hipótesis: siglas C*)</t>
        </is>
      </c>
      <c r="L103" t="inlineStr">
        <is>
          <t>Sedimentario</t>
        </is>
      </c>
      <c r="M103" t="n">
        <v>1753</v>
      </c>
      <c r="N103" t="n">
        <v>10518000</v>
      </c>
      <c r="O103" t="n">
        <v>28436094</v>
      </c>
      <c r="P103" t="inlineStr"/>
      <c r="Q103" t="n">
        <v>11.434</v>
      </c>
    </row>
    <row r="104">
      <c r="A104" t="inlineStr">
        <is>
          <t>MR24</t>
        </is>
      </c>
      <c r="B104" t="inlineStr">
        <is>
          <t>SIMULACIONES_MR2024_V3</t>
        </is>
      </c>
      <c r="C104" t="inlineStr">
        <is>
          <t>toneladas (6000 m3 x MR24_BD); pct sobre toneladas</t>
        </is>
      </c>
      <c r="D104" t="inlineStr">
        <is>
          <t>periodo_XLE2WST_AMIN</t>
        </is>
      </c>
      <c r="E104" t="inlineStr">
        <is>
          <t>2035</t>
        </is>
      </c>
      <c r="F104" t="inlineStr">
        <is>
          <t>MR24_RT</t>
        </is>
      </c>
      <c r="G104" t="inlineStr">
        <is>
          <t>11</t>
        </is>
      </c>
      <c r="H104" t="inlineStr">
        <is>
          <t>sin asignar</t>
        </is>
      </c>
      <c r="I104" t="inlineStr">
        <is>
          <t>Sedimentario_11</t>
        </is>
      </c>
      <c r="J104" t="inlineStr">
        <is>
          <t>Geologia_2024=Sedimentario_11 (no especifica caliza)</t>
        </is>
      </c>
      <c r="K104" t="inlineStr">
        <is>
          <t>Caliza (hipótesis: Sedimentario; RT11~NUMEQ10, siglas C*)</t>
        </is>
      </c>
      <c r="L104" t="inlineStr">
        <is>
          <t>Sedimentario</t>
        </is>
      </c>
      <c r="M104" t="n">
        <v>4157</v>
      </c>
      <c r="N104" t="n">
        <v>24942000</v>
      </c>
      <c r="O104" t="n">
        <v>67663500</v>
      </c>
      <c r="P104" t="inlineStr"/>
      <c r="Q104" t="n">
        <v>27.207</v>
      </c>
    </row>
    <row r="105">
      <c r="A105" t="inlineStr">
        <is>
          <t>MR24</t>
        </is>
      </c>
      <c r="B105" t="inlineStr">
        <is>
          <t>SIMULACIONES_MR2024_V3</t>
        </is>
      </c>
      <c r="C105" t="inlineStr">
        <is>
          <t>toneladas (6000 m3 x MR24_BD); pct sobre toneladas</t>
        </is>
      </c>
      <c r="D105" t="inlineStr">
        <is>
          <t>periodo_XLE2WST_AMIN</t>
        </is>
      </c>
      <c r="E105" t="inlineStr">
        <is>
          <t>2035</t>
        </is>
      </c>
      <c r="F105" t="inlineStr">
        <is>
          <t>MR24_RT</t>
        </is>
      </c>
      <c r="G105" t="inlineStr">
        <is>
          <t>13</t>
        </is>
      </c>
      <c r="H105" t="inlineStr">
        <is>
          <t>sin asignar</t>
        </is>
      </c>
      <c r="I105" t="inlineStr">
        <is>
          <t>Metamorfico_13</t>
        </is>
      </c>
      <c r="J105" t="inlineStr">
        <is>
          <t>Geologia_2024=Metamorfico_13 (no distingue hornfels/mármol)</t>
        </is>
      </c>
      <c r="K105" t="inlineStr">
        <is>
          <t>Hornfels (hipótesis: siglas HG, HGS, HC)</t>
        </is>
      </c>
      <c r="L105" t="inlineStr">
        <is>
          <t>Metamorfico</t>
        </is>
      </c>
      <c r="M105" t="n">
        <v>974</v>
      </c>
      <c r="N105" t="n">
        <v>5844000</v>
      </c>
      <c r="O105" t="n">
        <v>15775290</v>
      </c>
      <c r="P105" t="inlineStr"/>
      <c r="Q105" t="n">
        <v>6.343</v>
      </c>
    </row>
    <row r="106">
      <c r="A106" t="inlineStr">
        <is>
          <t>MR24</t>
        </is>
      </c>
      <c r="B106" t="inlineStr">
        <is>
          <t>SIMULACIONES_MR2024_V3</t>
        </is>
      </c>
      <c r="C106" t="inlineStr">
        <is>
          <t>toneladas (6000 m3 x MR24_BD); pct sobre toneladas</t>
        </is>
      </c>
      <c r="D106" t="inlineStr">
        <is>
          <t>periodo_XLE2WST_AMIN</t>
        </is>
      </c>
      <c r="E106" t="inlineStr">
        <is>
          <t>2035</t>
        </is>
      </c>
      <c r="F106" t="inlineStr">
        <is>
          <t>MR24_RT</t>
        </is>
      </c>
      <c r="G106" t="inlineStr">
        <is>
          <t>14</t>
        </is>
      </c>
      <c r="H106" t="inlineStr">
        <is>
          <t>sin asignar</t>
        </is>
      </c>
      <c r="I106" t="inlineStr">
        <is>
          <t>Metamorfico_14</t>
        </is>
      </c>
      <c r="J106" t="inlineStr">
        <is>
          <t>Geologia_2024=Metamorfico_14 (no distingue hornfels/mármol)</t>
        </is>
      </c>
      <c r="K106" t="inlineStr">
        <is>
          <t>Hornfels (hipótesis: siglas HBV, HGV, HCB, HDP; 'Diop. Hornfels'~HGV)</t>
        </is>
      </c>
      <c r="L106" t="inlineStr">
        <is>
          <t>Metamorfico</t>
        </is>
      </c>
      <c r="M106" t="n">
        <v>152</v>
      </c>
      <c r="N106" t="n">
        <v>912000</v>
      </c>
      <c r="O106" t="n">
        <v>2628306</v>
      </c>
      <c r="P106" t="inlineStr"/>
      <c r="Q106" t="n">
        <v>1.057</v>
      </c>
    </row>
    <row r="107">
      <c r="A107" t="inlineStr">
        <is>
          <t>MR24</t>
        </is>
      </c>
      <c r="B107" t="inlineStr">
        <is>
          <t>SIMULACIONES_MR2024_V3</t>
        </is>
      </c>
      <c r="C107" t="inlineStr">
        <is>
          <t>toneladas (6000 m3 x MR24_BD); pct sobre toneladas</t>
        </is>
      </c>
      <c r="D107" t="inlineStr">
        <is>
          <t>periodo_XLE2WST_AMIN</t>
        </is>
      </c>
      <c r="E107" t="inlineStr">
        <is>
          <t>2035</t>
        </is>
      </c>
      <c r="F107" t="inlineStr">
        <is>
          <t>MR24_RT</t>
        </is>
      </c>
      <c r="G107" t="inlineStr">
        <is>
          <t>16</t>
        </is>
      </c>
      <c r="H107" t="inlineStr">
        <is>
          <t>sin asignar</t>
        </is>
      </c>
      <c r="I107" t="inlineStr">
        <is>
          <t>Metamorfico_16</t>
        </is>
      </c>
      <c r="J107" t="inlineStr">
        <is>
          <t>Geologia_2024=Metamorfico_16 (no distingue hornfels/mármol)</t>
        </is>
      </c>
      <c r="K107" t="inlineStr">
        <is>
          <t>Mármol (hipótesis: siglas MC, MG, MGS, MPA, MCGB; 'Marble'~MCGB)</t>
        </is>
      </c>
      <c r="L107" t="inlineStr">
        <is>
          <t>Metamorfico</t>
        </is>
      </c>
      <c r="M107" t="n">
        <v>5172</v>
      </c>
      <c r="N107" t="n">
        <v>31032000</v>
      </c>
      <c r="O107" t="n">
        <v>83945304</v>
      </c>
      <c r="P107" t="inlineStr"/>
      <c r="Q107" t="n">
        <v>33.754</v>
      </c>
    </row>
    <row r="108">
      <c r="A108" t="inlineStr">
        <is>
          <t>MR24</t>
        </is>
      </c>
      <c r="B108" t="inlineStr">
        <is>
          <t>SIMULACIONES_MR2024_V3</t>
        </is>
      </c>
      <c r="C108" t="inlineStr">
        <is>
          <t>toneladas (6000 m3 x MR24_BD); pct sobre toneladas</t>
        </is>
      </c>
      <c r="D108" t="inlineStr">
        <is>
          <t>periodo_XLE2WST_AMIN</t>
        </is>
      </c>
      <c r="E108" t="inlineStr">
        <is>
          <t>2035</t>
        </is>
      </c>
      <c r="F108" t="inlineStr">
        <is>
          <t>MR24_RT</t>
        </is>
      </c>
      <c r="G108" t="inlineStr">
        <is>
          <t>19</t>
        </is>
      </c>
      <c r="H108" t="inlineStr">
        <is>
          <t>sin asignar</t>
        </is>
      </c>
      <c r="I108" t="inlineStr">
        <is>
          <t>Metamorfico_19</t>
        </is>
      </c>
      <c r="J108" t="inlineStr">
        <is>
          <t>Geologia_2024=Metamorfico_19 (no distingue hornfels/mármol)</t>
        </is>
      </c>
      <c r="K108" t="inlineStr">
        <is>
          <t>Mármol (hipótesis: sigla MDP)</t>
        </is>
      </c>
      <c r="L108" t="inlineStr">
        <is>
          <t>Metamorfico</t>
        </is>
      </c>
      <c r="M108" t="n">
        <v>645</v>
      </c>
      <c r="N108" t="n">
        <v>3870000</v>
      </c>
      <c r="O108" t="n">
        <v>11151570</v>
      </c>
      <c r="P108" t="inlineStr"/>
      <c r="Q108" t="n">
        <v>4.484</v>
      </c>
    </row>
    <row r="109">
      <c r="A109" t="inlineStr">
        <is>
          <t>MR24</t>
        </is>
      </c>
      <c r="B109" t="inlineStr">
        <is>
          <t>SIMULACIONES_MR2024_V3</t>
        </is>
      </c>
      <c r="C109" t="inlineStr">
        <is>
          <t>toneladas (6000 m3 x MR24_BD); pct sobre toneladas</t>
        </is>
      </c>
      <c r="D109" t="inlineStr">
        <is>
          <t>periodo_XLE2WST_AMIN</t>
        </is>
      </c>
      <c r="E109" t="inlineStr">
        <is>
          <t>2035</t>
        </is>
      </c>
      <c r="F109" t="inlineStr">
        <is>
          <t>MR24_RT</t>
        </is>
      </c>
      <c r="G109" t="inlineStr">
        <is>
          <t>53</t>
        </is>
      </c>
      <c r="H109" t="inlineStr">
        <is>
          <t>sin asignar</t>
        </is>
      </c>
      <c r="I109" t="inlineStr">
        <is>
          <t>RT53</t>
        </is>
      </c>
      <c r="J109" t="inlineStr">
        <is>
          <t>código sin etiqueta en los datos</t>
        </is>
      </c>
      <c r="K109" t="inlineStr">
        <is>
          <t>sin hipótesis</t>
        </is>
      </c>
      <c r="L109" t="inlineStr">
        <is>
          <t>sin leyenda</t>
        </is>
      </c>
      <c r="M109" t="n">
        <v>49</v>
      </c>
      <c r="N109" t="n">
        <v>294000</v>
      </c>
      <c r="O109" t="n">
        <v>773628</v>
      </c>
      <c r="P109" t="inlineStr"/>
      <c r="Q109" t="n">
        <v>0.311</v>
      </c>
    </row>
    <row r="110">
      <c r="A110" t="inlineStr">
        <is>
          <t>MR24</t>
        </is>
      </c>
      <c r="B110" t="inlineStr">
        <is>
          <t>SIMULACIONES_MR2024_V3</t>
        </is>
      </c>
      <c r="C110" t="inlineStr">
        <is>
          <t>toneladas (6000 m3 x MR24_BD); pct sobre toneladas</t>
        </is>
      </c>
      <c r="D110" t="inlineStr">
        <is>
          <t>periodo_XLE2WST_AMIN</t>
        </is>
      </c>
      <c r="E110" t="inlineStr">
        <is>
          <t>203637</t>
        </is>
      </c>
      <c r="F110" t="inlineStr">
        <is>
          <t>MR24_RT</t>
        </is>
      </c>
      <c r="G110" t="inlineStr">
        <is>
          <t>1</t>
        </is>
      </c>
      <c r="H110" t="inlineStr">
        <is>
          <t>Intrusivo</t>
        </is>
      </c>
      <c r="I110" t="inlineStr">
        <is>
          <t>RT1</t>
        </is>
      </c>
      <c r="J110" t="inlineStr">
        <is>
          <t>Geologia_2024=Intrusivo_1</t>
        </is>
      </c>
      <c r="K110" t="inlineStr">
        <is>
          <t>Intrusivo</t>
        </is>
      </c>
      <c r="L110" t="inlineStr">
        <is>
          <t>Intrusivo</t>
        </is>
      </c>
      <c r="M110" t="n">
        <v>2829</v>
      </c>
      <c r="N110" t="n">
        <v>16974000</v>
      </c>
      <c r="O110" t="n">
        <v>41525190</v>
      </c>
      <c r="P110" t="inlineStr"/>
      <c r="Q110" t="n">
        <v>7.433</v>
      </c>
    </row>
    <row r="111">
      <c r="A111" t="inlineStr">
        <is>
          <t>MR24</t>
        </is>
      </c>
      <c r="B111" t="inlineStr">
        <is>
          <t>SIMULACIONES_MR2024_V3</t>
        </is>
      </c>
      <c r="C111" t="inlineStr">
        <is>
          <t>toneladas (6000 m3 x MR24_BD); pct sobre toneladas</t>
        </is>
      </c>
      <c r="D111" t="inlineStr">
        <is>
          <t>periodo_XLE2WST_AMIN</t>
        </is>
      </c>
      <c r="E111" t="inlineStr">
        <is>
          <t>203637</t>
        </is>
      </c>
      <c r="F111" t="inlineStr">
        <is>
          <t>MR24_RT</t>
        </is>
      </c>
      <c r="G111" t="inlineStr">
        <is>
          <t>2</t>
        </is>
      </c>
      <c r="H111" t="inlineStr">
        <is>
          <t>Intrusivo</t>
        </is>
      </c>
      <c r="I111" t="inlineStr">
        <is>
          <t>RT2</t>
        </is>
      </c>
      <c r="J111" t="inlineStr">
        <is>
          <t>Geologia_2024=Intrusivo_2</t>
        </is>
      </c>
      <c r="K111" t="inlineStr">
        <is>
          <t>Intrusivo</t>
        </is>
      </c>
      <c r="L111" t="inlineStr">
        <is>
          <t>Intrusivo</t>
        </is>
      </c>
      <c r="M111" t="n">
        <v>305</v>
      </c>
      <c r="N111" t="n">
        <v>1830000</v>
      </c>
      <c r="O111" t="n">
        <v>4875954</v>
      </c>
      <c r="P111" t="inlineStr"/>
      <c r="Q111" t="n">
        <v>0.873</v>
      </c>
    </row>
    <row r="112">
      <c r="A112" t="inlineStr">
        <is>
          <t>MR24</t>
        </is>
      </c>
      <c r="B112" t="inlineStr">
        <is>
          <t>SIMULACIONES_MR2024_V3</t>
        </is>
      </c>
      <c r="C112" t="inlineStr">
        <is>
          <t>toneladas (6000 m3 x MR24_BD); pct sobre toneladas</t>
        </is>
      </c>
      <c r="D112" t="inlineStr">
        <is>
          <t>periodo_XLE2WST_AMIN</t>
        </is>
      </c>
      <c r="E112" t="inlineStr">
        <is>
          <t>203637</t>
        </is>
      </c>
      <c r="F112" t="inlineStr">
        <is>
          <t>MR24_RT</t>
        </is>
      </c>
      <c r="G112" t="inlineStr">
        <is>
          <t>10</t>
        </is>
      </c>
      <c r="H112" t="inlineStr">
        <is>
          <t>sin asignar</t>
        </is>
      </c>
      <c r="I112" t="inlineStr">
        <is>
          <t>Sedimentario_10</t>
        </is>
      </c>
      <c r="J112" t="inlineStr">
        <is>
          <t>Geologia_2024=Sedimentario_10 (no especifica caliza)</t>
        </is>
      </c>
      <c r="K112" t="inlineStr">
        <is>
          <t>Caliza (hipótesis: siglas C*)</t>
        </is>
      </c>
      <c r="L112" t="inlineStr">
        <is>
          <t>Sedimentario</t>
        </is>
      </c>
      <c r="M112" t="n">
        <v>2924</v>
      </c>
      <c r="N112" t="n">
        <v>17544000</v>
      </c>
      <c r="O112" t="n">
        <v>47563854</v>
      </c>
      <c r="P112" t="inlineStr"/>
      <c r="Q112" t="n">
        <v>8.513999999999999</v>
      </c>
    </row>
    <row r="113">
      <c r="A113" t="inlineStr">
        <is>
          <t>MR24</t>
        </is>
      </c>
      <c r="B113" t="inlineStr">
        <is>
          <t>SIMULACIONES_MR2024_V3</t>
        </is>
      </c>
      <c r="C113" t="inlineStr">
        <is>
          <t>toneladas (6000 m3 x MR24_BD); pct sobre toneladas</t>
        </is>
      </c>
      <c r="D113" t="inlineStr">
        <is>
          <t>periodo_XLE2WST_AMIN</t>
        </is>
      </c>
      <c r="E113" t="inlineStr">
        <is>
          <t>203637</t>
        </is>
      </c>
      <c r="F113" t="inlineStr">
        <is>
          <t>MR24_RT</t>
        </is>
      </c>
      <c r="G113" t="inlineStr">
        <is>
          <t>11</t>
        </is>
      </c>
      <c r="H113" t="inlineStr">
        <is>
          <t>sin asignar</t>
        </is>
      </c>
      <c r="I113" t="inlineStr">
        <is>
          <t>Sedimentario_11</t>
        </is>
      </c>
      <c r="J113" t="inlineStr">
        <is>
          <t>Geologia_2024=Sedimentario_11 (no especifica caliza)</t>
        </is>
      </c>
      <c r="K113" t="inlineStr">
        <is>
          <t>Caliza (hipótesis: Sedimentario; RT11~NUMEQ10, siglas C*)</t>
        </is>
      </c>
      <c r="L113" t="inlineStr">
        <is>
          <t>Sedimentario</t>
        </is>
      </c>
      <c r="M113" t="n">
        <v>6129</v>
      </c>
      <c r="N113" t="n">
        <v>36774000</v>
      </c>
      <c r="O113" t="n">
        <v>99886722</v>
      </c>
      <c r="P113" t="inlineStr"/>
      <c r="Q113" t="n">
        <v>17.881</v>
      </c>
    </row>
    <row r="114">
      <c r="A114" t="inlineStr">
        <is>
          <t>MR24</t>
        </is>
      </c>
      <c r="B114" t="inlineStr">
        <is>
          <t>SIMULACIONES_MR2024_V3</t>
        </is>
      </c>
      <c r="C114" t="inlineStr">
        <is>
          <t>toneladas (6000 m3 x MR24_BD); pct sobre toneladas</t>
        </is>
      </c>
      <c r="D114" t="inlineStr">
        <is>
          <t>periodo_XLE2WST_AMIN</t>
        </is>
      </c>
      <c r="E114" t="inlineStr">
        <is>
          <t>203637</t>
        </is>
      </c>
      <c r="F114" t="inlineStr">
        <is>
          <t>MR24_RT</t>
        </is>
      </c>
      <c r="G114" t="inlineStr">
        <is>
          <t>13</t>
        </is>
      </c>
      <c r="H114" t="inlineStr">
        <is>
          <t>sin asignar</t>
        </is>
      </c>
      <c r="I114" t="inlineStr">
        <is>
          <t>Metamorfico_13</t>
        </is>
      </c>
      <c r="J114" t="inlineStr">
        <is>
          <t>Geologia_2024=Metamorfico_13 (no distingue hornfels/mármol)</t>
        </is>
      </c>
      <c r="K114" t="inlineStr">
        <is>
          <t>Hornfels (hipótesis: siglas HG, HGS, HC)</t>
        </is>
      </c>
      <c r="L114" t="inlineStr">
        <is>
          <t>Metamorfico</t>
        </is>
      </c>
      <c r="M114" t="n">
        <v>6505</v>
      </c>
      <c r="N114" t="n">
        <v>39030000</v>
      </c>
      <c r="O114" t="n">
        <v>105723390</v>
      </c>
      <c r="P114" t="inlineStr"/>
      <c r="Q114" t="n">
        <v>18.926</v>
      </c>
    </row>
    <row r="115">
      <c r="A115" t="inlineStr">
        <is>
          <t>MR24</t>
        </is>
      </c>
      <c r="B115" t="inlineStr">
        <is>
          <t>SIMULACIONES_MR2024_V3</t>
        </is>
      </c>
      <c r="C115" t="inlineStr">
        <is>
          <t>toneladas (6000 m3 x MR24_BD); pct sobre toneladas</t>
        </is>
      </c>
      <c r="D115" t="inlineStr">
        <is>
          <t>periodo_XLE2WST_AMIN</t>
        </is>
      </c>
      <c r="E115" t="inlineStr">
        <is>
          <t>203637</t>
        </is>
      </c>
      <c r="F115" t="inlineStr">
        <is>
          <t>MR24_RT</t>
        </is>
      </c>
      <c r="G115" t="inlineStr">
        <is>
          <t>14</t>
        </is>
      </c>
      <c r="H115" t="inlineStr">
        <is>
          <t>sin asignar</t>
        </is>
      </c>
      <c r="I115" t="inlineStr">
        <is>
          <t>Metamorfico_14</t>
        </is>
      </c>
      <c r="J115" t="inlineStr">
        <is>
          <t>Geologia_2024=Metamorfico_14 (no distingue hornfels/mármol)</t>
        </is>
      </c>
      <c r="K115" t="inlineStr">
        <is>
          <t>Hornfels (hipótesis: siglas HBV, HGV, HCB, HDP; 'Diop. Hornfels'~HGV)</t>
        </is>
      </c>
      <c r="L115" t="inlineStr">
        <is>
          <t>Metamorfico</t>
        </is>
      </c>
      <c r="M115" t="n">
        <v>1896</v>
      </c>
      <c r="N115" t="n">
        <v>11376000</v>
      </c>
      <c r="O115" t="n">
        <v>32396406</v>
      </c>
      <c r="P115" t="inlineStr"/>
      <c r="Q115" t="n">
        <v>5.799</v>
      </c>
    </row>
    <row r="116">
      <c r="A116" t="inlineStr">
        <is>
          <t>MR24</t>
        </is>
      </c>
      <c r="B116" t="inlineStr">
        <is>
          <t>SIMULACIONES_MR2024_V3</t>
        </is>
      </c>
      <c r="C116" t="inlineStr">
        <is>
          <t>toneladas (6000 m3 x MR24_BD); pct sobre toneladas</t>
        </is>
      </c>
      <c r="D116" t="inlineStr">
        <is>
          <t>periodo_XLE2WST_AMIN</t>
        </is>
      </c>
      <c r="E116" t="inlineStr">
        <is>
          <t>203637</t>
        </is>
      </c>
      <c r="F116" t="inlineStr">
        <is>
          <t>MR24_RT</t>
        </is>
      </c>
      <c r="G116" t="inlineStr">
        <is>
          <t>16</t>
        </is>
      </c>
      <c r="H116" t="inlineStr">
        <is>
          <t>sin asignar</t>
        </is>
      </c>
      <c r="I116" t="inlineStr">
        <is>
          <t>Metamorfico_16</t>
        </is>
      </c>
      <c r="J116" t="inlineStr">
        <is>
          <t>Geologia_2024=Metamorfico_16 (no distingue hornfels/mármol)</t>
        </is>
      </c>
      <c r="K116" t="inlineStr">
        <is>
          <t>Mármol (hipótesis: siglas MC, MG, MGS, MPA, MCGB; 'Marble'~MCGB)</t>
        </is>
      </c>
      <c r="L116" t="inlineStr">
        <is>
          <t>Metamorfico</t>
        </is>
      </c>
      <c r="M116" t="n">
        <v>12832</v>
      </c>
      <c r="N116" t="n">
        <v>76992000</v>
      </c>
      <c r="O116" t="n">
        <v>208302858</v>
      </c>
      <c r="P116" t="inlineStr"/>
      <c r="Q116" t="n">
        <v>37.288</v>
      </c>
    </row>
    <row r="117">
      <c r="A117" t="inlineStr">
        <is>
          <t>MR24</t>
        </is>
      </c>
      <c r="B117" t="inlineStr">
        <is>
          <t>SIMULACIONES_MR2024_V3</t>
        </is>
      </c>
      <c r="C117" t="inlineStr">
        <is>
          <t>toneladas (6000 m3 x MR24_BD); pct sobre toneladas</t>
        </is>
      </c>
      <c r="D117" t="inlineStr">
        <is>
          <t>periodo_XLE2WST_AMIN</t>
        </is>
      </c>
      <c r="E117" t="inlineStr">
        <is>
          <t>203637</t>
        </is>
      </c>
      <c r="F117" t="inlineStr">
        <is>
          <t>MR24_RT</t>
        </is>
      </c>
      <c r="G117" t="inlineStr">
        <is>
          <t>19</t>
        </is>
      </c>
      <c r="H117" t="inlineStr">
        <is>
          <t>sin asignar</t>
        </is>
      </c>
      <c r="I117" t="inlineStr">
        <is>
          <t>Metamorfico_19</t>
        </is>
      </c>
      <c r="J117" t="inlineStr">
        <is>
          <t>Geologia_2024=Metamorfico_19 (no distingue hornfels/mármol)</t>
        </is>
      </c>
      <c r="K117" t="inlineStr">
        <is>
          <t>Mármol (hipótesis: sigla MDP)</t>
        </is>
      </c>
      <c r="L117" t="inlineStr">
        <is>
          <t>Metamorfico</t>
        </is>
      </c>
      <c r="M117" t="n">
        <v>1031</v>
      </c>
      <c r="N117" t="n">
        <v>6186000</v>
      </c>
      <c r="O117" t="n">
        <v>17748672</v>
      </c>
      <c r="P117" t="inlineStr"/>
      <c r="Q117" t="n">
        <v>3.177</v>
      </c>
    </row>
    <row r="118">
      <c r="A118" t="inlineStr">
        <is>
          <t>MR24</t>
        </is>
      </c>
      <c r="B118" t="inlineStr">
        <is>
          <t>SIMULACIONES_MR2024_V3</t>
        </is>
      </c>
      <c r="C118" t="inlineStr">
        <is>
          <t>toneladas (6000 m3 x MR24_BD); pct sobre toneladas</t>
        </is>
      </c>
      <c r="D118" t="inlineStr">
        <is>
          <t>periodo_XLE2WST_AMIN</t>
        </is>
      </c>
      <c r="E118" t="inlineStr">
        <is>
          <t>203637</t>
        </is>
      </c>
      <c r="F118" t="inlineStr">
        <is>
          <t>MR24_RT</t>
        </is>
      </c>
      <c r="G118" t="inlineStr">
        <is>
          <t>53</t>
        </is>
      </c>
      <c r="H118" t="inlineStr">
        <is>
          <t>sin asignar</t>
        </is>
      </c>
      <c r="I118" t="inlineStr">
        <is>
          <t>RT53</t>
        </is>
      </c>
      <c r="J118" t="inlineStr">
        <is>
          <t>código sin etiqueta en los datos</t>
        </is>
      </c>
      <c r="K118" t="inlineStr">
        <is>
          <t>sin hipótesis</t>
        </is>
      </c>
      <c r="L118" t="inlineStr">
        <is>
          <t>sin leyenda</t>
        </is>
      </c>
      <c r="M118" t="n">
        <v>38</v>
      </c>
      <c r="N118" t="n">
        <v>228000</v>
      </c>
      <c r="O118" t="n">
        <v>602250</v>
      </c>
      <c r="P118" t="inlineStr"/>
      <c r="Q118" t="n">
        <v>0.108</v>
      </c>
    </row>
    <row r="119">
      <c r="A119" t="inlineStr">
        <is>
          <t>MR24</t>
        </is>
      </c>
      <c r="B119" t="inlineStr">
        <is>
          <t>SIMULACIONES_MR2024_V3</t>
        </is>
      </c>
      <c r="C119" t="inlineStr">
        <is>
          <t>toneladas (6000 m3 x MR24_BD); pct sobre toneladas</t>
        </is>
      </c>
      <c r="D119" t="inlineStr">
        <is>
          <t>periodo_XLE2WST_AMIN</t>
        </is>
      </c>
      <c r="E119" t="inlineStr">
        <is>
          <t>203839</t>
        </is>
      </c>
      <c r="F119" t="inlineStr">
        <is>
          <t>MR24_RT</t>
        </is>
      </c>
      <c r="G119" t="inlineStr">
        <is>
          <t>1</t>
        </is>
      </c>
      <c r="H119" t="inlineStr">
        <is>
          <t>Intrusivo</t>
        </is>
      </c>
      <c r="I119" t="inlineStr">
        <is>
          <t>RT1</t>
        </is>
      </c>
      <c r="J119" t="inlineStr">
        <is>
          <t>Geologia_2024=Intrusivo_1</t>
        </is>
      </c>
      <c r="K119" t="inlineStr">
        <is>
          <t>Intrusivo</t>
        </is>
      </c>
      <c r="L119" t="inlineStr">
        <is>
          <t>Intrusivo</t>
        </is>
      </c>
      <c r="M119" t="n">
        <v>4855</v>
      </c>
      <c r="N119" t="n">
        <v>29130000</v>
      </c>
      <c r="O119" t="n">
        <v>71968698</v>
      </c>
      <c r="P119" t="inlineStr"/>
      <c r="Q119" t="n">
        <v>12.55</v>
      </c>
    </row>
    <row r="120">
      <c r="A120" t="inlineStr">
        <is>
          <t>MR24</t>
        </is>
      </c>
      <c r="B120" t="inlineStr">
        <is>
          <t>SIMULACIONES_MR2024_V3</t>
        </is>
      </c>
      <c r="C120" t="inlineStr">
        <is>
          <t>toneladas (6000 m3 x MR24_BD); pct sobre toneladas</t>
        </is>
      </c>
      <c r="D120" t="inlineStr">
        <is>
          <t>periodo_XLE2WST_AMIN</t>
        </is>
      </c>
      <c r="E120" t="inlineStr">
        <is>
          <t>203839</t>
        </is>
      </c>
      <c r="F120" t="inlineStr">
        <is>
          <t>MR24_RT</t>
        </is>
      </c>
      <c r="G120" t="inlineStr">
        <is>
          <t>2</t>
        </is>
      </c>
      <c r="H120" t="inlineStr">
        <is>
          <t>Intrusivo</t>
        </is>
      </c>
      <c r="I120" t="inlineStr">
        <is>
          <t>RT2</t>
        </is>
      </c>
      <c r="J120" t="inlineStr">
        <is>
          <t>Geologia_2024=Intrusivo_2</t>
        </is>
      </c>
      <c r="K120" t="inlineStr">
        <is>
          <t>Intrusivo</t>
        </is>
      </c>
      <c r="L120" t="inlineStr">
        <is>
          <t>Intrusivo</t>
        </is>
      </c>
      <c r="M120" t="n">
        <v>420</v>
      </c>
      <c r="N120" t="n">
        <v>2520000</v>
      </c>
      <c r="O120" t="n">
        <v>6797202</v>
      </c>
      <c r="P120" t="inlineStr"/>
      <c r="Q120" t="n">
        <v>1.185</v>
      </c>
    </row>
    <row r="121">
      <c r="A121" t="inlineStr">
        <is>
          <t>MR24</t>
        </is>
      </c>
      <c r="B121" t="inlineStr">
        <is>
          <t>SIMULACIONES_MR2024_V3</t>
        </is>
      </c>
      <c r="C121" t="inlineStr">
        <is>
          <t>toneladas (6000 m3 x MR24_BD); pct sobre toneladas</t>
        </is>
      </c>
      <c r="D121" t="inlineStr">
        <is>
          <t>periodo_XLE2WST_AMIN</t>
        </is>
      </c>
      <c r="E121" t="inlineStr">
        <is>
          <t>203839</t>
        </is>
      </c>
      <c r="F121" t="inlineStr">
        <is>
          <t>MR24_RT</t>
        </is>
      </c>
      <c r="G121" t="inlineStr">
        <is>
          <t>10</t>
        </is>
      </c>
      <c r="H121" t="inlineStr">
        <is>
          <t>sin asignar</t>
        </is>
      </c>
      <c r="I121" t="inlineStr">
        <is>
          <t>Sedimentario_10</t>
        </is>
      </c>
      <c r="J121" t="inlineStr">
        <is>
          <t>Geologia_2024=Sedimentario_10 (no especifica caliza)</t>
        </is>
      </c>
      <c r="K121" t="inlineStr">
        <is>
          <t>Caliza (hipótesis: siglas C*)</t>
        </is>
      </c>
      <c r="L121" t="inlineStr">
        <is>
          <t>Sedimentario</t>
        </is>
      </c>
      <c r="M121" t="n">
        <v>1765</v>
      </c>
      <c r="N121" t="n">
        <v>10590000</v>
      </c>
      <c r="O121" t="n">
        <v>28689378</v>
      </c>
      <c r="P121" t="inlineStr"/>
      <c r="Q121" t="n">
        <v>5.003</v>
      </c>
    </row>
    <row r="122">
      <c r="A122" t="inlineStr">
        <is>
          <t>MR24</t>
        </is>
      </c>
      <c r="B122" t="inlineStr">
        <is>
          <t>SIMULACIONES_MR2024_V3</t>
        </is>
      </c>
      <c r="C122" t="inlineStr">
        <is>
          <t>toneladas (6000 m3 x MR24_BD); pct sobre toneladas</t>
        </is>
      </c>
      <c r="D122" t="inlineStr">
        <is>
          <t>periodo_XLE2WST_AMIN</t>
        </is>
      </c>
      <c r="E122" t="inlineStr">
        <is>
          <t>203839</t>
        </is>
      </c>
      <c r="F122" t="inlineStr">
        <is>
          <t>MR24_RT</t>
        </is>
      </c>
      <c r="G122" t="inlineStr">
        <is>
          <t>11</t>
        </is>
      </c>
      <c r="H122" t="inlineStr">
        <is>
          <t>sin asignar</t>
        </is>
      </c>
      <c r="I122" t="inlineStr">
        <is>
          <t>Sedimentario_11</t>
        </is>
      </c>
      <c r="J122" t="inlineStr">
        <is>
          <t>Geologia_2024=Sedimentario_11 (no especifica caliza)</t>
        </is>
      </c>
      <c r="K122" t="inlineStr">
        <is>
          <t>Caliza (hipótesis: Sedimentario; RT11~NUMEQ10, siglas C*)</t>
        </is>
      </c>
      <c r="L122" t="inlineStr">
        <is>
          <t>Sedimentario</t>
        </is>
      </c>
      <c r="M122" t="n">
        <v>10166</v>
      </c>
      <c r="N122" t="n">
        <v>60996000</v>
      </c>
      <c r="O122" t="n">
        <v>165407838</v>
      </c>
      <c r="P122" t="inlineStr"/>
      <c r="Q122" t="n">
        <v>28.845</v>
      </c>
    </row>
    <row r="123">
      <c r="A123" t="inlineStr">
        <is>
          <t>MR24</t>
        </is>
      </c>
      <c r="B123" t="inlineStr">
        <is>
          <t>SIMULACIONES_MR2024_V3</t>
        </is>
      </c>
      <c r="C123" t="inlineStr">
        <is>
          <t>toneladas (6000 m3 x MR24_BD); pct sobre toneladas</t>
        </is>
      </c>
      <c r="D123" t="inlineStr">
        <is>
          <t>periodo_XLE2WST_AMIN</t>
        </is>
      </c>
      <c r="E123" t="inlineStr">
        <is>
          <t>203839</t>
        </is>
      </c>
      <c r="F123" t="inlineStr">
        <is>
          <t>MR24_RT</t>
        </is>
      </c>
      <c r="G123" t="inlineStr">
        <is>
          <t>13</t>
        </is>
      </c>
      <c r="H123" t="inlineStr">
        <is>
          <t>sin asignar</t>
        </is>
      </c>
      <c r="I123" t="inlineStr">
        <is>
          <t>Metamorfico_13</t>
        </is>
      </c>
      <c r="J123" t="inlineStr">
        <is>
          <t>Geologia_2024=Metamorfico_13 (no distingue hornfels/mármol)</t>
        </is>
      </c>
      <c r="K123" t="inlineStr">
        <is>
          <t>Hornfels (hipótesis: siglas HG, HGS, HC)</t>
        </is>
      </c>
      <c r="L123" t="inlineStr">
        <is>
          <t>Metamorfico</t>
        </is>
      </c>
      <c r="M123" t="n">
        <v>4858</v>
      </c>
      <c r="N123" t="n">
        <v>29148000</v>
      </c>
      <c r="O123" t="n">
        <v>78902244</v>
      </c>
      <c r="P123" t="inlineStr"/>
      <c r="Q123" t="n">
        <v>13.76</v>
      </c>
    </row>
    <row r="124">
      <c r="A124" t="inlineStr">
        <is>
          <t>MR24</t>
        </is>
      </c>
      <c r="B124" t="inlineStr">
        <is>
          <t>SIMULACIONES_MR2024_V3</t>
        </is>
      </c>
      <c r="C124" t="inlineStr">
        <is>
          <t>toneladas (6000 m3 x MR24_BD); pct sobre toneladas</t>
        </is>
      </c>
      <c r="D124" t="inlineStr">
        <is>
          <t>periodo_XLE2WST_AMIN</t>
        </is>
      </c>
      <c r="E124" t="inlineStr">
        <is>
          <t>203839</t>
        </is>
      </c>
      <c r="F124" t="inlineStr">
        <is>
          <t>MR24_RT</t>
        </is>
      </c>
      <c r="G124" t="inlineStr">
        <is>
          <t>14</t>
        </is>
      </c>
      <c r="H124" t="inlineStr">
        <is>
          <t>sin asignar</t>
        </is>
      </c>
      <c r="I124" t="inlineStr">
        <is>
          <t>Metamorfico_14</t>
        </is>
      </c>
      <c r="J124" t="inlineStr">
        <is>
          <t>Geologia_2024=Metamorfico_14 (no distingue hornfels/mármol)</t>
        </is>
      </c>
      <c r="K124" t="inlineStr">
        <is>
          <t>Hornfels (hipótesis: siglas HBV, HGV, HCB, HDP; 'Diop. Hornfels'~HGV)</t>
        </is>
      </c>
      <c r="L124" t="inlineStr">
        <is>
          <t>Metamorfico</t>
        </is>
      </c>
      <c r="M124" t="n">
        <v>481</v>
      </c>
      <c r="N124" t="n">
        <v>2886000</v>
      </c>
      <c r="O124" t="n">
        <v>8189856</v>
      </c>
      <c r="P124" t="inlineStr"/>
      <c r="Q124" t="n">
        <v>1.428</v>
      </c>
    </row>
    <row r="125">
      <c r="A125" t="inlineStr">
        <is>
          <t>MR24</t>
        </is>
      </c>
      <c r="B125" t="inlineStr">
        <is>
          <t>SIMULACIONES_MR2024_V3</t>
        </is>
      </c>
      <c r="C125" t="inlineStr">
        <is>
          <t>toneladas (6000 m3 x MR24_BD); pct sobre toneladas</t>
        </is>
      </c>
      <c r="D125" t="inlineStr">
        <is>
          <t>periodo_XLE2WST_AMIN</t>
        </is>
      </c>
      <c r="E125" t="inlineStr">
        <is>
          <t>203839</t>
        </is>
      </c>
      <c r="F125" t="inlineStr">
        <is>
          <t>MR24_RT</t>
        </is>
      </c>
      <c r="G125" t="inlineStr">
        <is>
          <t>16</t>
        </is>
      </c>
      <c r="H125" t="inlineStr">
        <is>
          <t>sin asignar</t>
        </is>
      </c>
      <c r="I125" t="inlineStr">
        <is>
          <t>Metamorfico_16</t>
        </is>
      </c>
      <c r="J125" t="inlineStr">
        <is>
          <t>Geologia_2024=Metamorfico_16 (no distingue hornfels/mármol)</t>
        </is>
      </c>
      <c r="K125" t="inlineStr">
        <is>
          <t>Mármol (hipótesis: siglas MC, MG, MGS, MPA, MCGB; 'Marble'~MCGB)</t>
        </is>
      </c>
      <c r="L125" t="inlineStr">
        <is>
          <t>Metamorfico</t>
        </is>
      </c>
      <c r="M125" t="n">
        <v>12363</v>
      </c>
      <c r="N125" t="n">
        <v>74178000</v>
      </c>
      <c r="O125" t="n">
        <v>201476658</v>
      </c>
      <c r="P125" t="inlineStr"/>
      <c r="Q125" t="n">
        <v>35.135</v>
      </c>
    </row>
    <row r="126">
      <c r="A126" t="inlineStr">
        <is>
          <t>MR24</t>
        </is>
      </c>
      <c r="B126" t="inlineStr">
        <is>
          <t>SIMULACIONES_MR2024_V3</t>
        </is>
      </c>
      <c r="C126" t="inlineStr">
        <is>
          <t>toneladas (6000 m3 x MR24_BD); pct sobre toneladas</t>
        </is>
      </c>
      <c r="D126" t="inlineStr">
        <is>
          <t>periodo_XLE2WST_AMIN</t>
        </is>
      </c>
      <c r="E126" t="inlineStr">
        <is>
          <t>203839</t>
        </is>
      </c>
      <c r="F126" t="inlineStr">
        <is>
          <t>MR24_RT</t>
        </is>
      </c>
      <c r="G126" t="inlineStr">
        <is>
          <t>19</t>
        </is>
      </c>
      <c r="H126" t="inlineStr">
        <is>
          <t>sin asignar</t>
        </is>
      </c>
      <c r="I126" t="inlineStr">
        <is>
          <t>Metamorfico_19</t>
        </is>
      </c>
      <c r="J126" t="inlineStr">
        <is>
          <t>Geologia_2024=Metamorfico_19 (no distingue hornfels/mármol)</t>
        </is>
      </c>
      <c r="K126" t="inlineStr">
        <is>
          <t>Mármol (hipótesis: sigla MDP)</t>
        </is>
      </c>
      <c r="L126" t="inlineStr">
        <is>
          <t>Metamorfico</t>
        </is>
      </c>
      <c r="M126" t="n">
        <v>692</v>
      </c>
      <c r="N126" t="n">
        <v>4152000</v>
      </c>
      <c r="O126" t="n">
        <v>11802438</v>
      </c>
      <c r="P126" t="inlineStr"/>
      <c r="Q126" t="n">
        <v>2.058</v>
      </c>
    </row>
    <row r="127">
      <c r="A127" t="inlineStr">
        <is>
          <t>MR24</t>
        </is>
      </c>
      <c r="B127" t="inlineStr">
        <is>
          <t>SIMULACIONES_MR2024_V3</t>
        </is>
      </c>
      <c r="C127" t="inlineStr">
        <is>
          <t>toneladas (6000 m3 x MR24_BD); pct sobre toneladas</t>
        </is>
      </c>
      <c r="D127" t="inlineStr">
        <is>
          <t>periodo_XLE2WST_AMIN</t>
        </is>
      </c>
      <c r="E127" t="inlineStr">
        <is>
          <t>203839</t>
        </is>
      </c>
      <c r="F127" t="inlineStr">
        <is>
          <t>MR24_RT</t>
        </is>
      </c>
      <c r="G127" t="inlineStr">
        <is>
          <t>53</t>
        </is>
      </c>
      <c r="H127" t="inlineStr">
        <is>
          <t>sin asignar</t>
        </is>
      </c>
      <c r="I127" t="inlineStr">
        <is>
          <t>RT53</t>
        </is>
      </c>
      <c r="J127" t="inlineStr">
        <is>
          <t>código sin etiqueta en los datos</t>
        </is>
      </c>
      <c r="K127" t="inlineStr">
        <is>
          <t>sin hipótesis</t>
        </is>
      </c>
      <c r="L127" t="inlineStr">
        <is>
          <t>sin leyenda</t>
        </is>
      </c>
      <c r="M127" t="n">
        <v>12</v>
      </c>
      <c r="N127" t="n">
        <v>72000</v>
      </c>
      <c r="O127" t="n">
        <v>199272</v>
      </c>
      <c r="P127" t="inlineStr"/>
      <c r="Q127" t="n">
        <v>0.035</v>
      </c>
    </row>
    <row r="128">
      <c r="A128" t="inlineStr">
        <is>
          <t>MR24</t>
        </is>
      </c>
      <c r="B128" t="inlineStr">
        <is>
          <t>SIMULACIONES_MR2024_V3</t>
        </is>
      </c>
      <c r="C128" t="inlineStr">
        <is>
          <t>toneladas (6000 m3 x MR24_BD); pct sobre toneladas</t>
        </is>
      </c>
      <c r="D128" t="inlineStr">
        <is>
          <t>periodo_XLE2WST_AMIN</t>
        </is>
      </c>
      <c r="E128" t="inlineStr">
        <is>
          <t>204041</t>
        </is>
      </c>
      <c r="F128" t="inlineStr">
        <is>
          <t>MR24_RT</t>
        </is>
      </c>
      <c r="G128" t="inlineStr">
        <is>
          <t>1</t>
        </is>
      </c>
      <c r="H128" t="inlineStr">
        <is>
          <t>Intrusivo</t>
        </is>
      </c>
      <c r="I128" t="inlineStr">
        <is>
          <t>RT1</t>
        </is>
      </c>
      <c r="J128" t="inlineStr">
        <is>
          <t>Geologia_2024=Intrusivo_1</t>
        </is>
      </c>
      <c r="K128" t="inlineStr">
        <is>
          <t>Intrusivo</t>
        </is>
      </c>
      <c r="L128" t="inlineStr">
        <is>
          <t>Intrusivo</t>
        </is>
      </c>
      <c r="M128" t="n">
        <v>7114</v>
      </c>
      <c r="N128" t="n">
        <v>42684000</v>
      </c>
      <c r="O128" t="n">
        <v>106122168</v>
      </c>
      <c r="P128" t="inlineStr"/>
      <c r="Q128" t="n">
        <v>19.984</v>
      </c>
    </row>
    <row r="129">
      <c r="A129" t="inlineStr">
        <is>
          <t>MR24</t>
        </is>
      </c>
      <c r="B129" t="inlineStr">
        <is>
          <t>SIMULACIONES_MR2024_V3</t>
        </is>
      </c>
      <c r="C129" t="inlineStr">
        <is>
          <t>toneladas (6000 m3 x MR24_BD); pct sobre toneladas</t>
        </is>
      </c>
      <c r="D129" t="inlineStr">
        <is>
          <t>periodo_XLE2WST_AMIN</t>
        </is>
      </c>
      <c r="E129" t="inlineStr">
        <is>
          <t>204041</t>
        </is>
      </c>
      <c r="F129" t="inlineStr">
        <is>
          <t>MR24_RT</t>
        </is>
      </c>
      <c r="G129" t="inlineStr">
        <is>
          <t>2</t>
        </is>
      </c>
      <c r="H129" t="inlineStr">
        <is>
          <t>Intrusivo</t>
        </is>
      </c>
      <c r="I129" t="inlineStr">
        <is>
          <t>RT2</t>
        </is>
      </c>
      <c r="J129" t="inlineStr">
        <is>
          <t>Geologia_2024=Intrusivo_2</t>
        </is>
      </c>
      <c r="K129" t="inlineStr">
        <is>
          <t>Intrusivo</t>
        </is>
      </c>
      <c r="L129" t="inlineStr">
        <is>
          <t>Intrusivo</t>
        </is>
      </c>
      <c r="M129" t="n">
        <v>323</v>
      </c>
      <c r="N129" t="n">
        <v>1938000</v>
      </c>
      <c r="O129" t="n">
        <v>5212782</v>
      </c>
      <c r="P129" t="inlineStr"/>
      <c r="Q129" t="n">
        <v>0.982</v>
      </c>
    </row>
    <row r="130">
      <c r="A130" t="inlineStr">
        <is>
          <t>MR24</t>
        </is>
      </c>
      <c r="B130" t="inlineStr">
        <is>
          <t>SIMULACIONES_MR2024_V3</t>
        </is>
      </c>
      <c r="C130" t="inlineStr">
        <is>
          <t>toneladas (6000 m3 x MR24_BD); pct sobre toneladas</t>
        </is>
      </c>
      <c r="D130" t="inlineStr">
        <is>
          <t>periodo_XLE2WST_AMIN</t>
        </is>
      </c>
      <c r="E130" t="inlineStr">
        <is>
          <t>204041</t>
        </is>
      </c>
      <c r="F130" t="inlineStr">
        <is>
          <t>MR24_RT</t>
        </is>
      </c>
      <c r="G130" t="inlineStr">
        <is>
          <t>10</t>
        </is>
      </c>
      <c r="H130" t="inlineStr">
        <is>
          <t>sin asignar</t>
        </is>
      </c>
      <c r="I130" t="inlineStr">
        <is>
          <t>Sedimentario_10</t>
        </is>
      </c>
      <c r="J130" t="inlineStr">
        <is>
          <t>Geologia_2024=Sedimentario_10 (no especifica caliza)</t>
        </is>
      </c>
      <c r="K130" t="inlineStr">
        <is>
          <t>Caliza (hipótesis: siglas C*)</t>
        </is>
      </c>
      <c r="L130" t="inlineStr">
        <is>
          <t>Sedimentario</t>
        </is>
      </c>
      <c r="M130" t="n">
        <v>3924</v>
      </c>
      <c r="N130" t="n">
        <v>23544000</v>
      </c>
      <c r="O130" t="n">
        <v>63854064</v>
      </c>
      <c r="P130" t="inlineStr"/>
      <c r="Q130" t="n">
        <v>12.025</v>
      </c>
    </row>
    <row r="131">
      <c r="A131" t="inlineStr">
        <is>
          <t>MR24</t>
        </is>
      </c>
      <c r="B131" t="inlineStr">
        <is>
          <t>SIMULACIONES_MR2024_V3</t>
        </is>
      </c>
      <c r="C131" t="inlineStr">
        <is>
          <t>toneladas (6000 m3 x MR24_BD); pct sobre toneladas</t>
        </is>
      </c>
      <c r="D131" t="inlineStr">
        <is>
          <t>periodo_XLE2WST_AMIN</t>
        </is>
      </c>
      <c r="E131" t="inlineStr">
        <is>
          <t>204041</t>
        </is>
      </c>
      <c r="F131" t="inlineStr">
        <is>
          <t>MR24_RT</t>
        </is>
      </c>
      <c r="G131" t="inlineStr">
        <is>
          <t>11</t>
        </is>
      </c>
      <c r="H131" t="inlineStr">
        <is>
          <t>sin asignar</t>
        </is>
      </c>
      <c r="I131" t="inlineStr">
        <is>
          <t>Sedimentario_11</t>
        </is>
      </c>
      <c r="J131" t="inlineStr">
        <is>
          <t>Geologia_2024=Sedimentario_11 (no especifica caliza)</t>
        </is>
      </c>
      <c r="K131" t="inlineStr">
        <is>
          <t>Caliza (hipótesis: Sedimentario; RT11~NUMEQ10, siglas C*)</t>
        </is>
      </c>
      <c r="L131" t="inlineStr">
        <is>
          <t>Sedimentario</t>
        </is>
      </c>
      <c r="M131" t="n">
        <v>11209</v>
      </c>
      <c r="N131" t="n">
        <v>67254000</v>
      </c>
      <c r="O131" t="n">
        <v>182177388</v>
      </c>
      <c r="P131" t="inlineStr"/>
      <c r="Q131" t="n">
        <v>34.307</v>
      </c>
    </row>
    <row r="132">
      <c r="A132" t="inlineStr">
        <is>
          <t>MR24</t>
        </is>
      </c>
      <c r="B132" t="inlineStr">
        <is>
          <t>SIMULACIONES_MR2024_V3</t>
        </is>
      </c>
      <c r="C132" t="inlineStr">
        <is>
          <t>toneladas (6000 m3 x MR24_BD); pct sobre toneladas</t>
        </is>
      </c>
      <c r="D132" t="inlineStr">
        <is>
          <t>periodo_XLE2WST_AMIN</t>
        </is>
      </c>
      <c r="E132" t="inlineStr">
        <is>
          <t>204041</t>
        </is>
      </c>
      <c r="F132" t="inlineStr">
        <is>
          <t>MR24_RT</t>
        </is>
      </c>
      <c r="G132" t="inlineStr">
        <is>
          <t>13</t>
        </is>
      </c>
      <c r="H132" t="inlineStr">
        <is>
          <t>sin asignar</t>
        </is>
      </c>
      <c r="I132" t="inlineStr">
        <is>
          <t>Metamorfico_13</t>
        </is>
      </c>
      <c r="J132" t="inlineStr">
        <is>
          <t>Geologia_2024=Metamorfico_13 (no distingue hornfels/mármol)</t>
        </is>
      </c>
      <c r="K132" t="inlineStr">
        <is>
          <t>Hornfels (hipótesis: siglas HG, HGS, HC)</t>
        </is>
      </c>
      <c r="L132" t="inlineStr">
        <is>
          <t>Metamorfico</t>
        </is>
      </c>
      <c r="M132" t="n">
        <v>5071</v>
      </c>
      <c r="N132" t="n">
        <v>30426000</v>
      </c>
      <c r="O132" t="n">
        <v>82058970</v>
      </c>
      <c r="P132" t="inlineStr"/>
      <c r="Q132" t="n">
        <v>15.453</v>
      </c>
    </row>
    <row r="133">
      <c r="A133" t="inlineStr">
        <is>
          <t>MR24</t>
        </is>
      </c>
      <c r="B133" t="inlineStr">
        <is>
          <t>SIMULACIONES_MR2024_V3</t>
        </is>
      </c>
      <c r="C133" t="inlineStr">
        <is>
          <t>toneladas (6000 m3 x MR24_BD); pct sobre toneladas</t>
        </is>
      </c>
      <c r="D133" t="inlineStr">
        <is>
          <t>periodo_XLE2WST_AMIN</t>
        </is>
      </c>
      <c r="E133" t="inlineStr">
        <is>
          <t>204041</t>
        </is>
      </c>
      <c r="F133" t="inlineStr">
        <is>
          <t>MR24_RT</t>
        </is>
      </c>
      <c r="G133" t="inlineStr">
        <is>
          <t>14</t>
        </is>
      </c>
      <c r="H133" t="inlineStr">
        <is>
          <t>sin asignar</t>
        </is>
      </c>
      <c r="I133" t="inlineStr">
        <is>
          <t>Metamorfico_14</t>
        </is>
      </c>
      <c r="J133" t="inlineStr">
        <is>
          <t>Geologia_2024=Metamorfico_14 (no distingue hornfels/mármol)</t>
        </is>
      </c>
      <c r="K133" t="inlineStr">
        <is>
          <t>Hornfels (hipótesis: siglas HBV, HGV, HCB, HDP; 'Diop. Hornfels'~HGV)</t>
        </is>
      </c>
      <c r="L133" t="inlineStr">
        <is>
          <t>Metamorfico</t>
        </is>
      </c>
      <c r="M133" t="n">
        <v>296</v>
      </c>
      <c r="N133" t="n">
        <v>1776000</v>
      </c>
      <c r="O133" t="n">
        <v>4894014</v>
      </c>
      <c r="P133" t="inlineStr"/>
      <c r="Q133" t="n">
        <v>0.922</v>
      </c>
    </row>
    <row r="134">
      <c r="A134" t="inlineStr">
        <is>
          <t>MR24</t>
        </is>
      </c>
      <c r="B134" t="inlineStr">
        <is>
          <t>SIMULACIONES_MR2024_V3</t>
        </is>
      </c>
      <c r="C134" t="inlineStr">
        <is>
          <t>toneladas (6000 m3 x MR24_BD); pct sobre toneladas</t>
        </is>
      </c>
      <c r="D134" t="inlineStr">
        <is>
          <t>periodo_XLE2WST_AMIN</t>
        </is>
      </c>
      <c r="E134" t="inlineStr">
        <is>
          <t>204041</t>
        </is>
      </c>
      <c r="F134" t="inlineStr">
        <is>
          <t>MR24_RT</t>
        </is>
      </c>
      <c r="G134" t="inlineStr">
        <is>
          <t>16</t>
        </is>
      </c>
      <c r="H134" t="inlineStr">
        <is>
          <t>sin asignar</t>
        </is>
      </c>
      <c r="I134" t="inlineStr">
        <is>
          <t>Metamorfico_16</t>
        </is>
      </c>
      <c r="J134" t="inlineStr">
        <is>
          <t>Geologia_2024=Metamorfico_16 (no distingue hornfels/mármol)</t>
        </is>
      </c>
      <c r="K134" t="inlineStr">
        <is>
          <t>Mármol (hipótesis: siglas MC, MG, MGS, MPA, MCGB; 'Marble'~MCGB)</t>
        </is>
      </c>
      <c r="L134" t="inlineStr">
        <is>
          <t>Metamorfico</t>
        </is>
      </c>
      <c r="M134" t="n">
        <v>5256</v>
      </c>
      <c r="N134" t="n">
        <v>31536000</v>
      </c>
      <c r="O134" t="n">
        <v>85600872</v>
      </c>
      <c r="P134" t="inlineStr"/>
      <c r="Q134" t="n">
        <v>16.12</v>
      </c>
    </row>
    <row r="135">
      <c r="A135" t="inlineStr">
        <is>
          <t>MR24</t>
        </is>
      </c>
      <c r="B135" t="inlineStr">
        <is>
          <t>SIMULACIONES_MR2024_V3</t>
        </is>
      </c>
      <c r="C135" t="inlineStr">
        <is>
          <t>toneladas (6000 m3 x MR24_BD); pct sobre toneladas</t>
        </is>
      </c>
      <c r="D135" t="inlineStr">
        <is>
          <t>periodo_XLE2WST_AMIN</t>
        </is>
      </c>
      <c r="E135" t="inlineStr">
        <is>
          <t>204041</t>
        </is>
      </c>
      <c r="F135" t="inlineStr">
        <is>
          <t>MR24_RT</t>
        </is>
      </c>
      <c r="G135" t="inlineStr">
        <is>
          <t>19</t>
        </is>
      </c>
      <c r="H135" t="inlineStr">
        <is>
          <t>sin asignar</t>
        </is>
      </c>
      <c r="I135" t="inlineStr">
        <is>
          <t>Metamorfico_19</t>
        </is>
      </c>
      <c r="J135" t="inlineStr">
        <is>
          <t>Geologia_2024=Metamorfico_19 (no distingue hornfels/mármol)</t>
        </is>
      </c>
      <c r="K135" t="inlineStr">
        <is>
          <t>Mármol (hipótesis: sigla MDP)</t>
        </is>
      </c>
      <c r="L135" t="inlineStr">
        <is>
          <t>Metamorfico</t>
        </is>
      </c>
      <c r="M135" t="n">
        <v>57</v>
      </c>
      <c r="N135" t="n">
        <v>342000</v>
      </c>
      <c r="O135" t="n">
        <v>962508</v>
      </c>
      <c r="P135" t="inlineStr"/>
      <c r="Q135" t="n">
        <v>0.181</v>
      </c>
    </row>
    <row r="136">
      <c r="A136" t="inlineStr">
        <is>
          <t>MR24</t>
        </is>
      </c>
      <c r="B136" t="inlineStr">
        <is>
          <t>SIMULACIONES_MR2024_V3</t>
        </is>
      </c>
      <c r="C136" t="inlineStr">
        <is>
          <t>toneladas (6000 m3 x MR24_BD); pct sobre toneladas</t>
        </is>
      </c>
      <c r="D136" t="inlineStr">
        <is>
          <t>periodo_XLE2WST_AMIN</t>
        </is>
      </c>
      <c r="E136" t="inlineStr">
        <is>
          <t>204041</t>
        </is>
      </c>
      <c r="F136" t="inlineStr">
        <is>
          <t>MR24_RT</t>
        </is>
      </c>
      <c r="G136" t="inlineStr">
        <is>
          <t>53</t>
        </is>
      </c>
      <c r="H136" t="inlineStr">
        <is>
          <t>sin asignar</t>
        </is>
      </c>
      <c r="I136" t="inlineStr">
        <is>
          <t>RT53</t>
        </is>
      </c>
      <c r="J136" t="inlineStr">
        <is>
          <t>código sin etiqueta en los datos</t>
        </is>
      </c>
      <c r="K136" t="inlineStr">
        <is>
          <t>sin hipótesis</t>
        </is>
      </c>
      <c r="L136" t="inlineStr">
        <is>
          <t>sin leyenda</t>
        </is>
      </c>
      <c r="M136" t="n">
        <v>9</v>
      </c>
      <c r="N136" t="n">
        <v>54000</v>
      </c>
      <c r="O136" t="n">
        <v>145518</v>
      </c>
      <c r="P136" t="inlineStr"/>
      <c r="Q136" t="n">
        <v>0.027</v>
      </c>
    </row>
    <row r="137">
      <c r="A137" t="inlineStr">
        <is>
          <t>MR24</t>
        </is>
      </c>
      <c r="B137" t="inlineStr">
        <is>
          <t>SIMULACIONES_MR2024_V3</t>
        </is>
      </c>
      <c r="C137" t="inlineStr">
        <is>
          <t>toneladas (6000 m3 x MR24_BD); pct sobre toneladas</t>
        </is>
      </c>
      <c r="D137" t="inlineStr">
        <is>
          <t>periodo_XLE2WST_AMIN</t>
        </is>
      </c>
      <c r="E137" t="inlineStr">
        <is>
          <t>204245</t>
        </is>
      </c>
      <c r="F137" t="inlineStr">
        <is>
          <t>MR24_RT</t>
        </is>
      </c>
      <c r="G137" t="inlineStr">
        <is>
          <t>1</t>
        </is>
      </c>
      <c r="H137" t="inlineStr">
        <is>
          <t>Intrusivo</t>
        </is>
      </c>
      <c r="I137" t="inlineStr">
        <is>
          <t>RT1</t>
        </is>
      </c>
      <c r="J137" t="inlineStr">
        <is>
          <t>Geologia_2024=Intrusivo_1</t>
        </is>
      </c>
      <c r="K137" t="inlineStr">
        <is>
          <t>Intrusivo</t>
        </is>
      </c>
      <c r="L137" t="inlineStr">
        <is>
          <t>Intrusivo</t>
        </is>
      </c>
      <c r="M137" t="n">
        <v>5754</v>
      </c>
      <c r="N137" t="n">
        <v>34524000</v>
      </c>
      <c r="O137" t="n">
        <v>84426426</v>
      </c>
      <c r="P137" t="inlineStr"/>
      <c r="Q137" t="n">
        <v>11.743</v>
      </c>
    </row>
    <row r="138">
      <c r="A138" t="inlineStr">
        <is>
          <t>MR24</t>
        </is>
      </c>
      <c r="B138" t="inlineStr">
        <is>
          <t>SIMULACIONES_MR2024_V3</t>
        </is>
      </c>
      <c r="C138" t="inlineStr">
        <is>
          <t>toneladas (6000 m3 x MR24_BD); pct sobre toneladas</t>
        </is>
      </c>
      <c r="D138" t="inlineStr">
        <is>
          <t>periodo_XLE2WST_AMIN</t>
        </is>
      </c>
      <c r="E138" t="inlineStr">
        <is>
          <t>204245</t>
        </is>
      </c>
      <c r="F138" t="inlineStr">
        <is>
          <t>MR24_RT</t>
        </is>
      </c>
      <c r="G138" t="inlineStr">
        <is>
          <t>2</t>
        </is>
      </c>
      <c r="H138" t="inlineStr">
        <is>
          <t>Intrusivo</t>
        </is>
      </c>
      <c r="I138" t="inlineStr">
        <is>
          <t>RT2</t>
        </is>
      </c>
      <c r="J138" t="inlineStr">
        <is>
          <t>Geologia_2024=Intrusivo_2</t>
        </is>
      </c>
      <c r="K138" t="inlineStr">
        <is>
          <t>Intrusivo</t>
        </is>
      </c>
      <c r="L138" t="inlineStr">
        <is>
          <t>Intrusivo</t>
        </is>
      </c>
      <c r="M138" t="n">
        <v>580</v>
      </c>
      <c r="N138" t="n">
        <v>3480000</v>
      </c>
      <c r="O138" t="n">
        <v>9360870</v>
      </c>
      <c r="P138" t="inlineStr"/>
      <c r="Q138" t="n">
        <v>1.302</v>
      </c>
    </row>
    <row r="139">
      <c r="A139" t="inlineStr">
        <is>
          <t>MR24</t>
        </is>
      </c>
      <c r="B139" t="inlineStr">
        <is>
          <t>SIMULACIONES_MR2024_V3</t>
        </is>
      </c>
      <c r="C139" t="inlineStr">
        <is>
          <t>toneladas (6000 m3 x MR24_BD); pct sobre toneladas</t>
        </is>
      </c>
      <c r="D139" t="inlineStr">
        <is>
          <t>periodo_XLE2WST_AMIN</t>
        </is>
      </c>
      <c r="E139" t="inlineStr">
        <is>
          <t>204245</t>
        </is>
      </c>
      <c r="F139" t="inlineStr">
        <is>
          <t>MR24_RT</t>
        </is>
      </c>
      <c r="G139" t="inlineStr">
        <is>
          <t>10</t>
        </is>
      </c>
      <c r="H139" t="inlineStr">
        <is>
          <t>sin asignar</t>
        </is>
      </c>
      <c r="I139" t="inlineStr">
        <is>
          <t>Sedimentario_10</t>
        </is>
      </c>
      <c r="J139" t="inlineStr">
        <is>
          <t>Geologia_2024=Sedimentario_10 (no especifica caliza)</t>
        </is>
      </c>
      <c r="K139" t="inlineStr">
        <is>
          <t>Caliza (hipótesis: siglas C*)</t>
        </is>
      </c>
      <c r="L139" t="inlineStr">
        <is>
          <t>Sedimentario</t>
        </is>
      </c>
      <c r="M139" t="n">
        <v>5068</v>
      </c>
      <c r="N139" t="n">
        <v>30408000</v>
      </c>
      <c r="O139" t="n">
        <v>82462710</v>
      </c>
      <c r="P139" t="inlineStr"/>
      <c r="Q139" t="n">
        <v>11.47</v>
      </c>
    </row>
    <row r="140">
      <c r="A140" t="inlineStr">
        <is>
          <t>MR24</t>
        </is>
      </c>
      <c r="B140" t="inlineStr">
        <is>
          <t>SIMULACIONES_MR2024_V3</t>
        </is>
      </c>
      <c r="C140" t="inlineStr">
        <is>
          <t>toneladas (6000 m3 x MR24_BD); pct sobre toneladas</t>
        </is>
      </c>
      <c r="D140" t="inlineStr">
        <is>
          <t>periodo_XLE2WST_AMIN</t>
        </is>
      </c>
      <c r="E140" t="inlineStr">
        <is>
          <t>204245</t>
        </is>
      </c>
      <c r="F140" t="inlineStr">
        <is>
          <t>MR24_RT</t>
        </is>
      </c>
      <c r="G140" t="inlineStr">
        <is>
          <t>11</t>
        </is>
      </c>
      <c r="H140" t="inlineStr">
        <is>
          <t>sin asignar</t>
        </is>
      </c>
      <c r="I140" t="inlineStr">
        <is>
          <t>Sedimentario_11</t>
        </is>
      </c>
      <c r="J140" t="inlineStr">
        <is>
          <t>Geologia_2024=Sedimentario_11 (no especifica caliza)</t>
        </is>
      </c>
      <c r="K140" t="inlineStr">
        <is>
          <t>Caliza (hipótesis: Sedimentario; RT11~NUMEQ10, siglas C*)</t>
        </is>
      </c>
      <c r="L140" t="inlineStr">
        <is>
          <t>Sedimentario</t>
        </is>
      </c>
      <c r="M140" t="n">
        <v>4167</v>
      </c>
      <c r="N140" t="n">
        <v>25002000</v>
      </c>
      <c r="O140" t="n">
        <v>67747746</v>
      </c>
      <c r="P140" t="inlineStr"/>
      <c r="Q140" t="n">
        <v>9.423999999999999</v>
      </c>
    </row>
    <row r="141">
      <c r="A141" t="inlineStr">
        <is>
          <t>MR24</t>
        </is>
      </c>
      <c r="B141" t="inlineStr">
        <is>
          <t>SIMULACIONES_MR2024_V3</t>
        </is>
      </c>
      <c r="C141" t="inlineStr">
        <is>
          <t>toneladas (6000 m3 x MR24_BD); pct sobre toneladas</t>
        </is>
      </c>
      <c r="D141" t="inlineStr">
        <is>
          <t>periodo_XLE2WST_AMIN</t>
        </is>
      </c>
      <c r="E141" t="inlineStr">
        <is>
          <t>204245</t>
        </is>
      </c>
      <c r="F141" t="inlineStr">
        <is>
          <t>MR24_RT</t>
        </is>
      </c>
      <c r="G141" t="inlineStr">
        <is>
          <t>13</t>
        </is>
      </c>
      <c r="H141" t="inlineStr">
        <is>
          <t>sin asignar</t>
        </is>
      </c>
      <c r="I141" t="inlineStr">
        <is>
          <t>Metamorfico_13</t>
        </is>
      </c>
      <c r="J141" t="inlineStr">
        <is>
          <t>Geologia_2024=Metamorfico_13 (no distingue hornfels/mármol)</t>
        </is>
      </c>
      <c r="K141" t="inlineStr">
        <is>
          <t>Hornfels (hipótesis: siglas HG, HGS, HC)</t>
        </is>
      </c>
      <c r="L141" t="inlineStr">
        <is>
          <t>Metamorfico</t>
        </is>
      </c>
      <c r="M141" t="n">
        <v>5619</v>
      </c>
      <c r="N141" t="n">
        <v>33714000</v>
      </c>
      <c r="O141" t="n">
        <v>91413960</v>
      </c>
      <c r="P141" t="inlineStr"/>
      <c r="Q141" t="n">
        <v>12.715</v>
      </c>
    </row>
    <row r="142">
      <c r="A142" t="inlineStr">
        <is>
          <t>MR24</t>
        </is>
      </c>
      <c r="B142" t="inlineStr">
        <is>
          <t>SIMULACIONES_MR2024_V3</t>
        </is>
      </c>
      <c r="C142" t="inlineStr">
        <is>
          <t>toneladas (6000 m3 x MR24_BD); pct sobre toneladas</t>
        </is>
      </c>
      <c r="D142" t="inlineStr">
        <is>
          <t>periodo_XLE2WST_AMIN</t>
        </is>
      </c>
      <c r="E142" t="inlineStr">
        <is>
          <t>204245</t>
        </is>
      </c>
      <c r="F142" t="inlineStr">
        <is>
          <t>MR24_RT</t>
        </is>
      </c>
      <c r="G142" t="inlineStr">
        <is>
          <t>14</t>
        </is>
      </c>
      <c r="H142" t="inlineStr">
        <is>
          <t>sin asignar</t>
        </is>
      </c>
      <c r="I142" t="inlineStr">
        <is>
          <t>Metamorfico_14</t>
        </is>
      </c>
      <c r="J142" t="inlineStr">
        <is>
          <t>Geologia_2024=Metamorfico_14 (no distingue hornfels/mármol)</t>
        </is>
      </c>
      <c r="K142" t="inlineStr">
        <is>
          <t>Hornfels (hipótesis: siglas HBV, HGV, HCB, HDP; 'Diop. Hornfels'~HGV)</t>
        </is>
      </c>
      <c r="L142" t="inlineStr">
        <is>
          <t>Metamorfico</t>
        </is>
      </c>
      <c r="M142" t="n">
        <v>864</v>
      </c>
      <c r="N142" t="n">
        <v>5184000</v>
      </c>
      <c r="O142" t="n">
        <v>14798730</v>
      </c>
      <c r="P142" t="inlineStr"/>
      <c r="Q142" t="n">
        <v>2.058</v>
      </c>
    </row>
    <row r="143">
      <c r="A143" t="inlineStr">
        <is>
          <t>MR24</t>
        </is>
      </c>
      <c r="B143" t="inlineStr">
        <is>
          <t>SIMULACIONES_MR2024_V3</t>
        </is>
      </c>
      <c r="C143" t="inlineStr">
        <is>
          <t>toneladas (6000 m3 x MR24_BD); pct sobre toneladas</t>
        </is>
      </c>
      <c r="D143" t="inlineStr">
        <is>
          <t>periodo_XLE2WST_AMIN</t>
        </is>
      </c>
      <c r="E143" t="inlineStr">
        <is>
          <t>204245</t>
        </is>
      </c>
      <c r="F143" t="inlineStr">
        <is>
          <t>MR24_RT</t>
        </is>
      </c>
      <c r="G143" t="inlineStr">
        <is>
          <t>16</t>
        </is>
      </c>
      <c r="H143" t="inlineStr">
        <is>
          <t>sin asignar</t>
        </is>
      </c>
      <c r="I143" t="inlineStr">
        <is>
          <t>Metamorfico_16</t>
        </is>
      </c>
      <c r="J143" t="inlineStr">
        <is>
          <t>Geologia_2024=Metamorfico_16 (no distingue hornfels/mármol)</t>
        </is>
      </c>
      <c r="K143" t="inlineStr">
        <is>
          <t>Mármol (hipótesis: siglas MC, MG, MGS, MPA, MCGB; 'Marble'~MCGB)</t>
        </is>
      </c>
      <c r="L143" t="inlineStr">
        <is>
          <t>Metamorfico</t>
        </is>
      </c>
      <c r="M143" t="n">
        <v>21832</v>
      </c>
      <c r="N143" t="n">
        <v>130992000</v>
      </c>
      <c r="O143" t="n">
        <v>355604100</v>
      </c>
      <c r="P143" t="inlineStr"/>
      <c r="Q143" t="n">
        <v>49.464</v>
      </c>
    </row>
    <row r="144">
      <c r="A144" t="inlineStr">
        <is>
          <t>MR24</t>
        </is>
      </c>
      <c r="B144" t="inlineStr">
        <is>
          <t>SIMULACIONES_MR2024_V3</t>
        </is>
      </c>
      <c r="C144" t="inlineStr">
        <is>
          <t>toneladas (6000 m3 x MR24_BD); pct sobre toneladas</t>
        </is>
      </c>
      <c r="D144" t="inlineStr">
        <is>
          <t>periodo_XLE2WST_AMIN</t>
        </is>
      </c>
      <c r="E144" t="inlineStr">
        <is>
          <t>204245</t>
        </is>
      </c>
      <c r="F144" t="inlineStr">
        <is>
          <t>MR24_RT</t>
        </is>
      </c>
      <c r="G144" t="inlineStr">
        <is>
          <t>19</t>
        </is>
      </c>
      <c r="H144" t="inlineStr">
        <is>
          <t>sin asignar</t>
        </is>
      </c>
      <c r="I144" t="inlineStr">
        <is>
          <t>Metamorfico_19</t>
        </is>
      </c>
      <c r="J144" t="inlineStr">
        <is>
          <t>Geologia_2024=Metamorfico_19 (no distingue hornfels/mármol)</t>
        </is>
      </c>
      <c r="K144" t="inlineStr">
        <is>
          <t>Mármol (hipótesis: sigla MDP)</t>
        </is>
      </c>
      <c r="L144" t="inlineStr">
        <is>
          <t>Metamorfico</t>
        </is>
      </c>
      <c r="M144" t="n">
        <v>762</v>
      </c>
      <c r="N144" t="n">
        <v>4572000</v>
      </c>
      <c r="O144" t="n">
        <v>12829626</v>
      </c>
      <c r="P144" t="inlineStr"/>
      <c r="Q144" t="n">
        <v>1.785</v>
      </c>
    </row>
    <row r="145">
      <c r="A145" t="inlineStr">
        <is>
          <t>MR24</t>
        </is>
      </c>
      <c r="B145" t="inlineStr">
        <is>
          <t>SIMULACIONES_MR2024_V3</t>
        </is>
      </c>
      <c r="C145" t="inlineStr">
        <is>
          <t>toneladas (6000 m3 x MR24_BD); pct sobre toneladas</t>
        </is>
      </c>
      <c r="D145" t="inlineStr">
        <is>
          <t>periodo_XLE2WST_AMIN</t>
        </is>
      </c>
      <c r="E145" t="inlineStr">
        <is>
          <t>204245</t>
        </is>
      </c>
      <c r="F145" t="inlineStr">
        <is>
          <t>MR24_RT</t>
        </is>
      </c>
      <c r="G145" t="inlineStr">
        <is>
          <t>53</t>
        </is>
      </c>
      <c r="H145" t="inlineStr">
        <is>
          <t>sin asignar</t>
        </is>
      </c>
      <c r="I145" t="inlineStr">
        <is>
          <t>RT53</t>
        </is>
      </c>
      <c r="J145" t="inlineStr">
        <is>
          <t>código sin etiqueta en los datos</t>
        </is>
      </c>
      <c r="K145" t="inlineStr">
        <is>
          <t>sin hipótesis</t>
        </is>
      </c>
      <c r="L145" t="inlineStr">
        <is>
          <t>sin leyenda</t>
        </is>
      </c>
      <c r="M145" t="n">
        <v>17</v>
      </c>
      <c r="N145" t="n">
        <v>102000</v>
      </c>
      <c r="O145" t="n">
        <v>277608</v>
      </c>
      <c r="P145" t="inlineStr"/>
      <c r="Q145" t="n">
        <v>0.039</v>
      </c>
    </row>
    <row r="146">
      <c r="A146" t="inlineStr">
        <is>
          <t>MR24</t>
        </is>
      </c>
      <c r="B146" t="inlineStr">
        <is>
          <t>SIMULACIONES_MR2024_V3</t>
        </is>
      </c>
      <c r="C146" t="inlineStr">
        <is>
          <t>toneladas (6000 m3 x MR24_BD); pct sobre toneladas</t>
        </is>
      </c>
      <c r="D146" t="inlineStr">
        <is>
          <t>periodo_XLE2WST_AMIN</t>
        </is>
      </c>
      <c r="E146" t="inlineStr">
        <is>
          <t>204649</t>
        </is>
      </c>
      <c r="F146" t="inlineStr">
        <is>
          <t>MR24_RT</t>
        </is>
      </c>
      <c r="G146" t="inlineStr">
        <is>
          <t>1</t>
        </is>
      </c>
      <c r="H146" t="inlineStr">
        <is>
          <t>Intrusivo</t>
        </is>
      </c>
      <c r="I146" t="inlineStr">
        <is>
          <t>RT1</t>
        </is>
      </c>
      <c r="J146" t="inlineStr">
        <is>
          <t>Geologia_2024=Intrusivo_1</t>
        </is>
      </c>
      <c r="K146" t="inlineStr">
        <is>
          <t>Intrusivo</t>
        </is>
      </c>
      <c r="L146" t="inlineStr">
        <is>
          <t>Intrusivo</t>
        </is>
      </c>
      <c r="M146" t="n">
        <v>7286</v>
      </c>
      <c r="N146" t="n">
        <v>43716000</v>
      </c>
      <c r="O146" t="n">
        <v>107308650</v>
      </c>
      <c r="P146" t="inlineStr"/>
      <c r="Q146" t="n">
        <v>58.636</v>
      </c>
    </row>
    <row r="147">
      <c r="A147" t="inlineStr">
        <is>
          <t>MR24</t>
        </is>
      </c>
      <c r="B147" t="inlineStr">
        <is>
          <t>SIMULACIONES_MR2024_V3</t>
        </is>
      </c>
      <c r="C147" t="inlineStr">
        <is>
          <t>toneladas (6000 m3 x MR24_BD); pct sobre toneladas</t>
        </is>
      </c>
      <c r="D147" t="inlineStr">
        <is>
          <t>periodo_XLE2WST_AMIN</t>
        </is>
      </c>
      <c r="E147" t="inlineStr">
        <is>
          <t>204649</t>
        </is>
      </c>
      <c r="F147" t="inlineStr">
        <is>
          <t>MR24_RT</t>
        </is>
      </c>
      <c r="G147" t="inlineStr">
        <is>
          <t>2</t>
        </is>
      </c>
      <c r="H147" t="inlineStr">
        <is>
          <t>Intrusivo</t>
        </is>
      </c>
      <c r="I147" t="inlineStr">
        <is>
          <t>RT2</t>
        </is>
      </c>
      <c r="J147" t="inlineStr">
        <is>
          <t>Geologia_2024=Intrusivo_2</t>
        </is>
      </c>
      <c r="K147" t="inlineStr">
        <is>
          <t>Intrusivo</t>
        </is>
      </c>
      <c r="L147" t="inlineStr">
        <is>
          <t>Intrusivo</t>
        </is>
      </c>
      <c r="M147" t="n">
        <v>66</v>
      </c>
      <c r="N147" t="n">
        <v>396000</v>
      </c>
      <c r="O147" t="n">
        <v>1085940</v>
      </c>
      <c r="P147" t="inlineStr"/>
      <c r="Q147" t="n">
        <v>0.593</v>
      </c>
    </row>
    <row r="148">
      <c r="A148" t="inlineStr">
        <is>
          <t>MR24</t>
        </is>
      </c>
      <c r="B148" t="inlineStr">
        <is>
          <t>SIMULACIONES_MR2024_V3</t>
        </is>
      </c>
      <c r="C148" t="inlineStr">
        <is>
          <t>toneladas (6000 m3 x MR24_BD); pct sobre toneladas</t>
        </is>
      </c>
      <c r="D148" t="inlineStr">
        <is>
          <t>periodo_XLE2WST_AMIN</t>
        </is>
      </c>
      <c r="E148" t="inlineStr">
        <is>
          <t>204649</t>
        </is>
      </c>
      <c r="F148" t="inlineStr">
        <is>
          <t>MR24_RT</t>
        </is>
      </c>
      <c r="G148" t="inlineStr">
        <is>
          <t>13</t>
        </is>
      </c>
      <c r="H148" t="inlineStr">
        <is>
          <t>sin asignar</t>
        </is>
      </c>
      <c r="I148" t="inlineStr">
        <is>
          <t>Metamorfico_13</t>
        </is>
      </c>
      <c r="J148" t="inlineStr">
        <is>
          <t>Geologia_2024=Metamorfico_13 (no distingue hornfels/mármol)</t>
        </is>
      </c>
      <c r="K148" t="inlineStr">
        <is>
          <t>Hornfels (hipótesis: siglas HG, HGS, HC)</t>
        </is>
      </c>
      <c r="L148" t="inlineStr">
        <is>
          <t>Metamorfico</t>
        </is>
      </c>
      <c r="M148" t="n">
        <v>33</v>
      </c>
      <c r="N148" t="n">
        <v>198000</v>
      </c>
      <c r="O148" t="n">
        <v>545148</v>
      </c>
      <c r="P148" t="inlineStr"/>
      <c r="Q148" t="n">
        <v>0.298</v>
      </c>
    </row>
    <row r="149">
      <c r="A149" t="inlineStr">
        <is>
          <t>MR24</t>
        </is>
      </c>
      <c r="B149" t="inlineStr">
        <is>
          <t>SIMULACIONES_MR2024_V3</t>
        </is>
      </c>
      <c r="C149" t="inlineStr">
        <is>
          <t>toneladas (6000 m3 x MR24_BD); pct sobre toneladas</t>
        </is>
      </c>
      <c r="D149" t="inlineStr">
        <is>
          <t>periodo_XLE2WST_AMIN</t>
        </is>
      </c>
      <c r="E149" t="inlineStr">
        <is>
          <t>204649</t>
        </is>
      </c>
      <c r="F149" t="inlineStr">
        <is>
          <t>MR24_RT</t>
        </is>
      </c>
      <c r="G149" t="inlineStr">
        <is>
          <t>14</t>
        </is>
      </c>
      <c r="H149" t="inlineStr">
        <is>
          <t>sin asignar</t>
        </is>
      </c>
      <c r="I149" t="inlineStr">
        <is>
          <t>Metamorfico_14</t>
        </is>
      </c>
      <c r="J149" t="inlineStr">
        <is>
          <t>Geologia_2024=Metamorfico_14 (no distingue hornfels/mármol)</t>
        </is>
      </c>
      <c r="K149" t="inlineStr">
        <is>
          <t>Hornfels (hipótesis: siglas HBV, HGV, HCB, HDP; 'Diop. Hornfels'~HGV)</t>
        </is>
      </c>
      <c r="L149" t="inlineStr">
        <is>
          <t>Metamorfico</t>
        </is>
      </c>
      <c r="M149" t="n">
        <v>4</v>
      </c>
      <c r="N149" t="n">
        <v>24000</v>
      </c>
      <c r="O149" t="n">
        <v>68286</v>
      </c>
      <c r="P149" t="inlineStr"/>
      <c r="Q149" t="n">
        <v>0.037</v>
      </c>
    </row>
    <row r="150">
      <c r="A150" t="inlineStr">
        <is>
          <t>MR24</t>
        </is>
      </c>
      <c r="B150" t="inlineStr">
        <is>
          <t>SIMULACIONES_MR2024_V3</t>
        </is>
      </c>
      <c r="C150" t="inlineStr">
        <is>
          <t>toneladas (6000 m3 x MR24_BD); pct sobre toneladas</t>
        </is>
      </c>
      <c r="D150" t="inlineStr">
        <is>
          <t>periodo_XLE2WST_AMIN</t>
        </is>
      </c>
      <c r="E150" t="inlineStr">
        <is>
          <t>204649</t>
        </is>
      </c>
      <c r="F150" t="inlineStr">
        <is>
          <t>MR24_RT</t>
        </is>
      </c>
      <c r="G150" t="inlineStr">
        <is>
          <t>16</t>
        </is>
      </c>
      <c r="H150" t="inlineStr">
        <is>
          <t>sin asignar</t>
        </is>
      </c>
      <c r="I150" t="inlineStr">
        <is>
          <t>Metamorfico_16</t>
        </is>
      </c>
      <c r="J150" t="inlineStr">
        <is>
          <t>Geologia_2024=Metamorfico_16 (no distingue hornfels/mármol)</t>
        </is>
      </c>
      <c r="K150" t="inlineStr">
        <is>
          <t>Mármol (hipótesis: siglas MC, MG, MGS, MPA, MCGB; 'Marble'~MCGB)</t>
        </is>
      </c>
      <c r="L150" t="inlineStr">
        <is>
          <t>Metamorfico</t>
        </is>
      </c>
      <c r="M150" t="n">
        <v>4417</v>
      </c>
      <c r="N150" t="n">
        <v>26502000</v>
      </c>
      <c r="O150" t="n">
        <v>71958312</v>
      </c>
      <c r="P150" t="inlineStr"/>
      <c r="Q150" t="n">
        <v>39.32</v>
      </c>
    </row>
    <row r="151">
      <c r="A151" t="inlineStr">
        <is>
          <t>MR24</t>
        </is>
      </c>
      <c r="B151" t="inlineStr">
        <is>
          <t>SIMULACIONES_MR2024_V3</t>
        </is>
      </c>
      <c r="C151" t="inlineStr">
        <is>
          <t>toneladas (6000 m3 x MR24_BD); pct sobre toneladas</t>
        </is>
      </c>
      <c r="D151" t="inlineStr">
        <is>
          <t>periodo_XLE2WST_AMIN</t>
        </is>
      </c>
      <c r="E151" t="inlineStr">
        <is>
          <t>204649</t>
        </is>
      </c>
      <c r="F151" t="inlineStr">
        <is>
          <t>MR24_RT</t>
        </is>
      </c>
      <c r="G151" t="inlineStr">
        <is>
          <t>19</t>
        </is>
      </c>
      <c r="H151" t="inlineStr">
        <is>
          <t>sin asignar</t>
        </is>
      </c>
      <c r="I151" t="inlineStr">
        <is>
          <t>Metamorfico_19</t>
        </is>
      </c>
      <c r="J151" t="inlineStr">
        <is>
          <t>Geologia_2024=Metamorfico_19 (no distingue hornfels/mármol)</t>
        </is>
      </c>
      <c r="K151" t="inlineStr">
        <is>
          <t>Mármol (hipótesis: sigla MDP)</t>
        </is>
      </c>
      <c r="L151" t="inlineStr">
        <is>
          <t>Metamorfico</t>
        </is>
      </c>
      <c r="M151" t="n">
        <v>102</v>
      </c>
      <c r="N151" t="n">
        <v>612000</v>
      </c>
      <c r="O151" t="n">
        <v>1713972</v>
      </c>
      <c r="P151" t="inlineStr"/>
      <c r="Q151" t="n">
        <v>0.9370000000000001</v>
      </c>
    </row>
    <row r="152">
      <c r="A152" t="inlineStr">
        <is>
          <t>MR24</t>
        </is>
      </c>
      <c r="B152" t="inlineStr">
        <is>
          <t>SIMULACIONES_MR2024_V3</t>
        </is>
      </c>
      <c r="C152" t="inlineStr">
        <is>
          <t>toneladas (6000 m3 x MR24_BD); pct sobre toneladas</t>
        </is>
      </c>
      <c r="D152" t="inlineStr">
        <is>
          <t>periodo_XLE2WST_AMIN</t>
        </is>
      </c>
      <c r="E152" t="inlineStr">
        <is>
          <t>204649</t>
        </is>
      </c>
      <c r="F152" t="inlineStr">
        <is>
          <t>MR24_RT</t>
        </is>
      </c>
      <c r="G152" t="inlineStr">
        <is>
          <t>53</t>
        </is>
      </c>
      <c r="H152" t="inlineStr">
        <is>
          <t>sin asignar</t>
        </is>
      </c>
      <c r="I152" t="inlineStr">
        <is>
          <t>RT53</t>
        </is>
      </c>
      <c r="J152" t="inlineStr">
        <is>
          <t>código sin etiqueta en los datos</t>
        </is>
      </c>
      <c r="K152" t="inlineStr">
        <is>
          <t>sin hipótesis</t>
        </is>
      </c>
      <c r="L152" t="inlineStr">
        <is>
          <t>sin leyenda</t>
        </is>
      </c>
      <c r="M152" t="n">
        <v>20</v>
      </c>
      <c r="N152" t="n">
        <v>120000</v>
      </c>
      <c r="O152" t="n">
        <v>327894</v>
      </c>
      <c r="P152" t="inlineStr"/>
      <c r="Q152" t="n">
        <v>0.179</v>
      </c>
    </row>
    <row r="153">
      <c r="A153" t="inlineStr">
        <is>
          <t>MR24</t>
        </is>
      </c>
      <c r="B153" t="inlineStr">
        <is>
          <t>SIMULACIONES_MR2024_V3</t>
        </is>
      </c>
      <c r="C153" t="inlineStr">
        <is>
          <t>toneladas (6000 m3 x MR24_BD); pct sobre toneladas</t>
        </is>
      </c>
      <c r="D153" t="inlineStr">
        <is>
          <t>anio_LOM25_AMIN_LE2</t>
        </is>
      </c>
      <c r="E153" t="inlineStr">
        <is>
          <t>2025</t>
        </is>
      </c>
      <c r="F153" t="inlineStr">
        <is>
          <t>MR24_RT</t>
        </is>
      </c>
      <c r="G153" t="inlineStr">
        <is>
          <t>1</t>
        </is>
      </c>
      <c r="H153" t="inlineStr">
        <is>
          <t>Intrusivo</t>
        </is>
      </c>
      <c r="I153" t="inlineStr">
        <is>
          <t>RT1</t>
        </is>
      </c>
      <c r="J153" t="inlineStr">
        <is>
          <t>Geologia_2024=Intrusivo_1</t>
        </is>
      </c>
      <c r="K153" t="inlineStr">
        <is>
          <t>Intrusivo</t>
        </is>
      </c>
      <c r="L153" t="inlineStr">
        <is>
          <t>Intrusivo</t>
        </is>
      </c>
      <c r="M153" t="n">
        <v>937</v>
      </c>
      <c r="N153" t="n">
        <v>5622000</v>
      </c>
      <c r="O153" t="n">
        <v>13751760</v>
      </c>
      <c r="P153" t="inlineStr"/>
      <c r="Q153" t="n">
        <v>7.568</v>
      </c>
    </row>
    <row r="154">
      <c r="A154" t="inlineStr">
        <is>
          <t>MR24</t>
        </is>
      </c>
      <c r="B154" t="inlineStr">
        <is>
          <t>SIMULACIONES_MR2024_V3</t>
        </is>
      </c>
      <c r="C154" t="inlineStr">
        <is>
          <t>toneladas (6000 m3 x MR24_BD); pct sobre toneladas</t>
        </is>
      </c>
      <c r="D154" t="inlineStr">
        <is>
          <t>anio_LOM25_AMIN_LE2</t>
        </is>
      </c>
      <c r="E154" t="inlineStr">
        <is>
          <t>2025</t>
        </is>
      </c>
      <c r="F154" t="inlineStr">
        <is>
          <t>MR24_RT</t>
        </is>
      </c>
      <c r="G154" t="inlineStr">
        <is>
          <t>2</t>
        </is>
      </c>
      <c r="H154" t="inlineStr">
        <is>
          <t>Intrusivo</t>
        </is>
      </c>
      <c r="I154" t="inlineStr">
        <is>
          <t>RT2</t>
        </is>
      </c>
      <c r="J154" t="inlineStr">
        <is>
          <t>Geologia_2024=Intrusivo_2</t>
        </is>
      </c>
      <c r="K154" t="inlineStr">
        <is>
          <t>Intrusivo</t>
        </is>
      </c>
      <c r="L154" t="inlineStr">
        <is>
          <t>Intrusivo</t>
        </is>
      </c>
      <c r="M154" t="n">
        <v>33</v>
      </c>
      <c r="N154" t="n">
        <v>198000</v>
      </c>
      <c r="O154" t="n">
        <v>525096</v>
      </c>
      <c r="P154" t="inlineStr"/>
      <c r="Q154" t="n">
        <v>0.289</v>
      </c>
    </row>
    <row r="155">
      <c r="A155" t="inlineStr">
        <is>
          <t>MR24</t>
        </is>
      </c>
      <c r="B155" t="inlineStr">
        <is>
          <t>SIMULACIONES_MR2024_V3</t>
        </is>
      </c>
      <c r="C155" t="inlineStr">
        <is>
          <t>toneladas (6000 m3 x MR24_BD); pct sobre toneladas</t>
        </is>
      </c>
      <c r="D155" t="inlineStr">
        <is>
          <t>anio_LOM25_AMIN_LE2</t>
        </is>
      </c>
      <c r="E155" t="inlineStr">
        <is>
          <t>2025</t>
        </is>
      </c>
      <c r="F155" t="inlineStr">
        <is>
          <t>MR24_RT</t>
        </is>
      </c>
      <c r="G155" t="inlineStr">
        <is>
          <t>10</t>
        </is>
      </c>
      <c r="H155" t="inlineStr">
        <is>
          <t>sin asignar</t>
        </is>
      </c>
      <c r="I155" t="inlineStr">
        <is>
          <t>Sedimentario_10</t>
        </is>
      </c>
      <c r="J155" t="inlineStr">
        <is>
          <t>Geologia_2024=Sedimentario_10 (no especifica caliza)</t>
        </is>
      </c>
      <c r="K155" t="inlineStr">
        <is>
          <t>Caliza (hipótesis: siglas C*)</t>
        </is>
      </c>
      <c r="L155" t="inlineStr">
        <is>
          <t>Sedimentario</t>
        </is>
      </c>
      <c r="M155" t="n">
        <v>1888</v>
      </c>
      <c r="N155" t="n">
        <v>11328000</v>
      </c>
      <c r="O155" t="n">
        <v>30602172</v>
      </c>
      <c r="P155" t="inlineStr"/>
      <c r="Q155" t="n">
        <v>16.842</v>
      </c>
    </row>
    <row r="156">
      <c r="A156" t="inlineStr">
        <is>
          <t>MR24</t>
        </is>
      </c>
      <c r="B156" t="inlineStr">
        <is>
          <t>SIMULACIONES_MR2024_V3</t>
        </is>
      </c>
      <c r="C156" t="inlineStr">
        <is>
          <t>toneladas (6000 m3 x MR24_BD); pct sobre toneladas</t>
        </is>
      </c>
      <c r="D156" t="inlineStr">
        <is>
          <t>anio_LOM25_AMIN_LE2</t>
        </is>
      </c>
      <c r="E156" t="inlineStr">
        <is>
          <t>2025</t>
        </is>
      </c>
      <c r="F156" t="inlineStr">
        <is>
          <t>MR24_RT</t>
        </is>
      </c>
      <c r="G156" t="inlineStr">
        <is>
          <t>11</t>
        </is>
      </c>
      <c r="H156" t="inlineStr">
        <is>
          <t>sin asignar</t>
        </is>
      </c>
      <c r="I156" t="inlineStr">
        <is>
          <t>Sedimentario_11</t>
        </is>
      </c>
      <c r="J156" t="inlineStr">
        <is>
          <t>Geologia_2024=Sedimentario_11 (no especifica caliza)</t>
        </is>
      </c>
      <c r="K156" t="inlineStr">
        <is>
          <t>Caliza (hipótesis: Sedimentario; RT11~NUMEQ10, siglas C*)</t>
        </is>
      </c>
      <c r="L156" t="inlineStr">
        <is>
          <t>Sedimentario</t>
        </is>
      </c>
      <c r="M156" t="n">
        <v>1465</v>
      </c>
      <c r="N156" t="n">
        <v>8790000</v>
      </c>
      <c r="O156" t="n">
        <v>23770350</v>
      </c>
      <c r="P156" t="inlineStr"/>
      <c r="Q156" t="n">
        <v>13.082</v>
      </c>
    </row>
    <row r="157">
      <c r="A157" t="inlineStr">
        <is>
          <t>MR24</t>
        </is>
      </c>
      <c r="B157" t="inlineStr">
        <is>
          <t>SIMULACIONES_MR2024_V3</t>
        </is>
      </c>
      <c r="C157" t="inlineStr">
        <is>
          <t>toneladas (6000 m3 x MR24_BD); pct sobre toneladas</t>
        </is>
      </c>
      <c r="D157" t="inlineStr">
        <is>
          <t>anio_LOM25_AMIN_LE2</t>
        </is>
      </c>
      <c r="E157" t="inlineStr">
        <is>
          <t>2025</t>
        </is>
      </c>
      <c r="F157" t="inlineStr">
        <is>
          <t>MR24_RT</t>
        </is>
      </c>
      <c r="G157" t="inlineStr">
        <is>
          <t>13</t>
        </is>
      </c>
      <c r="H157" t="inlineStr">
        <is>
          <t>sin asignar</t>
        </is>
      </c>
      <c r="I157" t="inlineStr">
        <is>
          <t>Metamorfico_13</t>
        </is>
      </c>
      <c r="J157" t="inlineStr">
        <is>
          <t>Geologia_2024=Metamorfico_13 (no distingue hornfels/mármol)</t>
        </is>
      </c>
      <c r="K157" t="inlineStr">
        <is>
          <t>Hornfels (hipótesis: siglas HG, HGS, HC)</t>
        </is>
      </c>
      <c r="L157" t="inlineStr">
        <is>
          <t>Metamorfico</t>
        </is>
      </c>
      <c r="M157" t="n">
        <v>1337</v>
      </c>
      <c r="N157" t="n">
        <v>8022000</v>
      </c>
      <c r="O157" t="n">
        <v>21631038</v>
      </c>
      <c r="P157" t="inlineStr"/>
      <c r="Q157" t="n">
        <v>11.905</v>
      </c>
    </row>
    <row r="158">
      <c r="A158" t="inlineStr">
        <is>
          <t>MR24</t>
        </is>
      </c>
      <c r="B158" t="inlineStr">
        <is>
          <t>SIMULACIONES_MR2024_V3</t>
        </is>
      </c>
      <c r="C158" t="inlineStr">
        <is>
          <t>toneladas (6000 m3 x MR24_BD); pct sobre toneladas</t>
        </is>
      </c>
      <c r="D158" t="inlineStr">
        <is>
          <t>anio_LOM25_AMIN_LE2</t>
        </is>
      </c>
      <c r="E158" t="inlineStr">
        <is>
          <t>2025</t>
        </is>
      </c>
      <c r="F158" t="inlineStr">
        <is>
          <t>MR24_RT</t>
        </is>
      </c>
      <c r="G158" t="inlineStr">
        <is>
          <t>14</t>
        </is>
      </c>
      <c r="H158" t="inlineStr">
        <is>
          <t>sin asignar</t>
        </is>
      </c>
      <c r="I158" t="inlineStr">
        <is>
          <t>Metamorfico_14</t>
        </is>
      </c>
      <c r="J158" t="inlineStr">
        <is>
          <t>Geologia_2024=Metamorfico_14 (no distingue hornfels/mármol)</t>
        </is>
      </c>
      <c r="K158" t="inlineStr">
        <is>
          <t>Hornfels (hipótesis: siglas HBV, HGV, HCB, HDP; 'Diop. Hornfels'~HGV)</t>
        </is>
      </c>
      <c r="L158" t="inlineStr">
        <is>
          <t>Metamorfico</t>
        </is>
      </c>
      <c r="M158" t="n">
        <v>85</v>
      </c>
      <c r="N158" t="n">
        <v>510000</v>
      </c>
      <c r="O158" t="n">
        <v>1459470</v>
      </c>
      <c r="P158" t="inlineStr"/>
      <c r="Q158" t="n">
        <v>0.803</v>
      </c>
    </row>
    <row r="159">
      <c r="A159" t="inlineStr">
        <is>
          <t>MR24</t>
        </is>
      </c>
      <c r="B159" t="inlineStr">
        <is>
          <t>SIMULACIONES_MR2024_V3</t>
        </is>
      </c>
      <c r="C159" t="inlineStr">
        <is>
          <t>toneladas (6000 m3 x MR24_BD); pct sobre toneladas</t>
        </is>
      </c>
      <c r="D159" t="inlineStr">
        <is>
          <t>anio_LOM25_AMIN_LE2</t>
        </is>
      </c>
      <c r="E159" t="inlineStr">
        <is>
          <t>2025</t>
        </is>
      </c>
      <c r="F159" t="inlineStr">
        <is>
          <t>MR24_RT</t>
        </is>
      </c>
      <c r="G159" t="inlineStr">
        <is>
          <t>16</t>
        </is>
      </c>
      <c r="H159" t="inlineStr">
        <is>
          <t>sin asignar</t>
        </is>
      </c>
      <c r="I159" t="inlineStr">
        <is>
          <t>Metamorfico_16</t>
        </is>
      </c>
      <c r="J159" t="inlineStr">
        <is>
          <t>Geologia_2024=Metamorfico_16 (no distingue hornfels/mármol)</t>
        </is>
      </c>
      <c r="K159" t="inlineStr">
        <is>
          <t>Mármol (hipótesis: siglas MC, MG, MGS, MPA, MCGB; 'Marble'~MCGB)</t>
        </is>
      </c>
      <c r="L159" t="inlineStr">
        <is>
          <t>Metamorfico</t>
        </is>
      </c>
      <c r="M159" t="n">
        <v>5223</v>
      </c>
      <c r="N159" t="n">
        <v>31338000</v>
      </c>
      <c r="O159" t="n">
        <v>84993498</v>
      </c>
      <c r="P159" t="inlineStr"/>
      <c r="Q159" t="n">
        <v>46.777</v>
      </c>
    </row>
    <row r="160">
      <c r="A160" t="inlineStr">
        <is>
          <t>MR24</t>
        </is>
      </c>
      <c r="B160" t="inlineStr">
        <is>
          <t>SIMULACIONES_MR2024_V3</t>
        </is>
      </c>
      <c r="C160" t="inlineStr">
        <is>
          <t>toneladas (6000 m3 x MR24_BD); pct sobre toneladas</t>
        </is>
      </c>
      <c r="D160" t="inlineStr">
        <is>
          <t>anio_LOM25_AMIN_LE2</t>
        </is>
      </c>
      <c r="E160" t="inlineStr">
        <is>
          <t>2025</t>
        </is>
      </c>
      <c r="F160" t="inlineStr">
        <is>
          <t>MR24_RT</t>
        </is>
      </c>
      <c r="G160" t="inlineStr">
        <is>
          <t>19</t>
        </is>
      </c>
      <c r="H160" t="inlineStr">
        <is>
          <t>sin asignar</t>
        </is>
      </c>
      <c r="I160" t="inlineStr">
        <is>
          <t>Metamorfico_19</t>
        </is>
      </c>
      <c r="J160" t="inlineStr">
        <is>
          <t>Geologia_2024=Metamorfico_19 (no distingue hornfels/mármol)</t>
        </is>
      </c>
      <c r="K160" t="inlineStr">
        <is>
          <t>Mármol (hipótesis: sigla MDP)</t>
        </is>
      </c>
      <c r="L160" t="inlineStr">
        <is>
          <t>Metamorfico</t>
        </is>
      </c>
      <c r="M160" t="n">
        <v>276</v>
      </c>
      <c r="N160" t="n">
        <v>1656000</v>
      </c>
      <c r="O160" t="n">
        <v>4671666</v>
      </c>
      <c r="P160" t="inlineStr"/>
      <c r="Q160" t="n">
        <v>2.571</v>
      </c>
    </row>
    <row r="161">
      <c r="A161" t="inlineStr">
        <is>
          <t>MR24</t>
        </is>
      </c>
      <c r="B161" t="inlineStr">
        <is>
          <t>SIMULACIONES_MR2024_V3</t>
        </is>
      </c>
      <c r="C161" t="inlineStr">
        <is>
          <t>toneladas (6000 m3 x MR24_BD); pct sobre toneladas</t>
        </is>
      </c>
      <c r="D161" t="inlineStr">
        <is>
          <t>anio_LOM25_AMIN_LE2</t>
        </is>
      </c>
      <c r="E161" t="inlineStr">
        <is>
          <t>2025</t>
        </is>
      </c>
      <c r="F161" t="inlineStr">
        <is>
          <t>MR24_RT</t>
        </is>
      </c>
      <c r="G161" t="inlineStr">
        <is>
          <t>53</t>
        </is>
      </c>
      <c r="H161" t="inlineStr">
        <is>
          <t>sin asignar</t>
        </is>
      </c>
      <c r="I161" t="inlineStr">
        <is>
          <t>RT53</t>
        </is>
      </c>
      <c r="J161" t="inlineStr">
        <is>
          <t>código sin etiqueta en los datos</t>
        </is>
      </c>
      <c r="K161" t="inlineStr">
        <is>
          <t>sin hipótesis</t>
        </is>
      </c>
      <c r="L161" t="inlineStr">
        <is>
          <t>sin leyenda</t>
        </is>
      </c>
      <c r="M161" t="n">
        <v>19</v>
      </c>
      <c r="N161" t="n">
        <v>114000</v>
      </c>
      <c r="O161" t="n">
        <v>293694</v>
      </c>
      <c r="P161" t="inlineStr"/>
      <c r="Q161" t="n">
        <v>0.162</v>
      </c>
    </row>
    <row r="162">
      <c r="A162" t="inlineStr">
        <is>
          <t>MR24</t>
        </is>
      </c>
      <c r="B162" t="inlineStr">
        <is>
          <t>SIMULACIONES_MR2024_V3</t>
        </is>
      </c>
      <c r="C162" t="inlineStr">
        <is>
          <t>toneladas (6000 m3 x MR24_BD); pct sobre toneladas</t>
        </is>
      </c>
      <c r="D162" t="inlineStr">
        <is>
          <t>anio_LOM25_AMIN_LE2</t>
        </is>
      </c>
      <c r="E162" t="inlineStr">
        <is>
          <t>2026</t>
        </is>
      </c>
      <c r="F162" t="inlineStr">
        <is>
          <t>MR24_RT</t>
        </is>
      </c>
      <c r="G162" t="inlineStr">
        <is>
          <t>1</t>
        </is>
      </c>
      <c r="H162" t="inlineStr">
        <is>
          <t>Intrusivo</t>
        </is>
      </c>
      <c r="I162" t="inlineStr">
        <is>
          <t>RT1</t>
        </is>
      </c>
      <c r="J162" t="inlineStr">
        <is>
          <t>Geologia_2024=Intrusivo_1</t>
        </is>
      </c>
      <c r="K162" t="inlineStr">
        <is>
          <t>Intrusivo</t>
        </is>
      </c>
      <c r="L162" t="inlineStr">
        <is>
          <t>Intrusivo</t>
        </is>
      </c>
      <c r="M162" t="n">
        <v>1146</v>
      </c>
      <c r="N162" t="n">
        <v>6876000</v>
      </c>
      <c r="O162" t="n">
        <v>16899360</v>
      </c>
      <c r="P162" t="inlineStr"/>
      <c r="Q162" t="n">
        <v>8.897</v>
      </c>
    </row>
    <row r="163">
      <c r="A163" t="inlineStr">
        <is>
          <t>MR24</t>
        </is>
      </c>
      <c r="B163" t="inlineStr">
        <is>
          <t>SIMULACIONES_MR2024_V3</t>
        </is>
      </c>
      <c r="C163" t="inlineStr">
        <is>
          <t>toneladas (6000 m3 x MR24_BD); pct sobre toneladas</t>
        </is>
      </c>
      <c r="D163" t="inlineStr">
        <is>
          <t>anio_LOM25_AMIN_LE2</t>
        </is>
      </c>
      <c r="E163" t="inlineStr">
        <is>
          <t>2026</t>
        </is>
      </c>
      <c r="F163" t="inlineStr">
        <is>
          <t>MR24_RT</t>
        </is>
      </c>
      <c r="G163" t="inlineStr">
        <is>
          <t>2</t>
        </is>
      </c>
      <c r="H163" t="inlineStr">
        <is>
          <t>Intrusivo</t>
        </is>
      </c>
      <c r="I163" t="inlineStr">
        <is>
          <t>RT2</t>
        </is>
      </c>
      <c r="J163" t="inlineStr">
        <is>
          <t>Geologia_2024=Intrusivo_2</t>
        </is>
      </c>
      <c r="K163" t="inlineStr">
        <is>
          <t>Intrusivo</t>
        </is>
      </c>
      <c r="L163" t="inlineStr">
        <is>
          <t>Intrusivo</t>
        </is>
      </c>
      <c r="M163" t="n">
        <v>53</v>
      </c>
      <c r="N163" t="n">
        <v>318000</v>
      </c>
      <c r="O163" t="n">
        <v>841116</v>
      </c>
      <c r="P163" t="inlineStr"/>
      <c r="Q163" t="n">
        <v>0.443</v>
      </c>
    </row>
    <row r="164">
      <c r="A164" t="inlineStr">
        <is>
          <t>MR24</t>
        </is>
      </c>
      <c r="B164" t="inlineStr">
        <is>
          <t>SIMULACIONES_MR2024_V3</t>
        </is>
      </c>
      <c r="C164" t="inlineStr">
        <is>
          <t>toneladas (6000 m3 x MR24_BD); pct sobre toneladas</t>
        </is>
      </c>
      <c r="D164" t="inlineStr">
        <is>
          <t>anio_LOM25_AMIN_LE2</t>
        </is>
      </c>
      <c r="E164" t="inlineStr">
        <is>
          <t>2026</t>
        </is>
      </c>
      <c r="F164" t="inlineStr">
        <is>
          <t>MR24_RT</t>
        </is>
      </c>
      <c r="G164" t="inlineStr">
        <is>
          <t>10</t>
        </is>
      </c>
      <c r="H164" t="inlineStr">
        <is>
          <t>sin asignar</t>
        </is>
      </c>
      <c r="I164" t="inlineStr">
        <is>
          <t>Sedimentario_10</t>
        </is>
      </c>
      <c r="J164" t="inlineStr">
        <is>
          <t>Geologia_2024=Sedimentario_10 (no especifica caliza)</t>
        </is>
      </c>
      <c r="K164" t="inlineStr">
        <is>
          <t>Caliza (hipótesis: siglas C*)</t>
        </is>
      </c>
      <c r="L164" t="inlineStr">
        <is>
          <t>Sedimentario</t>
        </is>
      </c>
      <c r="M164" t="n">
        <v>744</v>
      </c>
      <c r="N164" t="n">
        <v>4464000</v>
      </c>
      <c r="O164" t="n">
        <v>12057984</v>
      </c>
      <c r="P164" t="inlineStr"/>
      <c r="Q164" t="n">
        <v>6.348</v>
      </c>
    </row>
    <row r="165">
      <c r="A165" t="inlineStr">
        <is>
          <t>MR24</t>
        </is>
      </c>
      <c r="B165" t="inlineStr">
        <is>
          <t>SIMULACIONES_MR2024_V3</t>
        </is>
      </c>
      <c r="C165" t="inlineStr">
        <is>
          <t>toneladas (6000 m3 x MR24_BD); pct sobre toneladas</t>
        </is>
      </c>
      <c r="D165" t="inlineStr">
        <is>
          <t>anio_LOM25_AMIN_LE2</t>
        </is>
      </c>
      <c r="E165" t="inlineStr">
        <is>
          <t>2026</t>
        </is>
      </c>
      <c r="F165" t="inlineStr">
        <is>
          <t>MR24_RT</t>
        </is>
      </c>
      <c r="G165" t="inlineStr">
        <is>
          <t>11</t>
        </is>
      </c>
      <c r="H165" t="inlineStr">
        <is>
          <t>sin asignar</t>
        </is>
      </c>
      <c r="I165" t="inlineStr">
        <is>
          <t>Sedimentario_11</t>
        </is>
      </c>
      <c r="J165" t="inlineStr">
        <is>
          <t>Geologia_2024=Sedimentario_11 (no especifica caliza)</t>
        </is>
      </c>
      <c r="K165" t="inlineStr">
        <is>
          <t>Caliza (hipótesis: Sedimentario; RT11~NUMEQ10, siglas C*)</t>
        </is>
      </c>
      <c r="L165" t="inlineStr">
        <is>
          <t>Sedimentario</t>
        </is>
      </c>
      <c r="M165" t="n">
        <v>1625</v>
      </c>
      <c r="N165" t="n">
        <v>9750000</v>
      </c>
      <c r="O165" t="n">
        <v>26403282</v>
      </c>
      <c r="P165" t="inlineStr"/>
      <c r="Q165" t="n">
        <v>13.901</v>
      </c>
    </row>
    <row r="166">
      <c r="A166" t="inlineStr">
        <is>
          <t>MR24</t>
        </is>
      </c>
      <c r="B166" t="inlineStr">
        <is>
          <t>SIMULACIONES_MR2024_V3</t>
        </is>
      </c>
      <c r="C166" t="inlineStr">
        <is>
          <t>toneladas (6000 m3 x MR24_BD); pct sobre toneladas</t>
        </is>
      </c>
      <c r="D166" t="inlineStr">
        <is>
          <t>anio_LOM25_AMIN_LE2</t>
        </is>
      </c>
      <c r="E166" t="inlineStr">
        <is>
          <t>2026</t>
        </is>
      </c>
      <c r="F166" t="inlineStr">
        <is>
          <t>MR24_RT</t>
        </is>
      </c>
      <c r="G166" t="inlineStr">
        <is>
          <t>13</t>
        </is>
      </c>
      <c r="H166" t="inlineStr">
        <is>
          <t>sin asignar</t>
        </is>
      </c>
      <c r="I166" t="inlineStr">
        <is>
          <t>Metamorfico_13</t>
        </is>
      </c>
      <c r="J166" t="inlineStr">
        <is>
          <t>Geologia_2024=Metamorfico_13 (no distingue hornfels/mármol)</t>
        </is>
      </c>
      <c r="K166" t="inlineStr">
        <is>
          <t>Hornfels (hipótesis: siglas HG, HGS, HC)</t>
        </is>
      </c>
      <c r="L166" t="inlineStr">
        <is>
          <t>Metamorfico</t>
        </is>
      </c>
      <c r="M166" t="n">
        <v>1018</v>
      </c>
      <c r="N166" t="n">
        <v>6108000</v>
      </c>
      <c r="O166" t="n">
        <v>16460256</v>
      </c>
      <c r="P166" t="inlineStr"/>
      <c r="Q166" t="n">
        <v>8.666</v>
      </c>
    </row>
    <row r="167">
      <c r="A167" t="inlineStr">
        <is>
          <t>MR24</t>
        </is>
      </c>
      <c r="B167" t="inlineStr">
        <is>
          <t>SIMULACIONES_MR2024_V3</t>
        </is>
      </c>
      <c r="C167" t="inlineStr">
        <is>
          <t>toneladas (6000 m3 x MR24_BD); pct sobre toneladas</t>
        </is>
      </c>
      <c r="D167" t="inlineStr">
        <is>
          <t>anio_LOM25_AMIN_LE2</t>
        </is>
      </c>
      <c r="E167" t="inlineStr">
        <is>
          <t>2026</t>
        </is>
      </c>
      <c r="F167" t="inlineStr">
        <is>
          <t>MR24_RT</t>
        </is>
      </c>
      <c r="G167" t="inlineStr">
        <is>
          <t>14</t>
        </is>
      </c>
      <c r="H167" t="inlineStr">
        <is>
          <t>sin asignar</t>
        </is>
      </c>
      <c r="I167" t="inlineStr">
        <is>
          <t>Metamorfico_14</t>
        </is>
      </c>
      <c r="J167" t="inlineStr">
        <is>
          <t>Geologia_2024=Metamorfico_14 (no distingue hornfels/mármol)</t>
        </is>
      </c>
      <c r="K167" t="inlineStr">
        <is>
          <t>Hornfels (hipótesis: siglas HBV, HGV, HCB, HDP; 'Diop. Hornfels'~HGV)</t>
        </is>
      </c>
      <c r="L167" t="inlineStr">
        <is>
          <t>Metamorfico</t>
        </is>
      </c>
      <c r="M167" t="n">
        <v>351</v>
      </c>
      <c r="N167" t="n">
        <v>2106000</v>
      </c>
      <c r="O167" t="n">
        <v>6020430</v>
      </c>
      <c r="P167" t="inlineStr"/>
      <c r="Q167" t="n">
        <v>3.17</v>
      </c>
    </row>
    <row r="168">
      <c r="A168" t="inlineStr">
        <is>
          <t>MR24</t>
        </is>
      </c>
      <c r="B168" t="inlineStr">
        <is>
          <t>SIMULACIONES_MR2024_V3</t>
        </is>
      </c>
      <c r="C168" t="inlineStr">
        <is>
          <t>toneladas (6000 m3 x MR24_BD); pct sobre toneladas</t>
        </is>
      </c>
      <c r="D168" t="inlineStr">
        <is>
          <t>anio_LOM25_AMIN_LE2</t>
        </is>
      </c>
      <c r="E168" t="inlineStr">
        <is>
          <t>2026</t>
        </is>
      </c>
      <c r="F168" t="inlineStr">
        <is>
          <t>MR24_RT</t>
        </is>
      </c>
      <c r="G168" t="inlineStr">
        <is>
          <t>16</t>
        </is>
      </c>
      <c r="H168" t="inlineStr">
        <is>
          <t>sin asignar</t>
        </is>
      </c>
      <c r="I168" t="inlineStr">
        <is>
          <t>Metamorfico_16</t>
        </is>
      </c>
      <c r="J168" t="inlineStr">
        <is>
          <t>Geologia_2024=Metamorfico_16 (no distingue hornfels/mármol)</t>
        </is>
      </c>
      <c r="K168" t="inlineStr">
        <is>
          <t>Mármol (hipótesis: siglas MC, MG, MGS, MPA, MCGB; 'Marble'~MCGB)</t>
        </is>
      </c>
      <c r="L168" t="inlineStr">
        <is>
          <t>Metamorfico</t>
        </is>
      </c>
      <c r="M168" t="n">
        <v>6092</v>
      </c>
      <c r="N168" t="n">
        <v>36552000</v>
      </c>
      <c r="O168" t="n">
        <v>98812218</v>
      </c>
      <c r="P168" t="inlineStr"/>
      <c r="Q168" t="n">
        <v>52.022</v>
      </c>
    </row>
    <row r="169">
      <c r="A169" t="inlineStr">
        <is>
          <t>MR24</t>
        </is>
      </c>
      <c r="B169" t="inlineStr">
        <is>
          <t>SIMULACIONES_MR2024_V3</t>
        </is>
      </c>
      <c r="C169" t="inlineStr">
        <is>
          <t>toneladas (6000 m3 x MR24_BD); pct sobre toneladas</t>
        </is>
      </c>
      <c r="D169" t="inlineStr">
        <is>
          <t>anio_LOM25_AMIN_LE2</t>
        </is>
      </c>
      <c r="E169" t="inlineStr">
        <is>
          <t>2026</t>
        </is>
      </c>
      <c r="F169" t="inlineStr">
        <is>
          <t>MR24_RT</t>
        </is>
      </c>
      <c r="G169" t="inlineStr">
        <is>
          <t>19</t>
        </is>
      </c>
      <c r="H169" t="inlineStr">
        <is>
          <t>sin asignar</t>
        </is>
      </c>
      <c r="I169" t="inlineStr">
        <is>
          <t>Metamorfico_19</t>
        </is>
      </c>
      <c r="J169" t="inlineStr">
        <is>
          <t>Geologia_2024=Metamorfico_19 (no distingue hornfels/mármol)</t>
        </is>
      </c>
      <c r="K169" t="inlineStr">
        <is>
          <t>Mármol (hipótesis: sigla MDP)</t>
        </is>
      </c>
      <c r="L169" t="inlineStr">
        <is>
          <t>Metamorfico</t>
        </is>
      </c>
      <c r="M169" t="n">
        <v>685</v>
      </c>
      <c r="N169" t="n">
        <v>4110000</v>
      </c>
      <c r="O169" t="n">
        <v>11717934</v>
      </c>
      <c r="P169" t="inlineStr"/>
      <c r="Q169" t="n">
        <v>6.169</v>
      </c>
    </row>
    <row r="170">
      <c r="A170" t="inlineStr">
        <is>
          <t>MR24</t>
        </is>
      </c>
      <c r="B170" t="inlineStr">
        <is>
          <t>SIMULACIONES_MR2024_V3</t>
        </is>
      </c>
      <c r="C170" t="inlineStr">
        <is>
          <t>toneladas (6000 m3 x MR24_BD); pct sobre toneladas</t>
        </is>
      </c>
      <c r="D170" t="inlineStr">
        <is>
          <t>anio_LOM25_AMIN_LE2</t>
        </is>
      </c>
      <c r="E170" t="inlineStr">
        <is>
          <t>2026</t>
        </is>
      </c>
      <c r="F170" t="inlineStr">
        <is>
          <t>MR24_RT</t>
        </is>
      </c>
      <c r="G170" t="inlineStr">
        <is>
          <t>53</t>
        </is>
      </c>
      <c r="H170" t="inlineStr">
        <is>
          <t>sin asignar</t>
        </is>
      </c>
      <c r="I170" t="inlineStr">
        <is>
          <t>RT53</t>
        </is>
      </c>
      <c r="J170" t="inlineStr">
        <is>
          <t>código sin etiqueta en los datos</t>
        </is>
      </c>
      <c r="K170" t="inlineStr">
        <is>
          <t>sin hipótesis</t>
        </is>
      </c>
      <c r="L170" t="inlineStr">
        <is>
          <t>sin leyenda</t>
        </is>
      </c>
      <c r="M170" t="n">
        <v>47</v>
      </c>
      <c r="N170" t="n">
        <v>282000</v>
      </c>
      <c r="O170" t="n">
        <v>731676</v>
      </c>
      <c r="P170" t="inlineStr"/>
      <c r="Q170" t="n">
        <v>0.385</v>
      </c>
    </row>
    <row r="171">
      <c r="A171" t="inlineStr">
        <is>
          <t>MR24</t>
        </is>
      </c>
      <c r="B171" t="inlineStr">
        <is>
          <t>SIMULACIONES_MR2024_V3</t>
        </is>
      </c>
      <c r="C171" t="inlineStr">
        <is>
          <t>toneladas (6000 m3 x MR24_BD); pct sobre toneladas</t>
        </is>
      </c>
      <c r="D171" t="inlineStr">
        <is>
          <t>anio_LOM25_AMIN_LE2</t>
        </is>
      </c>
      <c r="E171" t="inlineStr">
        <is>
          <t>2027</t>
        </is>
      </c>
      <c r="F171" t="inlineStr">
        <is>
          <t>MR24_RT</t>
        </is>
      </c>
      <c r="G171" t="inlineStr">
        <is>
          <t>1</t>
        </is>
      </c>
      <c r="H171" t="inlineStr">
        <is>
          <t>Intrusivo</t>
        </is>
      </c>
      <c r="I171" t="inlineStr">
        <is>
          <t>RT1</t>
        </is>
      </c>
      <c r="J171" t="inlineStr">
        <is>
          <t>Geologia_2024=Intrusivo_1</t>
        </is>
      </c>
      <c r="K171" t="inlineStr">
        <is>
          <t>Intrusivo</t>
        </is>
      </c>
      <c r="L171" t="inlineStr">
        <is>
          <t>Intrusivo</t>
        </is>
      </c>
      <c r="M171" t="n">
        <v>1490</v>
      </c>
      <c r="N171" t="n">
        <v>8940000</v>
      </c>
      <c r="O171" t="n">
        <v>21770466</v>
      </c>
      <c r="P171" t="inlineStr"/>
      <c r="Q171" t="n">
        <v>12.004</v>
      </c>
    </row>
    <row r="172">
      <c r="A172" t="inlineStr">
        <is>
          <t>MR24</t>
        </is>
      </c>
      <c r="B172" t="inlineStr">
        <is>
          <t>SIMULACIONES_MR2024_V3</t>
        </is>
      </c>
      <c r="C172" t="inlineStr">
        <is>
          <t>toneladas (6000 m3 x MR24_BD); pct sobre toneladas</t>
        </is>
      </c>
      <c r="D172" t="inlineStr">
        <is>
          <t>anio_LOM25_AMIN_LE2</t>
        </is>
      </c>
      <c r="E172" t="inlineStr">
        <is>
          <t>2027</t>
        </is>
      </c>
      <c r="F172" t="inlineStr">
        <is>
          <t>MR24_RT</t>
        </is>
      </c>
      <c r="G172" t="inlineStr">
        <is>
          <t>2</t>
        </is>
      </c>
      <c r="H172" t="inlineStr">
        <is>
          <t>Intrusivo</t>
        </is>
      </c>
      <c r="I172" t="inlineStr">
        <is>
          <t>RT2</t>
        </is>
      </c>
      <c r="J172" t="inlineStr">
        <is>
          <t>Geologia_2024=Intrusivo_2</t>
        </is>
      </c>
      <c r="K172" t="inlineStr">
        <is>
          <t>Intrusivo</t>
        </is>
      </c>
      <c r="L172" t="inlineStr">
        <is>
          <t>Intrusivo</t>
        </is>
      </c>
      <c r="M172" t="n">
        <v>49</v>
      </c>
      <c r="N172" t="n">
        <v>294000</v>
      </c>
      <c r="O172" t="n">
        <v>781590</v>
      </c>
      <c r="P172" t="inlineStr"/>
      <c r="Q172" t="n">
        <v>0.431</v>
      </c>
    </row>
    <row r="173">
      <c r="A173" t="inlineStr">
        <is>
          <t>MR24</t>
        </is>
      </c>
      <c r="B173" t="inlineStr">
        <is>
          <t>SIMULACIONES_MR2024_V3</t>
        </is>
      </c>
      <c r="C173" t="inlineStr">
        <is>
          <t>toneladas (6000 m3 x MR24_BD); pct sobre toneladas</t>
        </is>
      </c>
      <c r="D173" t="inlineStr">
        <is>
          <t>anio_LOM25_AMIN_LE2</t>
        </is>
      </c>
      <c r="E173" t="inlineStr">
        <is>
          <t>2027</t>
        </is>
      </c>
      <c r="F173" t="inlineStr">
        <is>
          <t>MR24_RT</t>
        </is>
      </c>
      <c r="G173" t="inlineStr">
        <is>
          <t>10</t>
        </is>
      </c>
      <c r="H173" t="inlineStr">
        <is>
          <t>sin asignar</t>
        </is>
      </c>
      <c r="I173" t="inlineStr">
        <is>
          <t>Sedimentario_10</t>
        </is>
      </c>
      <c r="J173" t="inlineStr">
        <is>
          <t>Geologia_2024=Sedimentario_10 (no especifica caliza)</t>
        </is>
      </c>
      <c r="K173" t="inlineStr">
        <is>
          <t>Caliza (hipótesis: siglas C*)</t>
        </is>
      </c>
      <c r="L173" t="inlineStr">
        <is>
          <t>Sedimentario</t>
        </is>
      </c>
      <c r="M173" t="n">
        <v>237</v>
      </c>
      <c r="N173" t="n">
        <v>1422000</v>
      </c>
      <c r="O173" t="n">
        <v>3838476</v>
      </c>
      <c r="P173" t="inlineStr"/>
      <c r="Q173" t="n">
        <v>2.116</v>
      </c>
    </row>
    <row r="174">
      <c r="A174" t="inlineStr">
        <is>
          <t>MR24</t>
        </is>
      </c>
      <c r="B174" t="inlineStr">
        <is>
          <t>SIMULACIONES_MR2024_V3</t>
        </is>
      </c>
      <c r="C174" t="inlineStr">
        <is>
          <t>toneladas (6000 m3 x MR24_BD); pct sobre toneladas</t>
        </is>
      </c>
      <c r="D174" t="inlineStr">
        <is>
          <t>anio_LOM25_AMIN_LE2</t>
        </is>
      </c>
      <c r="E174" t="inlineStr">
        <is>
          <t>2027</t>
        </is>
      </c>
      <c r="F174" t="inlineStr">
        <is>
          <t>MR24_RT</t>
        </is>
      </c>
      <c r="G174" t="inlineStr">
        <is>
          <t>11</t>
        </is>
      </c>
      <c r="H174" t="inlineStr">
        <is>
          <t>sin asignar</t>
        </is>
      </c>
      <c r="I174" t="inlineStr">
        <is>
          <t>Sedimentario_11</t>
        </is>
      </c>
      <c r="J174" t="inlineStr">
        <is>
          <t>Geologia_2024=Sedimentario_11 (no especifica caliza)</t>
        </is>
      </c>
      <c r="K174" t="inlineStr">
        <is>
          <t>Caliza (hipótesis: Sedimentario; RT11~NUMEQ10, siglas C*)</t>
        </is>
      </c>
      <c r="L174" t="inlineStr">
        <is>
          <t>Sedimentario</t>
        </is>
      </c>
      <c r="M174" t="n">
        <v>1097</v>
      </c>
      <c r="N174" t="n">
        <v>6582000</v>
      </c>
      <c r="O174" t="n">
        <v>17844570</v>
      </c>
      <c r="P174" t="inlineStr"/>
      <c r="Q174" t="n">
        <v>9.839</v>
      </c>
    </row>
    <row r="175">
      <c r="A175" t="inlineStr">
        <is>
          <t>MR24</t>
        </is>
      </c>
      <c r="B175" t="inlineStr">
        <is>
          <t>SIMULACIONES_MR2024_V3</t>
        </is>
      </c>
      <c r="C175" t="inlineStr">
        <is>
          <t>toneladas (6000 m3 x MR24_BD); pct sobre toneladas</t>
        </is>
      </c>
      <c r="D175" t="inlineStr">
        <is>
          <t>anio_LOM25_AMIN_LE2</t>
        </is>
      </c>
      <c r="E175" t="inlineStr">
        <is>
          <t>2027</t>
        </is>
      </c>
      <c r="F175" t="inlineStr">
        <is>
          <t>MR24_RT</t>
        </is>
      </c>
      <c r="G175" t="inlineStr">
        <is>
          <t>13</t>
        </is>
      </c>
      <c r="H175" t="inlineStr">
        <is>
          <t>sin asignar</t>
        </is>
      </c>
      <c r="I175" t="inlineStr">
        <is>
          <t>Metamorfico_13</t>
        </is>
      </c>
      <c r="J175" t="inlineStr">
        <is>
          <t>Geologia_2024=Metamorfico_13 (no distingue hornfels/mármol)</t>
        </is>
      </c>
      <c r="K175" t="inlineStr">
        <is>
          <t>Hornfels (hipótesis: siglas HG, HGS, HC)</t>
        </is>
      </c>
      <c r="L175" t="inlineStr">
        <is>
          <t>Metamorfico</t>
        </is>
      </c>
      <c r="M175" t="n">
        <v>985</v>
      </c>
      <c r="N175" t="n">
        <v>5910000</v>
      </c>
      <c r="O175" t="n">
        <v>15982974</v>
      </c>
      <c r="P175" t="inlineStr"/>
      <c r="Q175" t="n">
        <v>8.813000000000001</v>
      </c>
    </row>
    <row r="176">
      <c r="A176" t="inlineStr">
        <is>
          <t>MR24</t>
        </is>
      </c>
      <c r="B176" t="inlineStr">
        <is>
          <t>SIMULACIONES_MR2024_V3</t>
        </is>
      </c>
      <c r="C176" t="inlineStr">
        <is>
          <t>toneladas (6000 m3 x MR24_BD); pct sobre toneladas</t>
        </is>
      </c>
      <c r="D176" t="inlineStr">
        <is>
          <t>anio_LOM25_AMIN_LE2</t>
        </is>
      </c>
      <c r="E176" t="inlineStr">
        <is>
          <t>2027</t>
        </is>
      </c>
      <c r="F176" t="inlineStr">
        <is>
          <t>MR24_RT</t>
        </is>
      </c>
      <c r="G176" t="inlineStr">
        <is>
          <t>14</t>
        </is>
      </c>
      <c r="H176" t="inlineStr">
        <is>
          <t>sin asignar</t>
        </is>
      </c>
      <c r="I176" t="inlineStr">
        <is>
          <t>Metamorfico_14</t>
        </is>
      </c>
      <c r="J176" t="inlineStr">
        <is>
          <t>Geologia_2024=Metamorfico_14 (no distingue hornfels/mármol)</t>
        </is>
      </c>
      <c r="K176" t="inlineStr">
        <is>
          <t>Hornfels (hipótesis: siglas HBV, HGV, HCB, HDP; 'Diop. Hornfels'~HGV)</t>
        </is>
      </c>
      <c r="L176" t="inlineStr">
        <is>
          <t>Metamorfico</t>
        </is>
      </c>
      <c r="M176" t="n">
        <v>356</v>
      </c>
      <c r="N176" t="n">
        <v>2136000</v>
      </c>
      <c r="O176" t="n">
        <v>6120606</v>
      </c>
      <c r="P176" t="inlineStr"/>
      <c r="Q176" t="n">
        <v>3.375</v>
      </c>
    </row>
    <row r="177">
      <c r="A177" t="inlineStr">
        <is>
          <t>MR24</t>
        </is>
      </c>
      <c r="B177" t="inlineStr">
        <is>
          <t>SIMULACIONES_MR2024_V3</t>
        </is>
      </c>
      <c r="C177" t="inlineStr">
        <is>
          <t>toneladas (6000 m3 x MR24_BD); pct sobre toneladas</t>
        </is>
      </c>
      <c r="D177" t="inlineStr">
        <is>
          <t>anio_LOM25_AMIN_LE2</t>
        </is>
      </c>
      <c r="E177" t="inlineStr">
        <is>
          <t>2027</t>
        </is>
      </c>
      <c r="F177" t="inlineStr">
        <is>
          <t>MR24_RT</t>
        </is>
      </c>
      <c r="G177" t="inlineStr">
        <is>
          <t>16</t>
        </is>
      </c>
      <c r="H177" t="inlineStr">
        <is>
          <t>sin asignar</t>
        </is>
      </c>
      <c r="I177" t="inlineStr">
        <is>
          <t>Metamorfico_16</t>
        </is>
      </c>
      <c r="J177" t="inlineStr">
        <is>
          <t>Geologia_2024=Metamorfico_16 (no distingue hornfels/mármol)</t>
        </is>
      </c>
      <c r="K177" t="inlineStr">
        <is>
          <t>Mármol (hipótesis: siglas MC, MG, MGS, MPA, MCGB; 'Marble'~MCGB)</t>
        </is>
      </c>
      <c r="L177" t="inlineStr">
        <is>
          <t>Metamorfico</t>
        </is>
      </c>
      <c r="M177" t="n">
        <v>6584</v>
      </c>
      <c r="N177" t="n">
        <v>39504000</v>
      </c>
      <c r="O177" t="n">
        <v>106730148</v>
      </c>
      <c r="P177" t="inlineStr"/>
      <c r="Q177" t="n">
        <v>58.848</v>
      </c>
    </row>
    <row r="178">
      <c r="A178" t="inlineStr">
        <is>
          <t>MR24</t>
        </is>
      </c>
      <c r="B178" t="inlineStr">
        <is>
          <t>SIMULACIONES_MR2024_V3</t>
        </is>
      </c>
      <c r="C178" t="inlineStr">
        <is>
          <t>toneladas (6000 m3 x MR24_BD); pct sobre toneladas</t>
        </is>
      </c>
      <c r="D178" t="inlineStr">
        <is>
          <t>anio_LOM25_AMIN_LE2</t>
        </is>
      </c>
      <c r="E178" t="inlineStr">
        <is>
          <t>2027</t>
        </is>
      </c>
      <c r="F178" t="inlineStr">
        <is>
          <t>MR24_RT</t>
        </is>
      </c>
      <c r="G178" t="inlineStr">
        <is>
          <t>19</t>
        </is>
      </c>
      <c r="H178" t="inlineStr">
        <is>
          <t>sin asignar</t>
        </is>
      </c>
      <c r="I178" t="inlineStr">
        <is>
          <t>Metamorfico_19</t>
        </is>
      </c>
      <c r="J178" t="inlineStr">
        <is>
          <t>Geologia_2024=Metamorfico_19 (no distingue hornfels/mármol)</t>
        </is>
      </c>
      <c r="K178" t="inlineStr">
        <is>
          <t>Mármol (hipótesis: sigla MDP)</t>
        </is>
      </c>
      <c r="L178" t="inlineStr">
        <is>
          <t>Metamorfico</t>
        </is>
      </c>
      <c r="M178" t="n">
        <v>449</v>
      </c>
      <c r="N178" t="n">
        <v>2694000</v>
      </c>
      <c r="O178" t="n">
        <v>7687038</v>
      </c>
      <c r="P178" t="inlineStr"/>
      <c r="Q178" t="n">
        <v>4.238</v>
      </c>
    </row>
    <row r="179">
      <c r="A179" t="inlineStr">
        <is>
          <t>MR24</t>
        </is>
      </c>
      <c r="B179" t="inlineStr">
        <is>
          <t>SIMULACIONES_MR2024_V3</t>
        </is>
      </c>
      <c r="C179" t="inlineStr">
        <is>
          <t>toneladas (6000 m3 x MR24_BD); pct sobre toneladas</t>
        </is>
      </c>
      <c r="D179" t="inlineStr">
        <is>
          <t>anio_LOM25_AMIN_LE2</t>
        </is>
      </c>
      <c r="E179" t="inlineStr">
        <is>
          <t>2027</t>
        </is>
      </c>
      <c r="F179" t="inlineStr">
        <is>
          <t>MR24_RT</t>
        </is>
      </c>
      <c r="G179" t="inlineStr">
        <is>
          <t>53</t>
        </is>
      </c>
      <c r="H179" t="inlineStr">
        <is>
          <t>sin asignar</t>
        </is>
      </c>
      <c r="I179" t="inlineStr">
        <is>
          <t>RT53</t>
        </is>
      </c>
      <c r="J179" t="inlineStr">
        <is>
          <t>código sin etiqueta en los datos</t>
        </is>
      </c>
      <c r="K179" t="inlineStr">
        <is>
          <t>sin hipótesis</t>
        </is>
      </c>
      <c r="L179" t="inlineStr">
        <is>
          <t>sin leyenda</t>
        </is>
      </c>
      <c r="M179" t="n">
        <v>39</v>
      </c>
      <c r="N179" t="n">
        <v>234000</v>
      </c>
      <c r="O179" t="n">
        <v>608550</v>
      </c>
      <c r="P179" t="inlineStr"/>
      <c r="Q179" t="n">
        <v>0.336</v>
      </c>
    </row>
    <row r="180">
      <c r="A180" t="inlineStr">
        <is>
          <t>MR24</t>
        </is>
      </c>
      <c r="B180" t="inlineStr">
        <is>
          <t>SIMULACIONES_MR2024_V3</t>
        </is>
      </c>
      <c r="C180" t="inlineStr">
        <is>
          <t>toneladas (6000 m3 x MR24_BD); pct sobre toneladas</t>
        </is>
      </c>
      <c r="D180" t="inlineStr">
        <is>
          <t>anio_LOM25_AMIN_LE2</t>
        </is>
      </c>
      <c r="E180" t="inlineStr">
        <is>
          <t>2028</t>
        </is>
      </c>
      <c r="F180" t="inlineStr">
        <is>
          <t>MR24_RT</t>
        </is>
      </c>
      <c r="G180" t="inlineStr">
        <is>
          <t>1</t>
        </is>
      </c>
      <c r="H180" t="inlineStr">
        <is>
          <t>Intrusivo</t>
        </is>
      </c>
      <c r="I180" t="inlineStr">
        <is>
          <t>RT1</t>
        </is>
      </c>
      <c r="J180" t="inlineStr">
        <is>
          <t>Geologia_2024=Intrusivo_1</t>
        </is>
      </c>
      <c r="K180" t="inlineStr">
        <is>
          <t>Intrusivo</t>
        </is>
      </c>
      <c r="L180" t="inlineStr">
        <is>
          <t>Intrusivo</t>
        </is>
      </c>
      <c r="M180" t="n">
        <v>1457</v>
      </c>
      <c r="N180" t="n">
        <v>8742000</v>
      </c>
      <c r="O180" t="n">
        <v>21307326</v>
      </c>
      <c r="P180" t="inlineStr"/>
      <c r="Q180" t="n">
        <v>12.371</v>
      </c>
    </row>
    <row r="181">
      <c r="A181" t="inlineStr">
        <is>
          <t>MR24</t>
        </is>
      </c>
      <c r="B181" t="inlineStr">
        <is>
          <t>SIMULACIONES_MR2024_V3</t>
        </is>
      </c>
      <c r="C181" t="inlineStr">
        <is>
          <t>toneladas (6000 m3 x MR24_BD); pct sobre toneladas</t>
        </is>
      </c>
      <c r="D181" t="inlineStr">
        <is>
          <t>anio_LOM25_AMIN_LE2</t>
        </is>
      </c>
      <c r="E181" t="inlineStr">
        <is>
          <t>2028</t>
        </is>
      </c>
      <c r="F181" t="inlineStr">
        <is>
          <t>MR24_RT</t>
        </is>
      </c>
      <c r="G181" t="inlineStr">
        <is>
          <t>2</t>
        </is>
      </c>
      <c r="H181" t="inlineStr">
        <is>
          <t>Intrusivo</t>
        </is>
      </c>
      <c r="I181" t="inlineStr">
        <is>
          <t>RT2</t>
        </is>
      </c>
      <c r="J181" t="inlineStr">
        <is>
          <t>Geologia_2024=Intrusivo_2</t>
        </is>
      </c>
      <c r="K181" t="inlineStr">
        <is>
          <t>Intrusivo</t>
        </is>
      </c>
      <c r="L181" t="inlineStr">
        <is>
          <t>Intrusivo</t>
        </is>
      </c>
      <c r="M181" t="n">
        <v>37</v>
      </c>
      <c r="N181" t="n">
        <v>222000</v>
      </c>
      <c r="O181" t="n">
        <v>597444</v>
      </c>
      <c r="P181" t="inlineStr"/>
      <c r="Q181" t="n">
        <v>0.347</v>
      </c>
    </row>
    <row r="182">
      <c r="A182" t="inlineStr">
        <is>
          <t>MR24</t>
        </is>
      </c>
      <c r="B182" t="inlineStr">
        <is>
          <t>SIMULACIONES_MR2024_V3</t>
        </is>
      </c>
      <c r="C182" t="inlineStr">
        <is>
          <t>toneladas (6000 m3 x MR24_BD); pct sobre toneladas</t>
        </is>
      </c>
      <c r="D182" t="inlineStr">
        <is>
          <t>anio_LOM25_AMIN_LE2</t>
        </is>
      </c>
      <c r="E182" t="inlineStr">
        <is>
          <t>2028</t>
        </is>
      </c>
      <c r="F182" t="inlineStr">
        <is>
          <t>MR24_RT</t>
        </is>
      </c>
      <c r="G182" t="inlineStr">
        <is>
          <t>10</t>
        </is>
      </c>
      <c r="H182" t="inlineStr">
        <is>
          <t>sin asignar</t>
        </is>
      </c>
      <c r="I182" t="inlineStr">
        <is>
          <t>Sedimentario_10</t>
        </is>
      </c>
      <c r="J182" t="inlineStr">
        <is>
          <t>Geologia_2024=Sedimentario_10 (no especifica caliza)</t>
        </is>
      </c>
      <c r="K182" t="inlineStr">
        <is>
          <t>Caliza (hipótesis: siglas C*)</t>
        </is>
      </c>
      <c r="L182" t="inlineStr">
        <is>
          <t>Sedimentario</t>
        </is>
      </c>
      <c r="M182" t="n">
        <v>291</v>
      </c>
      <c r="N182" t="n">
        <v>1746000</v>
      </c>
      <c r="O182" t="n">
        <v>4730388</v>
      </c>
      <c r="P182" t="inlineStr"/>
      <c r="Q182" t="n">
        <v>2.746</v>
      </c>
    </row>
    <row r="183">
      <c r="A183" t="inlineStr">
        <is>
          <t>MR24</t>
        </is>
      </c>
      <c r="B183" t="inlineStr">
        <is>
          <t>SIMULACIONES_MR2024_V3</t>
        </is>
      </c>
      <c r="C183" t="inlineStr">
        <is>
          <t>toneladas (6000 m3 x MR24_BD); pct sobre toneladas</t>
        </is>
      </c>
      <c r="D183" t="inlineStr">
        <is>
          <t>anio_LOM25_AMIN_LE2</t>
        </is>
      </c>
      <c r="E183" t="inlineStr">
        <is>
          <t>2028</t>
        </is>
      </c>
      <c r="F183" t="inlineStr">
        <is>
          <t>MR24_RT</t>
        </is>
      </c>
      <c r="G183" t="inlineStr">
        <is>
          <t>11</t>
        </is>
      </c>
      <c r="H183" t="inlineStr">
        <is>
          <t>sin asignar</t>
        </is>
      </c>
      <c r="I183" t="inlineStr">
        <is>
          <t>Sedimentario_11</t>
        </is>
      </c>
      <c r="J183" t="inlineStr">
        <is>
          <t>Geologia_2024=Sedimentario_11 (no especifica caliza)</t>
        </is>
      </c>
      <c r="K183" t="inlineStr">
        <is>
          <t>Caliza (hipótesis: Sedimentario; RT11~NUMEQ10, siglas C*)</t>
        </is>
      </c>
      <c r="L183" t="inlineStr">
        <is>
          <t>Sedimentario</t>
        </is>
      </c>
      <c r="M183" t="n">
        <v>1014</v>
      </c>
      <c r="N183" t="n">
        <v>6084000</v>
      </c>
      <c r="O183" t="n">
        <v>16526118</v>
      </c>
      <c r="P183" t="inlineStr"/>
      <c r="Q183" t="n">
        <v>9.595000000000001</v>
      </c>
    </row>
    <row r="184">
      <c r="A184" t="inlineStr">
        <is>
          <t>MR24</t>
        </is>
      </c>
      <c r="B184" t="inlineStr">
        <is>
          <t>SIMULACIONES_MR2024_V3</t>
        </is>
      </c>
      <c r="C184" t="inlineStr">
        <is>
          <t>toneladas (6000 m3 x MR24_BD); pct sobre toneladas</t>
        </is>
      </c>
      <c r="D184" t="inlineStr">
        <is>
          <t>anio_LOM25_AMIN_LE2</t>
        </is>
      </c>
      <c r="E184" t="inlineStr">
        <is>
          <t>2028</t>
        </is>
      </c>
      <c r="F184" t="inlineStr">
        <is>
          <t>MR24_RT</t>
        </is>
      </c>
      <c r="G184" t="inlineStr">
        <is>
          <t>13</t>
        </is>
      </c>
      <c r="H184" t="inlineStr">
        <is>
          <t>sin asignar</t>
        </is>
      </c>
      <c r="I184" t="inlineStr">
        <is>
          <t>Metamorfico_13</t>
        </is>
      </c>
      <c r="J184" t="inlineStr">
        <is>
          <t>Geologia_2024=Metamorfico_13 (no distingue hornfels/mármol)</t>
        </is>
      </c>
      <c r="K184" t="inlineStr">
        <is>
          <t>Hornfels (hipótesis: siglas HG, HGS, HC)</t>
        </is>
      </c>
      <c r="L184" t="inlineStr">
        <is>
          <t>Metamorfico</t>
        </is>
      </c>
      <c r="M184" t="n">
        <v>1477</v>
      </c>
      <c r="N184" t="n">
        <v>8862000</v>
      </c>
      <c r="O184" t="n">
        <v>23952492</v>
      </c>
      <c r="P184" t="inlineStr"/>
      <c r="Q184" t="n">
        <v>13.906</v>
      </c>
    </row>
    <row r="185">
      <c r="A185" t="inlineStr">
        <is>
          <t>MR24</t>
        </is>
      </c>
      <c r="B185" t="inlineStr">
        <is>
          <t>SIMULACIONES_MR2024_V3</t>
        </is>
      </c>
      <c r="C185" t="inlineStr">
        <is>
          <t>toneladas (6000 m3 x MR24_BD); pct sobre toneladas</t>
        </is>
      </c>
      <c r="D185" t="inlineStr">
        <is>
          <t>anio_LOM25_AMIN_LE2</t>
        </is>
      </c>
      <c r="E185" t="inlineStr">
        <is>
          <t>2028</t>
        </is>
      </c>
      <c r="F185" t="inlineStr">
        <is>
          <t>MR24_RT</t>
        </is>
      </c>
      <c r="G185" t="inlineStr">
        <is>
          <t>14</t>
        </is>
      </c>
      <c r="H185" t="inlineStr">
        <is>
          <t>sin asignar</t>
        </is>
      </c>
      <c r="I185" t="inlineStr">
        <is>
          <t>Metamorfico_14</t>
        </is>
      </c>
      <c r="J185" t="inlineStr">
        <is>
          <t>Geologia_2024=Metamorfico_14 (no distingue hornfels/mármol)</t>
        </is>
      </c>
      <c r="K185" t="inlineStr">
        <is>
          <t>Hornfels (hipótesis: siglas HBV, HGV, HCB, HDP; 'Diop. Hornfels'~HGV)</t>
        </is>
      </c>
      <c r="L185" t="inlineStr">
        <is>
          <t>Metamorfico</t>
        </is>
      </c>
      <c r="M185" t="n">
        <v>188</v>
      </c>
      <c r="N185" t="n">
        <v>1128000</v>
      </c>
      <c r="O185" t="n">
        <v>3204162</v>
      </c>
      <c r="P185" t="inlineStr"/>
      <c r="Q185" t="n">
        <v>1.86</v>
      </c>
    </row>
    <row r="186">
      <c r="A186" t="inlineStr">
        <is>
          <t>MR24</t>
        </is>
      </c>
      <c r="B186" t="inlineStr">
        <is>
          <t>SIMULACIONES_MR2024_V3</t>
        </is>
      </c>
      <c r="C186" t="inlineStr">
        <is>
          <t>toneladas (6000 m3 x MR24_BD); pct sobre toneladas</t>
        </is>
      </c>
      <c r="D186" t="inlineStr">
        <is>
          <t>anio_LOM25_AMIN_LE2</t>
        </is>
      </c>
      <c r="E186" t="inlineStr">
        <is>
          <t>2028</t>
        </is>
      </c>
      <c r="F186" t="inlineStr">
        <is>
          <t>MR24_RT</t>
        </is>
      </c>
      <c r="G186" t="inlineStr">
        <is>
          <t>16</t>
        </is>
      </c>
      <c r="H186" t="inlineStr">
        <is>
          <t>sin asignar</t>
        </is>
      </c>
      <c r="I186" t="inlineStr">
        <is>
          <t>Metamorfico_16</t>
        </is>
      </c>
      <c r="J186" t="inlineStr">
        <is>
          <t>Geologia_2024=Metamorfico_16 (no distingue hornfels/mármol)</t>
        </is>
      </c>
      <c r="K186" t="inlineStr">
        <is>
          <t>Mármol (hipótesis: siglas MC, MG, MGS, MPA, MCGB; 'Marble'~MCGB)</t>
        </is>
      </c>
      <c r="L186" t="inlineStr">
        <is>
          <t>Metamorfico</t>
        </is>
      </c>
      <c r="M186" t="n">
        <v>5892</v>
      </c>
      <c r="N186" t="n">
        <v>35352000</v>
      </c>
      <c r="O186" t="n">
        <v>95647332</v>
      </c>
      <c r="P186" t="inlineStr"/>
      <c r="Q186" t="n">
        <v>55.531</v>
      </c>
    </row>
    <row r="187">
      <c r="A187" t="inlineStr">
        <is>
          <t>MR24</t>
        </is>
      </c>
      <c r="B187" t="inlineStr">
        <is>
          <t>SIMULACIONES_MR2024_V3</t>
        </is>
      </c>
      <c r="C187" t="inlineStr">
        <is>
          <t>toneladas (6000 m3 x MR24_BD); pct sobre toneladas</t>
        </is>
      </c>
      <c r="D187" t="inlineStr">
        <is>
          <t>anio_LOM25_AMIN_LE2</t>
        </is>
      </c>
      <c r="E187" t="inlineStr">
        <is>
          <t>2028</t>
        </is>
      </c>
      <c r="F187" t="inlineStr">
        <is>
          <t>MR24_RT</t>
        </is>
      </c>
      <c r="G187" t="inlineStr">
        <is>
          <t>19</t>
        </is>
      </c>
      <c r="H187" t="inlineStr">
        <is>
          <t>sin asignar</t>
        </is>
      </c>
      <c r="I187" t="inlineStr">
        <is>
          <t>Metamorfico_19</t>
        </is>
      </c>
      <c r="J187" t="inlineStr">
        <is>
          <t>Geologia_2024=Metamorfico_19 (no distingue hornfels/mármol)</t>
        </is>
      </c>
      <c r="K187" t="inlineStr">
        <is>
          <t>Mármol (hipótesis: sigla MDP)</t>
        </is>
      </c>
      <c r="L187" t="inlineStr">
        <is>
          <t>Metamorfico</t>
        </is>
      </c>
      <c r="M187" t="n">
        <v>361</v>
      </c>
      <c r="N187" t="n">
        <v>2166000</v>
      </c>
      <c r="O187" t="n">
        <v>6127434</v>
      </c>
      <c r="P187" t="inlineStr"/>
      <c r="Q187" t="n">
        <v>3.557</v>
      </c>
    </row>
    <row r="188">
      <c r="A188" t="inlineStr">
        <is>
          <t>MR24</t>
        </is>
      </c>
      <c r="B188" t="inlineStr">
        <is>
          <t>SIMULACIONES_MR2024_V3</t>
        </is>
      </c>
      <c r="C188" t="inlineStr">
        <is>
          <t>toneladas (6000 m3 x MR24_BD); pct sobre toneladas</t>
        </is>
      </c>
      <c r="D188" t="inlineStr">
        <is>
          <t>anio_LOM25_AMIN_LE2</t>
        </is>
      </c>
      <c r="E188" t="inlineStr">
        <is>
          <t>2028</t>
        </is>
      </c>
      <c r="F188" t="inlineStr">
        <is>
          <t>MR24_RT</t>
        </is>
      </c>
      <c r="G188" t="inlineStr">
        <is>
          <t>53</t>
        </is>
      </c>
      <c r="H188" t="inlineStr">
        <is>
          <t>sin asignar</t>
        </is>
      </c>
      <c r="I188" t="inlineStr">
        <is>
          <t>RT53</t>
        </is>
      </c>
      <c r="J188" t="inlineStr">
        <is>
          <t>código sin etiqueta en los datos</t>
        </is>
      </c>
      <c r="K188" t="inlineStr">
        <is>
          <t>sin hipótesis</t>
        </is>
      </c>
      <c r="L188" t="inlineStr">
        <is>
          <t>sin leyenda</t>
        </is>
      </c>
      <c r="M188" t="n">
        <v>9</v>
      </c>
      <c r="N188" t="n">
        <v>54000</v>
      </c>
      <c r="O188" t="n">
        <v>148398</v>
      </c>
      <c r="P188" t="inlineStr"/>
      <c r="Q188" t="n">
        <v>0.08599999999999999</v>
      </c>
    </row>
    <row r="189">
      <c r="A189" t="inlineStr">
        <is>
          <t>MR24</t>
        </is>
      </c>
      <c r="B189" t="inlineStr">
        <is>
          <t>SIMULACIONES_MR2024_V3</t>
        </is>
      </c>
      <c r="C189" t="inlineStr">
        <is>
          <t>toneladas (6000 m3 x MR24_BD); pct sobre toneladas</t>
        </is>
      </c>
      <c r="D189" t="inlineStr">
        <is>
          <t>anio_LOM25_AMIN_LE2</t>
        </is>
      </c>
      <c r="E189" t="inlineStr">
        <is>
          <t>2029</t>
        </is>
      </c>
      <c r="F189" t="inlineStr">
        <is>
          <t>MR24_RT</t>
        </is>
      </c>
      <c r="G189" t="inlineStr">
        <is>
          <t>1</t>
        </is>
      </c>
      <c r="H189" t="inlineStr">
        <is>
          <t>Intrusivo</t>
        </is>
      </c>
      <c r="I189" t="inlineStr">
        <is>
          <t>RT1</t>
        </is>
      </c>
      <c r="J189" t="inlineStr">
        <is>
          <t>Geologia_2024=Intrusivo_1</t>
        </is>
      </c>
      <c r="K189" t="inlineStr">
        <is>
          <t>Intrusivo</t>
        </is>
      </c>
      <c r="L189" t="inlineStr">
        <is>
          <t>Intrusivo</t>
        </is>
      </c>
      <c r="M189" t="n">
        <v>2263</v>
      </c>
      <c r="N189" t="n">
        <v>13578000</v>
      </c>
      <c r="O189" t="n">
        <v>33171312</v>
      </c>
      <c r="P189" t="inlineStr"/>
      <c r="Q189" t="n">
        <v>15.316</v>
      </c>
    </row>
    <row r="190">
      <c r="A190" t="inlineStr">
        <is>
          <t>MR24</t>
        </is>
      </c>
      <c r="B190" t="inlineStr">
        <is>
          <t>SIMULACIONES_MR2024_V3</t>
        </is>
      </c>
      <c r="C190" t="inlineStr">
        <is>
          <t>toneladas (6000 m3 x MR24_BD); pct sobre toneladas</t>
        </is>
      </c>
      <c r="D190" t="inlineStr">
        <is>
          <t>anio_LOM25_AMIN_LE2</t>
        </is>
      </c>
      <c r="E190" t="inlineStr">
        <is>
          <t>2029</t>
        </is>
      </c>
      <c r="F190" t="inlineStr">
        <is>
          <t>MR24_RT</t>
        </is>
      </c>
      <c r="G190" t="inlineStr">
        <is>
          <t>2</t>
        </is>
      </c>
      <c r="H190" t="inlineStr">
        <is>
          <t>Intrusivo</t>
        </is>
      </c>
      <c r="I190" t="inlineStr">
        <is>
          <t>RT2</t>
        </is>
      </c>
      <c r="J190" t="inlineStr">
        <is>
          <t>Geologia_2024=Intrusivo_2</t>
        </is>
      </c>
      <c r="K190" t="inlineStr">
        <is>
          <t>Intrusivo</t>
        </is>
      </c>
      <c r="L190" t="inlineStr">
        <is>
          <t>Intrusivo</t>
        </is>
      </c>
      <c r="M190" t="n">
        <v>94</v>
      </c>
      <c r="N190" t="n">
        <v>564000</v>
      </c>
      <c r="O190" t="n">
        <v>1529214</v>
      </c>
      <c r="P190" t="inlineStr"/>
      <c r="Q190" t="n">
        <v>0.706</v>
      </c>
    </row>
    <row r="191">
      <c r="A191" t="inlineStr">
        <is>
          <t>MR24</t>
        </is>
      </c>
      <c r="B191" t="inlineStr">
        <is>
          <t>SIMULACIONES_MR2024_V3</t>
        </is>
      </c>
      <c r="C191" t="inlineStr">
        <is>
          <t>toneladas (6000 m3 x MR24_BD); pct sobre toneladas</t>
        </is>
      </c>
      <c r="D191" t="inlineStr">
        <is>
          <t>anio_LOM25_AMIN_LE2</t>
        </is>
      </c>
      <c r="E191" t="inlineStr">
        <is>
          <t>2029</t>
        </is>
      </c>
      <c r="F191" t="inlineStr">
        <is>
          <t>MR24_RT</t>
        </is>
      </c>
      <c r="G191" t="inlineStr">
        <is>
          <t>10</t>
        </is>
      </c>
      <c r="H191" t="inlineStr">
        <is>
          <t>sin asignar</t>
        </is>
      </c>
      <c r="I191" t="inlineStr">
        <is>
          <t>Sedimentario_10</t>
        </is>
      </c>
      <c r="J191" t="inlineStr">
        <is>
          <t>Geologia_2024=Sedimentario_10 (no especifica caliza)</t>
        </is>
      </c>
      <c r="K191" t="inlineStr">
        <is>
          <t>Caliza (hipótesis: siglas C*)</t>
        </is>
      </c>
      <c r="L191" t="inlineStr">
        <is>
          <t>Sedimentario</t>
        </is>
      </c>
      <c r="M191" t="n">
        <v>339</v>
      </c>
      <c r="N191" t="n">
        <v>2034000</v>
      </c>
      <c r="O191" t="n">
        <v>5518356</v>
      </c>
      <c r="P191" t="inlineStr"/>
      <c r="Q191" t="n">
        <v>2.548</v>
      </c>
    </row>
    <row r="192">
      <c r="A192" t="inlineStr">
        <is>
          <t>MR24</t>
        </is>
      </c>
      <c r="B192" t="inlineStr">
        <is>
          <t>SIMULACIONES_MR2024_V3</t>
        </is>
      </c>
      <c r="C192" t="inlineStr">
        <is>
          <t>toneladas (6000 m3 x MR24_BD); pct sobre toneladas</t>
        </is>
      </c>
      <c r="D192" t="inlineStr">
        <is>
          <t>anio_LOM25_AMIN_LE2</t>
        </is>
      </c>
      <c r="E192" t="inlineStr">
        <is>
          <t>2029</t>
        </is>
      </c>
      <c r="F192" t="inlineStr">
        <is>
          <t>MR24_RT</t>
        </is>
      </c>
      <c r="G192" t="inlineStr">
        <is>
          <t>11</t>
        </is>
      </c>
      <c r="H192" t="inlineStr">
        <is>
          <t>sin asignar</t>
        </is>
      </c>
      <c r="I192" t="inlineStr">
        <is>
          <t>Sedimentario_11</t>
        </is>
      </c>
      <c r="J192" t="inlineStr">
        <is>
          <t>Geologia_2024=Sedimentario_11 (no especifica caliza)</t>
        </is>
      </c>
      <c r="K192" t="inlineStr">
        <is>
          <t>Caliza (hipótesis: Sedimentario; RT11~NUMEQ10, siglas C*)</t>
        </is>
      </c>
      <c r="L192" t="inlineStr">
        <is>
          <t>Sedimentario</t>
        </is>
      </c>
      <c r="M192" t="n">
        <v>1486</v>
      </c>
      <c r="N192" t="n">
        <v>8916000</v>
      </c>
      <c r="O192" t="n">
        <v>24244086</v>
      </c>
      <c r="P192" t="inlineStr"/>
      <c r="Q192" t="n">
        <v>11.194</v>
      </c>
    </row>
    <row r="193">
      <c r="A193" t="inlineStr">
        <is>
          <t>MR24</t>
        </is>
      </c>
      <c r="B193" t="inlineStr">
        <is>
          <t>SIMULACIONES_MR2024_V3</t>
        </is>
      </c>
      <c r="C193" t="inlineStr">
        <is>
          <t>toneladas (6000 m3 x MR24_BD); pct sobre toneladas</t>
        </is>
      </c>
      <c r="D193" t="inlineStr">
        <is>
          <t>anio_LOM25_AMIN_LE2</t>
        </is>
      </c>
      <c r="E193" t="inlineStr">
        <is>
          <t>2029</t>
        </is>
      </c>
      <c r="F193" t="inlineStr">
        <is>
          <t>MR24_RT</t>
        </is>
      </c>
      <c r="G193" t="inlineStr">
        <is>
          <t>13</t>
        </is>
      </c>
      <c r="H193" t="inlineStr">
        <is>
          <t>sin asignar</t>
        </is>
      </c>
      <c r="I193" t="inlineStr">
        <is>
          <t>Metamorfico_13</t>
        </is>
      </c>
      <c r="J193" t="inlineStr">
        <is>
          <t>Geologia_2024=Metamorfico_13 (no distingue hornfels/mármol)</t>
        </is>
      </c>
      <c r="K193" t="inlineStr">
        <is>
          <t>Hornfels (hipótesis: siglas HG, HGS, HC)</t>
        </is>
      </c>
      <c r="L193" t="inlineStr">
        <is>
          <t>Metamorfico</t>
        </is>
      </c>
      <c r="M193" t="n">
        <v>3506</v>
      </c>
      <c r="N193" t="n">
        <v>21036000</v>
      </c>
      <c r="O193" t="n">
        <v>56939172</v>
      </c>
      <c r="P193" t="inlineStr"/>
      <c r="Q193" t="n">
        <v>26.29</v>
      </c>
    </row>
    <row r="194">
      <c r="A194" t="inlineStr">
        <is>
          <t>MR24</t>
        </is>
      </c>
      <c r="B194" t="inlineStr">
        <is>
          <t>SIMULACIONES_MR2024_V3</t>
        </is>
      </c>
      <c r="C194" t="inlineStr">
        <is>
          <t>toneladas (6000 m3 x MR24_BD); pct sobre toneladas</t>
        </is>
      </c>
      <c r="D194" t="inlineStr">
        <is>
          <t>anio_LOM25_AMIN_LE2</t>
        </is>
      </c>
      <c r="E194" t="inlineStr">
        <is>
          <t>2029</t>
        </is>
      </c>
      <c r="F194" t="inlineStr">
        <is>
          <t>MR24_RT</t>
        </is>
      </c>
      <c r="G194" t="inlineStr">
        <is>
          <t>14</t>
        </is>
      </c>
      <c r="H194" t="inlineStr">
        <is>
          <t>sin asignar</t>
        </is>
      </c>
      <c r="I194" t="inlineStr">
        <is>
          <t>Metamorfico_14</t>
        </is>
      </c>
      <c r="J194" t="inlineStr">
        <is>
          <t>Geologia_2024=Metamorfico_14 (no distingue hornfels/mármol)</t>
        </is>
      </c>
      <c r="K194" t="inlineStr">
        <is>
          <t>Hornfels (hipótesis: siglas HBV, HGV, HCB, HDP; 'Diop. Hornfels'~HGV)</t>
        </is>
      </c>
      <c r="L194" t="inlineStr">
        <is>
          <t>Metamorfico</t>
        </is>
      </c>
      <c r="M194" t="n">
        <v>951</v>
      </c>
      <c r="N194" t="n">
        <v>5706000</v>
      </c>
      <c r="O194" t="n">
        <v>16421688</v>
      </c>
      <c r="P194" t="inlineStr"/>
      <c r="Q194" t="n">
        <v>7.582</v>
      </c>
    </row>
    <row r="195">
      <c r="A195" t="inlineStr">
        <is>
          <t>MR24</t>
        </is>
      </c>
      <c r="B195" t="inlineStr">
        <is>
          <t>SIMULACIONES_MR2024_V3</t>
        </is>
      </c>
      <c r="C195" t="inlineStr">
        <is>
          <t>toneladas (6000 m3 x MR24_BD); pct sobre toneladas</t>
        </is>
      </c>
      <c r="D195" t="inlineStr">
        <is>
          <t>anio_LOM25_AMIN_LE2</t>
        </is>
      </c>
      <c r="E195" t="inlineStr">
        <is>
          <t>2029</t>
        </is>
      </c>
      <c r="F195" t="inlineStr">
        <is>
          <t>MR24_RT</t>
        </is>
      </c>
      <c r="G195" t="inlineStr">
        <is>
          <t>16</t>
        </is>
      </c>
      <c r="H195" t="inlineStr">
        <is>
          <t>sin asignar</t>
        </is>
      </c>
      <c r="I195" t="inlineStr">
        <is>
          <t>Metamorfico_16</t>
        </is>
      </c>
      <c r="J195" t="inlineStr">
        <is>
          <t>Geologia_2024=Metamorfico_16 (no distingue hornfels/mármol)</t>
        </is>
      </c>
      <c r="K195" t="inlineStr">
        <is>
          <t>Mármol (hipótesis: siglas MC, MG, MGS, MPA, MCGB; 'Marble'~MCGB)</t>
        </is>
      </c>
      <c r="L195" t="inlineStr">
        <is>
          <t>Metamorfico</t>
        </is>
      </c>
      <c r="M195" t="n">
        <v>4537</v>
      </c>
      <c r="N195" t="n">
        <v>27222000</v>
      </c>
      <c r="O195" t="n">
        <v>73877604</v>
      </c>
      <c r="P195" t="inlineStr"/>
      <c r="Q195" t="n">
        <v>34.111</v>
      </c>
    </row>
    <row r="196">
      <c r="A196" t="inlineStr">
        <is>
          <t>MR24</t>
        </is>
      </c>
      <c r="B196" t="inlineStr">
        <is>
          <t>SIMULACIONES_MR2024_V3</t>
        </is>
      </c>
      <c r="C196" t="inlineStr">
        <is>
          <t>toneladas (6000 m3 x MR24_BD); pct sobre toneladas</t>
        </is>
      </c>
      <c r="D196" t="inlineStr">
        <is>
          <t>anio_LOM25_AMIN_LE2</t>
        </is>
      </c>
      <c r="E196" t="inlineStr">
        <is>
          <t>2029</t>
        </is>
      </c>
      <c r="F196" t="inlineStr">
        <is>
          <t>MR24_RT</t>
        </is>
      </c>
      <c r="G196" t="inlineStr">
        <is>
          <t>19</t>
        </is>
      </c>
      <c r="H196" t="inlineStr">
        <is>
          <t>sin asignar</t>
        </is>
      </c>
      <c r="I196" t="inlineStr">
        <is>
          <t>Metamorfico_19</t>
        </is>
      </c>
      <c r="J196" t="inlineStr">
        <is>
          <t>Geologia_2024=Metamorfico_19 (no distingue hornfels/mármol)</t>
        </is>
      </c>
      <c r="K196" t="inlineStr">
        <is>
          <t>Mármol (hipótesis: sigla MDP)</t>
        </is>
      </c>
      <c r="L196" t="inlineStr">
        <is>
          <t>Metamorfico</t>
        </is>
      </c>
      <c r="M196" t="n">
        <v>248</v>
      </c>
      <c r="N196" t="n">
        <v>1488000</v>
      </c>
      <c r="O196" t="n">
        <v>4249266</v>
      </c>
      <c r="P196" t="inlineStr"/>
      <c r="Q196" t="n">
        <v>1.962</v>
      </c>
    </row>
    <row r="197">
      <c r="A197" t="inlineStr">
        <is>
          <t>MR24</t>
        </is>
      </c>
      <c r="B197" t="inlineStr">
        <is>
          <t>SIMULACIONES_MR2024_V3</t>
        </is>
      </c>
      <c r="C197" t="inlineStr">
        <is>
          <t>toneladas (6000 m3 x MR24_BD); pct sobre toneladas</t>
        </is>
      </c>
      <c r="D197" t="inlineStr">
        <is>
          <t>anio_LOM25_AMIN_LE2</t>
        </is>
      </c>
      <c r="E197" t="inlineStr">
        <is>
          <t>2029</t>
        </is>
      </c>
      <c r="F197" t="inlineStr">
        <is>
          <t>MR24_RT</t>
        </is>
      </c>
      <c r="G197" t="inlineStr">
        <is>
          <t>53</t>
        </is>
      </c>
      <c r="H197" t="inlineStr">
        <is>
          <t>sin asignar</t>
        </is>
      </c>
      <c r="I197" t="inlineStr">
        <is>
          <t>RT53</t>
        </is>
      </c>
      <c r="J197" t="inlineStr">
        <is>
          <t>código sin etiqueta en los datos</t>
        </is>
      </c>
      <c r="K197" t="inlineStr">
        <is>
          <t>sin hipótesis</t>
        </is>
      </c>
      <c r="L197" t="inlineStr">
        <is>
          <t>sin leyenda</t>
        </is>
      </c>
      <c r="M197" t="n">
        <v>41</v>
      </c>
      <c r="N197" t="n">
        <v>246000</v>
      </c>
      <c r="O197" t="n">
        <v>629808</v>
      </c>
      <c r="P197" t="inlineStr"/>
      <c r="Q197" t="n">
        <v>0.291</v>
      </c>
    </row>
    <row r="198">
      <c r="A198" t="inlineStr">
        <is>
          <t>MR24</t>
        </is>
      </c>
      <c r="B198" t="inlineStr">
        <is>
          <t>SIMULACIONES_MR2024_V3</t>
        </is>
      </c>
      <c r="C198" t="inlineStr">
        <is>
          <t>toneladas (6000 m3 x MR24_BD); pct sobre toneladas</t>
        </is>
      </c>
      <c r="D198" t="inlineStr">
        <is>
          <t>anio_LOM25_AMIN_LE2</t>
        </is>
      </c>
      <c r="E198" t="inlineStr">
        <is>
          <t>2030</t>
        </is>
      </c>
      <c r="F198" t="inlineStr">
        <is>
          <t>MR24_RT</t>
        </is>
      </c>
      <c r="G198" t="inlineStr">
        <is>
          <t>1</t>
        </is>
      </c>
      <c r="H198" t="inlineStr">
        <is>
          <t>Intrusivo</t>
        </is>
      </c>
      <c r="I198" t="inlineStr">
        <is>
          <t>RT1</t>
        </is>
      </c>
      <c r="J198" t="inlineStr">
        <is>
          <t>Geologia_2024=Intrusivo_1</t>
        </is>
      </c>
      <c r="K198" t="inlineStr">
        <is>
          <t>Intrusivo</t>
        </is>
      </c>
      <c r="L198" t="inlineStr">
        <is>
          <t>Intrusivo</t>
        </is>
      </c>
      <c r="M198" t="n">
        <v>1937</v>
      </c>
      <c r="N198" t="n">
        <v>11622000</v>
      </c>
      <c r="O198" t="n">
        <v>28446060</v>
      </c>
      <c r="P198" t="inlineStr"/>
      <c r="Q198" t="n">
        <v>12.141</v>
      </c>
    </row>
    <row r="199">
      <c r="A199" t="inlineStr">
        <is>
          <t>MR24</t>
        </is>
      </c>
      <c r="B199" t="inlineStr">
        <is>
          <t>SIMULACIONES_MR2024_V3</t>
        </is>
      </c>
      <c r="C199" t="inlineStr">
        <is>
          <t>toneladas (6000 m3 x MR24_BD); pct sobre toneladas</t>
        </is>
      </c>
      <c r="D199" t="inlineStr">
        <is>
          <t>anio_LOM25_AMIN_LE2</t>
        </is>
      </c>
      <c r="E199" t="inlineStr">
        <is>
          <t>2030</t>
        </is>
      </c>
      <c r="F199" t="inlineStr">
        <is>
          <t>MR24_RT</t>
        </is>
      </c>
      <c r="G199" t="inlineStr">
        <is>
          <t>2</t>
        </is>
      </c>
      <c r="H199" t="inlineStr">
        <is>
          <t>Intrusivo</t>
        </is>
      </c>
      <c r="I199" t="inlineStr">
        <is>
          <t>RT2</t>
        </is>
      </c>
      <c r="J199" t="inlineStr">
        <is>
          <t>Geologia_2024=Intrusivo_2</t>
        </is>
      </c>
      <c r="K199" t="inlineStr">
        <is>
          <t>Intrusivo</t>
        </is>
      </c>
      <c r="L199" t="inlineStr">
        <is>
          <t>Intrusivo</t>
        </is>
      </c>
      <c r="M199" t="n">
        <v>169</v>
      </c>
      <c r="N199" t="n">
        <v>1014000</v>
      </c>
      <c r="O199" t="n">
        <v>2742810</v>
      </c>
      <c r="P199" t="inlineStr"/>
      <c r="Q199" t="n">
        <v>1.171</v>
      </c>
    </row>
    <row r="200">
      <c r="A200" t="inlineStr">
        <is>
          <t>MR24</t>
        </is>
      </c>
      <c r="B200" t="inlineStr">
        <is>
          <t>SIMULACIONES_MR2024_V3</t>
        </is>
      </c>
      <c r="C200" t="inlineStr">
        <is>
          <t>toneladas (6000 m3 x MR24_BD); pct sobre toneladas</t>
        </is>
      </c>
      <c r="D200" t="inlineStr">
        <is>
          <t>anio_LOM25_AMIN_LE2</t>
        </is>
      </c>
      <c r="E200" t="inlineStr">
        <is>
          <t>2030</t>
        </is>
      </c>
      <c r="F200" t="inlineStr">
        <is>
          <t>MR24_RT</t>
        </is>
      </c>
      <c r="G200" t="inlineStr">
        <is>
          <t>10</t>
        </is>
      </c>
      <c r="H200" t="inlineStr">
        <is>
          <t>sin asignar</t>
        </is>
      </c>
      <c r="I200" t="inlineStr">
        <is>
          <t>Sedimentario_10</t>
        </is>
      </c>
      <c r="J200" t="inlineStr">
        <is>
          <t>Geologia_2024=Sedimentario_10 (no especifica caliza)</t>
        </is>
      </c>
      <c r="K200" t="inlineStr">
        <is>
          <t>Caliza (hipótesis: siglas C*)</t>
        </is>
      </c>
      <c r="L200" t="inlineStr">
        <is>
          <t>Sedimentario</t>
        </is>
      </c>
      <c r="M200" t="n">
        <v>711</v>
      </c>
      <c r="N200" t="n">
        <v>4266000</v>
      </c>
      <c r="O200" t="n">
        <v>11540724</v>
      </c>
      <c r="P200" t="inlineStr"/>
      <c r="Q200" t="n">
        <v>4.926</v>
      </c>
    </row>
    <row r="201">
      <c r="A201" t="inlineStr">
        <is>
          <t>MR24</t>
        </is>
      </c>
      <c r="B201" t="inlineStr">
        <is>
          <t>SIMULACIONES_MR2024_V3</t>
        </is>
      </c>
      <c r="C201" t="inlineStr">
        <is>
          <t>toneladas (6000 m3 x MR24_BD); pct sobre toneladas</t>
        </is>
      </c>
      <c r="D201" t="inlineStr">
        <is>
          <t>anio_LOM25_AMIN_LE2</t>
        </is>
      </c>
      <c r="E201" t="inlineStr">
        <is>
          <t>2030</t>
        </is>
      </c>
      <c r="F201" t="inlineStr">
        <is>
          <t>MR24_RT</t>
        </is>
      </c>
      <c r="G201" t="inlineStr">
        <is>
          <t>11</t>
        </is>
      </c>
      <c r="H201" t="inlineStr">
        <is>
          <t>sin asignar</t>
        </is>
      </c>
      <c r="I201" t="inlineStr">
        <is>
          <t>Sedimentario_11</t>
        </is>
      </c>
      <c r="J201" t="inlineStr">
        <is>
          <t>Geologia_2024=Sedimentario_11 (no especifica caliza)</t>
        </is>
      </c>
      <c r="K201" t="inlineStr">
        <is>
          <t>Caliza (hipótesis: Sedimentario; RT11~NUMEQ10, siglas C*)</t>
        </is>
      </c>
      <c r="L201" t="inlineStr">
        <is>
          <t>Sedimentario</t>
        </is>
      </c>
      <c r="M201" t="n">
        <v>2165</v>
      </c>
      <c r="N201" t="n">
        <v>12990000</v>
      </c>
      <c r="O201" t="n">
        <v>35166276</v>
      </c>
      <c r="P201" t="inlineStr"/>
      <c r="Q201" t="n">
        <v>15.01</v>
      </c>
    </row>
    <row r="202">
      <c r="A202" t="inlineStr">
        <is>
          <t>MR24</t>
        </is>
      </c>
      <c r="B202" t="inlineStr">
        <is>
          <t>SIMULACIONES_MR2024_V3</t>
        </is>
      </c>
      <c r="C202" t="inlineStr">
        <is>
          <t>toneladas (6000 m3 x MR24_BD); pct sobre toneladas</t>
        </is>
      </c>
      <c r="D202" t="inlineStr">
        <is>
          <t>anio_LOM25_AMIN_LE2</t>
        </is>
      </c>
      <c r="E202" t="inlineStr">
        <is>
          <t>2030</t>
        </is>
      </c>
      <c r="F202" t="inlineStr">
        <is>
          <t>MR24_RT</t>
        </is>
      </c>
      <c r="G202" t="inlineStr">
        <is>
          <t>13</t>
        </is>
      </c>
      <c r="H202" t="inlineStr">
        <is>
          <t>sin asignar</t>
        </is>
      </c>
      <c r="I202" t="inlineStr">
        <is>
          <t>Metamorfico_13</t>
        </is>
      </c>
      <c r="J202" t="inlineStr">
        <is>
          <t>Geologia_2024=Metamorfico_13 (no distingue hornfels/mármol)</t>
        </is>
      </c>
      <c r="K202" t="inlineStr">
        <is>
          <t>Hornfels (hipótesis: siglas HG, HGS, HC)</t>
        </is>
      </c>
      <c r="L202" t="inlineStr">
        <is>
          <t>Metamorfico</t>
        </is>
      </c>
      <c r="M202" t="n">
        <v>4981</v>
      </c>
      <c r="N202" t="n">
        <v>29886000</v>
      </c>
      <c r="O202" t="n">
        <v>81020124</v>
      </c>
      <c r="P202" t="inlineStr"/>
      <c r="Q202" t="n">
        <v>34.581</v>
      </c>
    </row>
    <row r="203">
      <c r="A203" t="inlineStr">
        <is>
          <t>MR24</t>
        </is>
      </c>
      <c r="B203" t="inlineStr">
        <is>
          <t>SIMULACIONES_MR2024_V3</t>
        </is>
      </c>
      <c r="C203" t="inlineStr">
        <is>
          <t>toneladas (6000 m3 x MR24_BD); pct sobre toneladas</t>
        </is>
      </c>
      <c r="D203" t="inlineStr">
        <is>
          <t>anio_LOM25_AMIN_LE2</t>
        </is>
      </c>
      <c r="E203" t="inlineStr">
        <is>
          <t>2030</t>
        </is>
      </c>
      <c r="F203" t="inlineStr">
        <is>
          <t>MR24_RT</t>
        </is>
      </c>
      <c r="G203" t="inlineStr">
        <is>
          <t>14</t>
        </is>
      </c>
      <c r="H203" t="inlineStr">
        <is>
          <t>sin asignar</t>
        </is>
      </c>
      <c r="I203" t="inlineStr">
        <is>
          <t>Metamorfico_14</t>
        </is>
      </c>
      <c r="J203" t="inlineStr">
        <is>
          <t>Geologia_2024=Metamorfico_14 (no distingue hornfels/mármol)</t>
        </is>
      </c>
      <c r="K203" t="inlineStr">
        <is>
          <t>Hornfels (hipótesis: siglas HBV, HGV, HCB, HDP; 'Diop. Hornfels'~HGV)</t>
        </is>
      </c>
      <c r="L203" t="inlineStr">
        <is>
          <t>Metamorfico</t>
        </is>
      </c>
      <c r="M203" t="n">
        <v>1056</v>
      </c>
      <c r="N203" t="n">
        <v>6336000</v>
      </c>
      <c r="O203" t="n">
        <v>18038166</v>
      </c>
      <c r="P203" t="inlineStr"/>
      <c r="Q203" t="n">
        <v>7.699</v>
      </c>
    </row>
    <row r="204">
      <c r="A204" t="inlineStr">
        <is>
          <t>MR24</t>
        </is>
      </c>
      <c r="B204" t="inlineStr">
        <is>
          <t>SIMULACIONES_MR2024_V3</t>
        </is>
      </c>
      <c r="C204" t="inlineStr">
        <is>
          <t>toneladas (6000 m3 x MR24_BD); pct sobre toneladas</t>
        </is>
      </c>
      <c r="D204" t="inlineStr">
        <is>
          <t>anio_LOM25_AMIN_LE2</t>
        </is>
      </c>
      <c r="E204" t="inlineStr">
        <is>
          <t>2030</t>
        </is>
      </c>
      <c r="F204" t="inlineStr">
        <is>
          <t>MR24_RT</t>
        </is>
      </c>
      <c r="G204" t="inlineStr">
        <is>
          <t>16</t>
        </is>
      </c>
      <c r="H204" t="inlineStr">
        <is>
          <t>sin asignar</t>
        </is>
      </c>
      <c r="I204" t="inlineStr">
        <is>
          <t>Metamorfico_16</t>
        </is>
      </c>
      <c r="J204" t="inlineStr">
        <is>
          <t>Geologia_2024=Metamorfico_16 (no distingue hornfels/mármol)</t>
        </is>
      </c>
      <c r="K204" t="inlineStr">
        <is>
          <t>Mármol (hipótesis: siglas MC, MG, MGS, MPA, MCGB; 'Marble'~MCGB)</t>
        </is>
      </c>
      <c r="L204" t="inlineStr">
        <is>
          <t>Metamorfico</t>
        </is>
      </c>
      <c r="M204" t="n">
        <v>2988</v>
      </c>
      <c r="N204" t="n">
        <v>17928000</v>
      </c>
      <c r="O204" t="n">
        <v>48851004</v>
      </c>
      <c r="P204" t="inlineStr"/>
      <c r="Q204" t="n">
        <v>20.851</v>
      </c>
    </row>
    <row r="205">
      <c r="A205" t="inlineStr">
        <is>
          <t>MR24</t>
        </is>
      </c>
      <c r="B205" t="inlineStr">
        <is>
          <t>SIMULACIONES_MR2024_V3</t>
        </is>
      </c>
      <c r="C205" t="inlineStr">
        <is>
          <t>toneladas (6000 m3 x MR24_BD); pct sobre toneladas</t>
        </is>
      </c>
      <c r="D205" t="inlineStr">
        <is>
          <t>anio_LOM25_AMIN_LE2</t>
        </is>
      </c>
      <c r="E205" t="inlineStr">
        <is>
          <t>2030</t>
        </is>
      </c>
      <c r="F205" t="inlineStr">
        <is>
          <t>MR24_RT</t>
        </is>
      </c>
      <c r="G205" t="inlineStr">
        <is>
          <t>19</t>
        </is>
      </c>
      <c r="H205" t="inlineStr">
        <is>
          <t>sin asignar</t>
        </is>
      </c>
      <c r="I205" t="inlineStr">
        <is>
          <t>Metamorfico_19</t>
        </is>
      </c>
      <c r="J205" t="inlineStr">
        <is>
          <t>Geologia_2024=Metamorfico_19 (no distingue hornfels/mármol)</t>
        </is>
      </c>
      <c r="K205" t="inlineStr">
        <is>
          <t>Mármol (hipótesis: sigla MDP)</t>
        </is>
      </c>
      <c r="L205" t="inlineStr">
        <is>
          <t>Metamorfico</t>
        </is>
      </c>
      <c r="M205" t="n">
        <v>467</v>
      </c>
      <c r="N205" t="n">
        <v>2802000</v>
      </c>
      <c r="O205" t="n">
        <v>7990872</v>
      </c>
      <c r="P205" t="inlineStr"/>
      <c r="Q205" t="n">
        <v>3.411</v>
      </c>
    </row>
    <row r="206">
      <c r="A206" t="inlineStr">
        <is>
          <t>MR24</t>
        </is>
      </c>
      <c r="B206" t="inlineStr">
        <is>
          <t>SIMULACIONES_MR2024_V3</t>
        </is>
      </c>
      <c r="C206" t="inlineStr">
        <is>
          <t>toneladas (6000 m3 x MR24_BD); pct sobre toneladas</t>
        </is>
      </c>
      <c r="D206" t="inlineStr">
        <is>
          <t>anio_LOM25_AMIN_LE2</t>
        </is>
      </c>
      <c r="E206" t="inlineStr">
        <is>
          <t>2030</t>
        </is>
      </c>
      <c r="F206" t="inlineStr">
        <is>
          <t>MR24_RT</t>
        </is>
      </c>
      <c r="G206" t="inlineStr">
        <is>
          <t>53</t>
        </is>
      </c>
      <c r="H206" t="inlineStr">
        <is>
          <t>sin asignar</t>
        </is>
      </c>
      <c r="I206" t="inlineStr">
        <is>
          <t>RT53</t>
        </is>
      </c>
      <c r="J206" t="inlineStr">
        <is>
          <t>código sin etiqueta en los datos</t>
        </is>
      </c>
      <c r="K206" t="inlineStr">
        <is>
          <t>sin hipótesis</t>
        </is>
      </c>
      <c r="L206" t="inlineStr">
        <is>
          <t>sin leyenda</t>
        </is>
      </c>
      <c r="M206" t="n">
        <v>31</v>
      </c>
      <c r="N206" t="n">
        <v>186000</v>
      </c>
      <c r="O206" t="n">
        <v>492822</v>
      </c>
      <c r="P206" t="inlineStr"/>
      <c r="Q206" t="n">
        <v>0.21</v>
      </c>
    </row>
    <row r="207">
      <c r="A207" t="inlineStr">
        <is>
          <t>MR24</t>
        </is>
      </c>
      <c r="B207" t="inlineStr">
        <is>
          <t>SIMULACIONES_MR2024_V3</t>
        </is>
      </c>
      <c r="C207" t="inlineStr">
        <is>
          <t>toneladas (6000 m3 x MR24_BD); pct sobre toneladas</t>
        </is>
      </c>
      <c r="D207" t="inlineStr">
        <is>
          <t>anio_LOM25_AMIN_LE2</t>
        </is>
      </c>
      <c r="E207" t="inlineStr">
        <is>
          <t>2031</t>
        </is>
      </c>
      <c r="F207" t="inlineStr">
        <is>
          <t>MR24_RT</t>
        </is>
      </c>
      <c r="G207" t="inlineStr">
        <is>
          <t>1</t>
        </is>
      </c>
      <c r="H207" t="inlineStr">
        <is>
          <t>Intrusivo</t>
        </is>
      </c>
      <c r="I207" t="inlineStr">
        <is>
          <t>RT1</t>
        </is>
      </c>
      <c r="J207" t="inlineStr">
        <is>
          <t>Geologia_2024=Intrusivo_1</t>
        </is>
      </c>
      <c r="K207" t="inlineStr">
        <is>
          <t>Intrusivo</t>
        </is>
      </c>
      <c r="L207" t="inlineStr">
        <is>
          <t>Intrusivo</t>
        </is>
      </c>
      <c r="M207" t="n">
        <v>1665</v>
      </c>
      <c r="N207" t="n">
        <v>9990000</v>
      </c>
      <c r="O207" t="n">
        <v>24628626</v>
      </c>
      <c r="P207" t="inlineStr"/>
      <c r="Q207" t="n">
        <v>10.755</v>
      </c>
    </row>
    <row r="208">
      <c r="A208" t="inlineStr">
        <is>
          <t>MR24</t>
        </is>
      </c>
      <c r="B208" t="inlineStr">
        <is>
          <t>SIMULACIONES_MR2024_V3</t>
        </is>
      </c>
      <c r="C208" t="inlineStr">
        <is>
          <t>toneladas (6000 m3 x MR24_BD); pct sobre toneladas</t>
        </is>
      </c>
      <c r="D208" t="inlineStr">
        <is>
          <t>anio_LOM25_AMIN_LE2</t>
        </is>
      </c>
      <c r="E208" t="inlineStr">
        <is>
          <t>2031</t>
        </is>
      </c>
      <c r="F208" t="inlineStr">
        <is>
          <t>MR24_RT</t>
        </is>
      </c>
      <c r="G208" t="inlineStr">
        <is>
          <t>2</t>
        </is>
      </c>
      <c r="H208" t="inlineStr">
        <is>
          <t>Intrusivo</t>
        </is>
      </c>
      <c r="I208" t="inlineStr">
        <is>
          <t>RT2</t>
        </is>
      </c>
      <c r="J208" t="inlineStr">
        <is>
          <t>Geologia_2024=Intrusivo_2</t>
        </is>
      </c>
      <c r="K208" t="inlineStr">
        <is>
          <t>Intrusivo</t>
        </is>
      </c>
      <c r="L208" t="inlineStr">
        <is>
          <t>Intrusivo</t>
        </is>
      </c>
      <c r="M208" t="n">
        <v>260</v>
      </c>
      <c r="N208" t="n">
        <v>1560000</v>
      </c>
      <c r="O208" t="n">
        <v>4231032</v>
      </c>
      <c r="P208" t="inlineStr"/>
      <c r="Q208" t="n">
        <v>1.848</v>
      </c>
    </row>
    <row r="209">
      <c r="A209" t="inlineStr">
        <is>
          <t>MR24</t>
        </is>
      </c>
      <c r="B209" t="inlineStr">
        <is>
          <t>SIMULACIONES_MR2024_V3</t>
        </is>
      </c>
      <c r="C209" t="inlineStr">
        <is>
          <t>toneladas (6000 m3 x MR24_BD); pct sobre toneladas</t>
        </is>
      </c>
      <c r="D209" t="inlineStr">
        <is>
          <t>anio_LOM25_AMIN_LE2</t>
        </is>
      </c>
      <c r="E209" t="inlineStr">
        <is>
          <t>2031</t>
        </is>
      </c>
      <c r="F209" t="inlineStr">
        <is>
          <t>MR24_RT</t>
        </is>
      </c>
      <c r="G209" t="inlineStr">
        <is>
          <t>10</t>
        </is>
      </c>
      <c r="H209" t="inlineStr">
        <is>
          <t>sin asignar</t>
        </is>
      </c>
      <c r="I209" t="inlineStr">
        <is>
          <t>Sedimentario_10</t>
        </is>
      </c>
      <c r="J209" t="inlineStr">
        <is>
          <t>Geologia_2024=Sedimentario_10 (no especifica caliza)</t>
        </is>
      </c>
      <c r="K209" t="inlineStr">
        <is>
          <t>Caliza (hipótesis: siglas C*)</t>
        </is>
      </c>
      <c r="L209" t="inlineStr">
        <is>
          <t>Sedimentario</t>
        </is>
      </c>
      <c r="M209" t="n">
        <v>1182</v>
      </c>
      <c r="N209" t="n">
        <v>7092000</v>
      </c>
      <c r="O209" t="n">
        <v>19145796</v>
      </c>
      <c r="P209" t="inlineStr"/>
      <c r="Q209" t="n">
        <v>8.361000000000001</v>
      </c>
    </row>
    <row r="210">
      <c r="A210" t="inlineStr">
        <is>
          <t>MR24</t>
        </is>
      </c>
      <c r="B210" t="inlineStr">
        <is>
          <t>SIMULACIONES_MR2024_V3</t>
        </is>
      </c>
      <c r="C210" t="inlineStr">
        <is>
          <t>toneladas (6000 m3 x MR24_BD); pct sobre toneladas</t>
        </is>
      </c>
      <c r="D210" t="inlineStr">
        <is>
          <t>anio_LOM25_AMIN_LE2</t>
        </is>
      </c>
      <c r="E210" t="inlineStr">
        <is>
          <t>2031</t>
        </is>
      </c>
      <c r="F210" t="inlineStr">
        <is>
          <t>MR24_RT</t>
        </is>
      </c>
      <c r="G210" t="inlineStr">
        <is>
          <t>11</t>
        </is>
      </c>
      <c r="H210" t="inlineStr">
        <is>
          <t>sin asignar</t>
        </is>
      </c>
      <c r="I210" t="inlineStr">
        <is>
          <t>Sedimentario_11</t>
        </is>
      </c>
      <c r="J210" t="inlineStr">
        <is>
          <t>Geologia_2024=Sedimentario_11 (no especifica caliza)</t>
        </is>
      </c>
      <c r="K210" t="inlineStr">
        <is>
          <t>Caliza (hipótesis: Sedimentario; RT11~NUMEQ10, siglas C*)</t>
        </is>
      </c>
      <c r="L210" t="inlineStr">
        <is>
          <t>Sedimentario</t>
        </is>
      </c>
      <c r="M210" t="n">
        <v>4978</v>
      </c>
      <c r="N210" t="n">
        <v>29868000</v>
      </c>
      <c r="O210" t="n">
        <v>80879664</v>
      </c>
      <c r="P210" t="inlineStr"/>
      <c r="Q210" t="n">
        <v>35.32</v>
      </c>
    </row>
    <row r="211">
      <c r="A211" t="inlineStr">
        <is>
          <t>MR24</t>
        </is>
      </c>
      <c r="B211" t="inlineStr">
        <is>
          <t>SIMULACIONES_MR2024_V3</t>
        </is>
      </c>
      <c r="C211" t="inlineStr">
        <is>
          <t>toneladas (6000 m3 x MR24_BD); pct sobre toneladas</t>
        </is>
      </c>
      <c r="D211" t="inlineStr">
        <is>
          <t>anio_LOM25_AMIN_LE2</t>
        </is>
      </c>
      <c r="E211" t="inlineStr">
        <is>
          <t>2031</t>
        </is>
      </c>
      <c r="F211" t="inlineStr">
        <is>
          <t>MR24_RT</t>
        </is>
      </c>
      <c r="G211" t="inlineStr">
        <is>
          <t>13</t>
        </is>
      </c>
      <c r="H211" t="inlineStr">
        <is>
          <t>sin asignar</t>
        </is>
      </c>
      <c r="I211" t="inlineStr">
        <is>
          <t>Metamorfico_13</t>
        </is>
      </c>
      <c r="J211" t="inlineStr">
        <is>
          <t>Geologia_2024=Metamorfico_13 (no distingue hornfels/mármol)</t>
        </is>
      </c>
      <c r="K211" t="inlineStr">
        <is>
          <t>Hornfels (hipótesis: siglas HG, HGS, HC)</t>
        </is>
      </c>
      <c r="L211" t="inlineStr">
        <is>
          <t>Metamorfico</t>
        </is>
      </c>
      <c r="M211" t="n">
        <v>3009</v>
      </c>
      <c r="N211" t="n">
        <v>18054000</v>
      </c>
      <c r="O211" t="n">
        <v>49120812</v>
      </c>
      <c r="P211" t="inlineStr"/>
      <c r="Q211" t="n">
        <v>21.451</v>
      </c>
    </row>
    <row r="212">
      <c r="A212" t="inlineStr">
        <is>
          <t>MR24</t>
        </is>
      </c>
      <c r="B212" t="inlineStr">
        <is>
          <t>SIMULACIONES_MR2024_V3</t>
        </is>
      </c>
      <c r="C212" t="inlineStr">
        <is>
          <t>toneladas (6000 m3 x MR24_BD); pct sobre toneladas</t>
        </is>
      </c>
      <c r="D212" t="inlineStr">
        <is>
          <t>anio_LOM25_AMIN_LE2</t>
        </is>
      </c>
      <c r="E212" t="inlineStr">
        <is>
          <t>2031</t>
        </is>
      </c>
      <c r="F212" t="inlineStr">
        <is>
          <t>MR24_RT</t>
        </is>
      </c>
      <c r="G212" t="inlineStr">
        <is>
          <t>14</t>
        </is>
      </c>
      <c r="H212" t="inlineStr">
        <is>
          <t>sin asignar</t>
        </is>
      </c>
      <c r="I212" t="inlineStr">
        <is>
          <t>Metamorfico_14</t>
        </is>
      </c>
      <c r="J212" t="inlineStr">
        <is>
          <t>Geologia_2024=Metamorfico_14 (no distingue hornfels/mármol)</t>
        </is>
      </c>
      <c r="K212" t="inlineStr">
        <is>
          <t>Hornfels (hipótesis: siglas HBV, HGV, HCB, HDP; 'Diop. Hornfels'~HGV)</t>
        </is>
      </c>
      <c r="L212" t="inlineStr">
        <is>
          <t>Metamorfico</t>
        </is>
      </c>
      <c r="M212" t="n">
        <v>462</v>
      </c>
      <c r="N212" t="n">
        <v>2772000</v>
      </c>
      <c r="O212" t="n">
        <v>7840068</v>
      </c>
      <c r="P212" t="inlineStr"/>
      <c r="Q212" t="n">
        <v>3.424</v>
      </c>
    </row>
    <row r="213">
      <c r="A213" t="inlineStr">
        <is>
          <t>MR24</t>
        </is>
      </c>
      <c r="B213" t="inlineStr">
        <is>
          <t>SIMULACIONES_MR2024_V3</t>
        </is>
      </c>
      <c r="C213" t="inlineStr">
        <is>
          <t>toneladas (6000 m3 x MR24_BD); pct sobre toneladas</t>
        </is>
      </c>
      <c r="D213" t="inlineStr">
        <is>
          <t>anio_LOM25_AMIN_LE2</t>
        </is>
      </c>
      <c r="E213" t="inlineStr">
        <is>
          <t>2031</t>
        </is>
      </c>
      <c r="F213" t="inlineStr">
        <is>
          <t>MR24_RT</t>
        </is>
      </c>
      <c r="G213" t="inlineStr">
        <is>
          <t>16</t>
        </is>
      </c>
      <c r="H213" t="inlineStr">
        <is>
          <t>sin asignar</t>
        </is>
      </c>
      <c r="I213" t="inlineStr">
        <is>
          <t>Metamorfico_16</t>
        </is>
      </c>
      <c r="J213" t="inlineStr">
        <is>
          <t>Geologia_2024=Metamorfico_16 (no distingue hornfels/mármol)</t>
        </is>
      </c>
      <c r="K213" t="inlineStr">
        <is>
          <t>Mármol (hipótesis: siglas MC, MG, MGS, MPA, MCGB; 'Marble'~MCGB)</t>
        </is>
      </c>
      <c r="L213" t="inlineStr">
        <is>
          <t>Metamorfico</t>
        </is>
      </c>
      <c r="M213" t="n">
        <v>2312</v>
      </c>
      <c r="N213" t="n">
        <v>13872000</v>
      </c>
      <c r="O213" t="n">
        <v>37904244</v>
      </c>
      <c r="P213" t="inlineStr"/>
      <c r="Q213" t="n">
        <v>16.553</v>
      </c>
    </row>
    <row r="214">
      <c r="A214" t="inlineStr">
        <is>
          <t>MR24</t>
        </is>
      </c>
      <c r="B214" t="inlineStr">
        <is>
          <t>SIMULACIONES_MR2024_V3</t>
        </is>
      </c>
      <c r="C214" t="inlineStr">
        <is>
          <t>toneladas (6000 m3 x MR24_BD); pct sobre toneladas</t>
        </is>
      </c>
      <c r="D214" t="inlineStr">
        <is>
          <t>anio_LOM25_AMIN_LE2</t>
        </is>
      </c>
      <c r="E214" t="inlineStr">
        <is>
          <t>2031</t>
        </is>
      </c>
      <c r="F214" t="inlineStr">
        <is>
          <t>MR24_RT</t>
        </is>
      </c>
      <c r="G214" t="inlineStr">
        <is>
          <t>19</t>
        </is>
      </c>
      <c r="H214" t="inlineStr">
        <is>
          <t>sin asignar</t>
        </is>
      </c>
      <c r="I214" t="inlineStr">
        <is>
          <t>Metamorfico_19</t>
        </is>
      </c>
      <c r="J214" t="inlineStr">
        <is>
          <t>Geologia_2024=Metamorfico_19 (no distingue hornfels/mármol)</t>
        </is>
      </c>
      <c r="K214" t="inlineStr">
        <is>
          <t>Mármol (hipótesis: sigla MDP)</t>
        </is>
      </c>
      <c r="L214" t="inlineStr">
        <is>
          <t>Metamorfico</t>
        </is>
      </c>
      <c r="M214" t="n">
        <v>281</v>
      </c>
      <c r="N214" t="n">
        <v>1686000</v>
      </c>
      <c r="O214" t="n">
        <v>4755078</v>
      </c>
      <c r="P214" t="inlineStr"/>
      <c r="Q214" t="n">
        <v>2.077</v>
      </c>
    </row>
    <row r="215">
      <c r="A215" t="inlineStr">
        <is>
          <t>MR24</t>
        </is>
      </c>
      <c r="B215" t="inlineStr">
        <is>
          <t>SIMULACIONES_MR2024_V3</t>
        </is>
      </c>
      <c r="C215" t="inlineStr">
        <is>
          <t>toneladas (6000 m3 x MR24_BD); pct sobre toneladas</t>
        </is>
      </c>
      <c r="D215" t="inlineStr">
        <is>
          <t>anio_LOM25_AMIN_LE2</t>
        </is>
      </c>
      <c r="E215" t="inlineStr">
        <is>
          <t>2031</t>
        </is>
      </c>
      <c r="F215" t="inlineStr">
        <is>
          <t>MR24_RT</t>
        </is>
      </c>
      <c r="G215" t="inlineStr">
        <is>
          <t>53</t>
        </is>
      </c>
      <c r="H215" t="inlineStr">
        <is>
          <t>sin asignar</t>
        </is>
      </c>
      <c r="I215" t="inlineStr">
        <is>
          <t>RT53</t>
        </is>
      </c>
      <c r="J215" t="inlineStr">
        <is>
          <t>código sin etiqueta en los datos</t>
        </is>
      </c>
      <c r="K215" t="inlineStr">
        <is>
          <t>sin hipótesis</t>
        </is>
      </c>
      <c r="L215" t="inlineStr">
        <is>
          <t>sin leyenda</t>
        </is>
      </c>
      <c r="M215" t="n">
        <v>30</v>
      </c>
      <c r="N215" t="n">
        <v>180000</v>
      </c>
      <c r="O215" t="n">
        <v>486702</v>
      </c>
      <c r="P215" t="inlineStr"/>
      <c r="Q215" t="n">
        <v>0.213</v>
      </c>
    </row>
    <row r="216">
      <c r="A216" t="inlineStr">
        <is>
          <t>MR24</t>
        </is>
      </c>
      <c r="B216" t="inlineStr">
        <is>
          <t>SIMULACIONES_MR2024_V3</t>
        </is>
      </c>
      <c r="C216" t="inlineStr">
        <is>
          <t>toneladas (6000 m3 x MR24_BD); pct sobre toneladas</t>
        </is>
      </c>
      <c r="D216" t="inlineStr">
        <is>
          <t>anio_LOM25_AMIN_LE2</t>
        </is>
      </c>
      <c r="E216" t="inlineStr">
        <is>
          <t>2032</t>
        </is>
      </c>
      <c r="F216" t="inlineStr">
        <is>
          <t>MR24_RT</t>
        </is>
      </c>
      <c r="G216" t="inlineStr">
        <is>
          <t>1</t>
        </is>
      </c>
      <c r="H216" t="inlineStr">
        <is>
          <t>Intrusivo</t>
        </is>
      </c>
      <c r="I216" t="inlineStr">
        <is>
          <t>RT1</t>
        </is>
      </c>
      <c r="J216" t="inlineStr">
        <is>
          <t>Geologia_2024=Intrusivo_1</t>
        </is>
      </c>
      <c r="K216" t="inlineStr">
        <is>
          <t>Intrusivo</t>
        </is>
      </c>
      <c r="L216" t="inlineStr">
        <is>
          <t>Intrusivo</t>
        </is>
      </c>
      <c r="M216" t="n">
        <v>3203</v>
      </c>
      <c r="N216" t="n">
        <v>19218000</v>
      </c>
      <c r="O216" t="n">
        <v>47433438</v>
      </c>
      <c r="P216" t="inlineStr"/>
      <c r="Q216" t="n">
        <v>17.978</v>
      </c>
    </row>
    <row r="217">
      <c r="A217" t="inlineStr">
        <is>
          <t>MR24</t>
        </is>
      </c>
      <c r="B217" t="inlineStr">
        <is>
          <t>SIMULACIONES_MR2024_V3</t>
        </is>
      </c>
      <c r="C217" t="inlineStr">
        <is>
          <t>toneladas (6000 m3 x MR24_BD); pct sobre toneladas</t>
        </is>
      </c>
      <c r="D217" t="inlineStr">
        <is>
          <t>anio_LOM25_AMIN_LE2</t>
        </is>
      </c>
      <c r="E217" t="inlineStr">
        <is>
          <t>2032</t>
        </is>
      </c>
      <c r="F217" t="inlineStr">
        <is>
          <t>MR24_RT</t>
        </is>
      </c>
      <c r="G217" t="inlineStr">
        <is>
          <t>2</t>
        </is>
      </c>
      <c r="H217" t="inlineStr">
        <is>
          <t>Intrusivo</t>
        </is>
      </c>
      <c r="I217" t="inlineStr">
        <is>
          <t>RT2</t>
        </is>
      </c>
      <c r="J217" t="inlineStr">
        <is>
          <t>Geologia_2024=Intrusivo_2</t>
        </is>
      </c>
      <c r="K217" t="inlineStr">
        <is>
          <t>Intrusivo</t>
        </is>
      </c>
      <c r="L217" t="inlineStr">
        <is>
          <t>Intrusivo</t>
        </is>
      </c>
      <c r="M217" t="n">
        <v>311</v>
      </c>
      <c r="N217" t="n">
        <v>1866000</v>
      </c>
      <c r="O217" t="n">
        <v>5027748</v>
      </c>
      <c r="P217" t="inlineStr"/>
      <c r="Q217" t="n">
        <v>1.906</v>
      </c>
    </row>
    <row r="218">
      <c r="A218" t="inlineStr">
        <is>
          <t>MR24</t>
        </is>
      </c>
      <c r="B218" t="inlineStr">
        <is>
          <t>SIMULACIONES_MR2024_V3</t>
        </is>
      </c>
      <c r="C218" t="inlineStr">
        <is>
          <t>toneladas (6000 m3 x MR24_BD); pct sobre toneladas</t>
        </is>
      </c>
      <c r="D218" t="inlineStr">
        <is>
          <t>anio_LOM25_AMIN_LE2</t>
        </is>
      </c>
      <c r="E218" t="inlineStr">
        <is>
          <t>2032</t>
        </is>
      </c>
      <c r="F218" t="inlineStr">
        <is>
          <t>MR24_RT</t>
        </is>
      </c>
      <c r="G218" t="inlineStr">
        <is>
          <t>10</t>
        </is>
      </c>
      <c r="H218" t="inlineStr">
        <is>
          <t>sin asignar</t>
        </is>
      </c>
      <c r="I218" t="inlineStr">
        <is>
          <t>Sedimentario_10</t>
        </is>
      </c>
      <c r="J218" t="inlineStr">
        <is>
          <t>Geologia_2024=Sedimentario_10 (no especifica caliza)</t>
        </is>
      </c>
      <c r="K218" t="inlineStr">
        <is>
          <t>Caliza (hipótesis: siglas C*)</t>
        </is>
      </c>
      <c r="L218" t="inlineStr">
        <is>
          <t>Sedimentario</t>
        </is>
      </c>
      <c r="M218" t="n">
        <v>2066</v>
      </c>
      <c r="N218" t="n">
        <v>12396000</v>
      </c>
      <c r="O218" t="n">
        <v>33556020</v>
      </c>
      <c r="P218" t="inlineStr"/>
      <c r="Q218" t="n">
        <v>12.718</v>
      </c>
    </row>
    <row r="219">
      <c r="A219" t="inlineStr">
        <is>
          <t>MR24</t>
        </is>
      </c>
      <c r="B219" t="inlineStr">
        <is>
          <t>SIMULACIONES_MR2024_V3</t>
        </is>
      </c>
      <c r="C219" t="inlineStr">
        <is>
          <t>toneladas (6000 m3 x MR24_BD); pct sobre toneladas</t>
        </is>
      </c>
      <c r="D219" t="inlineStr">
        <is>
          <t>anio_LOM25_AMIN_LE2</t>
        </is>
      </c>
      <c r="E219" t="inlineStr">
        <is>
          <t>2032</t>
        </is>
      </c>
      <c r="F219" t="inlineStr">
        <is>
          <t>MR24_RT</t>
        </is>
      </c>
      <c r="G219" t="inlineStr">
        <is>
          <t>11</t>
        </is>
      </c>
      <c r="H219" t="inlineStr">
        <is>
          <t>sin asignar</t>
        </is>
      </c>
      <c r="I219" t="inlineStr">
        <is>
          <t>Sedimentario_11</t>
        </is>
      </c>
      <c r="J219" t="inlineStr">
        <is>
          <t>Geologia_2024=Sedimentario_11 (no especifica caliza)</t>
        </is>
      </c>
      <c r="K219" t="inlineStr">
        <is>
          <t>Caliza (hipótesis: Sedimentario; RT11~NUMEQ10, siglas C*)</t>
        </is>
      </c>
      <c r="L219" t="inlineStr">
        <is>
          <t>Sedimentario</t>
        </is>
      </c>
      <c r="M219" t="n">
        <v>4209</v>
      </c>
      <c r="N219" t="n">
        <v>25254000</v>
      </c>
      <c r="O219" t="n">
        <v>68506368</v>
      </c>
      <c r="P219" t="inlineStr"/>
      <c r="Q219" t="n">
        <v>25.965</v>
      </c>
    </row>
    <row r="220">
      <c r="A220" t="inlineStr">
        <is>
          <t>MR24</t>
        </is>
      </c>
      <c r="B220" t="inlineStr">
        <is>
          <t>SIMULACIONES_MR2024_V3</t>
        </is>
      </c>
      <c r="C220" t="inlineStr">
        <is>
          <t>toneladas (6000 m3 x MR24_BD); pct sobre toneladas</t>
        </is>
      </c>
      <c r="D220" t="inlineStr">
        <is>
          <t>anio_LOM25_AMIN_LE2</t>
        </is>
      </c>
      <c r="E220" t="inlineStr">
        <is>
          <t>2032</t>
        </is>
      </c>
      <c r="F220" t="inlineStr">
        <is>
          <t>MR24_RT</t>
        </is>
      </c>
      <c r="G220" t="inlineStr">
        <is>
          <t>13</t>
        </is>
      </c>
      <c r="H220" t="inlineStr">
        <is>
          <t>sin asignar</t>
        </is>
      </c>
      <c r="I220" t="inlineStr">
        <is>
          <t>Metamorfico_13</t>
        </is>
      </c>
      <c r="J220" t="inlineStr">
        <is>
          <t>Geologia_2024=Metamorfico_13 (no distingue hornfels/mármol)</t>
        </is>
      </c>
      <c r="K220" t="inlineStr">
        <is>
          <t>Hornfels (hipótesis: siglas HG, HGS, HC)</t>
        </is>
      </c>
      <c r="L220" t="inlineStr">
        <is>
          <t>Metamorfico</t>
        </is>
      </c>
      <c r="M220" t="n">
        <v>2623</v>
      </c>
      <c r="N220" t="n">
        <v>15738000</v>
      </c>
      <c r="O220" t="n">
        <v>42671472</v>
      </c>
      <c r="P220" t="inlineStr"/>
      <c r="Q220" t="n">
        <v>16.173</v>
      </c>
    </row>
    <row r="221">
      <c r="A221" t="inlineStr">
        <is>
          <t>MR24</t>
        </is>
      </c>
      <c r="B221" t="inlineStr">
        <is>
          <t>SIMULACIONES_MR2024_V3</t>
        </is>
      </c>
      <c r="C221" t="inlineStr">
        <is>
          <t>toneladas (6000 m3 x MR24_BD); pct sobre toneladas</t>
        </is>
      </c>
      <c r="D221" t="inlineStr">
        <is>
          <t>anio_LOM25_AMIN_LE2</t>
        </is>
      </c>
      <c r="E221" t="inlineStr">
        <is>
          <t>2032</t>
        </is>
      </c>
      <c r="F221" t="inlineStr">
        <is>
          <t>MR24_RT</t>
        </is>
      </c>
      <c r="G221" t="inlineStr">
        <is>
          <t>14</t>
        </is>
      </c>
      <c r="H221" t="inlineStr">
        <is>
          <t>sin asignar</t>
        </is>
      </c>
      <c r="I221" t="inlineStr">
        <is>
          <t>Metamorfico_14</t>
        </is>
      </c>
      <c r="J221" t="inlineStr">
        <is>
          <t>Geologia_2024=Metamorfico_14 (no distingue hornfels/mármol)</t>
        </is>
      </c>
      <c r="K221" t="inlineStr">
        <is>
          <t>Hornfels (hipótesis: siglas HBV, HGV, HCB, HDP; 'Diop. Hornfels'~HGV)</t>
        </is>
      </c>
      <c r="L221" t="inlineStr">
        <is>
          <t>Metamorfico</t>
        </is>
      </c>
      <c r="M221" t="n">
        <v>463</v>
      </c>
      <c r="N221" t="n">
        <v>2778000</v>
      </c>
      <c r="O221" t="n">
        <v>8074692</v>
      </c>
      <c r="P221" t="inlineStr"/>
      <c r="Q221" t="n">
        <v>3.06</v>
      </c>
    </row>
    <row r="222">
      <c r="A222" t="inlineStr">
        <is>
          <t>MR24</t>
        </is>
      </c>
      <c r="B222" t="inlineStr">
        <is>
          <t>SIMULACIONES_MR2024_V3</t>
        </is>
      </c>
      <c r="C222" t="inlineStr">
        <is>
          <t>toneladas (6000 m3 x MR24_BD); pct sobre toneladas</t>
        </is>
      </c>
      <c r="D222" t="inlineStr">
        <is>
          <t>anio_LOM25_AMIN_LE2</t>
        </is>
      </c>
      <c r="E222" t="inlineStr">
        <is>
          <t>2032</t>
        </is>
      </c>
      <c r="F222" t="inlineStr">
        <is>
          <t>MR24_RT</t>
        </is>
      </c>
      <c r="G222" t="inlineStr">
        <is>
          <t>16</t>
        </is>
      </c>
      <c r="H222" t="inlineStr">
        <is>
          <t>sin asignar</t>
        </is>
      </c>
      <c r="I222" t="inlineStr">
        <is>
          <t>Metamorfico_16</t>
        </is>
      </c>
      <c r="J222" t="inlineStr">
        <is>
          <t>Geologia_2024=Metamorfico_16 (no distingue hornfels/mármol)</t>
        </is>
      </c>
      <c r="K222" t="inlineStr">
        <is>
          <t>Mármol (hipótesis: siglas MC, MG, MGS, MPA, MCGB; 'Marble'~MCGB)</t>
        </is>
      </c>
      <c r="L222" t="inlineStr">
        <is>
          <t>Metamorfico</t>
        </is>
      </c>
      <c r="M222" t="n">
        <v>3217</v>
      </c>
      <c r="N222" t="n">
        <v>19302000</v>
      </c>
      <c r="O222" t="n">
        <v>52632798</v>
      </c>
      <c r="P222" t="inlineStr"/>
      <c r="Q222" t="n">
        <v>19.948</v>
      </c>
    </row>
    <row r="223">
      <c r="A223" t="inlineStr">
        <is>
          <t>MR24</t>
        </is>
      </c>
      <c r="B223" t="inlineStr">
        <is>
          <t>SIMULACIONES_MR2024_V3</t>
        </is>
      </c>
      <c r="C223" t="inlineStr">
        <is>
          <t>toneladas (6000 m3 x MR24_BD); pct sobre toneladas</t>
        </is>
      </c>
      <c r="D223" t="inlineStr">
        <is>
          <t>anio_LOM25_AMIN_LE2</t>
        </is>
      </c>
      <c r="E223" t="inlineStr">
        <is>
          <t>2032</t>
        </is>
      </c>
      <c r="F223" t="inlineStr">
        <is>
          <t>MR24_RT</t>
        </is>
      </c>
      <c r="G223" t="inlineStr">
        <is>
          <t>19</t>
        </is>
      </c>
      <c r="H223" t="inlineStr">
        <is>
          <t>sin asignar</t>
        </is>
      </c>
      <c r="I223" t="inlineStr">
        <is>
          <t>Metamorfico_19</t>
        </is>
      </c>
      <c r="J223" t="inlineStr">
        <is>
          <t>Geologia_2024=Metamorfico_19 (no distingue hornfels/mármol)</t>
        </is>
      </c>
      <c r="K223" t="inlineStr">
        <is>
          <t>Mármol (hipótesis: sigla MDP)</t>
        </is>
      </c>
      <c r="L223" t="inlineStr">
        <is>
          <t>Metamorfico</t>
        </is>
      </c>
      <c r="M223" t="n">
        <v>340</v>
      </c>
      <c r="N223" t="n">
        <v>2040000</v>
      </c>
      <c r="O223" t="n">
        <v>5795346</v>
      </c>
      <c r="P223" t="inlineStr"/>
      <c r="Q223" t="n">
        <v>2.197</v>
      </c>
    </row>
    <row r="224">
      <c r="A224" t="inlineStr">
        <is>
          <t>MR24</t>
        </is>
      </c>
      <c r="B224" t="inlineStr">
        <is>
          <t>SIMULACIONES_MR2024_V3</t>
        </is>
      </c>
      <c r="C224" t="inlineStr">
        <is>
          <t>toneladas (6000 m3 x MR24_BD); pct sobre toneladas</t>
        </is>
      </c>
      <c r="D224" t="inlineStr">
        <is>
          <t>anio_LOM25_AMIN_LE2</t>
        </is>
      </c>
      <c r="E224" t="inlineStr">
        <is>
          <t>2032</t>
        </is>
      </c>
      <c r="F224" t="inlineStr">
        <is>
          <t>MR24_RT</t>
        </is>
      </c>
      <c r="G224" t="inlineStr">
        <is>
          <t>53</t>
        </is>
      </c>
      <c r="H224" t="inlineStr">
        <is>
          <t>sin asignar</t>
        </is>
      </c>
      <c r="I224" t="inlineStr">
        <is>
          <t>RT53</t>
        </is>
      </c>
      <c r="J224" t="inlineStr">
        <is>
          <t>código sin etiqueta en los datos</t>
        </is>
      </c>
      <c r="K224" t="inlineStr">
        <is>
          <t>sin hipótesis</t>
        </is>
      </c>
      <c r="L224" t="inlineStr">
        <is>
          <t>sin leyenda</t>
        </is>
      </c>
      <c r="M224" t="n">
        <v>9</v>
      </c>
      <c r="N224" t="n">
        <v>54000</v>
      </c>
      <c r="O224" t="n">
        <v>146382</v>
      </c>
      <c r="P224" t="inlineStr"/>
      <c r="Q224" t="n">
        <v>0.055</v>
      </c>
    </row>
    <row r="225">
      <c r="A225" t="inlineStr">
        <is>
          <t>MR24</t>
        </is>
      </c>
      <c r="B225" t="inlineStr">
        <is>
          <t>SIMULACIONES_MR2024_V3</t>
        </is>
      </c>
      <c r="C225" t="inlineStr">
        <is>
          <t>toneladas (6000 m3 x MR24_BD); pct sobre toneladas</t>
        </is>
      </c>
      <c r="D225" t="inlineStr">
        <is>
          <t>anio_LOM25_AMIN_LE2</t>
        </is>
      </c>
      <c r="E225" t="inlineStr">
        <is>
          <t>2033</t>
        </is>
      </c>
      <c r="F225" t="inlineStr">
        <is>
          <t>MR24_RT</t>
        </is>
      </c>
      <c r="G225" t="inlineStr">
        <is>
          <t>1</t>
        </is>
      </c>
      <c r="H225" t="inlineStr">
        <is>
          <t>Intrusivo</t>
        </is>
      </c>
      <c r="I225" t="inlineStr">
        <is>
          <t>RT1</t>
        </is>
      </c>
      <c r="J225" t="inlineStr">
        <is>
          <t>Geologia_2024=Intrusivo_1</t>
        </is>
      </c>
      <c r="K225" t="inlineStr">
        <is>
          <t>Intrusivo</t>
        </is>
      </c>
      <c r="L225" t="inlineStr">
        <is>
          <t>Intrusivo</t>
        </is>
      </c>
      <c r="M225" t="n">
        <v>1612</v>
      </c>
      <c r="N225" t="n">
        <v>9672000</v>
      </c>
      <c r="O225" t="n">
        <v>24174372</v>
      </c>
      <c r="P225" t="inlineStr"/>
      <c r="Q225" t="n">
        <v>8.311</v>
      </c>
    </row>
    <row r="226">
      <c r="A226" t="inlineStr">
        <is>
          <t>MR24</t>
        </is>
      </c>
      <c r="B226" t="inlineStr">
        <is>
          <t>SIMULACIONES_MR2024_V3</t>
        </is>
      </c>
      <c r="C226" t="inlineStr">
        <is>
          <t>toneladas (6000 m3 x MR24_BD); pct sobre toneladas</t>
        </is>
      </c>
      <c r="D226" t="inlineStr">
        <is>
          <t>anio_LOM25_AMIN_LE2</t>
        </is>
      </c>
      <c r="E226" t="inlineStr">
        <is>
          <t>2033</t>
        </is>
      </c>
      <c r="F226" t="inlineStr">
        <is>
          <t>MR24_RT</t>
        </is>
      </c>
      <c r="G226" t="inlineStr">
        <is>
          <t>2</t>
        </is>
      </c>
      <c r="H226" t="inlineStr">
        <is>
          <t>Intrusivo</t>
        </is>
      </c>
      <c r="I226" t="inlineStr">
        <is>
          <t>RT2</t>
        </is>
      </c>
      <c r="J226" t="inlineStr">
        <is>
          <t>Geologia_2024=Intrusivo_2</t>
        </is>
      </c>
      <c r="K226" t="inlineStr">
        <is>
          <t>Intrusivo</t>
        </is>
      </c>
      <c r="L226" t="inlineStr">
        <is>
          <t>Intrusivo</t>
        </is>
      </c>
      <c r="M226" t="n">
        <v>165</v>
      </c>
      <c r="N226" t="n">
        <v>990000</v>
      </c>
      <c r="O226" t="n">
        <v>2686254</v>
      </c>
      <c r="P226" t="inlineStr"/>
      <c r="Q226" t="n">
        <v>0.924</v>
      </c>
    </row>
    <row r="227">
      <c r="A227" t="inlineStr">
        <is>
          <t>MR24</t>
        </is>
      </c>
      <c r="B227" t="inlineStr">
        <is>
          <t>SIMULACIONES_MR2024_V3</t>
        </is>
      </c>
      <c r="C227" t="inlineStr">
        <is>
          <t>toneladas (6000 m3 x MR24_BD); pct sobre toneladas</t>
        </is>
      </c>
      <c r="D227" t="inlineStr">
        <is>
          <t>anio_LOM25_AMIN_LE2</t>
        </is>
      </c>
      <c r="E227" t="inlineStr">
        <is>
          <t>2033</t>
        </is>
      </c>
      <c r="F227" t="inlineStr">
        <is>
          <t>MR24_RT</t>
        </is>
      </c>
      <c r="G227" t="inlineStr">
        <is>
          <t>10</t>
        </is>
      </c>
      <c r="H227" t="inlineStr">
        <is>
          <t>sin asignar</t>
        </is>
      </c>
      <c r="I227" t="inlineStr">
        <is>
          <t>Sedimentario_10</t>
        </is>
      </c>
      <c r="J227" t="inlineStr">
        <is>
          <t>Geologia_2024=Sedimentario_10 (no especifica caliza)</t>
        </is>
      </c>
      <c r="K227" t="inlineStr">
        <is>
          <t>Caliza (hipótesis: siglas C*)</t>
        </is>
      </c>
      <c r="L227" t="inlineStr">
        <is>
          <t>Sedimentario</t>
        </is>
      </c>
      <c r="M227" t="n">
        <v>3767</v>
      </c>
      <c r="N227" t="n">
        <v>22602000</v>
      </c>
      <c r="O227" t="n">
        <v>61241112</v>
      </c>
      <c r="P227" t="inlineStr"/>
      <c r="Q227" t="n">
        <v>21.055</v>
      </c>
    </row>
    <row r="228">
      <c r="A228" t="inlineStr">
        <is>
          <t>MR24</t>
        </is>
      </c>
      <c r="B228" t="inlineStr">
        <is>
          <t>SIMULACIONES_MR2024_V3</t>
        </is>
      </c>
      <c r="C228" t="inlineStr">
        <is>
          <t>toneladas (6000 m3 x MR24_BD); pct sobre toneladas</t>
        </is>
      </c>
      <c r="D228" t="inlineStr">
        <is>
          <t>anio_LOM25_AMIN_LE2</t>
        </is>
      </c>
      <c r="E228" t="inlineStr">
        <is>
          <t>2033</t>
        </is>
      </c>
      <c r="F228" t="inlineStr">
        <is>
          <t>MR24_RT</t>
        </is>
      </c>
      <c r="G228" t="inlineStr">
        <is>
          <t>11</t>
        </is>
      </c>
      <c r="H228" t="inlineStr">
        <is>
          <t>sin asignar</t>
        </is>
      </c>
      <c r="I228" t="inlineStr">
        <is>
          <t>Sedimentario_11</t>
        </is>
      </c>
      <c r="J228" t="inlineStr">
        <is>
          <t>Geologia_2024=Sedimentario_11 (no especifica caliza)</t>
        </is>
      </c>
      <c r="K228" t="inlineStr">
        <is>
          <t>Caliza (hipótesis: Sedimentario; RT11~NUMEQ10, siglas C*)</t>
        </is>
      </c>
      <c r="L228" t="inlineStr">
        <is>
          <t>Sedimentario</t>
        </is>
      </c>
      <c r="M228" t="n">
        <v>3699</v>
      </c>
      <c r="N228" t="n">
        <v>22194000</v>
      </c>
      <c r="O228" t="n">
        <v>60302106</v>
      </c>
      <c r="P228" t="inlineStr"/>
      <c r="Q228" t="n">
        <v>20.732</v>
      </c>
    </row>
    <row r="229">
      <c r="A229" t="inlineStr">
        <is>
          <t>MR24</t>
        </is>
      </c>
      <c r="B229" t="inlineStr">
        <is>
          <t>SIMULACIONES_MR2024_V3</t>
        </is>
      </c>
      <c r="C229" t="inlineStr">
        <is>
          <t>toneladas (6000 m3 x MR24_BD); pct sobre toneladas</t>
        </is>
      </c>
      <c r="D229" t="inlineStr">
        <is>
          <t>anio_LOM25_AMIN_LE2</t>
        </is>
      </c>
      <c r="E229" t="inlineStr">
        <is>
          <t>2033</t>
        </is>
      </c>
      <c r="F229" t="inlineStr">
        <is>
          <t>MR24_RT</t>
        </is>
      </c>
      <c r="G229" t="inlineStr">
        <is>
          <t>13</t>
        </is>
      </c>
      <c r="H229" t="inlineStr">
        <is>
          <t>sin asignar</t>
        </is>
      </c>
      <c r="I229" t="inlineStr">
        <is>
          <t>Metamorfico_13</t>
        </is>
      </c>
      <c r="J229" t="inlineStr">
        <is>
          <t>Geologia_2024=Metamorfico_13 (no distingue hornfels/mármol)</t>
        </is>
      </c>
      <c r="K229" t="inlineStr">
        <is>
          <t>Hornfels (hipótesis: siglas HG, HGS, HC)</t>
        </is>
      </c>
      <c r="L229" t="inlineStr">
        <is>
          <t>Metamorfico</t>
        </is>
      </c>
      <c r="M229" t="n">
        <v>3271</v>
      </c>
      <c r="N229" t="n">
        <v>19626000</v>
      </c>
      <c r="O229" t="n">
        <v>53225496</v>
      </c>
      <c r="P229" t="inlineStr"/>
      <c r="Q229" t="n">
        <v>18.299</v>
      </c>
    </row>
    <row r="230">
      <c r="A230" t="inlineStr">
        <is>
          <t>MR24</t>
        </is>
      </c>
      <c r="B230" t="inlineStr">
        <is>
          <t>SIMULACIONES_MR2024_V3</t>
        </is>
      </c>
      <c r="C230" t="inlineStr">
        <is>
          <t>toneladas (6000 m3 x MR24_BD); pct sobre toneladas</t>
        </is>
      </c>
      <c r="D230" t="inlineStr">
        <is>
          <t>anio_LOM25_AMIN_LE2</t>
        </is>
      </c>
      <c r="E230" t="inlineStr">
        <is>
          <t>2033</t>
        </is>
      </c>
      <c r="F230" t="inlineStr">
        <is>
          <t>MR24_RT</t>
        </is>
      </c>
      <c r="G230" t="inlineStr">
        <is>
          <t>14</t>
        </is>
      </c>
      <c r="H230" t="inlineStr">
        <is>
          <t>sin asignar</t>
        </is>
      </c>
      <c r="I230" t="inlineStr">
        <is>
          <t>Metamorfico_14</t>
        </is>
      </c>
      <c r="J230" t="inlineStr">
        <is>
          <t>Geologia_2024=Metamorfico_14 (no distingue hornfels/mármol)</t>
        </is>
      </c>
      <c r="K230" t="inlineStr">
        <is>
          <t>Hornfels (hipótesis: siglas HBV, HGV, HCB, HDP; 'Diop. Hornfels'~HGV)</t>
        </is>
      </c>
      <c r="L230" t="inlineStr">
        <is>
          <t>Metamorfico</t>
        </is>
      </c>
      <c r="M230" t="n">
        <v>669</v>
      </c>
      <c r="N230" t="n">
        <v>4014000</v>
      </c>
      <c r="O230" t="n">
        <v>11664396</v>
      </c>
      <c r="P230" t="inlineStr"/>
      <c r="Q230" t="n">
        <v>4.01</v>
      </c>
    </row>
    <row r="231">
      <c r="A231" t="inlineStr">
        <is>
          <t>MR24</t>
        </is>
      </c>
      <c r="B231" t="inlineStr">
        <is>
          <t>SIMULACIONES_MR2024_V3</t>
        </is>
      </c>
      <c r="C231" t="inlineStr">
        <is>
          <t>toneladas (6000 m3 x MR24_BD); pct sobre toneladas</t>
        </is>
      </c>
      <c r="D231" t="inlineStr">
        <is>
          <t>anio_LOM25_AMIN_LE2</t>
        </is>
      </c>
      <c r="E231" t="inlineStr">
        <is>
          <t>2033</t>
        </is>
      </c>
      <c r="F231" t="inlineStr">
        <is>
          <t>MR24_RT</t>
        </is>
      </c>
      <c r="G231" t="inlineStr">
        <is>
          <t>16</t>
        </is>
      </c>
      <c r="H231" t="inlineStr">
        <is>
          <t>sin asignar</t>
        </is>
      </c>
      <c r="I231" t="inlineStr">
        <is>
          <t>Metamorfico_16</t>
        </is>
      </c>
      <c r="J231" t="inlineStr">
        <is>
          <t>Geologia_2024=Metamorfico_16 (no distingue hornfels/mármol)</t>
        </is>
      </c>
      <c r="K231" t="inlineStr">
        <is>
          <t>Mármol (hipótesis: siglas MC, MG, MGS, MPA, MCGB; 'Marble'~MCGB)</t>
        </is>
      </c>
      <c r="L231" t="inlineStr">
        <is>
          <t>Metamorfico</t>
        </is>
      </c>
      <c r="M231" t="n">
        <v>4414</v>
      </c>
      <c r="N231" t="n">
        <v>26484000</v>
      </c>
      <c r="O231" t="n">
        <v>71959470</v>
      </c>
      <c r="P231" t="inlineStr"/>
      <c r="Q231" t="n">
        <v>24.74</v>
      </c>
    </row>
    <row r="232">
      <c r="A232" t="inlineStr">
        <is>
          <t>MR24</t>
        </is>
      </c>
      <c r="B232" t="inlineStr">
        <is>
          <t>SIMULACIONES_MR2024_V3</t>
        </is>
      </c>
      <c r="C232" t="inlineStr">
        <is>
          <t>toneladas (6000 m3 x MR24_BD); pct sobre toneladas</t>
        </is>
      </c>
      <c r="D232" t="inlineStr">
        <is>
          <t>anio_LOM25_AMIN_LE2</t>
        </is>
      </c>
      <c r="E232" t="inlineStr">
        <is>
          <t>2033</t>
        </is>
      </c>
      <c r="F232" t="inlineStr">
        <is>
          <t>MR24_RT</t>
        </is>
      </c>
      <c r="G232" t="inlineStr">
        <is>
          <t>19</t>
        </is>
      </c>
      <c r="H232" t="inlineStr">
        <is>
          <t>sin asignar</t>
        </is>
      </c>
      <c r="I232" t="inlineStr">
        <is>
          <t>Metamorfico_19</t>
        </is>
      </c>
      <c r="J232" t="inlineStr">
        <is>
          <t>Geologia_2024=Metamorfico_19 (no distingue hornfels/mármol)</t>
        </is>
      </c>
      <c r="K232" t="inlineStr">
        <is>
          <t>Mármol (hipótesis: sigla MDP)</t>
        </is>
      </c>
      <c r="L232" t="inlineStr">
        <is>
          <t>Metamorfico</t>
        </is>
      </c>
      <c r="M232" t="n">
        <v>308</v>
      </c>
      <c r="N232" t="n">
        <v>1848000</v>
      </c>
      <c r="O232" t="n">
        <v>5298300</v>
      </c>
      <c r="P232" t="inlineStr"/>
      <c r="Q232" t="n">
        <v>1.822</v>
      </c>
    </row>
    <row r="233">
      <c r="A233" t="inlineStr">
        <is>
          <t>MR24</t>
        </is>
      </c>
      <c r="B233" t="inlineStr">
        <is>
          <t>SIMULACIONES_MR2024_V3</t>
        </is>
      </c>
      <c r="C233" t="inlineStr">
        <is>
          <t>toneladas (6000 m3 x MR24_BD); pct sobre toneladas</t>
        </is>
      </c>
      <c r="D233" t="inlineStr">
        <is>
          <t>anio_LOM25_AMIN_LE2</t>
        </is>
      </c>
      <c r="E233" t="inlineStr">
        <is>
          <t>2033</t>
        </is>
      </c>
      <c r="F233" t="inlineStr">
        <is>
          <t>MR24_RT</t>
        </is>
      </c>
      <c r="G233" t="inlineStr">
        <is>
          <t>53</t>
        </is>
      </c>
      <c r="H233" t="inlineStr">
        <is>
          <t>sin asignar</t>
        </is>
      </c>
      <c r="I233" t="inlineStr">
        <is>
          <t>RT53</t>
        </is>
      </c>
      <c r="J233" t="inlineStr">
        <is>
          <t>código sin etiqueta en los datos</t>
        </is>
      </c>
      <c r="K233" t="inlineStr">
        <is>
          <t>sin hipótesis</t>
        </is>
      </c>
      <c r="L233" t="inlineStr">
        <is>
          <t>sin leyenda</t>
        </is>
      </c>
      <c r="M233" t="n">
        <v>17</v>
      </c>
      <c r="N233" t="n">
        <v>102000</v>
      </c>
      <c r="O233" t="n">
        <v>306822</v>
      </c>
      <c r="P233" t="inlineStr"/>
      <c r="Q233" t="n">
        <v>0.105</v>
      </c>
    </row>
    <row r="234">
      <c r="A234" t="inlineStr">
        <is>
          <t>MR24</t>
        </is>
      </c>
      <c r="B234" t="inlineStr">
        <is>
          <t>SIMULACIONES_MR2024_V3</t>
        </is>
      </c>
      <c r="C234" t="inlineStr">
        <is>
          <t>toneladas (6000 m3 x MR24_BD); pct sobre toneladas</t>
        </is>
      </c>
      <c r="D234" t="inlineStr">
        <is>
          <t>anio_LOM25_AMIN_LE2</t>
        </is>
      </c>
      <c r="E234" t="inlineStr">
        <is>
          <t>2034</t>
        </is>
      </c>
      <c r="F234" t="inlineStr">
        <is>
          <t>MR24_RT</t>
        </is>
      </c>
      <c r="G234" t="inlineStr">
        <is>
          <t>1</t>
        </is>
      </c>
      <c r="H234" t="inlineStr">
        <is>
          <t>Intrusivo</t>
        </is>
      </c>
      <c r="I234" t="inlineStr">
        <is>
          <t>RT1</t>
        </is>
      </c>
      <c r="J234" t="inlineStr">
        <is>
          <t>Geologia_2024=Intrusivo_1</t>
        </is>
      </c>
      <c r="K234" t="inlineStr">
        <is>
          <t>Intrusivo</t>
        </is>
      </c>
      <c r="L234" t="inlineStr">
        <is>
          <t>Intrusivo</t>
        </is>
      </c>
      <c r="M234" t="n">
        <v>806</v>
      </c>
      <c r="N234" t="n">
        <v>4836000</v>
      </c>
      <c r="O234" t="n">
        <v>12091488</v>
      </c>
      <c r="P234" t="inlineStr"/>
      <c r="Q234" t="n">
        <v>4.997</v>
      </c>
    </row>
    <row r="235">
      <c r="A235" t="inlineStr">
        <is>
          <t>MR24</t>
        </is>
      </c>
      <c r="B235" t="inlineStr">
        <is>
          <t>SIMULACIONES_MR2024_V3</t>
        </is>
      </c>
      <c r="C235" t="inlineStr">
        <is>
          <t>toneladas (6000 m3 x MR24_BD); pct sobre toneladas</t>
        </is>
      </c>
      <c r="D235" t="inlineStr">
        <is>
          <t>anio_LOM25_AMIN_LE2</t>
        </is>
      </c>
      <c r="E235" t="inlineStr">
        <is>
          <t>2034</t>
        </is>
      </c>
      <c r="F235" t="inlineStr">
        <is>
          <t>MR24_RT</t>
        </is>
      </c>
      <c r="G235" t="inlineStr">
        <is>
          <t>2</t>
        </is>
      </c>
      <c r="H235" t="inlineStr">
        <is>
          <t>Intrusivo</t>
        </is>
      </c>
      <c r="I235" t="inlineStr">
        <is>
          <t>RT2</t>
        </is>
      </c>
      <c r="J235" t="inlineStr">
        <is>
          <t>Geologia_2024=Intrusivo_2</t>
        </is>
      </c>
      <c r="K235" t="inlineStr">
        <is>
          <t>Intrusivo</t>
        </is>
      </c>
      <c r="L235" t="inlineStr">
        <is>
          <t>Intrusivo</t>
        </is>
      </c>
      <c r="M235" t="n">
        <v>161</v>
      </c>
      <c r="N235" t="n">
        <v>966000</v>
      </c>
      <c r="O235" t="n">
        <v>2565762</v>
      </c>
      <c r="P235" t="inlineStr"/>
      <c r="Q235" t="n">
        <v>1.06</v>
      </c>
    </row>
    <row r="236">
      <c r="A236" t="inlineStr">
        <is>
          <t>MR24</t>
        </is>
      </c>
      <c r="B236" t="inlineStr">
        <is>
          <t>SIMULACIONES_MR2024_V3</t>
        </is>
      </c>
      <c r="C236" t="inlineStr">
        <is>
          <t>toneladas (6000 m3 x MR24_BD); pct sobre toneladas</t>
        </is>
      </c>
      <c r="D236" t="inlineStr">
        <is>
          <t>anio_LOM25_AMIN_LE2</t>
        </is>
      </c>
      <c r="E236" t="inlineStr">
        <is>
          <t>2034</t>
        </is>
      </c>
      <c r="F236" t="inlineStr">
        <is>
          <t>MR24_RT</t>
        </is>
      </c>
      <c r="G236" t="inlineStr">
        <is>
          <t>10</t>
        </is>
      </c>
      <c r="H236" t="inlineStr">
        <is>
          <t>sin asignar</t>
        </is>
      </c>
      <c r="I236" t="inlineStr">
        <is>
          <t>Sedimentario_10</t>
        </is>
      </c>
      <c r="J236" t="inlineStr">
        <is>
          <t>Geologia_2024=Sedimentario_10 (no especifica caliza)</t>
        </is>
      </c>
      <c r="K236" t="inlineStr">
        <is>
          <t>Caliza (hipótesis: siglas C*)</t>
        </is>
      </c>
      <c r="L236" t="inlineStr">
        <is>
          <t>Sedimentario</t>
        </is>
      </c>
      <c r="M236" t="n">
        <v>1247</v>
      </c>
      <c r="N236" t="n">
        <v>7482000</v>
      </c>
      <c r="O236" t="n">
        <v>20271498</v>
      </c>
      <c r="P236" t="inlineStr"/>
      <c r="Q236" t="n">
        <v>8.378</v>
      </c>
    </row>
    <row r="237">
      <c r="A237" t="inlineStr">
        <is>
          <t>MR24</t>
        </is>
      </c>
      <c r="B237" t="inlineStr">
        <is>
          <t>SIMULACIONES_MR2024_V3</t>
        </is>
      </c>
      <c r="C237" t="inlineStr">
        <is>
          <t>toneladas (6000 m3 x MR24_BD); pct sobre toneladas</t>
        </is>
      </c>
      <c r="D237" t="inlineStr">
        <is>
          <t>anio_LOM25_AMIN_LE2</t>
        </is>
      </c>
      <c r="E237" t="inlineStr">
        <is>
          <t>2034</t>
        </is>
      </c>
      <c r="F237" t="inlineStr">
        <is>
          <t>MR24_RT</t>
        </is>
      </c>
      <c r="G237" t="inlineStr">
        <is>
          <t>11</t>
        </is>
      </c>
      <c r="H237" t="inlineStr">
        <is>
          <t>sin asignar</t>
        </is>
      </c>
      <c r="I237" t="inlineStr">
        <is>
          <t>Sedimentario_11</t>
        </is>
      </c>
      <c r="J237" t="inlineStr">
        <is>
          <t>Geologia_2024=Sedimentario_11 (no especifica caliza)</t>
        </is>
      </c>
      <c r="K237" t="inlineStr">
        <is>
          <t>Caliza (hipótesis: Sedimentario; RT11~NUMEQ10, siglas C*)</t>
        </is>
      </c>
      <c r="L237" t="inlineStr">
        <is>
          <t>Sedimentario</t>
        </is>
      </c>
      <c r="M237" t="n">
        <v>1030</v>
      </c>
      <c r="N237" t="n">
        <v>6180000</v>
      </c>
      <c r="O237" t="n">
        <v>16760808</v>
      </c>
      <c r="P237" t="inlineStr"/>
      <c r="Q237" t="n">
        <v>6.927</v>
      </c>
    </row>
    <row r="238">
      <c r="A238" t="inlineStr">
        <is>
          <t>MR24</t>
        </is>
      </c>
      <c r="B238" t="inlineStr">
        <is>
          <t>SIMULACIONES_MR2024_V3</t>
        </is>
      </c>
      <c r="C238" t="inlineStr">
        <is>
          <t>toneladas (6000 m3 x MR24_BD); pct sobre toneladas</t>
        </is>
      </c>
      <c r="D238" t="inlineStr">
        <is>
          <t>anio_LOM25_AMIN_LE2</t>
        </is>
      </c>
      <c r="E238" t="inlineStr">
        <is>
          <t>2034</t>
        </is>
      </c>
      <c r="F238" t="inlineStr">
        <is>
          <t>MR24_RT</t>
        </is>
      </c>
      <c r="G238" t="inlineStr">
        <is>
          <t>13</t>
        </is>
      </c>
      <c r="H238" t="inlineStr">
        <is>
          <t>sin asignar</t>
        </is>
      </c>
      <c r="I238" t="inlineStr">
        <is>
          <t>Metamorfico_13</t>
        </is>
      </c>
      <c r="J238" t="inlineStr">
        <is>
          <t>Geologia_2024=Metamorfico_13 (no distingue hornfels/mármol)</t>
        </is>
      </c>
      <c r="K238" t="inlineStr">
        <is>
          <t>Hornfels (hipótesis: siglas HG, HGS, HC)</t>
        </is>
      </c>
      <c r="L238" t="inlineStr">
        <is>
          <t>Metamorfico</t>
        </is>
      </c>
      <c r="M238" t="n">
        <v>3952</v>
      </c>
      <c r="N238" t="n">
        <v>23712000</v>
      </c>
      <c r="O238" t="n">
        <v>64119780</v>
      </c>
      <c r="P238" t="inlineStr"/>
      <c r="Q238" t="n">
        <v>26.5</v>
      </c>
    </row>
    <row r="239">
      <c r="A239" t="inlineStr">
        <is>
          <t>MR24</t>
        </is>
      </c>
      <c r="B239" t="inlineStr">
        <is>
          <t>SIMULACIONES_MR2024_V3</t>
        </is>
      </c>
      <c r="C239" t="inlineStr">
        <is>
          <t>toneladas (6000 m3 x MR24_BD); pct sobre toneladas</t>
        </is>
      </c>
      <c r="D239" t="inlineStr">
        <is>
          <t>anio_LOM25_AMIN_LE2</t>
        </is>
      </c>
      <c r="E239" t="inlineStr">
        <is>
          <t>2034</t>
        </is>
      </c>
      <c r="F239" t="inlineStr">
        <is>
          <t>MR24_RT</t>
        </is>
      </c>
      <c r="G239" t="inlineStr">
        <is>
          <t>14</t>
        </is>
      </c>
      <c r="H239" t="inlineStr">
        <is>
          <t>sin asignar</t>
        </is>
      </c>
      <c r="I239" t="inlineStr">
        <is>
          <t>Metamorfico_14</t>
        </is>
      </c>
      <c r="J239" t="inlineStr">
        <is>
          <t>Geologia_2024=Metamorfico_14 (no distingue hornfels/mármol)</t>
        </is>
      </c>
      <c r="K239" t="inlineStr">
        <is>
          <t>Hornfels (hipótesis: siglas HBV, HGV, HCB, HDP; 'Diop. Hornfels'~HGV)</t>
        </is>
      </c>
      <c r="L239" t="inlineStr">
        <is>
          <t>Metamorfico</t>
        </is>
      </c>
      <c r="M239" t="n">
        <v>955</v>
      </c>
      <c r="N239" t="n">
        <v>5730000</v>
      </c>
      <c r="O239" t="n">
        <v>16371456</v>
      </c>
      <c r="P239" t="inlineStr"/>
      <c r="Q239" t="n">
        <v>6.766</v>
      </c>
    </row>
    <row r="240">
      <c r="A240" t="inlineStr">
        <is>
          <t>MR24</t>
        </is>
      </c>
      <c r="B240" t="inlineStr">
        <is>
          <t>SIMULACIONES_MR2024_V3</t>
        </is>
      </c>
      <c r="C240" t="inlineStr">
        <is>
          <t>toneladas (6000 m3 x MR24_BD); pct sobre toneladas</t>
        </is>
      </c>
      <c r="D240" t="inlineStr">
        <is>
          <t>anio_LOM25_AMIN_LE2</t>
        </is>
      </c>
      <c r="E240" t="inlineStr">
        <is>
          <t>2034</t>
        </is>
      </c>
      <c r="F240" t="inlineStr">
        <is>
          <t>MR24_RT</t>
        </is>
      </c>
      <c r="G240" t="inlineStr">
        <is>
          <t>16</t>
        </is>
      </c>
      <c r="H240" t="inlineStr">
        <is>
          <t>sin asignar</t>
        </is>
      </c>
      <c r="I240" t="inlineStr">
        <is>
          <t>Metamorfico_16</t>
        </is>
      </c>
      <c r="J240" t="inlineStr">
        <is>
          <t>Geologia_2024=Metamorfico_16 (no distingue hornfels/mármol)</t>
        </is>
      </c>
      <c r="K240" t="inlineStr">
        <is>
          <t>Mármol (hipótesis: siglas MC, MG, MGS, MPA, MCGB; 'Marble'~MCGB)</t>
        </is>
      </c>
      <c r="L240" t="inlineStr">
        <is>
          <t>Metamorfico</t>
        </is>
      </c>
      <c r="M240" t="n">
        <v>6063</v>
      </c>
      <c r="N240" t="n">
        <v>36378000</v>
      </c>
      <c r="O240" t="n">
        <v>98574438</v>
      </c>
      <c r="P240" t="inlineStr"/>
      <c r="Q240" t="n">
        <v>40.74</v>
      </c>
    </row>
    <row r="241">
      <c r="A241" t="inlineStr">
        <is>
          <t>MR24</t>
        </is>
      </c>
      <c r="B241" t="inlineStr">
        <is>
          <t>SIMULACIONES_MR2024_V3</t>
        </is>
      </c>
      <c r="C241" t="inlineStr">
        <is>
          <t>toneladas (6000 m3 x MR24_BD); pct sobre toneladas</t>
        </is>
      </c>
      <c r="D241" t="inlineStr">
        <is>
          <t>anio_LOM25_AMIN_LE2</t>
        </is>
      </c>
      <c r="E241" t="inlineStr">
        <is>
          <t>2034</t>
        </is>
      </c>
      <c r="F241" t="inlineStr">
        <is>
          <t>MR24_RT</t>
        </is>
      </c>
      <c r="G241" t="inlineStr">
        <is>
          <t>19</t>
        </is>
      </c>
      <c r="H241" t="inlineStr">
        <is>
          <t>sin asignar</t>
        </is>
      </c>
      <c r="I241" t="inlineStr">
        <is>
          <t>Metamorfico_19</t>
        </is>
      </c>
      <c r="J241" t="inlineStr">
        <is>
          <t>Geologia_2024=Metamorfico_19 (no distingue hornfels/mármol)</t>
        </is>
      </c>
      <c r="K241" t="inlineStr">
        <is>
          <t>Mármol (hipótesis: sigla MDP)</t>
        </is>
      </c>
      <c r="L241" t="inlineStr">
        <is>
          <t>Metamorfico</t>
        </is>
      </c>
      <c r="M241" t="n">
        <v>654</v>
      </c>
      <c r="N241" t="n">
        <v>3924000</v>
      </c>
      <c r="O241" t="n">
        <v>11094876</v>
      </c>
      <c r="P241" t="inlineStr"/>
      <c r="Q241" t="n">
        <v>4.585</v>
      </c>
    </row>
    <row r="242">
      <c r="A242" t="inlineStr">
        <is>
          <t>MR24</t>
        </is>
      </c>
      <c r="B242" t="inlineStr">
        <is>
          <t>SIMULACIONES_MR2024_V3</t>
        </is>
      </c>
      <c r="C242" t="inlineStr">
        <is>
          <t>toneladas (6000 m3 x MR24_BD); pct sobre toneladas</t>
        </is>
      </c>
      <c r="D242" t="inlineStr">
        <is>
          <t>anio_LOM25_AMIN_LE2</t>
        </is>
      </c>
      <c r="E242" t="inlineStr">
        <is>
          <t>2034</t>
        </is>
      </c>
      <c r="F242" t="inlineStr">
        <is>
          <t>MR24_RT</t>
        </is>
      </c>
      <c r="G242" t="inlineStr">
        <is>
          <t>53</t>
        </is>
      </c>
      <c r="H242" t="inlineStr">
        <is>
          <t>sin asignar</t>
        </is>
      </c>
      <c r="I242" t="inlineStr">
        <is>
          <t>RT53</t>
        </is>
      </c>
      <c r="J242" t="inlineStr">
        <is>
          <t>código sin etiqueta en los datos</t>
        </is>
      </c>
      <c r="K242" t="inlineStr">
        <is>
          <t>sin hipótesis</t>
        </is>
      </c>
      <c r="L242" t="inlineStr">
        <is>
          <t>sin leyenda</t>
        </is>
      </c>
      <c r="M242" t="n">
        <v>7</v>
      </c>
      <c r="N242" t="n">
        <v>42000</v>
      </c>
      <c r="O242" t="n">
        <v>109578</v>
      </c>
      <c r="P242" t="inlineStr"/>
      <c r="Q242" t="n">
        <v>0.045</v>
      </c>
    </row>
    <row r="243">
      <c r="A243" t="inlineStr">
        <is>
          <t>MR24</t>
        </is>
      </c>
      <c r="B243" t="inlineStr">
        <is>
          <t>SIMULACIONES_MR2024_V3</t>
        </is>
      </c>
      <c r="C243" t="inlineStr">
        <is>
          <t>toneladas (6000 m3 x MR24_BD); pct sobre toneladas</t>
        </is>
      </c>
      <c r="D243" t="inlineStr">
        <is>
          <t>anio_LOM25_AMIN_LE2</t>
        </is>
      </c>
      <c r="E243" t="inlineStr">
        <is>
          <t>2035</t>
        </is>
      </c>
      <c r="F243" t="inlineStr">
        <is>
          <t>MR24_RT</t>
        </is>
      </c>
      <c r="G243" t="inlineStr">
        <is>
          <t>1</t>
        </is>
      </c>
      <c r="H243" t="inlineStr">
        <is>
          <t>Intrusivo</t>
        </is>
      </c>
      <c r="I243" t="inlineStr">
        <is>
          <t>RT1</t>
        </is>
      </c>
      <c r="J243" t="inlineStr">
        <is>
          <t>Geologia_2024=Intrusivo_1</t>
        </is>
      </c>
      <c r="K243" t="inlineStr">
        <is>
          <t>Intrusivo</t>
        </is>
      </c>
      <c r="L243" t="inlineStr">
        <is>
          <t>Intrusivo</t>
        </is>
      </c>
      <c r="M243" t="n">
        <v>2031</v>
      </c>
      <c r="N243" t="n">
        <v>12186000</v>
      </c>
      <c r="O243" t="n">
        <v>30277338</v>
      </c>
      <c r="P243" t="inlineStr"/>
      <c r="Q243" t="n">
        <v>12.943</v>
      </c>
    </row>
    <row r="244">
      <c r="A244" t="inlineStr">
        <is>
          <t>MR24</t>
        </is>
      </c>
      <c r="B244" t="inlineStr">
        <is>
          <t>SIMULACIONES_MR2024_V3</t>
        </is>
      </c>
      <c r="C244" t="inlineStr">
        <is>
          <t>toneladas (6000 m3 x MR24_BD); pct sobre toneladas</t>
        </is>
      </c>
      <c r="D244" t="inlineStr">
        <is>
          <t>anio_LOM25_AMIN_LE2</t>
        </is>
      </c>
      <c r="E244" t="inlineStr">
        <is>
          <t>2035</t>
        </is>
      </c>
      <c r="F244" t="inlineStr">
        <is>
          <t>MR24_RT</t>
        </is>
      </c>
      <c r="G244" t="inlineStr">
        <is>
          <t>2</t>
        </is>
      </c>
      <c r="H244" t="inlineStr">
        <is>
          <t>Intrusivo</t>
        </is>
      </c>
      <c r="I244" t="inlineStr">
        <is>
          <t>RT2</t>
        </is>
      </c>
      <c r="J244" t="inlineStr">
        <is>
          <t>Geologia_2024=Intrusivo_2</t>
        </is>
      </c>
      <c r="K244" t="inlineStr">
        <is>
          <t>Intrusivo</t>
        </is>
      </c>
      <c r="L244" t="inlineStr">
        <is>
          <t>Intrusivo</t>
        </is>
      </c>
      <c r="M244" t="n">
        <v>170</v>
      </c>
      <c r="N244" t="n">
        <v>1020000</v>
      </c>
      <c r="O244" t="n">
        <v>2742162</v>
      </c>
      <c r="P244" t="inlineStr"/>
      <c r="Q244" t="n">
        <v>1.172</v>
      </c>
    </row>
    <row r="245">
      <c r="A245" t="inlineStr">
        <is>
          <t>MR24</t>
        </is>
      </c>
      <c r="B245" t="inlineStr">
        <is>
          <t>SIMULACIONES_MR2024_V3</t>
        </is>
      </c>
      <c r="C245" t="inlineStr">
        <is>
          <t>toneladas (6000 m3 x MR24_BD); pct sobre toneladas</t>
        </is>
      </c>
      <c r="D245" t="inlineStr">
        <is>
          <t>anio_LOM25_AMIN_LE2</t>
        </is>
      </c>
      <c r="E245" t="inlineStr">
        <is>
          <t>2035</t>
        </is>
      </c>
      <c r="F245" t="inlineStr">
        <is>
          <t>MR24_RT</t>
        </is>
      </c>
      <c r="G245" t="inlineStr">
        <is>
          <t>10</t>
        </is>
      </c>
      <c r="H245" t="inlineStr">
        <is>
          <t>sin asignar</t>
        </is>
      </c>
      <c r="I245" t="inlineStr">
        <is>
          <t>Sedimentario_10</t>
        </is>
      </c>
      <c r="J245" t="inlineStr">
        <is>
          <t>Geologia_2024=Sedimentario_10 (no especifica caliza)</t>
        </is>
      </c>
      <c r="K245" t="inlineStr">
        <is>
          <t>Caliza (hipótesis: siglas C*)</t>
        </is>
      </c>
      <c r="L245" t="inlineStr">
        <is>
          <t>Sedimentario</t>
        </is>
      </c>
      <c r="M245" t="n">
        <v>232</v>
      </c>
      <c r="N245" t="n">
        <v>1392000</v>
      </c>
      <c r="O245" t="n">
        <v>3764046</v>
      </c>
      <c r="P245" t="inlineStr"/>
      <c r="Q245" t="n">
        <v>1.609</v>
      </c>
    </row>
    <row r="246">
      <c r="A246" t="inlineStr">
        <is>
          <t>MR24</t>
        </is>
      </c>
      <c r="B246" t="inlineStr">
        <is>
          <t>SIMULACIONES_MR2024_V3</t>
        </is>
      </c>
      <c r="C246" t="inlineStr">
        <is>
          <t>toneladas (6000 m3 x MR24_BD); pct sobre toneladas</t>
        </is>
      </c>
      <c r="D246" t="inlineStr">
        <is>
          <t>anio_LOM25_AMIN_LE2</t>
        </is>
      </c>
      <c r="E246" t="inlineStr">
        <is>
          <t>2035</t>
        </is>
      </c>
      <c r="F246" t="inlineStr">
        <is>
          <t>MR24_RT</t>
        </is>
      </c>
      <c r="G246" t="inlineStr">
        <is>
          <t>11</t>
        </is>
      </c>
      <c r="H246" t="inlineStr">
        <is>
          <t>sin asignar</t>
        </is>
      </c>
      <c r="I246" t="inlineStr">
        <is>
          <t>Sedimentario_11</t>
        </is>
      </c>
      <c r="J246" t="inlineStr">
        <is>
          <t>Geologia_2024=Sedimentario_11 (no especifica caliza)</t>
        </is>
      </c>
      <c r="K246" t="inlineStr">
        <is>
          <t>Caliza (hipótesis: Sedimentario; RT11~NUMEQ10, siglas C*)</t>
        </is>
      </c>
      <c r="L246" t="inlineStr">
        <is>
          <t>Sedimentario</t>
        </is>
      </c>
      <c r="M246" t="n">
        <v>1685</v>
      </c>
      <c r="N246" t="n">
        <v>10110000</v>
      </c>
      <c r="O246" t="n">
        <v>27387516</v>
      </c>
      <c r="P246" t="inlineStr"/>
      <c r="Q246" t="n">
        <v>11.708</v>
      </c>
    </row>
    <row r="247">
      <c r="A247" t="inlineStr">
        <is>
          <t>MR24</t>
        </is>
      </c>
      <c r="B247" t="inlineStr">
        <is>
          <t>SIMULACIONES_MR2024_V3</t>
        </is>
      </c>
      <c r="C247" t="inlineStr">
        <is>
          <t>toneladas (6000 m3 x MR24_BD); pct sobre toneladas</t>
        </is>
      </c>
      <c r="D247" t="inlineStr">
        <is>
          <t>anio_LOM25_AMIN_LE2</t>
        </is>
      </c>
      <c r="E247" t="inlineStr">
        <is>
          <t>2035</t>
        </is>
      </c>
      <c r="F247" t="inlineStr">
        <is>
          <t>MR24_RT</t>
        </is>
      </c>
      <c r="G247" t="inlineStr">
        <is>
          <t>13</t>
        </is>
      </c>
      <c r="H247" t="inlineStr">
        <is>
          <t>sin asignar</t>
        </is>
      </c>
      <c r="I247" t="inlineStr">
        <is>
          <t>Metamorfico_13</t>
        </is>
      </c>
      <c r="J247" t="inlineStr">
        <is>
          <t>Geologia_2024=Metamorfico_13 (no distingue hornfels/mármol)</t>
        </is>
      </c>
      <c r="K247" t="inlineStr">
        <is>
          <t>Hornfels (hipótesis: siglas HG, HGS, HC)</t>
        </is>
      </c>
      <c r="L247" t="inlineStr">
        <is>
          <t>Metamorfico</t>
        </is>
      </c>
      <c r="M247" t="n">
        <v>2055</v>
      </c>
      <c r="N247" t="n">
        <v>12330000</v>
      </c>
      <c r="O247" t="n">
        <v>33272184</v>
      </c>
      <c r="P247" t="inlineStr"/>
      <c r="Q247" t="n">
        <v>14.224</v>
      </c>
    </row>
    <row r="248">
      <c r="A248" t="inlineStr">
        <is>
          <t>MR24</t>
        </is>
      </c>
      <c r="B248" t="inlineStr">
        <is>
          <t>SIMULACIONES_MR2024_V3</t>
        </is>
      </c>
      <c r="C248" t="inlineStr">
        <is>
          <t>toneladas (6000 m3 x MR24_BD); pct sobre toneladas</t>
        </is>
      </c>
      <c r="D248" t="inlineStr">
        <is>
          <t>anio_LOM25_AMIN_LE2</t>
        </is>
      </c>
      <c r="E248" t="inlineStr">
        <is>
          <t>2035</t>
        </is>
      </c>
      <c r="F248" t="inlineStr">
        <is>
          <t>MR24_RT</t>
        </is>
      </c>
      <c r="G248" t="inlineStr">
        <is>
          <t>14</t>
        </is>
      </c>
      <c r="H248" t="inlineStr">
        <is>
          <t>sin asignar</t>
        </is>
      </c>
      <c r="I248" t="inlineStr">
        <is>
          <t>Metamorfico_14</t>
        </is>
      </c>
      <c r="J248" t="inlineStr">
        <is>
          <t>Geologia_2024=Metamorfico_14 (no distingue hornfels/mármol)</t>
        </is>
      </c>
      <c r="K248" t="inlineStr">
        <is>
          <t>Hornfels (hipótesis: siglas HBV, HGV, HCB, HDP; 'Diop. Hornfels'~HGV)</t>
        </is>
      </c>
      <c r="L248" t="inlineStr">
        <is>
          <t>Metamorfico</t>
        </is>
      </c>
      <c r="M248" t="n">
        <v>1138</v>
      </c>
      <c r="N248" t="n">
        <v>6828000</v>
      </c>
      <c r="O248" t="n">
        <v>19472574</v>
      </c>
      <c r="P248" t="inlineStr"/>
      <c r="Q248" t="n">
        <v>8.324</v>
      </c>
    </row>
    <row r="249">
      <c r="A249" t="inlineStr">
        <is>
          <t>MR24</t>
        </is>
      </c>
      <c r="B249" t="inlineStr">
        <is>
          <t>SIMULACIONES_MR2024_V3</t>
        </is>
      </c>
      <c r="C249" t="inlineStr">
        <is>
          <t>toneladas (6000 m3 x MR24_BD); pct sobre toneladas</t>
        </is>
      </c>
      <c r="D249" t="inlineStr">
        <is>
          <t>anio_LOM25_AMIN_LE2</t>
        </is>
      </c>
      <c r="E249" t="inlineStr">
        <is>
          <t>2035</t>
        </is>
      </c>
      <c r="F249" t="inlineStr">
        <is>
          <t>MR24_RT</t>
        </is>
      </c>
      <c r="G249" t="inlineStr">
        <is>
          <t>16</t>
        </is>
      </c>
      <c r="H249" t="inlineStr">
        <is>
          <t>sin asignar</t>
        </is>
      </c>
      <c r="I249" t="inlineStr">
        <is>
          <t>Metamorfico_16</t>
        </is>
      </c>
      <c r="J249" t="inlineStr">
        <is>
          <t>Geologia_2024=Metamorfico_16 (no distingue hornfels/mármol)</t>
        </is>
      </c>
      <c r="K249" t="inlineStr">
        <is>
          <t>Mármol (hipótesis: siglas MC, MG, MGS, MPA, MCGB; 'Marble'~MCGB)</t>
        </is>
      </c>
      <c r="L249" t="inlineStr">
        <is>
          <t>Metamorfico</t>
        </is>
      </c>
      <c r="M249" t="n">
        <v>6273</v>
      </c>
      <c r="N249" t="n">
        <v>37638000</v>
      </c>
      <c r="O249" t="n">
        <v>101786238</v>
      </c>
      <c r="P249" t="inlineStr"/>
      <c r="Q249" t="n">
        <v>43.513</v>
      </c>
    </row>
    <row r="250">
      <c r="A250" t="inlineStr">
        <is>
          <t>MR24</t>
        </is>
      </c>
      <c r="B250" t="inlineStr">
        <is>
          <t>SIMULACIONES_MR2024_V3</t>
        </is>
      </c>
      <c r="C250" t="inlineStr">
        <is>
          <t>toneladas (6000 m3 x MR24_BD); pct sobre toneladas</t>
        </is>
      </c>
      <c r="D250" t="inlineStr">
        <is>
          <t>anio_LOM25_AMIN_LE2</t>
        </is>
      </c>
      <c r="E250" t="inlineStr">
        <is>
          <t>2035</t>
        </is>
      </c>
      <c r="F250" t="inlineStr">
        <is>
          <t>MR24_RT</t>
        </is>
      </c>
      <c r="G250" t="inlineStr">
        <is>
          <t>19</t>
        </is>
      </c>
      <c r="H250" t="inlineStr">
        <is>
          <t>sin asignar</t>
        </is>
      </c>
      <c r="I250" t="inlineStr">
        <is>
          <t>Metamorfico_19</t>
        </is>
      </c>
      <c r="J250" t="inlineStr">
        <is>
          <t>Geologia_2024=Metamorfico_19 (no distingue hornfels/mármol)</t>
        </is>
      </c>
      <c r="K250" t="inlineStr">
        <is>
          <t>Mármol (hipótesis: sigla MDP)</t>
        </is>
      </c>
      <c r="L250" t="inlineStr">
        <is>
          <t>Metamorfico</t>
        </is>
      </c>
      <c r="M250" t="n">
        <v>854</v>
      </c>
      <c r="N250" t="n">
        <v>5124000</v>
      </c>
      <c r="O250" t="n">
        <v>14575032</v>
      </c>
      <c r="P250" t="inlineStr"/>
      <c r="Q250" t="n">
        <v>6.231</v>
      </c>
    </row>
    <row r="251">
      <c r="A251" t="inlineStr">
        <is>
          <t>MR24</t>
        </is>
      </c>
      <c r="B251" t="inlineStr">
        <is>
          <t>SIMULACIONES_MR2024_V3</t>
        </is>
      </c>
      <c r="C251" t="inlineStr">
        <is>
          <t>toneladas (6000 m3 x MR24_BD); pct sobre toneladas</t>
        </is>
      </c>
      <c r="D251" t="inlineStr">
        <is>
          <t>anio_LOM25_AMIN_LE2</t>
        </is>
      </c>
      <c r="E251" t="inlineStr">
        <is>
          <t>2035</t>
        </is>
      </c>
      <c r="F251" t="inlineStr">
        <is>
          <t>MR24_RT</t>
        </is>
      </c>
      <c r="G251" t="inlineStr">
        <is>
          <t>53</t>
        </is>
      </c>
      <c r="H251" t="inlineStr">
        <is>
          <t>sin asignar</t>
        </is>
      </c>
      <c r="I251" t="inlineStr">
        <is>
          <t>RT53</t>
        </is>
      </c>
      <c r="J251" t="inlineStr">
        <is>
          <t>código sin etiqueta en los datos</t>
        </is>
      </c>
      <c r="K251" t="inlineStr">
        <is>
          <t>sin hipótesis</t>
        </is>
      </c>
      <c r="L251" t="inlineStr">
        <is>
          <t>sin leyenda</t>
        </is>
      </c>
      <c r="M251" t="n">
        <v>41</v>
      </c>
      <c r="N251" t="n">
        <v>246000</v>
      </c>
      <c r="O251" t="n">
        <v>646152</v>
      </c>
      <c r="P251" t="inlineStr"/>
      <c r="Q251" t="n">
        <v>0.276</v>
      </c>
    </row>
    <row r="252">
      <c r="A252" t="inlineStr">
        <is>
          <t>MR24</t>
        </is>
      </c>
      <c r="B252" t="inlineStr">
        <is>
          <t>SIMULACIONES_MR2024_V3</t>
        </is>
      </c>
      <c r="C252" t="inlineStr">
        <is>
          <t>toneladas (6000 m3 x MR24_BD); pct sobre toneladas</t>
        </is>
      </c>
      <c r="D252" t="inlineStr">
        <is>
          <t>anio_LOM25_AMIN_LE2</t>
        </is>
      </c>
      <c r="E252" t="inlineStr">
        <is>
          <t>2036</t>
        </is>
      </c>
      <c r="F252" t="inlineStr">
        <is>
          <t>MR24_RT</t>
        </is>
      </c>
      <c r="G252" t="inlineStr">
        <is>
          <t>1</t>
        </is>
      </c>
      <c r="H252" t="inlineStr">
        <is>
          <t>Intrusivo</t>
        </is>
      </c>
      <c r="I252" t="inlineStr">
        <is>
          <t>RT1</t>
        </is>
      </c>
      <c r="J252" t="inlineStr">
        <is>
          <t>Geologia_2024=Intrusivo_1</t>
        </is>
      </c>
      <c r="K252" t="inlineStr">
        <is>
          <t>Intrusivo</t>
        </is>
      </c>
      <c r="L252" t="inlineStr">
        <is>
          <t>Intrusivo</t>
        </is>
      </c>
      <c r="M252" t="n">
        <v>1877</v>
      </c>
      <c r="N252" t="n">
        <v>11262000</v>
      </c>
      <c r="O252" t="n">
        <v>27887664</v>
      </c>
      <c r="P252" t="inlineStr"/>
      <c r="Q252" t="n">
        <v>11.492</v>
      </c>
    </row>
    <row r="253">
      <c r="A253" t="inlineStr">
        <is>
          <t>MR24</t>
        </is>
      </c>
      <c r="B253" t="inlineStr">
        <is>
          <t>SIMULACIONES_MR2024_V3</t>
        </is>
      </c>
      <c r="C253" t="inlineStr">
        <is>
          <t>toneladas (6000 m3 x MR24_BD); pct sobre toneladas</t>
        </is>
      </c>
      <c r="D253" t="inlineStr">
        <is>
          <t>anio_LOM25_AMIN_LE2</t>
        </is>
      </c>
      <c r="E253" t="inlineStr">
        <is>
          <t>2036</t>
        </is>
      </c>
      <c r="F253" t="inlineStr">
        <is>
          <t>MR24_RT</t>
        </is>
      </c>
      <c r="G253" t="inlineStr">
        <is>
          <t>2</t>
        </is>
      </c>
      <c r="H253" t="inlineStr">
        <is>
          <t>Intrusivo</t>
        </is>
      </c>
      <c r="I253" t="inlineStr">
        <is>
          <t>RT2</t>
        </is>
      </c>
      <c r="J253" t="inlineStr">
        <is>
          <t>Geologia_2024=Intrusivo_2</t>
        </is>
      </c>
      <c r="K253" t="inlineStr">
        <is>
          <t>Intrusivo</t>
        </is>
      </c>
      <c r="L253" t="inlineStr">
        <is>
          <t>Intrusivo</t>
        </is>
      </c>
      <c r="M253" t="n">
        <v>190</v>
      </c>
      <c r="N253" t="n">
        <v>1140000</v>
      </c>
      <c r="O253" t="n">
        <v>3037572</v>
      </c>
      <c r="P253" t="inlineStr"/>
      <c r="Q253" t="n">
        <v>1.252</v>
      </c>
    </row>
    <row r="254">
      <c r="A254" t="inlineStr">
        <is>
          <t>MR24</t>
        </is>
      </c>
      <c r="B254" t="inlineStr">
        <is>
          <t>SIMULACIONES_MR2024_V3</t>
        </is>
      </c>
      <c r="C254" t="inlineStr">
        <is>
          <t>toneladas (6000 m3 x MR24_BD); pct sobre toneladas</t>
        </is>
      </c>
      <c r="D254" t="inlineStr">
        <is>
          <t>anio_LOM25_AMIN_LE2</t>
        </is>
      </c>
      <c r="E254" t="inlineStr">
        <is>
          <t>2036</t>
        </is>
      </c>
      <c r="F254" t="inlineStr">
        <is>
          <t>MR24_RT</t>
        </is>
      </c>
      <c r="G254" t="inlineStr">
        <is>
          <t>10</t>
        </is>
      </c>
      <c r="H254" t="inlineStr">
        <is>
          <t>sin asignar</t>
        </is>
      </c>
      <c r="I254" t="inlineStr">
        <is>
          <t>Sedimentario_10</t>
        </is>
      </c>
      <c r="J254" t="inlineStr">
        <is>
          <t>Geologia_2024=Sedimentario_10 (no especifica caliza)</t>
        </is>
      </c>
      <c r="K254" t="inlineStr">
        <is>
          <t>Caliza (hipótesis: siglas C*)</t>
        </is>
      </c>
      <c r="L254" t="inlineStr">
        <is>
          <t>Sedimentario</t>
        </is>
      </c>
      <c r="M254" t="n">
        <v>861</v>
      </c>
      <c r="N254" t="n">
        <v>5166000</v>
      </c>
      <c r="O254" t="n">
        <v>13986402</v>
      </c>
      <c r="P254" t="inlineStr"/>
      <c r="Q254" t="n">
        <v>5.763</v>
      </c>
    </row>
    <row r="255">
      <c r="A255" t="inlineStr">
        <is>
          <t>MR24</t>
        </is>
      </c>
      <c r="B255" t="inlineStr">
        <is>
          <t>SIMULACIONES_MR2024_V3</t>
        </is>
      </c>
      <c r="C255" t="inlineStr">
        <is>
          <t>toneladas (6000 m3 x MR24_BD); pct sobre toneladas</t>
        </is>
      </c>
      <c r="D255" t="inlineStr">
        <is>
          <t>anio_LOM25_AMIN_LE2</t>
        </is>
      </c>
      <c r="E255" t="inlineStr">
        <is>
          <t>2036</t>
        </is>
      </c>
      <c r="F255" t="inlineStr">
        <is>
          <t>MR24_RT</t>
        </is>
      </c>
      <c r="G255" t="inlineStr">
        <is>
          <t>11</t>
        </is>
      </c>
      <c r="H255" t="inlineStr">
        <is>
          <t>sin asignar</t>
        </is>
      </c>
      <c r="I255" t="inlineStr">
        <is>
          <t>Sedimentario_11</t>
        </is>
      </c>
      <c r="J255" t="inlineStr">
        <is>
          <t>Geologia_2024=Sedimentario_11 (no especifica caliza)</t>
        </is>
      </c>
      <c r="K255" t="inlineStr">
        <is>
          <t>Caliza (hipótesis: Sedimentario; RT11~NUMEQ10, siglas C*)</t>
        </is>
      </c>
      <c r="L255" t="inlineStr">
        <is>
          <t>Sedimentario</t>
        </is>
      </c>
      <c r="M255" t="n">
        <v>5602</v>
      </c>
      <c r="N255" t="n">
        <v>33612000</v>
      </c>
      <c r="O255" t="n">
        <v>91030692</v>
      </c>
      <c r="P255" t="inlineStr"/>
      <c r="Q255" t="n">
        <v>37.511</v>
      </c>
    </row>
    <row r="256">
      <c r="A256" t="inlineStr">
        <is>
          <t>MR24</t>
        </is>
      </c>
      <c r="B256" t="inlineStr">
        <is>
          <t>SIMULACIONES_MR2024_V3</t>
        </is>
      </c>
      <c r="C256" t="inlineStr">
        <is>
          <t>toneladas (6000 m3 x MR24_BD); pct sobre toneladas</t>
        </is>
      </c>
      <c r="D256" t="inlineStr">
        <is>
          <t>anio_LOM25_AMIN_LE2</t>
        </is>
      </c>
      <c r="E256" t="inlineStr">
        <is>
          <t>2036</t>
        </is>
      </c>
      <c r="F256" t="inlineStr">
        <is>
          <t>MR24_RT</t>
        </is>
      </c>
      <c r="G256" t="inlineStr">
        <is>
          <t>13</t>
        </is>
      </c>
      <c r="H256" t="inlineStr">
        <is>
          <t>sin asignar</t>
        </is>
      </c>
      <c r="I256" t="inlineStr">
        <is>
          <t>Metamorfico_13</t>
        </is>
      </c>
      <c r="J256" t="inlineStr">
        <is>
          <t>Geologia_2024=Metamorfico_13 (no distingue hornfels/mármol)</t>
        </is>
      </c>
      <c r="K256" t="inlineStr">
        <is>
          <t>Hornfels (hipótesis: siglas HG, HGS, HC)</t>
        </is>
      </c>
      <c r="L256" t="inlineStr">
        <is>
          <t>Metamorfico</t>
        </is>
      </c>
      <c r="M256" t="n">
        <v>1584</v>
      </c>
      <c r="N256" t="n">
        <v>9504000</v>
      </c>
      <c r="O256" t="n">
        <v>25587912</v>
      </c>
      <c r="P256" t="inlineStr"/>
      <c r="Q256" t="n">
        <v>10.544</v>
      </c>
    </row>
    <row r="257">
      <c r="A257" t="inlineStr">
        <is>
          <t>MR24</t>
        </is>
      </c>
      <c r="B257" t="inlineStr">
        <is>
          <t>SIMULACIONES_MR2024_V3</t>
        </is>
      </c>
      <c r="C257" t="inlineStr">
        <is>
          <t>toneladas (6000 m3 x MR24_BD); pct sobre toneladas</t>
        </is>
      </c>
      <c r="D257" t="inlineStr">
        <is>
          <t>anio_LOM25_AMIN_LE2</t>
        </is>
      </c>
      <c r="E257" t="inlineStr">
        <is>
          <t>2036</t>
        </is>
      </c>
      <c r="F257" t="inlineStr">
        <is>
          <t>MR24_RT</t>
        </is>
      </c>
      <c r="G257" t="inlineStr">
        <is>
          <t>14</t>
        </is>
      </c>
      <c r="H257" t="inlineStr">
        <is>
          <t>sin asignar</t>
        </is>
      </c>
      <c r="I257" t="inlineStr">
        <is>
          <t>Metamorfico_14</t>
        </is>
      </c>
      <c r="J257" t="inlineStr">
        <is>
          <t>Geologia_2024=Metamorfico_14 (no distingue hornfels/mármol)</t>
        </is>
      </c>
      <c r="K257" t="inlineStr">
        <is>
          <t>Hornfels (hipótesis: siglas HBV, HGV, HCB, HDP; 'Diop. Hornfels'~HGV)</t>
        </is>
      </c>
      <c r="L257" t="inlineStr">
        <is>
          <t>Metamorfico</t>
        </is>
      </c>
      <c r="M257" t="n">
        <v>693</v>
      </c>
      <c r="N257" t="n">
        <v>4158000</v>
      </c>
      <c r="O257" t="n">
        <v>12018852</v>
      </c>
      <c r="P257" t="inlineStr"/>
      <c r="Q257" t="n">
        <v>4.953</v>
      </c>
    </row>
    <row r="258">
      <c r="A258" t="inlineStr">
        <is>
          <t>MR24</t>
        </is>
      </c>
      <c r="B258" t="inlineStr">
        <is>
          <t>SIMULACIONES_MR2024_V3</t>
        </is>
      </c>
      <c r="C258" t="inlineStr">
        <is>
          <t>toneladas (6000 m3 x MR24_BD); pct sobre toneladas</t>
        </is>
      </c>
      <c r="D258" t="inlineStr">
        <is>
          <t>anio_LOM25_AMIN_LE2</t>
        </is>
      </c>
      <c r="E258" t="inlineStr">
        <is>
          <t>2036</t>
        </is>
      </c>
      <c r="F258" t="inlineStr">
        <is>
          <t>MR24_RT</t>
        </is>
      </c>
      <c r="G258" t="inlineStr">
        <is>
          <t>16</t>
        </is>
      </c>
      <c r="H258" t="inlineStr">
        <is>
          <t>sin asignar</t>
        </is>
      </c>
      <c r="I258" t="inlineStr">
        <is>
          <t>Metamorfico_16</t>
        </is>
      </c>
      <c r="J258" t="inlineStr">
        <is>
          <t>Geologia_2024=Metamorfico_16 (no distingue hornfels/mármol)</t>
        </is>
      </c>
      <c r="K258" t="inlineStr">
        <is>
          <t>Mármol (hipótesis: siglas MC, MG, MGS, MPA, MCGB; 'Marble'~MCGB)</t>
        </is>
      </c>
      <c r="L258" t="inlineStr">
        <is>
          <t>Metamorfico</t>
        </is>
      </c>
      <c r="M258" t="n">
        <v>3872</v>
      </c>
      <c r="N258" t="n">
        <v>23232000</v>
      </c>
      <c r="O258" t="n">
        <v>62900022</v>
      </c>
      <c r="P258" t="inlineStr"/>
      <c r="Q258" t="n">
        <v>25.919</v>
      </c>
    </row>
    <row r="259">
      <c r="A259" t="inlineStr">
        <is>
          <t>MR24</t>
        </is>
      </c>
      <c r="B259" t="inlineStr">
        <is>
          <t>SIMULACIONES_MR2024_V3</t>
        </is>
      </c>
      <c r="C259" t="inlineStr">
        <is>
          <t>toneladas (6000 m3 x MR24_BD); pct sobre toneladas</t>
        </is>
      </c>
      <c r="D259" t="inlineStr">
        <is>
          <t>anio_LOM25_AMIN_LE2</t>
        </is>
      </c>
      <c r="E259" t="inlineStr">
        <is>
          <t>2036</t>
        </is>
      </c>
      <c r="F259" t="inlineStr">
        <is>
          <t>MR24_RT</t>
        </is>
      </c>
      <c r="G259" t="inlineStr">
        <is>
          <t>19</t>
        </is>
      </c>
      <c r="H259" t="inlineStr">
        <is>
          <t>sin asignar</t>
        </is>
      </c>
      <c r="I259" t="inlineStr">
        <is>
          <t>Metamorfico_19</t>
        </is>
      </c>
      <c r="J259" t="inlineStr">
        <is>
          <t>Geologia_2024=Metamorfico_19 (no distingue hornfels/mármol)</t>
        </is>
      </c>
      <c r="K259" t="inlineStr">
        <is>
          <t>Mármol (hipótesis: sigla MDP)</t>
        </is>
      </c>
      <c r="L259" t="inlineStr">
        <is>
          <t>Metamorfico</t>
        </is>
      </c>
      <c r="M259" t="n">
        <v>336</v>
      </c>
      <c r="N259" t="n">
        <v>2016000</v>
      </c>
      <c r="O259" t="n">
        <v>5802282</v>
      </c>
      <c r="P259" t="inlineStr"/>
      <c r="Q259" t="n">
        <v>2.391</v>
      </c>
    </row>
    <row r="260">
      <c r="A260" t="inlineStr">
        <is>
          <t>MR24</t>
        </is>
      </c>
      <c r="B260" t="inlineStr">
        <is>
          <t>SIMULACIONES_MR2024_V3</t>
        </is>
      </c>
      <c r="C260" t="inlineStr">
        <is>
          <t>toneladas (6000 m3 x MR24_BD); pct sobre toneladas</t>
        </is>
      </c>
      <c r="D260" t="inlineStr">
        <is>
          <t>anio_LOM25_AMIN_LE2</t>
        </is>
      </c>
      <c r="E260" t="inlineStr">
        <is>
          <t>2036</t>
        </is>
      </c>
      <c r="F260" t="inlineStr">
        <is>
          <t>MR24_RT</t>
        </is>
      </c>
      <c r="G260" t="inlineStr">
        <is>
          <t>53</t>
        </is>
      </c>
      <c r="H260" t="inlineStr">
        <is>
          <t>sin asignar</t>
        </is>
      </c>
      <c r="I260" t="inlineStr">
        <is>
          <t>RT53</t>
        </is>
      </c>
      <c r="J260" t="inlineStr">
        <is>
          <t>código sin etiqueta en los datos</t>
        </is>
      </c>
      <c r="K260" t="inlineStr">
        <is>
          <t>sin hipótesis</t>
        </is>
      </c>
      <c r="L260" t="inlineStr">
        <is>
          <t>sin leyenda</t>
        </is>
      </c>
      <c r="M260" t="n">
        <v>27</v>
      </c>
      <c r="N260" t="n">
        <v>162000</v>
      </c>
      <c r="O260" t="n">
        <v>425052</v>
      </c>
      <c r="P260" t="inlineStr"/>
      <c r="Q260" t="n">
        <v>0.175</v>
      </c>
    </row>
    <row r="261">
      <c r="A261" t="inlineStr">
        <is>
          <t>MR24</t>
        </is>
      </c>
      <c r="B261" t="inlineStr">
        <is>
          <t>SIMULACIONES_MR2024_V3</t>
        </is>
      </c>
      <c r="C261" t="inlineStr">
        <is>
          <t>toneladas (6000 m3 x MR24_BD); pct sobre toneladas</t>
        </is>
      </c>
      <c r="D261" t="inlineStr">
        <is>
          <t>anio_LOM25_AMIN_LE2</t>
        </is>
      </c>
      <c r="E261" t="inlineStr">
        <is>
          <t>2037</t>
        </is>
      </c>
      <c r="F261" t="inlineStr">
        <is>
          <t>MR24_RT</t>
        </is>
      </c>
      <c r="G261" t="inlineStr">
        <is>
          <t>1</t>
        </is>
      </c>
      <c r="H261" t="inlineStr">
        <is>
          <t>Intrusivo</t>
        </is>
      </c>
      <c r="I261" t="inlineStr">
        <is>
          <t>RT1</t>
        </is>
      </c>
      <c r="J261" t="inlineStr">
        <is>
          <t>Geologia_2024=Intrusivo_1</t>
        </is>
      </c>
      <c r="K261" t="inlineStr">
        <is>
          <t>Intrusivo</t>
        </is>
      </c>
      <c r="L261" t="inlineStr">
        <is>
          <t>Intrusivo</t>
        </is>
      </c>
      <c r="M261" t="n">
        <v>1405</v>
      </c>
      <c r="N261" t="n">
        <v>8430000</v>
      </c>
      <c r="O261" t="n">
        <v>20918754</v>
      </c>
      <c r="P261" t="inlineStr"/>
      <c r="Q261" t="n">
        <v>7.653</v>
      </c>
    </row>
    <row r="262">
      <c r="A262" t="inlineStr">
        <is>
          <t>MR24</t>
        </is>
      </c>
      <c r="B262" t="inlineStr">
        <is>
          <t>SIMULACIONES_MR2024_V3</t>
        </is>
      </c>
      <c r="C262" t="inlineStr">
        <is>
          <t>toneladas (6000 m3 x MR24_BD); pct sobre toneladas</t>
        </is>
      </c>
      <c r="D262" t="inlineStr">
        <is>
          <t>anio_LOM25_AMIN_LE2</t>
        </is>
      </c>
      <c r="E262" t="inlineStr">
        <is>
          <t>2037</t>
        </is>
      </c>
      <c r="F262" t="inlineStr">
        <is>
          <t>MR24_RT</t>
        </is>
      </c>
      <c r="G262" t="inlineStr">
        <is>
          <t>2</t>
        </is>
      </c>
      <c r="H262" t="inlineStr">
        <is>
          <t>Intrusivo</t>
        </is>
      </c>
      <c r="I262" t="inlineStr">
        <is>
          <t>RT2</t>
        </is>
      </c>
      <c r="J262" t="inlineStr">
        <is>
          <t>Geologia_2024=Intrusivo_2</t>
        </is>
      </c>
      <c r="K262" t="inlineStr">
        <is>
          <t>Intrusivo</t>
        </is>
      </c>
      <c r="L262" t="inlineStr">
        <is>
          <t>Intrusivo</t>
        </is>
      </c>
      <c r="M262" t="n">
        <v>162</v>
      </c>
      <c r="N262" t="n">
        <v>972000</v>
      </c>
      <c r="O262" t="n">
        <v>2608674</v>
      </c>
      <c r="P262" t="inlineStr"/>
      <c r="Q262" t="n">
        <v>0.954</v>
      </c>
    </row>
    <row r="263">
      <c r="A263" t="inlineStr">
        <is>
          <t>MR24</t>
        </is>
      </c>
      <c r="B263" t="inlineStr">
        <is>
          <t>SIMULACIONES_MR2024_V3</t>
        </is>
      </c>
      <c r="C263" t="inlineStr">
        <is>
          <t>toneladas (6000 m3 x MR24_BD); pct sobre toneladas</t>
        </is>
      </c>
      <c r="D263" t="inlineStr">
        <is>
          <t>anio_LOM25_AMIN_LE2</t>
        </is>
      </c>
      <c r="E263" t="inlineStr">
        <is>
          <t>2037</t>
        </is>
      </c>
      <c r="F263" t="inlineStr">
        <is>
          <t>MR24_RT</t>
        </is>
      </c>
      <c r="G263" t="inlineStr">
        <is>
          <t>10</t>
        </is>
      </c>
      <c r="H263" t="inlineStr">
        <is>
          <t>sin asignar</t>
        </is>
      </c>
      <c r="I263" t="inlineStr">
        <is>
          <t>Sedimentario_10</t>
        </is>
      </c>
      <c r="J263" t="inlineStr">
        <is>
          <t>Geologia_2024=Sedimentario_10 (no especifica caliza)</t>
        </is>
      </c>
      <c r="K263" t="inlineStr">
        <is>
          <t>Caliza (hipótesis: siglas C*)</t>
        </is>
      </c>
      <c r="L263" t="inlineStr">
        <is>
          <t>Sedimentario</t>
        </is>
      </c>
      <c r="M263" t="n">
        <v>1110</v>
      </c>
      <c r="N263" t="n">
        <v>6660000</v>
      </c>
      <c r="O263" t="n">
        <v>18052968</v>
      </c>
      <c r="P263" t="inlineStr"/>
      <c r="Q263" t="n">
        <v>6.605</v>
      </c>
    </row>
    <row r="264">
      <c r="A264" t="inlineStr">
        <is>
          <t>MR24</t>
        </is>
      </c>
      <c r="B264" t="inlineStr">
        <is>
          <t>SIMULACIONES_MR2024_V3</t>
        </is>
      </c>
      <c r="C264" t="inlineStr">
        <is>
          <t>toneladas (6000 m3 x MR24_BD); pct sobre toneladas</t>
        </is>
      </c>
      <c r="D264" t="inlineStr">
        <is>
          <t>anio_LOM25_AMIN_LE2</t>
        </is>
      </c>
      <c r="E264" t="inlineStr">
        <is>
          <t>2037</t>
        </is>
      </c>
      <c r="F264" t="inlineStr">
        <is>
          <t>MR24_RT</t>
        </is>
      </c>
      <c r="G264" t="inlineStr">
        <is>
          <t>11</t>
        </is>
      </c>
      <c r="H264" t="inlineStr">
        <is>
          <t>sin asignar</t>
        </is>
      </c>
      <c r="I264" t="inlineStr">
        <is>
          <t>Sedimentario_11</t>
        </is>
      </c>
      <c r="J264" t="inlineStr">
        <is>
          <t>Geologia_2024=Sedimentario_11 (no especifica caliza)</t>
        </is>
      </c>
      <c r="K264" t="inlineStr">
        <is>
          <t>Caliza (hipótesis: Sedimentario; RT11~NUMEQ10, siglas C*)</t>
        </is>
      </c>
      <c r="L264" t="inlineStr">
        <is>
          <t>Sedimentario</t>
        </is>
      </c>
      <c r="M264" t="n">
        <v>7625</v>
      </c>
      <c r="N264" t="n">
        <v>45750000</v>
      </c>
      <c r="O264" t="n">
        <v>123917352</v>
      </c>
      <c r="P264" t="inlineStr"/>
      <c r="Q264" t="n">
        <v>45.336</v>
      </c>
    </row>
    <row r="265">
      <c r="A265" t="inlineStr">
        <is>
          <t>MR24</t>
        </is>
      </c>
      <c r="B265" t="inlineStr">
        <is>
          <t>SIMULACIONES_MR2024_V3</t>
        </is>
      </c>
      <c r="C265" t="inlineStr">
        <is>
          <t>toneladas (6000 m3 x MR24_BD); pct sobre toneladas</t>
        </is>
      </c>
      <c r="D265" t="inlineStr">
        <is>
          <t>anio_LOM25_AMIN_LE2</t>
        </is>
      </c>
      <c r="E265" t="inlineStr">
        <is>
          <t>2037</t>
        </is>
      </c>
      <c r="F265" t="inlineStr">
        <is>
          <t>MR24_RT</t>
        </is>
      </c>
      <c r="G265" t="inlineStr">
        <is>
          <t>13</t>
        </is>
      </c>
      <c r="H265" t="inlineStr">
        <is>
          <t>sin asignar</t>
        </is>
      </c>
      <c r="I265" t="inlineStr">
        <is>
          <t>Metamorfico_13</t>
        </is>
      </c>
      <c r="J265" t="inlineStr">
        <is>
          <t>Geologia_2024=Metamorfico_13 (no distingue hornfels/mármol)</t>
        </is>
      </c>
      <c r="K265" t="inlineStr">
        <is>
          <t>Hornfels (hipótesis: siglas HG, HGS, HC)</t>
        </is>
      </c>
      <c r="L265" t="inlineStr">
        <is>
          <t>Metamorfico</t>
        </is>
      </c>
      <c r="M265" t="n">
        <v>1765</v>
      </c>
      <c r="N265" t="n">
        <v>10590000</v>
      </c>
      <c r="O265" t="n">
        <v>28565646</v>
      </c>
      <c r="P265" t="inlineStr"/>
      <c r="Q265" t="n">
        <v>10.451</v>
      </c>
    </row>
    <row r="266">
      <c r="A266" t="inlineStr">
        <is>
          <t>MR24</t>
        </is>
      </c>
      <c r="B266" t="inlineStr">
        <is>
          <t>SIMULACIONES_MR2024_V3</t>
        </is>
      </c>
      <c r="C266" t="inlineStr">
        <is>
          <t>toneladas (6000 m3 x MR24_BD); pct sobre toneladas</t>
        </is>
      </c>
      <c r="D266" t="inlineStr">
        <is>
          <t>anio_LOM25_AMIN_LE2</t>
        </is>
      </c>
      <c r="E266" t="inlineStr">
        <is>
          <t>2037</t>
        </is>
      </c>
      <c r="F266" t="inlineStr">
        <is>
          <t>MR24_RT</t>
        </is>
      </c>
      <c r="G266" t="inlineStr">
        <is>
          <t>14</t>
        </is>
      </c>
      <c r="H266" t="inlineStr">
        <is>
          <t>sin asignar</t>
        </is>
      </c>
      <c r="I266" t="inlineStr">
        <is>
          <t>Metamorfico_14</t>
        </is>
      </c>
      <c r="J266" t="inlineStr">
        <is>
          <t>Geologia_2024=Metamorfico_14 (no distingue hornfels/mármol)</t>
        </is>
      </c>
      <c r="K266" t="inlineStr">
        <is>
          <t>Hornfels (hipótesis: siglas HBV, HGV, HCB, HDP; 'Diop. Hornfels'~HGV)</t>
        </is>
      </c>
      <c r="L266" t="inlineStr">
        <is>
          <t>Metamorfico</t>
        </is>
      </c>
      <c r="M266" t="n">
        <v>532</v>
      </c>
      <c r="N266" t="n">
        <v>3192000</v>
      </c>
      <c r="O266" t="n">
        <v>9218124</v>
      </c>
      <c r="P266" t="inlineStr"/>
      <c r="Q266" t="n">
        <v>3.372</v>
      </c>
    </row>
    <row r="267">
      <c r="A267" t="inlineStr">
        <is>
          <t>MR24</t>
        </is>
      </c>
      <c r="B267" t="inlineStr">
        <is>
          <t>SIMULACIONES_MR2024_V3</t>
        </is>
      </c>
      <c r="C267" t="inlineStr">
        <is>
          <t>toneladas (6000 m3 x MR24_BD); pct sobre toneladas</t>
        </is>
      </c>
      <c r="D267" t="inlineStr">
        <is>
          <t>anio_LOM25_AMIN_LE2</t>
        </is>
      </c>
      <c r="E267" t="inlineStr">
        <is>
          <t>2037</t>
        </is>
      </c>
      <c r="F267" t="inlineStr">
        <is>
          <t>MR24_RT</t>
        </is>
      </c>
      <c r="G267" t="inlineStr">
        <is>
          <t>16</t>
        </is>
      </c>
      <c r="H267" t="inlineStr">
        <is>
          <t>sin asignar</t>
        </is>
      </c>
      <c r="I267" t="inlineStr">
        <is>
          <t>Metamorfico_16</t>
        </is>
      </c>
      <c r="J267" t="inlineStr">
        <is>
          <t>Geologia_2024=Metamorfico_16 (no distingue hornfels/mármol)</t>
        </is>
      </c>
      <c r="K267" t="inlineStr">
        <is>
          <t>Mármol (hipótesis: siglas MC, MG, MGS, MPA, MCGB; 'Marble'~MCGB)</t>
        </is>
      </c>
      <c r="L267" t="inlineStr">
        <is>
          <t>Metamorfico</t>
        </is>
      </c>
      <c r="M267" t="n">
        <v>3731</v>
      </c>
      <c r="N267" t="n">
        <v>22386000</v>
      </c>
      <c r="O267" t="n">
        <v>60667998</v>
      </c>
      <c r="P267" t="inlineStr"/>
      <c r="Q267" t="n">
        <v>22.196</v>
      </c>
    </row>
    <row r="268">
      <c r="A268" t="inlineStr">
        <is>
          <t>MR24</t>
        </is>
      </c>
      <c r="B268" t="inlineStr">
        <is>
          <t>SIMULACIONES_MR2024_V3</t>
        </is>
      </c>
      <c r="C268" t="inlineStr">
        <is>
          <t>toneladas (6000 m3 x MR24_BD); pct sobre toneladas</t>
        </is>
      </c>
      <c r="D268" t="inlineStr">
        <is>
          <t>anio_LOM25_AMIN_LE2</t>
        </is>
      </c>
      <c r="E268" t="inlineStr">
        <is>
          <t>2037</t>
        </is>
      </c>
      <c r="F268" t="inlineStr">
        <is>
          <t>MR24_RT</t>
        </is>
      </c>
      <c r="G268" t="inlineStr">
        <is>
          <t>19</t>
        </is>
      </c>
      <c r="H268" t="inlineStr">
        <is>
          <t>sin asignar</t>
        </is>
      </c>
      <c r="I268" t="inlineStr">
        <is>
          <t>Metamorfico_19</t>
        </is>
      </c>
      <c r="J268" t="inlineStr">
        <is>
          <t>Geologia_2024=Metamorfico_19 (no distingue hornfels/mármol)</t>
        </is>
      </c>
      <c r="K268" t="inlineStr">
        <is>
          <t>Mármol (hipótesis: sigla MDP)</t>
        </is>
      </c>
      <c r="L268" t="inlineStr">
        <is>
          <t>Metamorfico</t>
        </is>
      </c>
      <c r="M268" t="n">
        <v>528</v>
      </c>
      <c r="N268" t="n">
        <v>3168000</v>
      </c>
      <c r="O268" t="n">
        <v>9124140</v>
      </c>
      <c r="P268" t="inlineStr"/>
      <c r="Q268" t="n">
        <v>3.338</v>
      </c>
    </row>
    <row r="269">
      <c r="A269" t="inlineStr">
        <is>
          <t>MR24</t>
        </is>
      </c>
      <c r="B269" t="inlineStr">
        <is>
          <t>SIMULACIONES_MR2024_V3</t>
        </is>
      </c>
      <c r="C269" t="inlineStr">
        <is>
          <t>toneladas (6000 m3 x MR24_BD); pct sobre toneladas</t>
        </is>
      </c>
      <c r="D269" t="inlineStr">
        <is>
          <t>anio_LOM25_AMIN_LE2</t>
        </is>
      </c>
      <c r="E269" t="inlineStr">
        <is>
          <t>2037</t>
        </is>
      </c>
      <c r="F269" t="inlineStr">
        <is>
          <t>MR24_RT</t>
        </is>
      </c>
      <c r="G269" t="inlineStr">
        <is>
          <t>53</t>
        </is>
      </c>
      <c r="H269" t="inlineStr">
        <is>
          <t>sin asignar</t>
        </is>
      </c>
      <c r="I269" t="inlineStr">
        <is>
          <t>RT53</t>
        </is>
      </c>
      <c r="J269" t="inlineStr">
        <is>
          <t>código sin etiqueta en los datos</t>
        </is>
      </c>
      <c r="K269" t="inlineStr">
        <is>
          <t>sin hipótesis</t>
        </is>
      </c>
      <c r="L269" t="inlineStr">
        <is>
          <t>sin leyenda</t>
        </is>
      </c>
      <c r="M269" t="n">
        <v>16</v>
      </c>
      <c r="N269" t="n">
        <v>96000</v>
      </c>
      <c r="O269" t="n">
        <v>259968</v>
      </c>
      <c r="P269" t="inlineStr"/>
      <c r="Q269" t="n">
        <v>0.095</v>
      </c>
    </row>
    <row r="270">
      <c r="A270" t="inlineStr">
        <is>
          <t>MR24</t>
        </is>
      </c>
      <c r="B270" t="inlineStr">
        <is>
          <t>SIMULACIONES_MR2024_V3</t>
        </is>
      </c>
      <c r="C270" t="inlineStr">
        <is>
          <t>toneladas (6000 m3 x MR24_BD); pct sobre toneladas</t>
        </is>
      </c>
      <c r="D270" t="inlineStr">
        <is>
          <t>anio_LOM25_AMIN_LE2</t>
        </is>
      </c>
      <c r="E270" t="inlineStr">
        <is>
          <t>2038</t>
        </is>
      </c>
      <c r="F270" t="inlineStr">
        <is>
          <t>MR24_RT</t>
        </is>
      </c>
      <c r="G270" t="inlineStr">
        <is>
          <t>1</t>
        </is>
      </c>
      <c r="H270" t="inlineStr">
        <is>
          <t>Intrusivo</t>
        </is>
      </c>
      <c r="I270" t="inlineStr">
        <is>
          <t>RT1</t>
        </is>
      </c>
      <c r="J270" t="inlineStr">
        <is>
          <t>Geologia_2024=Intrusivo_1</t>
        </is>
      </c>
      <c r="K270" t="inlineStr">
        <is>
          <t>Intrusivo</t>
        </is>
      </c>
      <c r="L270" t="inlineStr">
        <is>
          <t>Intrusivo</t>
        </is>
      </c>
      <c r="M270" t="n">
        <v>1356</v>
      </c>
      <c r="N270" t="n">
        <v>8136000</v>
      </c>
      <c r="O270" t="n">
        <v>20179302</v>
      </c>
      <c r="P270" t="inlineStr"/>
      <c r="Q270" t="n">
        <v>7.736</v>
      </c>
    </row>
    <row r="271">
      <c r="A271" t="inlineStr">
        <is>
          <t>MR24</t>
        </is>
      </c>
      <c r="B271" t="inlineStr">
        <is>
          <t>SIMULACIONES_MR2024_V3</t>
        </is>
      </c>
      <c r="C271" t="inlineStr">
        <is>
          <t>toneladas (6000 m3 x MR24_BD); pct sobre toneladas</t>
        </is>
      </c>
      <c r="D271" t="inlineStr">
        <is>
          <t>anio_LOM25_AMIN_LE2</t>
        </is>
      </c>
      <c r="E271" t="inlineStr">
        <is>
          <t>2038</t>
        </is>
      </c>
      <c r="F271" t="inlineStr">
        <is>
          <t>MR24_RT</t>
        </is>
      </c>
      <c r="G271" t="inlineStr">
        <is>
          <t>2</t>
        </is>
      </c>
      <c r="H271" t="inlineStr">
        <is>
          <t>Intrusivo</t>
        </is>
      </c>
      <c r="I271" t="inlineStr">
        <is>
          <t>RT2</t>
        </is>
      </c>
      <c r="J271" t="inlineStr">
        <is>
          <t>Geologia_2024=Intrusivo_2</t>
        </is>
      </c>
      <c r="K271" t="inlineStr">
        <is>
          <t>Intrusivo</t>
        </is>
      </c>
      <c r="L271" t="inlineStr">
        <is>
          <t>Intrusivo</t>
        </is>
      </c>
      <c r="M271" t="n">
        <v>204</v>
      </c>
      <c r="N271" t="n">
        <v>1224000</v>
      </c>
      <c r="O271" t="n">
        <v>3267660</v>
      </c>
      <c r="P271" t="inlineStr"/>
      <c r="Q271" t="n">
        <v>1.253</v>
      </c>
    </row>
    <row r="272">
      <c r="A272" t="inlineStr">
        <is>
          <t>MR24</t>
        </is>
      </c>
      <c r="B272" t="inlineStr">
        <is>
          <t>SIMULACIONES_MR2024_V3</t>
        </is>
      </c>
      <c r="C272" t="inlineStr">
        <is>
          <t>toneladas (6000 m3 x MR24_BD); pct sobre toneladas</t>
        </is>
      </c>
      <c r="D272" t="inlineStr">
        <is>
          <t>anio_LOM25_AMIN_LE2</t>
        </is>
      </c>
      <c r="E272" t="inlineStr">
        <is>
          <t>2038</t>
        </is>
      </c>
      <c r="F272" t="inlineStr">
        <is>
          <t>MR24_RT</t>
        </is>
      </c>
      <c r="G272" t="inlineStr">
        <is>
          <t>10</t>
        </is>
      </c>
      <c r="H272" t="inlineStr">
        <is>
          <t>sin asignar</t>
        </is>
      </c>
      <c r="I272" t="inlineStr">
        <is>
          <t>Sedimentario_10</t>
        </is>
      </c>
      <c r="J272" t="inlineStr">
        <is>
          <t>Geologia_2024=Sedimentario_10 (no especifica caliza)</t>
        </is>
      </c>
      <c r="K272" t="inlineStr">
        <is>
          <t>Caliza (hipótesis: siglas C*)</t>
        </is>
      </c>
      <c r="L272" t="inlineStr">
        <is>
          <t>Sedimentario</t>
        </is>
      </c>
      <c r="M272" t="n">
        <v>1003</v>
      </c>
      <c r="N272" t="n">
        <v>6018000</v>
      </c>
      <c r="O272" t="n">
        <v>16312590</v>
      </c>
      <c r="P272" t="inlineStr"/>
      <c r="Q272" t="n">
        <v>6.254</v>
      </c>
    </row>
    <row r="273">
      <c r="A273" t="inlineStr">
        <is>
          <t>MR24</t>
        </is>
      </c>
      <c r="B273" t="inlineStr">
        <is>
          <t>SIMULACIONES_MR2024_V3</t>
        </is>
      </c>
      <c r="C273" t="inlineStr">
        <is>
          <t>toneladas (6000 m3 x MR24_BD); pct sobre toneladas</t>
        </is>
      </c>
      <c r="D273" t="inlineStr">
        <is>
          <t>anio_LOM25_AMIN_LE2</t>
        </is>
      </c>
      <c r="E273" t="inlineStr">
        <is>
          <t>2038</t>
        </is>
      </c>
      <c r="F273" t="inlineStr">
        <is>
          <t>MR24_RT</t>
        </is>
      </c>
      <c r="G273" t="inlineStr">
        <is>
          <t>11</t>
        </is>
      </c>
      <c r="H273" t="inlineStr">
        <is>
          <t>sin asignar</t>
        </is>
      </c>
      <c r="I273" t="inlineStr">
        <is>
          <t>Sedimentario_11</t>
        </is>
      </c>
      <c r="J273" t="inlineStr">
        <is>
          <t>Geologia_2024=Sedimentario_11 (no especifica caliza)</t>
        </is>
      </c>
      <c r="K273" t="inlineStr">
        <is>
          <t>Caliza (hipótesis: Sedimentario; RT11~NUMEQ10, siglas C*)</t>
        </is>
      </c>
      <c r="L273" t="inlineStr">
        <is>
          <t>Sedimentario</t>
        </is>
      </c>
      <c r="M273" t="n">
        <v>5878</v>
      </c>
      <c r="N273" t="n">
        <v>35268000</v>
      </c>
      <c r="O273" t="n">
        <v>95747766</v>
      </c>
      <c r="P273" t="inlineStr"/>
      <c r="Q273" t="n">
        <v>36.707</v>
      </c>
    </row>
    <row r="274">
      <c r="A274" t="inlineStr">
        <is>
          <t>MR24</t>
        </is>
      </c>
      <c r="B274" t="inlineStr">
        <is>
          <t>SIMULACIONES_MR2024_V3</t>
        </is>
      </c>
      <c r="C274" t="inlineStr">
        <is>
          <t>toneladas (6000 m3 x MR24_BD); pct sobre toneladas</t>
        </is>
      </c>
      <c r="D274" t="inlineStr">
        <is>
          <t>anio_LOM25_AMIN_LE2</t>
        </is>
      </c>
      <c r="E274" t="inlineStr">
        <is>
          <t>2038</t>
        </is>
      </c>
      <c r="F274" t="inlineStr">
        <is>
          <t>MR24_RT</t>
        </is>
      </c>
      <c r="G274" t="inlineStr">
        <is>
          <t>13</t>
        </is>
      </c>
      <c r="H274" t="inlineStr">
        <is>
          <t>sin asignar</t>
        </is>
      </c>
      <c r="I274" t="inlineStr">
        <is>
          <t>Metamorfico_13</t>
        </is>
      </c>
      <c r="J274" t="inlineStr">
        <is>
          <t>Geologia_2024=Metamorfico_13 (no distingue hornfels/mármol)</t>
        </is>
      </c>
      <c r="K274" t="inlineStr">
        <is>
          <t>Hornfels (hipótesis: siglas HG, HGS, HC)</t>
        </is>
      </c>
      <c r="L274" t="inlineStr">
        <is>
          <t>Metamorfico</t>
        </is>
      </c>
      <c r="M274" t="n">
        <v>2156</v>
      </c>
      <c r="N274" t="n">
        <v>12936000</v>
      </c>
      <c r="O274" t="n">
        <v>34939680</v>
      </c>
      <c r="P274" t="inlineStr"/>
      <c r="Q274" t="n">
        <v>13.395</v>
      </c>
    </row>
    <row r="275">
      <c r="A275" t="inlineStr">
        <is>
          <t>MR24</t>
        </is>
      </c>
      <c r="B275" t="inlineStr">
        <is>
          <t>SIMULACIONES_MR2024_V3</t>
        </is>
      </c>
      <c r="C275" t="inlineStr">
        <is>
          <t>toneladas (6000 m3 x MR24_BD); pct sobre toneladas</t>
        </is>
      </c>
      <c r="D275" t="inlineStr">
        <is>
          <t>anio_LOM25_AMIN_LE2</t>
        </is>
      </c>
      <c r="E275" t="inlineStr">
        <is>
          <t>2038</t>
        </is>
      </c>
      <c r="F275" t="inlineStr">
        <is>
          <t>MR24_RT</t>
        </is>
      </c>
      <c r="G275" t="inlineStr">
        <is>
          <t>14</t>
        </is>
      </c>
      <c r="H275" t="inlineStr">
        <is>
          <t>sin asignar</t>
        </is>
      </c>
      <c r="I275" t="inlineStr">
        <is>
          <t>Metamorfico_14</t>
        </is>
      </c>
      <c r="J275" t="inlineStr">
        <is>
          <t>Geologia_2024=Metamorfico_14 (no distingue hornfels/mármol)</t>
        </is>
      </c>
      <c r="K275" t="inlineStr">
        <is>
          <t>Hornfels (hipótesis: siglas HBV, HGV, HCB, HDP; 'Diop. Hornfels'~HGV)</t>
        </is>
      </c>
      <c r="L275" t="inlineStr">
        <is>
          <t>Metamorfico</t>
        </is>
      </c>
      <c r="M275" t="n">
        <v>237</v>
      </c>
      <c r="N275" t="n">
        <v>1422000</v>
      </c>
      <c r="O275" t="n">
        <v>4079682</v>
      </c>
      <c r="P275" t="inlineStr"/>
      <c r="Q275" t="n">
        <v>1.564</v>
      </c>
    </row>
    <row r="276">
      <c r="A276" t="inlineStr">
        <is>
          <t>MR24</t>
        </is>
      </c>
      <c r="B276" t="inlineStr">
        <is>
          <t>SIMULACIONES_MR2024_V3</t>
        </is>
      </c>
      <c r="C276" t="inlineStr">
        <is>
          <t>toneladas (6000 m3 x MR24_BD); pct sobre toneladas</t>
        </is>
      </c>
      <c r="D276" t="inlineStr">
        <is>
          <t>anio_LOM25_AMIN_LE2</t>
        </is>
      </c>
      <c r="E276" t="inlineStr">
        <is>
          <t>2038</t>
        </is>
      </c>
      <c r="F276" t="inlineStr">
        <is>
          <t>MR24_RT</t>
        </is>
      </c>
      <c r="G276" t="inlineStr">
        <is>
          <t>16</t>
        </is>
      </c>
      <c r="H276" t="inlineStr">
        <is>
          <t>sin asignar</t>
        </is>
      </c>
      <c r="I276" t="inlineStr">
        <is>
          <t>Metamorfico_16</t>
        </is>
      </c>
      <c r="J276" t="inlineStr">
        <is>
          <t>Geologia_2024=Metamorfico_16 (no distingue hornfels/mármol)</t>
        </is>
      </c>
      <c r="K276" t="inlineStr">
        <is>
          <t>Mármol (hipótesis: siglas MC, MG, MGS, MPA, MCGB; 'Marble'~MCGB)</t>
        </is>
      </c>
      <c r="L276" t="inlineStr">
        <is>
          <t>Metamorfico</t>
        </is>
      </c>
      <c r="M276" t="n">
        <v>4651</v>
      </c>
      <c r="N276" t="n">
        <v>27906000</v>
      </c>
      <c r="O276" t="n">
        <v>75666780</v>
      </c>
      <c r="P276" t="inlineStr"/>
      <c r="Q276" t="n">
        <v>29.009</v>
      </c>
    </row>
    <row r="277">
      <c r="A277" t="inlineStr">
        <is>
          <t>MR24</t>
        </is>
      </c>
      <c r="B277" t="inlineStr">
        <is>
          <t>SIMULACIONES_MR2024_V3</t>
        </is>
      </c>
      <c r="C277" t="inlineStr">
        <is>
          <t>toneladas (6000 m3 x MR24_BD); pct sobre toneladas</t>
        </is>
      </c>
      <c r="D277" t="inlineStr">
        <is>
          <t>anio_LOM25_AMIN_LE2</t>
        </is>
      </c>
      <c r="E277" t="inlineStr">
        <is>
          <t>2038</t>
        </is>
      </c>
      <c r="F277" t="inlineStr">
        <is>
          <t>MR24_RT</t>
        </is>
      </c>
      <c r="G277" t="inlineStr">
        <is>
          <t>19</t>
        </is>
      </c>
      <c r="H277" t="inlineStr">
        <is>
          <t>sin asignar</t>
        </is>
      </c>
      <c r="I277" t="inlineStr">
        <is>
          <t>Metamorfico_19</t>
        </is>
      </c>
      <c r="J277" t="inlineStr">
        <is>
          <t>Geologia_2024=Metamorfico_19 (no distingue hornfels/mármol)</t>
        </is>
      </c>
      <c r="K277" t="inlineStr">
        <is>
          <t>Mármol (hipótesis: sigla MDP)</t>
        </is>
      </c>
      <c r="L277" t="inlineStr">
        <is>
          <t>Metamorfico</t>
        </is>
      </c>
      <c r="M277" t="n">
        <v>600</v>
      </c>
      <c r="N277" t="n">
        <v>3600000</v>
      </c>
      <c r="O277" t="n">
        <v>10329966</v>
      </c>
      <c r="P277" t="inlineStr"/>
      <c r="Q277" t="n">
        <v>3.96</v>
      </c>
    </row>
    <row r="278">
      <c r="A278" t="inlineStr">
        <is>
          <t>MR24</t>
        </is>
      </c>
      <c r="B278" t="inlineStr">
        <is>
          <t>SIMULACIONES_MR2024_V3</t>
        </is>
      </c>
      <c r="C278" t="inlineStr">
        <is>
          <t>toneladas (6000 m3 x MR24_BD); pct sobre toneladas</t>
        </is>
      </c>
      <c r="D278" t="inlineStr">
        <is>
          <t>anio_LOM25_AMIN_LE2</t>
        </is>
      </c>
      <c r="E278" t="inlineStr">
        <is>
          <t>2038</t>
        </is>
      </c>
      <c r="F278" t="inlineStr">
        <is>
          <t>MR24_RT</t>
        </is>
      </c>
      <c r="G278" t="inlineStr">
        <is>
          <t>53</t>
        </is>
      </c>
      <c r="H278" t="inlineStr">
        <is>
          <t>sin asignar</t>
        </is>
      </c>
      <c r="I278" t="inlineStr">
        <is>
          <t>RT53</t>
        </is>
      </c>
      <c r="J278" t="inlineStr">
        <is>
          <t>código sin etiqueta en los datos</t>
        </is>
      </c>
      <c r="K278" t="inlineStr">
        <is>
          <t>sin hipótesis</t>
        </is>
      </c>
      <c r="L278" t="inlineStr">
        <is>
          <t>sin leyenda</t>
        </is>
      </c>
      <c r="M278" t="n">
        <v>20</v>
      </c>
      <c r="N278" t="n">
        <v>120000</v>
      </c>
      <c r="O278" t="n">
        <v>317496</v>
      </c>
      <c r="P278" t="inlineStr"/>
      <c r="Q278" t="n">
        <v>0.122</v>
      </c>
    </row>
    <row r="279">
      <c r="A279" t="inlineStr">
        <is>
          <t>MR24</t>
        </is>
      </c>
      <c r="B279" t="inlineStr">
        <is>
          <t>SIMULACIONES_MR2024_V3</t>
        </is>
      </c>
      <c r="C279" t="inlineStr">
        <is>
          <t>toneladas (6000 m3 x MR24_BD); pct sobre toneladas</t>
        </is>
      </c>
      <c r="D279" t="inlineStr">
        <is>
          <t>anio_LOM25_AMIN_LE2</t>
        </is>
      </c>
      <c r="E279" t="inlineStr">
        <is>
          <t>2039</t>
        </is>
      </c>
      <c r="F279" t="inlineStr">
        <is>
          <t>MR24_RT</t>
        </is>
      </c>
      <c r="G279" t="inlineStr">
        <is>
          <t>1</t>
        </is>
      </c>
      <c r="H279" t="inlineStr">
        <is>
          <t>Intrusivo</t>
        </is>
      </c>
      <c r="I279" t="inlineStr">
        <is>
          <t>RT1</t>
        </is>
      </c>
      <c r="J279" t="inlineStr">
        <is>
          <t>Geologia_2024=Intrusivo_1</t>
        </is>
      </c>
      <c r="K279" t="inlineStr">
        <is>
          <t>Intrusivo</t>
        </is>
      </c>
      <c r="L279" t="inlineStr">
        <is>
          <t>Intrusivo</t>
        </is>
      </c>
      <c r="M279" t="n">
        <v>1241</v>
      </c>
      <c r="N279" t="n">
        <v>7446000</v>
      </c>
      <c r="O279" t="n">
        <v>18231636</v>
      </c>
      <c r="P279" t="inlineStr"/>
      <c r="Q279" t="n">
        <v>6.262</v>
      </c>
    </row>
    <row r="280">
      <c r="A280" t="inlineStr">
        <is>
          <t>MR24</t>
        </is>
      </c>
      <c r="B280" t="inlineStr">
        <is>
          <t>SIMULACIONES_MR2024_V3</t>
        </is>
      </c>
      <c r="C280" t="inlineStr">
        <is>
          <t>toneladas (6000 m3 x MR24_BD); pct sobre toneladas</t>
        </is>
      </c>
      <c r="D280" t="inlineStr">
        <is>
          <t>anio_LOM25_AMIN_LE2</t>
        </is>
      </c>
      <c r="E280" t="inlineStr">
        <is>
          <t>2039</t>
        </is>
      </c>
      <c r="F280" t="inlineStr">
        <is>
          <t>MR24_RT</t>
        </is>
      </c>
      <c r="G280" t="inlineStr">
        <is>
          <t>2</t>
        </is>
      </c>
      <c r="H280" t="inlineStr">
        <is>
          <t>Intrusivo</t>
        </is>
      </c>
      <c r="I280" t="inlineStr">
        <is>
          <t>RT2</t>
        </is>
      </c>
      <c r="J280" t="inlineStr">
        <is>
          <t>Geologia_2024=Intrusivo_2</t>
        </is>
      </c>
      <c r="K280" t="inlineStr">
        <is>
          <t>Intrusivo</t>
        </is>
      </c>
      <c r="L280" t="inlineStr">
        <is>
          <t>Intrusivo</t>
        </is>
      </c>
      <c r="M280" t="n">
        <v>165</v>
      </c>
      <c r="N280" t="n">
        <v>990000</v>
      </c>
      <c r="O280" t="n">
        <v>2648904</v>
      </c>
      <c r="P280" t="inlineStr"/>
      <c r="Q280" t="n">
        <v>0.91</v>
      </c>
    </row>
    <row r="281">
      <c r="A281" t="inlineStr">
        <is>
          <t>MR24</t>
        </is>
      </c>
      <c r="B281" t="inlineStr">
        <is>
          <t>SIMULACIONES_MR2024_V3</t>
        </is>
      </c>
      <c r="C281" t="inlineStr">
        <is>
          <t>toneladas (6000 m3 x MR24_BD); pct sobre toneladas</t>
        </is>
      </c>
      <c r="D281" t="inlineStr">
        <is>
          <t>anio_LOM25_AMIN_LE2</t>
        </is>
      </c>
      <c r="E281" t="inlineStr">
        <is>
          <t>2039</t>
        </is>
      </c>
      <c r="F281" t="inlineStr">
        <is>
          <t>MR24_RT</t>
        </is>
      </c>
      <c r="G281" t="inlineStr">
        <is>
          <t>10</t>
        </is>
      </c>
      <c r="H281" t="inlineStr">
        <is>
          <t>sin asignar</t>
        </is>
      </c>
      <c r="I281" t="inlineStr">
        <is>
          <t>Sedimentario_10</t>
        </is>
      </c>
      <c r="J281" t="inlineStr">
        <is>
          <t>Geologia_2024=Sedimentario_10 (no especifica caliza)</t>
        </is>
      </c>
      <c r="K281" t="inlineStr">
        <is>
          <t>Caliza (hipótesis: siglas C*)</t>
        </is>
      </c>
      <c r="L281" t="inlineStr">
        <is>
          <t>Sedimentario</t>
        </is>
      </c>
      <c r="M281" t="n">
        <v>1702</v>
      </c>
      <c r="N281" t="n">
        <v>10212000</v>
      </c>
      <c r="O281" t="n">
        <v>27708414</v>
      </c>
      <c r="P281" t="inlineStr"/>
      <c r="Q281" t="n">
        <v>9.516999999999999</v>
      </c>
    </row>
    <row r="282">
      <c r="A282" t="inlineStr">
        <is>
          <t>MR24</t>
        </is>
      </c>
      <c r="B282" t="inlineStr">
        <is>
          <t>SIMULACIONES_MR2024_V3</t>
        </is>
      </c>
      <c r="C282" t="inlineStr">
        <is>
          <t>toneladas (6000 m3 x MR24_BD); pct sobre toneladas</t>
        </is>
      </c>
      <c r="D282" t="inlineStr">
        <is>
          <t>anio_LOM25_AMIN_LE2</t>
        </is>
      </c>
      <c r="E282" t="inlineStr">
        <is>
          <t>2039</t>
        </is>
      </c>
      <c r="F282" t="inlineStr">
        <is>
          <t>MR24_RT</t>
        </is>
      </c>
      <c r="G282" t="inlineStr">
        <is>
          <t>11</t>
        </is>
      </c>
      <c r="H282" t="inlineStr">
        <is>
          <t>sin asignar</t>
        </is>
      </c>
      <c r="I282" t="inlineStr">
        <is>
          <t>Sedimentario_11</t>
        </is>
      </c>
      <c r="J282" t="inlineStr">
        <is>
          <t>Geologia_2024=Sedimentario_11 (no especifica caliza)</t>
        </is>
      </c>
      <c r="K282" t="inlineStr">
        <is>
          <t>Caliza (hipótesis: Sedimentario; RT11~NUMEQ10, siglas C*)</t>
        </is>
      </c>
      <c r="L282" t="inlineStr">
        <is>
          <t>Sedimentario</t>
        </is>
      </c>
      <c r="M282" t="n">
        <v>5808</v>
      </c>
      <c r="N282" t="n">
        <v>34848000</v>
      </c>
      <c r="O282" t="n">
        <v>94635894</v>
      </c>
      <c r="P282" t="inlineStr"/>
      <c r="Q282" t="n">
        <v>32.505</v>
      </c>
    </row>
    <row r="283">
      <c r="A283" t="inlineStr">
        <is>
          <t>MR24</t>
        </is>
      </c>
      <c r="B283" t="inlineStr">
        <is>
          <t>SIMULACIONES_MR2024_V3</t>
        </is>
      </c>
      <c r="C283" t="inlineStr">
        <is>
          <t>toneladas (6000 m3 x MR24_BD); pct sobre toneladas</t>
        </is>
      </c>
      <c r="D283" t="inlineStr">
        <is>
          <t>anio_LOM25_AMIN_LE2</t>
        </is>
      </c>
      <c r="E283" t="inlineStr">
        <is>
          <t>2039</t>
        </is>
      </c>
      <c r="F283" t="inlineStr">
        <is>
          <t>MR24_RT</t>
        </is>
      </c>
      <c r="G283" t="inlineStr">
        <is>
          <t>13</t>
        </is>
      </c>
      <c r="H283" t="inlineStr">
        <is>
          <t>sin asignar</t>
        </is>
      </c>
      <c r="I283" t="inlineStr">
        <is>
          <t>Metamorfico_13</t>
        </is>
      </c>
      <c r="J283" t="inlineStr">
        <is>
          <t>Geologia_2024=Metamorfico_13 (no distingue hornfels/mármol)</t>
        </is>
      </c>
      <c r="K283" t="inlineStr">
        <is>
          <t>Hornfels (hipótesis: siglas HG, HGS, HC)</t>
        </is>
      </c>
      <c r="L283" t="inlineStr">
        <is>
          <t>Metamorfico</t>
        </is>
      </c>
      <c r="M283" t="n">
        <v>3191</v>
      </c>
      <c r="N283" t="n">
        <v>19146000</v>
      </c>
      <c r="O283" t="n">
        <v>51682098</v>
      </c>
      <c r="P283" t="inlineStr"/>
      <c r="Q283" t="n">
        <v>17.751</v>
      </c>
    </row>
    <row r="284">
      <c r="A284" t="inlineStr">
        <is>
          <t>MR24</t>
        </is>
      </c>
      <c r="B284" t="inlineStr">
        <is>
          <t>SIMULACIONES_MR2024_V3</t>
        </is>
      </c>
      <c r="C284" t="inlineStr">
        <is>
          <t>toneladas (6000 m3 x MR24_BD); pct sobre toneladas</t>
        </is>
      </c>
      <c r="D284" t="inlineStr">
        <is>
          <t>anio_LOM25_AMIN_LE2</t>
        </is>
      </c>
      <c r="E284" t="inlineStr">
        <is>
          <t>2039</t>
        </is>
      </c>
      <c r="F284" t="inlineStr">
        <is>
          <t>MR24_RT</t>
        </is>
      </c>
      <c r="G284" t="inlineStr">
        <is>
          <t>14</t>
        </is>
      </c>
      <c r="H284" t="inlineStr">
        <is>
          <t>sin asignar</t>
        </is>
      </c>
      <c r="I284" t="inlineStr">
        <is>
          <t>Metamorfico_14</t>
        </is>
      </c>
      <c r="J284" t="inlineStr">
        <is>
          <t>Geologia_2024=Metamorfico_14 (no distingue hornfels/mármol)</t>
        </is>
      </c>
      <c r="K284" t="inlineStr">
        <is>
          <t>Hornfels (hipótesis: siglas HBV, HGV, HCB, HDP; 'Diop. Hornfels'~HGV)</t>
        </is>
      </c>
      <c r="L284" t="inlineStr">
        <is>
          <t>Metamorfico</t>
        </is>
      </c>
      <c r="M284" t="n">
        <v>176</v>
      </c>
      <c r="N284" t="n">
        <v>1056000</v>
      </c>
      <c r="O284" t="n">
        <v>2915370</v>
      </c>
      <c r="P284" t="inlineStr"/>
      <c r="Q284" t="n">
        <v>1.001</v>
      </c>
    </row>
    <row r="285">
      <c r="A285" t="inlineStr">
        <is>
          <t>MR24</t>
        </is>
      </c>
      <c r="B285" t="inlineStr">
        <is>
          <t>SIMULACIONES_MR2024_V3</t>
        </is>
      </c>
      <c r="C285" t="inlineStr">
        <is>
          <t>toneladas (6000 m3 x MR24_BD); pct sobre toneladas</t>
        </is>
      </c>
      <c r="D285" t="inlineStr">
        <is>
          <t>anio_LOM25_AMIN_LE2</t>
        </is>
      </c>
      <c r="E285" t="inlineStr">
        <is>
          <t>2039</t>
        </is>
      </c>
      <c r="F285" t="inlineStr">
        <is>
          <t>MR24_RT</t>
        </is>
      </c>
      <c r="G285" t="inlineStr">
        <is>
          <t>16</t>
        </is>
      </c>
      <c r="H285" t="inlineStr">
        <is>
          <t>sin asignar</t>
        </is>
      </c>
      <c r="I285" t="inlineStr">
        <is>
          <t>Metamorfico_16</t>
        </is>
      </c>
      <c r="J285" t="inlineStr">
        <is>
          <t>Geologia_2024=Metamorfico_16 (no distingue hornfels/mármol)</t>
        </is>
      </c>
      <c r="K285" t="inlineStr">
        <is>
          <t>Mármol (hipótesis: siglas MC, MG, MGS, MPA, MCGB; 'Marble'~MCGB)</t>
        </is>
      </c>
      <c r="L285" t="inlineStr">
        <is>
          <t>Metamorfico</t>
        </is>
      </c>
      <c r="M285" t="n">
        <v>5282</v>
      </c>
      <c r="N285" t="n">
        <v>31692000</v>
      </c>
      <c r="O285" t="n">
        <v>85741170</v>
      </c>
      <c r="P285" t="inlineStr"/>
      <c r="Q285" t="n">
        <v>29.449</v>
      </c>
    </row>
    <row r="286">
      <c r="A286" t="inlineStr">
        <is>
          <t>MR24</t>
        </is>
      </c>
      <c r="B286" t="inlineStr">
        <is>
          <t>SIMULACIONES_MR2024_V3</t>
        </is>
      </c>
      <c r="C286" t="inlineStr">
        <is>
          <t>toneladas (6000 m3 x MR24_BD); pct sobre toneladas</t>
        </is>
      </c>
      <c r="D286" t="inlineStr">
        <is>
          <t>anio_LOM25_AMIN_LE2</t>
        </is>
      </c>
      <c r="E286" t="inlineStr">
        <is>
          <t>2039</t>
        </is>
      </c>
      <c r="F286" t="inlineStr">
        <is>
          <t>MR24_RT</t>
        </is>
      </c>
      <c r="G286" t="inlineStr">
        <is>
          <t>19</t>
        </is>
      </c>
      <c r="H286" t="inlineStr">
        <is>
          <t>sin asignar</t>
        </is>
      </c>
      <c r="I286" t="inlineStr">
        <is>
          <t>Metamorfico_19</t>
        </is>
      </c>
      <c r="J286" t="inlineStr">
        <is>
          <t>Geologia_2024=Metamorfico_19 (no distingue hornfels/mármol)</t>
        </is>
      </c>
      <c r="K286" t="inlineStr">
        <is>
          <t>Mármol (hipótesis: sigla MDP)</t>
        </is>
      </c>
      <c r="L286" t="inlineStr">
        <is>
          <t>Metamorfico</t>
        </is>
      </c>
      <c r="M286" t="n">
        <v>435</v>
      </c>
      <c r="N286" t="n">
        <v>2610000</v>
      </c>
      <c r="O286" t="n">
        <v>7553100</v>
      </c>
      <c r="P286" t="inlineStr"/>
      <c r="Q286" t="n">
        <v>2.594</v>
      </c>
    </row>
    <row r="287">
      <c r="A287" t="inlineStr">
        <is>
          <t>MR24</t>
        </is>
      </c>
      <c r="B287" t="inlineStr">
        <is>
          <t>SIMULACIONES_MR2024_V3</t>
        </is>
      </c>
      <c r="C287" t="inlineStr">
        <is>
          <t>toneladas (6000 m3 x MR24_BD); pct sobre toneladas</t>
        </is>
      </c>
      <c r="D287" t="inlineStr">
        <is>
          <t>anio_LOM25_AMIN_LE2</t>
        </is>
      </c>
      <c r="E287" t="inlineStr">
        <is>
          <t>2039</t>
        </is>
      </c>
      <c r="F287" t="inlineStr">
        <is>
          <t>MR24_RT</t>
        </is>
      </c>
      <c r="G287" t="inlineStr">
        <is>
          <t>53</t>
        </is>
      </c>
      <c r="H287" t="inlineStr">
        <is>
          <t>sin asignar</t>
        </is>
      </c>
      <c r="I287" t="inlineStr">
        <is>
          <t>RT53</t>
        </is>
      </c>
      <c r="J287" t="inlineStr">
        <is>
          <t>código sin etiqueta en los datos</t>
        </is>
      </c>
      <c r="K287" t="inlineStr">
        <is>
          <t>sin hipótesis</t>
        </is>
      </c>
      <c r="L287" t="inlineStr">
        <is>
          <t>sin leyenda</t>
        </is>
      </c>
      <c r="M287" t="n">
        <v>2</v>
      </c>
      <c r="N287" t="n">
        <v>12000</v>
      </c>
      <c r="O287" t="n">
        <v>29856</v>
      </c>
      <c r="P287" t="inlineStr"/>
      <c r="Q287" t="n">
        <v>0.01</v>
      </c>
    </row>
    <row r="288">
      <c r="A288" t="inlineStr">
        <is>
          <t>MR24</t>
        </is>
      </c>
      <c r="B288" t="inlineStr">
        <is>
          <t>SIMULACIONES_MR2024_V3</t>
        </is>
      </c>
      <c r="C288" t="inlineStr">
        <is>
          <t>toneladas (6000 m3 x MR24_BD); pct sobre toneladas</t>
        </is>
      </c>
      <c r="D288" t="inlineStr">
        <is>
          <t>anio_LOM25_AMIN_LE2</t>
        </is>
      </c>
      <c r="E288" t="inlineStr">
        <is>
          <t>2040</t>
        </is>
      </c>
      <c r="F288" t="inlineStr">
        <is>
          <t>MR24_RT</t>
        </is>
      </c>
      <c r="G288" t="inlineStr">
        <is>
          <t>1</t>
        </is>
      </c>
      <c r="H288" t="inlineStr">
        <is>
          <t>Intrusivo</t>
        </is>
      </c>
      <c r="I288" t="inlineStr">
        <is>
          <t>RT1</t>
        </is>
      </c>
      <c r="J288" t="inlineStr">
        <is>
          <t>Geologia_2024=Intrusivo_1</t>
        </is>
      </c>
      <c r="K288" t="inlineStr">
        <is>
          <t>Intrusivo</t>
        </is>
      </c>
      <c r="L288" t="inlineStr">
        <is>
          <t>Intrusivo</t>
        </is>
      </c>
      <c r="M288" t="n">
        <v>1280</v>
      </c>
      <c r="N288" t="n">
        <v>7680000</v>
      </c>
      <c r="O288" t="n">
        <v>19089912</v>
      </c>
      <c r="P288" t="inlineStr"/>
      <c r="Q288" t="n">
        <v>7.61</v>
      </c>
    </row>
    <row r="289">
      <c r="A289" t="inlineStr">
        <is>
          <t>MR24</t>
        </is>
      </c>
      <c r="B289" t="inlineStr">
        <is>
          <t>SIMULACIONES_MR2024_V3</t>
        </is>
      </c>
      <c r="C289" t="inlineStr">
        <is>
          <t>toneladas (6000 m3 x MR24_BD); pct sobre toneladas</t>
        </is>
      </c>
      <c r="D289" t="inlineStr">
        <is>
          <t>anio_LOM25_AMIN_LE2</t>
        </is>
      </c>
      <c r="E289" t="inlineStr">
        <is>
          <t>2040</t>
        </is>
      </c>
      <c r="F289" t="inlineStr">
        <is>
          <t>MR24_RT</t>
        </is>
      </c>
      <c r="G289" t="inlineStr">
        <is>
          <t>2</t>
        </is>
      </c>
      <c r="H289" t="inlineStr">
        <is>
          <t>Intrusivo</t>
        </is>
      </c>
      <c r="I289" t="inlineStr">
        <is>
          <t>RT2</t>
        </is>
      </c>
      <c r="J289" t="inlineStr">
        <is>
          <t>Geologia_2024=Intrusivo_2</t>
        </is>
      </c>
      <c r="K289" t="inlineStr">
        <is>
          <t>Intrusivo</t>
        </is>
      </c>
      <c r="L289" t="inlineStr">
        <is>
          <t>Intrusivo</t>
        </is>
      </c>
      <c r="M289" t="n">
        <v>153</v>
      </c>
      <c r="N289" t="n">
        <v>918000</v>
      </c>
      <c r="O289" t="n">
        <v>2496294</v>
      </c>
      <c r="P289" t="inlineStr"/>
      <c r="Q289" t="n">
        <v>0.995</v>
      </c>
    </row>
    <row r="290">
      <c r="A290" t="inlineStr">
        <is>
          <t>MR24</t>
        </is>
      </c>
      <c r="B290" t="inlineStr">
        <is>
          <t>SIMULACIONES_MR2024_V3</t>
        </is>
      </c>
      <c r="C290" t="inlineStr">
        <is>
          <t>toneladas (6000 m3 x MR24_BD); pct sobre toneladas</t>
        </is>
      </c>
      <c r="D290" t="inlineStr">
        <is>
          <t>anio_LOM25_AMIN_LE2</t>
        </is>
      </c>
      <c r="E290" t="inlineStr">
        <is>
          <t>2040</t>
        </is>
      </c>
      <c r="F290" t="inlineStr">
        <is>
          <t>MR24_RT</t>
        </is>
      </c>
      <c r="G290" t="inlineStr">
        <is>
          <t>10</t>
        </is>
      </c>
      <c r="H290" t="inlineStr">
        <is>
          <t>sin asignar</t>
        </is>
      </c>
      <c r="I290" t="inlineStr">
        <is>
          <t>Sedimentario_10</t>
        </is>
      </c>
      <c r="J290" t="inlineStr">
        <is>
          <t>Geologia_2024=Sedimentario_10 (no especifica caliza)</t>
        </is>
      </c>
      <c r="K290" t="inlineStr">
        <is>
          <t>Caliza (hipótesis: siglas C*)</t>
        </is>
      </c>
      <c r="L290" t="inlineStr">
        <is>
          <t>Sedimentario</t>
        </is>
      </c>
      <c r="M290" t="n">
        <v>710</v>
      </c>
      <c r="N290" t="n">
        <v>4260000</v>
      </c>
      <c r="O290" t="n">
        <v>11562570</v>
      </c>
      <c r="P290" t="inlineStr"/>
      <c r="Q290" t="n">
        <v>4.609</v>
      </c>
    </row>
    <row r="291">
      <c r="A291" t="inlineStr">
        <is>
          <t>MR24</t>
        </is>
      </c>
      <c r="B291" t="inlineStr">
        <is>
          <t>SIMULACIONES_MR2024_V3</t>
        </is>
      </c>
      <c r="C291" t="inlineStr">
        <is>
          <t>toneladas (6000 m3 x MR24_BD); pct sobre toneladas</t>
        </is>
      </c>
      <c r="D291" t="inlineStr">
        <is>
          <t>anio_LOM25_AMIN_LE2</t>
        </is>
      </c>
      <c r="E291" t="inlineStr">
        <is>
          <t>2040</t>
        </is>
      </c>
      <c r="F291" t="inlineStr">
        <is>
          <t>MR24_RT</t>
        </is>
      </c>
      <c r="G291" t="inlineStr">
        <is>
          <t>11</t>
        </is>
      </c>
      <c r="H291" t="inlineStr">
        <is>
          <t>sin asignar</t>
        </is>
      </c>
      <c r="I291" t="inlineStr">
        <is>
          <t>Sedimentario_11</t>
        </is>
      </c>
      <c r="J291" t="inlineStr">
        <is>
          <t>Geologia_2024=Sedimentario_11 (no especifica caliza)</t>
        </is>
      </c>
      <c r="K291" t="inlineStr">
        <is>
          <t>Caliza (hipótesis: Sedimentario; RT11~NUMEQ10, siglas C*)</t>
        </is>
      </c>
      <c r="L291" t="inlineStr">
        <is>
          <t>Sedimentario</t>
        </is>
      </c>
      <c r="M291" t="n">
        <v>1969</v>
      </c>
      <c r="N291" t="n">
        <v>11814000</v>
      </c>
      <c r="O291" t="n">
        <v>31963740</v>
      </c>
      <c r="P291" t="inlineStr"/>
      <c r="Q291" t="n">
        <v>12.742</v>
      </c>
    </row>
    <row r="292">
      <c r="A292" t="inlineStr">
        <is>
          <t>MR24</t>
        </is>
      </c>
      <c r="B292" t="inlineStr">
        <is>
          <t>SIMULACIONES_MR2024_V3</t>
        </is>
      </c>
      <c r="C292" t="inlineStr">
        <is>
          <t>toneladas (6000 m3 x MR24_BD); pct sobre toneladas</t>
        </is>
      </c>
      <c r="D292" t="inlineStr">
        <is>
          <t>anio_LOM25_AMIN_LE2</t>
        </is>
      </c>
      <c r="E292" t="inlineStr">
        <is>
          <t>2040</t>
        </is>
      </c>
      <c r="F292" t="inlineStr">
        <is>
          <t>MR24_RT</t>
        </is>
      </c>
      <c r="G292" t="inlineStr">
        <is>
          <t>13</t>
        </is>
      </c>
      <c r="H292" t="inlineStr">
        <is>
          <t>sin asignar</t>
        </is>
      </c>
      <c r="I292" t="inlineStr">
        <is>
          <t>Metamorfico_13</t>
        </is>
      </c>
      <c r="J292" t="inlineStr">
        <is>
          <t>Geologia_2024=Metamorfico_13 (no distingue hornfels/mármol)</t>
        </is>
      </c>
      <c r="K292" t="inlineStr">
        <is>
          <t>Hornfels (hipótesis: siglas HG, HGS, HC)</t>
        </is>
      </c>
      <c r="L292" t="inlineStr">
        <is>
          <t>Metamorfico</t>
        </is>
      </c>
      <c r="M292" t="n">
        <v>4387</v>
      </c>
      <c r="N292" t="n">
        <v>26322000</v>
      </c>
      <c r="O292" t="n">
        <v>71246220</v>
      </c>
      <c r="P292" t="inlineStr"/>
      <c r="Q292" t="n">
        <v>28.402</v>
      </c>
    </row>
    <row r="293">
      <c r="A293" t="inlineStr">
        <is>
          <t>MR24</t>
        </is>
      </c>
      <c r="B293" t="inlineStr">
        <is>
          <t>SIMULACIONES_MR2024_V3</t>
        </is>
      </c>
      <c r="C293" t="inlineStr">
        <is>
          <t>toneladas (6000 m3 x MR24_BD); pct sobre toneladas</t>
        </is>
      </c>
      <c r="D293" t="inlineStr">
        <is>
          <t>anio_LOM25_AMIN_LE2</t>
        </is>
      </c>
      <c r="E293" t="inlineStr">
        <is>
          <t>2040</t>
        </is>
      </c>
      <c r="F293" t="inlineStr">
        <is>
          <t>MR24_RT</t>
        </is>
      </c>
      <c r="G293" t="inlineStr">
        <is>
          <t>14</t>
        </is>
      </c>
      <c r="H293" t="inlineStr">
        <is>
          <t>sin asignar</t>
        </is>
      </c>
      <c r="I293" t="inlineStr">
        <is>
          <t>Metamorfico_14</t>
        </is>
      </c>
      <c r="J293" t="inlineStr">
        <is>
          <t>Geologia_2024=Metamorfico_14 (no distingue hornfels/mármol)</t>
        </is>
      </c>
      <c r="K293" t="inlineStr">
        <is>
          <t>Hornfels (hipótesis: siglas HBV, HGV, HCB, HDP; 'Diop. Hornfels'~HGV)</t>
        </is>
      </c>
      <c r="L293" t="inlineStr">
        <is>
          <t>Metamorfico</t>
        </is>
      </c>
      <c r="M293" t="n">
        <v>617</v>
      </c>
      <c r="N293" t="n">
        <v>3702000</v>
      </c>
      <c r="O293" t="n">
        <v>10204110</v>
      </c>
      <c r="P293" t="inlineStr"/>
      <c r="Q293" t="n">
        <v>4.068</v>
      </c>
    </row>
    <row r="294">
      <c r="A294" t="inlineStr">
        <is>
          <t>MR24</t>
        </is>
      </c>
      <c r="B294" t="inlineStr">
        <is>
          <t>SIMULACIONES_MR2024_V3</t>
        </is>
      </c>
      <c r="C294" t="inlineStr">
        <is>
          <t>toneladas (6000 m3 x MR24_BD); pct sobre toneladas</t>
        </is>
      </c>
      <c r="D294" t="inlineStr">
        <is>
          <t>anio_LOM25_AMIN_LE2</t>
        </is>
      </c>
      <c r="E294" t="inlineStr">
        <is>
          <t>2040</t>
        </is>
      </c>
      <c r="F294" t="inlineStr">
        <is>
          <t>MR24_RT</t>
        </is>
      </c>
      <c r="G294" t="inlineStr">
        <is>
          <t>16</t>
        </is>
      </c>
      <c r="H294" t="inlineStr">
        <is>
          <t>sin asignar</t>
        </is>
      </c>
      <c r="I294" t="inlineStr">
        <is>
          <t>Metamorfico_16</t>
        </is>
      </c>
      <c r="J294" t="inlineStr">
        <is>
          <t>Geologia_2024=Metamorfico_16 (no distingue hornfels/mármol)</t>
        </is>
      </c>
      <c r="K294" t="inlineStr">
        <is>
          <t>Mármol (hipótesis: siglas MC, MG, MGS, MPA, MCGB; 'Marble'~MCGB)</t>
        </is>
      </c>
      <c r="L294" t="inlineStr">
        <is>
          <t>Metamorfico</t>
        </is>
      </c>
      <c r="M294" t="n">
        <v>6313</v>
      </c>
      <c r="N294" t="n">
        <v>37878000</v>
      </c>
      <c r="O294" t="n">
        <v>102484878</v>
      </c>
      <c r="P294" t="inlineStr"/>
      <c r="Q294" t="n">
        <v>40.856</v>
      </c>
    </row>
    <row r="295">
      <c r="A295" t="inlineStr">
        <is>
          <t>MR24</t>
        </is>
      </c>
      <c r="B295" t="inlineStr">
        <is>
          <t>SIMULACIONES_MR2024_V3</t>
        </is>
      </c>
      <c r="C295" t="inlineStr">
        <is>
          <t>toneladas (6000 m3 x MR24_BD); pct sobre toneladas</t>
        </is>
      </c>
      <c r="D295" t="inlineStr">
        <is>
          <t>anio_LOM25_AMIN_LE2</t>
        </is>
      </c>
      <c r="E295" t="inlineStr">
        <is>
          <t>2040</t>
        </is>
      </c>
      <c r="F295" t="inlineStr">
        <is>
          <t>MR24_RT</t>
        </is>
      </c>
      <c r="G295" t="inlineStr">
        <is>
          <t>19</t>
        </is>
      </c>
      <c r="H295" t="inlineStr">
        <is>
          <t>sin asignar</t>
        </is>
      </c>
      <c r="I295" t="inlineStr">
        <is>
          <t>Metamorfico_19</t>
        </is>
      </c>
      <c r="J295" t="inlineStr">
        <is>
          <t>Geologia_2024=Metamorfico_19 (no distingue hornfels/mármol)</t>
        </is>
      </c>
      <c r="K295" t="inlineStr">
        <is>
          <t>Mármol (hipótesis: sigla MDP)</t>
        </is>
      </c>
      <c r="L295" t="inlineStr">
        <is>
          <t>Metamorfico</t>
        </is>
      </c>
      <c r="M295" t="n">
        <v>95</v>
      </c>
      <c r="N295" t="n">
        <v>570000</v>
      </c>
      <c r="O295" t="n">
        <v>1604718</v>
      </c>
      <c r="P295" t="inlineStr"/>
      <c r="Q295" t="n">
        <v>0.64</v>
      </c>
    </row>
    <row r="296">
      <c r="A296" t="inlineStr">
        <is>
          <t>MR24</t>
        </is>
      </c>
      <c r="B296" t="inlineStr">
        <is>
          <t>SIMULACIONES_MR2024_V3</t>
        </is>
      </c>
      <c r="C296" t="inlineStr">
        <is>
          <t>toneladas (6000 m3 x MR24_BD); pct sobre toneladas</t>
        </is>
      </c>
      <c r="D296" t="inlineStr">
        <is>
          <t>anio_LOM25_AMIN_LE2</t>
        </is>
      </c>
      <c r="E296" t="inlineStr">
        <is>
          <t>2040</t>
        </is>
      </c>
      <c r="F296" t="inlineStr">
        <is>
          <t>MR24_RT</t>
        </is>
      </c>
      <c r="G296" t="inlineStr">
        <is>
          <t>53</t>
        </is>
      </c>
      <c r="H296" t="inlineStr">
        <is>
          <t>sin asignar</t>
        </is>
      </c>
      <c r="I296" t="inlineStr">
        <is>
          <t>RT53</t>
        </is>
      </c>
      <c r="J296" t="inlineStr">
        <is>
          <t>código sin etiqueta en los datos</t>
        </is>
      </c>
      <c r="K296" t="inlineStr">
        <is>
          <t>sin hipótesis</t>
        </is>
      </c>
      <c r="L296" t="inlineStr">
        <is>
          <t>sin leyenda</t>
        </is>
      </c>
      <c r="M296" t="n">
        <v>12</v>
      </c>
      <c r="N296" t="n">
        <v>72000</v>
      </c>
      <c r="O296" t="n">
        <v>193140</v>
      </c>
      <c r="P296" t="inlineStr"/>
      <c r="Q296" t="n">
        <v>0.077</v>
      </c>
    </row>
    <row r="297">
      <c r="A297" t="inlineStr">
        <is>
          <t>MR24</t>
        </is>
      </c>
      <c r="B297" t="inlineStr">
        <is>
          <t>SIMULACIONES_MR2024_V3</t>
        </is>
      </c>
      <c r="C297" t="inlineStr">
        <is>
          <t>toneladas (6000 m3 x MR24_BD); pct sobre toneladas</t>
        </is>
      </c>
      <c r="D297" t="inlineStr">
        <is>
          <t>anio_LOM25_AMIN_LE2</t>
        </is>
      </c>
      <c r="E297" t="inlineStr">
        <is>
          <t>2041</t>
        </is>
      </c>
      <c r="F297" t="inlineStr">
        <is>
          <t>MR24_RT</t>
        </is>
      </c>
      <c r="G297" t="inlineStr">
        <is>
          <t>1</t>
        </is>
      </c>
      <c r="H297" t="inlineStr">
        <is>
          <t>Intrusivo</t>
        </is>
      </c>
      <c r="I297" t="inlineStr">
        <is>
          <t>RT1</t>
        </is>
      </c>
      <c r="J297" t="inlineStr">
        <is>
          <t>Geologia_2024=Intrusivo_1</t>
        </is>
      </c>
      <c r="K297" t="inlineStr">
        <is>
          <t>Intrusivo</t>
        </is>
      </c>
      <c r="L297" t="inlineStr">
        <is>
          <t>Intrusivo</t>
        </is>
      </c>
      <c r="M297" t="n">
        <v>3311</v>
      </c>
      <c r="N297" t="n">
        <v>19866000</v>
      </c>
      <c r="O297" t="n">
        <v>48870258</v>
      </c>
      <c r="P297" t="inlineStr"/>
      <c r="Q297" t="n">
        <v>16.649</v>
      </c>
    </row>
    <row r="298">
      <c r="A298" t="inlineStr">
        <is>
          <t>MR24</t>
        </is>
      </c>
      <c r="B298" t="inlineStr">
        <is>
          <t>SIMULACIONES_MR2024_V3</t>
        </is>
      </c>
      <c r="C298" t="inlineStr">
        <is>
          <t>toneladas (6000 m3 x MR24_BD); pct sobre toneladas</t>
        </is>
      </c>
      <c r="D298" t="inlineStr">
        <is>
          <t>anio_LOM25_AMIN_LE2</t>
        </is>
      </c>
      <c r="E298" t="inlineStr">
        <is>
          <t>2041</t>
        </is>
      </c>
      <c r="F298" t="inlineStr">
        <is>
          <t>MR24_RT</t>
        </is>
      </c>
      <c r="G298" t="inlineStr">
        <is>
          <t>2</t>
        </is>
      </c>
      <c r="H298" t="inlineStr">
        <is>
          <t>Intrusivo</t>
        </is>
      </c>
      <c r="I298" t="inlineStr">
        <is>
          <t>RT2</t>
        </is>
      </c>
      <c r="J298" t="inlineStr">
        <is>
          <t>Geologia_2024=Intrusivo_2</t>
        </is>
      </c>
      <c r="K298" t="inlineStr">
        <is>
          <t>Intrusivo</t>
        </is>
      </c>
      <c r="L298" t="inlineStr">
        <is>
          <t>Intrusivo</t>
        </is>
      </c>
      <c r="M298" t="n">
        <v>391</v>
      </c>
      <c r="N298" t="n">
        <v>2346000</v>
      </c>
      <c r="O298" t="n">
        <v>6293400</v>
      </c>
      <c r="P298" t="inlineStr"/>
      <c r="Q298" t="n">
        <v>2.144</v>
      </c>
    </row>
    <row r="299">
      <c r="A299" t="inlineStr">
        <is>
          <t>MR24</t>
        </is>
      </c>
      <c r="B299" t="inlineStr">
        <is>
          <t>SIMULACIONES_MR2024_V3</t>
        </is>
      </c>
      <c r="C299" t="inlineStr">
        <is>
          <t>toneladas (6000 m3 x MR24_BD); pct sobre toneladas</t>
        </is>
      </c>
      <c r="D299" t="inlineStr">
        <is>
          <t>anio_LOM25_AMIN_LE2</t>
        </is>
      </c>
      <c r="E299" t="inlineStr">
        <is>
          <t>2041</t>
        </is>
      </c>
      <c r="F299" t="inlineStr">
        <is>
          <t>MR24_RT</t>
        </is>
      </c>
      <c r="G299" t="inlineStr">
        <is>
          <t>10</t>
        </is>
      </c>
      <c r="H299" t="inlineStr">
        <is>
          <t>sin asignar</t>
        </is>
      </c>
      <c r="I299" t="inlineStr">
        <is>
          <t>Sedimentario_10</t>
        </is>
      </c>
      <c r="J299" t="inlineStr">
        <is>
          <t>Geologia_2024=Sedimentario_10 (no especifica caliza)</t>
        </is>
      </c>
      <c r="K299" t="inlineStr">
        <is>
          <t>Caliza (hipótesis: siglas C*)</t>
        </is>
      </c>
      <c r="L299" t="inlineStr">
        <is>
          <t>Sedimentario</t>
        </is>
      </c>
      <c r="M299" t="n">
        <v>1097</v>
      </c>
      <c r="N299" t="n">
        <v>6582000</v>
      </c>
      <c r="O299" t="n">
        <v>17838060</v>
      </c>
      <c r="P299" t="inlineStr"/>
      <c r="Q299" t="n">
        <v>6.077</v>
      </c>
    </row>
    <row r="300">
      <c r="A300" t="inlineStr">
        <is>
          <t>MR24</t>
        </is>
      </c>
      <c r="B300" t="inlineStr">
        <is>
          <t>SIMULACIONES_MR2024_V3</t>
        </is>
      </c>
      <c r="C300" t="inlineStr">
        <is>
          <t>toneladas (6000 m3 x MR24_BD); pct sobre toneladas</t>
        </is>
      </c>
      <c r="D300" t="inlineStr">
        <is>
          <t>anio_LOM25_AMIN_LE2</t>
        </is>
      </c>
      <c r="E300" t="inlineStr">
        <is>
          <t>2041</t>
        </is>
      </c>
      <c r="F300" t="inlineStr">
        <is>
          <t>MR24_RT</t>
        </is>
      </c>
      <c r="G300" t="inlineStr">
        <is>
          <t>11</t>
        </is>
      </c>
      <c r="H300" t="inlineStr">
        <is>
          <t>sin asignar</t>
        </is>
      </c>
      <c r="I300" t="inlineStr">
        <is>
          <t>Sedimentario_11</t>
        </is>
      </c>
      <c r="J300" t="inlineStr">
        <is>
          <t>Geologia_2024=Sedimentario_11 (no especifica caliza)</t>
        </is>
      </c>
      <c r="K300" t="inlineStr">
        <is>
          <t>Caliza (hipótesis: Sedimentario; RT11~NUMEQ10, siglas C*)</t>
        </is>
      </c>
      <c r="L300" t="inlineStr">
        <is>
          <t>Sedimentario</t>
        </is>
      </c>
      <c r="M300" t="n">
        <v>2527</v>
      </c>
      <c r="N300" t="n">
        <v>15162000</v>
      </c>
      <c r="O300" t="n">
        <v>41044848</v>
      </c>
      <c r="P300" t="inlineStr"/>
      <c r="Q300" t="n">
        <v>13.983</v>
      </c>
    </row>
    <row r="301">
      <c r="A301" t="inlineStr">
        <is>
          <t>MR24</t>
        </is>
      </c>
      <c r="B301" t="inlineStr">
        <is>
          <t>SIMULACIONES_MR2024_V3</t>
        </is>
      </c>
      <c r="C301" t="inlineStr">
        <is>
          <t>toneladas (6000 m3 x MR24_BD); pct sobre toneladas</t>
        </is>
      </c>
      <c r="D301" t="inlineStr">
        <is>
          <t>anio_LOM25_AMIN_LE2</t>
        </is>
      </c>
      <c r="E301" t="inlineStr">
        <is>
          <t>2041</t>
        </is>
      </c>
      <c r="F301" t="inlineStr">
        <is>
          <t>MR24_RT</t>
        </is>
      </c>
      <c r="G301" t="inlineStr">
        <is>
          <t>13</t>
        </is>
      </c>
      <c r="H301" t="inlineStr">
        <is>
          <t>sin asignar</t>
        </is>
      </c>
      <c r="I301" t="inlineStr">
        <is>
          <t>Metamorfico_13</t>
        </is>
      </c>
      <c r="J301" t="inlineStr">
        <is>
          <t>Geologia_2024=Metamorfico_13 (no distingue hornfels/mármol)</t>
        </is>
      </c>
      <c r="K301" t="inlineStr">
        <is>
          <t>Hornfels (hipótesis: siglas HG, HGS, HC)</t>
        </is>
      </c>
      <c r="L301" t="inlineStr">
        <is>
          <t>Metamorfico</t>
        </is>
      </c>
      <c r="M301" t="n">
        <v>2670</v>
      </c>
      <c r="N301" t="n">
        <v>16020000</v>
      </c>
      <c r="O301" t="n">
        <v>43441764</v>
      </c>
      <c r="P301" t="inlineStr"/>
      <c r="Q301" t="n">
        <v>14.799</v>
      </c>
    </row>
    <row r="302">
      <c r="A302" t="inlineStr">
        <is>
          <t>MR24</t>
        </is>
      </c>
      <c r="B302" t="inlineStr">
        <is>
          <t>SIMULACIONES_MR2024_V3</t>
        </is>
      </c>
      <c r="C302" t="inlineStr">
        <is>
          <t>toneladas (6000 m3 x MR24_BD); pct sobre toneladas</t>
        </is>
      </c>
      <c r="D302" t="inlineStr">
        <is>
          <t>anio_LOM25_AMIN_LE2</t>
        </is>
      </c>
      <c r="E302" t="inlineStr">
        <is>
          <t>2041</t>
        </is>
      </c>
      <c r="F302" t="inlineStr">
        <is>
          <t>MR24_RT</t>
        </is>
      </c>
      <c r="G302" t="inlineStr">
        <is>
          <t>14</t>
        </is>
      </c>
      <c r="H302" t="inlineStr">
        <is>
          <t>sin asignar</t>
        </is>
      </c>
      <c r="I302" t="inlineStr">
        <is>
          <t>Metamorfico_14</t>
        </is>
      </c>
      <c r="J302" t="inlineStr">
        <is>
          <t>Geologia_2024=Metamorfico_14 (no distingue hornfels/mármol)</t>
        </is>
      </c>
      <c r="K302" t="inlineStr">
        <is>
          <t>Hornfels (hipótesis: siglas HBV, HGV, HCB, HDP; 'Diop. Hornfels'~HGV)</t>
        </is>
      </c>
      <c r="L302" t="inlineStr">
        <is>
          <t>Metamorfico</t>
        </is>
      </c>
      <c r="M302" t="n">
        <v>123</v>
      </c>
      <c r="N302" t="n">
        <v>738000</v>
      </c>
      <c r="O302" t="n">
        <v>2057442</v>
      </c>
      <c r="P302" t="inlineStr"/>
      <c r="Q302" t="n">
        <v>0.701</v>
      </c>
    </row>
    <row r="303">
      <c r="A303" t="inlineStr">
        <is>
          <t>MR24</t>
        </is>
      </c>
      <c r="B303" t="inlineStr">
        <is>
          <t>SIMULACIONES_MR2024_V3</t>
        </is>
      </c>
      <c r="C303" t="inlineStr">
        <is>
          <t>toneladas (6000 m3 x MR24_BD); pct sobre toneladas</t>
        </is>
      </c>
      <c r="D303" t="inlineStr">
        <is>
          <t>anio_LOM25_AMIN_LE2</t>
        </is>
      </c>
      <c r="E303" t="inlineStr">
        <is>
          <t>2041</t>
        </is>
      </c>
      <c r="F303" t="inlineStr">
        <is>
          <t>MR24_RT</t>
        </is>
      </c>
      <c r="G303" t="inlineStr">
        <is>
          <t>16</t>
        </is>
      </c>
      <c r="H303" t="inlineStr">
        <is>
          <t>sin asignar</t>
        </is>
      </c>
      <c r="I303" t="inlineStr">
        <is>
          <t>Metamorfico_16</t>
        </is>
      </c>
      <c r="J303" t="inlineStr">
        <is>
          <t>Geologia_2024=Metamorfico_16 (no distingue hornfels/mármol)</t>
        </is>
      </c>
      <c r="K303" t="inlineStr">
        <is>
          <t>Mármol (hipótesis: siglas MC, MG, MGS, MPA, MCGB; 'Marble'~MCGB)</t>
        </is>
      </c>
      <c r="L303" t="inlineStr">
        <is>
          <t>Metamorfico</t>
        </is>
      </c>
      <c r="M303" t="n">
        <v>7952</v>
      </c>
      <c r="N303" t="n">
        <v>47712000</v>
      </c>
      <c r="O303" t="n">
        <v>129633678</v>
      </c>
      <c r="P303" t="inlineStr"/>
      <c r="Q303" t="n">
        <v>44.163</v>
      </c>
    </row>
    <row r="304">
      <c r="A304" t="inlineStr">
        <is>
          <t>MR24</t>
        </is>
      </c>
      <c r="B304" t="inlineStr">
        <is>
          <t>SIMULACIONES_MR2024_V3</t>
        </is>
      </c>
      <c r="C304" t="inlineStr">
        <is>
          <t>toneladas (6000 m3 x MR24_BD); pct sobre toneladas</t>
        </is>
      </c>
      <c r="D304" t="inlineStr">
        <is>
          <t>anio_LOM25_AMIN_LE2</t>
        </is>
      </c>
      <c r="E304" t="inlineStr">
        <is>
          <t>2041</t>
        </is>
      </c>
      <c r="F304" t="inlineStr">
        <is>
          <t>MR24_RT</t>
        </is>
      </c>
      <c r="G304" t="inlineStr">
        <is>
          <t>19</t>
        </is>
      </c>
      <c r="H304" t="inlineStr">
        <is>
          <t>sin asignar</t>
        </is>
      </c>
      <c r="I304" t="inlineStr">
        <is>
          <t>Metamorfico_19</t>
        </is>
      </c>
      <c r="J304" t="inlineStr">
        <is>
          <t>Geologia_2024=Metamorfico_19 (no distingue hornfels/mármol)</t>
        </is>
      </c>
      <c r="K304" t="inlineStr">
        <is>
          <t>Mármol (hipótesis: sigla MDP)</t>
        </is>
      </c>
      <c r="L304" t="inlineStr">
        <is>
          <t>Metamorfico</t>
        </is>
      </c>
      <c r="M304" t="n">
        <v>255</v>
      </c>
      <c r="N304" t="n">
        <v>1530000</v>
      </c>
      <c r="O304" t="n">
        <v>4269126</v>
      </c>
      <c r="P304" t="inlineStr"/>
      <c r="Q304" t="n">
        <v>1.454</v>
      </c>
    </row>
    <row r="305">
      <c r="A305" t="inlineStr">
        <is>
          <t>MR24</t>
        </is>
      </c>
      <c r="B305" t="inlineStr">
        <is>
          <t>SIMULACIONES_MR2024_V3</t>
        </is>
      </c>
      <c r="C305" t="inlineStr">
        <is>
          <t>toneladas (6000 m3 x MR24_BD); pct sobre toneladas</t>
        </is>
      </c>
      <c r="D305" t="inlineStr">
        <is>
          <t>anio_LOM25_AMIN_LE2</t>
        </is>
      </c>
      <c r="E305" t="inlineStr">
        <is>
          <t>2041</t>
        </is>
      </c>
      <c r="F305" t="inlineStr">
        <is>
          <t>MR24_RT</t>
        </is>
      </c>
      <c r="G305" t="inlineStr">
        <is>
          <t>53</t>
        </is>
      </c>
      <c r="H305" t="inlineStr">
        <is>
          <t>sin asignar</t>
        </is>
      </c>
      <c r="I305" t="inlineStr">
        <is>
          <t>RT53</t>
        </is>
      </c>
      <c r="J305" t="inlineStr">
        <is>
          <t>código sin etiqueta en los datos</t>
        </is>
      </c>
      <c r="K305" t="inlineStr">
        <is>
          <t>sin hipótesis</t>
        </is>
      </c>
      <c r="L305" t="inlineStr">
        <is>
          <t>sin leyenda</t>
        </is>
      </c>
      <c r="M305" t="n">
        <v>5</v>
      </c>
      <c r="N305" t="n">
        <v>30000</v>
      </c>
      <c r="O305" t="n">
        <v>87762</v>
      </c>
      <c r="P305" t="inlineStr"/>
      <c r="Q305" t="n">
        <v>0.03</v>
      </c>
    </row>
    <row r="306">
      <c r="A306" t="inlineStr">
        <is>
          <t>MR24</t>
        </is>
      </c>
      <c r="B306" t="inlineStr">
        <is>
          <t>SIMULACIONES_MR2024_V3</t>
        </is>
      </c>
      <c r="C306" t="inlineStr">
        <is>
          <t>toneladas (6000 m3 x MR24_BD); pct sobre toneladas</t>
        </is>
      </c>
      <c r="D306" t="inlineStr">
        <is>
          <t>anio_LOM25_AMIN_LE2</t>
        </is>
      </c>
      <c r="E306" t="inlineStr">
        <is>
          <t>2042</t>
        </is>
      </c>
      <c r="F306" t="inlineStr">
        <is>
          <t>MR24_RT</t>
        </is>
      </c>
      <c r="G306" t="inlineStr">
        <is>
          <t>1</t>
        </is>
      </c>
      <c r="H306" t="inlineStr">
        <is>
          <t>Intrusivo</t>
        </is>
      </c>
      <c r="I306" t="inlineStr">
        <is>
          <t>RT1</t>
        </is>
      </c>
      <c r="J306" t="inlineStr">
        <is>
          <t>Geologia_2024=Intrusivo_1</t>
        </is>
      </c>
      <c r="K306" t="inlineStr">
        <is>
          <t>Intrusivo</t>
        </is>
      </c>
      <c r="L306" t="inlineStr">
        <is>
          <t>Intrusivo</t>
        </is>
      </c>
      <c r="M306" t="n">
        <v>1724</v>
      </c>
      <c r="N306" t="n">
        <v>10344000</v>
      </c>
      <c r="O306" t="n">
        <v>25149504</v>
      </c>
      <c r="P306" t="inlineStr"/>
      <c r="Q306" t="n">
        <v>12.852</v>
      </c>
    </row>
    <row r="307">
      <c r="A307" t="inlineStr">
        <is>
          <t>MR24</t>
        </is>
      </c>
      <c r="B307" t="inlineStr">
        <is>
          <t>SIMULACIONES_MR2024_V3</t>
        </is>
      </c>
      <c r="C307" t="inlineStr">
        <is>
          <t>toneladas (6000 m3 x MR24_BD); pct sobre toneladas</t>
        </is>
      </c>
      <c r="D307" t="inlineStr">
        <is>
          <t>anio_LOM25_AMIN_LE2</t>
        </is>
      </c>
      <c r="E307" t="inlineStr">
        <is>
          <t>2042</t>
        </is>
      </c>
      <c r="F307" t="inlineStr">
        <is>
          <t>MR24_RT</t>
        </is>
      </c>
      <c r="G307" t="inlineStr">
        <is>
          <t>2</t>
        </is>
      </c>
      <c r="H307" t="inlineStr">
        <is>
          <t>Intrusivo</t>
        </is>
      </c>
      <c r="I307" t="inlineStr">
        <is>
          <t>RT2</t>
        </is>
      </c>
      <c r="J307" t="inlineStr">
        <is>
          <t>Geologia_2024=Intrusivo_2</t>
        </is>
      </c>
      <c r="K307" t="inlineStr">
        <is>
          <t>Intrusivo</t>
        </is>
      </c>
      <c r="L307" t="inlineStr">
        <is>
          <t>Intrusivo</t>
        </is>
      </c>
      <c r="M307" t="n">
        <v>132</v>
      </c>
      <c r="N307" t="n">
        <v>792000</v>
      </c>
      <c r="O307" t="n">
        <v>2135382</v>
      </c>
      <c r="P307" t="inlineStr"/>
      <c r="Q307" t="n">
        <v>1.091</v>
      </c>
    </row>
    <row r="308">
      <c r="A308" t="inlineStr">
        <is>
          <t>MR24</t>
        </is>
      </c>
      <c r="B308" t="inlineStr">
        <is>
          <t>SIMULACIONES_MR2024_V3</t>
        </is>
      </c>
      <c r="C308" t="inlineStr">
        <is>
          <t>toneladas (6000 m3 x MR24_BD); pct sobre toneladas</t>
        </is>
      </c>
      <c r="D308" t="inlineStr">
        <is>
          <t>anio_LOM25_AMIN_LE2</t>
        </is>
      </c>
      <c r="E308" t="inlineStr">
        <is>
          <t>2042</t>
        </is>
      </c>
      <c r="F308" t="inlineStr">
        <is>
          <t>MR24_RT</t>
        </is>
      </c>
      <c r="G308" t="inlineStr">
        <is>
          <t>10</t>
        </is>
      </c>
      <c r="H308" t="inlineStr">
        <is>
          <t>sin asignar</t>
        </is>
      </c>
      <c r="I308" t="inlineStr">
        <is>
          <t>Sedimentario_10</t>
        </is>
      </c>
      <c r="J308" t="inlineStr">
        <is>
          <t>Geologia_2024=Sedimentario_10 (no especifica caliza)</t>
        </is>
      </c>
      <c r="K308" t="inlineStr">
        <is>
          <t>Caliza (hipótesis: siglas C*)</t>
        </is>
      </c>
      <c r="L308" t="inlineStr">
        <is>
          <t>Sedimentario</t>
        </is>
      </c>
      <c r="M308" t="n">
        <v>2228</v>
      </c>
      <c r="N308" t="n">
        <v>13368000</v>
      </c>
      <c r="O308" t="n">
        <v>36255510</v>
      </c>
      <c r="P308" t="inlineStr"/>
      <c r="Q308" t="n">
        <v>18.528</v>
      </c>
    </row>
    <row r="309">
      <c r="A309" t="inlineStr">
        <is>
          <t>MR24</t>
        </is>
      </c>
      <c r="B309" t="inlineStr">
        <is>
          <t>SIMULACIONES_MR2024_V3</t>
        </is>
      </c>
      <c r="C309" t="inlineStr">
        <is>
          <t>toneladas (6000 m3 x MR24_BD); pct sobre toneladas</t>
        </is>
      </c>
      <c r="D309" t="inlineStr">
        <is>
          <t>anio_LOM25_AMIN_LE2</t>
        </is>
      </c>
      <c r="E309" t="inlineStr">
        <is>
          <t>2042</t>
        </is>
      </c>
      <c r="F309" t="inlineStr">
        <is>
          <t>MR24_RT</t>
        </is>
      </c>
      <c r="G309" t="inlineStr">
        <is>
          <t>11</t>
        </is>
      </c>
      <c r="H309" t="inlineStr">
        <is>
          <t>sin asignar</t>
        </is>
      </c>
      <c r="I309" t="inlineStr">
        <is>
          <t>Sedimentario_11</t>
        </is>
      </c>
      <c r="J309" t="inlineStr">
        <is>
          <t>Geologia_2024=Sedimentario_11 (no especifica caliza)</t>
        </is>
      </c>
      <c r="K309" t="inlineStr">
        <is>
          <t>Caliza (hipótesis: Sedimentario; RT11~NUMEQ10, siglas C*)</t>
        </is>
      </c>
      <c r="L309" t="inlineStr">
        <is>
          <t>Sedimentario</t>
        </is>
      </c>
      <c r="M309" t="n">
        <v>1656</v>
      </c>
      <c r="N309" t="n">
        <v>9936000</v>
      </c>
      <c r="O309" t="n">
        <v>26962944</v>
      </c>
      <c r="P309" t="inlineStr"/>
      <c r="Q309" t="n">
        <v>13.779</v>
      </c>
    </row>
    <row r="310">
      <c r="A310" t="inlineStr">
        <is>
          <t>MR24</t>
        </is>
      </c>
      <c r="B310" t="inlineStr">
        <is>
          <t>SIMULACIONES_MR2024_V3</t>
        </is>
      </c>
      <c r="C310" t="inlineStr">
        <is>
          <t>toneladas (6000 m3 x MR24_BD); pct sobre toneladas</t>
        </is>
      </c>
      <c r="D310" t="inlineStr">
        <is>
          <t>anio_LOM25_AMIN_LE2</t>
        </is>
      </c>
      <c r="E310" t="inlineStr">
        <is>
          <t>2042</t>
        </is>
      </c>
      <c r="F310" t="inlineStr">
        <is>
          <t>MR24_RT</t>
        </is>
      </c>
      <c r="G310" t="inlineStr">
        <is>
          <t>13</t>
        </is>
      </c>
      <c r="H310" t="inlineStr">
        <is>
          <t>sin asignar</t>
        </is>
      </c>
      <c r="I310" t="inlineStr">
        <is>
          <t>Metamorfico_13</t>
        </is>
      </c>
      <c r="J310" t="inlineStr">
        <is>
          <t>Geologia_2024=Metamorfico_13 (no distingue hornfels/mármol)</t>
        </is>
      </c>
      <c r="K310" t="inlineStr">
        <is>
          <t>Hornfels (hipótesis: siglas HG, HGS, HC)</t>
        </is>
      </c>
      <c r="L310" t="inlineStr">
        <is>
          <t>Metamorfico</t>
        </is>
      </c>
      <c r="M310" t="n">
        <v>1742</v>
      </c>
      <c r="N310" t="n">
        <v>10452000</v>
      </c>
      <c r="O310" t="n">
        <v>28257054</v>
      </c>
      <c r="P310" t="inlineStr"/>
      <c r="Q310" t="n">
        <v>14.44</v>
      </c>
    </row>
    <row r="311">
      <c r="A311" t="inlineStr">
        <is>
          <t>MR24</t>
        </is>
      </c>
      <c r="B311" t="inlineStr">
        <is>
          <t>SIMULACIONES_MR2024_V3</t>
        </is>
      </c>
      <c r="C311" t="inlineStr">
        <is>
          <t>toneladas (6000 m3 x MR24_BD); pct sobre toneladas</t>
        </is>
      </c>
      <c r="D311" t="inlineStr">
        <is>
          <t>anio_LOM25_AMIN_LE2</t>
        </is>
      </c>
      <c r="E311" t="inlineStr">
        <is>
          <t>2042</t>
        </is>
      </c>
      <c r="F311" t="inlineStr">
        <is>
          <t>MR24_RT</t>
        </is>
      </c>
      <c r="G311" t="inlineStr">
        <is>
          <t>14</t>
        </is>
      </c>
      <c r="H311" t="inlineStr">
        <is>
          <t>sin asignar</t>
        </is>
      </c>
      <c r="I311" t="inlineStr">
        <is>
          <t>Metamorfico_14</t>
        </is>
      </c>
      <c r="J311" t="inlineStr">
        <is>
          <t>Geologia_2024=Metamorfico_14 (no distingue hornfels/mármol)</t>
        </is>
      </c>
      <c r="K311" t="inlineStr">
        <is>
          <t>Hornfels (hipótesis: siglas HBV, HGV, HCB, HDP; 'Diop. Hornfels'~HGV)</t>
        </is>
      </c>
      <c r="L311" t="inlineStr">
        <is>
          <t>Metamorfico</t>
        </is>
      </c>
      <c r="M311" t="n">
        <v>5</v>
      </c>
      <c r="N311" t="n">
        <v>30000</v>
      </c>
      <c r="O311" t="n">
        <v>83850</v>
      </c>
      <c r="P311" t="inlineStr"/>
      <c r="Q311" t="n">
        <v>0.043</v>
      </c>
    </row>
    <row r="312">
      <c r="A312" t="inlineStr">
        <is>
          <t>MR24</t>
        </is>
      </c>
      <c r="B312" t="inlineStr">
        <is>
          <t>SIMULACIONES_MR2024_V3</t>
        </is>
      </c>
      <c r="C312" t="inlineStr">
        <is>
          <t>toneladas (6000 m3 x MR24_BD); pct sobre toneladas</t>
        </is>
      </c>
      <c r="D312" t="inlineStr">
        <is>
          <t>anio_LOM25_AMIN_LE2</t>
        </is>
      </c>
      <c r="E312" t="inlineStr">
        <is>
          <t>2042</t>
        </is>
      </c>
      <c r="F312" t="inlineStr">
        <is>
          <t>MR24_RT</t>
        </is>
      </c>
      <c r="G312" t="inlineStr">
        <is>
          <t>16</t>
        </is>
      </c>
      <c r="H312" t="inlineStr">
        <is>
          <t>sin asignar</t>
        </is>
      </c>
      <c r="I312" t="inlineStr">
        <is>
          <t>Metamorfico_16</t>
        </is>
      </c>
      <c r="J312" t="inlineStr">
        <is>
          <t>Geologia_2024=Metamorfico_16 (no distingue hornfels/mármol)</t>
        </is>
      </c>
      <c r="K312" t="inlineStr">
        <is>
          <t>Mármol (hipótesis: siglas MC, MG, MGS, MPA, MCGB; 'Marble'~MCGB)</t>
        </is>
      </c>
      <c r="L312" t="inlineStr">
        <is>
          <t>Metamorfico</t>
        </is>
      </c>
      <c r="M312" t="n">
        <v>4556</v>
      </c>
      <c r="N312" t="n">
        <v>27336000</v>
      </c>
      <c r="O312" t="n">
        <v>74505732</v>
      </c>
      <c r="P312" t="inlineStr"/>
      <c r="Q312" t="n">
        <v>38.075</v>
      </c>
    </row>
    <row r="313">
      <c r="A313" t="inlineStr">
        <is>
          <t>MR24</t>
        </is>
      </c>
      <c r="B313" t="inlineStr">
        <is>
          <t>SIMULACIONES_MR2024_V3</t>
        </is>
      </c>
      <c r="C313" t="inlineStr">
        <is>
          <t>toneladas (6000 m3 x MR24_BD); pct sobre toneladas</t>
        </is>
      </c>
      <c r="D313" t="inlineStr">
        <is>
          <t>anio_LOM25_AMIN_LE2</t>
        </is>
      </c>
      <c r="E313" t="inlineStr">
        <is>
          <t>2042</t>
        </is>
      </c>
      <c r="F313" t="inlineStr">
        <is>
          <t>MR24_RT</t>
        </is>
      </c>
      <c r="G313" t="inlineStr">
        <is>
          <t>19</t>
        </is>
      </c>
      <c r="H313" t="inlineStr">
        <is>
          <t>sin asignar</t>
        </is>
      </c>
      <c r="I313" t="inlineStr">
        <is>
          <t>Metamorfico_19</t>
        </is>
      </c>
      <c r="J313" t="inlineStr">
        <is>
          <t>Geologia_2024=Metamorfico_19 (no distingue hornfels/mármol)</t>
        </is>
      </c>
      <c r="K313" t="inlineStr">
        <is>
          <t>Mármol (hipótesis: sigla MDP)</t>
        </is>
      </c>
      <c r="L313" t="inlineStr">
        <is>
          <t>Metamorfico</t>
        </is>
      </c>
      <c r="M313" t="n">
        <v>139</v>
      </c>
      <c r="N313" t="n">
        <v>834000</v>
      </c>
      <c r="O313" t="n">
        <v>2313414</v>
      </c>
      <c r="P313" t="inlineStr"/>
      <c r="Q313" t="n">
        <v>1.182</v>
      </c>
    </row>
    <row r="314">
      <c r="A314" t="inlineStr">
        <is>
          <t>MR24</t>
        </is>
      </c>
      <c r="B314" t="inlineStr">
        <is>
          <t>SIMULACIONES_MR2024_V3</t>
        </is>
      </c>
      <c r="C314" t="inlineStr">
        <is>
          <t>toneladas (6000 m3 x MR24_BD); pct sobre toneladas</t>
        </is>
      </c>
      <c r="D314" t="inlineStr">
        <is>
          <t>anio_LOM25_AMIN_LE2</t>
        </is>
      </c>
      <c r="E314" t="inlineStr">
        <is>
          <t>2042</t>
        </is>
      </c>
      <c r="F314" t="inlineStr">
        <is>
          <t>MR24_RT</t>
        </is>
      </c>
      <c r="G314" t="inlineStr">
        <is>
          <t>53</t>
        </is>
      </c>
      <c r="H314" t="inlineStr">
        <is>
          <t>sin asignar</t>
        </is>
      </c>
      <c r="I314" t="inlineStr">
        <is>
          <t>RT53</t>
        </is>
      </c>
      <c r="J314" t="inlineStr">
        <is>
          <t>código sin etiqueta en los datos</t>
        </is>
      </c>
      <c r="K314" t="inlineStr">
        <is>
          <t>sin hipótesis</t>
        </is>
      </c>
      <c r="L314" t="inlineStr">
        <is>
          <t>sin leyenda</t>
        </is>
      </c>
      <c r="M314" t="n">
        <v>1</v>
      </c>
      <c r="N314" t="n">
        <v>6000</v>
      </c>
      <c r="O314" t="n">
        <v>17610</v>
      </c>
      <c r="P314" t="inlineStr"/>
      <c r="Q314" t="n">
        <v>0.008999999999999999</v>
      </c>
    </row>
    <row r="315">
      <c r="A315" t="inlineStr">
        <is>
          <t>MR24</t>
        </is>
      </c>
      <c r="B315" t="inlineStr">
        <is>
          <t>SIMULACIONES_MR2024_V3</t>
        </is>
      </c>
      <c r="C315" t="inlineStr">
        <is>
          <t>toneladas (6000 m3 x MR24_BD); pct sobre toneladas</t>
        </is>
      </c>
      <c r="D315" t="inlineStr">
        <is>
          <t>anio_LOM25_AMIN_LE2</t>
        </is>
      </c>
      <c r="E315" t="inlineStr">
        <is>
          <t>2043</t>
        </is>
      </c>
      <c r="F315" t="inlineStr">
        <is>
          <t>MR24_RT</t>
        </is>
      </c>
      <c r="G315" t="inlineStr">
        <is>
          <t>1</t>
        </is>
      </c>
      <c r="H315" t="inlineStr">
        <is>
          <t>Intrusivo</t>
        </is>
      </c>
      <c r="I315" t="inlineStr">
        <is>
          <t>RT1</t>
        </is>
      </c>
      <c r="J315" t="inlineStr">
        <is>
          <t>Geologia_2024=Intrusivo_1</t>
        </is>
      </c>
      <c r="K315" t="inlineStr">
        <is>
          <t>Intrusivo</t>
        </is>
      </c>
      <c r="L315" t="inlineStr">
        <is>
          <t>Intrusivo</t>
        </is>
      </c>
      <c r="M315" t="n">
        <v>845</v>
      </c>
      <c r="N315" t="n">
        <v>5070000</v>
      </c>
      <c r="O315" t="n">
        <v>12448566</v>
      </c>
      <c r="P315" t="inlineStr"/>
      <c r="Q315" t="n">
        <v>7.865</v>
      </c>
    </row>
    <row r="316">
      <c r="A316" t="inlineStr">
        <is>
          <t>MR24</t>
        </is>
      </c>
      <c r="B316" t="inlineStr">
        <is>
          <t>SIMULACIONES_MR2024_V3</t>
        </is>
      </c>
      <c r="C316" t="inlineStr">
        <is>
          <t>toneladas (6000 m3 x MR24_BD); pct sobre toneladas</t>
        </is>
      </c>
      <c r="D316" t="inlineStr">
        <is>
          <t>anio_LOM25_AMIN_LE2</t>
        </is>
      </c>
      <c r="E316" t="inlineStr">
        <is>
          <t>2043</t>
        </is>
      </c>
      <c r="F316" t="inlineStr">
        <is>
          <t>MR24_RT</t>
        </is>
      </c>
      <c r="G316" t="inlineStr">
        <is>
          <t>2</t>
        </is>
      </c>
      <c r="H316" t="inlineStr">
        <is>
          <t>Intrusivo</t>
        </is>
      </c>
      <c r="I316" t="inlineStr">
        <is>
          <t>RT2</t>
        </is>
      </c>
      <c r="J316" t="inlineStr">
        <is>
          <t>Geologia_2024=Intrusivo_2</t>
        </is>
      </c>
      <c r="K316" t="inlineStr">
        <is>
          <t>Intrusivo</t>
        </is>
      </c>
      <c r="L316" t="inlineStr">
        <is>
          <t>Intrusivo</t>
        </is>
      </c>
      <c r="M316" t="n">
        <v>65</v>
      </c>
      <c r="N316" t="n">
        <v>390000</v>
      </c>
      <c r="O316" t="n">
        <v>1051092</v>
      </c>
      <c r="P316" t="inlineStr"/>
      <c r="Q316" t="n">
        <v>0.664</v>
      </c>
    </row>
    <row r="317">
      <c r="A317" t="inlineStr">
        <is>
          <t>MR24</t>
        </is>
      </c>
      <c r="B317" t="inlineStr">
        <is>
          <t>SIMULACIONES_MR2024_V3</t>
        </is>
      </c>
      <c r="C317" t="inlineStr">
        <is>
          <t>toneladas (6000 m3 x MR24_BD); pct sobre toneladas</t>
        </is>
      </c>
      <c r="D317" t="inlineStr">
        <is>
          <t>anio_LOM25_AMIN_LE2</t>
        </is>
      </c>
      <c r="E317" t="inlineStr">
        <is>
          <t>2043</t>
        </is>
      </c>
      <c r="F317" t="inlineStr">
        <is>
          <t>MR24_RT</t>
        </is>
      </c>
      <c r="G317" t="inlineStr">
        <is>
          <t>10</t>
        </is>
      </c>
      <c r="H317" t="inlineStr">
        <is>
          <t>sin asignar</t>
        </is>
      </c>
      <c r="I317" t="inlineStr">
        <is>
          <t>Sedimentario_10</t>
        </is>
      </c>
      <c r="J317" t="inlineStr">
        <is>
          <t>Geologia_2024=Sedimentario_10 (no especifica caliza)</t>
        </is>
      </c>
      <c r="K317" t="inlineStr">
        <is>
          <t>Caliza (hipótesis: siglas C*)</t>
        </is>
      </c>
      <c r="L317" t="inlineStr">
        <is>
          <t>Sedimentario</t>
        </is>
      </c>
      <c r="M317" t="n">
        <v>1946</v>
      </c>
      <c r="N317" t="n">
        <v>11676000</v>
      </c>
      <c r="O317" t="n">
        <v>31659276</v>
      </c>
      <c r="P317" t="inlineStr"/>
      <c r="Q317" t="n">
        <v>20.002</v>
      </c>
    </row>
    <row r="318">
      <c r="A318" t="inlineStr">
        <is>
          <t>MR24</t>
        </is>
      </c>
      <c r="B318" t="inlineStr">
        <is>
          <t>SIMULACIONES_MR2024_V3</t>
        </is>
      </c>
      <c r="C318" t="inlineStr">
        <is>
          <t>toneladas (6000 m3 x MR24_BD); pct sobre toneladas</t>
        </is>
      </c>
      <c r="D318" t="inlineStr">
        <is>
          <t>anio_LOM25_AMIN_LE2</t>
        </is>
      </c>
      <c r="E318" t="inlineStr">
        <is>
          <t>2043</t>
        </is>
      </c>
      <c r="F318" t="inlineStr">
        <is>
          <t>MR24_RT</t>
        </is>
      </c>
      <c r="G318" t="inlineStr">
        <is>
          <t>11</t>
        </is>
      </c>
      <c r="H318" t="inlineStr">
        <is>
          <t>sin asignar</t>
        </is>
      </c>
      <c r="I318" t="inlineStr">
        <is>
          <t>Sedimentario_11</t>
        </is>
      </c>
      <c r="J318" t="inlineStr">
        <is>
          <t>Geologia_2024=Sedimentario_11 (no especifica caliza)</t>
        </is>
      </c>
      <c r="K318" t="inlineStr">
        <is>
          <t>Caliza (hipótesis: Sedimentario; RT11~NUMEQ10, siglas C*)</t>
        </is>
      </c>
      <c r="L318" t="inlineStr">
        <is>
          <t>Sedimentario</t>
        </is>
      </c>
      <c r="M318" t="n">
        <v>559</v>
      </c>
      <c r="N318" t="n">
        <v>3354000</v>
      </c>
      <c r="O318" t="n">
        <v>9106248</v>
      </c>
      <c r="P318" t="inlineStr"/>
      <c r="Q318" t="n">
        <v>5.753</v>
      </c>
    </row>
    <row r="319">
      <c r="A319" t="inlineStr">
        <is>
          <t>MR24</t>
        </is>
      </c>
      <c r="B319" t="inlineStr">
        <is>
          <t>SIMULACIONES_MR2024_V3</t>
        </is>
      </c>
      <c r="C319" t="inlineStr">
        <is>
          <t>toneladas (6000 m3 x MR24_BD); pct sobre toneladas</t>
        </is>
      </c>
      <c r="D319" t="inlineStr">
        <is>
          <t>anio_LOM25_AMIN_LE2</t>
        </is>
      </c>
      <c r="E319" t="inlineStr">
        <is>
          <t>2043</t>
        </is>
      </c>
      <c r="F319" t="inlineStr">
        <is>
          <t>MR24_RT</t>
        </is>
      </c>
      <c r="G319" t="inlineStr">
        <is>
          <t>13</t>
        </is>
      </c>
      <c r="H319" t="inlineStr">
        <is>
          <t>sin asignar</t>
        </is>
      </c>
      <c r="I319" t="inlineStr">
        <is>
          <t>Metamorfico_13</t>
        </is>
      </c>
      <c r="J319" t="inlineStr">
        <is>
          <t>Geologia_2024=Metamorfico_13 (no distingue hornfels/mármol)</t>
        </is>
      </c>
      <c r="K319" t="inlineStr">
        <is>
          <t>Hornfels (hipótesis: siglas HG, HGS, HC)</t>
        </is>
      </c>
      <c r="L319" t="inlineStr">
        <is>
          <t>Metamorfico</t>
        </is>
      </c>
      <c r="M319" t="n">
        <v>1787</v>
      </c>
      <c r="N319" t="n">
        <v>10722000</v>
      </c>
      <c r="O319" t="n">
        <v>29092824</v>
      </c>
      <c r="P319" t="inlineStr"/>
      <c r="Q319" t="n">
        <v>18.381</v>
      </c>
    </row>
    <row r="320">
      <c r="A320" t="inlineStr">
        <is>
          <t>MR24</t>
        </is>
      </c>
      <c r="B320" t="inlineStr">
        <is>
          <t>SIMULACIONES_MR2024_V3</t>
        </is>
      </c>
      <c r="C320" t="inlineStr">
        <is>
          <t>toneladas (6000 m3 x MR24_BD); pct sobre toneladas</t>
        </is>
      </c>
      <c r="D320" t="inlineStr">
        <is>
          <t>anio_LOM25_AMIN_LE2</t>
        </is>
      </c>
      <c r="E320" t="inlineStr">
        <is>
          <t>2043</t>
        </is>
      </c>
      <c r="F320" t="inlineStr">
        <is>
          <t>MR24_RT</t>
        </is>
      </c>
      <c r="G320" t="inlineStr">
        <is>
          <t>14</t>
        </is>
      </c>
      <c r="H320" t="inlineStr">
        <is>
          <t>sin asignar</t>
        </is>
      </c>
      <c r="I320" t="inlineStr">
        <is>
          <t>Metamorfico_14</t>
        </is>
      </c>
      <c r="J320" t="inlineStr">
        <is>
          <t>Geologia_2024=Metamorfico_14 (no distingue hornfels/mármol)</t>
        </is>
      </c>
      <c r="K320" t="inlineStr">
        <is>
          <t>Hornfels (hipótesis: siglas HBV, HGV, HCB, HDP; 'Diop. Hornfels'~HGV)</t>
        </is>
      </c>
      <c r="L320" t="inlineStr">
        <is>
          <t>Metamorfico</t>
        </is>
      </c>
      <c r="M320" t="n">
        <v>139</v>
      </c>
      <c r="N320" t="n">
        <v>834000</v>
      </c>
      <c r="O320" t="n">
        <v>2415084</v>
      </c>
      <c r="P320" t="inlineStr"/>
      <c r="Q320" t="n">
        <v>1.526</v>
      </c>
    </row>
    <row r="321">
      <c r="A321" t="inlineStr">
        <is>
          <t>MR24</t>
        </is>
      </c>
      <c r="B321" t="inlineStr">
        <is>
          <t>SIMULACIONES_MR2024_V3</t>
        </is>
      </c>
      <c r="C321" t="inlineStr">
        <is>
          <t>toneladas (6000 m3 x MR24_BD); pct sobre toneladas</t>
        </is>
      </c>
      <c r="D321" t="inlineStr">
        <is>
          <t>anio_LOM25_AMIN_LE2</t>
        </is>
      </c>
      <c r="E321" t="inlineStr">
        <is>
          <t>2043</t>
        </is>
      </c>
      <c r="F321" t="inlineStr">
        <is>
          <t>MR24_RT</t>
        </is>
      </c>
      <c r="G321" t="inlineStr">
        <is>
          <t>16</t>
        </is>
      </c>
      <c r="H321" t="inlineStr">
        <is>
          <t>sin asignar</t>
        </is>
      </c>
      <c r="I321" t="inlineStr">
        <is>
          <t>Metamorfico_16</t>
        </is>
      </c>
      <c r="J321" t="inlineStr">
        <is>
          <t>Geologia_2024=Metamorfico_16 (no distingue hornfels/mármol)</t>
        </is>
      </c>
      <c r="K321" t="inlineStr">
        <is>
          <t>Mármol (hipótesis: siglas MC, MG, MGS, MPA, MCGB; 'Marble'~MCGB)</t>
        </is>
      </c>
      <c r="L321" t="inlineStr">
        <is>
          <t>Metamorfico</t>
        </is>
      </c>
      <c r="M321" t="n">
        <v>4347</v>
      </c>
      <c r="N321" t="n">
        <v>26082000</v>
      </c>
      <c r="O321" t="n">
        <v>70831566</v>
      </c>
      <c r="P321" t="inlineStr"/>
      <c r="Q321" t="n">
        <v>44.752</v>
      </c>
    </row>
    <row r="322">
      <c r="A322" t="inlineStr">
        <is>
          <t>MR24</t>
        </is>
      </c>
      <c r="B322" t="inlineStr">
        <is>
          <t>SIMULACIONES_MR2024_V3</t>
        </is>
      </c>
      <c r="C322" t="inlineStr">
        <is>
          <t>toneladas (6000 m3 x MR24_BD); pct sobre toneladas</t>
        </is>
      </c>
      <c r="D322" t="inlineStr">
        <is>
          <t>anio_LOM25_AMIN_LE2</t>
        </is>
      </c>
      <c r="E322" t="inlineStr">
        <is>
          <t>2043</t>
        </is>
      </c>
      <c r="F322" t="inlineStr">
        <is>
          <t>MR24_RT</t>
        </is>
      </c>
      <c r="G322" t="inlineStr">
        <is>
          <t>19</t>
        </is>
      </c>
      <c r="H322" t="inlineStr">
        <is>
          <t>sin asignar</t>
        </is>
      </c>
      <c r="I322" t="inlineStr">
        <is>
          <t>Metamorfico_19</t>
        </is>
      </c>
      <c r="J322" t="inlineStr">
        <is>
          <t>Geologia_2024=Metamorfico_19 (no distingue hornfels/mármol)</t>
        </is>
      </c>
      <c r="K322" t="inlineStr">
        <is>
          <t>Mármol (hipótesis: sigla MDP)</t>
        </is>
      </c>
      <c r="L322" t="inlineStr">
        <is>
          <t>Metamorfico</t>
        </is>
      </c>
      <c r="M322" t="n">
        <v>99</v>
      </c>
      <c r="N322" t="n">
        <v>594000</v>
      </c>
      <c r="O322" t="n">
        <v>1656426</v>
      </c>
      <c r="P322" t="inlineStr"/>
      <c r="Q322" t="n">
        <v>1.047</v>
      </c>
    </row>
    <row r="323">
      <c r="A323" t="inlineStr">
        <is>
          <t>MR24</t>
        </is>
      </c>
      <c r="B323" t="inlineStr">
        <is>
          <t>SIMULACIONES_MR2024_V3</t>
        </is>
      </c>
      <c r="C323" t="inlineStr">
        <is>
          <t>toneladas (6000 m3 x MR24_BD); pct sobre toneladas</t>
        </is>
      </c>
      <c r="D323" t="inlineStr">
        <is>
          <t>anio_LOM25_AMIN_LE2</t>
        </is>
      </c>
      <c r="E323" t="inlineStr">
        <is>
          <t>2043</t>
        </is>
      </c>
      <c r="F323" t="inlineStr">
        <is>
          <t>MR24_RT</t>
        </is>
      </c>
      <c r="G323" t="inlineStr">
        <is>
          <t>53</t>
        </is>
      </c>
      <c r="H323" t="inlineStr">
        <is>
          <t>sin asignar</t>
        </is>
      </c>
      <c r="I323" t="inlineStr">
        <is>
          <t>RT53</t>
        </is>
      </c>
      <c r="J323" t="inlineStr">
        <is>
          <t>código sin etiqueta en los datos</t>
        </is>
      </c>
      <c r="K323" t="inlineStr">
        <is>
          <t>sin hipótesis</t>
        </is>
      </c>
      <c r="L323" t="inlineStr">
        <is>
          <t>sin leyenda</t>
        </is>
      </c>
      <c r="M323" t="n">
        <v>1</v>
      </c>
      <c r="N323" t="n">
        <v>6000</v>
      </c>
      <c r="O323" t="n">
        <v>16398</v>
      </c>
      <c r="P323" t="inlineStr"/>
      <c r="Q323" t="n">
        <v>0.01</v>
      </c>
    </row>
    <row r="324">
      <c r="A324" t="inlineStr">
        <is>
          <t>MR24</t>
        </is>
      </c>
      <c r="B324" t="inlineStr">
        <is>
          <t>SIMULACIONES_MR2024_V3</t>
        </is>
      </c>
      <c r="C324" t="inlineStr">
        <is>
          <t>toneladas (6000 m3 x MR24_BD); pct sobre toneladas</t>
        </is>
      </c>
      <c r="D324" t="inlineStr">
        <is>
          <t>anio_LOM25_AMIN_LE2</t>
        </is>
      </c>
      <c r="E324" t="inlineStr">
        <is>
          <t>2044</t>
        </is>
      </c>
      <c r="F324" t="inlineStr">
        <is>
          <t>MR24_RT</t>
        </is>
      </c>
      <c r="G324" t="inlineStr">
        <is>
          <t>1</t>
        </is>
      </c>
      <c r="H324" t="inlineStr">
        <is>
          <t>Intrusivo</t>
        </is>
      </c>
      <c r="I324" t="inlineStr">
        <is>
          <t>RT1</t>
        </is>
      </c>
      <c r="J324" t="inlineStr">
        <is>
          <t>Geologia_2024=Intrusivo_1</t>
        </is>
      </c>
      <c r="K324" t="inlineStr">
        <is>
          <t>Intrusivo</t>
        </is>
      </c>
      <c r="L324" t="inlineStr">
        <is>
          <t>Intrusivo</t>
        </is>
      </c>
      <c r="M324" t="n">
        <v>1418</v>
      </c>
      <c r="N324" t="n">
        <v>8508000</v>
      </c>
      <c r="O324" t="n">
        <v>21087498</v>
      </c>
      <c r="P324" t="inlineStr"/>
      <c r="Q324" t="n">
        <v>14.765</v>
      </c>
    </row>
    <row r="325">
      <c r="A325" t="inlineStr">
        <is>
          <t>MR24</t>
        </is>
      </c>
      <c r="B325" t="inlineStr">
        <is>
          <t>SIMULACIONES_MR2024_V3</t>
        </is>
      </c>
      <c r="C325" t="inlineStr">
        <is>
          <t>toneladas (6000 m3 x MR24_BD); pct sobre toneladas</t>
        </is>
      </c>
      <c r="D325" t="inlineStr">
        <is>
          <t>anio_LOM25_AMIN_LE2</t>
        </is>
      </c>
      <c r="E325" t="inlineStr">
        <is>
          <t>2044</t>
        </is>
      </c>
      <c r="F325" t="inlineStr">
        <is>
          <t>MR24_RT</t>
        </is>
      </c>
      <c r="G325" t="inlineStr">
        <is>
          <t>2</t>
        </is>
      </c>
      <c r="H325" t="inlineStr">
        <is>
          <t>Intrusivo</t>
        </is>
      </c>
      <c r="I325" t="inlineStr">
        <is>
          <t>RT2</t>
        </is>
      </c>
      <c r="J325" t="inlineStr">
        <is>
          <t>Geologia_2024=Intrusivo_2</t>
        </is>
      </c>
      <c r="K325" t="inlineStr">
        <is>
          <t>Intrusivo</t>
        </is>
      </c>
      <c r="L325" t="inlineStr">
        <is>
          <t>Intrusivo</t>
        </is>
      </c>
      <c r="M325" t="n">
        <v>16</v>
      </c>
      <c r="N325" t="n">
        <v>96000</v>
      </c>
      <c r="O325" t="n">
        <v>288834</v>
      </c>
      <c r="P325" t="inlineStr"/>
      <c r="Q325" t="n">
        <v>0.202</v>
      </c>
    </row>
    <row r="326">
      <c r="A326" t="inlineStr">
        <is>
          <t>MR24</t>
        </is>
      </c>
      <c r="B326" t="inlineStr">
        <is>
          <t>SIMULACIONES_MR2024_V3</t>
        </is>
      </c>
      <c r="C326" t="inlineStr">
        <is>
          <t>toneladas (6000 m3 x MR24_BD); pct sobre toneladas</t>
        </is>
      </c>
      <c r="D326" t="inlineStr">
        <is>
          <t>anio_LOM25_AMIN_LE2</t>
        </is>
      </c>
      <c r="E326" t="inlineStr">
        <is>
          <t>2044</t>
        </is>
      </c>
      <c r="F326" t="inlineStr">
        <is>
          <t>MR24_RT</t>
        </is>
      </c>
      <c r="G326" t="inlineStr">
        <is>
          <t>10</t>
        </is>
      </c>
      <c r="H326" t="inlineStr">
        <is>
          <t>sin asignar</t>
        </is>
      </c>
      <c r="I326" t="inlineStr">
        <is>
          <t>Sedimentario_10</t>
        </is>
      </c>
      <c r="J326" t="inlineStr">
        <is>
          <t>Geologia_2024=Sedimentario_10 (no especifica caliza)</t>
        </is>
      </c>
      <c r="K326" t="inlineStr">
        <is>
          <t>Caliza (hipótesis: siglas C*)</t>
        </is>
      </c>
      <c r="L326" t="inlineStr">
        <is>
          <t>Sedimentario</t>
        </is>
      </c>
      <c r="M326" t="n">
        <v>81</v>
      </c>
      <c r="N326" t="n">
        <v>486000</v>
      </c>
      <c r="O326" t="n">
        <v>1322658</v>
      </c>
      <c r="P326" t="inlineStr"/>
      <c r="Q326" t="n">
        <v>0.926</v>
      </c>
    </row>
    <row r="327">
      <c r="A327" t="inlineStr">
        <is>
          <t>MR24</t>
        </is>
      </c>
      <c r="B327" t="inlineStr">
        <is>
          <t>SIMULACIONES_MR2024_V3</t>
        </is>
      </c>
      <c r="C327" t="inlineStr">
        <is>
          <t>toneladas (6000 m3 x MR24_BD); pct sobre toneladas</t>
        </is>
      </c>
      <c r="D327" t="inlineStr">
        <is>
          <t>anio_LOM25_AMIN_LE2</t>
        </is>
      </c>
      <c r="E327" t="inlineStr">
        <is>
          <t>2044</t>
        </is>
      </c>
      <c r="F327" t="inlineStr">
        <is>
          <t>MR24_RT</t>
        </is>
      </c>
      <c r="G327" t="inlineStr">
        <is>
          <t>11</t>
        </is>
      </c>
      <c r="H327" t="inlineStr">
        <is>
          <t>sin asignar</t>
        </is>
      </c>
      <c r="I327" t="inlineStr">
        <is>
          <t>Sedimentario_11</t>
        </is>
      </c>
      <c r="J327" t="inlineStr">
        <is>
          <t>Geologia_2024=Sedimentario_11 (no especifica caliza)</t>
        </is>
      </c>
      <c r="K327" t="inlineStr">
        <is>
          <t>Caliza (hipótesis: Sedimentario; RT11~NUMEQ10, siglas C*)</t>
        </is>
      </c>
      <c r="L327" t="inlineStr">
        <is>
          <t>Sedimentario</t>
        </is>
      </c>
      <c r="M327" t="n">
        <v>37</v>
      </c>
      <c r="N327" t="n">
        <v>222000</v>
      </c>
      <c r="O327" t="n">
        <v>604734</v>
      </c>
      <c r="P327" t="inlineStr"/>
      <c r="Q327" t="n">
        <v>0.423</v>
      </c>
    </row>
    <row r="328">
      <c r="A328" t="inlineStr">
        <is>
          <t>MR24</t>
        </is>
      </c>
      <c r="B328" t="inlineStr">
        <is>
          <t>SIMULACIONES_MR2024_V3</t>
        </is>
      </c>
      <c r="C328" t="inlineStr">
        <is>
          <t>toneladas (6000 m3 x MR24_BD); pct sobre toneladas</t>
        </is>
      </c>
      <c r="D328" t="inlineStr">
        <is>
          <t>anio_LOM25_AMIN_LE2</t>
        </is>
      </c>
      <c r="E328" t="inlineStr">
        <is>
          <t>2044</t>
        </is>
      </c>
      <c r="F328" t="inlineStr">
        <is>
          <t>MR24_RT</t>
        </is>
      </c>
      <c r="G328" t="inlineStr">
        <is>
          <t>13</t>
        </is>
      </c>
      <c r="H328" t="inlineStr">
        <is>
          <t>sin asignar</t>
        </is>
      </c>
      <c r="I328" t="inlineStr">
        <is>
          <t>Metamorfico_13</t>
        </is>
      </c>
      <c r="J328" t="inlineStr">
        <is>
          <t>Geologia_2024=Metamorfico_13 (no distingue hornfels/mármol)</t>
        </is>
      </c>
      <c r="K328" t="inlineStr">
        <is>
          <t>Hornfels (hipótesis: siglas HG, HGS, HC)</t>
        </is>
      </c>
      <c r="L328" t="inlineStr">
        <is>
          <t>Metamorfico</t>
        </is>
      </c>
      <c r="M328" t="n">
        <v>544</v>
      </c>
      <c r="N328" t="n">
        <v>3264000</v>
      </c>
      <c r="O328" t="n">
        <v>8915190</v>
      </c>
      <c r="P328" t="inlineStr"/>
      <c r="Q328" t="n">
        <v>6.242</v>
      </c>
    </row>
    <row r="329">
      <c r="A329" t="inlineStr">
        <is>
          <t>MR24</t>
        </is>
      </c>
      <c r="B329" t="inlineStr">
        <is>
          <t>SIMULACIONES_MR2024_V3</t>
        </is>
      </c>
      <c r="C329" t="inlineStr">
        <is>
          <t>toneladas (6000 m3 x MR24_BD); pct sobre toneladas</t>
        </is>
      </c>
      <c r="D329" t="inlineStr">
        <is>
          <t>anio_LOM25_AMIN_LE2</t>
        </is>
      </c>
      <c r="E329" t="inlineStr">
        <is>
          <t>2044</t>
        </is>
      </c>
      <c r="F329" t="inlineStr">
        <is>
          <t>MR24_RT</t>
        </is>
      </c>
      <c r="G329" t="inlineStr">
        <is>
          <t>14</t>
        </is>
      </c>
      <c r="H329" t="inlineStr">
        <is>
          <t>sin asignar</t>
        </is>
      </c>
      <c r="I329" t="inlineStr">
        <is>
          <t>Metamorfico_14</t>
        </is>
      </c>
      <c r="J329" t="inlineStr">
        <is>
          <t>Geologia_2024=Metamorfico_14 (no distingue hornfels/mármol)</t>
        </is>
      </c>
      <c r="K329" t="inlineStr">
        <is>
          <t>Hornfels (hipótesis: siglas HBV, HGV, HCB, HDP; 'Diop. Hornfels'~HGV)</t>
        </is>
      </c>
      <c r="L329" t="inlineStr">
        <is>
          <t>Metamorfico</t>
        </is>
      </c>
      <c r="M329" t="n">
        <v>618</v>
      </c>
      <c r="N329" t="n">
        <v>3708000</v>
      </c>
      <c r="O329" t="n">
        <v>10691700</v>
      </c>
      <c r="P329" t="inlineStr"/>
      <c r="Q329" t="n">
        <v>7.486</v>
      </c>
    </row>
    <row r="330">
      <c r="A330" t="inlineStr">
        <is>
          <t>MR24</t>
        </is>
      </c>
      <c r="B330" t="inlineStr">
        <is>
          <t>SIMULACIONES_MR2024_V3</t>
        </is>
      </c>
      <c r="C330" t="inlineStr">
        <is>
          <t>toneladas (6000 m3 x MR24_BD); pct sobre toneladas</t>
        </is>
      </c>
      <c r="D330" t="inlineStr">
        <is>
          <t>anio_LOM25_AMIN_LE2</t>
        </is>
      </c>
      <c r="E330" t="inlineStr">
        <is>
          <t>2044</t>
        </is>
      </c>
      <c r="F330" t="inlineStr">
        <is>
          <t>MR24_RT</t>
        </is>
      </c>
      <c r="G330" t="inlineStr">
        <is>
          <t>16</t>
        </is>
      </c>
      <c r="H330" t="inlineStr">
        <is>
          <t>sin asignar</t>
        </is>
      </c>
      <c r="I330" t="inlineStr">
        <is>
          <t>Metamorfico_16</t>
        </is>
      </c>
      <c r="J330" t="inlineStr">
        <is>
          <t>Geologia_2024=Metamorfico_16 (no distingue hornfels/mármol)</t>
        </is>
      </c>
      <c r="K330" t="inlineStr">
        <is>
          <t>Mármol (hipótesis: siglas MC, MG, MGS, MPA, MCGB; 'Marble'~MCGB)</t>
        </is>
      </c>
      <c r="L330" t="inlineStr">
        <is>
          <t>Metamorfico</t>
        </is>
      </c>
      <c r="M330" t="n">
        <v>5755</v>
      </c>
      <c r="N330" t="n">
        <v>34530000</v>
      </c>
      <c r="O330" t="n">
        <v>93671232</v>
      </c>
      <c r="P330" t="inlineStr"/>
      <c r="Q330" t="n">
        <v>65.587</v>
      </c>
    </row>
    <row r="331">
      <c r="A331" t="inlineStr">
        <is>
          <t>MR24</t>
        </is>
      </c>
      <c r="B331" t="inlineStr">
        <is>
          <t>SIMULACIONES_MR2024_V3</t>
        </is>
      </c>
      <c r="C331" t="inlineStr">
        <is>
          <t>toneladas (6000 m3 x MR24_BD); pct sobre toneladas</t>
        </is>
      </c>
      <c r="D331" t="inlineStr">
        <is>
          <t>anio_LOM25_AMIN_LE2</t>
        </is>
      </c>
      <c r="E331" t="inlineStr">
        <is>
          <t>2044</t>
        </is>
      </c>
      <c r="F331" t="inlineStr">
        <is>
          <t>MR24_RT</t>
        </is>
      </c>
      <c r="G331" t="inlineStr">
        <is>
          <t>19</t>
        </is>
      </c>
      <c r="H331" t="inlineStr">
        <is>
          <t>sin asignar</t>
        </is>
      </c>
      <c r="I331" t="inlineStr">
        <is>
          <t>Metamorfico_19</t>
        </is>
      </c>
      <c r="J331" t="inlineStr">
        <is>
          <t>Geologia_2024=Metamorfico_19 (no distingue hornfels/mármol)</t>
        </is>
      </c>
      <c r="K331" t="inlineStr">
        <is>
          <t>Mármol (hipótesis: sigla MDP)</t>
        </is>
      </c>
      <c r="L331" t="inlineStr">
        <is>
          <t>Metamorfico</t>
        </is>
      </c>
      <c r="M331" t="n">
        <v>364</v>
      </c>
      <c r="N331" t="n">
        <v>2184000</v>
      </c>
      <c r="O331" t="n">
        <v>6237702</v>
      </c>
      <c r="P331" t="inlineStr"/>
      <c r="Q331" t="n">
        <v>4.368</v>
      </c>
    </row>
    <row r="332">
      <c r="A332" t="inlineStr">
        <is>
          <t>MR24</t>
        </is>
      </c>
      <c r="B332" t="inlineStr">
        <is>
          <t>SIMULACIONES_MR2024_V3</t>
        </is>
      </c>
      <c r="C332" t="inlineStr">
        <is>
          <t>toneladas (6000 m3 x MR24_BD); pct sobre toneladas</t>
        </is>
      </c>
      <c r="D332" t="inlineStr">
        <is>
          <t>anio_LOM25_AMIN_LE2</t>
        </is>
      </c>
      <c r="E332" t="inlineStr">
        <is>
          <t>2045</t>
        </is>
      </c>
      <c r="F332" t="inlineStr">
        <is>
          <t>MR24_RT</t>
        </is>
      </c>
      <c r="G332" t="inlineStr">
        <is>
          <t>1</t>
        </is>
      </c>
      <c r="H332" t="inlineStr">
        <is>
          <t>Intrusivo</t>
        </is>
      </c>
      <c r="I332" t="inlineStr">
        <is>
          <t>RT1</t>
        </is>
      </c>
      <c r="J332" t="inlineStr">
        <is>
          <t>Geologia_2024=Intrusivo_1</t>
        </is>
      </c>
      <c r="K332" t="inlineStr">
        <is>
          <t>Intrusivo</t>
        </is>
      </c>
      <c r="L332" t="inlineStr">
        <is>
          <t>Intrusivo</t>
        </is>
      </c>
      <c r="M332" t="n">
        <v>3239</v>
      </c>
      <c r="N332" t="n">
        <v>19434000</v>
      </c>
      <c r="O332" t="n">
        <v>47999148</v>
      </c>
      <c r="P332" t="inlineStr"/>
      <c r="Q332" t="n">
        <v>38.264</v>
      </c>
    </row>
    <row r="333">
      <c r="A333" t="inlineStr">
        <is>
          <t>MR24</t>
        </is>
      </c>
      <c r="B333" t="inlineStr">
        <is>
          <t>SIMULACIONES_MR2024_V3</t>
        </is>
      </c>
      <c r="C333" t="inlineStr">
        <is>
          <t>toneladas (6000 m3 x MR24_BD); pct sobre toneladas</t>
        </is>
      </c>
      <c r="D333" t="inlineStr">
        <is>
          <t>anio_LOM25_AMIN_LE2</t>
        </is>
      </c>
      <c r="E333" t="inlineStr">
        <is>
          <t>2045</t>
        </is>
      </c>
      <c r="F333" t="inlineStr">
        <is>
          <t>MR24_RT</t>
        </is>
      </c>
      <c r="G333" t="inlineStr">
        <is>
          <t>2</t>
        </is>
      </c>
      <c r="H333" t="inlineStr">
        <is>
          <t>Intrusivo</t>
        </is>
      </c>
      <c r="I333" t="inlineStr">
        <is>
          <t>RT2</t>
        </is>
      </c>
      <c r="J333" t="inlineStr">
        <is>
          <t>Geologia_2024=Intrusivo_2</t>
        </is>
      </c>
      <c r="K333" t="inlineStr">
        <is>
          <t>Intrusivo</t>
        </is>
      </c>
      <c r="L333" t="inlineStr">
        <is>
          <t>Intrusivo</t>
        </is>
      </c>
      <c r="M333" t="n">
        <v>12</v>
      </c>
      <c r="N333" t="n">
        <v>72000</v>
      </c>
      <c r="O333" t="n">
        <v>195210</v>
      </c>
      <c r="P333" t="inlineStr"/>
      <c r="Q333" t="n">
        <v>0.156</v>
      </c>
    </row>
    <row r="334">
      <c r="A334" t="inlineStr">
        <is>
          <t>MR24</t>
        </is>
      </c>
      <c r="B334" t="inlineStr">
        <is>
          <t>SIMULACIONES_MR2024_V3</t>
        </is>
      </c>
      <c r="C334" t="inlineStr">
        <is>
          <t>toneladas (6000 m3 x MR24_BD); pct sobre toneladas</t>
        </is>
      </c>
      <c r="D334" t="inlineStr">
        <is>
          <t>anio_LOM25_AMIN_LE2</t>
        </is>
      </c>
      <c r="E334" t="inlineStr">
        <is>
          <t>2045</t>
        </is>
      </c>
      <c r="F334" t="inlineStr">
        <is>
          <t>MR24_RT</t>
        </is>
      </c>
      <c r="G334" t="inlineStr">
        <is>
          <t>13</t>
        </is>
      </c>
      <c r="H334" t="inlineStr">
        <is>
          <t>sin asignar</t>
        </is>
      </c>
      <c r="I334" t="inlineStr">
        <is>
          <t>Metamorfico_13</t>
        </is>
      </c>
      <c r="J334" t="inlineStr">
        <is>
          <t>Geologia_2024=Metamorfico_13 (no distingue hornfels/mármol)</t>
        </is>
      </c>
      <c r="K334" t="inlineStr">
        <is>
          <t>Hornfels (hipótesis: siglas HG, HGS, HC)</t>
        </is>
      </c>
      <c r="L334" t="inlineStr">
        <is>
          <t>Metamorfico</t>
        </is>
      </c>
      <c r="M334" t="n">
        <v>82</v>
      </c>
      <c r="N334" t="n">
        <v>492000</v>
      </c>
      <c r="O334" t="n">
        <v>1349562</v>
      </c>
      <c r="P334" t="inlineStr"/>
      <c r="Q334" t="n">
        <v>1.076</v>
      </c>
    </row>
    <row r="335">
      <c r="A335" t="inlineStr">
        <is>
          <t>MR24</t>
        </is>
      </c>
      <c r="B335" t="inlineStr">
        <is>
          <t>SIMULACIONES_MR2024_V3</t>
        </is>
      </c>
      <c r="C335" t="inlineStr">
        <is>
          <t>toneladas (6000 m3 x MR24_BD); pct sobre toneladas</t>
        </is>
      </c>
      <c r="D335" t="inlineStr">
        <is>
          <t>anio_LOM25_AMIN_LE2</t>
        </is>
      </c>
      <c r="E335" t="inlineStr">
        <is>
          <t>2045</t>
        </is>
      </c>
      <c r="F335" t="inlineStr">
        <is>
          <t>MR24_RT</t>
        </is>
      </c>
      <c r="G335" t="inlineStr">
        <is>
          <t>14</t>
        </is>
      </c>
      <c r="H335" t="inlineStr">
        <is>
          <t>sin asignar</t>
        </is>
      </c>
      <c r="I335" t="inlineStr">
        <is>
          <t>Metamorfico_14</t>
        </is>
      </c>
      <c r="J335" t="inlineStr">
        <is>
          <t>Geologia_2024=Metamorfico_14 (no distingue hornfels/mármol)</t>
        </is>
      </c>
      <c r="K335" t="inlineStr">
        <is>
          <t>Hornfels (hipótesis: siglas HBV, HGV, HCB, HDP; 'Diop. Hornfels'~HGV)</t>
        </is>
      </c>
      <c r="L335" t="inlineStr">
        <is>
          <t>Metamorfico</t>
        </is>
      </c>
      <c r="M335" t="n">
        <v>155</v>
      </c>
      <c r="N335" t="n">
        <v>930000</v>
      </c>
      <c r="O335" t="n">
        <v>2670600</v>
      </c>
      <c r="P335" t="inlineStr"/>
      <c r="Q335" t="n">
        <v>2.129</v>
      </c>
    </row>
    <row r="336">
      <c r="A336" t="inlineStr">
        <is>
          <t>MR24</t>
        </is>
      </c>
      <c r="B336" t="inlineStr">
        <is>
          <t>SIMULACIONES_MR2024_V3</t>
        </is>
      </c>
      <c r="C336" t="inlineStr">
        <is>
          <t>toneladas (6000 m3 x MR24_BD); pct sobre toneladas</t>
        </is>
      </c>
      <c r="D336" t="inlineStr">
        <is>
          <t>anio_LOM25_AMIN_LE2</t>
        </is>
      </c>
      <c r="E336" t="inlineStr">
        <is>
          <t>2045</t>
        </is>
      </c>
      <c r="F336" t="inlineStr">
        <is>
          <t>MR24_RT</t>
        </is>
      </c>
      <c r="G336" t="inlineStr">
        <is>
          <t>16</t>
        </is>
      </c>
      <c r="H336" t="inlineStr">
        <is>
          <t>sin asignar</t>
        </is>
      </c>
      <c r="I336" t="inlineStr">
        <is>
          <t>Metamorfico_16</t>
        </is>
      </c>
      <c r="J336" t="inlineStr">
        <is>
          <t>Geologia_2024=Metamorfico_16 (no distingue hornfels/mármol)</t>
        </is>
      </c>
      <c r="K336" t="inlineStr">
        <is>
          <t>Mármol (hipótesis: siglas MC, MG, MGS, MPA, MCGB; 'Marble'~MCGB)</t>
        </is>
      </c>
      <c r="L336" t="inlineStr">
        <is>
          <t>Metamorfico</t>
        </is>
      </c>
      <c r="M336" t="n">
        <v>4302</v>
      </c>
      <c r="N336" t="n">
        <v>25812000</v>
      </c>
      <c r="O336" t="n">
        <v>70174428</v>
      </c>
      <c r="P336" t="inlineStr"/>
      <c r="Q336" t="n">
        <v>55.942</v>
      </c>
    </row>
    <row r="337">
      <c r="A337" t="inlineStr">
        <is>
          <t>MR24</t>
        </is>
      </c>
      <c r="B337" t="inlineStr">
        <is>
          <t>SIMULACIONES_MR2024_V3</t>
        </is>
      </c>
      <c r="C337" t="inlineStr">
        <is>
          <t>toneladas (6000 m3 x MR24_BD); pct sobre toneladas</t>
        </is>
      </c>
      <c r="D337" t="inlineStr">
        <is>
          <t>anio_LOM25_AMIN_LE2</t>
        </is>
      </c>
      <c r="E337" t="inlineStr">
        <is>
          <t>2045</t>
        </is>
      </c>
      <c r="F337" t="inlineStr">
        <is>
          <t>MR24_RT</t>
        </is>
      </c>
      <c r="G337" t="inlineStr">
        <is>
          <t>19</t>
        </is>
      </c>
      <c r="H337" t="inlineStr">
        <is>
          <t>sin asignar</t>
        </is>
      </c>
      <c r="I337" t="inlineStr">
        <is>
          <t>Metamorfico_19</t>
        </is>
      </c>
      <c r="J337" t="inlineStr">
        <is>
          <t>Geologia_2024=Metamorfico_19 (no distingue hornfels/mármol)</t>
        </is>
      </c>
      <c r="K337" t="inlineStr">
        <is>
          <t>Mármol (hipótesis: sigla MDP)</t>
        </is>
      </c>
      <c r="L337" t="inlineStr">
        <is>
          <t>Metamorfico</t>
        </is>
      </c>
      <c r="M337" t="n">
        <v>173</v>
      </c>
      <c r="N337" t="n">
        <v>1038000</v>
      </c>
      <c r="O337" t="n">
        <v>2938506</v>
      </c>
      <c r="P337" t="inlineStr"/>
      <c r="Q337" t="n">
        <v>2.343</v>
      </c>
    </row>
    <row r="338">
      <c r="A338" t="inlineStr">
        <is>
          <t>MR24</t>
        </is>
      </c>
      <c r="B338" t="inlineStr">
        <is>
          <t>SIMULACIONES_MR2024_V3</t>
        </is>
      </c>
      <c r="C338" t="inlineStr">
        <is>
          <t>toneladas (6000 m3 x MR24_BD); pct sobre toneladas</t>
        </is>
      </c>
      <c r="D338" t="inlineStr">
        <is>
          <t>anio_LOM25_AMIN_LE2</t>
        </is>
      </c>
      <c r="E338" t="inlineStr">
        <is>
          <t>2045</t>
        </is>
      </c>
      <c r="F338" t="inlineStr">
        <is>
          <t>MR24_RT</t>
        </is>
      </c>
      <c r="G338" t="inlineStr">
        <is>
          <t>53</t>
        </is>
      </c>
      <c r="H338" t="inlineStr">
        <is>
          <t>sin asignar</t>
        </is>
      </c>
      <c r="I338" t="inlineStr">
        <is>
          <t>RT53</t>
        </is>
      </c>
      <c r="J338" t="inlineStr">
        <is>
          <t>código sin etiqueta en los datos</t>
        </is>
      </c>
      <c r="K338" t="inlineStr">
        <is>
          <t>sin hipótesis</t>
        </is>
      </c>
      <c r="L338" t="inlineStr">
        <is>
          <t>sin leyenda</t>
        </is>
      </c>
      <c r="M338" t="n">
        <v>7</v>
      </c>
      <c r="N338" t="n">
        <v>42000</v>
      </c>
      <c r="O338" t="n">
        <v>113706</v>
      </c>
      <c r="P338" t="inlineStr"/>
      <c r="Q338" t="n">
        <v>0.091</v>
      </c>
    </row>
    <row r="339">
      <c r="A339" t="inlineStr">
        <is>
          <t>MR24</t>
        </is>
      </c>
      <c r="B339" t="inlineStr">
        <is>
          <t>SIMULACIONES_MR2024_V3</t>
        </is>
      </c>
      <c r="C339" t="inlineStr">
        <is>
          <t>toneladas (6000 m3 x MR24_BD); pct sobre toneladas</t>
        </is>
      </c>
      <c r="D339" t="inlineStr">
        <is>
          <t>anio_LOM25_AMIN_LE2</t>
        </is>
      </c>
      <c r="E339" t="inlineStr">
        <is>
          <t>2046</t>
        </is>
      </c>
      <c r="F339" t="inlineStr">
        <is>
          <t>MR24_RT</t>
        </is>
      </c>
      <c r="G339" t="inlineStr">
        <is>
          <t>1</t>
        </is>
      </c>
      <c r="H339" t="inlineStr">
        <is>
          <t>Intrusivo</t>
        </is>
      </c>
      <c r="I339" t="inlineStr">
        <is>
          <t>RT1</t>
        </is>
      </c>
      <c r="J339" t="inlineStr">
        <is>
          <t>Geologia_2024=Intrusivo_1</t>
        </is>
      </c>
      <c r="K339" t="inlineStr">
        <is>
          <t>Intrusivo</t>
        </is>
      </c>
      <c r="L339" t="inlineStr">
        <is>
          <t>Intrusivo</t>
        </is>
      </c>
      <c r="M339" t="n">
        <v>3466</v>
      </c>
      <c r="N339" t="n">
        <v>20796000</v>
      </c>
      <c r="O339" t="n">
        <v>51185118</v>
      </c>
      <c r="P339" t="inlineStr"/>
      <c r="Q339" t="n">
        <v>63.269</v>
      </c>
    </row>
    <row r="340">
      <c r="A340" t="inlineStr">
        <is>
          <t>MR24</t>
        </is>
      </c>
      <c r="B340" t="inlineStr">
        <is>
          <t>SIMULACIONES_MR2024_V3</t>
        </is>
      </c>
      <c r="C340" t="inlineStr">
        <is>
          <t>toneladas (6000 m3 x MR24_BD); pct sobre toneladas</t>
        </is>
      </c>
      <c r="D340" t="inlineStr">
        <is>
          <t>anio_LOM25_AMIN_LE2</t>
        </is>
      </c>
      <c r="E340" t="inlineStr">
        <is>
          <t>2046</t>
        </is>
      </c>
      <c r="F340" t="inlineStr">
        <is>
          <t>MR24_RT</t>
        </is>
      </c>
      <c r="G340" t="inlineStr">
        <is>
          <t>2</t>
        </is>
      </c>
      <c r="H340" t="inlineStr">
        <is>
          <t>Intrusivo</t>
        </is>
      </c>
      <c r="I340" t="inlineStr">
        <is>
          <t>RT2</t>
        </is>
      </c>
      <c r="J340" t="inlineStr">
        <is>
          <t>Geologia_2024=Intrusivo_2</t>
        </is>
      </c>
      <c r="K340" t="inlineStr">
        <is>
          <t>Intrusivo</t>
        </is>
      </c>
      <c r="L340" t="inlineStr">
        <is>
          <t>Intrusivo</t>
        </is>
      </c>
      <c r="M340" t="n">
        <v>15</v>
      </c>
      <c r="N340" t="n">
        <v>90000</v>
      </c>
      <c r="O340" t="n">
        <v>245940</v>
      </c>
      <c r="P340" t="inlineStr"/>
      <c r="Q340" t="n">
        <v>0.304</v>
      </c>
    </row>
    <row r="341">
      <c r="A341" t="inlineStr">
        <is>
          <t>MR24</t>
        </is>
      </c>
      <c r="B341" t="inlineStr">
        <is>
          <t>SIMULACIONES_MR2024_V3</t>
        </is>
      </c>
      <c r="C341" t="inlineStr">
        <is>
          <t>toneladas (6000 m3 x MR24_BD); pct sobre toneladas</t>
        </is>
      </c>
      <c r="D341" t="inlineStr">
        <is>
          <t>anio_LOM25_AMIN_LE2</t>
        </is>
      </c>
      <c r="E341" t="inlineStr">
        <is>
          <t>2046</t>
        </is>
      </c>
      <c r="F341" t="inlineStr">
        <is>
          <t>MR24_RT</t>
        </is>
      </c>
      <c r="G341" t="inlineStr">
        <is>
          <t>13</t>
        </is>
      </c>
      <c r="H341" t="inlineStr">
        <is>
          <t>sin asignar</t>
        </is>
      </c>
      <c r="I341" t="inlineStr">
        <is>
          <t>Metamorfico_13</t>
        </is>
      </c>
      <c r="J341" t="inlineStr">
        <is>
          <t>Geologia_2024=Metamorfico_13 (no distingue hornfels/mármol)</t>
        </is>
      </c>
      <c r="K341" t="inlineStr">
        <is>
          <t>Hornfels (hipótesis: siglas HG, HGS, HC)</t>
        </is>
      </c>
      <c r="L341" t="inlineStr">
        <is>
          <t>Metamorfico</t>
        </is>
      </c>
      <c r="M341" t="n">
        <v>15</v>
      </c>
      <c r="N341" t="n">
        <v>90000</v>
      </c>
      <c r="O341" t="n">
        <v>247200</v>
      </c>
      <c r="P341" t="inlineStr"/>
      <c r="Q341" t="n">
        <v>0.306</v>
      </c>
    </row>
    <row r="342">
      <c r="A342" t="inlineStr">
        <is>
          <t>MR24</t>
        </is>
      </c>
      <c r="B342" t="inlineStr">
        <is>
          <t>SIMULACIONES_MR2024_V3</t>
        </is>
      </c>
      <c r="C342" t="inlineStr">
        <is>
          <t>toneladas (6000 m3 x MR24_BD); pct sobre toneladas</t>
        </is>
      </c>
      <c r="D342" t="inlineStr">
        <is>
          <t>anio_LOM25_AMIN_LE2</t>
        </is>
      </c>
      <c r="E342" t="inlineStr">
        <is>
          <t>2046</t>
        </is>
      </c>
      <c r="F342" t="inlineStr">
        <is>
          <t>MR24_RT</t>
        </is>
      </c>
      <c r="G342" t="inlineStr">
        <is>
          <t>14</t>
        </is>
      </c>
      <c r="H342" t="inlineStr">
        <is>
          <t>sin asignar</t>
        </is>
      </c>
      <c r="I342" t="inlineStr">
        <is>
          <t>Metamorfico_14</t>
        </is>
      </c>
      <c r="J342" t="inlineStr">
        <is>
          <t>Geologia_2024=Metamorfico_14 (no distingue hornfels/mármol)</t>
        </is>
      </c>
      <c r="K342" t="inlineStr">
        <is>
          <t>Hornfels (hipótesis: siglas HBV, HGV, HCB, HDP; 'Diop. Hornfels'~HGV)</t>
        </is>
      </c>
      <c r="L342" t="inlineStr">
        <is>
          <t>Metamorfico</t>
        </is>
      </c>
      <c r="M342" t="n">
        <v>2</v>
      </c>
      <c r="N342" t="n">
        <v>12000</v>
      </c>
      <c r="O342" t="n">
        <v>33864</v>
      </c>
      <c r="P342" t="inlineStr"/>
      <c r="Q342" t="n">
        <v>0.042</v>
      </c>
    </row>
    <row r="343">
      <c r="A343" t="inlineStr">
        <is>
          <t>MR24</t>
        </is>
      </c>
      <c r="B343" t="inlineStr">
        <is>
          <t>SIMULACIONES_MR2024_V3</t>
        </is>
      </c>
      <c r="C343" t="inlineStr">
        <is>
          <t>toneladas (6000 m3 x MR24_BD); pct sobre toneladas</t>
        </is>
      </c>
      <c r="D343" t="inlineStr">
        <is>
          <t>anio_LOM25_AMIN_LE2</t>
        </is>
      </c>
      <c r="E343" t="inlineStr">
        <is>
          <t>2046</t>
        </is>
      </c>
      <c r="F343" t="inlineStr">
        <is>
          <t>MR24_RT</t>
        </is>
      </c>
      <c r="G343" t="inlineStr">
        <is>
          <t>16</t>
        </is>
      </c>
      <c r="H343" t="inlineStr">
        <is>
          <t>sin asignar</t>
        </is>
      </c>
      <c r="I343" t="inlineStr">
        <is>
          <t>Metamorfico_16</t>
        </is>
      </c>
      <c r="J343" t="inlineStr">
        <is>
          <t>Geologia_2024=Metamorfico_16 (no distingue hornfels/mármol)</t>
        </is>
      </c>
      <c r="K343" t="inlineStr">
        <is>
          <t>Mármol (hipótesis: siglas MC, MG, MGS, MPA, MCGB; 'Marble'~MCGB)</t>
        </is>
      </c>
      <c r="L343" t="inlineStr">
        <is>
          <t>Metamorfico</t>
        </is>
      </c>
      <c r="M343" t="n">
        <v>1735</v>
      </c>
      <c r="N343" t="n">
        <v>10410000</v>
      </c>
      <c r="O343" t="n">
        <v>28259718</v>
      </c>
      <c r="P343" t="inlineStr"/>
      <c r="Q343" t="n">
        <v>34.931</v>
      </c>
    </row>
    <row r="344">
      <c r="A344" t="inlineStr">
        <is>
          <t>MR24</t>
        </is>
      </c>
      <c r="B344" t="inlineStr">
        <is>
          <t>SIMULACIONES_MR2024_V3</t>
        </is>
      </c>
      <c r="C344" t="inlineStr">
        <is>
          <t>toneladas (6000 m3 x MR24_BD); pct sobre toneladas</t>
        </is>
      </c>
      <c r="D344" t="inlineStr">
        <is>
          <t>anio_LOM25_AMIN_LE2</t>
        </is>
      </c>
      <c r="E344" t="inlineStr">
        <is>
          <t>2046</t>
        </is>
      </c>
      <c r="F344" t="inlineStr">
        <is>
          <t>MR24_RT</t>
        </is>
      </c>
      <c r="G344" t="inlineStr">
        <is>
          <t>19</t>
        </is>
      </c>
      <c r="H344" t="inlineStr">
        <is>
          <t>sin asignar</t>
        </is>
      </c>
      <c r="I344" t="inlineStr">
        <is>
          <t>Metamorfico_19</t>
        </is>
      </c>
      <c r="J344" t="inlineStr">
        <is>
          <t>Geologia_2024=Metamorfico_19 (no distingue hornfels/mármol)</t>
        </is>
      </c>
      <c r="K344" t="inlineStr">
        <is>
          <t>Mármol (hipótesis: sigla MDP)</t>
        </is>
      </c>
      <c r="L344" t="inlineStr">
        <is>
          <t>Metamorfico</t>
        </is>
      </c>
      <c r="M344" t="n">
        <v>53</v>
      </c>
      <c r="N344" t="n">
        <v>318000</v>
      </c>
      <c r="O344" t="n">
        <v>893898</v>
      </c>
      <c r="P344" t="inlineStr"/>
      <c r="Q344" t="n">
        <v>1.105</v>
      </c>
    </row>
    <row r="345">
      <c r="A345" t="inlineStr">
        <is>
          <t>MR24</t>
        </is>
      </c>
      <c r="B345" t="inlineStr">
        <is>
          <t>SIMULACIONES_MR2024_V3</t>
        </is>
      </c>
      <c r="C345" t="inlineStr">
        <is>
          <t>toneladas (6000 m3 x MR24_BD); pct sobre toneladas</t>
        </is>
      </c>
      <c r="D345" t="inlineStr">
        <is>
          <t>anio_LOM25_AMIN_LE2</t>
        </is>
      </c>
      <c r="E345" t="inlineStr">
        <is>
          <t>2046</t>
        </is>
      </c>
      <c r="F345" t="inlineStr">
        <is>
          <t>MR24_RT</t>
        </is>
      </c>
      <c r="G345" t="inlineStr">
        <is>
          <t>53</t>
        </is>
      </c>
      <c r="H345" t="inlineStr">
        <is>
          <t>sin asignar</t>
        </is>
      </c>
      <c r="I345" t="inlineStr">
        <is>
          <t>RT53</t>
        </is>
      </c>
      <c r="J345" t="inlineStr">
        <is>
          <t>código sin etiqueta en los datos</t>
        </is>
      </c>
      <c r="K345" t="inlineStr">
        <is>
          <t>sin hipótesis</t>
        </is>
      </c>
      <c r="L345" t="inlineStr">
        <is>
          <t>sin leyenda</t>
        </is>
      </c>
      <c r="M345" t="n">
        <v>2</v>
      </c>
      <c r="N345" t="n">
        <v>12000</v>
      </c>
      <c r="O345" t="n">
        <v>35106</v>
      </c>
      <c r="P345" t="inlineStr"/>
      <c r="Q345" t="n">
        <v>0.043</v>
      </c>
    </row>
    <row r="346">
      <c r="A346" t="inlineStr">
        <is>
          <t>MR24</t>
        </is>
      </c>
      <c r="B346" t="inlineStr">
        <is>
          <t>SIMULACIONES_MR2024_V3</t>
        </is>
      </c>
      <c r="C346" t="inlineStr">
        <is>
          <t>toneladas (6000 m3 x MR24_BD); pct sobre toneladas</t>
        </is>
      </c>
      <c r="D346" t="inlineStr">
        <is>
          <t>anio_LOM25_AMIN_LE2</t>
        </is>
      </c>
      <c r="E346" t="inlineStr">
        <is>
          <t>2047</t>
        </is>
      </c>
      <c r="F346" t="inlineStr">
        <is>
          <t>MR24_RT</t>
        </is>
      </c>
      <c r="G346" t="inlineStr">
        <is>
          <t>1</t>
        </is>
      </c>
      <c r="H346" t="inlineStr">
        <is>
          <t>Intrusivo</t>
        </is>
      </c>
      <c r="I346" t="inlineStr">
        <is>
          <t>RT1</t>
        </is>
      </c>
      <c r="J346" t="inlineStr">
        <is>
          <t>Geologia_2024=Intrusivo_1</t>
        </is>
      </c>
      <c r="K346" t="inlineStr">
        <is>
          <t>Intrusivo</t>
        </is>
      </c>
      <c r="L346" t="inlineStr">
        <is>
          <t>Intrusivo</t>
        </is>
      </c>
      <c r="M346" t="n">
        <v>3112</v>
      </c>
      <c r="N346" t="n">
        <v>18672000</v>
      </c>
      <c r="O346" t="n">
        <v>45454926</v>
      </c>
      <c r="P346" t="inlineStr"/>
      <c r="Q346" t="n">
        <v>78.38200000000001</v>
      </c>
    </row>
    <row r="347">
      <c r="A347" t="inlineStr">
        <is>
          <t>MR24</t>
        </is>
      </c>
      <c r="B347" t="inlineStr">
        <is>
          <t>SIMULACIONES_MR2024_V3</t>
        </is>
      </c>
      <c r="C347" t="inlineStr">
        <is>
          <t>toneladas (6000 m3 x MR24_BD); pct sobre toneladas</t>
        </is>
      </c>
      <c r="D347" t="inlineStr">
        <is>
          <t>anio_LOM25_AMIN_LE2</t>
        </is>
      </c>
      <c r="E347" t="inlineStr">
        <is>
          <t>2047</t>
        </is>
      </c>
      <c r="F347" t="inlineStr">
        <is>
          <t>MR24_RT</t>
        </is>
      </c>
      <c r="G347" t="inlineStr">
        <is>
          <t>2</t>
        </is>
      </c>
      <c r="H347" t="inlineStr">
        <is>
          <t>Intrusivo</t>
        </is>
      </c>
      <c r="I347" t="inlineStr">
        <is>
          <t>RT2</t>
        </is>
      </c>
      <c r="J347" t="inlineStr">
        <is>
          <t>Geologia_2024=Intrusivo_2</t>
        </is>
      </c>
      <c r="K347" t="inlineStr">
        <is>
          <t>Intrusivo</t>
        </is>
      </c>
      <c r="L347" t="inlineStr">
        <is>
          <t>Intrusivo</t>
        </is>
      </c>
      <c r="M347" t="n">
        <v>16</v>
      </c>
      <c r="N347" t="n">
        <v>96000</v>
      </c>
      <c r="O347" t="n">
        <v>253950</v>
      </c>
      <c r="P347" t="inlineStr"/>
      <c r="Q347" t="n">
        <v>0.438</v>
      </c>
    </row>
    <row r="348">
      <c r="A348" t="inlineStr">
        <is>
          <t>MR24</t>
        </is>
      </c>
      <c r="B348" t="inlineStr">
        <is>
          <t>SIMULACIONES_MR2024_V3</t>
        </is>
      </c>
      <c r="C348" t="inlineStr">
        <is>
          <t>toneladas (6000 m3 x MR24_BD); pct sobre toneladas</t>
        </is>
      </c>
      <c r="D348" t="inlineStr">
        <is>
          <t>anio_LOM25_AMIN_LE2</t>
        </is>
      </c>
      <c r="E348" t="inlineStr">
        <is>
          <t>2047</t>
        </is>
      </c>
      <c r="F348" t="inlineStr">
        <is>
          <t>MR24_RT</t>
        </is>
      </c>
      <c r="G348" t="inlineStr">
        <is>
          <t>16</t>
        </is>
      </c>
      <c r="H348" t="inlineStr">
        <is>
          <t>sin asignar</t>
        </is>
      </c>
      <c r="I348" t="inlineStr">
        <is>
          <t>Metamorfico_16</t>
        </is>
      </c>
      <c r="J348" t="inlineStr">
        <is>
          <t>Geologia_2024=Metamorfico_16 (no distingue hornfels/mármol)</t>
        </is>
      </c>
      <c r="K348" t="inlineStr">
        <is>
          <t>Mármol (hipótesis: siglas MC, MG, MGS, MPA, MCGB; 'Marble'~MCGB)</t>
        </is>
      </c>
      <c r="L348" t="inlineStr">
        <is>
          <t>Metamorfico</t>
        </is>
      </c>
      <c r="M348" t="n">
        <v>722</v>
      </c>
      <c r="N348" t="n">
        <v>4332000</v>
      </c>
      <c r="O348" t="n">
        <v>11786868</v>
      </c>
      <c r="P348" t="inlineStr"/>
      <c r="Q348" t="n">
        <v>20.325</v>
      </c>
    </row>
    <row r="349">
      <c r="A349" t="inlineStr">
        <is>
          <t>MR24</t>
        </is>
      </c>
      <c r="B349" t="inlineStr">
        <is>
          <t>SIMULACIONES_MR2024_V3</t>
        </is>
      </c>
      <c r="C349" t="inlineStr">
        <is>
          <t>toneladas (6000 m3 x MR24_BD); pct sobre toneladas</t>
        </is>
      </c>
      <c r="D349" t="inlineStr">
        <is>
          <t>anio_LOM25_AMIN_LE2</t>
        </is>
      </c>
      <c r="E349" t="inlineStr">
        <is>
          <t>2047</t>
        </is>
      </c>
      <c r="F349" t="inlineStr">
        <is>
          <t>MR24_RT</t>
        </is>
      </c>
      <c r="G349" t="inlineStr">
        <is>
          <t>19</t>
        </is>
      </c>
      <c r="H349" t="inlineStr">
        <is>
          <t>sin asignar</t>
        </is>
      </c>
      <c r="I349" t="inlineStr">
        <is>
          <t>Metamorfico_19</t>
        </is>
      </c>
      <c r="J349" t="inlineStr">
        <is>
          <t>Geologia_2024=Metamorfico_19 (no distingue hornfels/mármol)</t>
        </is>
      </c>
      <c r="K349" t="inlineStr">
        <is>
          <t>Mármol (hipótesis: sigla MDP)</t>
        </is>
      </c>
      <c r="L349" t="inlineStr">
        <is>
          <t>Metamorfico</t>
        </is>
      </c>
      <c r="M349" t="n">
        <v>10</v>
      </c>
      <c r="N349" t="n">
        <v>60000</v>
      </c>
      <c r="O349" t="n">
        <v>166944</v>
      </c>
      <c r="P349" t="inlineStr"/>
      <c r="Q349" t="n">
        <v>0.288</v>
      </c>
    </row>
    <row r="350">
      <c r="A350" t="inlineStr">
        <is>
          <t>MR24</t>
        </is>
      </c>
      <c r="B350" t="inlineStr">
        <is>
          <t>SIMULACIONES_MR2024_V3</t>
        </is>
      </c>
      <c r="C350" t="inlineStr">
        <is>
          <t>toneladas (6000 m3 x MR24_BD); pct sobre toneladas</t>
        </is>
      </c>
      <c r="D350" t="inlineStr">
        <is>
          <t>anio_LOM25_AMIN_LE2</t>
        </is>
      </c>
      <c r="E350" t="inlineStr">
        <is>
          <t>2047</t>
        </is>
      </c>
      <c r="F350" t="inlineStr">
        <is>
          <t>MR24_RT</t>
        </is>
      </c>
      <c r="G350" t="inlineStr">
        <is>
          <t>53</t>
        </is>
      </c>
      <c r="H350" t="inlineStr">
        <is>
          <t>sin asignar</t>
        </is>
      </c>
      <c r="I350" t="inlineStr">
        <is>
          <t>RT53</t>
        </is>
      </c>
      <c r="J350" t="inlineStr">
        <is>
          <t>código sin etiqueta en los datos</t>
        </is>
      </c>
      <c r="K350" t="inlineStr">
        <is>
          <t>sin hipótesis</t>
        </is>
      </c>
      <c r="L350" t="inlineStr">
        <is>
          <t>sin leyenda</t>
        </is>
      </c>
      <c r="M350" t="n">
        <v>20</v>
      </c>
      <c r="N350" t="n">
        <v>120000</v>
      </c>
      <c r="O350" t="n">
        <v>328692</v>
      </c>
      <c r="P350" t="inlineStr"/>
      <c r="Q350" t="n">
        <v>0.5669999999999999</v>
      </c>
    </row>
    <row r="351">
      <c r="A351" t="inlineStr">
        <is>
          <t>MR24</t>
        </is>
      </c>
      <c r="B351" t="inlineStr">
        <is>
          <t>SIMULACIONES_MR2024_V3</t>
        </is>
      </c>
      <c r="C351" t="inlineStr">
        <is>
          <t>toneladas (6000 m3 x MR24_BD); pct sobre toneladas</t>
        </is>
      </c>
      <c r="D351" t="inlineStr">
        <is>
          <t>anio_LOM25_AMIN_LE2</t>
        </is>
      </c>
      <c r="E351" t="inlineStr">
        <is>
          <t>2048</t>
        </is>
      </c>
      <c r="F351" t="inlineStr">
        <is>
          <t>MR24_RT</t>
        </is>
      </c>
      <c r="G351" t="inlineStr">
        <is>
          <t>1</t>
        </is>
      </c>
      <c r="H351" t="inlineStr">
        <is>
          <t>Intrusivo</t>
        </is>
      </c>
      <c r="I351" t="inlineStr">
        <is>
          <t>RT1</t>
        </is>
      </c>
      <c r="J351" t="inlineStr">
        <is>
          <t>Geologia_2024=Intrusivo_1</t>
        </is>
      </c>
      <c r="K351" t="inlineStr">
        <is>
          <t>Intrusivo</t>
        </is>
      </c>
      <c r="L351" t="inlineStr">
        <is>
          <t>Intrusivo</t>
        </is>
      </c>
      <c r="M351" t="n">
        <v>1619</v>
      </c>
      <c r="N351" t="n">
        <v>9714000</v>
      </c>
      <c r="O351" t="n">
        <v>23864562</v>
      </c>
      <c r="P351" t="inlineStr"/>
      <c r="Q351" t="n">
        <v>87.057</v>
      </c>
    </row>
    <row r="352">
      <c r="A352" t="inlineStr">
        <is>
          <t>MR24</t>
        </is>
      </c>
      <c r="B352" t="inlineStr">
        <is>
          <t>SIMULACIONES_MR2024_V3</t>
        </is>
      </c>
      <c r="C352" t="inlineStr">
        <is>
          <t>toneladas (6000 m3 x MR24_BD); pct sobre toneladas</t>
        </is>
      </c>
      <c r="D352" t="inlineStr">
        <is>
          <t>anio_LOM25_AMIN_LE2</t>
        </is>
      </c>
      <c r="E352" t="inlineStr">
        <is>
          <t>2048</t>
        </is>
      </c>
      <c r="F352" t="inlineStr">
        <is>
          <t>MR24_RT</t>
        </is>
      </c>
      <c r="G352" t="inlineStr">
        <is>
          <t>2</t>
        </is>
      </c>
      <c r="H352" t="inlineStr">
        <is>
          <t>Intrusivo</t>
        </is>
      </c>
      <c r="I352" t="inlineStr">
        <is>
          <t>RT2</t>
        </is>
      </c>
      <c r="J352" t="inlineStr">
        <is>
          <t>Geologia_2024=Intrusivo_2</t>
        </is>
      </c>
      <c r="K352" t="inlineStr">
        <is>
          <t>Intrusivo</t>
        </is>
      </c>
      <c r="L352" t="inlineStr">
        <is>
          <t>Intrusivo</t>
        </is>
      </c>
      <c r="M352" t="n">
        <v>32</v>
      </c>
      <c r="N352" t="n">
        <v>192000</v>
      </c>
      <c r="O352" t="n">
        <v>526980</v>
      </c>
      <c r="P352" t="inlineStr"/>
      <c r="Q352" t="n">
        <v>1.922</v>
      </c>
    </row>
    <row r="353">
      <c r="A353" t="inlineStr">
        <is>
          <t>MR24</t>
        </is>
      </c>
      <c r="B353" t="inlineStr">
        <is>
          <t>SIMULACIONES_MR2024_V3</t>
        </is>
      </c>
      <c r="C353" t="inlineStr">
        <is>
          <t>toneladas (6000 m3 x MR24_BD); pct sobre toneladas</t>
        </is>
      </c>
      <c r="D353" t="inlineStr">
        <is>
          <t>anio_LOM25_AMIN_LE2</t>
        </is>
      </c>
      <c r="E353" t="inlineStr">
        <is>
          <t>2048</t>
        </is>
      </c>
      <c r="F353" t="inlineStr">
        <is>
          <t>MR24_RT</t>
        </is>
      </c>
      <c r="G353" t="inlineStr">
        <is>
          <t>16</t>
        </is>
      </c>
      <c r="H353" t="inlineStr">
        <is>
          <t>sin asignar</t>
        </is>
      </c>
      <c r="I353" t="inlineStr">
        <is>
          <t>Metamorfico_16</t>
        </is>
      </c>
      <c r="J353" t="inlineStr">
        <is>
          <t>Geologia_2024=Metamorfico_16 (no distingue hornfels/mármol)</t>
        </is>
      </c>
      <c r="K353" t="inlineStr">
        <is>
          <t>Mármol (hipótesis: siglas MC, MG, MGS, MPA, MCGB; 'Marble'~MCGB)</t>
        </is>
      </c>
      <c r="L353" t="inlineStr">
        <is>
          <t>Metamorfico</t>
        </is>
      </c>
      <c r="M353" t="n">
        <v>184</v>
      </c>
      <c r="N353" t="n">
        <v>1104000</v>
      </c>
      <c r="O353" t="n">
        <v>3021078</v>
      </c>
      <c r="P353" t="inlineStr"/>
      <c r="Q353" t="n">
        <v>11.021</v>
      </c>
    </row>
    <row r="354">
      <c r="A354" t="inlineStr">
        <is>
          <t>MR24</t>
        </is>
      </c>
      <c r="B354" t="inlineStr">
        <is>
          <t>SIMULACIONES_MR2024_V3</t>
        </is>
      </c>
      <c r="C354" t="inlineStr">
        <is>
          <t>toneladas (6000 m3 x MR24_BD); pct sobre toneladas</t>
        </is>
      </c>
      <c r="D354" t="inlineStr">
        <is>
          <t>anio_LOM25_AMIN_LE2</t>
        </is>
      </c>
      <c r="E354" t="inlineStr">
        <is>
          <t>2049</t>
        </is>
      </c>
      <c r="F354" t="inlineStr">
        <is>
          <t>MR24_RT</t>
        </is>
      </c>
      <c r="G354" t="inlineStr">
        <is>
          <t>1</t>
        </is>
      </c>
      <c r="H354" t="inlineStr">
        <is>
          <t>Intrusivo</t>
        </is>
      </c>
      <c r="I354" t="inlineStr">
        <is>
          <t>RT1</t>
        </is>
      </c>
      <c r="J354" t="inlineStr">
        <is>
          <t>Geologia_2024=Intrusivo_1</t>
        </is>
      </c>
      <c r="K354" t="inlineStr">
        <is>
          <t>Intrusivo</t>
        </is>
      </c>
      <c r="L354" t="inlineStr">
        <is>
          <t>Intrusivo</t>
        </is>
      </c>
      <c r="M354" t="n">
        <v>163</v>
      </c>
      <c r="N354" t="n">
        <v>978000</v>
      </c>
      <c r="O354" t="n">
        <v>2383518</v>
      </c>
      <c r="P354" t="inlineStr"/>
      <c r="Q354" t="n">
        <v>90.726</v>
      </c>
    </row>
    <row r="355">
      <c r="A355" t="inlineStr">
        <is>
          <t>MR24</t>
        </is>
      </c>
      <c r="B355" t="inlineStr">
        <is>
          <t>SIMULACIONES_MR2024_V3</t>
        </is>
      </c>
      <c r="C355" t="inlineStr">
        <is>
          <t>toneladas (6000 m3 x MR24_BD); pct sobre toneladas</t>
        </is>
      </c>
      <c r="D355" t="inlineStr">
        <is>
          <t>anio_LOM25_AMIN_LE2</t>
        </is>
      </c>
      <c r="E355" t="inlineStr">
        <is>
          <t>2049</t>
        </is>
      </c>
      <c r="F355" t="inlineStr">
        <is>
          <t>MR24_RT</t>
        </is>
      </c>
      <c r="G355" t="inlineStr">
        <is>
          <t>2</t>
        </is>
      </c>
      <c r="H355" t="inlineStr">
        <is>
          <t>Intrusivo</t>
        </is>
      </c>
      <c r="I355" t="inlineStr">
        <is>
          <t>RT2</t>
        </is>
      </c>
      <c r="J355" t="inlineStr">
        <is>
          <t>Geologia_2024=Intrusivo_2</t>
        </is>
      </c>
      <c r="K355" t="inlineStr">
        <is>
          <t>Intrusivo</t>
        </is>
      </c>
      <c r="L355" t="inlineStr">
        <is>
          <t>Intrusivo</t>
        </is>
      </c>
      <c r="M355" t="n">
        <v>15</v>
      </c>
      <c r="N355" t="n">
        <v>90000</v>
      </c>
      <c r="O355" t="n">
        <v>243654</v>
      </c>
      <c r="P355" t="inlineStr"/>
      <c r="Q355" t="n">
        <v>9.273999999999999</v>
      </c>
    </row>
    <row r="356">
      <c r="A356" t="inlineStr">
        <is>
          <t>MR24</t>
        </is>
      </c>
      <c r="B356" t="inlineStr">
        <is>
          <t>SIMULACIONES_MR2024_V3</t>
        </is>
      </c>
      <c r="C356" t="inlineStr">
        <is>
          <t>toneladas (6000 m3 x MR24_BD); pct sobre toneladas</t>
        </is>
      </c>
      <c r="D356" t="inlineStr">
        <is>
          <t>anio_LOM25_AMIN_LE2</t>
        </is>
      </c>
      <c r="E356" t="inlineStr">
        <is>
          <t>sin dato</t>
        </is>
      </c>
      <c r="F356" t="inlineStr">
        <is>
          <t>MR24_RT</t>
        </is>
      </c>
      <c r="G356" t="inlineStr">
        <is>
          <t>1</t>
        </is>
      </c>
      <c r="H356" t="inlineStr">
        <is>
          <t>Intrusivo</t>
        </is>
      </c>
      <c r="I356" t="inlineStr">
        <is>
          <t>RT1</t>
        </is>
      </c>
      <c r="J356" t="inlineStr">
        <is>
          <t>Geologia_2024=Intrusivo_1</t>
        </is>
      </c>
      <c r="K356" t="inlineStr">
        <is>
          <t>Intrusivo</t>
        </is>
      </c>
      <c r="L356" t="inlineStr">
        <is>
          <t>Intrusivo</t>
        </is>
      </c>
      <c r="M356" t="n">
        <v>2210</v>
      </c>
      <c r="N356" t="n">
        <v>13260000</v>
      </c>
      <c r="O356" t="n">
        <v>32512650</v>
      </c>
      <c r="P356" t="inlineStr"/>
      <c r="Q356" t="n">
        <v>21.922</v>
      </c>
    </row>
    <row r="357">
      <c r="A357" t="inlineStr">
        <is>
          <t>MR24</t>
        </is>
      </c>
      <c r="B357" t="inlineStr">
        <is>
          <t>SIMULACIONES_MR2024_V3</t>
        </is>
      </c>
      <c r="C357" t="inlineStr">
        <is>
          <t>toneladas (6000 m3 x MR24_BD); pct sobre toneladas</t>
        </is>
      </c>
      <c r="D357" t="inlineStr">
        <is>
          <t>anio_LOM25_AMIN_LE2</t>
        </is>
      </c>
      <c r="E357" t="inlineStr">
        <is>
          <t>sin dato</t>
        </is>
      </c>
      <c r="F357" t="inlineStr">
        <is>
          <t>MR24_RT</t>
        </is>
      </c>
      <c r="G357" t="inlineStr">
        <is>
          <t>2</t>
        </is>
      </c>
      <c r="H357" t="inlineStr">
        <is>
          <t>Intrusivo</t>
        </is>
      </c>
      <c r="I357" t="inlineStr">
        <is>
          <t>RT2</t>
        </is>
      </c>
      <c r="J357" t="inlineStr">
        <is>
          <t>Geologia_2024=Intrusivo_2</t>
        </is>
      </c>
      <c r="K357" t="inlineStr">
        <is>
          <t>Intrusivo</t>
        </is>
      </c>
      <c r="L357" t="inlineStr">
        <is>
          <t>Intrusivo</t>
        </is>
      </c>
      <c r="M357" t="n">
        <v>67</v>
      </c>
      <c r="N357" t="n">
        <v>402000</v>
      </c>
      <c r="O357" t="n">
        <v>1072692</v>
      </c>
      <c r="P357" t="inlineStr"/>
      <c r="Q357" t="n">
        <v>0.723</v>
      </c>
    </row>
    <row r="358">
      <c r="A358" t="inlineStr">
        <is>
          <t>MR24</t>
        </is>
      </c>
      <c r="B358" t="inlineStr">
        <is>
          <t>SIMULACIONES_MR2024_V3</t>
        </is>
      </c>
      <c r="C358" t="inlineStr">
        <is>
          <t>toneladas (6000 m3 x MR24_BD); pct sobre toneladas</t>
        </is>
      </c>
      <c r="D358" t="inlineStr">
        <is>
          <t>anio_LOM25_AMIN_LE2</t>
        </is>
      </c>
      <c r="E358" t="inlineStr">
        <is>
          <t>sin dato</t>
        </is>
      </c>
      <c r="F358" t="inlineStr">
        <is>
          <t>MR24_RT</t>
        </is>
      </c>
      <c r="G358" t="inlineStr">
        <is>
          <t>10</t>
        </is>
      </c>
      <c r="H358" t="inlineStr">
        <is>
          <t>sin asignar</t>
        </is>
      </c>
      <c r="I358" t="inlineStr">
        <is>
          <t>Sedimentario_10</t>
        </is>
      </c>
      <c r="J358" t="inlineStr">
        <is>
          <t>Geologia_2024=Sedimentario_10 (no especifica caliza)</t>
        </is>
      </c>
      <c r="K358" t="inlineStr">
        <is>
          <t>Caliza (hipótesis: siglas C*)</t>
        </is>
      </c>
      <c r="L358" t="inlineStr">
        <is>
          <t>Sedimentario</t>
        </is>
      </c>
      <c r="M358" t="n">
        <v>992</v>
      </c>
      <c r="N358" t="n">
        <v>5952000</v>
      </c>
      <c r="O358" t="n">
        <v>16125510</v>
      </c>
      <c r="P358" t="inlineStr"/>
      <c r="Q358" t="n">
        <v>10.873</v>
      </c>
    </row>
    <row r="359">
      <c r="A359" t="inlineStr">
        <is>
          <t>MR24</t>
        </is>
      </c>
      <c r="B359" t="inlineStr">
        <is>
          <t>SIMULACIONES_MR2024_V3</t>
        </is>
      </c>
      <c r="C359" t="inlineStr">
        <is>
          <t>toneladas (6000 m3 x MR24_BD); pct sobre toneladas</t>
        </is>
      </c>
      <c r="D359" t="inlineStr">
        <is>
          <t>anio_LOM25_AMIN_LE2</t>
        </is>
      </c>
      <c r="E359" t="inlineStr">
        <is>
          <t>sin dato</t>
        </is>
      </c>
      <c r="F359" t="inlineStr">
        <is>
          <t>MR24_RT</t>
        </is>
      </c>
      <c r="G359" t="inlineStr">
        <is>
          <t>11</t>
        </is>
      </c>
      <c r="H359" t="inlineStr">
        <is>
          <t>sin asignar</t>
        </is>
      </c>
      <c r="I359" t="inlineStr">
        <is>
          <t>Sedimentario_11</t>
        </is>
      </c>
      <c r="J359" t="inlineStr">
        <is>
          <t>Geologia_2024=Sedimentario_11 (no especifica caliza)</t>
        </is>
      </c>
      <c r="K359" t="inlineStr">
        <is>
          <t>Caliza (hipótesis: Sedimentario; RT11~NUMEQ10, siglas C*)</t>
        </is>
      </c>
      <c r="L359" t="inlineStr">
        <is>
          <t>Sedimentario</t>
        </is>
      </c>
      <c r="M359" t="n">
        <v>1990</v>
      </c>
      <c r="N359" t="n">
        <v>11940000</v>
      </c>
      <c r="O359" t="n">
        <v>32294328</v>
      </c>
      <c r="P359" t="inlineStr"/>
      <c r="Q359" t="n">
        <v>21.775</v>
      </c>
    </row>
    <row r="360">
      <c r="A360" t="inlineStr">
        <is>
          <t>MR24</t>
        </is>
      </c>
      <c r="B360" t="inlineStr">
        <is>
          <t>SIMULACIONES_MR2024_V3</t>
        </is>
      </c>
      <c r="C360" t="inlineStr">
        <is>
          <t>toneladas (6000 m3 x MR24_BD); pct sobre toneladas</t>
        </is>
      </c>
      <c r="D360" t="inlineStr">
        <is>
          <t>anio_LOM25_AMIN_LE2</t>
        </is>
      </c>
      <c r="E360" t="inlineStr">
        <is>
          <t>sin dato</t>
        </is>
      </c>
      <c r="F360" t="inlineStr">
        <is>
          <t>MR24_RT</t>
        </is>
      </c>
      <c r="G360" t="inlineStr">
        <is>
          <t>13</t>
        </is>
      </c>
      <c r="H360" t="inlineStr">
        <is>
          <t>sin asignar</t>
        </is>
      </c>
      <c r="I360" t="inlineStr">
        <is>
          <t>Metamorfico_13</t>
        </is>
      </c>
      <c r="J360" t="inlineStr">
        <is>
          <t>Geologia_2024=Metamorfico_13 (no distingue hornfels/mármol)</t>
        </is>
      </c>
      <c r="K360" t="inlineStr">
        <is>
          <t>Hornfels (hipótesis: siglas HG, HGS, HC)</t>
        </is>
      </c>
      <c r="L360" t="inlineStr">
        <is>
          <t>Metamorfico</t>
        </is>
      </c>
      <c r="M360" t="n">
        <v>373</v>
      </c>
      <c r="N360" t="n">
        <v>2238000</v>
      </c>
      <c r="O360" t="n">
        <v>6032706</v>
      </c>
      <c r="P360" t="inlineStr"/>
      <c r="Q360" t="n">
        <v>4.068</v>
      </c>
    </row>
    <row r="361">
      <c r="A361" t="inlineStr">
        <is>
          <t>MR24</t>
        </is>
      </c>
      <c r="B361" t="inlineStr">
        <is>
          <t>SIMULACIONES_MR2024_V3</t>
        </is>
      </c>
      <c r="C361" t="inlineStr">
        <is>
          <t>toneladas (6000 m3 x MR24_BD); pct sobre toneladas</t>
        </is>
      </c>
      <c r="D361" t="inlineStr">
        <is>
          <t>anio_LOM25_AMIN_LE2</t>
        </is>
      </c>
      <c r="E361" t="inlineStr">
        <is>
          <t>sin dato</t>
        </is>
      </c>
      <c r="F361" t="inlineStr">
        <is>
          <t>MR24_RT</t>
        </is>
      </c>
      <c r="G361" t="inlineStr">
        <is>
          <t>14</t>
        </is>
      </c>
      <c r="H361" t="inlineStr">
        <is>
          <t>sin asignar</t>
        </is>
      </c>
      <c r="I361" t="inlineStr">
        <is>
          <t>Metamorfico_14</t>
        </is>
      </c>
      <c r="J361" t="inlineStr">
        <is>
          <t>Geologia_2024=Metamorfico_14 (no distingue hornfels/mármol)</t>
        </is>
      </c>
      <c r="K361" t="inlineStr">
        <is>
          <t>Hornfels (hipótesis: siglas HBV, HGV, HCB, HDP; 'Diop. Hornfels'~HGV)</t>
        </is>
      </c>
      <c r="L361" t="inlineStr">
        <is>
          <t>Metamorfico</t>
        </is>
      </c>
      <c r="M361" t="n">
        <v>12</v>
      </c>
      <c r="N361" t="n">
        <v>72000</v>
      </c>
      <c r="O361" t="n">
        <v>207048</v>
      </c>
      <c r="P361" t="inlineStr"/>
      <c r="Q361" t="n">
        <v>0.14</v>
      </c>
    </row>
    <row r="362">
      <c r="A362" t="inlineStr">
        <is>
          <t>MR24</t>
        </is>
      </c>
      <c r="B362" t="inlineStr">
        <is>
          <t>SIMULACIONES_MR2024_V3</t>
        </is>
      </c>
      <c r="C362" t="inlineStr">
        <is>
          <t>toneladas (6000 m3 x MR24_BD); pct sobre toneladas</t>
        </is>
      </c>
      <c r="D362" t="inlineStr">
        <is>
          <t>anio_LOM25_AMIN_LE2</t>
        </is>
      </c>
      <c r="E362" t="inlineStr">
        <is>
          <t>sin dato</t>
        </is>
      </c>
      <c r="F362" t="inlineStr">
        <is>
          <t>MR24_RT</t>
        </is>
      </c>
      <c r="G362" t="inlineStr">
        <is>
          <t>16</t>
        </is>
      </c>
      <c r="H362" t="inlineStr">
        <is>
          <t>sin asignar</t>
        </is>
      </c>
      <c r="I362" t="inlineStr">
        <is>
          <t>Metamorfico_16</t>
        </is>
      </c>
      <c r="J362" t="inlineStr">
        <is>
          <t>Geologia_2024=Metamorfico_16 (no distingue hornfels/mármol)</t>
        </is>
      </c>
      <c r="K362" t="inlineStr">
        <is>
          <t>Mármol (hipótesis: siglas MC, MG, MGS, MPA, MCGB; 'Marble'~MCGB)</t>
        </is>
      </c>
      <c r="L362" t="inlineStr">
        <is>
          <t>Metamorfico</t>
        </is>
      </c>
      <c r="M362" t="n">
        <v>3701</v>
      </c>
      <c r="N362" t="n">
        <v>22206000</v>
      </c>
      <c r="O362" t="n">
        <v>59897010</v>
      </c>
      <c r="P362" t="inlineStr"/>
      <c r="Q362" t="n">
        <v>40.386</v>
      </c>
    </row>
    <row r="363">
      <c r="A363" t="inlineStr">
        <is>
          <t>MR24</t>
        </is>
      </c>
      <c r="B363" t="inlineStr">
        <is>
          <t>SIMULACIONES_MR2024_V3</t>
        </is>
      </c>
      <c r="C363" t="inlineStr">
        <is>
          <t>toneladas (6000 m3 x MR24_BD); pct sobre toneladas</t>
        </is>
      </c>
      <c r="D363" t="inlineStr">
        <is>
          <t>anio_LOM25_AMIN_LE2</t>
        </is>
      </c>
      <c r="E363" t="inlineStr">
        <is>
          <t>sin dato</t>
        </is>
      </c>
      <c r="F363" t="inlineStr">
        <is>
          <t>MR24_RT</t>
        </is>
      </c>
      <c r="G363" t="inlineStr">
        <is>
          <t>19</t>
        </is>
      </c>
      <c r="H363" t="inlineStr">
        <is>
          <t>sin asignar</t>
        </is>
      </c>
      <c r="I363" t="inlineStr">
        <is>
          <t>Metamorfico_19</t>
        </is>
      </c>
      <c r="J363" t="inlineStr">
        <is>
          <t>Geologia_2024=Metamorfico_19 (no distingue hornfels/mármol)</t>
        </is>
      </c>
      <c r="K363" t="inlineStr">
        <is>
          <t>Mármol (hipótesis: sigla MDP)</t>
        </is>
      </c>
      <c r="L363" t="inlineStr">
        <is>
          <t>Metamorfico</t>
        </is>
      </c>
      <c r="M363" t="n">
        <v>10</v>
      </c>
      <c r="N363" t="n">
        <v>60000</v>
      </c>
      <c r="O363" t="n">
        <v>169560</v>
      </c>
      <c r="P363" t="inlineStr"/>
      <c r="Q363" t="n">
        <v>0.114</v>
      </c>
    </row>
    <row r="364">
      <c r="A364" t="inlineStr">
        <is>
          <t>MR24</t>
        </is>
      </c>
      <c r="B364" t="inlineStr">
        <is>
          <t>SIMULACIONES_MR2024_V3</t>
        </is>
      </c>
      <c r="C364" t="inlineStr">
        <is>
          <t>toneladas (6000 m3 x MR24_BD); pct sobre toneladas</t>
        </is>
      </c>
      <c r="D364" t="inlineStr">
        <is>
          <t>fase_LOM25_FASES_LE2</t>
        </is>
      </c>
      <c r="E364" t="inlineStr">
        <is>
          <t>10A</t>
        </is>
      </c>
      <c r="F364" t="inlineStr">
        <is>
          <t>MR24_RT</t>
        </is>
      </c>
      <c r="G364" t="inlineStr">
        <is>
          <t>1</t>
        </is>
      </c>
      <c r="H364" t="inlineStr">
        <is>
          <t>Intrusivo</t>
        </is>
      </c>
      <c r="I364" t="inlineStr">
        <is>
          <t>RT1</t>
        </is>
      </c>
      <c r="J364" t="inlineStr">
        <is>
          <t>Geologia_2024=Intrusivo_1</t>
        </is>
      </c>
      <c r="K364" t="inlineStr">
        <is>
          <t>Intrusivo</t>
        </is>
      </c>
      <c r="L364" t="inlineStr">
        <is>
          <t>Intrusivo</t>
        </is>
      </c>
      <c r="M364" t="n">
        <v>4707</v>
      </c>
      <c r="N364" t="n">
        <v>28242000</v>
      </c>
      <c r="O364" t="n">
        <v>69147726</v>
      </c>
      <c r="P364" t="inlineStr"/>
      <c r="Q364" t="n">
        <v>12.453</v>
      </c>
    </row>
    <row r="365">
      <c r="A365" t="inlineStr">
        <is>
          <t>MR24</t>
        </is>
      </c>
      <c r="B365" t="inlineStr">
        <is>
          <t>SIMULACIONES_MR2024_V3</t>
        </is>
      </c>
      <c r="C365" t="inlineStr">
        <is>
          <t>toneladas (6000 m3 x MR24_BD); pct sobre toneladas</t>
        </is>
      </c>
      <c r="D365" t="inlineStr">
        <is>
          <t>fase_LOM25_FASES_LE2</t>
        </is>
      </c>
      <c r="E365" t="inlineStr">
        <is>
          <t>10A</t>
        </is>
      </c>
      <c r="F365" t="inlineStr">
        <is>
          <t>MR24_RT</t>
        </is>
      </c>
      <c r="G365" t="inlineStr">
        <is>
          <t>2</t>
        </is>
      </c>
      <c r="H365" t="inlineStr">
        <is>
          <t>Intrusivo</t>
        </is>
      </c>
      <c r="I365" t="inlineStr">
        <is>
          <t>RT2</t>
        </is>
      </c>
      <c r="J365" t="inlineStr">
        <is>
          <t>Geologia_2024=Intrusivo_2</t>
        </is>
      </c>
      <c r="K365" t="inlineStr">
        <is>
          <t>Intrusivo</t>
        </is>
      </c>
      <c r="L365" t="inlineStr">
        <is>
          <t>Intrusivo</t>
        </is>
      </c>
      <c r="M365" t="n">
        <v>106</v>
      </c>
      <c r="N365" t="n">
        <v>636000</v>
      </c>
      <c r="O365" t="n">
        <v>1718082</v>
      </c>
      <c r="P365" t="inlineStr"/>
      <c r="Q365" t="n">
        <v>0.309</v>
      </c>
    </row>
    <row r="366">
      <c r="A366" t="inlineStr">
        <is>
          <t>MR24</t>
        </is>
      </c>
      <c r="B366" t="inlineStr">
        <is>
          <t>SIMULACIONES_MR2024_V3</t>
        </is>
      </c>
      <c r="C366" t="inlineStr">
        <is>
          <t>toneladas (6000 m3 x MR24_BD); pct sobre toneladas</t>
        </is>
      </c>
      <c r="D366" t="inlineStr">
        <is>
          <t>fase_LOM25_FASES_LE2</t>
        </is>
      </c>
      <c r="E366" t="inlineStr">
        <is>
          <t>10A</t>
        </is>
      </c>
      <c r="F366" t="inlineStr">
        <is>
          <t>MR24_RT</t>
        </is>
      </c>
      <c r="G366" t="inlineStr">
        <is>
          <t>10</t>
        </is>
      </c>
      <c r="H366" t="inlineStr">
        <is>
          <t>sin asignar</t>
        </is>
      </c>
      <c r="I366" t="inlineStr">
        <is>
          <t>Sedimentario_10</t>
        </is>
      </c>
      <c r="J366" t="inlineStr">
        <is>
          <t>Geologia_2024=Sedimentario_10 (no especifica caliza)</t>
        </is>
      </c>
      <c r="K366" t="inlineStr">
        <is>
          <t>Caliza (hipótesis: siglas C*)</t>
        </is>
      </c>
      <c r="L366" t="inlineStr">
        <is>
          <t>Sedimentario</t>
        </is>
      </c>
      <c r="M366" t="n">
        <v>2387</v>
      </c>
      <c r="N366" t="n">
        <v>14322000</v>
      </c>
      <c r="O366" t="n">
        <v>38659704</v>
      </c>
      <c r="P366" t="inlineStr"/>
      <c r="Q366" t="n">
        <v>6.962</v>
      </c>
    </row>
    <row r="367">
      <c r="A367" t="inlineStr">
        <is>
          <t>MR24</t>
        </is>
      </c>
      <c r="B367" t="inlineStr">
        <is>
          <t>SIMULACIONES_MR2024_V3</t>
        </is>
      </c>
      <c r="C367" t="inlineStr">
        <is>
          <t>toneladas (6000 m3 x MR24_BD); pct sobre toneladas</t>
        </is>
      </c>
      <c r="D367" t="inlineStr">
        <is>
          <t>fase_LOM25_FASES_LE2</t>
        </is>
      </c>
      <c r="E367" t="inlineStr">
        <is>
          <t>10A</t>
        </is>
      </c>
      <c r="F367" t="inlineStr">
        <is>
          <t>MR24_RT</t>
        </is>
      </c>
      <c r="G367" t="inlineStr">
        <is>
          <t>11</t>
        </is>
      </c>
      <c r="H367" t="inlineStr">
        <is>
          <t>sin asignar</t>
        </is>
      </c>
      <c r="I367" t="inlineStr">
        <is>
          <t>Sedimentario_11</t>
        </is>
      </c>
      <c r="J367" t="inlineStr">
        <is>
          <t>Geologia_2024=Sedimentario_11 (no especifica caliza)</t>
        </is>
      </c>
      <c r="K367" t="inlineStr">
        <is>
          <t>Caliza (hipótesis: Sedimentario; RT11~NUMEQ10, siglas C*)</t>
        </is>
      </c>
      <c r="L367" t="inlineStr">
        <is>
          <t>Sedimentario</t>
        </is>
      </c>
      <c r="M367" t="n">
        <v>1494</v>
      </c>
      <c r="N367" t="n">
        <v>8964000</v>
      </c>
      <c r="O367" t="n">
        <v>24242808</v>
      </c>
      <c r="P367" t="inlineStr"/>
      <c r="Q367" t="n">
        <v>4.366</v>
      </c>
    </row>
    <row r="368">
      <c r="A368" t="inlineStr">
        <is>
          <t>MR24</t>
        </is>
      </c>
      <c r="B368" t="inlineStr">
        <is>
          <t>SIMULACIONES_MR2024_V3</t>
        </is>
      </c>
      <c r="C368" t="inlineStr">
        <is>
          <t>toneladas (6000 m3 x MR24_BD); pct sobre toneladas</t>
        </is>
      </c>
      <c r="D368" t="inlineStr">
        <is>
          <t>fase_LOM25_FASES_LE2</t>
        </is>
      </c>
      <c r="E368" t="inlineStr">
        <is>
          <t>10A</t>
        </is>
      </c>
      <c r="F368" t="inlineStr">
        <is>
          <t>MR24_RT</t>
        </is>
      </c>
      <c r="G368" t="inlineStr">
        <is>
          <t>13</t>
        </is>
      </c>
      <c r="H368" t="inlineStr">
        <is>
          <t>sin asignar</t>
        </is>
      </c>
      <c r="I368" t="inlineStr">
        <is>
          <t>Metamorfico_13</t>
        </is>
      </c>
      <c r="J368" t="inlineStr">
        <is>
          <t>Geologia_2024=Metamorfico_13 (no distingue hornfels/mármol)</t>
        </is>
      </c>
      <c r="K368" t="inlineStr">
        <is>
          <t>Hornfels (hipótesis: siglas HG, HGS, HC)</t>
        </is>
      </c>
      <c r="L368" t="inlineStr">
        <is>
          <t>Metamorfico</t>
        </is>
      </c>
      <c r="M368" t="n">
        <v>2055</v>
      </c>
      <c r="N368" t="n">
        <v>12330000</v>
      </c>
      <c r="O368" t="n">
        <v>33247632</v>
      </c>
      <c r="P368" t="inlineStr"/>
      <c r="Q368" t="n">
        <v>5.987</v>
      </c>
    </row>
    <row r="369">
      <c r="A369" t="inlineStr">
        <is>
          <t>MR24</t>
        </is>
      </c>
      <c r="B369" t="inlineStr">
        <is>
          <t>SIMULACIONES_MR2024_V3</t>
        </is>
      </c>
      <c r="C369" t="inlineStr">
        <is>
          <t>toneladas (6000 m3 x MR24_BD); pct sobre toneladas</t>
        </is>
      </c>
      <c r="D369" t="inlineStr">
        <is>
          <t>fase_LOM25_FASES_LE2</t>
        </is>
      </c>
      <c r="E369" t="inlineStr">
        <is>
          <t>10A</t>
        </is>
      </c>
      <c r="F369" t="inlineStr">
        <is>
          <t>MR24_RT</t>
        </is>
      </c>
      <c r="G369" t="inlineStr">
        <is>
          <t>14</t>
        </is>
      </c>
      <c r="H369" t="inlineStr">
        <is>
          <t>sin asignar</t>
        </is>
      </c>
      <c r="I369" t="inlineStr">
        <is>
          <t>Metamorfico_14</t>
        </is>
      </c>
      <c r="J369" t="inlineStr">
        <is>
          <t>Geologia_2024=Metamorfico_14 (no distingue hornfels/mármol)</t>
        </is>
      </c>
      <c r="K369" t="inlineStr">
        <is>
          <t>Hornfels (hipótesis: siglas HBV, HGV, HCB, HDP; 'Diop. Hornfels'~HGV)</t>
        </is>
      </c>
      <c r="L369" t="inlineStr">
        <is>
          <t>Metamorfico</t>
        </is>
      </c>
      <c r="M369" t="n">
        <v>551</v>
      </c>
      <c r="N369" t="n">
        <v>3306000</v>
      </c>
      <c r="O369" t="n">
        <v>9470472</v>
      </c>
      <c r="P369" t="inlineStr"/>
      <c r="Q369" t="n">
        <v>1.706</v>
      </c>
    </row>
    <row r="370">
      <c r="A370" t="inlineStr">
        <is>
          <t>MR24</t>
        </is>
      </c>
      <c r="B370" t="inlineStr">
        <is>
          <t>SIMULACIONES_MR2024_V3</t>
        </is>
      </c>
      <c r="C370" t="inlineStr">
        <is>
          <t>toneladas (6000 m3 x MR24_BD); pct sobre toneladas</t>
        </is>
      </c>
      <c r="D370" t="inlineStr">
        <is>
          <t>fase_LOM25_FASES_LE2</t>
        </is>
      </c>
      <c r="E370" t="inlineStr">
        <is>
          <t>10A</t>
        </is>
      </c>
      <c r="F370" t="inlineStr">
        <is>
          <t>MR24_RT</t>
        </is>
      </c>
      <c r="G370" t="inlineStr">
        <is>
          <t>16</t>
        </is>
      </c>
      <c r="H370" t="inlineStr">
        <is>
          <t>sin asignar</t>
        </is>
      </c>
      <c r="I370" t="inlineStr">
        <is>
          <t>Metamorfico_16</t>
        </is>
      </c>
      <c r="J370" t="inlineStr">
        <is>
          <t>Geologia_2024=Metamorfico_16 (no distingue hornfels/mármol)</t>
        </is>
      </c>
      <c r="K370" t="inlineStr">
        <is>
          <t>Mármol (hipótesis: siglas MC, MG, MGS, MPA, MCGB; 'Marble'~MCGB)</t>
        </is>
      </c>
      <c r="L370" t="inlineStr">
        <is>
          <t>Metamorfico</t>
        </is>
      </c>
      <c r="M370" t="n">
        <v>22087</v>
      </c>
      <c r="N370" t="n">
        <v>132522000</v>
      </c>
      <c r="O370" t="n">
        <v>358272054</v>
      </c>
      <c r="P370" t="inlineStr"/>
      <c r="Q370" t="n">
        <v>64.52</v>
      </c>
    </row>
    <row r="371">
      <c r="A371" t="inlineStr">
        <is>
          <t>MR24</t>
        </is>
      </c>
      <c r="B371" t="inlineStr">
        <is>
          <t>SIMULACIONES_MR2024_V3</t>
        </is>
      </c>
      <c r="C371" t="inlineStr">
        <is>
          <t>toneladas (6000 m3 x MR24_BD); pct sobre toneladas</t>
        </is>
      </c>
      <c r="D371" t="inlineStr">
        <is>
          <t>fase_LOM25_FASES_LE2</t>
        </is>
      </c>
      <c r="E371" t="inlineStr">
        <is>
          <t>10A</t>
        </is>
      </c>
      <c r="F371" t="inlineStr">
        <is>
          <t>MR24_RT</t>
        </is>
      </c>
      <c r="G371" t="inlineStr">
        <is>
          <t>19</t>
        </is>
      </c>
      <c r="H371" t="inlineStr">
        <is>
          <t>sin asignar</t>
        </is>
      </c>
      <c r="I371" t="inlineStr">
        <is>
          <t>Metamorfico_19</t>
        </is>
      </c>
      <c r="J371" t="inlineStr">
        <is>
          <t>Geologia_2024=Metamorfico_19 (no distingue hornfels/mármol)</t>
        </is>
      </c>
      <c r="K371" t="inlineStr">
        <is>
          <t>Mármol (hipótesis: sigla MDP)</t>
        </is>
      </c>
      <c r="L371" t="inlineStr">
        <is>
          <t>Metamorfico</t>
        </is>
      </c>
      <c r="M371" t="n">
        <v>1137</v>
      </c>
      <c r="N371" t="n">
        <v>6822000</v>
      </c>
      <c r="O371" t="n">
        <v>19459014</v>
      </c>
      <c r="P371" t="inlineStr"/>
      <c r="Q371" t="n">
        <v>3.504</v>
      </c>
    </row>
    <row r="372">
      <c r="A372" t="inlineStr">
        <is>
          <t>MR24</t>
        </is>
      </c>
      <c r="B372" t="inlineStr">
        <is>
          <t>SIMULACIONES_MR2024_V3</t>
        </is>
      </c>
      <c r="C372" t="inlineStr">
        <is>
          <t>toneladas (6000 m3 x MR24_BD); pct sobre toneladas</t>
        </is>
      </c>
      <c r="D372" t="inlineStr">
        <is>
          <t>fase_LOM25_FASES_LE2</t>
        </is>
      </c>
      <c r="E372" t="inlineStr">
        <is>
          <t>10A</t>
        </is>
      </c>
      <c r="F372" t="inlineStr">
        <is>
          <t>MR24_RT</t>
        </is>
      </c>
      <c r="G372" t="inlineStr">
        <is>
          <t>53</t>
        </is>
      </c>
      <c r="H372" t="inlineStr">
        <is>
          <t>sin asignar</t>
        </is>
      </c>
      <c r="I372" t="inlineStr">
        <is>
          <t>RT53</t>
        </is>
      </c>
      <c r="J372" t="inlineStr">
        <is>
          <t>código sin etiqueta en los datos</t>
        </is>
      </c>
      <c r="K372" t="inlineStr">
        <is>
          <t>sin hipótesis</t>
        </is>
      </c>
      <c r="L372" t="inlineStr">
        <is>
          <t>sin leyenda</t>
        </is>
      </c>
      <c r="M372" t="n">
        <v>67</v>
      </c>
      <c r="N372" t="n">
        <v>402000</v>
      </c>
      <c r="O372" t="n">
        <v>1070412</v>
      </c>
      <c r="P372" t="inlineStr"/>
      <c r="Q372" t="n">
        <v>0.193</v>
      </c>
    </row>
    <row r="373">
      <c r="A373" t="inlineStr">
        <is>
          <t>MR24</t>
        </is>
      </c>
      <c r="B373" t="inlineStr">
        <is>
          <t>SIMULACIONES_MR2024_V3</t>
        </is>
      </c>
      <c r="C373" t="inlineStr">
        <is>
          <t>toneladas (6000 m3 x MR24_BD); pct sobre toneladas</t>
        </is>
      </c>
      <c r="D373" t="inlineStr">
        <is>
          <t>fase_LOM25_FASES_LE2</t>
        </is>
      </c>
      <c r="E373" t="inlineStr">
        <is>
          <t>10B</t>
        </is>
      </c>
      <c r="F373" t="inlineStr">
        <is>
          <t>MR24_RT</t>
        </is>
      </c>
      <c r="G373" t="inlineStr">
        <is>
          <t>1</t>
        </is>
      </c>
      <c r="H373" t="inlineStr">
        <is>
          <t>Intrusivo</t>
        </is>
      </c>
      <c r="I373" t="inlineStr">
        <is>
          <t>RT1</t>
        </is>
      </c>
      <c r="J373" t="inlineStr">
        <is>
          <t>Geologia_2024=Intrusivo_1</t>
        </is>
      </c>
      <c r="K373" t="inlineStr">
        <is>
          <t>Intrusivo</t>
        </is>
      </c>
      <c r="L373" t="inlineStr">
        <is>
          <t>Intrusivo</t>
        </is>
      </c>
      <c r="M373" t="n">
        <v>4397</v>
      </c>
      <c r="N373" t="n">
        <v>26382000</v>
      </c>
      <c r="O373" t="n">
        <v>64821072</v>
      </c>
      <c r="P373" t="inlineStr"/>
      <c r="Q373" t="n">
        <v>31.083</v>
      </c>
    </row>
    <row r="374">
      <c r="A374" t="inlineStr">
        <is>
          <t>MR24</t>
        </is>
      </c>
      <c r="B374" t="inlineStr">
        <is>
          <t>SIMULACIONES_MR2024_V3</t>
        </is>
      </c>
      <c r="C374" t="inlineStr">
        <is>
          <t>toneladas (6000 m3 x MR24_BD); pct sobre toneladas</t>
        </is>
      </c>
      <c r="D374" t="inlineStr">
        <is>
          <t>fase_LOM25_FASES_LE2</t>
        </is>
      </c>
      <c r="E374" t="inlineStr">
        <is>
          <t>10B</t>
        </is>
      </c>
      <c r="F374" t="inlineStr">
        <is>
          <t>MR24_RT</t>
        </is>
      </c>
      <c r="G374" t="inlineStr">
        <is>
          <t>2</t>
        </is>
      </c>
      <c r="H374" t="inlineStr">
        <is>
          <t>Intrusivo</t>
        </is>
      </c>
      <c r="I374" t="inlineStr">
        <is>
          <t>RT2</t>
        </is>
      </c>
      <c r="J374" t="inlineStr">
        <is>
          <t>Geologia_2024=Intrusivo_2</t>
        </is>
      </c>
      <c r="K374" t="inlineStr">
        <is>
          <t>Intrusivo</t>
        </is>
      </c>
      <c r="L374" t="inlineStr">
        <is>
          <t>Intrusivo</t>
        </is>
      </c>
      <c r="M374" t="n">
        <v>7</v>
      </c>
      <c r="N374" t="n">
        <v>42000</v>
      </c>
      <c r="O374" t="n">
        <v>115200</v>
      </c>
      <c r="P374" t="inlineStr"/>
      <c r="Q374" t="n">
        <v>0.055</v>
      </c>
    </row>
    <row r="375">
      <c r="A375" t="inlineStr">
        <is>
          <t>MR24</t>
        </is>
      </c>
      <c r="B375" t="inlineStr">
        <is>
          <t>SIMULACIONES_MR2024_V3</t>
        </is>
      </c>
      <c r="C375" t="inlineStr">
        <is>
          <t>toneladas (6000 m3 x MR24_BD); pct sobre toneladas</t>
        </is>
      </c>
      <c r="D375" t="inlineStr">
        <is>
          <t>fase_LOM25_FASES_LE2</t>
        </is>
      </c>
      <c r="E375" t="inlineStr">
        <is>
          <t>10B</t>
        </is>
      </c>
      <c r="F375" t="inlineStr">
        <is>
          <t>MR24_RT</t>
        </is>
      </c>
      <c r="G375" t="inlineStr">
        <is>
          <t>10</t>
        </is>
      </c>
      <c r="H375" t="inlineStr">
        <is>
          <t>sin asignar</t>
        </is>
      </c>
      <c r="I375" t="inlineStr">
        <is>
          <t>Sedimentario_10</t>
        </is>
      </c>
      <c r="J375" t="inlineStr">
        <is>
          <t>Geologia_2024=Sedimentario_10 (no especifica caliza)</t>
        </is>
      </c>
      <c r="K375" t="inlineStr">
        <is>
          <t>Caliza (hipótesis: siglas C*)</t>
        </is>
      </c>
      <c r="L375" t="inlineStr">
        <is>
          <t>Sedimentario</t>
        </is>
      </c>
      <c r="M375" t="n">
        <v>910</v>
      </c>
      <c r="N375" t="n">
        <v>5460000</v>
      </c>
      <c r="O375" t="n">
        <v>14796828</v>
      </c>
      <c r="P375" t="inlineStr"/>
      <c r="Q375" t="n">
        <v>7.095</v>
      </c>
    </row>
    <row r="376">
      <c r="A376" t="inlineStr">
        <is>
          <t>MR24</t>
        </is>
      </c>
      <c r="B376" t="inlineStr">
        <is>
          <t>SIMULACIONES_MR2024_V3</t>
        </is>
      </c>
      <c r="C376" t="inlineStr">
        <is>
          <t>toneladas (6000 m3 x MR24_BD); pct sobre toneladas</t>
        </is>
      </c>
      <c r="D376" t="inlineStr">
        <is>
          <t>fase_LOM25_FASES_LE2</t>
        </is>
      </c>
      <c r="E376" t="inlineStr">
        <is>
          <t>10B</t>
        </is>
      </c>
      <c r="F376" t="inlineStr">
        <is>
          <t>MR24_RT</t>
        </is>
      </c>
      <c r="G376" t="inlineStr">
        <is>
          <t>11</t>
        </is>
      </c>
      <c r="H376" t="inlineStr">
        <is>
          <t>sin asignar</t>
        </is>
      </c>
      <c r="I376" t="inlineStr">
        <is>
          <t>Sedimentario_11</t>
        </is>
      </c>
      <c r="J376" t="inlineStr">
        <is>
          <t>Geologia_2024=Sedimentario_11 (no especifica caliza)</t>
        </is>
      </c>
      <c r="K376" t="inlineStr">
        <is>
          <t>Caliza (hipótesis: Sedimentario; RT11~NUMEQ10, siglas C*)</t>
        </is>
      </c>
      <c r="L376" t="inlineStr">
        <is>
          <t>Sedimentario</t>
        </is>
      </c>
      <c r="M376" t="n">
        <v>115</v>
      </c>
      <c r="N376" t="n">
        <v>690000</v>
      </c>
      <c r="O376" t="n">
        <v>1869138</v>
      </c>
      <c r="P376" t="inlineStr"/>
      <c r="Q376" t="n">
        <v>0.896</v>
      </c>
    </row>
    <row r="377">
      <c r="A377" t="inlineStr">
        <is>
          <t>MR24</t>
        </is>
      </c>
      <c r="B377" t="inlineStr">
        <is>
          <t>SIMULACIONES_MR2024_V3</t>
        </is>
      </c>
      <c r="C377" t="inlineStr">
        <is>
          <t>toneladas (6000 m3 x MR24_BD); pct sobre toneladas</t>
        </is>
      </c>
      <c r="D377" t="inlineStr">
        <is>
          <t>fase_LOM25_FASES_LE2</t>
        </is>
      </c>
      <c r="E377" t="inlineStr">
        <is>
          <t>10B</t>
        </is>
      </c>
      <c r="F377" t="inlineStr">
        <is>
          <t>MR24_RT</t>
        </is>
      </c>
      <c r="G377" t="inlineStr">
        <is>
          <t>13</t>
        </is>
      </c>
      <c r="H377" t="inlineStr">
        <is>
          <t>sin asignar</t>
        </is>
      </c>
      <c r="I377" t="inlineStr">
        <is>
          <t>Metamorfico_13</t>
        </is>
      </c>
      <c r="J377" t="inlineStr">
        <is>
          <t>Geologia_2024=Metamorfico_13 (no distingue hornfels/mármol)</t>
        </is>
      </c>
      <c r="K377" t="inlineStr">
        <is>
          <t>Hornfels (hipótesis: siglas HG, HGS, HC)</t>
        </is>
      </c>
      <c r="L377" t="inlineStr">
        <is>
          <t>Metamorfico</t>
        </is>
      </c>
      <c r="M377" t="n">
        <v>2273</v>
      </c>
      <c r="N377" t="n">
        <v>13638000</v>
      </c>
      <c r="O377" t="n">
        <v>37113240</v>
      </c>
      <c r="P377" t="inlineStr"/>
      <c r="Q377" t="n">
        <v>17.797</v>
      </c>
    </row>
    <row r="378">
      <c r="A378" t="inlineStr">
        <is>
          <t>MR24</t>
        </is>
      </c>
      <c r="B378" t="inlineStr">
        <is>
          <t>SIMULACIONES_MR2024_V3</t>
        </is>
      </c>
      <c r="C378" t="inlineStr">
        <is>
          <t>toneladas (6000 m3 x MR24_BD); pct sobre toneladas</t>
        </is>
      </c>
      <c r="D378" t="inlineStr">
        <is>
          <t>fase_LOM25_FASES_LE2</t>
        </is>
      </c>
      <c r="E378" t="inlineStr">
        <is>
          <t>10B</t>
        </is>
      </c>
      <c r="F378" t="inlineStr">
        <is>
          <t>MR24_RT</t>
        </is>
      </c>
      <c r="G378" t="inlineStr">
        <is>
          <t>14</t>
        </is>
      </c>
      <c r="H378" t="inlineStr">
        <is>
          <t>sin asignar</t>
        </is>
      </c>
      <c r="I378" t="inlineStr">
        <is>
          <t>Metamorfico_14</t>
        </is>
      </c>
      <c r="J378" t="inlineStr">
        <is>
          <t>Geologia_2024=Metamorfico_14 (no distingue hornfels/mármol)</t>
        </is>
      </c>
      <c r="K378" t="inlineStr">
        <is>
          <t>Hornfels (hipótesis: siglas HBV, HGV, HCB, HDP; 'Diop. Hornfels'~HGV)</t>
        </is>
      </c>
      <c r="L378" t="inlineStr">
        <is>
          <t>Metamorfico</t>
        </is>
      </c>
      <c r="M378" t="n">
        <v>1351</v>
      </c>
      <c r="N378" t="n">
        <v>8106000</v>
      </c>
      <c r="O378" t="n">
        <v>23421324</v>
      </c>
      <c r="P378" t="inlineStr"/>
      <c r="Q378" t="n">
        <v>11.231</v>
      </c>
    </row>
    <row r="379">
      <c r="A379" t="inlineStr">
        <is>
          <t>MR24</t>
        </is>
      </c>
      <c r="B379" t="inlineStr">
        <is>
          <t>SIMULACIONES_MR2024_V3</t>
        </is>
      </c>
      <c r="C379" t="inlineStr">
        <is>
          <t>toneladas (6000 m3 x MR24_BD); pct sobre toneladas</t>
        </is>
      </c>
      <c r="D379" t="inlineStr">
        <is>
          <t>fase_LOM25_FASES_LE2</t>
        </is>
      </c>
      <c r="E379" t="inlineStr">
        <is>
          <t>10B</t>
        </is>
      </c>
      <c r="F379" t="inlineStr">
        <is>
          <t>MR24_RT</t>
        </is>
      </c>
      <c r="G379" t="inlineStr">
        <is>
          <t>16</t>
        </is>
      </c>
      <c r="H379" t="inlineStr">
        <is>
          <t>sin asignar</t>
        </is>
      </c>
      <c r="I379" t="inlineStr">
        <is>
          <t>Metamorfico_16</t>
        </is>
      </c>
      <c r="J379" t="inlineStr">
        <is>
          <t>Geologia_2024=Metamorfico_16 (no distingue hornfels/mármol)</t>
        </is>
      </c>
      <c r="K379" t="inlineStr">
        <is>
          <t>Mármol (hipótesis: siglas MC, MG, MGS, MPA, MCGB; 'Marble'~MCGB)</t>
        </is>
      </c>
      <c r="L379" t="inlineStr">
        <is>
          <t>Metamorfico</t>
        </is>
      </c>
      <c r="M379" t="n">
        <v>3321</v>
      </c>
      <c r="N379" t="n">
        <v>19926000</v>
      </c>
      <c r="O379" t="n">
        <v>54325038</v>
      </c>
      <c r="P379" t="inlineStr"/>
      <c r="Q379" t="n">
        <v>26.05</v>
      </c>
    </row>
    <row r="380">
      <c r="A380" t="inlineStr">
        <is>
          <t>MR24</t>
        </is>
      </c>
      <c r="B380" t="inlineStr">
        <is>
          <t>SIMULACIONES_MR2024_V3</t>
        </is>
      </c>
      <c r="C380" t="inlineStr">
        <is>
          <t>toneladas (6000 m3 x MR24_BD); pct sobre toneladas</t>
        </is>
      </c>
      <c r="D380" t="inlineStr">
        <is>
          <t>fase_LOM25_FASES_LE2</t>
        </is>
      </c>
      <c r="E380" t="inlineStr">
        <is>
          <t>10B</t>
        </is>
      </c>
      <c r="F380" t="inlineStr">
        <is>
          <t>MR24_RT</t>
        </is>
      </c>
      <c r="G380" t="inlineStr">
        <is>
          <t>19</t>
        </is>
      </c>
      <c r="H380" t="inlineStr">
        <is>
          <t>sin asignar</t>
        </is>
      </c>
      <c r="I380" t="inlineStr">
        <is>
          <t>Metamorfico_19</t>
        </is>
      </c>
      <c r="J380" t="inlineStr">
        <is>
          <t>Geologia_2024=Metamorfico_19 (no distingue hornfels/mármol)</t>
        </is>
      </c>
      <c r="K380" t="inlineStr">
        <is>
          <t>Mármol (hipótesis: sigla MDP)</t>
        </is>
      </c>
      <c r="L380" t="inlineStr">
        <is>
          <t>Metamorfico</t>
        </is>
      </c>
      <c r="M380" t="n">
        <v>684</v>
      </c>
      <c r="N380" t="n">
        <v>4104000</v>
      </c>
      <c r="O380" t="n">
        <v>11718918</v>
      </c>
      <c r="P380" t="inlineStr"/>
      <c r="Q380" t="n">
        <v>5.62</v>
      </c>
    </row>
    <row r="381">
      <c r="A381" t="inlineStr">
        <is>
          <t>MR24</t>
        </is>
      </c>
      <c r="B381" t="inlineStr">
        <is>
          <t>SIMULACIONES_MR2024_V3</t>
        </is>
      </c>
      <c r="C381" t="inlineStr">
        <is>
          <t>toneladas (6000 m3 x MR24_BD); pct sobre toneladas</t>
        </is>
      </c>
      <c r="D381" t="inlineStr">
        <is>
          <t>fase_LOM25_FASES_LE2</t>
        </is>
      </c>
      <c r="E381" t="inlineStr">
        <is>
          <t>10B</t>
        </is>
      </c>
      <c r="F381" t="inlineStr">
        <is>
          <t>MR24_RT</t>
        </is>
      </c>
      <c r="G381" t="inlineStr">
        <is>
          <t>53</t>
        </is>
      </c>
      <c r="H381" t="inlineStr">
        <is>
          <t>sin asignar</t>
        </is>
      </c>
      <c r="I381" t="inlineStr">
        <is>
          <t>RT53</t>
        </is>
      </c>
      <c r="J381" t="inlineStr">
        <is>
          <t>código sin etiqueta en los datos</t>
        </is>
      </c>
      <c r="K381" t="inlineStr">
        <is>
          <t>sin hipótesis</t>
        </is>
      </c>
      <c r="L381" t="inlineStr">
        <is>
          <t>sin leyenda</t>
        </is>
      </c>
      <c r="M381" t="n">
        <v>21</v>
      </c>
      <c r="N381" t="n">
        <v>126000</v>
      </c>
      <c r="O381" t="n">
        <v>357792</v>
      </c>
      <c r="P381" t="inlineStr"/>
      <c r="Q381" t="n">
        <v>0.172</v>
      </c>
    </row>
    <row r="382">
      <c r="A382" t="inlineStr">
        <is>
          <t>MR24</t>
        </is>
      </c>
      <c r="B382" t="inlineStr">
        <is>
          <t>SIMULACIONES_MR2024_V3</t>
        </is>
      </c>
      <c r="C382" t="inlineStr">
        <is>
          <t>toneladas (6000 m3 x MR24_BD); pct sobre toneladas</t>
        </is>
      </c>
      <c r="D382" t="inlineStr">
        <is>
          <t>fase_LOM25_FASES_LE2</t>
        </is>
      </c>
      <c r="E382" t="inlineStr">
        <is>
          <t>11</t>
        </is>
      </c>
      <c r="F382" t="inlineStr">
        <is>
          <t>MR24_RT</t>
        </is>
      </c>
      <c r="G382" t="inlineStr">
        <is>
          <t>1</t>
        </is>
      </c>
      <c r="H382" t="inlineStr">
        <is>
          <t>Intrusivo</t>
        </is>
      </c>
      <c r="I382" t="inlineStr">
        <is>
          <t>RT1</t>
        </is>
      </c>
      <c r="J382" t="inlineStr">
        <is>
          <t>Geologia_2024=Intrusivo_1</t>
        </is>
      </c>
      <c r="K382" t="inlineStr">
        <is>
          <t>Intrusivo</t>
        </is>
      </c>
      <c r="L382" t="inlineStr">
        <is>
          <t>Intrusivo</t>
        </is>
      </c>
      <c r="M382" t="n">
        <v>4745</v>
      </c>
      <c r="N382" t="n">
        <v>28470000</v>
      </c>
      <c r="O382" t="n">
        <v>70791798</v>
      </c>
      <c r="P382" t="inlineStr"/>
      <c r="Q382" t="n">
        <v>14.512</v>
      </c>
    </row>
    <row r="383">
      <c r="A383" t="inlineStr">
        <is>
          <t>MR24</t>
        </is>
      </c>
      <c r="B383" t="inlineStr">
        <is>
          <t>SIMULACIONES_MR2024_V3</t>
        </is>
      </c>
      <c r="C383" t="inlineStr">
        <is>
          <t>toneladas (6000 m3 x MR24_BD); pct sobre toneladas</t>
        </is>
      </c>
      <c r="D383" t="inlineStr">
        <is>
          <t>fase_LOM25_FASES_LE2</t>
        </is>
      </c>
      <c r="E383" t="inlineStr">
        <is>
          <t>11</t>
        </is>
      </c>
      <c r="F383" t="inlineStr">
        <is>
          <t>MR24_RT</t>
        </is>
      </c>
      <c r="G383" t="inlineStr">
        <is>
          <t>2</t>
        </is>
      </c>
      <c r="H383" t="inlineStr">
        <is>
          <t>Intrusivo</t>
        </is>
      </c>
      <c r="I383" t="inlineStr">
        <is>
          <t>RT2</t>
        </is>
      </c>
      <c r="J383" t="inlineStr">
        <is>
          <t>Geologia_2024=Intrusivo_2</t>
        </is>
      </c>
      <c r="K383" t="inlineStr">
        <is>
          <t>Intrusivo</t>
        </is>
      </c>
      <c r="L383" t="inlineStr">
        <is>
          <t>Intrusivo</t>
        </is>
      </c>
      <c r="M383" t="n">
        <v>661</v>
      </c>
      <c r="N383" t="n">
        <v>3966000</v>
      </c>
      <c r="O383" t="n">
        <v>10817982</v>
      </c>
      <c r="P383" t="inlineStr"/>
      <c r="Q383" t="n">
        <v>2.218</v>
      </c>
    </row>
    <row r="384">
      <c r="A384" t="inlineStr">
        <is>
          <t>MR24</t>
        </is>
      </c>
      <c r="B384" t="inlineStr">
        <is>
          <t>SIMULACIONES_MR2024_V3</t>
        </is>
      </c>
      <c r="C384" t="inlineStr">
        <is>
          <t>toneladas (6000 m3 x MR24_BD); pct sobre toneladas</t>
        </is>
      </c>
      <c r="D384" t="inlineStr">
        <is>
          <t>fase_LOM25_FASES_LE2</t>
        </is>
      </c>
      <c r="E384" t="inlineStr">
        <is>
          <t>11</t>
        </is>
      </c>
      <c r="F384" t="inlineStr">
        <is>
          <t>MR24_RT</t>
        </is>
      </c>
      <c r="G384" t="inlineStr">
        <is>
          <t>10</t>
        </is>
      </c>
      <c r="H384" t="inlineStr">
        <is>
          <t>sin asignar</t>
        </is>
      </c>
      <c r="I384" t="inlineStr">
        <is>
          <t>Sedimentario_10</t>
        </is>
      </c>
      <c r="J384" t="inlineStr">
        <is>
          <t>Geologia_2024=Sedimentario_10 (no especifica caliza)</t>
        </is>
      </c>
      <c r="K384" t="inlineStr">
        <is>
          <t>Caliza (hipótesis: siglas C*)</t>
        </is>
      </c>
      <c r="L384" t="inlineStr">
        <is>
          <t>Sedimentario</t>
        </is>
      </c>
      <c r="M384" t="n">
        <v>344</v>
      </c>
      <c r="N384" t="n">
        <v>2064000</v>
      </c>
      <c r="O384" t="n">
        <v>5608872</v>
      </c>
      <c r="P384" t="inlineStr"/>
      <c r="Q384" t="n">
        <v>1.15</v>
      </c>
    </row>
    <row r="385">
      <c r="A385" t="inlineStr">
        <is>
          <t>MR24</t>
        </is>
      </c>
      <c r="B385" t="inlineStr">
        <is>
          <t>SIMULACIONES_MR2024_V3</t>
        </is>
      </c>
      <c r="C385" t="inlineStr">
        <is>
          <t>toneladas (6000 m3 x MR24_BD); pct sobre toneladas</t>
        </is>
      </c>
      <c r="D385" t="inlineStr">
        <is>
          <t>fase_LOM25_FASES_LE2</t>
        </is>
      </c>
      <c r="E385" t="inlineStr">
        <is>
          <t>11</t>
        </is>
      </c>
      <c r="F385" t="inlineStr">
        <is>
          <t>MR24_RT</t>
        </is>
      </c>
      <c r="G385" t="inlineStr">
        <is>
          <t>11</t>
        </is>
      </c>
      <c r="H385" t="inlineStr">
        <is>
          <t>sin asignar</t>
        </is>
      </c>
      <c r="I385" t="inlineStr">
        <is>
          <t>Sedimentario_11</t>
        </is>
      </c>
      <c r="J385" t="inlineStr">
        <is>
          <t>Geologia_2024=Sedimentario_11 (no especifica caliza)</t>
        </is>
      </c>
      <c r="K385" t="inlineStr">
        <is>
          <t>Caliza (hipótesis: Sedimentario; RT11~NUMEQ10, siglas C*)</t>
        </is>
      </c>
      <c r="L385" t="inlineStr">
        <is>
          <t>Sedimentario</t>
        </is>
      </c>
      <c r="M385" t="n">
        <v>5579</v>
      </c>
      <c r="N385" t="n">
        <v>33474000</v>
      </c>
      <c r="O385" t="n">
        <v>90854724</v>
      </c>
      <c r="P385" t="inlineStr"/>
      <c r="Q385" t="n">
        <v>18.624</v>
      </c>
    </row>
    <row r="386">
      <c r="A386" t="inlineStr">
        <is>
          <t>MR24</t>
        </is>
      </c>
      <c r="B386" t="inlineStr">
        <is>
          <t>SIMULACIONES_MR2024_V3</t>
        </is>
      </c>
      <c r="C386" t="inlineStr">
        <is>
          <t>toneladas (6000 m3 x MR24_BD); pct sobre toneladas</t>
        </is>
      </c>
      <c r="D386" t="inlineStr">
        <is>
          <t>fase_LOM25_FASES_LE2</t>
        </is>
      </c>
      <c r="E386" t="inlineStr">
        <is>
          <t>11</t>
        </is>
      </c>
      <c r="F386" t="inlineStr">
        <is>
          <t>MR24_RT</t>
        </is>
      </c>
      <c r="G386" t="inlineStr">
        <is>
          <t>13</t>
        </is>
      </c>
      <c r="H386" t="inlineStr">
        <is>
          <t>sin asignar</t>
        </is>
      </c>
      <c r="I386" t="inlineStr">
        <is>
          <t>Metamorfico_13</t>
        </is>
      </c>
      <c r="J386" t="inlineStr">
        <is>
          <t>Geologia_2024=Metamorfico_13 (no distingue hornfels/mármol)</t>
        </is>
      </c>
      <c r="K386" t="inlineStr">
        <is>
          <t>Hornfels (hipótesis: siglas HG, HGS, HC)</t>
        </is>
      </c>
      <c r="L386" t="inlineStr">
        <is>
          <t>Metamorfico</t>
        </is>
      </c>
      <c r="M386" t="n">
        <v>11260</v>
      </c>
      <c r="N386" t="n">
        <v>67560000</v>
      </c>
      <c r="O386" t="n">
        <v>183420186</v>
      </c>
      <c r="P386" t="inlineStr"/>
      <c r="Q386" t="n">
        <v>37.599</v>
      </c>
    </row>
    <row r="387">
      <c r="A387" t="inlineStr">
        <is>
          <t>MR24</t>
        </is>
      </c>
      <c r="B387" t="inlineStr">
        <is>
          <t>SIMULACIONES_MR2024_V3</t>
        </is>
      </c>
      <c r="C387" t="inlineStr">
        <is>
          <t>toneladas (6000 m3 x MR24_BD); pct sobre toneladas</t>
        </is>
      </c>
      <c r="D387" t="inlineStr">
        <is>
          <t>fase_LOM25_FASES_LE2</t>
        </is>
      </c>
      <c r="E387" t="inlineStr">
        <is>
          <t>11</t>
        </is>
      </c>
      <c r="F387" t="inlineStr">
        <is>
          <t>MR24_RT</t>
        </is>
      </c>
      <c r="G387" t="inlineStr">
        <is>
          <t>14</t>
        </is>
      </c>
      <c r="H387" t="inlineStr">
        <is>
          <t>sin asignar</t>
        </is>
      </c>
      <c r="I387" t="inlineStr">
        <is>
          <t>Metamorfico_14</t>
        </is>
      </c>
      <c r="J387" t="inlineStr">
        <is>
          <t>Geologia_2024=Metamorfico_14 (no distingue hornfels/mármol)</t>
        </is>
      </c>
      <c r="K387" t="inlineStr">
        <is>
          <t>Hornfels (hipótesis: siglas HBV, HGV, HCB, HDP; 'Diop. Hornfels'~HGV)</t>
        </is>
      </c>
      <c r="L387" t="inlineStr">
        <is>
          <t>Metamorfico</t>
        </is>
      </c>
      <c r="M387" t="n">
        <v>1305</v>
      </c>
      <c r="N387" t="n">
        <v>7830000</v>
      </c>
      <c r="O387" t="n">
        <v>22052352</v>
      </c>
      <c r="P387" t="inlineStr"/>
      <c r="Q387" t="n">
        <v>4.521</v>
      </c>
    </row>
    <row r="388">
      <c r="A388" t="inlineStr">
        <is>
          <t>MR24</t>
        </is>
      </c>
      <c r="B388" t="inlineStr">
        <is>
          <t>SIMULACIONES_MR2024_V3</t>
        </is>
      </c>
      <c r="C388" t="inlineStr">
        <is>
          <t>toneladas (6000 m3 x MR24_BD); pct sobre toneladas</t>
        </is>
      </c>
      <c r="D388" t="inlineStr">
        <is>
          <t>fase_LOM25_FASES_LE2</t>
        </is>
      </c>
      <c r="E388" t="inlineStr">
        <is>
          <t>11</t>
        </is>
      </c>
      <c r="F388" t="inlineStr">
        <is>
          <t>MR24_RT</t>
        </is>
      </c>
      <c r="G388" t="inlineStr">
        <is>
          <t>16</t>
        </is>
      </c>
      <c r="H388" t="inlineStr">
        <is>
          <t>sin asignar</t>
        </is>
      </c>
      <c r="I388" t="inlineStr">
        <is>
          <t>Metamorfico_16</t>
        </is>
      </c>
      <c r="J388" t="inlineStr">
        <is>
          <t>Geologia_2024=Metamorfico_16 (no distingue hornfels/mármol)</t>
        </is>
      </c>
      <c r="K388" t="inlineStr">
        <is>
          <t>Mármol (hipótesis: siglas MC, MG, MGS, MPA, MCGB; 'Marble'~MCGB)</t>
        </is>
      </c>
      <c r="L388" t="inlineStr">
        <is>
          <t>Metamorfico</t>
        </is>
      </c>
      <c r="M388" t="n">
        <v>5592</v>
      </c>
      <c r="N388" t="n">
        <v>33552000</v>
      </c>
      <c r="O388" t="n">
        <v>92072310</v>
      </c>
      <c r="P388" t="inlineStr"/>
      <c r="Q388" t="n">
        <v>18.874</v>
      </c>
    </row>
    <row r="389">
      <c r="A389" t="inlineStr">
        <is>
          <t>MR24</t>
        </is>
      </c>
      <c r="B389" t="inlineStr">
        <is>
          <t>SIMULACIONES_MR2024_V3</t>
        </is>
      </c>
      <c r="C389" t="inlineStr">
        <is>
          <t>toneladas (6000 m3 x MR24_BD); pct sobre toneladas</t>
        </is>
      </c>
      <c r="D389" t="inlineStr">
        <is>
          <t>fase_LOM25_FASES_LE2</t>
        </is>
      </c>
      <c r="E389" t="inlineStr">
        <is>
          <t>11</t>
        </is>
      </c>
      <c r="F389" t="inlineStr">
        <is>
          <t>MR24_RT</t>
        </is>
      </c>
      <c r="G389" t="inlineStr">
        <is>
          <t>19</t>
        </is>
      </c>
      <c r="H389" t="inlineStr">
        <is>
          <t>sin asignar</t>
        </is>
      </c>
      <c r="I389" t="inlineStr">
        <is>
          <t>Metamorfico_19</t>
        </is>
      </c>
      <c r="J389" t="inlineStr">
        <is>
          <t>Geologia_2024=Metamorfico_19 (no distingue hornfels/mármol)</t>
        </is>
      </c>
      <c r="K389" t="inlineStr">
        <is>
          <t>Mármol (hipótesis: sigla MDP)</t>
        </is>
      </c>
      <c r="L389" t="inlineStr">
        <is>
          <t>Metamorfico</t>
        </is>
      </c>
      <c r="M389" t="n">
        <v>630</v>
      </c>
      <c r="N389" t="n">
        <v>3780000</v>
      </c>
      <c r="O389" t="n">
        <v>10705692</v>
      </c>
      <c r="P389" t="inlineStr"/>
      <c r="Q389" t="n">
        <v>2.195</v>
      </c>
    </row>
    <row r="390">
      <c r="A390" t="inlineStr">
        <is>
          <t>MR24</t>
        </is>
      </c>
      <c r="B390" t="inlineStr">
        <is>
          <t>SIMULACIONES_MR2024_V3</t>
        </is>
      </c>
      <c r="C390" t="inlineStr">
        <is>
          <t>toneladas (6000 m3 x MR24_BD); pct sobre toneladas</t>
        </is>
      </c>
      <c r="D390" t="inlineStr">
        <is>
          <t>fase_LOM25_FASES_LE2</t>
        </is>
      </c>
      <c r="E390" t="inlineStr">
        <is>
          <t>11</t>
        </is>
      </c>
      <c r="F390" t="inlineStr">
        <is>
          <t>MR24_RT</t>
        </is>
      </c>
      <c r="G390" t="inlineStr">
        <is>
          <t>53</t>
        </is>
      </c>
      <c r="H390" t="inlineStr">
        <is>
          <t>sin asignar</t>
        </is>
      </c>
      <c r="I390" t="inlineStr">
        <is>
          <t>RT53</t>
        </is>
      </c>
      <c r="J390" t="inlineStr">
        <is>
          <t>código sin etiqueta en los datos</t>
        </is>
      </c>
      <c r="K390" t="inlineStr">
        <is>
          <t>sin hipótesis</t>
        </is>
      </c>
      <c r="L390" t="inlineStr">
        <is>
          <t>sin leyenda</t>
        </is>
      </c>
      <c r="M390" t="n">
        <v>94</v>
      </c>
      <c r="N390" t="n">
        <v>564000</v>
      </c>
      <c r="O390" t="n">
        <v>1502418</v>
      </c>
      <c r="P390" t="inlineStr"/>
      <c r="Q390" t="n">
        <v>0.308</v>
      </c>
    </row>
    <row r="391">
      <c r="A391" t="inlineStr">
        <is>
          <t>MR24</t>
        </is>
      </c>
      <c r="B391" t="inlineStr">
        <is>
          <t>SIMULACIONES_MR2024_V3</t>
        </is>
      </c>
      <c r="C391" t="inlineStr">
        <is>
          <t>toneladas (6000 m3 x MR24_BD); pct sobre toneladas</t>
        </is>
      </c>
      <c r="D391" t="inlineStr">
        <is>
          <t>fase_LOM25_FASES_LE2</t>
        </is>
      </c>
      <c r="E391" t="inlineStr">
        <is>
          <t>1201</t>
        </is>
      </c>
      <c r="F391" t="inlineStr">
        <is>
          <t>MR24_RT</t>
        </is>
      </c>
      <c r="G391" t="inlineStr">
        <is>
          <t>1</t>
        </is>
      </c>
      <c r="H391" t="inlineStr">
        <is>
          <t>Intrusivo</t>
        </is>
      </c>
      <c r="I391" t="inlineStr">
        <is>
          <t>RT1</t>
        </is>
      </c>
      <c r="J391" t="inlineStr">
        <is>
          <t>Geologia_2024=Intrusivo_1</t>
        </is>
      </c>
      <c r="K391" t="inlineStr">
        <is>
          <t>Intrusivo</t>
        </is>
      </c>
      <c r="L391" t="inlineStr">
        <is>
          <t>Intrusivo</t>
        </is>
      </c>
      <c r="M391" t="n">
        <v>3701</v>
      </c>
      <c r="N391" t="n">
        <v>22206000</v>
      </c>
      <c r="O391" t="n">
        <v>55704858</v>
      </c>
      <c r="P391" t="inlineStr"/>
      <c r="Q391" t="n">
        <v>9.117000000000001</v>
      </c>
    </row>
    <row r="392">
      <c r="A392" t="inlineStr">
        <is>
          <t>MR24</t>
        </is>
      </c>
      <c r="B392" t="inlineStr">
        <is>
          <t>SIMULACIONES_MR2024_V3</t>
        </is>
      </c>
      <c r="C392" t="inlineStr">
        <is>
          <t>toneladas (6000 m3 x MR24_BD); pct sobre toneladas</t>
        </is>
      </c>
      <c r="D392" t="inlineStr">
        <is>
          <t>fase_LOM25_FASES_LE2</t>
        </is>
      </c>
      <c r="E392" t="inlineStr">
        <is>
          <t>1201</t>
        </is>
      </c>
      <c r="F392" t="inlineStr">
        <is>
          <t>MR24_RT</t>
        </is>
      </c>
      <c r="G392" t="inlineStr">
        <is>
          <t>2</t>
        </is>
      </c>
      <c r="H392" t="inlineStr">
        <is>
          <t>Intrusivo</t>
        </is>
      </c>
      <c r="I392" t="inlineStr">
        <is>
          <t>RT2</t>
        </is>
      </c>
      <c r="J392" t="inlineStr">
        <is>
          <t>Geologia_2024=Intrusivo_2</t>
        </is>
      </c>
      <c r="K392" t="inlineStr">
        <is>
          <t>Intrusivo</t>
        </is>
      </c>
      <c r="L392" t="inlineStr">
        <is>
          <t>Intrusivo</t>
        </is>
      </c>
      <c r="M392" t="n">
        <v>578</v>
      </c>
      <c r="N392" t="n">
        <v>3468000</v>
      </c>
      <c r="O392" t="n">
        <v>9274650</v>
      </c>
      <c r="P392" t="inlineStr"/>
      <c r="Q392" t="n">
        <v>1.518</v>
      </c>
    </row>
    <row r="393">
      <c r="A393" t="inlineStr">
        <is>
          <t>MR24</t>
        </is>
      </c>
      <c r="B393" t="inlineStr">
        <is>
          <t>SIMULACIONES_MR2024_V3</t>
        </is>
      </c>
      <c r="C393" t="inlineStr">
        <is>
          <t>toneladas (6000 m3 x MR24_BD); pct sobre toneladas</t>
        </is>
      </c>
      <c r="D393" t="inlineStr">
        <is>
          <t>fase_LOM25_FASES_LE2</t>
        </is>
      </c>
      <c r="E393" t="inlineStr">
        <is>
          <t>1201</t>
        </is>
      </c>
      <c r="F393" t="inlineStr">
        <is>
          <t>MR24_RT</t>
        </is>
      </c>
      <c r="G393" t="inlineStr">
        <is>
          <t>10</t>
        </is>
      </c>
      <c r="H393" t="inlineStr">
        <is>
          <t>sin asignar</t>
        </is>
      </c>
      <c r="I393" t="inlineStr">
        <is>
          <t>Sedimentario_10</t>
        </is>
      </c>
      <c r="J393" t="inlineStr">
        <is>
          <t>Geologia_2024=Sedimentario_10 (no especifica caliza)</t>
        </is>
      </c>
      <c r="K393" t="inlineStr">
        <is>
          <t>Caliza (hipótesis: siglas C*)</t>
        </is>
      </c>
      <c r="L393" t="inlineStr">
        <is>
          <t>Sedimentario</t>
        </is>
      </c>
      <c r="M393" t="n">
        <v>5224</v>
      </c>
      <c r="N393" t="n">
        <v>31344000</v>
      </c>
      <c r="O393" t="n">
        <v>84806586</v>
      </c>
      <c r="P393" t="inlineStr"/>
      <c r="Q393" t="n">
        <v>13.881</v>
      </c>
    </row>
    <row r="394">
      <c r="A394" t="inlineStr">
        <is>
          <t>MR24</t>
        </is>
      </c>
      <c r="B394" t="inlineStr">
        <is>
          <t>SIMULACIONES_MR2024_V3</t>
        </is>
      </c>
      <c r="C394" t="inlineStr">
        <is>
          <t>toneladas (6000 m3 x MR24_BD); pct sobre toneladas</t>
        </is>
      </c>
      <c r="D394" t="inlineStr">
        <is>
          <t>fase_LOM25_FASES_LE2</t>
        </is>
      </c>
      <c r="E394" t="inlineStr">
        <is>
          <t>1201</t>
        </is>
      </c>
      <c r="F394" t="inlineStr">
        <is>
          <t>MR24_RT</t>
        </is>
      </c>
      <c r="G394" t="inlineStr">
        <is>
          <t>11</t>
        </is>
      </c>
      <c r="H394" t="inlineStr">
        <is>
          <t>sin asignar</t>
        </is>
      </c>
      <c r="I394" t="inlineStr">
        <is>
          <t>Sedimentario_11</t>
        </is>
      </c>
      <c r="J394" t="inlineStr">
        <is>
          <t>Geologia_2024=Sedimentario_11 (no especifica caliza)</t>
        </is>
      </c>
      <c r="K394" t="inlineStr">
        <is>
          <t>Caliza (hipótesis: Sedimentario; RT11~NUMEQ10, siglas C*)</t>
        </is>
      </c>
      <c r="L394" t="inlineStr">
        <is>
          <t>Sedimentario</t>
        </is>
      </c>
      <c r="M394" t="n">
        <v>12983</v>
      </c>
      <c r="N394" t="n">
        <v>77898000</v>
      </c>
      <c r="O394" t="n">
        <v>211296492</v>
      </c>
      <c r="P394" t="inlineStr"/>
      <c r="Q394" t="n">
        <v>34.584</v>
      </c>
    </row>
    <row r="395">
      <c r="A395" t="inlineStr">
        <is>
          <t>MR24</t>
        </is>
      </c>
      <c r="B395" t="inlineStr">
        <is>
          <t>SIMULACIONES_MR2024_V3</t>
        </is>
      </c>
      <c r="C395" t="inlineStr">
        <is>
          <t>toneladas (6000 m3 x MR24_BD); pct sobre toneladas</t>
        </is>
      </c>
      <c r="D395" t="inlineStr">
        <is>
          <t>fase_LOM25_FASES_LE2</t>
        </is>
      </c>
      <c r="E395" t="inlineStr">
        <is>
          <t>1201</t>
        </is>
      </c>
      <c r="F395" t="inlineStr">
        <is>
          <t>MR24_RT</t>
        </is>
      </c>
      <c r="G395" t="inlineStr">
        <is>
          <t>13</t>
        </is>
      </c>
      <c r="H395" t="inlineStr">
        <is>
          <t>sin asignar</t>
        </is>
      </c>
      <c r="I395" t="inlineStr">
        <is>
          <t>Metamorfico_13</t>
        </is>
      </c>
      <c r="J395" t="inlineStr">
        <is>
          <t>Geologia_2024=Metamorfico_13 (no distingue hornfels/mármol)</t>
        </is>
      </c>
      <c r="K395" t="inlineStr">
        <is>
          <t>Hornfels (hipótesis: siglas HG, HGS, HC)</t>
        </is>
      </c>
      <c r="L395" t="inlineStr">
        <is>
          <t>Metamorfico</t>
        </is>
      </c>
      <c r="M395" t="n">
        <v>4647</v>
      </c>
      <c r="N395" t="n">
        <v>27882000</v>
      </c>
      <c r="O395" t="n">
        <v>75524622</v>
      </c>
      <c r="P395" t="inlineStr"/>
      <c r="Q395" t="n">
        <v>12.361</v>
      </c>
    </row>
    <row r="396">
      <c r="A396" t="inlineStr">
        <is>
          <t>MR24</t>
        </is>
      </c>
      <c r="B396" t="inlineStr">
        <is>
          <t>SIMULACIONES_MR2024_V3</t>
        </is>
      </c>
      <c r="C396" t="inlineStr">
        <is>
          <t>toneladas (6000 m3 x MR24_BD); pct sobre toneladas</t>
        </is>
      </c>
      <c r="D396" t="inlineStr">
        <is>
          <t>fase_LOM25_FASES_LE2</t>
        </is>
      </c>
      <c r="E396" t="inlineStr">
        <is>
          <t>1201</t>
        </is>
      </c>
      <c r="F396" t="inlineStr">
        <is>
          <t>MR24_RT</t>
        </is>
      </c>
      <c r="G396" t="inlineStr">
        <is>
          <t>14</t>
        </is>
      </c>
      <c r="H396" t="inlineStr">
        <is>
          <t>sin asignar</t>
        </is>
      </c>
      <c r="I396" t="inlineStr">
        <is>
          <t>Metamorfico_14</t>
        </is>
      </c>
      <c r="J396" t="inlineStr">
        <is>
          <t>Geologia_2024=Metamorfico_14 (no distingue hornfels/mármol)</t>
        </is>
      </c>
      <c r="K396" t="inlineStr">
        <is>
          <t>Hornfels (hipótesis: siglas HBV, HGV, HCB, HDP; 'Diop. Hornfels'~HGV)</t>
        </is>
      </c>
      <c r="L396" t="inlineStr">
        <is>
          <t>Metamorfico</t>
        </is>
      </c>
      <c r="M396" t="n">
        <v>492</v>
      </c>
      <c r="N396" t="n">
        <v>2952000</v>
      </c>
      <c r="O396" t="n">
        <v>8283594</v>
      </c>
      <c r="P396" t="inlineStr"/>
      <c r="Q396" t="n">
        <v>1.356</v>
      </c>
    </row>
    <row r="397">
      <c r="A397" t="inlineStr">
        <is>
          <t>MR24</t>
        </is>
      </c>
      <c r="B397" t="inlineStr">
        <is>
          <t>SIMULACIONES_MR2024_V3</t>
        </is>
      </c>
      <c r="C397" t="inlineStr">
        <is>
          <t>toneladas (6000 m3 x MR24_BD); pct sobre toneladas</t>
        </is>
      </c>
      <c r="D397" t="inlineStr">
        <is>
          <t>fase_LOM25_FASES_LE2</t>
        </is>
      </c>
      <c r="E397" t="inlineStr">
        <is>
          <t>1201</t>
        </is>
      </c>
      <c r="F397" t="inlineStr">
        <is>
          <t>MR24_RT</t>
        </is>
      </c>
      <c r="G397" t="inlineStr">
        <is>
          <t>16</t>
        </is>
      </c>
      <c r="H397" t="inlineStr">
        <is>
          <t>sin asignar</t>
        </is>
      </c>
      <c r="I397" t="inlineStr">
        <is>
          <t>Metamorfico_16</t>
        </is>
      </c>
      <c r="J397" t="inlineStr">
        <is>
          <t>Geologia_2024=Metamorfico_16 (no distingue hornfels/mármol)</t>
        </is>
      </c>
      <c r="K397" t="inlineStr">
        <is>
          <t>Mármol (hipótesis: siglas MC, MG, MGS, MPA, MCGB; 'Marble'~MCGB)</t>
        </is>
      </c>
      <c r="L397" t="inlineStr">
        <is>
          <t>Metamorfico</t>
        </is>
      </c>
      <c r="M397" t="n">
        <v>9737</v>
      </c>
      <c r="N397" t="n">
        <v>58422000</v>
      </c>
      <c r="O397" t="n">
        <v>158407692</v>
      </c>
      <c r="P397" t="inlineStr"/>
      <c r="Q397" t="n">
        <v>25.927</v>
      </c>
    </row>
    <row r="398">
      <c r="A398" t="inlineStr">
        <is>
          <t>MR24</t>
        </is>
      </c>
      <c r="B398" t="inlineStr">
        <is>
          <t>SIMULACIONES_MR2024_V3</t>
        </is>
      </c>
      <c r="C398" t="inlineStr">
        <is>
          <t>toneladas (6000 m3 x MR24_BD); pct sobre toneladas</t>
        </is>
      </c>
      <c r="D398" t="inlineStr">
        <is>
          <t>fase_LOM25_FASES_LE2</t>
        </is>
      </c>
      <c r="E398" t="inlineStr">
        <is>
          <t>1201</t>
        </is>
      </c>
      <c r="F398" t="inlineStr">
        <is>
          <t>MR24_RT</t>
        </is>
      </c>
      <c r="G398" t="inlineStr">
        <is>
          <t>19</t>
        </is>
      </c>
      <c r="H398" t="inlineStr">
        <is>
          <t>sin asignar</t>
        </is>
      </c>
      <c r="I398" t="inlineStr">
        <is>
          <t>Metamorfico_19</t>
        </is>
      </c>
      <c r="J398" t="inlineStr">
        <is>
          <t>Geologia_2024=Metamorfico_19 (no distingue hornfels/mármol)</t>
        </is>
      </c>
      <c r="K398" t="inlineStr">
        <is>
          <t>Mármol (hipótesis: sigla MDP)</t>
        </is>
      </c>
      <c r="L398" t="inlineStr">
        <is>
          <t>Metamorfico</t>
        </is>
      </c>
      <c r="M398" t="n">
        <v>422</v>
      </c>
      <c r="N398" t="n">
        <v>2532000</v>
      </c>
      <c r="O398" t="n">
        <v>7132062</v>
      </c>
      <c r="P398" t="inlineStr"/>
      <c r="Q398" t="n">
        <v>1.167</v>
      </c>
    </row>
    <row r="399">
      <c r="A399" t="inlineStr">
        <is>
          <t>MR24</t>
        </is>
      </c>
      <c r="B399" t="inlineStr">
        <is>
          <t>SIMULACIONES_MR2024_V3</t>
        </is>
      </c>
      <c r="C399" t="inlineStr">
        <is>
          <t>toneladas (6000 m3 x MR24_BD); pct sobre toneladas</t>
        </is>
      </c>
      <c r="D399" t="inlineStr">
        <is>
          <t>fase_LOM25_FASES_LE2</t>
        </is>
      </c>
      <c r="E399" t="inlineStr">
        <is>
          <t>1201</t>
        </is>
      </c>
      <c r="F399" t="inlineStr">
        <is>
          <t>MR24_RT</t>
        </is>
      </c>
      <c r="G399" t="inlineStr">
        <is>
          <t>53</t>
        </is>
      </c>
      <c r="H399" t="inlineStr">
        <is>
          <t>sin asignar</t>
        </is>
      </c>
      <c r="I399" t="inlineStr">
        <is>
          <t>RT53</t>
        </is>
      </c>
      <c r="J399" t="inlineStr">
        <is>
          <t>código sin etiqueta en los datos</t>
        </is>
      </c>
      <c r="K399" t="inlineStr">
        <is>
          <t>sin hipótesis</t>
        </is>
      </c>
      <c r="L399" t="inlineStr">
        <is>
          <t>sin leyenda</t>
        </is>
      </c>
      <c r="M399" t="n">
        <v>34</v>
      </c>
      <c r="N399" t="n">
        <v>204000</v>
      </c>
      <c r="O399" t="n">
        <v>541080</v>
      </c>
      <c r="P399" t="inlineStr"/>
      <c r="Q399" t="n">
        <v>0.089</v>
      </c>
    </row>
    <row r="400">
      <c r="A400" t="inlineStr">
        <is>
          <t>MR24</t>
        </is>
      </c>
      <c r="B400" t="inlineStr">
        <is>
          <t>SIMULACIONES_MR2024_V3</t>
        </is>
      </c>
      <c r="C400" t="inlineStr">
        <is>
          <t>toneladas (6000 m3 x MR24_BD); pct sobre toneladas</t>
        </is>
      </c>
      <c r="D400" t="inlineStr">
        <is>
          <t>fase_LOM25_FASES_LE2</t>
        </is>
      </c>
      <c r="E400" t="inlineStr">
        <is>
          <t>1202</t>
        </is>
      </c>
      <c r="F400" t="inlineStr">
        <is>
          <t>MR24_RT</t>
        </is>
      </c>
      <c r="G400" t="inlineStr">
        <is>
          <t>1</t>
        </is>
      </c>
      <c r="H400" t="inlineStr">
        <is>
          <t>Intrusivo</t>
        </is>
      </c>
      <c r="I400" t="inlineStr">
        <is>
          <t>RT1</t>
        </is>
      </c>
      <c r="J400" t="inlineStr">
        <is>
          <t>Geologia_2024=Intrusivo_1</t>
        </is>
      </c>
      <c r="K400" t="inlineStr">
        <is>
          <t>Intrusivo</t>
        </is>
      </c>
      <c r="L400" t="inlineStr">
        <is>
          <t>Intrusivo</t>
        </is>
      </c>
      <c r="M400" t="n">
        <v>8083</v>
      </c>
      <c r="N400" t="n">
        <v>48498000</v>
      </c>
      <c r="O400" t="n">
        <v>118859406</v>
      </c>
      <c r="P400" t="inlineStr"/>
      <c r="Q400" t="n">
        <v>12.203</v>
      </c>
    </row>
    <row r="401">
      <c r="A401" t="inlineStr">
        <is>
          <t>MR24</t>
        </is>
      </c>
      <c r="B401" t="inlineStr">
        <is>
          <t>SIMULACIONES_MR2024_V3</t>
        </is>
      </c>
      <c r="C401" t="inlineStr">
        <is>
          <t>toneladas (6000 m3 x MR24_BD); pct sobre toneladas</t>
        </is>
      </c>
      <c r="D401" t="inlineStr">
        <is>
          <t>fase_LOM25_FASES_LE2</t>
        </is>
      </c>
      <c r="E401" t="inlineStr">
        <is>
          <t>1202</t>
        </is>
      </c>
      <c r="F401" t="inlineStr">
        <is>
          <t>MR24_RT</t>
        </is>
      </c>
      <c r="G401" t="inlineStr">
        <is>
          <t>2</t>
        </is>
      </c>
      <c r="H401" t="inlineStr">
        <is>
          <t>Intrusivo</t>
        </is>
      </c>
      <c r="I401" t="inlineStr">
        <is>
          <t>RT2</t>
        </is>
      </c>
      <c r="J401" t="inlineStr">
        <is>
          <t>Geologia_2024=Intrusivo_2</t>
        </is>
      </c>
      <c r="K401" t="inlineStr">
        <is>
          <t>Intrusivo</t>
        </is>
      </c>
      <c r="L401" t="inlineStr">
        <is>
          <t>Intrusivo</t>
        </is>
      </c>
      <c r="M401" t="n">
        <v>136</v>
      </c>
      <c r="N401" t="n">
        <v>816000</v>
      </c>
      <c r="O401" t="n">
        <v>2196780</v>
      </c>
      <c r="P401" t="inlineStr"/>
      <c r="Q401" t="n">
        <v>0.226</v>
      </c>
    </row>
    <row r="402">
      <c r="A402" t="inlineStr">
        <is>
          <t>MR24</t>
        </is>
      </c>
      <c r="B402" t="inlineStr">
        <is>
          <t>SIMULACIONES_MR2024_V3</t>
        </is>
      </c>
      <c r="C402" t="inlineStr">
        <is>
          <t>toneladas (6000 m3 x MR24_BD); pct sobre toneladas</t>
        </is>
      </c>
      <c r="D402" t="inlineStr">
        <is>
          <t>fase_LOM25_FASES_LE2</t>
        </is>
      </c>
      <c r="E402" t="inlineStr">
        <is>
          <t>1202</t>
        </is>
      </c>
      <c r="F402" t="inlineStr">
        <is>
          <t>MR24_RT</t>
        </is>
      </c>
      <c r="G402" t="inlineStr">
        <is>
          <t>10</t>
        </is>
      </c>
      <c r="H402" t="inlineStr">
        <is>
          <t>sin asignar</t>
        </is>
      </c>
      <c r="I402" t="inlineStr">
        <is>
          <t>Sedimentario_10</t>
        </is>
      </c>
      <c r="J402" t="inlineStr">
        <is>
          <t>Geologia_2024=Sedimentario_10 (no especifica caliza)</t>
        </is>
      </c>
      <c r="K402" t="inlineStr">
        <is>
          <t>Caliza (hipótesis: siglas C*)</t>
        </is>
      </c>
      <c r="L402" t="inlineStr">
        <is>
          <t>Sedimentario</t>
        </is>
      </c>
      <c r="M402" t="n">
        <v>4602</v>
      </c>
      <c r="N402" t="n">
        <v>27612000</v>
      </c>
      <c r="O402" t="n">
        <v>74812374</v>
      </c>
      <c r="P402" t="inlineStr"/>
      <c r="Q402" t="n">
        <v>7.681</v>
      </c>
    </row>
    <row r="403">
      <c r="A403" t="inlineStr">
        <is>
          <t>MR24</t>
        </is>
      </c>
      <c r="B403" t="inlineStr">
        <is>
          <t>SIMULACIONES_MR2024_V3</t>
        </is>
      </c>
      <c r="C403" t="inlineStr">
        <is>
          <t>toneladas (6000 m3 x MR24_BD); pct sobre toneladas</t>
        </is>
      </c>
      <c r="D403" t="inlineStr">
        <is>
          <t>fase_LOM25_FASES_LE2</t>
        </is>
      </c>
      <c r="E403" t="inlineStr">
        <is>
          <t>1202</t>
        </is>
      </c>
      <c r="F403" t="inlineStr">
        <is>
          <t>MR24_RT</t>
        </is>
      </c>
      <c r="G403" t="inlineStr">
        <is>
          <t>11</t>
        </is>
      </c>
      <c r="H403" t="inlineStr">
        <is>
          <t>sin asignar</t>
        </is>
      </c>
      <c r="I403" t="inlineStr">
        <is>
          <t>Sedimentario_11</t>
        </is>
      </c>
      <c r="J403" t="inlineStr">
        <is>
          <t>Geologia_2024=Sedimentario_11 (no especifica caliza)</t>
        </is>
      </c>
      <c r="K403" t="inlineStr">
        <is>
          <t>Caliza (hipótesis: Sedimentario; RT11~NUMEQ10, siglas C*)</t>
        </is>
      </c>
      <c r="L403" t="inlineStr">
        <is>
          <t>Sedimentario</t>
        </is>
      </c>
      <c r="M403" t="n">
        <v>2638</v>
      </c>
      <c r="N403" t="n">
        <v>15828000</v>
      </c>
      <c r="O403" t="n">
        <v>42808500</v>
      </c>
      <c r="P403" t="inlineStr"/>
      <c r="Q403" t="n">
        <v>4.395</v>
      </c>
    </row>
    <row r="404">
      <c r="A404" t="inlineStr">
        <is>
          <t>MR24</t>
        </is>
      </c>
      <c r="B404" t="inlineStr">
        <is>
          <t>SIMULACIONES_MR2024_V3</t>
        </is>
      </c>
      <c r="C404" t="inlineStr">
        <is>
          <t>toneladas (6000 m3 x MR24_BD); pct sobre toneladas</t>
        </is>
      </c>
      <c r="D404" t="inlineStr">
        <is>
          <t>fase_LOM25_FASES_LE2</t>
        </is>
      </c>
      <c r="E404" t="inlineStr">
        <is>
          <t>1202</t>
        </is>
      </c>
      <c r="F404" t="inlineStr">
        <is>
          <t>MR24_RT</t>
        </is>
      </c>
      <c r="G404" t="inlineStr">
        <is>
          <t>13</t>
        </is>
      </c>
      <c r="H404" t="inlineStr">
        <is>
          <t>sin asignar</t>
        </is>
      </c>
      <c r="I404" t="inlineStr">
        <is>
          <t>Metamorfico_13</t>
        </is>
      </c>
      <c r="J404" t="inlineStr">
        <is>
          <t>Geologia_2024=Metamorfico_13 (no distingue hornfels/mármol)</t>
        </is>
      </c>
      <c r="K404" t="inlineStr">
        <is>
          <t>Hornfels (hipótesis: siglas HG, HGS, HC)</t>
        </is>
      </c>
      <c r="L404" t="inlineStr">
        <is>
          <t>Metamorfico</t>
        </is>
      </c>
      <c r="M404" t="n">
        <v>5901</v>
      </c>
      <c r="N404" t="n">
        <v>35406000</v>
      </c>
      <c r="O404" t="n">
        <v>95860224</v>
      </c>
      <c r="P404" t="inlineStr"/>
      <c r="Q404" t="n">
        <v>9.842000000000001</v>
      </c>
    </row>
    <row r="405">
      <c r="A405" t="inlineStr">
        <is>
          <t>MR24</t>
        </is>
      </c>
      <c r="B405" t="inlineStr">
        <is>
          <t>SIMULACIONES_MR2024_V3</t>
        </is>
      </c>
      <c r="C405" t="inlineStr">
        <is>
          <t>toneladas (6000 m3 x MR24_BD); pct sobre toneladas</t>
        </is>
      </c>
      <c r="D405" t="inlineStr">
        <is>
          <t>fase_LOM25_FASES_LE2</t>
        </is>
      </c>
      <c r="E405" t="inlineStr">
        <is>
          <t>1202</t>
        </is>
      </c>
      <c r="F405" t="inlineStr">
        <is>
          <t>MR24_RT</t>
        </is>
      </c>
      <c r="G405" t="inlineStr">
        <is>
          <t>14</t>
        </is>
      </c>
      <c r="H405" t="inlineStr">
        <is>
          <t>sin asignar</t>
        </is>
      </c>
      <c r="I405" t="inlineStr">
        <is>
          <t>Metamorfico_14</t>
        </is>
      </c>
      <c r="J405" t="inlineStr">
        <is>
          <t>Geologia_2024=Metamorfico_14 (no distingue hornfels/mármol)</t>
        </is>
      </c>
      <c r="K405" t="inlineStr">
        <is>
          <t>Hornfels (hipótesis: siglas HBV, HGV, HCB, HDP; 'Diop. Hornfels'~HGV)</t>
        </is>
      </c>
      <c r="L405" t="inlineStr">
        <is>
          <t>Metamorfico</t>
        </is>
      </c>
      <c r="M405" t="n">
        <v>4056</v>
      </c>
      <c r="N405" t="n">
        <v>24336000</v>
      </c>
      <c r="O405" t="n">
        <v>70252698</v>
      </c>
      <c r="P405" t="inlineStr"/>
      <c r="Q405" t="n">
        <v>7.213</v>
      </c>
    </row>
    <row r="406">
      <c r="A406" t="inlineStr">
        <is>
          <t>MR24</t>
        </is>
      </c>
      <c r="B406" t="inlineStr">
        <is>
          <t>SIMULACIONES_MR2024_V3</t>
        </is>
      </c>
      <c r="C406" t="inlineStr">
        <is>
          <t>toneladas (6000 m3 x MR24_BD); pct sobre toneladas</t>
        </is>
      </c>
      <c r="D406" t="inlineStr">
        <is>
          <t>fase_LOM25_FASES_LE2</t>
        </is>
      </c>
      <c r="E406" t="inlineStr">
        <is>
          <t>1202</t>
        </is>
      </c>
      <c r="F406" t="inlineStr">
        <is>
          <t>MR24_RT</t>
        </is>
      </c>
      <c r="G406" t="inlineStr">
        <is>
          <t>16</t>
        </is>
      </c>
      <c r="H406" t="inlineStr">
        <is>
          <t>sin asignar</t>
        </is>
      </c>
      <c r="I406" t="inlineStr">
        <is>
          <t>Metamorfico_16</t>
        </is>
      </c>
      <c r="J406" t="inlineStr">
        <is>
          <t>Geologia_2024=Metamorfico_16 (no distingue hornfels/mármol)</t>
        </is>
      </c>
      <c r="K406" t="inlineStr">
        <is>
          <t>Mármol (hipótesis: siglas MC, MG, MGS, MPA, MCGB; 'Marble'~MCGB)</t>
        </is>
      </c>
      <c r="L406" t="inlineStr">
        <is>
          <t>Metamorfico</t>
        </is>
      </c>
      <c r="M406" t="n">
        <v>31597</v>
      </c>
      <c r="N406" t="n">
        <v>189582000</v>
      </c>
      <c r="O406" t="n">
        <v>512949420</v>
      </c>
      <c r="P406" t="inlineStr"/>
      <c r="Q406" t="n">
        <v>52.663</v>
      </c>
    </row>
    <row r="407">
      <c r="A407" t="inlineStr">
        <is>
          <t>MR24</t>
        </is>
      </c>
      <c r="B407" t="inlineStr">
        <is>
          <t>SIMULACIONES_MR2024_V3</t>
        </is>
      </c>
      <c r="C407" t="inlineStr">
        <is>
          <t>toneladas (6000 m3 x MR24_BD); pct sobre toneladas</t>
        </is>
      </c>
      <c r="D407" t="inlineStr">
        <is>
          <t>fase_LOM25_FASES_LE2</t>
        </is>
      </c>
      <c r="E407" t="inlineStr">
        <is>
          <t>1202</t>
        </is>
      </c>
      <c r="F407" t="inlineStr">
        <is>
          <t>MR24_RT</t>
        </is>
      </c>
      <c r="G407" t="inlineStr">
        <is>
          <t>19</t>
        </is>
      </c>
      <c r="H407" t="inlineStr">
        <is>
          <t>sin asignar</t>
        </is>
      </c>
      <c r="I407" t="inlineStr">
        <is>
          <t>Metamorfico_19</t>
        </is>
      </c>
      <c r="J407" t="inlineStr">
        <is>
          <t>Geologia_2024=Metamorfico_19 (no distingue hornfels/mármol)</t>
        </is>
      </c>
      <c r="K407" t="inlineStr">
        <is>
          <t>Mármol (hipótesis: sigla MDP)</t>
        </is>
      </c>
      <c r="L407" t="inlineStr">
        <is>
          <t>Metamorfico</t>
        </is>
      </c>
      <c r="M407" t="n">
        <v>3262</v>
      </c>
      <c r="N407" t="n">
        <v>19572000</v>
      </c>
      <c r="O407" t="n">
        <v>56141232</v>
      </c>
      <c r="P407" t="inlineStr"/>
      <c r="Q407" t="n">
        <v>5.764</v>
      </c>
    </row>
    <row r="408">
      <c r="A408" t="inlineStr">
        <is>
          <t>MR24</t>
        </is>
      </c>
      <c r="B408" t="inlineStr">
        <is>
          <t>SIMULACIONES_MR2024_V3</t>
        </is>
      </c>
      <c r="C408" t="inlineStr">
        <is>
          <t>toneladas (6000 m3 x MR24_BD); pct sobre toneladas</t>
        </is>
      </c>
      <c r="D408" t="inlineStr">
        <is>
          <t>fase_LOM25_FASES_LE2</t>
        </is>
      </c>
      <c r="E408" t="inlineStr">
        <is>
          <t>1202</t>
        </is>
      </c>
      <c r="F408" t="inlineStr">
        <is>
          <t>MR24_RT</t>
        </is>
      </c>
      <c r="G408" t="inlineStr">
        <is>
          <t>53</t>
        </is>
      </c>
      <c r="H408" t="inlineStr">
        <is>
          <t>sin asignar</t>
        </is>
      </c>
      <c r="I408" t="inlineStr">
        <is>
          <t>RT53</t>
        </is>
      </c>
      <c r="J408" t="inlineStr">
        <is>
          <t>código sin etiqueta en los datos</t>
        </is>
      </c>
      <c r="K408" t="inlineStr">
        <is>
          <t>sin hipótesis</t>
        </is>
      </c>
      <c r="L408" t="inlineStr">
        <is>
          <t>sin leyenda</t>
        </is>
      </c>
      <c r="M408" t="n">
        <v>8</v>
      </c>
      <c r="N408" t="n">
        <v>48000</v>
      </c>
      <c r="O408" t="n">
        <v>134016</v>
      </c>
      <c r="P408" t="inlineStr"/>
      <c r="Q408" t="n">
        <v>0.014</v>
      </c>
    </row>
    <row r="409">
      <c r="A409" t="inlineStr">
        <is>
          <t>MR24</t>
        </is>
      </c>
      <c r="B409" t="inlineStr">
        <is>
          <t>SIMULACIONES_MR2024_V3</t>
        </is>
      </c>
      <c r="C409" t="inlineStr">
        <is>
          <t>toneladas (6000 m3 x MR24_BD); pct sobre toneladas</t>
        </is>
      </c>
      <c r="D409" t="inlineStr">
        <is>
          <t>fase_LOM25_FASES_LE2</t>
        </is>
      </c>
      <c r="E409" t="inlineStr">
        <is>
          <t>13</t>
        </is>
      </c>
      <c r="F409" t="inlineStr">
        <is>
          <t>MR24_RT</t>
        </is>
      </c>
      <c r="G409" t="inlineStr">
        <is>
          <t>1</t>
        </is>
      </c>
      <c r="H409" t="inlineStr">
        <is>
          <t>Intrusivo</t>
        </is>
      </c>
      <c r="I409" t="inlineStr">
        <is>
          <t>RT1</t>
        </is>
      </c>
      <c r="J409" t="inlineStr">
        <is>
          <t>Geologia_2024=Intrusivo_1</t>
        </is>
      </c>
      <c r="K409" t="inlineStr">
        <is>
          <t>Intrusivo</t>
        </is>
      </c>
      <c r="L409" t="inlineStr">
        <is>
          <t>Intrusivo</t>
        </is>
      </c>
      <c r="M409" t="n">
        <v>8070</v>
      </c>
      <c r="N409" t="n">
        <v>48420000</v>
      </c>
      <c r="O409" t="n">
        <v>118888656</v>
      </c>
      <c r="P409" t="inlineStr"/>
      <c r="Q409" t="n">
        <v>11.179</v>
      </c>
    </row>
    <row r="410">
      <c r="A410" t="inlineStr">
        <is>
          <t>MR24</t>
        </is>
      </c>
      <c r="B410" t="inlineStr">
        <is>
          <t>SIMULACIONES_MR2024_V3</t>
        </is>
      </c>
      <c r="C410" t="inlineStr">
        <is>
          <t>toneladas (6000 m3 x MR24_BD); pct sobre toneladas</t>
        </is>
      </c>
      <c r="D410" t="inlineStr">
        <is>
          <t>fase_LOM25_FASES_LE2</t>
        </is>
      </c>
      <c r="E410" t="inlineStr">
        <is>
          <t>13</t>
        </is>
      </c>
      <c r="F410" t="inlineStr">
        <is>
          <t>MR24_RT</t>
        </is>
      </c>
      <c r="G410" t="inlineStr">
        <is>
          <t>2</t>
        </is>
      </c>
      <c r="H410" t="inlineStr">
        <is>
          <t>Intrusivo</t>
        </is>
      </c>
      <c r="I410" t="inlineStr">
        <is>
          <t>RT2</t>
        </is>
      </c>
      <c r="J410" t="inlineStr">
        <is>
          <t>Geologia_2024=Intrusivo_2</t>
        </is>
      </c>
      <c r="K410" t="inlineStr">
        <is>
          <t>Intrusivo</t>
        </is>
      </c>
      <c r="L410" t="inlineStr">
        <is>
          <t>Intrusivo</t>
        </is>
      </c>
      <c r="M410" t="n">
        <v>1383</v>
      </c>
      <c r="N410" t="n">
        <v>8298000</v>
      </c>
      <c r="O410" t="n">
        <v>22247844</v>
      </c>
      <c r="P410" t="inlineStr"/>
      <c r="Q410" t="n">
        <v>2.092</v>
      </c>
    </row>
    <row r="411">
      <c r="A411" t="inlineStr">
        <is>
          <t>MR24</t>
        </is>
      </c>
      <c r="B411" t="inlineStr">
        <is>
          <t>SIMULACIONES_MR2024_V3</t>
        </is>
      </c>
      <c r="C411" t="inlineStr">
        <is>
          <t>toneladas (6000 m3 x MR24_BD); pct sobre toneladas</t>
        </is>
      </c>
      <c r="D411" t="inlineStr">
        <is>
          <t>fase_LOM25_FASES_LE2</t>
        </is>
      </c>
      <c r="E411" t="inlineStr">
        <is>
          <t>13</t>
        </is>
      </c>
      <c r="F411" t="inlineStr">
        <is>
          <t>MR24_RT</t>
        </is>
      </c>
      <c r="G411" t="inlineStr">
        <is>
          <t>10</t>
        </is>
      </c>
      <c r="H411" t="inlineStr">
        <is>
          <t>sin asignar</t>
        </is>
      </c>
      <c r="I411" t="inlineStr">
        <is>
          <t>Sedimentario_10</t>
        </is>
      </c>
      <c r="J411" t="inlineStr">
        <is>
          <t>Geologia_2024=Sedimentario_10 (no especifica caliza)</t>
        </is>
      </c>
      <c r="K411" t="inlineStr">
        <is>
          <t>Caliza (hipótesis: siglas C*)</t>
        </is>
      </c>
      <c r="L411" t="inlineStr">
        <is>
          <t>Sedimentario</t>
        </is>
      </c>
      <c r="M411" t="n">
        <v>2524</v>
      </c>
      <c r="N411" t="n">
        <v>15144000</v>
      </c>
      <c r="O411" t="n">
        <v>41093634</v>
      </c>
      <c r="P411" t="inlineStr"/>
      <c r="Q411" t="n">
        <v>3.864</v>
      </c>
    </row>
    <row r="412">
      <c r="A412" t="inlineStr">
        <is>
          <t>MR24</t>
        </is>
      </c>
      <c r="B412" t="inlineStr">
        <is>
          <t>SIMULACIONES_MR2024_V3</t>
        </is>
      </c>
      <c r="C412" t="inlineStr">
        <is>
          <t>toneladas (6000 m3 x MR24_BD); pct sobre toneladas</t>
        </is>
      </c>
      <c r="D412" t="inlineStr">
        <is>
          <t>fase_LOM25_FASES_LE2</t>
        </is>
      </c>
      <c r="E412" t="inlineStr">
        <is>
          <t>13</t>
        </is>
      </c>
      <c r="F412" t="inlineStr">
        <is>
          <t>MR24_RT</t>
        </is>
      </c>
      <c r="G412" t="inlineStr">
        <is>
          <t>11</t>
        </is>
      </c>
      <c r="H412" t="inlineStr">
        <is>
          <t>sin asignar</t>
        </is>
      </c>
      <c r="I412" t="inlineStr">
        <is>
          <t>Sedimentario_11</t>
        </is>
      </c>
      <c r="J412" t="inlineStr">
        <is>
          <t>Geologia_2024=Sedimentario_11 (no especifica caliza)</t>
        </is>
      </c>
      <c r="K412" t="inlineStr">
        <is>
          <t>Caliza (hipótesis: Sedimentario; RT11~NUMEQ10, siglas C*)</t>
        </is>
      </c>
      <c r="L412" t="inlineStr">
        <is>
          <t>Sedimentario</t>
        </is>
      </c>
      <c r="M412" t="n">
        <v>23965</v>
      </c>
      <c r="N412" t="n">
        <v>143790000</v>
      </c>
      <c r="O412" t="n">
        <v>390302352</v>
      </c>
      <c r="P412" t="inlineStr"/>
      <c r="Q412" t="n">
        <v>36.7</v>
      </c>
    </row>
    <row r="413">
      <c r="A413" t="inlineStr">
        <is>
          <t>MR24</t>
        </is>
      </c>
      <c r="B413" t="inlineStr">
        <is>
          <t>SIMULACIONES_MR2024_V3</t>
        </is>
      </c>
      <c r="C413" t="inlineStr">
        <is>
          <t>toneladas (6000 m3 x MR24_BD); pct sobre toneladas</t>
        </is>
      </c>
      <c r="D413" t="inlineStr">
        <is>
          <t>fase_LOM25_FASES_LE2</t>
        </is>
      </c>
      <c r="E413" t="inlineStr">
        <is>
          <t>13</t>
        </is>
      </c>
      <c r="F413" t="inlineStr">
        <is>
          <t>MR24_RT</t>
        </is>
      </c>
      <c r="G413" t="inlineStr">
        <is>
          <t>13</t>
        </is>
      </c>
      <c r="H413" t="inlineStr">
        <is>
          <t>sin asignar</t>
        </is>
      </c>
      <c r="I413" t="inlineStr">
        <is>
          <t>Metamorfico_13</t>
        </is>
      </c>
      <c r="J413" t="inlineStr">
        <is>
          <t>Geologia_2024=Metamorfico_13 (no distingue hornfels/mármol)</t>
        </is>
      </c>
      <c r="K413" t="inlineStr">
        <is>
          <t>Hornfels (hipótesis: siglas HG, HGS, HC)</t>
        </is>
      </c>
      <c r="L413" t="inlineStr">
        <is>
          <t>Metamorfico</t>
        </is>
      </c>
      <c r="M413" t="n">
        <v>16646</v>
      </c>
      <c r="N413" t="n">
        <v>99876000</v>
      </c>
      <c r="O413" t="n">
        <v>269473248</v>
      </c>
      <c r="P413" t="inlineStr"/>
      <c r="Q413" t="n">
        <v>25.338</v>
      </c>
    </row>
    <row r="414">
      <c r="A414" t="inlineStr">
        <is>
          <t>MR24</t>
        </is>
      </c>
      <c r="B414" t="inlineStr">
        <is>
          <t>SIMULACIONES_MR2024_V3</t>
        </is>
      </c>
      <c r="C414" t="inlineStr">
        <is>
          <t>toneladas (6000 m3 x MR24_BD); pct sobre toneladas</t>
        </is>
      </c>
      <c r="D414" t="inlineStr">
        <is>
          <t>fase_LOM25_FASES_LE2</t>
        </is>
      </c>
      <c r="E414" t="inlineStr">
        <is>
          <t>13</t>
        </is>
      </c>
      <c r="F414" t="inlineStr">
        <is>
          <t>MR24_RT</t>
        </is>
      </c>
      <c r="G414" t="inlineStr">
        <is>
          <t>14</t>
        </is>
      </c>
      <c r="H414" t="inlineStr">
        <is>
          <t>sin asignar</t>
        </is>
      </c>
      <c r="I414" t="inlineStr">
        <is>
          <t>Metamorfico_14</t>
        </is>
      </c>
      <c r="J414" t="inlineStr">
        <is>
          <t>Geologia_2024=Metamorfico_14 (no distingue hornfels/mármol)</t>
        </is>
      </c>
      <c r="K414" t="inlineStr">
        <is>
          <t>Hornfels (hipótesis: siglas HBV, HGV, HCB, HDP; 'Diop. Hornfels'~HGV)</t>
        </is>
      </c>
      <c r="L414" t="inlineStr">
        <is>
          <t>Metamorfico</t>
        </is>
      </c>
      <c r="M414" t="n">
        <v>894</v>
      </c>
      <c r="N414" t="n">
        <v>5364000</v>
      </c>
      <c r="O414" t="n">
        <v>14799924</v>
      </c>
      <c r="P414" t="inlineStr"/>
      <c r="Q414" t="n">
        <v>1.392</v>
      </c>
    </row>
    <row r="415">
      <c r="A415" t="inlineStr">
        <is>
          <t>MR24</t>
        </is>
      </c>
      <c r="B415" t="inlineStr">
        <is>
          <t>SIMULACIONES_MR2024_V3</t>
        </is>
      </c>
      <c r="C415" t="inlineStr">
        <is>
          <t>toneladas (6000 m3 x MR24_BD); pct sobre toneladas</t>
        </is>
      </c>
      <c r="D415" t="inlineStr">
        <is>
          <t>fase_LOM25_FASES_LE2</t>
        </is>
      </c>
      <c r="E415" t="inlineStr">
        <is>
          <t>13</t>
        </is>
      </c>
      <c r="F415" t="inlineStr">
        <is>
          <t>MR24_RT</t>
        </is>
      </c>
      <c r="G415" t="inlineStr">
        <is>
          <t>16</t>
        </is>
      </c>
      <c r="H415" t="inlineStr">
        <is>
          <t>sin asignar</t>
        </is>
      </c>
      <c r="I415" t="inlineStr">
        <is>
          <t>Metamorfico_16</t>
        </is>
      </c>
      <c r="J415" t="inlineStr">
        <is>
          <t>Geologia_2024=Metamorfico_16 (no distingue hornfels/mármol)</t>
        </is>
      </c>
      <c r="K415" t="inlineStr">
        <is>
          <t>Mármol (hipótesis: siglas MC, MG, MGS, MPA, MCGB; 'Marble'~MCGB)</t>
        </is>
      </c>
      <c r="L415" t="inlineStr">
        <is>
          <t>Metamorfico</t>
        </is>
      </c>
      <c r="M415" t="n">
        <v>12105</v>
      </c>
      <c r="N415" t="n">
        <v>72630000</v>
      </c>
      <c r="O415" t="n">
        <v>197763492</v>
      </c>
      <c r="P415" t="inlineStr"/>
      <c r="Q415" t="n">
        <v>18.595</v>
      </c>
    </row>
    <row r="416">
      <c r="A416" t="inlineStr">
        <is>
          <t>MR24</t>
        </is>
      </c>
      <c r="B416" t="inlineStr">
        <is>
          <t>SIMULACIONES_MR2024_V3</t>
        </is>
      </c>
      <c r="C416" t="inlineStr">
        <is>
          <t>toneladas (6000 m3 x MR24_BD); pct sobre toneladas</t>
        </is>
      </c>
      <c r="D416" t="inlineStr">
        <is>
          <t>fase_LOM25_FASES_LE2</t>
        </is>
      </c>
      <c r="E416" t="inlineStr">
        <is>
          <t>13</t>
        </is>
      </c>
      <c r="F416" t="inlineStr">
        <is>
          <t>MR24_RT</t>
        </is>
      </c>
      <c r="G416" t="inlineStr">
        <is>
          <t>19</t>
        </is>
      </c>
      <c r="H416" t="inlineStr">
        <is>
          <t>sin asignar</t>
        </is>
      </c>
      <c r="I416" t="inlineStr">
        <is>
          <t>Metamorfico_19</t>
        </is>
      </c>
      <c r="J416" t="inlineStr">
        <is>
          <t>Geologia_2024=Metamorfico_19 (no distingue hornfels/mármol)</t>
        </is>
      </c>
      <c r="K416" t="inlineStr">
        <is>
          <t>Mármol (hipótesis: sigla MDP)</t>
        </is>
      </c>
      <c r="L416" t="inlineStr">
        <is>
          <t>Metamorfico</t>
        </is>
      </c>
      <c r="M416" t="n">
        <v>523</v>
      </c>
      <c r="N416" t="n">
        <v>3138000</v>
      </c>
      <c r="O416" t="n">
        <v>8717034</v>
      </c>
      <c r="P416" t="inlineStr"/>
      <c r="Q416" t="n">
        <v>0.82</v>
      </c>
    </row>
    <row r="417">
      <c r="A417" t="inlineStr">
        <is>
          <t>MR24</t>
        </is>
      </c>
      <c r="B417" t="inlineStr">
        <is>
          <t>SIMULACIONES_MR2024_V3</t>
        </is>
      </c>
      <c r="C417" t="inlineStr">
        <is>
          <t>toneladas (6000 m3 x MR24_BD); pct sobre toneladas</t>
        </is>
      </c>
      <c r="D417" t="inlineStr">
        <is>
          <t>fase_LOM25_FASES_LE2</t>
        </is>
      </c>
      <c r="E417" t="inlineStr">
        <is>
          <t>13</t>
        </is>
      </c>
      <c r="F417" t="inlineStr">
        <is>
          <t>MR24_RT</t>
        </is>
      </c>
      <c r="G417" t="inlineStr">
        <is>
          <t>53</t>
        </is>
      </c>
      <c r="H417" t="inlineStr">
        <is>
          <t>sin asignar</t>
        </is>
      </c>
      <c r="I417" t="inlineStr">
        <is>
          <t>RT53</t>
        </is>
      </c>
      <c r="J417" t="inlineStr">
        <is>
          <t>código sin etiqueta en los datos</t>
        </is>
      </c>
      <c r="K417" t="inlineStr">
        <is>
          <t>sin hipótesis</t>
        </is>
      </c>
      <c r="L417" t="inlineStr">
        <is>
          <t>sin leyenda</t>
        </is>
      </c>
      <c r="M417" t="n">
        <v>13</v>
      </c>
      <c r="N417" t="n">
        <v>78000</v>
      </c>
      <c r="O417" t="n">
        <v>217392</v>
      </c>
      <c r="P417" t="inlineStr"/>
      <c r="Q417" t="n">
        <v>0.02</v>
      </c>
    </row>
    <row r="418">
      <c r="A418" t="inlineStr">
        <is>
          <t>MR24</t>
        </is>
      </c>
      <c r="B418" t="inlineStr">
        <is>
          <t>SIMULACIONES_MR2024_V3</t>
        </is>
      </c>
      <c r="C418" t="inlineStr">
        <is>
          <t>toneladas (6000 m3 x MR24_BD); pct sobre toneladas</t>
        </is>
      </c>
      <c r="D418" t="inlineStr">
        <is>
          <t>fase_LOM25_FASES_LE2</t>
        </is>
      </c>
      <c r="E418" t="inlineStr">
        <is>
          <t>14</t>
        </is>
      </c>
      <c r="F418" t="inlineStr">
        <is>
          <t>MR24_RT</t>
        </is>
      </c>
      <c r="G418" t="inlineStr">
        <is>
          <t>1</t>
        </is>
      </c>
      <c r="H418" t="inlineStr">
        <is>
          <t>Intrusivo</t>
        </is>
      </c>
      <c r="I418" t="inlineStr">
        <is>
          <t>RT1</t>
        </is>
      </c>
      <c r="J418" t="inlineStr">
        <is>
          <t>Geologia_2024=Intrusivo_1</t>
        </is>
      </c>
      <c r="K418" t="inlineStr">
        <is>
          <t>Intrusivo</t>
        </is>
      </c>
      <c r="L418" t="inlineStr">
        <is>
          <t>Intrusivo</t>
        </is>
      </c>
      <c r="M418" t="n">
        <v>5284</v>
      </c>
      <c r="N418" t="n">
        <v>31704000</v>
      </c>
      <c r="O418" t="n">
        <v>78322332</v>
      </c>
      <c r="P418" t="inlineStr"/>
      <c r="Q418" t="n">
        <v>10.836</v>
      </c>
    </row>
    <row r="419">
      <c r="A419" t="inlineStr">
        <is>
          <t>MR24</t>
        </is>
      </c>
      <c r="B419" t="inlineStr">
        <is>
          <t>SIMULACIONES_MR2024_V3</t>
        </is>
      </c>
      <c r="C419" t="inlineStr">
        <is>
          <t>toneladas (6000 m3 x MR24_BD); pct sobre toneladas</t>
        </is>
      </c>
      <c r="D419" t="inlineStr">
        <is>
          <t>fase_LOM25_FASES_LE2</t>
        </is>
      </c>
      <c r="E419" t="inlineStr">
        <is>
          <t>14</t>
        </is>
      </c>
      <c r="F419" t="inlineStr">
        <is>
          <t>MR24_RT</t>
        </is>
      </c>
      <c r="G419" t="inlineStr">
        <is>
          <t>2</t>
        </is>
      </c>
      <c r="H419" t="inlineStr">
        <is>
          <t>Intrusivo</t>
        </is>
      </c>
      <c r="I419" t="inlineStr">
        <is>
          <t>RT2</t>
        </is>
      </c>
      <c r="J419" t="inlineStr">
        <is>
          <t>Geologia_2024=Intrusivo_2</t>
        </is>
      </c>
      <c r="K419" t="inlineStr">
        <is>
          <t>Intrusivo</t>
        </is>
      </c>
      <c r="L419" t="inlineStr">
        <is>
          <t>Intrusivo</t>
        </is>
      </c>
      <c r="M419" t="n">
        <v>199</v>
      </c>
      <c r="N419" t="n">
        <v>1194000</v>
      </c>
      <c r="O419" t="n">
        <v>3193236</v>
      </c>
      <c r="P419" t="inlineStr"/>
      <c r="Q419" t="n">
        <v>0.442</v>
      </c>
    </row>
    <row r="420">
      <c r="A420" t="inlineStr">
        <is>
          <t>MR24</t>
        </is>
      </c>
      <c r="B420" t="inlineStr">
        <is>
          <t>SIMULACIONES_MR2024_V3</t>
        </is>
      </c>
      <c r="C420" t="inlineStr">
        <is>
          <t>toneladas (6000 m3 x MR24_BD); pct sobre toneladas</t>
        </is>
      </c>
      <c r="D420" t="inlineStr">
        <is>
          <t>fase_LOM25_FASES_LE2</t>
        </is>
      </c>
      <c r="E420" t="inlineStr">
        <is>
          <t>14</t>
        </is>
      </c>
      <c r="F420" t="inlineStr">
        <is>
          <t>MR24_RT</t>
        </is>
      </c>
      <c r="G420" t="inlineStr">
        <is>
          <t>10</t>
        </is>
      </c>
      <c r="H420" t="inlineStr">
        <is>
          <t>sin asignar</t>
        </is>
      </c>
      <c r="I420" t="inlineStr">
        <is>
          <t>Sedimentario_10</t>
        </is>
      </c>
      <c r="J420" t="inlineStr">
        <is>
          <t>Geologia_2024=Sedimentario_10 (no especifica caliza)</t>
        </is>
      </c>
      <c r="K420" t="inlineStr">
        <is>
          <t>Caliza (hipótesis: siglas C*)</t>
        </is>
      </c>
      <c r="L420" t="inlineStr">
        <is>
          <t>Sedimentario</t>
        </is>
      </c>
      <c r="M420" t="n">
        <v>7450</v>
      </c>
      <c r="N420" t="n">
        <v>44700000</v>
      </c>
      <c r="O420" t="n">
        <v>121170768</v>
      </c>
      <c r="P420" t="inlineStr"/>
      <c r="Q420" t="n">
        <v>16.764</v>
      </c>
    </row>
    <row r="421">
      <c r="A421" t="inlineStr">
        <is>
          <t>MR24</t>
        </is>
      </c>
      <c r="B421" t="inlineStr">
        <is>
          <t>SIMULACIONES_MR2024_V3</t>
        </is>
      </c>
      <c r="C421" t="inlineStr">
        <is>
          <t>toneladas (6000 m3 x MR24_BD); pct sobre toneladas</t>
        </is>
      </c>
      <c r="D421" t="inlineStr">
        <is>
          <t>fase_LOM25_FASES_LE2</t>
        </is>
      </c>
      <c r="E421" t="inlineStr">
        <is>
          <t>14</t>
        </is>
      </c>
      <c r="F421" t="inlineStr">
        <is>
          <t>MR24_RT</t>
        </is>
      </c>
      <c r="G421" t="inlineStr">
        <is>
          <t>11</t>
        </is>
      </c>
      <c r="H421" t="inlineStr">
        <is>
          <t>sin asignar</t>
        </is>
      </c>
      <c r="I421" t="inlineStr">
        <is>
          <t>Sedimentario_11</t>
        </is>
      </c>
      <c r="J421" t="inlineStr">
        <is>
          <t>Geologia_2024=Sedimentario_11 (no especifica caliza)</t>
        </is>
      </c>
      <c r="K421" t="inlineStr">
        <is>
          <t>Caliza (hipótesis: Sedimentario; RT11~NUMEQ10, siglas C*)</t>
        </is>
      </c>
      <c r="L421" t="inlineStr">
        <is>
          <t>Sedimentario</t>
        </is>
      </c>
      <c r="M421" t="n">
        <v>9335</v>
      </c>
      <c r="N421" t="n">
        <v>56010000</v>
      </c>
      <c r="O421" t="n">
        <v>151350048</v>
      </c>
      <c r="P421" t="inlineStr"/>
      <c r="Q421" t="n">
        <v>20.939</v>
      </c>
    </row>
    <row r="422">
      <c r="A422" t="inlineStr">
        <is>
          <t>MR24</t>
        </is>
      </c>
      <c r="B422" t="inlineStr">
        <is>
          <t>SIMULACIONES_MR2024_V3</t>
        </is>
      </c>
      <c r="C422" t="inlineStr">
        <is>
          <t>toneladas (6000 m3 x MR24_BD); pct sobre toneladas</t>
        </is>
      </c>
      <c r="D422" t="inlineStr">
        <is>
          <t>fase_LOM25_FASES_LE2</t>
        </is>
      </c>
      <c r="E422" t="inlineStr">
        <is>
          <t>14</t>
        </is>
      </c>
      <c r="F422" t="inlineStr">
        <is>
          <t>MR24_RT</t>
        </is>
      </c>
      <c r="G422" t="inlineStr">
        <is>
          <t>13</t>
        </is>
      </c>
      <c r="H422" t="inlineStr">
        <is>
          <t>sin asignar</t>
        </is>
      </c>
      <c r="I422" t="inlineStr">
        <is>
          <t>Metamorfico_13</t>
        </is>
      </c>
      <c r="J422" t="inlineStr">
        <is>
          <t>Geologia_2024=Metamorfico_13 (no distingue hornfels/mármol)</t>
        </is>
      </c>
      <c r="K422" t="inlineStr">
        <is>
          <t>Hornfels (hipótesis: siglas HG, HGS, HC)</t>
        </is>
      </c>
      <c r="L422" t="inlineStr">
        <is>
          <t>Metamorfico</t>
        </is>
      </c>
      <c r="M422" t="n">
        <v>4954</v>
      </c>
      <c r="N422" t="n">
        <v>29724000</v>
      </c>
      <c r="O422" t="n">
        <v>80508888</v>
      </c>
      <c r="P422" t="inlineStr"/>
      <c r="Q422" t="n">
        <v>11.138</v>
      </c>
    </row>
    <row r="423">
      <c r="A423" t="inlineStr">
        <is>
          <t>MR24</t>
        </is>
      </c>
      <c r="B423" t="inlineStr">
        <is>
          <t>SIMULACIONES_MR2024_V3</t>
        </is>
      </c>
      <c r="C423" t="inlineStr">
        <is>
          <t>toneladas (6000 m3 x MR24_BD); pct sobre toneladas</t>
        </is>
      </c>
      <c r="D423" t="inlineStr">
        <is>
          <t>fase_LOM25_FASES_LE2</t>
        </is>
      </c>
      <c r="E423" t="inlineStr">
        <is>
          <t>14</t>
        </is>
      </c>
      <c r="F423" t="inlineStr">
        <is>
          <t>MR24_RT</t>
        </is>
      </c>
      <c r="G423" t="inlineStr">
        <is>
          <t>14</t>
        </is>
      </c>
      <c r="H423" t="inlineStr">
        <is>
          <t>sin asignar</t>
        </is>
      </c>
      <c r="I423" t="inlineStr">
        <is>
          <t>Metamorfico_14</t>
        </is>
      </c>
      <c r="J423" t="inlineStr">
        <is>
          <t>Geologia_2024=Metamorfico_14 (no distingue hornfels/mármol)</t>
        </is>
      </c>
      <c r="K423" t="inlineStr">
        <is>
          <t>Hornfels (hipótesis: siglas HBV, HGV, HCB, HDP; 'Diop. Hornfels'~HGV)</t>
        </is>
      </c>
      <c r="L423" t="inlineStr">
        <is>
          <t>Metamorfico</t>
        </is>
      </c>
      <c r="M423" t="n">
        <v>914</v>
      </c>
      <c r="N423" t="n">
        <v>5484000</v>
      </c>
      <c r="O423" t="n">
        <v>15811248</v>
      </c>
      <c r="P423" t="inlineStr"/>
      <c r="Q423" t="n">
        <v>2.187</v>
      </c>
    </row>
    <row r="424">
      <c r="A424" t="inlineStr">
        <is>
          <t>MR24</t>
        </is>
      </c>
      <c r="B424" t="inlineStr">
        <is>
          <t>SIMULACIONES_MR2024_V3</t>
        </is>
      </c>
      <c r="C424" t="inlineStr">
        <is>
          <t>toneladas (6000 m3 x MR24_BD); pct sobre toneladas</t>
        </is>
      </c>
      <c r="D424" t="inlineStr">
        <is>
          <t>fase_LOM25_FASES_LE2</t>
        </is>
      </c>
      <c r="E424" t="inlineStr">
        <is>
          <t>14</t>
        </is>
      </c>
      <c r="F424" t="inlineStr">
        <is>
          <t>MR24_RT</t>
        </is>
      </c>
      <c r="G424" t="inlineStr">
        <is>
          <t>16</t>
        </is>
      </c>
      <c r="H424" t="inlineStr">
        <is>
          <t>sin asignar</t>
        </is>
      </c>
      <c r="I424" t="inlineStr">
        <is>
          <t>Metamorfico_16</t>
        </is>
      </c>
      <c r="J424" t="inlineStr">
        <is>
          <t>Geologia_2024=Metamorfico_16 (no distingue hornfels/mármol)</t>
        </is>
      </c>
      <c r="K424" t="inlineStr">
        <is>
          <t>Mármol (hipótesis: siglas MC, MG, MGS, MPA, MCGB; 'Marble'~MCGB)</t>
        </is>
      </c>
      <c r="L424" t="inlineStr">
        <is>
          <t>Metamorfico</t>
        </is>
      </c>
      <c r="M424" t="n">
        <v>16079</v>
      </c>
      <c r="N424" t="n">
        <v>96474000</v>
      </c>
      <c r="O424" t="n">
        <v>261600282</v>
      </c>
      <c r="P424" t="inlineStr"/>
      <c r="Q424" t="n">
        <v>36.192</v>
      </c>
    </row>
    <row r="425">
      <c r="A425" t="inlineStr">
        <is>
          <t>MR24</t>
        </is>
      </c>
      <c r="B425" t="inlineStr">
        <is>
          <t>SIMULACIONES_MR2024_V3</t>
        </is>
      </c>
      <c r="C425" t="inlineStr">
        <is>
          <t>toneladas (6000 m3 x MR24_BD); pct sobre toneladas</t>
        </is>
      </c>
      <c r="D425" t="inlineStr">
        <is>
          <t>fase_LOM25_FASES_LE2</t>
        </is>
      </c>
      <c r="E425" t="inlineStr">
        <is>
          <t>14</t>
        </is>
      </c>
      <c r="F425" t="inlineStr">
        <is>
          <t>MR24_RT</t>
        </is>
      </c>
      <c r="G425" t="inlineStr">
        <is>
          <t>19</t>
        </is>
      </c>
      <c r="H425" t="inlineStr">
        <is>
          <t>sin asignar</t>
        </is>
      </c>
      <c r="I425" t="inlineStr">
        <is>
          <t>Metamorfico_19</t>
        </is>
      </c>
      <c r="J425" t="inlineStr">
        <is>
          <t>Geologia_2024=Metamorfico_19 (no distingue hornfels/mármol)</t>
        </is>
      </c>
      <c r="K425" t="inlineStr">
        <is>
          <t>Mármol (hipótesis: sigla MDP)</t>
        </is>
      </c>
      <c r="L425" t="inlineStr">
        <is>
          <t>Metamorfico</t>
        </is>
      </c>
      <c r="M425" t="n">
        <v>620</v>
      </c>
      <c r="N425" t="n">
        <v>3720000</v>
      </c>
      <c r="O425" t="n">
        <v>10580190</v>
      </c>
      <c r="P425" t="inlineStr"/>
      <c r="Q425" t="n">
        <v>1.464</v>
      </c>
    </row>
    <row r="426">
      <c r="A426" t="inlineStr">
        <is>
          <t>MR24</t>
        </is>
      </c>
      <c r="B426" t="inlineStr">
        <is>
          <t>SIMULACIONES_MR2024_V3</t>
        </is>
      </c>
      <c r="C426" t="inlineStr">
        <is>
          <t>toneladas (6000 m3 x MR24_BD); pct sobre toneladas</t>
        </is>
      </c>
      <c r="D426" t="inlineStr">
        <is>
          <t>fase_LOM25_FASES_LE2</t>
        </is>
      </c>
      <c r="E426" t="inlineStr">
        <is>
          <t>14</t>
        </is>
      </c>
      <c r="F426" t="inlineStr">
        <is>
          <t>MR24_RT</t>
        </is>
      </c>
      <c r="G426" t="inlineStr">
        <is>
          <t>53</t>
        </is>
      </c>
      <c r="H426" t="inlineStr">
        <is>
          <t>sin asignar</t>
        </is>
      </c>
      <c r="I426" t="inlineStr">
        <is>
          <t>RT53</t>
        </is>
      </c>
      <c r="J426" t="inlineStr">
        <is>
          <t>código sin etiqueta en los datos</t>
        </is>
      </c>
      <c r="K426" t="inlineStr">
        <is>
          <t>sin hipótesis</t>
        </is>
      </c>
      <c r="L426" t="inlineStr">
        <is>
          <t>sin leyenda</t>
        </is>
      </c>
      <c r="M426" t="n">
        <v>17</v>
      </c>
      <c r="N426" t="n">
        <v>102000</v>
      </c>
      <c r="O426" t="n">
        <v>277722</v>
      </c>
      <c r="P426" t="inlineStr"/>
      <c r="Q426" t="n">
        <v>0.038</v>
      </c>
    </row>
    <row r="427">
      <c r="A427" t="inlineStr">
        <is>
          <t>MR24</t>
        </is>
      </c>
      <c r="B427" t="inlineStr">
        <is>
          <t>SIMULACIONES_MR2024_V3</t>
        </is>
      </c>
      <c r="C427" t="inlineStr">
        <is>
          <t>toneladas (6000 m3 x MR24_BD); pct sobre toneladas</t>
        </is>
      </c>
      <c r="D427" t="inlineStr">
        <is>
          <t>fase_LOM25_FASES_LE2</t>
        </is>
      </c>
      <c r="E427" t="inlineStr">
        <is>
          <t>8</t>
        </is>
      </c>
      <c r="F427" t="inlineStr">
        <is>
          <t>MR24_RT</t>
        </is>
      </c>
      <c r="G427" t="inlineStr">
        <is>
          <t>1</t>
        </is>
      </c>
      <c r="H427" t="inlineStr">
        <is>
          <t>Intrusivo</t>
        </is>
      </c>
      <c r="I427" t="inlineStr">
        <is>
          <t>RT1</t>
        </is>
      </c>
      <c r="J427" t="inlineStr">
        <is>
          <t>Geologia_2024=Intrusivo_1</t>
        </is>
      </c>
      <c r="K427" t="inlineStr">
        <is>
          <t>Intrusivo</t>
        </is>
      </c>
      <c r="L427" t="inlineStr">
        <is>
          <t>Intrusivo</t>
        </is>
      </c>
      <c r="M427" t="n">
        <v>675</v>
      </c>
      <c r="N427" t="n">
        <v>4050000</v>
      </c>
      <c r="O427" t="n">
        <v>9851040</v>
      </c>
      <c r="P427" t="inlineStr"/>
      <c r="Q427" t="n">
        <v>97.58799999999999</v>
      </c>
    </row>
    <row r="428">
      <c r="A428" t="inlineStr">
        <is>
          <t>MR24</t>
        </is>
      </c>
      <c r="B428" t="inlineStr">
        <is>
          <t>SIMULACIONES_MR2024_V3</t>
        </is>
      </c>
      <c r="C428" t="inlineStr">
        <is>
          <t>toneladas (6000 m3 x MR24_BD); pct sobre toneladas</t>
        </is>
      </c>
      <c r="D428" t="inlineStr">
        <is>
          <t>fase_LOM25_FASES_LE2</t>
        </is>
      </c>
      <c r="E428" t="inlineStr">
        <is>
          <t>8</t>
        </is>
      </c>
      <c r="F428" t="inlineStr">
        <is>
          <t>MR24_RT</t>
        </is>
      </c>
      <c r="G428" t="inlineStr">
        <is>
          <t>53</t>
        </is>
      </c>
      <c r="H428" t="inlineStr">
        <is>
          <t>sin asignar</t>
        </is>
      </c>
      <c r="I428" t="inlineStr">
        <is>
          <t>RT53</t>
        </is>
      </c>
      <c r="J428" t="inlineStr">
        <is>
          <t>código sin etiqueta en los datos</t>
        </is>
      </c>
      <c r="K428" t="inlineStr">
        <is>
          <t>sin hipótesis</t>
        </is>
      </c>
      <c r="L428" t="inlineStr">
        <is>
          <t>sin leyenda</t>
        </is>
      </c>
      <c r="M428" t="n">
        <v>16</v>
      </c>
      <c r="N428" t="n">
        <v>96000</v>
      </c>
      <c r="O428" t="n">
        <v>243480</v>
      </c>
      <c r="P428" t="inlineStr"/>
      <c r="Q428" t="n">
        <v>2.412</v>
      </c>
    </row>
    <row r="429">
      <c r="A429" t="inlineStr">
        <is>
          <t>MR24</t>
        </is>
      </c>
      <c r="B429" t="inlineStr">
        <is>
          <t>SIMULACIONES_MR2024_V3</t>
        </is>
      </c>
      <c r="C429" t="inlineStr">
        <is>
          <t>toneladas (6000 m3 x MR24_BD); pct sobre toneladas</t>
        </is>
      </c>
      <c r="D429" t="inlineStr">
        <is>
          <t>fase_LOM25_FASES_LE2</t>
        </is>
      </c>
      <c r="E429" t="inlineStr">
        <is>
          <t>9A</t>
        </is>
      </c>
      <c r="F429" t="inlineStr">
        <is>
          <t>MR24_RT</t>
        </is>
      </c>
      <c r="G429" t="inlineStr">
        <is>
          <t>10</t>
        </is>
      </c>
      <c r="H429" t="inlineStr">
        <is>
          <t>sin asignar</t>
        </is>
      </c>
      <c r="I429" t="inlineStr">
        <is>
          <t>Sedimentario_10</t>
        </is>
      </c>
      <c r="J429" t="inlineStr">
        <is>
          <t>Geologia_2024=Sedimentario_10 (no especifica caliza)</t>
        </is>
      </c>
      <c r="K429" t="inlineStr">
        <is>
          <t>Caliza (hipótesis: siglas C*)</t>
        </is>
      </c>
      <c r="L429" t="inlineStr">
        <is>
          <t>Sedimentario</t>
        </is>
      </c>
      <c r="M429" t="n">
        <v>1</v>
      </c>
      <c r="N429" t="n">
        <v>6000</v>
      </c>
      <c r="O429" t="n">
        <v>16254</v>
      </c>
      <c r="P429" t="inlineStr"/>
      <c r="Q429" t="n">
        <v>16.662</v>
      </c>
    </row>
    <row r="430">
      <c r="A430" t="inlineStr">
        <is>
          <t>MR24</t>
        </is>
      </c>
      <c r="B430" t="inlineStr">
        <is>
          <t>SIMULACIONES_MR2024_V3</t>
        </is>
      </c>
      <c r="C430" t="inlineStr">
        <is>
          <t>toneladas (6000 m3 x MR24_BD); pct sobre toneladas</t>
        </is>
      </c>
      <c r="D430" t="inlineStr">
        <is>
          <t>fase_LOM25_FASES_LE2</t>
        </is>
      </c>
      <c r="E430" t="inlineStr">
        <is>
          <t>9A</t>
        </is>
      </c>
      <c r="F430" t="inlineStr">
        <is>
          <t>MR24_RT</t>
        </is>
      </c>
      <c r="G430" t="inlineStr">
        <is>
          <t>11</t>
        </is>
      </c>
      <c r="H430" t="inlineStr">
        <is>
          <t>sin asignar</t>
        </is>
      </c>
      <c r="I430" t="inlineStr">
        <is>
          <t>Sedimentario_11</t>
        </is>
      </c>
      <c r="J430" t="inlineStr">
        <is>
          <t>Geologia_2024=Sedimentario_11 (no especifica caliza)</t>
        </is>
      </c>
      <c r="K430" t="inlineStr">
        <is>
          <t>Caliza (hipótesis: Sedimentario; RT11~NUMEQ10, siglas C*)</t>
        </is>
      </c>
      <c r="L430" t="inlineStr">
        <is>
          <t>Sedimentario</t>
        </is>
      </c>
      <c r="M430" t="n">
        <v>5</v>
      </c>
      <c r="N430" t="n">
        <v>30000</v>
      </c>
      <c r="O430" t="n">
        <v>81300</v>
      </c>
      <c r="P430" t="inlineStr"/>
      <c r="Q430" t="n">
        <v>83.33799999999999</v>
      </c>
    </row>
    <row r="431">
      <c r="A431" t="inlineStr">
        <is>
          <t>MR24</t>
        </is>
      </c>
      <c r="B431" t="inlineStr">
        <is>
          <t>SIMULACIONES_MR2024_V3</t>
        </is>
      </c>
      <c r="C431" t="inlineStr">
        <is>
          <t>toneladas (6000 m3 x MR24_BD); pct sobre toneladas</t>
        </is>
      </c>
      <c r="D431" t="inlineStr">
        <is>
          <t>fase_LOM25_FASES_LE2</t>
        </is>
      </c>
      <c r="E431" t="inlineStr">
        <is>
          <t>9B</t>
        </is>
      </c>
      <c r="F431" t="inlineStr">
        <is>
          <t>MR24_RT</t>
        </is>
      </c>
      <c r="G431" t="inlineStr">
        <is>
          <t>1</t>
        </is>
      </c>
      <c r="H431" t="inlineStr">
        <is>
          <t>Intrusivo</t>
        </is>
      </c>
      <c r="I431" t="inlineStr">
        <is>
          <t>RT1</t>
        </is>
      </c>
      <c r="J431" t="inlineStr">
        <is>
          <t>Geologia_2024=Intrusivo_1</t>
        </is>
      </c>
      <c r="K431" t="inlineStr">
        <is>
          <t>Intrusivo</t>
        </is>
      </c>
      <c r="L431" t="inlineStr">
        <is>
          <t>Intrusivo</t>
        </is>
      </c>
      <c r="M431" t="n">
        <v>2004</v>
      </c>
      <c r="N431" t="n">
        <v>12024000</v>
      </c>
      <c r="O431" t="n">
        <v>29276904</v>
      </c>
      <c r="P431" t="inlineStr"/>
      <c r="Q431" t="n">
        <v>31.653</v>
      </c>
    </row>
    <row r="432">
      <c r="A432" t="inlineStr">
        <is>
          <t>MR24</t>
        </is>
      </c>
      <c r="B432" t="inlineStr">
        <is>
          <t>SIMULACIONES_MR2024_V3</t>
        </is>
      </c>
      <c r="C432" t="inlineStr">
        <is>
          <t>toneladas (6000 m3 x MR24_BD); pct sobre toneladas</t>
        </is>
      </c>
      <c r="D432" t="inlineStr">
        <is>
          <t>fase_LOM25_FASES_LE2</t>
        </is>
      </c>
      <c r="E432" t="inlineStr">
        <is>
          <t>9B</t>
        </is>
      </c>
      <c r="F432" t="inlineStr">
        <is>
          <t>MR24_RT</t>
        </is>
      </c>
      <c r="G432" t="inlineStr">
        <is>
          <t>13</t>
        </is>
      </c>
      <c r="H432" t="inlineStr">
        <is>
          <t>sin asignar</t>
        </is>
      </c>
      <c r="I432" t="inlineStr">
        <is>
          <t>Metamorfico_13</t>
        </is>
      </c>
      <c r="J432" t="inlineStr">
        <is>
          <t>Geologia_2024=Metamorfico_13 (no distingue hornfels/mármol)</t>
        </is>
      </c>
      <c r="K432" t="inlineStr">
        <is>
          <t>Hornfels (hipótesis: siglas HG, HGS, HC)</t>
        </is>
      </c>
      <c r="L432" t="inlineStr">
        <is>
          <t>Metamorfico</t>
        </is>
      </c>
      <c r="M432" t="n">
        <v>107</v>
      </c>
      <c r="N432" t="n">
        <v>642000</v>
      </c>
      <c r="O432" t="n">
        <v>1757394</v>
      </c>
      <c r="P432" t="inlineStr"/>
      <c r="Q432" t="n">
        <v>1.9</v>
      </c>
    </row>
    <row r="433">
      <c r="A433" t="inlineStr">
        <is>
          <t>MR24</t>
        </is>
      </c>
      <c r="B433" t="inlineStr">
        <is>
          <t>SIMULACIONES_MR2024_V3</t>
        </is>
      </c>
      <c r="C433" t="inlineStr">
        <is>
          <t>toneladas (6000 m3 x MR24_BD); pct sobre toneladas</t>
        </is>
      </c>
      <c r="D433" t="inlineStr">
        <is>
          <t>fase_LOM25_FASES_LE2</t>
        </is>
      </c>
      <c r="E433" t="inlineStr">
        <is>
          <t>9B</t>
        </is>
      </c>
      <c r="F433" t="inlineStr">
        <is>
          <t>MR24_RT</t>
        </is>
      </c>
      <c r="G433" t="inlineStr">
        <is>
          <t>14</t>
        </is>
      </c>
      <c r="H433" t="inlineStr">
        <is>
          <t>sin asignar</t>
        </is>
      </c>
      <c r="I433" t="inlineStr">
        <is>
          <t>Metamorfico_14</t>
        </is>
      </c>
      <c r="J433" t="inlineStr">
        <is>
          <t>Geologia_2024=Metamorfico_14 (no distingue hornfels/mármol)</t>
        </is>
      </c>
      <c r="K433" t="inlineStr">
        <is>
          <t>Hornfels (hipótesis: siglas HBV, HGV, HCB, HDP; 'Diop. Hornfels'~HGV)</t>
        </is>
      </c>
      <c r="L433" t="inlineStr">
        <is>
          <t>Metamorfico</t>
        </is>
      </c>
      <c r="M433" t="n">
        <v>14</v>
      </c>
      <c r="N433" t="n">
        <v>84000</v>
      </c>
      <c r="O433" t="n">
        <v>244356</v>
      </c>
      <c r="P433" t="inlineStr"/>
      <c r="Q433" t="n">
        <v>0.264</v>
      </c>
    </row>
    <row r="434">
      <c r="A434" t="inlineStr">
        <is>
          <t>MR24</t>
        </is>
      </c>
      <c r="B434" t="inlineStr">
        <is>
          <t>SIMULACIONES_MR2024_V3</t>
        </is>
      </c>
      <c r="C434" t="inlineStr">
        <is>
          <t>toneladas (6000 m3 x MR24_BD); pct sobre toneladas</t>
        </is>
      </c>
      <c r="D434" t="inlineStr">
        <is>
          <t>fase_LOM25_FASES_LE2</t>
        </is>
      </c>
      <c r="E434" t="inlineStr">
        <is>
          <t>9B</t>
        </is>
      </c>
      <c r="F434" t="inlineStr">
        <is>
          <t>MR24_RT</t>
        </is>
      </c>
      <c r="G434" t="inlineStr">
        <is>
          <t>16</t>
        </is>
      </c>
      <c r="H434" t="inlineStr">
        <is>
          <t>sin asignar</t>
        </is>
      </c>
      <c r="I434" t="inlineStr">
        <is>
          <t>Metamorfico_16</t>
        </is>
      </c>
      <c r="J434" t="inlineStr">
        <is>
          <t>Geologia_2024=Metamorfico_16 (no distingue hornfels/mármol)</t>
        </is>
      </c>
      <c r="K434" t="inlineStr">
        <is>
          <t>Mármol (hipótesis: siglas MC, MG, MGS, MPA, MCGB; 'Marble'~MCGB)</t>
        </is>
      </c>
      <c r="L434" t="inlineStr">
        <is>
          <t>Metamorfico</t>
        </is>
      </c>
      <c r="M434" t="n">
        <v>3553</v>
      </c>
      <c r="N434" t="n">
        <v>21318000</v>
      </c>
      <c r="O434" t="n">
        <v>58050912</v>
      </c>
      <c r="P434" t="inlineStr"/>
      <c r="Q434" t="n">
        <v>62.763</v>
      </c>
    </row>
    <row r="435">
      <c r="A435" t="inlineStr">
        <is>
          <t>MR24</t>
        </is>
      </c>
      <c r="B435" t="inlineStr">
        <is>
          <t>SIMULACIONES_MR2024_V3</t>
        </is>
      </c>
      <c r="C435" t="inlineStr">
        <is>
          <t>toneladas (6000 m3 x MR24_BD); pct sobre toneladas</t>
        </is>
      </c>
      <c r="D435" t="inlineStr">
        <is>
          <t>fase_LOM25_FASES_LE2</t>
        </is>
      </c>
      <c r="E435" t="inlineStr">
        <is>
          <t>9B</t>
        </is>
      </c>
      <c r="F435" t="inlineStr">
        <is>
          <t>MR24_RT</t>
        </is>
      </c>
      <c r="G435" t="inlineStr">
        <is>
          <t>19</t>
        </is>
      </c>
      <c r="H435" t="inlineStr">
        <is>
          <t>sin asignar</t>
        </is>
      </c>
      <c r="I435" t="inlineStr">
        <is>
          <t>Metamorfico_19</t>
        </is>
      </c>
      <c r="J435" t="inlineStr">
        <is>
          <t>Geologia_2024=Metamorfico_19 (no distingue hornfels/mármol)</t>
        </is>
      </c>
      <c r="K435" t="inlineStr">
        <is>
          <t>Mármol (hipótesis: sigla MDP)</t>
        </is>
      </c>
      <c r="L435" t="inlineStr">
        <is>
          <t>Metamorfico</t>
        </is>
      </c>
      <c r="M435" t="n">
        <v>103</v>
      </c>
      <c r="N435" t="n">
        <v>618000</v>
      </c>
      <c r="O435" t="n">
        <v>1723446</v>
      </c>
      <c r="P435" t="inlineStr"/>
      <c r="Q435" t="n">
        <v>1.863</v>
      </c>
    </row>
    <row r="436">
      <c r="A436" t="inlineStr">
        <is>
          <t>MR24</t>
        </is>
      </c>
      <c r="B436" t="inlineStr">
        <is>
          <t>SIMULACIONES_MR2024_V3</t>
        </is>
      </c>
      <c r="C436" t="inlineStr">
        <is>
          <t>toneladas (6000 m3 x MR24_BD); pct sobre toneladas</t>
        </is>
      </c>
      <c r="D436" t="inlineStr">
        <is>
          <t>fase_LOM25_FASES_LE2</t>
        </is>
      </c>
      <c r="E436" t="inlineStr">
        <is>
          <t>9B</t>
        </is>
      </c>
      <c r="F436" t="inlineStr">
        <is>
          <t>MR24_RT</t>
        </is>
      </c>
      <c r="G436" t="inlineStr">
        <is>
          <t>53</t>
        </is>
      </c>
      <c r="H436" t="inlineStr">
        <is>
          <t>sin asignar</t>
        </is>
      </c>
      <c r="I436" t="inlineStr">
        <is>
          <t>RT53</t>
        </is>
      </c>
      <c r="J436" t="inlineStr">
        <is>
          <t>código sin etiqueta en los datos</t>
        </is>
      </c>
      <c r="K436" t="inlineStr">
        <is>
          <t>sin hipótesis</t>
        </is>
      </c>
      <c r="L436" t="inlineStr">
        <is>
          <t>sin leyenda</t>
        </is>
      </c>
      <c r="M436" t="n">
        <v>92</v>
      </c>
      <c r="N436" t="n">
        <v>552000</v>
      </c>
      <c r="O436" t="n">
        <v>1439580</v>
      </c>
      <c r="P436" t="inlineStr"/>
      <c r="Q436" t="n">
        <v>1.556</v>
      </c>
    </row>
    <row r="437">
      <c r="A437" t="inlineStr">
        <is>
          <t>MR24</t>
        </is>
      </c>
      <c r="B437" t="inlineStr">
        <is>
          <t>SIMULACIONES_MR2024_V3</t>
        </is>
      </c>
      <c r="C437" t="inlineStr">
        <is>
          <t>toneladas (6000 m3 x MR24_BD); pct sobre toneladas</t>
        </is>
      </c>
      <c r="D437" t="inlineStr">
        <is>
          <t>fase_LOM25_FASES_LE2</t>
        </is>
      </c>
      <c r="E437" t="inlineStr">
        <is>
          <t>9C</t>
        </is>
      </c>
      <c r="F437" t="inlineStr">
        <is>
          <t>MR24_RT</t>
        </is>
      </c>
      <c r="G437" t="inlineStr">
        <is>
          <t>1</t>
        </is>
      </c>
      <c r="H437" t="inlineStr">
        <is>
          <t>Intrusivo</t>
        </is>
      </c>
      <c r="I437" t="inlineStr">
        <is>
          <t>RT1</t>
        </is>
      </c>
      <c r="J437" t="inlineStr">
        <is>
          <t>Geologia_2024=Intrusivo_1</t>
        </is>
      </c>
      <c r="K437" t="inlineStr">
        <is>
          <t>Intrusivo</t>
        </is>
      </c>
      <c r="L437" t="inlineStr">
        <is>
          <t>Intrusivo</t>
        </is>
      </c>
      <c r="M437" t="n">
        <v>2113</v>
      </c>
      <c r="N437" t="n">
        <v>12678000</v>
      </c>
      <c r="O437" t="n">
        <v>30837846</v>
      </c>
      <c r="P437" t="inlineStr"/>
      <c r="Q437" t="n">
        <v>38.831</v>
      </c>
    </row>
    <row r="438">
      <c r="A438" t="inlineStr">
        <is>
          <t>MR24</t>
        </is>
      </c>
      <c r="B438" t="inlineStr">
        <is>
          <t>SIMULACIONES_MR2024_V3</t>
        </is>
      </c>
      <c r="C438" t="inlineStr">
        <is>
          <t>toneladas (6000 m3 x MR24_BD); pct sobre toneladas</t>
        </is>
      </c>
      <c r="D438" t="inlineStr">
        <is>
          <t>fase_LOM25_FASES_LE2</t>
        </is>
      </c>
      <c r="E438" t="inlineStr">
        <is>
          <t>9C</t>
        </is>
      </c>
      <c r="F438" t="inlineStr">
        <is>
          <t>MR24_RT</t>
        </is>
      </c>
      <c r="G438" t="inlineStr">
        <is>
          <t>13</t>
        </is>
      </c>
      <c r="H438" t="inlineStr">
        <is>
          <t>sin asignar</t>
        </is>
      </c>
      <c r="I438" t="inlineStr">
        <is>
          <t>Metamorfico_13</t>
        </is>
      </c>
      <c r="J438" t="inlineStr">
        <is>
          <t>Geologia_2024=Metamorfico_13 (no distingue hornfels/mármol)</t>
        </is>
      </c>
      <c r="K438" t="inlineStr">
        <is>
          <t>Hornfels (hipótesis: siglas HG, HGS, HC)</t>
        </is>
      </c>
      <c r="L438" t="inlineStr">
        <is>
          <t>Metamorfico</t>
        </is>
      </c>
      <c r="M438" t="n">
        <v>209</v>
      </c>
      <c r="N438" t="n">
        <v>1254000</v>
      </c>
      <c r="O438" t="n">
        <v>3407730</v>
      </c>
      <c r="P438" t="inlineStr"/>
      <c r="Q438" t="n">
        <v>4.291</v>
      </c>
    </row>
    <row r="439">
      <c r="A439" t="inlineStr">
        <is>
          <t>MR24</t>
        </is>
      </c>
      <c r="B439" t="inlineStr">
        <is>
          <t>SIMULACIONES_MR2024_V3</t>
        </is>
      </c>
      <c r="C439" t="inlineStr">
        <is>
          <t>toneladas (6000 m3 x MR24_BD); pct sobre toneladas</t>
        </is>
      </c>
      <c r="D439" t="inlineStr">
        <is>
          <t>fase_LOM25_FASES_LE2</t>
        </is>
      </c>
      <c r="E439" t="inlineStr">
        <is>
          <t>9C</t>
        </is>
      </c>
      <c r="F439" t="inlineStr">
        <is>
          <t>MR24_RT</t>
        </is>
      </c>
      <c r="G439" t="inlineStr">
        <is>
          <t>14</t>
        </is>
      </c>
      <c r="H439" t="inlineStr">
        <is>
          <t>sin asignar</t>
        </is>
      </c>
      <c r="I439" t="inlineStr">
        <is>
          <t>Metamorfico_14</t>
        </is>
      </c>
      <c r="J439" t="inlineStr">
        <is>
          <t>Geologia_2024=Metamorfico_14 (no distingue hornfels/mármol)</t>
        </is>
      </c>
      <c r="K439" t="inlineStr">
        <is>
          <t>Hornfels (hipótesis: siglas HBV, HGV, HCB, HDP; 'Diop. Hornfels'~HGV)</t>
        </is>
      </c>
      <c r="L439" t="inlineStr">
        <is>
          <t>Metamorfico</t>
        </is>
      </c>
      <c r="M439" t="n">
        <v>70</v>
      </c>
      <c r="N439" t="n">
        <v>420000</v>
      </c>
      <c r="O439" t="n">
        <v>1186512</v>
      </c>
      <c r="P439" t="inlineStr"/>
      <c r="Q439" t="n">
        <v>1.494</v>
      </c>
    </row>
    <row r="440">
      <c r="A440" t="inlineStr">
        <is>
          <t>MR24</t>
        </is>
      </c>
      <c r="B440" t="inlineStr">
        <is>
          <t>SIMULACIONES_MR2024_V3</t>
        </is>
      </c>
      <c r="C440" t="inlineStr">
        <is>
          <t>toneladas (6000 m3 x MR24_BD); pct sobre toneladas</t>
        </is>
      </c>
      <c r="D440" t="inlineStr">
        <is>
          <t>fase_LOM25_FASES_LE2</t>
        </is>
      </c>
      <c r="E440" t="inlineStr">
        <is>
          <t>9C</t>
        </is>
      </c>
      <c r="F440" t="inlineStr">
        <is>
          <t>MR24_RT</t>
        </is>
      </c>
      <c r="G440" t="inlineStr">
        <is>
          <t>16</t>
        </is>
      </c>
      <c r="H440" t="inlineStr">
        <is>
          <t>sin asignar</t>
        </is>
      </c>
      <c r="I440" t="inlineStr">
        <is>
          <t>Metamorfico_16</t>
        </is>
      </c>
      <c r="J440" t="inlineStr">
        <is>
          <t>Geologia_2024=Metamorfico_16 (no distingue hornfels/mármol)</t>
        </is>
      </c>
      <c r="K440" t="inlineStr">
        <is>
          <t>Mármol (hipótesis: siglas MC, MG, MGS, MPA, MCGB; 'Marble'~MCGB)</t>
        </is>
      </c>
      <c r="L440" t="inlineStr">
        <is>
          <t>Metamorfico</t>
        </is>
      </c>
      <c r="M440" t="n">
        <v>2540</v>
      </c>
      <c r="N440" t="n">
        <v>15240000</v>
      </c>
      <c r="O440" t="n">
        <v>41328924</v>
      </c>
      <c r="P440" t="inlineStr"/>
      <c r="Q440" t="n">
        <v>52.041</v>
      </c>
    </row>
    <row r="441">
      <c r="A441" t="inlineStr">
        <is>
          <t>MR24</t>
        </is>
      </c>
      <c r="B441" t="inlineStr">
        <is>
          <t>SIMULACIONES_MR2024_V3</t>
        </is>
      </c>
      <c r="C441" t="inlineStr">
        <is>
          <t>toneladas (6000 m3 x MR24_BD); pct sobre toneladas</t>
        </is>
      </c>
      <c r="D441" t="inlineStr">
        <is>
          <t>fase_LOM25_FASES_LE2</t>
        </is>
      </c>
      <c r="E441" t="inlineStr">
        <is>
          <t>9C</t>
        </is>
      </c>
      <c r="F441" t="inlineStr">
        <is>
          <t>MR24_RT</t>
        </is>
      </c>
      <c r="G441" t="inlineStr">
        <is>
          <t>19</t>
        </is>
      </c>
      <c r="H441" t="inlineStr">
        <is>
          <t>sin asignar</t>
        </is>
      </c>
      <c r="I441" t="inlineStr">
        <is>
          <t>Metamorfico_19</t>
        </is>
      </c>
      <c r="J441" t="inlineStr">
        <is>
          <t>Geologia_2024=Metamorfico_19 (no distingue hornfels/mármol)</t>
        </is>
      </c>
      <c r="K441" t="inlineStr">
        <is>
          <t>Mármol (hipótesis: sigla MDP)</t>
        </is>
      </c>
      <c r="L441" t="inlineStr">
        <is>
          <t>Metamorfico</t>
        </is>
      </c>
      <c r="M441" t="n">
        <v>120</v>
      </c>
      <c r="N441" t="n">
        <v>720000</v>
      </c>
      <c r="O441" t="n">
        <v>2013204</v>
      </c>
      <c r="P441" t="inlineStr"/>
      <c r="Q441" t="n">
        <v>2.535</v>
      </c>
    </row>
    <row r="442">
      <c r="A442" t="inlineStr">
        <is>
          <t>MR24</t>
        </is>
      </c>
      <c r="B442" t="inlineStr">
        <is>
          <t>SIMULACIONES_MR2024_V3</t>
        </is>
      </c>
      <c r="C442" t="inlineStr">
        <is>
          <t>toneladas (6000 m3 x MR24_BD); pct sobre toneladas</t>
        </is>
      </c>
      <c r="D442" t="inlineStr">
        <is>
          <t>fase_LOM25_FASES_LE2</t>
        </is>
      </c>
      <c r="E442" t="inlineStr">
        <is>
          <t>9C</t>
        </is>
      </c>
      <c r="F442" t="inlineStr">
        <is>
          <t>MR24_RT</t>
        </is>
      </c>
      <c r="G442" t="inlineStr">
        <is>
          <t>53</t>
        </is>
      </c>
      <c r="H442" t="inlineStr">
        <is>
          <t>sin asignar</t>
        </is>
      </c>
      <c r="I442" t="inlineStr">
        <is>
          <t>RT53</t>
        </is>
      </c>
      <c r="J442" t="inlineStr">
        <is>
          <t>código sin etiqueta en los datos</t>
        </is>
      </c>
      <c r="K442" t="inlineStr">
        <is>
          <t>sin hipótesis</t>
        </is>
      </c>
      <c r="L442" t="inlineStr">
        <is>
          <t>sin leyenda</t>
        </is>
      </c>
      <c r="M442" t="n">
        <v>41</v>
      </c>
      <c r="N442" t="n">
        <v>246000</v>
      </c>
      <c r="O442" t="n">
        <v>641478</v>
      </c>
      <c r="P442" t="inlineStr"/>
      <c r="Q442" t="n">
        <v>0.8080000000000001</v>
      </c>
    </row>
    <row r="443">
      <c r="A443" t="inlineStr">
        <is>
          <t>MR24</t>
        </is>
      </c>
      <c r="B443" t="inlineStr">
        <is>
          <t>SIMULACIONES_MR2024_V3</t>
        </is>
      </c>
      <c r="C443" t="inlineStr">
        <is>
          <t>toneladas (6000 m3 x MR24_BD); pct sobre toneladas</t>
        </is>
      </c>
      <c r="D443" t="inlineStr">
        <is>
          <t>fase_LOM25_FASES_LE2</t>
        </is>
      </c>
      <c r="E443" t="inlineStr">
        <is>
          <t>9D</t>
        </is>
      </c>
      <c r="F443" t="inlineStr">
        <is>
          <t>MR24_RT</t>
        </is>
      </c>
      <c r="G443" t="inlineStr">
        <is>
          <t>1</t>
        </is>
      </c>
      <c r="H443" t="inlineStr">
        <is>
          <t>Intrusivo</t>
        </is>
      </c>
      <c r="I443" t="inlineStr">
        <is>
          <t>RT1</t>
        </is>
      </c>
      <c r="J443" t="inlineStr">
        <is>
          <t>Geologia_2024=Intrusivo_1</t>
        </is>
      </c>
      <c r="K443" t="inlineStr">
        <is>
          <t>Intrusivo</t>
        </is>
      </c>
      <c r="L443" t="inlineStr">
        <is>
          <t>Intrusivo</t>
        </is>
      </c>
      <c r="M443" t="n">
        <v>824</v>
      </c>
      <c r="N443" t="n">
        <v>4944000</v>
      </c>
      <c r="O443" t="n">
        <v>12200274</v>
      </c>
      <c r="P443" t="inlineStr"/>
      <c r="Q443" t="n">
        <v>35.706</v>
      </c>
    </row>
    <row r="444">
      <c r="A444" t="inlineStr">
        <is>
          <t>MR24</t>
        </is>
      </c>
      <c r="B444" t="inlineStr">
        <is>
          <t>SIMULACIONES_MR2024_V3</t>
        </is>
      </c>
      <c r="C444" t="inlineStr">
        <is>
          <t>toneladas (6000 m3 x MR24_BD); pct sobre toneladas</t>
        </is>
      </c>
      <c r="D444" t="inlineStr">
        <is>
          <t>fase_LOM25_FASES_LE2</t>
        </is>
      </c>
      <c r="E444" t="inlineStr">
        <is>
          <t>9D</t>
        </is>
      </c>
      <c r="F444" t="inlineStr">
        <is>
          <t>MR24_RT</t>
        </is>
      </c>
      <c r="G444" t="inlineStr">
        <is>
          <t>13</t>
        </is>
      </c>
      <c r="H444" t="inlineStr">
        <is>
          <t>sin asignar</t>
        </is>
      </c>
      <c r="I444" t="inlineStr">
        <is>
          <t>Metamorfico_13</t>
        </is>
      </c>
      <c r="J444" t="inlineStr">
        <is>
          <t>Geologia_2024=Metamorfico_13 (no distingue hornfels/mármol)</t>
        </is>
      </c>
      <c r="K444" t="inlineStr">
        <is>
          <t>Hornfels (hipótesis: siglas HG, HGS, HC)</t>
        </is>
      </c>
      <c r="L444" t="inlineStr">
        <is>
          <t>Metamorfico</t>
        </is>
      </c>
      <c r="M444" t="n">
        <v>85</v>
      </c>
      <c r="N444" t="n">
        <v>510000</v>
      </c>
      <c r="O444" t="n">
        <v>1407786</v>
      </c>
      <c r="P444" t="inlineStr"/>
      <c r="Q444" t="n">
        <v>4.12</v>
      </c>
    </row>
    <row r="445">
      <c r="A445" t="inlineStr">
        <is>
          <t>MR24</t>
        </is>
      </c>
      <c r="B445" t="inlineStr">
        <is>
          <t>SIMULACIONES_MR2024_V3</t>
        </is>
      </c>
      <c r="C445" t="inlineStr">
        <is>
          <t>toneladas (6000 m3 x MR24_BD); pct sobre toneladas</t>
        </is>
      </c>
      <c r="D445" t="inlineStr">
        <is>
          <t>fase_LOM25_FASES_LE2</t>
        </is>
      </c>
      <c r="E445" t="inlineStr">
        <is>
          <t>9D</t>
        </is>
      </c>
      <c r="F445" t="inlineStr">
        <is>
          <t>MR24_RT</t>
        </is>
      </c>
      <c r="G445" t="inlineStr">
        <is>
          <t>14</t>
        </is>
      </c>
      <c r="H445" t="inlineStr">
        <is>
          <t>sin asignar</t>
        </is>
      </c>
      <c r="I445" t="inlineStr">
        <is>
          <t>Metamorfico_14</t>
        </is>
      </c>
      <c r="J445" t="inlineStr">
        <is>
          <t>Geologia_2024=Metamorfico_14 (no distingue hornfels/mármol)</t>
        </is>
      </c>
      <c r="K445" t="inlineStr">
        <is>
          <t>Hornfels (hipótesis: siglas HBV, HGV, HCB, HDP; 'Diop. Hornfels'~HGV)</t>
        </is>
      </c>
      <c r="L445" t="inlineStr">
        <is>
          <t>Metamorfico</t>
        </is>
      </c>
      <c r="M445" t="n">
        <v>324</v>
      </c>
      <c r="N445" t="n">
        <v>1944000</v>
      </c>
      <c r="O445" t="n">
        <v>5553906</v>
      </c>
      <c r="P445" t="inlineStr"/>
      <c r="Q445" t="n">
        <v>16.255</v>
      </c>
    </row>
    <row r="446">
      <c r="A446" t="inlineStr">
        <is>
          <t>MR24</t>
        </is>
      </c>
      <c r="B446" t="inlineStr">
        <is>
          <t>SIMULACIONES_MR2024_V3</t>
        </is>
      </c>
      <c r="C446" t="inlineStr">
        <is>
          <t>toneladas (6000 m3 x MR24_BD); pct sobre toneladas</t>
        </is>
      </c>
      <c r="D446" t="inlineStr">
        <is>
          <t>fase_LOM25_FASES_LE2</t>
        </is>
      </c>
      <c r="E446" t="inlineStr">
        <is>
          <t>9D</t>
        </is>
      </c>
      <c r="F446" t="inlineStr">
        <is>
          <t>MR24_RT</t>
        </is>
      </c>
      <c r="G446" t="inlineStr">
        <is>
          <t>16</t>
        </is>
      </c>
      <c r="H446" t="inlineStr">
        <is>
          <t>sin asignar</t>
        </is>
      </c>
      <c r="I446" t="inlineStr">
        <is>
          <t>Metamorfico_16</t>
        </is>
      </c>
      <c r="J446" t="inlineStr">
        <is>
          <t>Geologia_2024=Metamorfico_16 (no distingue hornfels/mármol)</t>
        </is>
      </c>
      <c r="K446" t="inlineStr">
        <is>
          <t>Mármol (hipótesis: siglas MC, MG, MGS, MPA, MCGB; 'Marble'~MCGB)</t>
        </is>
      </c>
      <c r="L446" t="inlineStr">
        <is>
          <t>Metamorfico</t>
        </is>
      </c>
      <c r="M446" t="n">
        <v>386</v>
      </c>
      <c r="N446" t="n">
        <v>2316000</v>
      </c>
      <c r="O446" t="n">
        <v>6344016</v>
      </c>
      <c r="P446" t="inlineStr"/>
      <c r="Q446" t="n">
        <v>18.567</v>
      </c>
    </row>
    <row r="447">
      <c r="A447" t="inlineStr">
        <is>
          <t>MR24</t>
        </is>
      </c>
      <c r="B447" t="inlineStr">
        <is>
          <t>SIMULACIONES_MR2024_V3</t>
        </is>
      </c>
      <c r="C447" t="inlineStr">
        <is>
          <t>toneladas (6000 m3 x MR24_BD); pct sobre toneladas</t>
        </is>
      </c>
      <c r="D447" t="inlineStr">
        <is>
          <t>fase_LOM25_FASES_LE2</t>
        </is>
      </c>
      <c r="E447" t="inlineStr">
        <is>
          <t>9D</t>
        </is>
      </c>
      <c r="F447" t="inlineStr">
        <is>
          <t>MR24_RT</t>
        </is>
      </c>
      <c r="G447" t="inlineStr">
        <is>
          <t>19</t>
        </is>
      </c>
      <c r="H447" t="inlineStr">
        <is>
          <t>sin asignar</t>
        </is>
      </c>
      <c r="I447" t="inlineStr">
        <is>
          <t>Metamorfico_19</t>
        </is>
      </c>
      <c r="J447" t="inlineStr">
        <is>
          <t>Geologia_2024=Metamorfico_19 (no distingue hornfels/mármol)</t>
        </is>
      </c>
      <c r="K447" t="inlineStr">
        <is>
          <t>Mármol (hipótesis: sigla MDP)</t>
        </is>
      </c>
      <c r="L447" t="inlineStr">
        <is>
          <t>Metamorfico</t>
        </is>
      </c>
      <c r="M447" t="n">
        <v>509</v>
      </c>
      <c r="N447" t="n">
        <v>3054000</v>
      </c>
      <c r="O447" t="n">
        <v>8662272</v>
      </c>
      <c r="P447" t="inlineStr"/>
      <c r="Q447" t="n">
        <v>25.352</v>
      </c>
    </row>
    <row r="448">
      <c r="A448" t="inlineStr">
        <is>
          <t>MR24</t>
        </is>
      </c>
      <c r="B448" t="inlineStr">
        <is>
          <t>SIMULACIONES_MR2024_V3</t>
        </is>
      </c>
      <c r="C448" t="inlineStr">
        <is>
          <t>toneladas (6000 m3 x MR24_BD); pct sobre toneladas</t>
        </is>
      </c>
      <c r="D448" t="inlineStr">
        <is>
          <t>fase_LOM25_FASES_LE2</t>
        </is>
      </c>
      <c r="E448" t="inlineStr">
        <is>
          <t>sin dato</t>
        </is>
      </c>
      <c r="F448" t="inlineStr">
        <is>
          <t>MR24_RT</t>
        </is>
      </c>
      <c r="G448" t="inlineStr">
        <is>
          <t>1</t>
        </is>
      </c>
      <c r="H448" t="inlineStr">
        <is>
          <t>Intrusivo</t>
        </is>
      </c>
      <c r="I448" t="inlineStr">
        <is>
          <t>RT1</t>
        </is>
      </c>
      <c r="J448" t="inlineStr">
        <is>
          <t>Geologia_2024=Intrusivo_1</t>
        </is>
      </c>
      <c r="K448" t="inlineStr">
        <is>
          <t>Intrusivo</t>
        </is>
      </c>
      <c r="L448" t="inlineStr">
        <is>
          <t>Intrusivo</t>
        </is>
      </c>
      <c r="M448" t="n">
        <v>2210</v>
      </c>
      <c r="N448" t="n">
        <v>13260000</v>
      </c>
      <c r="O448" t="n">
        <v>32512650</v>
      </c>
      <c r="P448" t="inlineStr"/>
      <c r="Q448" t="n">
        <v>21.922</v>
      </c>
    </row>
    <row r="449">
      <c r="A449" t="inlineStr">
        <is>
          <t>MR24</t>
        </is>
      </c>
      <c r="B449" t="inlineStr">
        <is>
          <t>SIMULACIONES_MR2024_V3</t>
        </is>
      </c>
      <c r="C449" t="inlineStr">
        <is>
          <t>toneladas (6000 m3 x MR24_BD); pct sobre toneladas</t>
        </is>
      </c>
      <c r="D449" t="inlineStr">
        <is>
          <t>fase_LOM25_FASES_LE2</t>
        </is>
      </c>
      <c r="E449" t="inlineStr">
        <is>
          <t>sin dato</t>
        </is>
      </c>
      <c r="F449" t="inlineStr">
        <is>
          <t>MR24_RT</t>
        </is>
      </c>
      <c r="G449" t="inlineStr">
        <is>
          <t>2</t>
        </is>
      </c>
      <c r="H449" t="inlineStr">
        <is>
          <t>Intrusivo</t>
        </is>
      </c>
      <c r="I449" t="inlineStr">
        <is>
          <t>RT2</t>
        </is>
      </c>
      <c r="J449" t="inlineStr">
        <is>
          <t>Geologia_2024=Intrusivo_2</t>
        </is>
      </c>
      <c r="K449" t="inlineStr">
        <is>
          <t>Intrusivo</t>
        </is>
      </c>
      <c r="L449" t="inlineStr">
        <is>
          <t>Intrusivo</t>
        </is>
      </c>
      <c r="M449" t="n">
        <v>67</v>
      </c>
      <c r="N449" t="n">
        <v>402000</v>
      </c>
      <c r="O449" t="n">
        <v>1072692</v>
      </c>
      <c r="P449" t="inlineStr"/>
      <c r="Q449" t="n">
        <v>0.723</v>
      </c>
    </row>
    <row r="450">
      <c r="A450" t="inlineStr">
        <is>
          <t>MR24</t>
        </is>
      </c>
      <c r="B450" t="inlineStr">
        <is>
          <t>SIMULACIONES_MR2024_V3</t>
        </is>
      </c>
      <c r="C450" t="inlineStr">
        <is>
          <t>toneladas (6000 m3 x MR24_BD); pct sobre toneladas</t>
        </is>
      </c>
      <c r="D450" t="inlineStr">
        <is>
          <t>fase_LOM25_FASES_LE2</t>
        </is>
      </c>
      <c r="E450" t="inlineStr">
        <is>
          <t>sin dato</t>
        </is>
      </c>
      <c r="F450" t="inlineStr">
        <is>
          <t>MR24_RT</t>
        </is>
      </c>
      <c r="G450" t="inlineStr">
        <is>
          <t>10</t>
        </is>
      </c>
      <c r="H450" t="inlineStr">
        <is>
          <t>sin asignar</t>
        </is>
      </c>
      <c r="I450" t="inlineStr">
        <is>
          <t>Sedimentario_10</t>
        </is>
      </c>
      <c r="J450" t="inlineStr">
        <is>
          <t>Geologia_2024=Sedimentario_10 (no especifica caliza)</t>
        </is>
      </c>
      <c r="K450" t="inlineStr">
        <is>
          <t>Caliza (hipótesis: siglas C*)</t>
        </is>
      </c>
      <c r="L450" t="inlineStr">
        <is>
          <t>Sedimentario</t>
        </is>
      </c>
      <c r="M450" t="n">
        <v>992</v>
      </c>
      <c r="N450" t="n">
        <v>5952000</v>
      </c>
      <c r="O450" t="n">
        <v>16125510</v>
      </c>
      <c r="P450" t="inlineStr"/>
      <c r="Q450" t="n">
        <v>10.873</v>
      </c>
    </row>
    <row r="451">
      <c r="A451" t="inlineStr">
        <is>
          <t>MR24</t>
        </is>
      </c>
      <c r="B451" t="inlineStr">
        <is>
          <t>SIMULACIONES_MR2024_V3</t>
        </is>
      </c>
      <c r="C451" t="inlineStr">
        <is>
          <t>toneladas (6000 m3 x MR24_BD); pct sobre toneladas</t>
        </is>
      </c>
      <c r="D451" t="inlineStr">
        <is>
          <t>fase_LOM25_FASES_LE2</t>
        </is>
      </c>
      <c r="E451" t="inlineStr">
        <is>
          <t>sin dato</t>
        </is>
      </c>
      <c r="F451" t="inlineStr">
        <is>
          <t>MR24_RT</t>
        </is>
      </c>
      <c r="G451" t="inlineStr">
        <is>
          <t>11</t>
        </is>
      </c>
      <c r="H451" t="inlineStr">
        <is>
          <t>sin asignar</t>
        </is>
      </c>
      <c r="I451" t="inlineStr">
        <is>
          <t>Sedimentario_11</t>
        </is>
      </c>
      <c r="J451" t="inlineStr">
        <is>
          <t>Geologia_2024=Sedimentario_11 (no especifica caliza)</t>
        </is>
      </c>
      <c r="K451" t="inlineStr">
        <is>
          <t>Caliza (hipótesis: Sedimentario; RT11~NUMEQ10, siglas C*)</t>
        </is>
      </c>
      <c r="L451" t="inlineStr">
        <is>
          <t>Sedimentario</t>
        </is>
      </c>
      <c r="M451" t="n">
        <v>1990</v>
      </c>
      <c r="N451" t="n">
        <v>11940000</v>
      </c>
      <c r="O451" t="n">
        <v>32294328</v>
      </c>
      <c r="P451" t="inlineStr"/>
      <c r="Q451" t="n">
        <v>21.775</v>
      </c>
    </row>
    <row r="452">
      <c r="A452" t="inlineStr">
        <is>
          <t>MR24</t>
        </is>
      </c>
      <c r="B452" t="inlineStr">
        <is>
          <t>SIMULACIONES_MR2024_V3</t>
        </is>
      </c>
      <c r="C452" t="inlineStr">
        <is>
          <t>toneladas (6000 m3 x MR24_BD); pct sobre toneladas</t>
        </is>
      </c>
      <c r="D452" t="inlineStr">
        <is>
          <t>fase_LOM25_FASES_LE2</t>
        </is>
      </c>
      <c r="E452" t="inlineStr">
        <is>
          <t>sin dato</t>
        </is>
      </c>
      <c r="F452" t="inlineStr">
        <is>
          <t>MR24_RT</t>
        </is>
      </c>
      <c r="G452" t="inlineStr">
        <is>
          <t>13</t>
        </is>
      </c>
      <c r="H452" t="inlineStr">
        <is>
          <t>sin asignar</t>
        </is>
      </c>
      <c r="I452" t="inlineStr">
        <is>
          <t>Metamorfico_13</t>
        </is>
      </c>
      <c r="J452" t="inlineStr">
        <is>
          <t>Geologia_2024=Metamorfico_13 (no distingue hornfels/mármol)</t>
        </is>
      </c>
      <c r="K452" t="inlineStr">
        <is>
          <t>Hornfels (hipótesis: siglas HG, HGS, HC)</t>
        </is>
      </c>
      <c r="L452" t="inlineStr">
        <is>
          <t>Metamorfico</t>
        </is>
      </c>
      <c r="M452" t="n">
        <v>373</v>
      </c>
      <c r="N452" t="n">
        <v>2238000</v>
      </c>
      <c r="O452" t="n">
        <v>6032706</v>
      </c>
      <c r="P452" t="inlineStr"/>
      <c r="Q452" t="n">
        <v>4.068</v>
      </c>
    </row>
    <row r="453">
      <c r="A453" t="inlineStr">
        <is>
          <t>MR24</t>
        </is>
      </c>
      <c r="B453" t="inlineStr">
        <is>
          <t>SIMULACIONES_MR2024_V3</t>
        </is>
      </c>
      <c r="C453" t="inlineStr">
        <is>
          <t>toneladas (6000 m3 x MR24_BD); pct sobre toneladas</t>
        </is>
      </c>
      <c r="D453" t="inlineStr">
        <is>
          <t>fase_LOM25_FASES_LE2</t>
        </is>
      </c>
      <c r="E453" t="inlineStr">
        <is>
          <t>sin dato</t>
        </is>
      </c>
      <c r="F453" t="inlineStr">
        <is>
          <t>MR24_RT</t>
        </is>
      </c>
      <c r="G453" t="inlineStr">
        <is>
          <t>14</t>
        </is>
      </c>
      <c r="H453" t="inlineStr">
        <is>
          <t>sin asignar</t>
        </is>
      </c>
      <c r="I453" t="inlineStr">
        <is>
          <t>Metamorfico_14</t>
        </is>
      </c>
      <c r="J453" t="inlineStr">
        <is>
          <t>Geologia_2024=Metamorfico_14 (no distingue hornfels/mármol)</t>
        </is>
      </c>
      <c r="K453" t="inlineStr">
        <is>
          <t>Hornfels (hipótesis: siglas HBV, HGV, HCB, HDP; 'Diop. Hornfels'~HGV)</t>
        </is>
      </c>
      <c r="L453" t="inlineStr">
        <is>
          <t>Metamorfico</t>
        </is>
      </c>
      <c r="M453" t="n">
        <v>12</v>
      </c>
      <c r="N453" t="n">
        <v>72000</v>
      </c>
      <c r="O453" t="n">
        <v>207048</v>
      </c>
      <c r="P453" t="inlineStr"/>
      <c r="Q453" t="n">
        <v>0.14</v>
      </c>
    </row>
    <row r="454">
      <c r="A454" t="inlineStr">
        <is>
          <t>MR24</t>
        </is>
      </c>
      <c r="B454" t="inlineStr">
        <is>
          <t>SIMULACIONES_MR2024_V3</t>
        </is>
      </c>
      <c r="C454" t="inlineStr">
        <is>
          <t>toneladas (6000 m3 x MR24_BD); pct sobre toneladas</t>
        </is>
      </c>
      <c r="D454" t="inlineStr">
        <is>
          <t>fase_LOM25_FASES_LE2</t>
        </is>
      </c>
      <c r="E454" t="inlineStr">
        <is>
          <t>sin dato</t>
        </is>
      </c>
      <c r="F454" t="inlineStr">
        <is>
          <t>MR24_RT</t>
        </is>
      </c>
      <c r="G454" t="inlineStr">
        <is>
          <t>16</t>
        </is>
      </c>
      <c r="H454" t="inlineStr">
        <is>
          <t>sin asignar</t>
        </is>
      </c>
      <c r="I454" t="inlineStr">
        <is>
          <t>Metamorfico_16</t>
        </is>
      </c>
      <c r="J454" t="inlineStr">
        <is>
          <t>Geologia_2024=Metamorfico_16 (no distingue hornfels/mármol)</t>
        </is>
      </c>
      <c r="K454" t="inlineStr">
        <is>
          <t>Mármol (hipótesis: siglas MC, MG, MGS, MPA, MCGB; 'Marble'~MCGB)</t>
        </is>
      </c>
      <c r="L454" t="inlineStr">
        <is>
          <t>Metamorfico</t>
        </is>
      </c>
      <c r="M454" t="n">
        <v>3701</v>
      </c>
      <c r="N454" t="n">
        <v>22206000</v>
      </c>
      <c r="O454" t="n">
        <v>59897010</v>
      </c>
      <c r="P454" t="inlineStr"/>
      <c r="Q454" t="n">
        <v>40.386</v>
      </c>
    </row>
    <row r="455">
      <c r="A455" t="inlineStr">
        <is>
          <t>MR24</t>
        </is>
      </c>
      <c r="B455" t="inlineStr">
        <is>
          <t>SIMULACIONES_MR2024_V3</t>
        </is>
      </c>
      <c r="C455" t="inlineStr">
        <is>
          <t>toneladas (6000 m3 x MR24_BD); pct sobre toneladas</t>
        </is>
      </c>
      <c r="D455" t="inlineStr">
        <is>
          <t>fase_LOM25_FASES_LE2</t>
        </is>
      </c>
      <c r="E455" t="inlineStr">
        <is>
          <t>sin dato</t>
        </is>
      </c>
      <c r="F455" t="inlineStr">
        <is>
          <t>MR24_RT</t>
        </is>
      </c>
      <c r="G455" t="inlineStr">
        <is>
          <t>19</t>
        </is>
      </c>
      <c r="H455" t="inlineStr">
        <is>
          <t>sin asignar</t>
        </is>
      </c>
      <c r="I455" t="inlineStr">
        <is>
          <t>Metamorfico_19</t>
        </is>
      </c>
      <c r="J455" t="inlineStr">
        <is>
          <t>Geologia_2024=Metamorfico_19 (no distingue hornfels/mármol)</t>
        </is>
      </c>
      <c r="K455" t="inlineStr">
        <is>
          <t>Mármol (hipótesis: sigla MDP)</t>
        </is>
      </c>
      <c r="L455" t="inlineStr">
        <is>
          <t>Metamorfico</t>
        </is>
      </c>
      <c r="M455" t="n">
        <v>10</v>
      </c>
      <c r="N455" t="n">
        <v>60000</v>
      </c>
      <c r="O455" t="n">
        <v>169560</v>
      </c>
      <c r="P455" t="inlineStr"/>
      <c r="Q455" t="n">
        <v>0.114</v>
      </c>
    </row>
    <row r="456">
      <c r="A456" t="inlineStr">
        <is>
          <t>MR24</t>
        </is>
      </c>
      <c r="B456" t="inlineStr">
        <is>
          <t>Merged_Table_Assay_lito</t>
        </is>
      </c>
      <c r="C456" t="inlineStr">
        <is>
          <t>metros de sondaje; pct sobre metros</t>
        </is>
      </c>
      <c r="D456" t="inlineStr">
        <is>
          <t>total</t>
        </is>
      </c>
      <c r="E456" t="inlineStr">
        <is>
          <t>total</t>
        </is>
      </c>
      <c r="F456" t="inlineStr">
        <is>
          <t>ROCKCODE_NUMEQ</t>
        </is>
      </c>
      <c r="G456" t="inlineStr">
        <is>
          <t>1</t>
        </is>
      </c>
      <c r="H456" t="inlineStr">
        <is>
          <t>Intrusivo</t>
        </is>
      </c>
      <c r="I456" t="inlineStr">
        <is>
          <t>NUMEQ1</t>
        </is>
      </c>
      <c r="J456" t="inlineStr">
        <is>
          <t>ROCKCODE_NUMEQ=1 agrupa siglas IPP*/DI</t>
        </is>
      </c>
      <c r="K456" t="inlineStr">
        <is>
          <t>Intrusivo</t>
        </is>
      </c>
      <c r="L456" t="inlineStr">
        <is>
          <t>Intrusivo</t>
        </is>
      </c>
      <c r="M456" t="n">
        <v>60997</v>
      </c>
      <c r="N456" t="inlineStr"/>
      <c r="O456" t="inlineStr"/>
      <c r="P456" t="n">
        <v>75827.73</v>
      </c>
      <c r="Q456" t="n">
        <v>29.343</v>
      </c>
    </row>
    <row r="457">
      <c r="A457" t="inlineStr">
        <is>
          <t>MR24</t>
        </is>
      </c>
      <c r="B457" t="inlineStr">
        <is>
          <t>Merged_Table_Assay_lito</t>
        </is>
      </c>
      <c r="C457" t="inlineStr">
        <is>
          <t>metros de sondaje; pct sobre metros</t>
        </is>
      </c>
      <c r="D457" t="inlineStr">
        <is>
          <t>total</t>
        </is>
      </c>
      <c r="E457" t="inlineStr">
        <is>
          <t>total</t>
        </is>
      </c>
      <c r="F457" t="inlineStr">
        <is>
          <t>ROCKCODE_NUMEQ</t>
        </is>
      </c>
      <c r="G457" t="inlineStr">
        <is>
          <t>10</t>
        </is>
      </c>
      <c r="H457" t="inlineStr">
        <is>
          <t>sin asignar</t>
        </is>
      </c>
      <c r="I457" t="inlineStr">
        <is>
          <t>NUMEQ10</t>
        </is>
      </c>
      <c r="J457" t="inlineStr">
        <is>
          <t>ROCKCODE_NUMEQ sin leyenda (no equivale 1:1 al RT)</t>
        </is>
      </c>
      <c r="K457" t="inlineStr">
        <is>
          <t>Caliza (hipótesis: siglas C*)</t>
        </is>
      </c>
      <c r="L457" t="inlineStr">
        <is>
          <t>Sedimentario</t>
        </is>
      </c>
      <c r="M457" t="n">
        <v>28850</v>
      </c>
      <c r="N457" t="inlineStr"/>
      <c r="O457" t="inlineStr"/>
      <c r="P457" t="n">
        <v>26413.85</v>
      </c>
      <c r="Q457" t="n">
        <v>10.221</v>
      </c>
    </row>
    <row r="458">
      <c r="A458" t="inlineStr">
        <is>
          <t>MR24</t>
        </is>
      </c>
      <c r="B458" t="inlineStr">
        <is>
          <t>Merged_Table_Assay_lito</t>
        </is>
      </c>
      <c r="C458" t="inlineStr">
        <is>
          <t>metros de sondaje; pct sobre metros</t>
        </is>
      </c>
      <c r="D458" t="inlineStr">
        <is>
          <t>total</t>
        </is>
      </c>
      <c r="E458" t="inlineStr">
        <is>
          <t>total</t>
        </is>
      </c>
      <c r="F458" t="inlineStr">
        <is>
          <t>ROCKCODE_NUMEQ</t>
        </is>
      </c>
      <c r="G458" t="inlineStr">
        <is>
          <t>13</t>
        </is>
      </c>
      <c r="H458" t="inlineStr">
        <is>
          <t>sin asignar</t>
        </is>
      </c>
      <c r="I458" t="inlineStr">
        <is>
          <t>NUMEQ13</t>
        </is>
      </c>
      <c r="J458" t="inlineStr">
        <is>
          <t>ROCKCODE_NUMEQ sin leyenda (no equivale 1:1 al RT)</t>
        </is>
      </c>
      <c r="K458" t="inlineStr">
        <is>
          <t>Hornfels (hipótesis: siglas H*)</t>
        </is>
      </c>
      <c r="L458" t="inlineStr">
        <is>
          <t>Metamorfico</t>
        </is>
      </c>
      <c r="M458" t="n">
        <v>35979</v>
      </c>
      <c r="N458" t="inlineStr"/>
      <c r="O458" t="inlineStr"/>
      <c r="P458" t="n">
        <v>30858.7</v>
      </c>
      <c r="Q458" t="n">
        <v>11.941</v>
      </c>
    </row>
    <row r="459">
      <c r="A459" t="inlineStr">
        <is>
          <t>MR24</t>
        </is>
      </c>
      <c r="B459" t="inlineStr">
        <is>
          <t>Merged_Table_Assay_lito</t>
        </is>
      </c>
      <c r="C459" t="inlineStr">
        <is>
          <t>metros de sondaje; pct sobre metros</t>
        </is>
      </c>
      <c r="D459" t="inlineStr">
        <is>
          <t>total</t>
        </is>
      </c>
      <c r="E459" t="inlineStr">
        <is>
          <t>total</t>
        </is>
      </c>
      <c r="F459" t="inlineStr">
        <is>
          <t>ROCKCODE_NUMEQ</t>
        </is>
      </c>
      <c r="G459" t="inlineStr">
        <is>
          <t>14</t>
        </is>
      </c>
      <c r="H459" t="inlineStr">
        <is>
          <t>sin asignar</t>
        </is>
      </c>
      <c r="I459" t="inlineStr">
        <is>
          <t>NUMEQ14</t>
        </is>
      </c>
      <c r="J459" t="inlineStr">
        <is>
          <t>ROCKCODE_NUMEQ sin leyenda (no equivale 1:1 al RT)</t>
        </is>
      </c>
      <c r="K459" t="inlineStr">
        <is>
          <t>Hornfels (hipótesis: siglas H*)</t>
        </is>
      </c>
      <c r="L459" t="inlineStr">
        <is>
          <t>Metamorfico</t>
        </is>
      </c>
      <c r="M459" t="n">
        <v>5514</v>
      </c>
      <c r="N459" t="inlineStr"/>
      <c r="O459" t="inlineStr"/>
      <c r="P459" t="n">
        <v>4553.38</v>
      </c>
      <c r="Q459" t="n">
        <v>1.762</v>
      </c>
    </row>
    <row r="460">
      <c r="A460" t="inlineStr">
        <is>
          <t>MR24</t>
        </is>
      </c>
      <c r="B460" t="inlineStr">
        <is>
          <t>Merged_Table_Assay_lito</t>
        </is>
      </c>
      <c r="C460" t="inlineStr">
        <is>
          <t>metros de sondaje; pct sobre metros</t>
        </is>
      </c>
      <c r="D460" t="inlineStr">
        <is>
          <t>total</t>
        </is>
      </c>
      <c r="E460" t="inlineStr">
        <is>
          <t>total</t>
        </is>
      </c>
      <c r="F460" t="inlineStr">
        <is>
          <t>ROCKCODE_NUMEQ</t>
        </is>
      </c>
      <c r="G460" t="inlineStr">
        <is>
          <t>16</t>
        </is>
      </c>
      <c r="H460" t="inlineStr">
        <is>
          <t>sin asignar</t>
        </is>
      </c>
      <c r="I460" t="inlineStr">
        <is>
          <t>NUMEQ16</t>
        </is>
      </c>
      <c r="J460" t="inlineStr">
        <is>
          <t>ROCKCODE_NUMEQ sin leyenda (no equivale 1:1 al RT)</t>
        </is>
      </c>
      <c r="K460" t="inlineStr">
        <is>
          <t>Mármol (hipótesis: siglas M*)</t>
        </is>
      </c>
      <c r="L460" t="inlineStr">
        <is>
          <t>Metamorfico</t>
        </is>
      </c>
      <c r="M460" t="n">
        <v>83214</v>
      </c>
      <c r="N460" t="inlineStr"/>
      <c r="O460" t="inlineStr"/>
      <c r="P460" t="n">
        <v>87691.55</v>
      </c>
      <c r="Q460" t="n">
        <v>33.934</v>
      </c>
    </row>
    <row r="461">
      <c r="A461" t="inlineStr">
        <is>
          <t>MR24</t>
        </is>
      </c>
      <c r="B461" t="inlineStr">
        <is>
          <t>Merged_Table_Assay_lito</t>
        </is>
      </c>
      <c r="C461" t="inlineStr">
        <is>
          <t>metros de sondaje; pct sobre metros</t>
        </is>
      </c>
      <c r="D461" t="inlineStr">
        <is>
          <t>total</t>
        </is>
      </c>
      <c r="E461" t="inlineStr">
        <is>
          <t>total</t>
        </is>
      </c>
      <c r="F461" t="inlineStr">
        <is>
          <t>ROCKCODE_NUMEQ</t>
        </is>
      </c>
      <c r="G461" t="inlineStr">
        <is>
          <t>19</t>
        </is>
      </c>
      <c r="H461" t="inlineStr">
        <is>
          <t>sin asignar</t>
        </is>
      </c>
      <c r="I461" t="inlineStr">
        <is>
          <t>NUMEQ19</t>
        </is>
      </c>
      <c r="J461" t="inlineStr">
        <is>
          <t>ROCKCODE_NUMEQ sin leyenda (no equivale 1:1 al RT)</t>
        </is>
      </c>
      <c r="K461" t="inlineStr">
        <is>
          <t>Mármol (hipótesis: sigla MDP)</t>
        </is>
      </c>
      <c r="L461" t="inlineStr">
        <is>
          <t>Metamorfico</t>
        </is>
      </c>
      <c r="M461" t="n">
        <v>34066</v>
      </c>
      <c r="N461" t="inlineStr"/>
      <c r="O461" t="inlineStr"/>
      <c r="P461" t="n">
        <v>33075.63</v>
      </c>
      <c r="Q461" t="n">
        <v>12.799</v>
      </c>
    </row>
    <row r="462">
      <c r="A462" t="inlineStr">
        <is>
          <t>MR24</t>
        </is>
      </c>
      <c r="B462" t="inlineStr">
        <is>
          <t>Merged_Table_Assay_lito</t>
        </is>
      </c>
      <c r="C462" t="inlineStr">
        <is>
          <t>metros de sondaje; pct sobre metros</t>
        </is>
      </c>
      <c r="D462" t="inlineStr">
        <is>
          <t>periodo_GM_LE2WASTE_Output</t>
        </is>
      </c>
      <c r="E462" t="inlineStr">
        <is>
          <t>2025</t>
        </is>
      </c>
      <c r="F462" t="inlineStr">
        <is>
          <t>ROCKCODE_NUMEQ</t>
        </is>
      </c>
      <c r="G462" t="inlineStr">
        <is>
          <t>1</t>
        </is>
      </c>
      <c r="H462" t="inlineStr">
        <is>
          <t>Intrusivo</t>
        </is>
      </c>
      <c r="I462" t="inlineStr">
        <is>
          <t>NUMEQ1</t>
        </is>
      </c>
      <c r="J462" t="inlineStr">
        <is>
          <t>ROCKCODE_NUMEQ=1 agrupa siglas IPP*/DI</t>
        </is>
      </c>
      <c r="K462" t="inlineStr">
        <is>
          <t>Intrusivo</t>
        </is>
      </c>
      <c r="L462" t="inlineStr">
        <is>
          <t>Intrusivo</t>
        </is>
      </c>
      <c r="M462" t="n">
        <v>3006</v>
      </c>
      <c r="N462" t="inlineStr"/>
      <c r="O462" t="inlineStr"/>
      <c r="P462" t="n">
        <v>4062.35</v>
      </c>
      <c r="Q462" t="n">
        <v>22.876</v>
      </c>
    </row>
    <row r="463">
      <c r="A463" t="inlineStr">
        <is>
          <t>MR24</t>
        </is>
      </c>
      <c r="B463" t="inlineStr">
        <is>
          <t>Merged_Table_Assay_lito</t>
        </is>
      </c>
      <c r="C463" t="inlineStr">
        <is>
          <t>metros de sondaje; pct sobre metros</t>
        </is>
      </c>
      <c r="D463" t="inlineStr">
        <is>
          <t>periodo_GM_LE2WASTE_Output</t>
        </is>
      </c>
      <c r="E463" t="inlineStr">
        <is>
          <t>2025</t>
        </is>
      </c>
      <c r="F463" t="inlineStr">
        <is>
          <t>ROCKCODE_NUMEQ</t>
        </is>
      </c>
      <c r="G463" t="inlineStr">
        <is>
          <t>10</t>
        </is>
      </c>
      <c r="H463" t="inlineStr">
        <is>
          <t>sin asignar</t>
        </is>
      </c>
      <c r="I463" t="inlineStr">
        <is>
          <t>NUMEQ10</t>
        </is>
      </c>
      <c r="J463" t="inlineStr">
        <is>
          <t>ROCKCODE_NUMEQ sin leyenda (no equivale 1:1 al RT)</t>
        </is>
      </c>
      <c r="K463" t="inlineStr">
        <is>
          <t>Caliza (hipótesis: siglas C*)</t>
        </is>
      </c>
      <c r="L463" t="inlineStr">
        <is>
          <t>Sedimentario</t>
        </is>
      </c>
      <c r="M463" t="n">
        <v>1729</v>
      </c>
      <c r="N463" t="inlineStr"/>
      <c r="O463" t="inlineStr"/>
      <c r="P463" t="n">
        <v>1789.25</v>
      </c>
      <c r="Q463" t="n">
        <v>10.076</v>
      </c>
    </row>
    <row r="464">
      <c r="A464" t="inlineStr">
        <is>
          <t>MR24</t>
        </is>
      </c>
      <c r="B464" t="inlineStr">
        <is>
          <t>Merged_Table_Assay_lito</t>
        </is>
      </c>
      <c r="C464" t="inlineStr">
        <is>
          <t>metros de sondaje; pct sobre metros</t>
        </is>
      </c>
      <c r="D464" t="inlineStr">
        <is>
          <t>periodo_GM_LE2WASTE_Output</t>
        </is>
      </c>
      <c r="E464" t="inlineStr">
        <is>
          <t>2025</t>
        </is>
      </c>
      <c r="F464" t="inlineStr">
        <is>
          <t>ROCKCODE_NUMEQ</t>
        </is>
      </c>
      <c r="G464" t="inlineStr">
        <is>
          <t>13</t>
        </is>
      </c>
      <c r="H464" t="inlineStr">
        <is>
          <t>sin asignar</t>
        </is>
      </c>
      <c r="I464" t="inlineStr">
        <is>
          <t>NUMEQ13</t>
        </is>
      </c>
      <c r="J464" t="inlineStr">
        <is>
          <t>ROCKCODE_NUMEQ sin leyenda (no equivale 1:1 al RT)</t>
        </is>
      </c>
      <c r="K464" t="inlineStr">
        <is>
          <t>Hornfels (hipótesis: siglas H*)</t>
        </is>
      </c>
      <c r="L464" t="inlineStr">
        <is>
          <t>Metamorfico</t>
        </is>
      </c>
      <c r="M464" t="n">
        <v>1277</v>
      </c>
      <c r="N464" t="inlineStr"/>
      <c r="O464" t="inlineStr"/>
      <c r="P464" t="n">
        <v>1099.4</v>
      </c>
      <c r="Q464" t="n">
        <v>6.191</v>
      </c>
    </row>
    <row r="465">
      <c r="A465" t="inlineStr">
        <is>
          <t>MR24</t>
        </is>
      </c>
      <c r="B465" t="inlineStr">
        <is>
          <t>Merged_Table_Assay_lito</t>
        </is>
      </c>
      <c r="C465" t="inlineStr">
        <is>
          <t>metros de sondaje; pct sobre metros</t>
        </is>
      </c>
      <c r="D465" t="inlineStr">
        <is>
          <t>periodo_GM_LE2WASTE_Output</t>
        </is>
      </c>
      <c r="E465" t="inlineStr">
        <is>
          <t>2025</t>
        </is>
      </c>
      <c r="F465" t="inlineStr">
        <is>
          <t>ROCKCODE_NUMEQ</t>
        </is>
      </c>
      <c r="G465" t="inlineStr">
        <is>
          <t>14</t>
        </is>
      </c>
      <c r="H465" t="inlineStr">
        <is>
          <t>sin asignar</t>
        </is>
      </c>
      <c r="I465" t="inlineStr">
        <is>
          <t>NUMEQ14</t>
        </is>
      </c>
      <c r="J465" t="inlineStr">
        <is>
          <t>ROCKCODE_NUMEQ sin leyenda (no equivale 1:1 al RT)</t>
        </is>
      </c>
      <c r="K465" t="inlineStr">
        <is>
          <t>Hornfels (hipótesis: siglas H*)</t>
        </is>
      </c>
      <c r="L465" t="inlineStr">
        <is>
          <t>Metamorfico</t>
        </is>
      </c>
      <c r="M465" t="n">
        <v>39</v>
      </c>
      <c r="N465" t="inlineStr"/>
      <c r="O465" t="inlineStr"/>
      <c r="P465" t="n">
        <v>54.7</v>
      </c>
      <c r="Q465" t="n">
        <v>0.308</v>
      </c>
    </row>
    <row r="466">
      <c r="A466" t="inlineStr">
        <is>
          <t>MR24</t>
        </is>
      </c>
      <c r="B466" t="inlineStr">
        <is>
          <t>Merged_Table_Assay_lito</t>
        </is>
      </c>
      <c r="C466" t="inlineStr">
        <is>
          <t>metros de sondaje; pct sobre metros</t>
        </is>
      </c>
      <c r="D466" t="inlineStr">
        <is>
          <t>periodo_GM_LE2WASTE_Output</t>
        </is>
      </c>
      <c r="E466" t="inlineStr">
        <is>
          <t>2025</t>
        </is>
      </c>
      <c r="F466" t="inlineStr">
        <is>
          <t>ROCKCODE_NUMEQ</t>
        </is>
      </c>
      <c r="G466" t="inlineStr">
        <is>
          <t>16</t>
        </is>
      </c>
      <c r="H466" t="inlineStr">
        <is>
          <t>sin asignar</t>
        </is>
      </c>
      <c r="I466" t="inlineStr">
        <is>
          <t>NUMEQ16</t>
        </is>
      </c>
      <c r="J466" t="inlineStr">
        <is>
          <t>ROCKCODE_NUMEQ sin leyenda (no equivale 1:1 al RT)</t>
        </is>
      </c>
      <c r="K466" t="inlineStr">
        <is>
          <t>Mármol (hipótesis: siglas M*)</t>
        </is>
      </c>
      <c r="L466" t="inlineStr">
        <is>
          <t>Metamorfico</t>
        </is>
      </c>
      <c r="M466" t="n">
        <v>7912</v>
      </c>
      <c r="N466" t="inlineStr"/>
      <c r="O466" t="inlineStr"/>
      <c r="P466" t="n">
        <v>8505.68</v>
      </c>
      <c r="Q466" t="n">
        <v>47.897</v>
      </c>
    </row>
    <row r="467">
      <c r="A467" t="inlineStr">
        <is>
          <t>MR24</t>
        </is>
      </c>
      <c r="B467" t="inlineStr">
        <is>
          <t>Merged_Table_Assay_lito</t>
        </is>
      </c>
      <c r="C467" t="inlineStr">
        <is>
          <t>metros de sondaje; pct sobre metros</t>
        </is>
      </c>
      <c r="D467" t="inlineStr">
        <is>
          <t>periodo_GM_LE2WASTE_Output</t>
        </is>
      </c>
      <c r="E467" t="inlineStr">
        <is>
          <t>2025</t>
        </is>
      </c>
      <c r="F467" t="inlineStr">
        <is>
          <t>ROCKCODE_NUMEQ</t>
        </is>
      </c>
      <c r="G467" t="inlineStr">
        <is>
          <t>19</t>
        </is>
      </c>
      <c r="H467" t="inlineStr">
        <is>
          <t>sin asignar</t>
        </is>
      </c>
      <c r="I467" t="inlineStr">
        <is>
          <t>NUMEQ19</t>
        </is>
      </c>
      <c r="J467" t="inlineStr">
        <is>
          <t>ROCKCODE_NUMEQ sin leyenda (no equivale 1:1 al RT)</t>
        </is>
      </c>
      <c r="K467" t="inlineStr">
        <is>
          <t>Mármol (hipótesis: sigla MDP)</t>
        </is>
      </c>
      <c r="L467" t="inlineStr">
        <is>
          <t>Metamorfico</t>
        </is>
      </c>
      <c r="M467" t="n">
        <v>2121</v>
      </c>
      <c r="N467" t="inlineStr"/>
      <c r="O467" t="inlineStr"/>
      <c r="P467" t="n">
        <v>2246.93</v>
      </c>
      <c r="Q467" t="n">
        <v>12.653</v>
      </c>
    </row>
    <row r="468">
      <c r="A468" t="inlineStr">
        <is>
          <t>MR24</t>
        </is>
      </c>
      <c r="B468" t="inlineStr">
        <is>
          <t>Merged_Table_Assay_lito</t>
        </is>
      </c>
      <c r="C468" t="inlineStr">
        <is>
          <t>metros de sondaje; pct sobre metros</t>
        </is>
      </c>
      <c r="D468" t="inlineStr">
        <is>
          <t>periodo_GM_LE2WASTE_Output</t>
        </is>
      </c>
      <c r="E468" t="inlineStr">
        <is>
          <t>2026</t>
        </is>
      </c>
      <c r="F468" t="inlineStr">
        <is>
          <t>ROCKCODE_NUMEQ</t>
        </is>
      </c>
      <c r="G468" t="inlineStr">
        <is>
          <t>1</t>
        </is>
      </c>
      <c r="H468" t="inlineStr">
        <is>
          <t>Intrusivo</t>
        </is>
      </c>
      <c r="I468" t="inlineStr">
        <is>
          <t>NUMEQ1</t>
        </is>
      </c>
      <c r="J468" t="inlineStr">
        <is>
          <t>ROCKCODE_NUMEQ=1 agrupa siglas IPP*/DI</t>
        </is>
      </c>
      <c r="K468" t="inlineStr">
        <is>
          <t>Intrusivo</t>
        </is>
      </c>
      <c r="L468" t="inlineStr">
        <is>
          <t>Intrusivo</t>
        </is>
      </c>
      <c r="M468" t="n">
        <v>3635</v>
      </c>
      <c r="N468" t="inlineStr"/>
      <c r="O468" t="inlineStr"/>
      <c r="P468" t="n">
        <v>5233.8</v>
      </c>
      <c r="Q468" t="n">
        <v>29.898</v>
      </c>
    </row>
    <row r="469">
      <c r="A469" t="inlineStr">
        <is>
          <t>MR24</t>
        </is>
      </c>
      <c r="B469" t="inlineStr">
        <is>
          <t>Merged_Table_Assay_lito</t>
        </is>
      </c>
      <c r="C469" t="inlineStr">
        <is>
          <t>metros de sondaje; pct sobre metros</t>
        </is>
      </c>
      <c r="D469" t="inlineStr">
        <is>
          <t>periodo_GM_LE2WASTE_Output</t>
        </is>
      </c>
      <c r="E469" t="inlineStr">
        <is>
          <t>2026</t>
        </is>
      </c>
      <c r="F469" t="inlineStr">
        <is>
          <t>ROCKCODE_NUMEQ</t>
        </is>
      </c>
      <c r="G469" t="inlineStr">
        <is>
          <t>10</t>
        </is>
      </c>
      <c r="H469" t="inlineStr">
        <is>
          <t>sin asignar</t>
        </is>
      </c>
      <c r="I469" t="inlineStr">
        <is>
          <t>NUMEQ10</t>
        </is>
      </c>
      <c r="J469" t="inlineStr">
        <is>
          <t>ROCKCODE_NUMEQ sin leyenda (no equivale 1:1 al RT)</t>
        </is>
      </c>
      <c r="K469" t="inlineStr">
        <is>
          <t>Caliza (hipótesis: siglas C*)</t>
        </is>
      </c>
      <c r="L469" t="inlineStr">
        <is>
          <t>Sedimentario</t>
        </is>
      </c>
      <c r="M469" t="n">
        <v>2640</v>
      </c>
      <c r="N469" t="inlineStr"/>
      <c r="O469" t="inlineStr"/>
      <c r="P469" t="n">
        <v>2457.2</v>
      </c>
      <c r="Q469" t="n">
        <v>14.037</v>
      </c>
    </row>
    <row r="470">
      <c r="A470" t="inlineStr">
        <is>
          <t>MR24</t>
        </is>
      </c>
      <c r="B470" t="inlineStr">
        <is>
          <t>Merged_Table_Assay_lito</t>
        </is>
      </c>
      <c r="C470" t="inlineStr">
        <is>
          <t>metros de sondaje; pct sobre metros</t>
        </is>
      </c>
      <c r="D470" t="inlineStr">
        <is>
          <t>periodo_GM_LE2WASTE_Output</t>
        </is>
      </c>
      <c r="E470" t="inlineStr">
        <is>
          <t>2026</t>
        </is>
      </c>
      <c r="F470" t="inlineStr">
        <is>
          <t>ROCKCODE_NUMEQ</t>
        </is>
      </c>
      <c r="G470" t="inlineStr">
        <is>
          <t>13</t>
        </is>
      </c>
      <c r="H470" t="inlineStr">
        <is>
          <t>sin asignar</t>
        </is>
      </c>
      <c r="I470" t="inlineStr">
        <is>
          <t>NUMEQ13</t>
        </is>
      </c>
      <c r="J470" t="inlineStr">
        <is>
          <t>ROCKCODE_NUMEQ sin leyenda (no equivale 1:1 al RT)</t>
        </is>
      </c>
      <c r="K470" t="inlineStr">
        <is>
          <t>Hornfels (hipótesis: siglas H*)</t>
        </is>
      </c>
      <c r="L470" t="inlineStr">
        <is>
          <t>Metamorfico</t>
        </is>
      </c>
      <c r="M470" t="n">
        <v>916</v>
      </c>
      <c r="N470" t="inlineStr"/>
      <c r="O470" t="inlineStr"/>
      <c r="P470" t="n">
        <v>752.7</v>
      </c>
      <c r="Q470" t="n">
        <v>4.3</v>
      </c>
    </row>
    <row r="471">
      <c r="A471" t="inlineStr">
        <is>
          <t>MR24</t>
        </is>
      </c>
      <c r="B471" t="inlineStr">
        <is>
          <t>Merged_Table_Assay_lito</t>
        </is>
      </c>
      <c r="C471" t="inlineStr">
        <is>
          <t>metros de sondaje; pct sobre metros</t>
        </is>
      </c>
      <c r="D471" t="inlineStr">
        <is>
          <t>periodo_GM_LE2WASTE_Output</t>
        </is>
      </c>
      <c r="E471" t="inlineStr">
        <is>
          <t>2026</t>
        </is>
      </c>
      <c r="F471" t="inlineStr">
        <is>
          <t>ROCKCODE_NUMEQ</t>
        </is>
      </c>
      <c r="G471" t="inlineStr">
        <is>
          <t>14</t>
        </is>
      </c>
      <c r="H471" t="inlineStr">
        <is>
          <t>sin asignar</t>
        </is>
      </c>
      <c r="I471" t="inlineStr">
        <is>
          <t>NUMEQ14</t>
        </is>
      </c>
      <c r="J471" t="inlineStr">
        <is>
          <t>ROCKCODE_NUMEQ sin leyenda (no equivale 1:1 al RT)</t>
        </is>
      </c>
      <c r="K471" t="inlineStr">
        <is>
          <t>Hornfels (hipótesis: siglas H*)</t>
        </is>
      </c>
      <c r="L471" t="inlineStr">
        <is>
          <t>Metamorfico</t>
        </is>
      </c>
      <c r="M471" t="n">
        <v>67</v>
      </c>
      <c r="N471" t="inlineStr"/>
      <c r="O471" t="inlineStr"/>
      <c r="P471" t="n">
        <v>73.34999999999999</v>
      </c>
      <c r="Q471" t="n">
        <v>0.419</v>
      </c>
    </row>
    <row r="472">
      <c r="A472" t="inlineStr">
        <is>
          <t>MR24</t>
        </is>
      </c>
      <c r="B472" t="inlineStr">
        <is>
          <t>Merged_Table_Assay_lito</t>
        </is>
      </c>
      <c r="C472" t="inlineStr">
        <is>
          <t>metros de sondaje; pct sobre metros</t>
        </is>
      </c>
      <c r="D472" t="inlineStr">
        <is>
          <t>periodo_GM_LE2WASTE_Output</t>
        </is>
      </c>
      <c r="E472" t="inlineStr">
        <is>
          <t>2026</t>
        </is>
      </c>
      <c r="F472" t="inlineStr">
        <is>
          <t>ROCKCODE_NUMEQ</t>
        </is>
      </c>
      <c r="G472" t="inlineStr">
        <is>
          <t>16</t>
        </is>
      </c>
      <c r="H472" t="inlineStr">
        <is>
          <t>sin asignar</t>
        </is>
      </c>
      <c r="I472" t="inlineStr">
        <is>
          <t>NUMEQ16</t>
        </is>
      </c>
      <c r="J472" t="inlineStr">
        <is>
          <t>ROCKCODE_NUMEQ sin leyenda (no equivale 1:1 al RT)</t>
        </is>
      </c>
      <c r="K472" t="inlineStr">
        <is>
          <t>Mármol (hipótesis: siglas M*)</t>
        </is>
      </c>
      <c r="L472" t="inlineStr">
        <is>
          <t>Metamorfico</t>
        </is>
      </c>
      <c r="M472" t="n">
        <v>5458</v>
      </c>
      <c r="N472" t="inlineStr"/>
      <c r="O472" t="inlineStr"/>
      <c r="P472" t="n">
        <v>6281.71</v>
      </c>
      <c r="Q472" t="n">
        <v>35.884</v>
      </c>
    </row>
    <row r="473">
      <c r="A473" t="inlineStr">
        <is>
          <t>MR24</t>
        </is>
      </c>
      <c r="B473" t="inlineStr">
        <is>
          <t>Merged_Table_Assay_lito</t>
        </is>
      </c>
      <c r="C473" t="inlineStr">
        <is>
          <t>metros de sondaje; pct sobre metros</t>
        </is>
      </c>
      <c r="D473" t="inlineStr">
        <is>
          <t>periodo_GM_LE2WASTE_Output</t>
        </is>
      </c>
      <c r="E473" t="inlineStr">
        <is>
          <t>2026</t>
        </is>
      </c>
      <c r="F473" t="inlineStr">
        <is>
          <t>ROCKCODE_NUMEQ</t>
        </is>
      </c>
      <c r="G473" t="inlineStr">
        <is>
          <t>19</t>
        </is>
      </c>
      <c r="H473" t="inlineStr">
        <is>
          <t>sin asignar</t>
        </is>
      </c>
      <c r="I473" t="inlineStr">
        <is>
          <t>NUMEQ19</t>
        </is>
      </c>
      <c r="J473" t="inlineStr">
        <is>
          <t>ROCKCODE_NUMEQ sin leyenda (no equivale 1:1 al RT)</t>
        </is>
      </c>
      <c r="K473" t="inlineStr">
        <is>
          <t>Mármol (hipótesis: sigla MDP)</t>
        </is>
      </c>
      <c r="L473" t="inlineStr">
        <is>
          <t>Metamorfico</t>
        </is>
      </c>
      <c r="M473" t="n">
        <v>2606</v>
      </c>
      <c r="N473" t="inlineStr"/>
      <c r="O473" t="inlineStr"/>
      <c r="P473" t="n">
        <v>2706.92</v>
      </c>
      <c r="Q473" t="n">
        <v>15.463</v>
      </c>
    </row>
    <row r="474">
      <c r="A474" t="inlineStr">
        <is>
          <t>MR24</t>
        </is>
      </c>
      <c r="B474" t="inlineStr">
        <is>
          <t>Merged_Table_Assay_lito</t>
        </is>
      </c>
      <c r="C474" t="inlineStr">
        <is>
          <t>metros de sondaje; pct sobre metros</t>
        </is>
      </c>
      <c r="D474" t="inlineStr">
        <is>
          <t>periodo_GM_LE2WASTE_Output</t>
        </is>
      </c>
      <c r="E474" t="inlineStr">
        <is>
          <t>2027</t>
        </is>
      </c>
      <c r="F474" t="inlineStr">
        <is>
          <t>ROCKCODE_NUMEQ</t>
        </is>
      </c>
      <c r="G474" t="inlineStr">
        <is>
          <t>1</t>
        </is>
      </c>
      <c r="H474" t="inlineStr">
        <is>
          <t>Intrusivo</t>
        </is>
      </c>
      <c r="I474" t="inlineStr">
        <is>
          <t>NUMEQ1</t>
        </is>
      </c>
      <c r="J474" t="inlineStr">
        <is>
          <t>ROCKCODE_NUMEQ=1 agrupa siglas IPP*/DI</t>
        </is>
      </c>
      <c r="K474" t="inlineStr">
        <is>
          <t>Intrusivo</t>
        </is>
      </c>
      <c r="L474" t="inlineStr">
        <is>
          <t>Intrusivo</t>
        </is>
      </c>
      <c r="M474" t="n">
        <v>3786</v>
      </c>
      <c r="N474" t="inlineStr"/>
      <c r="O474" t="inlineStr"/>
      <c r="P474" t="n">
        <v>5383.05</v>
      </c>
      <c r="Q474" t="n">
        <v>33.515</v>
      </c>
    </row>
    <row r="475">
      <c r="A475" t="inlineStr">
        <is>
          <t>MR24</t>
        </is>
      </c>
      <c r="B475" t="inlineStr">
        <is>
          <t>Merged_Table_Assay_lito</t>
        </is>
      </c>
      <c r="C475" t="inlineStr">
        <is>
          <t>metros de sondaje; pct sobre metros</t>
        </is>
      </c>
      <c r="D475" t="inlineStr">
        <is>
          <t>periodo_GM_LE2WASTE_Output</t>
        </is>
      </c>
      <c r="E475" t="inlineStr">
        <is>
          <t>2027</t>
        </is>
      </c>
      <c r="F475" t="inlineStr">
        <is>
          <t>ROCKCODE_NUMEQ</t>
        </is>
      </c>
      <c r="G475" t="inlineStr">
        <is>
          <t>10</t>
        </is>
      </c>
      <c r="H475" t="inlineStr">
        <is>
          <t>sin asignar</t>
        </is>
      </c>
      <c r="I475" t="inlineStr">
        <is>
          <t>NUMEQ10</t>
        </is>
      </c>
      <c r="J475" t="inlineStr">
        <is>
          <t>ROCKCODE_NUMEQ sin leyenda (no equivale 1:1 al RT)</t>
        </is>
      </c>
      <c r="K475" t="inlineStr">
        <is>
          <t>Caliza (hipótesis: siglas C*)</t>
        </is>
      </c>
      <c r="L475" t="inlineStr">
        <is>
          <t>Sedimentario</t>
        </is>
      </c>
      <c r="M475" t="n">
        <v>95</v>
      </c>
      <c r="N475" t="inlineStr"/>
      <c r="O475" t="inlineStr"/>
      <c r="P475" t="n">
        <v>156.25</v>
      </c>
      <c r="Q475" t="n">
        <v>0.973</v>
      </c>
    </row>
    <row r="476">
      <c r="A476" t="inlineStr">
        <is>
          <t>MR24</t>
        </is>
      </c>
      <c r="B476" t="inlineStr">
        <is>
          <t>Merged_Table_Assay_lito</t>
        </is>
      </c>
      <c r="C476" t="inlineStr">
        <is>
          <t>metros de sondaje; pct sobre metros</t>
        </is>
      </c>
      <c r="D476" t="inlineStr">
        <is>
          <t>periodo_GM_LE2WASTE_Output</t>
        </is>
      </c>
      <c r="E476" t="inlineStr">
        <is>
          <t>2027</t>
        </is>
      </c>
      <c r="F476" t="inlineStr">
        <is>
          <t>ROCKCODE_NUMEQ</t>
        </is>
      </c>
      <c r="G476" t="inlineStr">
        <is>
          <t>13</t>
        </is>
      </c>
      <c r="H476" t="inlineStr">
        <is>
          <t>sin asignar</t>
        </is>
      </c>
      <c r="I476" t="inlineStr">
        <is>
          <t>NUMEQ13</t>
        </is>
      </c>
      <c r="J476" t="inlineStr">
        <is>
          <t>ROCKCODE_NUMEQ sin leyenda (no equivale 1:1 al RT)</t>
        </is>
      </c>
      <c r="K476" t="inlineStr">
        <is>
          <t>Hornfels (hipótesis: siglas H*)</t>
        </is>
      </c>
      <c r="L476" t="inlineStr">
        <is>
          <t>Metamorfico</t>
        </is>
      </c>
      <c r="M476" t="n">
        <v>92</v>
      </c>
      <c r="N476" t="inlineStr"/>
      <c r="O476" t="inlineStr"/>
      <c r="P476" t="n">
        <v>126.5</v>
      </c>
      <c r="Q476" t="n">
        <v>0.788</v>
      </c>
    </row>
    <row r="477">
      <c r="A477" t="inlineStr">
        <is>
          <t>MR24</t>
        </is>
      </c>
      <c r="B477" t="inlineStr">
        <is>
          <t>Merged_Table_Assay_lito</t>
        </is>
      </c>
      <c r="C477" t="inlineStr">
        <is>
          <t>metros de sondaje; pct sobre metros</t>
        </is>
      </c>
      <c r="D477" t="inlineStr">
        <is>
          <t>periodo_GM_LE2WASTE_Output</t>
        </is>
      </c>
      <c r="E477" t="inlineStr">
        <is>
          <t>2027</t>
        </is>
      </c>
      <c r="F477" t="inlineStr">
        <is>
          <t>ROCKCODE_NUMEQ</t>
        </is>
      </c>
      <c r="G477" t="inlineStr">
        <is>
          <t>14</t>
        </is>
      </c>
      <c r="H477" t="inlineStr">
        <is>
          <t>sin asignar</t>
        </is>
      </c>
      <c r="I477" t="inlineStr">
        <is>
          <t>NUMEQ14</t>
        </is>
      </c>
      <c r="J477" t="inlineStr">
        <is>
          <t>ROCKCODE_NUMEQ sin leyenda (no equivale 1:1 al RT)</t>
        </is>
      </c>
      <c r="K477" t="inlineStr">
        <is>
          <t>Hornfels (hipótesis: siglas H*)</t>
        </is>
      </c>
      <c r="L477" t="inlineStr">
        <is>
          <t>Metamorfico</t>
        </is>
      </c>
      <c r="M477" t="n">
        <v>11</v>
      </c>
      <c r="N477" t="inlineStr"/>
      <c r="O477" t="inlineStr"/>
      <c r="P477" t="n">
        <v>45.35</v>
      </c>
      <c r="Q477" t="n">
        <v>0.282</v>
      </c>
    </row>
    <row r="478">
      <c r="A478" t="inlineStr">
        <is>
          <t>MR24</t>
        </is>
      </c>
      <c r="B478" t="inlineStr">
        <is>
          <t>Merged_Table_Assay_lito</t>
        </is>
      </c>
      <c r="C478" t="inlineStr">
        <is>
          <t>metros de sondaje; pct sobre metros</t>
        </is>
      </c>
      <c r="D478" t="inlineStr">
        <is>
          <t>periodo_GM_LE2WASTE_Output</t>
        </is>
      </c>
      <c r="E478" t="inlineStr">
        <is>
          <t>2027</t>
        </is>
      </c>
      <c r="F478" t="inlineStr">
        <is>
          <t>ROCKCODE_NUMEQ</t>
        </is>
      </c>
      <c r="G478" t="inlineStr">
        <is>
          <t>16</t>
        </is>
      </c>
      <c r="H478" t="inlineStr">
        <is>
          <t>sin asignar</t>
        </is>
      </c>
      <c r="I478" t="inlineStr">
        <is>
          <t>NUMEQ16</t>
        </is>
      </c>
      <c r="J478" t="inlineStr">
        <is>
          <t>ROCKCODE_NUMEQ sin leyenda (no equivale 1:1 al RT)</t>
        </is>
      </c>
      <c r="K478" t="inlineStr">
        <is>
          <t>Mármol (hipótesis: siglas M*)</t>
        </is>
      </c>
      <c r="L478" t="inlineStr">
        <is>
          <t>Metamorfico</t>
        </is>
      </c>
      <c r="M478" t="n">
        <v>4863</v>
      </c>
      <c r="N478" t="inlineStr"/>
      <c r="O478" t="inlineStr"/>
      <c r="P478" t="n">
        <v>5491</v>
      </c>
      <c r="Q478" t="n">
        <v>34.187</v>
      </c>
    </row>
    <row r="479">
      <c r="A479" t="inlineStr">
        <is>
          <t>MR24</t>
        </is>
      </c>
      <c r="B479" t="inlineStr">
        <is>
          <t>Merged_Table_Assay_lito</t>
        </is>
      </c>
      <c r="C479" t="inlineStr">
        <is>
          <t>metros de sondaje; pct sobre metros</t>
        </is>
      </c>
      <c r="D479" t="inlineStr">
        <is>
          <t>periodo_GM_LE2WASTE_Output</t>
        </is>
      </c>
      <c r="E479" t="inlineStr">
        <is>
          <t>2027</t>
        </is>
      </c>
      <c r="F479" t="inlineStr">
        <is>
          <t>ROCKCODE_NUMEQ</t>
        </is>
      </c>
      <c r="G479" t="inlineStr">
        <is>
          <t>19</t>
        </is>
      </c>
      <c r="H479" t="inlineStr">
        <is>
          <t>sin asignar</t>
        </is>
      </c>
      <c r="I479" t="inlineStr">
        <is>
          <t>NUMEQ19</t>
        </is>
      </c>
      <c r="J479" t="inlineStr">
        <is>
          <t>ROCKCODE_NUMEQ sin leyenda (no equivale 1:1 al RT)</t>
        </is>
      </c>
      <c r="K479" t="inlineStr">
        <is>
          <t>Mármol (hipótesis: sigla MDP)</t>
        </is>
      </c>
      <c r="L479" t="inlineStr">
        <is>
          <t>Metamorfico</t>
        </is>
      </c>
      <c r="M479" t="n">
        <v>5234</v>
      </c>
      <c r="N479" t="inlineStr"/>
      <c r="O479" t="inlineStr"/>
      <c r="P479" t="n">
        <v>4859.58</v>
      </c>
      <c r="Q479" t="n">
        <v>30.256</v>
      </c>
    </row>
    <row r="480">
      <c r="A480" t="inlineStr">
        <is>
          <t>MR24</t>
        </is>
      </c>
      <c r="B480" t="inlineStr">
        <is>
          <t>Merged_Table_Assay_lito</t>
        </is>
      </c>
      <c r="C480" t="inlineStr">
        <is>
          <t>metros de sondaje; pct sobre metros</t>
        </is>
      </c>
      <c r="D480" t="inlineStr">
        <is>
          <t>periodo_GM_LE2WASTE_Output</t>
        </is>
      </c>
      <c r="E480" t="inlineStr">
        <is>
          <t>2028</t>
        </is>
      </c>
      <c r="F480" t="inlineStr">
        <is>
          <t>ROCKCODE_NUMEQ</t>
        </is>
      </c>
      <c r="G480" t="inlineStr">
        <is>
          <t>1</t>
        </is>
      </c>
      <c r="H480" t="inlineStr">
        <is>
          <t>Intrusivo</t>
        </is>
      </c>
      <c r="I480" t="inlineStr">
        <is>
          <t>NUMEQ1</t>
        </is>
      </c>
      <c r="J480" t="inlineStr">
        <is>
          <t>ROCKCODE_NUMEQ=1 agrupa siglas IPP*/DI</t>
        </is>
      </c>
      <c r="K480" t="inlineStr">
        <is>
          <t>Intrusivo</t>
        </is>
      </c>
      <c r="L480" t="inlineStr">
        <is>
          <t>Intrusivo</t>
        </is>
      </c>
      <c r="M480" t="n">
        <v>3622</v>
      </c>
      <c r="N480" t="inlineStr"/>
      <c r="O480" t="inlineStr"/>
      <c r="P480" t="n">
        <v>5268.48</v>
      </c>
      <c r="Q480" t="n">
        <v>25.437</v>
      </c>
    </row>
    <row r="481">
      <c r="A481" t="inlineStr">
        <is>
          <t>MR24</t>
        </is>
      </c>
      <c r="B481" t="inlineStr">
        <is>
          <t>Merged_Table_Assay_lito</t>
        </is>
      </c>
      <c r="C481" t="inlineStr">
        <is>
          <t>metros de sondaje; pct sobre metros</t>
        </is>
      </c>
      <c r="D481" t="inlineStr">
        <is>
          <t>periodo_GM_LE2WASTE_Output</t>
        </is>
      </c>
      <c r="E481" t="inlineStr">
        <is>
          <t>2028</t>
        </is>
      </c>
      <c r="F481" t="inlineStr">
        <is>
          <t>ROCKCODE_NUMEQ</t>
        </is>
      </c>
      <c r="G481" t="inlineStr">
        <is>
          <t>10</t>
        </is>
      </c>
      <c r="H481" t="inlineStr">
        <is>
          <t>sin asignar</t>
        </is>
      </c>
      <c r="I481" t="inlineStr">
        <is>
          <t>NUMEQ10</t>
        </is>
      </c>
      <c r="J481" t="inlineStr">
        <is>
          <t>ROCKCODE_NUMEQ sin leyenda (no equivale 1:1 al RT)</t>
        </is>
      </c>
      <c r="K481" t="inlineStr">
        <is>
          <t>Caliza (hipótesis: siglas C*)</t>
        </is>
      </c>
      <c r="L481" t="inlineStr">
        <is>
          <t>Sedimentario</t>
        </is>
      </c>
      <c r="M481" t="n">
        <v>1467</v>
      </c>
      <c r="N481" t="inlineStr"/>
      <c r="O481" t="inlineStr"/>
      <c r="P481" t="n">
        <v>1338.7</v>
      </c>
      <c r="Q481" t="n">
        <v>6.463</v>
      </c>
    </row>
    <row r="482">
      <c r="A482" t="inlineStr">
        <is>
          <t>MR24</t>
        </is>
      </c>
      <c r="B482" t="inlineStr">
        <is>
          <t>Merged_Table_Assay_lito</t>
        </is>
      </c>
      <c r="C482" t="inlineStr">
        <is>
          <t>metros de sondaje; pct sobre metros</t>
        </is>
      </c>
      <c r="D482" t="inlineStr">
        <is>
          <t>periodo_GM_LE2WASTE_Output</t>
        </is>
      </c>
      <c r="E482" t="inlineStr">
        <is>
          <t>2028</t>
        </is>
      </c>
      <c r="F482" t="inlineStr">
        <is>
          <t>ROCKCODE_NUMEQ</t>
        </is>
      </c>
      <c r="G482" t="inlineStr">
        <is>
          <t>13</t>
        </is>
      </c>
      <c r="H482" t="inlineStr">
        <is>
          <t>sin asignar</t>
        </is>
      </c>
      <c r="I482" t="inlineStr">
        <is>
          <t>NUMEQ13</t>
        </is>
      </c>
      <c r="J482" t="inlineStr">
        <is>
          <t>ROCKCODE_NUMEQ sin leyenda (no equivale 1:1 al RT)</t>
        </is>
      </c>
      <c r="K482" t="inlineStr">
        <is>
          <t>Hornfels (hipótesis: siglas H*)</t>
        </is>
      </c>
      <c r="L482" t="inlineStr">
        <is>
          <t>Metamorfico</t>
        </is>
      </c>
      <c r="M482" t="n">
        <v>3441</v>
      </c>
      <c r="N482" t="inlineStr"/>
      <c r="O482" t="inlineStr"/>
      <c r="P482" t="n">
        <v>2985.9</v>
      </c>
      <c r="Q482" t="n">
        <v>14.416</v>
      </c>
    </row>
    <row r="483">
      <c r="A483" t="inlineStr">
        <is>
          <t>MR24</t>
        </is>
      </c>
      <c r="B483" t="inlineStr">
        <is>
          <t>Merged_Table_Assay_lito</t>
        </is>
      </c>
      <c r="C483" t="inlineStr">
        <is>
          <t>metros de sondaje; pct sobre metros</t>
        </is>
      </c>
      <c r="D483" t="inlineStr">
        <is>
          <t>periodo_GM_LE2WASTE_Output</t>
        </is>
      </c>
      <c r="E483" t="inlineStr">
        <is>
          <t>2028</t>
        </is>
      </c>
      <c r="F483" t="inlineStr">
        <is>
          <t>ROCKCODE_NUMEQ</t>
        </is>
      </c>
      <c r="G483" t="inlineStr">
        <is>
          <t>14</t>
        </is>
      </c>
      <c r="H483" t="inlineStr">
        <is>
          <t>sin asignar</t>
        </is>
      </c>
      <c r="I483" t="inlineStr">
        <is>
          <t>NUMEQ14</t>
        </is>
      </c>
      <c r="J483" t="inlineStr">
        <is>
          <t>ROCKCODE_NUMEQ sin leyenda (no equivale 1:1 al RT)</t>
        </is>
      </c>
      <c r="K483" t="inlineStr">
        <is>
          <t>Hornfels (hipótesis: siglas H*)</t>
        </is>
      </c>
      <c r="L483" t="inlineStr">
        <is>
          <t>Metamorfico</t>
        </is>
      </c>
      <c r="M483" t="n">
        <v>199</v>
      </c>
      <c r="N483" t="inlineStr"/>
      <c r="O483" t="inlineStr"/>
      <c r="P483" t="n">
        <v>262.13</v>
      </c>
      <c r="Q483" t="n">
        <v>1.266</v>
      </c>
    </row>
    <row r="484">
      <c r="A484" t="inlineStr">
        <is>
          <t>MR24</t>
        </is>
      </c>
      <c r="B484" t="inlineStr">
        <is>
          <t>Merged_Table_Assay_lito</t>
        </is>
      </c>
      <c r="C484" t="inlineStr">
        <is>
          <t>metros de sondaje; pct sobre metros</t>
        </is>
      </c>
      <c r="D484" t="inlineStr">
        <is>
          <t>periodo_GM_LE2WASTE_Output</t>
        </is>
      </c>
      <c r="E484" t="inlineStr">
        <is>
          <t>2028</t>
        </is>
      </c>
      <c r="F484" t="inlineStr">
        <is>
          <t>ROCKCODE_NUMEQ</t>
        </is>
      </c>
      <c r="G484" t="inlineStr">
        <is>
          <t>16</t>
        </is>
      </c>
      <c r="H484" t="inlineStr">
        <is>
          <t>sin asignar</t>
        </is>
      </c>
      <c r="I484" t="inlineStr">
        <is>
          <t>NUMEQ16</t>
        </is>
      </c>
      <c r="J484" t="inlineStr">
        <is>
          <t>ROCKCODE_NUMEQ sin leyenda (no equivale 1:1 al RT)</t>
        </is>
      </c>
      <c r="K484" t="inlineStr">
        <is>
          <t>Mármol (hipótesis: siglas M*)</t>
        </is>
      </c>
      <c r="L484" t="inlineStr">
        <is>
          <t>Metamorfico</t>
        </is>
      </c>
      <c r="M484" t="n">
        <v>6429</v>
      </c>
      <c r="N484" t="inlineStr"/>
      <c r="O484" t="inlineStr"/>
      <c r="P484" t="n">
        <v>6738.95</v>
      </c>
      <c r="Q484" t="n">
        <v>32.536</v>
      </c>
    </row>
    <row r="485">
      <c r="A485" t="inlineStr">
        <is>
          <t>MR24</t>
        </is>
      </c>
      <c r="B485" t="inlineStr">
        <is>
          <t>Merged_Table_Assay_lito</t>
        </is>
      </c>
      <c r="C485" t="inlineStr">
        <is>
          <t>metros de sondaje; pct sobre metros</t>
        </is>
      </c>
      <c r="D485" t="inlineStr">
        <is>
          <t>periodo_GM_LE2WASTE_Output</t>
        </is>
      </c>
      <c r="E485" t="inlineStr">
        <is>
          <t>2028</t>
        </is>
      </c>
      <c r="F485" t="inlineStr">
        <is>
          <t>ROCKCODE_NUMEQ</t>
        </is>
      </c>
      <c r="G485" t="inlineStr">
        <is>
          <t>19</t>
        </is>
      </c>
      <c r="H485" t="inlineStr">
        <is>
          <t>sin asignar</t>
        </is>
      </c>
      <c r="I485" t="inlineStr">
        <is>
          <t>NUMEQ19</t>
        </is>
      </c>
      <c r="J485" t="inlineStr">
        <is>
          <t>ROCKCODE_NUMEQ sin leyenda (no equivale 1:1 al RT)</t>
        </is>
      </c>
      <c r="K485" t="inlineStr">
        <is>
          <t>Mármol (hipótesis: sigla MDP)</t>
        </is>
      </c>
      <c r="L485" t="inlineStr">
        <is>
          <t>Metamorfico</t>
        </is>
      </c>
      <c r="M485" t="n">
        <v>4394</v>
      </c>
      <c r="N485" t="inlineStr"/>
      <c r="O485" t="inlineStr"/>
      <c r="P485" t="n">
        <v>4118.05</v>
      </c>
      <c r="Q485" t="n">
        <v>19.882</v>
      </c>
    </row>
    <row r="486">
      <c r="A486" t="inlineStr">
        <is>
          <t>MR24</t>
        </is>
      </c>
      <c r="B486" t="inlineStr">
        <is>
          <t>Merged_Table_Assay_lito</t>
        </is>
      </c>
      <c r="C486" t="inlineStr">
        <is>
          <t>metros de sondaje; pct sobre metros</t>
        </is>
      </c>
      <c r="D486" t="inlineStr">
        <is>
          <t>periodo_GM_LE2WASTE_Output</t>
        </is>
      </c>
      <c r="E486" t="inlineStr">
        <is>
          <t>2029</t>
        </is>
      </c>
      <c r="F486" t="inlineStr">
        <is>
          <t>ROCKCODE_NUMEQ</t>
        </is>
      </c>
      <c r="G486" t="inlineStr">
        <is>
          <t>1</t>
        </is>
      </c>
      <c r="H486" t="inlineStr">
        <is>
          <t>Intrusivo</t>
        </is>
      </c>
      <c r="I486" t="inlineStr">
        <is>
          <t>NUMEQ1</t>
        </is>
      </c>
      <c r="J486" t="inlineStr">
        <is>
          <t>ROCKCODE_NUMEQ=1 agrupa siglas IPP*/DI</t>
        </is>
      </c>
      <c r="K486" t="inlineStr">
        <is>
          <t>Intrusivo</t>
        </is>
      </c>
      <c r="L486" t="inlineStr">
        <is>
          <t>Intrusivo</t>
        </is>
      </c>
      <c r="M486" t="n">
        <v>5339</v>
      </c>
      <c r="N486" t="inlineStr"/>
      <c r="O486" t="inlineStr"/>
      <c r="P486" t="n">
        <v>7639.06</v>
      </c>
      <c r="Q486" t="n">
        <v>35.829</v>
      </c>
    </row>
    <row r="487">
      <c r="A487" t="inlineStr">
        <is>
          <t>MR24</t>
        </is>
      </c>
      <c r="B487" t="inlineStr">
        <is>
          <t>Merged_Table_Assay_lito</t>
        </is>
      </c>
      <c r="C487" t="inlineStr">
        <is>
          <t>metros de sondaje; pct sobre metros</t>
        </is>
      </c>
      <c r="D487" t="inlineStr">
        <is>
          <t>periodo_GM_LE2WASTE_Output</t>
        </is>
      </c>
      <c r="E487" t="inlineStr">
        <is>
          <t>2029</t>
        </is>
      </c>
      <c r="F487" t="inlineStr">
        <is>
          <t>ROCKCODE_NUMEQ</t>
        </is>
      </c>
      <c r="G487" t="inlineStr">
        <is>
          <t>10</t>
        </is>
      </c>
      <c r="H487" t="inlineStr">
        <is>
          <t>sin asignar</t>
        </is>
      </c>
      <c r="I487" t="inlineStr">
        <is>
          <t>NUMEQ10</t>
        </is>
      </c>
      <c r="J487" t="inlineStr">
        <is>
          <t>ROCKCODE_NUMEQ sin leyenda (no equivale 1:1 al RT)</t>
        </is>
      </c>
      <c r="K487" t="inlineStr">
        <is>
          <t>Caliza (hipótesis: siglas C*)</t>
        </is>
      </c>
      <c r="L487" t="inlineStr">
        <is>
          <t>Sedimentario</t>
        </is>
      </c>
      <c r="M487" t="n">
        <v>3817</v>
      </c>
      <c r="N487" t="inlineStr"/>
      <c r="O487" t="inlineStr"/>
      <c r="P487" t="n">
        <v>3561.85</v>
      </c>
      <c r="Q487" t="n">
        <v>16.706</v>
      </c>
    </row>
    <row r="488">
      <c r="A488" t="inlineStr">
        <is>
          <t>MR24</t>
        </is>
      </c>
      <c r="B488" t="inlineStr">
        <is>
          <t>Merged_Table_Assay_lito</t>
        </is>
      </c>
      <c r="C488" t="inlineStr">
        <is>
          <t>metros de sondaje; pct sobre metros</t>
        </is>
      </c>
      <c r="D488" t="inlineStr">
        <is>
          <t>periodo_GM_LE2WASTE_Output</t>
        </is>
      </c>
      <c r="E488" t="inlineStr">
        <is>
          <t>2029</t>
        </is>
      </c>
      <c r="F488" t="inlineStr">
        <is>
          <t>ROCKCODE_NUMEQ</t>
        </is>
      </c>
      <c r="G488" t="inlineStr">
        <is>
          <t>13</t>
        </is>
      </c>
      <c r="H488" t="inlineStr">
        <is>
          <t>sin asignar</t>
        </is>
      </c>
      <c r="I488" t="inlineStr">
        <is>
          <t>NUMEQ13</t>
        </is>
      </c>
      <c r="J488" t="inlineStr">
        <is>
          <t>ROCKCODE_NUMEQ sin leyenda (no equivale 1:1 al RT)</t>
        </is>
      </c>
      <c r="K488" t="inlineStr">
        <is>
          <t>Hornfels (hipótesis: siglas H*)</t>
        </is>
      </c>
      <c r="L488" t="inlineStr">
        <is>
          <t>Metamorfico</t>
        </is>
      </c>
      <c r="M488" t="n">
        <v>3766</v>
      </c>
      <c r="N488" t="inlineStr"/>
      <c r="O488" t="inlineStr"/>
      <c r="P488" t="n">
        <v>3420.65</v>
      </c>
      <c r="Q488" t="n">
        <v>16.044</v>
      </c>
    </row>
    <row r="489">
      <c r="A489" t="inlineStr">
        <is>
          <t>MR24</t>
        </is>
      </c>
      <c r="B489" t="inlineStr">
        <is>
          <t>Merged_Table_Assay_lito</t>
        </is>
      </c>
      <c r="C489" t="inlineStr">
        <is>
          <t>metros de sondaje; pct sobre metros</t>
        </is>
      </c>
      <c r="D489" t="inlineStr">
        <is>
          <t>periodo_GM_LE2WASTE_Output</t>
        </is>
      </c>
      <c r="E489" t="inlineStr">
        <is>
          <t>2029</t>
        </is>
      </c>
      <c r="F489" t="inlineStr">
        <is>
          <t>ROCKCODE_NUMEQ</t>
        </is>
      </c>
      <c r="G489" t="inlineStr">
        <is>
          <t>14</t>
        </is>
      </c>
      <c r="H489" t="inlineStr">
        <is>
          <t>sin asignar</t>
        </is>
      </c>
      <c r="I489" t="inlineStr">
        <is>
          <t>NUMEQ14</t>
        </is>
      </c>
      <c r="J489" t="inlineStr">
        <is>
          <t>ROCKCODE_NUMEQ sin leyenda (no equivale 1:1 al RT)</t>
        </is>
      </c>
      <c r="K489" t="inlineStr">
        <is>
          <t>Hornfels (hipótesis: siglas H*)</t>
        </is>
      </c>
      <c r="L489" t="inlineStr">
        <is>
          <t>Metamorfico</t>
        </is>
      </c>
      <c r="M489" t="n">
        <v>229</v>
      </c>
      <c r="N489" t="inlineStr"/>
      <c r="O489" t="inlineStr"/>
      <c r="P489" t="n">
        <v>158.75</v>
      </c>
      <c r="Q489" t="n">
        <v>0.745</v>
      </c>
    </row>
    <row r="490">
      <c r="A490" t="inlineStr">
        <is>
          <t>MR24</t>
        </is>
      </c>
      <c r="B490" t="inlineStr">
        <is>
          <t>Merged_Table_Assay_lito</t>
        </is>
      </c>
      <c r="C490" t="inlineStr">
        <is>
          <t>metros de sondaje; pct sobre metros</t>
        </is>
      </c>
      <c r="D490" t="inlineStr">
        <is>
          <t>periodo_GM_LE2WASTE_Output</t>
        </is>
      </c>
      <c r="E490" t="inlineStr">
        <is>
          <t>2029</t>
        </is>
      </c>
      <c r="F490" t="inlineStr">
        <is>
          <t>ROCKCODE_NUMEQ</t>
        </is>
      </c>
      <c r="G490" t="inlineStr">
        <is>
          <t>16</t>
        </is>
      </c>
      <c r="H490" t="inlineStr">
        <is>
          <t>sin asignar</t>
        </is>
      </c>
      <c r="I490" t="inlineStr">
        <is>
          <t>NUMEQ16</t>
        </is>
      </c>
      <c r="J490" t="inlineStr">
        <is>
          <t>ROCKCODE_NUMEQ sin leyenda (no equivale 1:1 al RT)</t>
        </is>
      </c>
      <c r="K490" t="inlineStr">
        <is>
          <t>Mármol (hipótesis: siglas M*)</t>
        </is>
      </c>
      <c r="L490" t="inlineStr">
        <is>
          <t>Metamorfico</t>
        </is>
      </c>
      <c r="M490" t="n">
        <v>5141</v>
      </c>
      <c r="N490" t="inlineStr"/>
      <c r="O490" t="inlineStr"/>
      <c r="P490" t="n">
        <v>5434.9</v>
      </c>
      <c r="Q490" t="n">
        <v>25.491</v>
      </c>
    </row>
    <row r="491">
      <c r="A491" t="inlineStr">
        <is>
          <t>MR24</t>
        </is>
      </c>
      <c r="B491" t="inlineStr">
        <is>
          <t>Merged_Table_Assay_lito</t>
        </is>
      </c>
      <c r="C491" t="inlineStr">
        <is>
          <t>metros de sondaje; pct sobre metros</t>
        </is>
      </c>
      <c r="D491" t="inlineStr">
        <is>
          <t>periodo_GM_LE2WASTE_Output</t>
        </is>
      </c>
      <c r="E491" t="inlineStr">
        <is>
          <t>2029</t>
        </is>
      </c>
      <c r="F491" t="inlineStr">
        <is>
          <t>ROCKCODE_NUMEQ</t>
        </is>
      </c>
      <c r="G491" t="inlineStr">
        <is>
          <t>19</t>
        </is>
      </c>
      <c r="H491" t="inlineStr">
        <is>
          <t>sin asignar</t>
        </is>
      </c>
      <c r="I491" t="inlineStr">
        <is>
          <t>NUMEQ19</t>
        </is>
      </c>
      <c r="J491" t="inlineStr">
        <is>
          <t>ROCKCODE_NUMEQ sin leyenda (no equivale 1:1 al RT)</t>
        </is>
      </c>
      <c r="K491" t="inlineStr">
        <is>
          <t>Mármol (hipótesis: sigla MDP)</t>
        </is>
      </c>
      <c r="L491" t="inlineStr">
        <is>
          <t>Metamorfico</t>
        </is>
      </c>
      <c r="M491" t="n">
        <v>980</v>
      </c>
      <c r="N491" t="inlineStr"/>
      <c r="O491" t="inlineStr"/>
      <c r="P491" t="n">
        <v>1105.8</v>
      </c>
      <c r="Q491" t="n">
        <v>5.186</v>
      </c>
    </row>
    <row r="492">
      <c r="A492" t="inlineStr">
        <is>
          <t>MR24</t>
        </is>
      </c>
      <c r="B492" t="inlineStr">
        <is>
          <t>Merged_Table_Assay_lito</t>
        </is>
      </c>
      <c r="C492" t="inlineStr">
        <is>
          <t>metros de sondaje; pct sobre metros</t>
        </is>
      </c>
      <c r="D492" t="inlineStr">
        <is>
          <t>periodo_GM_LE2WASTE_Output</t>
        </is>
      </c>
      <c r="E492" t="inlineStr">
        <is>
          <t>2030</t>
        </is>
      </c>
      <c r="F492" t="inlineStr">
        <is>
          <t>ROCKCODE_NUMEQ</t>
        </is>
      </c>
      <c r="G492" t="inlineStr">
        <is>
          <t>1</t>
        </is>
      </c>
      <c r="H492" t="inlineStr">
        <is>
          <t>Intrusivo</t>
        </is>
      </c>
      <c r="I492" t="inlineStr">
        <is>
          <t>NUMEQ1</t>
        </is>
      </c>
      <c r="J492" t="inlineStr">
        <is>
          <t>ROCKCODE_NUMEQ=1 agrupa siglas IPP*/DI</t>
        </is>
      </c>
      <c r="K492" t="inlineStr">
        <is>
          <t>Intrusivo</t>
        </is>
      </c>
      <c r="L492" t="inlineStr">
        <is>
          <t>Intrusivo</t>
        </is>
      </c>
      <c r="M492" t="n">
        <v>4439</v>
      </c>
      <c r="N492" t="inlineStr"/>
      <c r="O492" t="inlineStr"/>
      <c r="P492" t="n">
        <v>6205.79</v>
      </c>
      <c r="Q492" t="n">
        <v>20.158</v>
      </c>
    </row>
    <row r="493">
      <c r="A493" t="inlineStr">
        <is>
          <t>MR24</t>
        </is>
      </c>
      <c r="B493" t="inlineStr">
        <is>
          <t>Merged_Table_Assay_lito</t>
        </is>
      </c>
      <c r="C493" t="inlineStr">
        <is>
          <t>metros de sondaje; pct sobre metros</t>
        </is>
      </c>
      <c r="D493" t="inlineStr">
        <is>
          <t>periodo_GM_LE2WASTE_Output</t>
        </is>
      </c>
      <c r="E493" t="inlineStr">
        <is>
          <t>2030</t>
        </is>
      </c>
      <c r="F493" t="inlineStr">
        <is>
          <t>ROCKCODE_NUMEQ</t>
        </is>
      </c>
      <c r="G493" t="inlineStr">
        <is>
          <t>10</t>
        </is>
      </c>
      <c r="H493" t="inlineStr">
        <is>
          <t>sin asignar</t>
        </is>
      </c>
      <c r="I493" t="inlineStr">
        <is>
          <t>NUMEQ10</t>
        </is>
      </c>
      <c r="J493" t="inlineStr">
        <is>
          <t>ROCKCODE_NUMEQ sin leyenda (no equivale 1:1 al RT)</t>
        </is>
      </c>
      <c r="K493" t="inlineStr">
        <is>
          <t>Caliza (hipótesis: siglas C*)</t>
        </is>
      </c>
      <c r="L493" t="inlineStr">
        <is>
          <t>Sedimentario</t>
        </is>
      </c>
      <c r="M493" t="n">
        <v>2756</v>
      </c>
      <c r="N493" t="inlineStr"/>
      <c r="O493" t="inlineStr"/>
      <c r="P493" t="n">
        <v>2480.15</v>
      </c>
      <c r="Q493" t="n">
        <v>8.055999999999999</v>
      </c>
    </row>
    <row r="494">
      <c r="A494" t="inlineStr">
        <is>
          <t>MR24</t>
        </is>
      </c>
      <c r="B494" t="inlineStr">
        <is>
          <t>Merged_Table_Assay_lito</t>
        </is>
      </c>
      <c r="C494" t="inlineStr">
        <is>
          <t>metros de sondaje; pct sobre metros</t>
        </is>
      </c>
      <c r="D494" t="inlineStr">
        <is>
          <t>periodo_GM_LE2WASTE_Output</t>
        </is>
      </c>
      <c r="E494" t="inlineStr">
        <is>
          <t>2030</t>
        </is>
      </c>
      <c r="F494" t="inlineStr">
        <is>
          <t>ROCKCODE_NUMEQ</t>
        </is>
      </c>
      <c r="G494" t="inlineStr">
        <is>
          <t>13</t>
        </is>
      </c>
      <c r="H494" t="inlineStr">
        <is>
          <t>sin asignar</t>
        </is>
      </c>
      <c r="I494" t="inlineStr">
        <is>
          <t>NUMEQ13</t>
        </is>
      </c>
      <c r="J494" t="inlineStr">
        <is>
          <t>ROCKCODE_NUMEQ sin leyenda (no equivale 1:1 al RT)</t>
        </is>
      </c>
      <c r="K494" t="inlineStr">
        <is>
          <t>Hornfels (hipótesis: siglas H*)</t>
        </is>
      </c>
      <c r="L494" t="inlineStr">
        <is>
          <t>Metamorfico</t>
        </is>
      </c>
      <c r="M494" t="n">
        <v>14127</v>
      </c>
      <c r="N494" t="inlineStr"/>
      <c r="O494" t="inlineStr"/>
      <c r="P494" t="n">
        <v>11607.8</v>
      </c>
      <c r="Q494" t="n">
        <v>37.706</v>
      </c>
    </row>
    <row r="495">
      <c r="A495" t="inlineStr">
        <is>
          <t>MR24</t>
        </is>
      </c>
      <c r="B495" t="inlineStr">
        <is>
          <t>Merged_Table_Assay_lito</t>
        </is>
      </c>
      <c r="C495" t="inlineStr">
        <is>
          <t>metros de sondaje; pct sobre metros</t>
        </is>
      </c>
      <c r="D495" t="inlineStr">
        <is>
          <t>periodo_GM_LE2WASTE_Output</t>
        </is>
      </c>
      <c r="E495" t="inlineStr">
        <is>
          <t>2030</t>
        </is>
      </c>
      <c r="F495" t="inlineStr">
        <is>
          <t>ROCKCODE_NUMEQ</t>
        </is>
      </c>
      <c r="G495" t="inlineStr">
        <is>
          <t>14</t>
        </is>
      </c>
      <c r="H495" t="inlineStr">
        <is>
          <t>sin asignar</t>
        </is>
      </c>
      <c r="I495" t="inlineStr">
        <is>
          <t>NUMEQ14</t>
        </is>
      </c>
      <c r="J495" t="inlineStr">
        <is>
          <t>ROCKCODE_NUMEQ sin leyenda (no equivale 1:1 al RT)</t>
        </is>
      </c>
      <c r="K495" t="inlineStr">
        <is>
          <t>Hornfels (hipótesis: siglas H*)</t>
        </is>
      </c>
      <c r="L495" t="inlineStr">
        <is>
          <t>Metamorfico</t>
        </is>
      </c>
      <c r="M495" t="n">
        <v>1526</v>
      </c>
      <c r="N495" t="inlineStr"/>
      <c r="O495" t="inlineStr"/>
      <c r="P495" t="n">
        <v>1238.7</v>
      </c>
      <c r="Q495" t="n">
        <v>4.024</v>
      </c>
    </row>
    <row r="496">
      <c r="A496" t="inlineStr">
        <is>
          <t>MR24</t>
        </is>
      </c>
      <c r="B496" t="inlineStr">
        <is>
          <t>Merged_Table_Assay_lito</t>
        </is>
      </c>
      <c r="C496" t="inlineStr">
        <is>
          <t>metros de sondaje; pct sobre metros</t>
        </is>
      </c>
      <c r="D496" t="inlineStr">
        <is>
          <t>periodo_GM_LE2WASTE_Output</t>
        </is>
      </c>
      <c r="E496" t="inlineStr">
        <is>
          <t>2030</t>
        </is>
      </c>
      <c r="F496" t="inlineStr">
        <is>
          <t>ROCKCODE_NUMEQ</t>
        </is>
      </c>
      <c r="G496" t="inlineStr">
        <is>
          <t>16</t>
        </is>
      </c>
      <c r="H496" t="inlineStr">
        <is>
          <t>sin asignar</t>
        </is>
      </c>
      <c r="I496" t="inlineStr">
        <is>
          <t>NUMEQ16</t>
        </is>
      </c>
      <c r="J496" t="inlineStr">
        <is>
          <t>ROCKCODE_NUMEQ sin leyenda (no equivale 1:1 al RT)</t>
        </is>
      </c>
      <c r="K496" t="inlineStr">
        <is>
          <t>Mármol (hipótesis: siglas M*)</t>
        </is>
      </c>
      <c r="L496" t="inlineStr">
        <is>
          <t>Metamorfico</t>
        </is>
      </c>
      <c r="M496" t="n">
        <v>6845</v>
      </c>
      <c r="N496" t="inlineStr"/>
      <c r="O496" t="inlineStr"/>
      <c r="P496" t="n">
        <v>6848.55</v>
      </c>
      <c r="Q496" t="n">
        <v>22.246</v>
      </c>
    </row>
    <row r="497">
      <c r="A497" t="inlineStr">
        <is>
          <t>MR24</t>
        </is>
      </c>
      <c r="B497" t="inlineStr">
        <is>
          <t>Merged_Table_Assay_lito</t>
        </is>
      </c>
      <c r="C497" t="inlineStr">
        <is>
          <t>metros de sondaje; pct sobre metros</t>
        </is>
      </c>
      <c r="D497" t="inlineStr">
        <is>
          <t>periodo_GM_LE2WASTE_Output</t>
        </is>
      </c>
      <c r="E497" t="inlineStr">
        <is>
          <t>2030</t>
        </is>
      </c>
      <c r="F497" t="inlineStr">
        <is>
          <t>ROCKCODE_NUMEQ</t>
        </is>
      </c>
      <c r="G497" t="inlineStr">
        <is>
          <t>19</t>
        </is>
      </c>
      <c r="H497" t="inlineStr">
        <is>
          <t>sin asignar</t>
        </is>
      </c>
      <c r="I497" t="inlineStr">
        <is>
          <t>NUMEQ19</t>
        </is>
      </c>
      <c r="J497" t="inlineStr">
        <is>
          <t>ROCKCODE_NUMEQ sin leyenda (no equivale 1:1 al RT)</t>
        </is>
      </c>
      <c r="K497" t="inlineStr">
        <is>
          <t>Mármol (hipótesis: sigla MDP)</t>
        </is>
      </c>
      <c r="L497" t="inlineStr">
        <is>
          <t>Metamorfico</t>
        </is>
      </c>
      <c r="M497" t="n">
        <v>2655</v>
      </c>
      <c r="N497" t="inlineStr"/>
      <c r="O497" t="inlineStr"/>
      <c r="P497" t="n">
        <v>2404.25</v>
      </c>
      <c r="Q497" t="n">
        <v>7.81</v>
      </c>
    </row>
    <row r="498">
      <c r="A498" t="inlineStr">
        <is>
          <t>MR24</t>
        </is>
      </c>
      <c r="B498" t="inlineStr">
        <is>
          <t>Merged_Table_Assay_lito</t>
        </is>
      </c>
      <c r="C498" t="inlineStr">
        <is>
          <t>metros de sondaje; pct sobre metros</t>
        </is>
      </c>
      <c r="D498" t="inlineStr">
        <is>
          <t>periodo_GM_LE2WASTE_Output</t>
        </is>
      </c>
      <c r="E498" t="inlineStr">
        <is>
          <t>2031</t>
        </is>
      </c>
      <c r="F498" t="inlineStr">
        <is>
          <t>ROCKCODE_NUMEQ</t>
        </is>
      </c>
      <c r="G498" t="inlineStr">
        <is>
          <t>1</t>
        </is>
      </c>
      <c r="H498" t="inlineStr">
        <is>
          <t>Intrusivo</t>
        </is>
      </c>
      <c r="I498" t="inlineStr">
        <is>
          <t>NUMEQ1</t>
        </is>
      </c>
      <c r="J498" t="inlineStr">
        <is>
          <t>ROCKCODE_NUMEQ=1 agrupa siglas IPP*/DI</t>
        </is>
      </c>
      <c r="K498" t="inlineStr">
        <is>
          <t>Intrusivo</t>
        </is>
      </c>
      <c r="L498" t="inlineStr">
        <is>
          <t>Intrusivo</t>
        </is>
      </c>
      <c r="M498" t="n">
        <v>4646</v>
      </c>
      <c r="N498" t="inlineStr"/>
      <c r="O498" t="inlineStr"/>
      <c r="P498" t="n">
        <v>5526.81</v>
      </c>
      <c r="Q498" t="n">
        <v>24.784</v>
      </c>
    </row>
    <row r="499">
      <c r="A499" t="inlineStr">
        <is>
          <t>MR24</t>
        </is>
      </c>
      <c r="B499" t="inlineStr">
        <is>
          <t>Merged_Table_Assay_lito</t>
        </is>
      </c>
      <c r="C499" t="inlineStr">
        <is>
          <t>metros de sondaje; pct sobre metros</t>
        </is>
      </c>
      <c r="D499" t="inlineStr">
        <is>
          <t>periodo_GM_LE2WASTE_Output</t>
        </is>
      </c>
      <c r="E499" t="inlineStr">
        <is>
          <t>2031</t>
        </is>
      </c>
      <c r="F499" t="inlineStr">
        <is>
          <t>ROCKCODE_NUMEQ</t>
        </is>
      </c>
      <c r="G499" t="inlineStr">
        <is>
          <t>10</t>
        </is>
      </c>
      <c r="H499" t="inlineStr">
        <is>
          <t>sin asignar</t>
        </is>
      </c>
      <c r="I499" t="inlineStr">
        <is>
          <t>NUMEQ10</t>
        </is>
      </c>
      <c r="J499" t="inlineStr">
        <is>
          <t>ROCKCODE_NUMEQ sin leyenda (no equivale 1:1 al RT)</t>
        </is>
      </c>
      <c r="K499" t="inlineStr">
        <is>
          <t>Caliza (hipótesis: siglas C*)</t>
        </is>
      </c>
      <c r="L499" t="inlineStr">
        <is>
          <t>Sedimentario</t>
        </is>
      </c>
      <c r="M499" t="n">
        <v>605</v>
      </c>
      <c r="N499" t="inlineStr"/>
      <c r="O499" t="inlineStr"/>
      <c r="P499" t="n">
        <v>562.85</v>
      </c>
      <c r="Q499" t="n">
        <v>2.524</v>
      </c>
    </row>
    <row r="500">
      <c r="A500" t="inlineStr">
        <is>
          <t>MR24</t>
        </is>
      </c>
      <c r="B500" t="inlineStr">
        <is>
          <t>Merged_Table_Assay_lito</t>
        </is>
      </c>
      <c r="C500" t="inlineStr">
        <is>
          <t>metros de sondaje; pct sobre metros</t>
        </is>
      </c>
      <c r="D500" t="inlineStr">
        <is>
          <t>periodo_GM_LE2WASTE_Output</t>
        </is>
      </c>
      <c r="E500" t="inlineStr">
        <is>
          <t>2031</t>
        </is>
      </c>
      <c r="F500" t="inlineStr">
        <is>
          <t>ROCKCODE_NUMEQ</t>
        </is>
      </c>
      <c r="G500" t="inlineStr">
        <is>
          <t>13</t>
        </is>
      </c>
      <c r="H500" t="inlineStr">
        <is>
          <t>sin asignar</t>
        </is>
      </c>
      <c r="I500" t="inlineStr">
        <is>
          <t>NUMEQ13</t>
        </is>
      </c>
      <c r="J500" t="inlineStr">
        <is>
          <t>ROCKCODE_NUMEQ sin leyenda (no equivale 1:1 al RT)</t>
        </is>
      </c>
      <c r="K500" t="inlineStr">
        <is>
          <t>Hornfels (hipótesis: siglas H*)</t>
        </is>
      </c>
      <c r="L500" t="inlineStr">
        <is>
          <t>Metamorfico</t>
        </is>
      </c>
      <c r="M500" t="n">
        <v>4933</v>
      </c>
      <c r="N500" t="inlineStr"/>
      <c r="O500" t="inlineStr"/>
      <c r="P500" t="n">
        <v>4164.1</v>
      </c>
      <c r="Q500" t="n">
        <v>18.673</v>
      </c>
    </row>
    <row r="501">
      <c r="A501" t="inlineStr">
        <is>
          <t>MR24</t>
        </is>
      </c>
      <c r="B501" t="inlineStr">
        <is>
          <t>Merged_Table_Assay_lito</t>
        </is>
      </c>
      <c r="C501" t="inlineStr">
        <is>
          <t>metros de sondaje; pct sobre metros</t>
        </is>
      </c>
      <c r="D501" t="inlineStr">
        <is>
          <t>periodo_GM_LE2WASTE_Output</t>
        </is>
      </c>
      <c r="E501" t="inlineStr">
        <is>
          <t>2031</t>
        </is>
      </c>
      <c r="F501" t="inlineStr">
        <is>
          <t>ROCKCODE_NUMEQ</t>
        </is>
      </c>
      <c r="G501" t="inlineStr">
        <is>
          <t>14</t>
        </is>
      </c>
      <c r="H501" t="inlineStr">
        <is>
          <t>sin asignar</t>
        </is>
      </c>
      <c r="I501" t="inlineStr">
        <is>
          <t>NUMEQ14</t>
        </is>
      </c>
      <c r="J501" t="inlineStr">
        <is>
          <t>ROCKCODE_NUMEQ sin leyenda (no equivale 1:1 al RT)</t>
        </is>
      </c>
      <c r="K501" t="inlineStr">
        <is>
          <t>Hornfels (hipótesis: siglas H*)</t>
        </is>
      </c>
      <c r="L501" t="inlineStr">
        <is>
          <t>Metamorfico</t>
        </is>
      </c>
      <c r="M501" t="n">
        <v>1827</v>
      </c>
      <c r="N501" t="inlineStr"/>
      <c r="O501" t="inlineStr"/>
      <c r="P501" t="n">
        <v>1406.95</v>
      </c>
      <c r="Q501" t="n">
        <v>6.309</v>
      </c>
    </row>
    <row r="502">
      <c r="A502" t="inlineStr">
        <is>
          <t>MR24</t>
        </is>
      </c>
      <c r="B502" t="inlineStr">
        <is>
          <t>Merged_Table_Assay_lito</t>
        </is>
      </c>
      <c r="C502" t="inlineStr">
        <is>
          <t>metros de sondaje; pct sobre metros</t>
        </is>
      </c>
      <c r="D502" t="inlineStr">
        <is>
          <t>periodo_GM_LE2WASTE_Output</t>
        </is>
      </c>
      <c r="E502" t="inlineStr">
        <is>
          <t>2031</t>
        </is>
      </c>
      <c r="F502" t="inlineStr">
        <is>
          <t>ROCKCODE_NUMEQ</t>
        </is>
      </c>
      <c r="G502" t="inlineStr">
        <is>
          <t>16</t>
        </is>
      </c>
      <c r="H502" t="inlineStr">
        <is>
          <t>sin asignar</t>
        </is>
      </c>
      <c r="I502" t="inlineStr">
        <is>
          <t>NUMEQ16</t>
        </is>
      </c>
      <c r="J502" t="inlineStr">
        <is>
          <t>ROCKCODE_NUMEQ sin leyenda (no equivale 1:1 al RT)</t>
        </is>
      </c>
      <c r="K502" t="inlineStr">
        <is>
          <t>Mármol (hipótesis: siglas M*)</t>
        </is>
      </c>
      <c r="L502" t="inlineStr">
        <is>
          <t>Metamorfico</t>
        </is>
      </c>
      <c r="M502" t="n">
        <v>9217</v>
      </c>
      <c r="N502" t="inlineStr"/>
      <c r="O502" t="inlineStr"/>
      <c r="P502" t="n">
        <v>8105.6</v>
      </c>
      <c r="Q502" t="n">
        <v>36.349</v>
      </c>
    </row>
    <row r="503">
      <c r="A503" t="inlineStr">
        <is>
          <t>MR24</t>
        </is>
      </c>
      <c r="B503" t="inlineStr">
        <is>
          <t>Merged_Table_Assay_lito</t>
        </is>
      </c>
      <c r="C503" t="inlineStr">
        <is>
          <t>metros de sondaje; pct sobre metros</t>
        </is>
      </c>
      <c r="D503" t="inlineStr">
        <is>
          <t>periodo_GM_LE2WASTE_Output</t>
        </is>
      </c>
      <c r="E503" t="inlineStr">
        <is>
          <t>2031</t>
        </is>
      </c>
      <c r="F503" t="inlineStr">
        <is>
          <t>ROCKCODE_NUMEQ</t>
        </is>
      </c>
      <c r="G503" t="inlineStr">
        <is>
          <t>19</t>
        </is>
      </c>
      <c r="H503" t="inlineStr">
        <is>
          <t>sin asignar</t>
        </is>
      </c>
      <c r="I503" t="inlineStr">
        <is>
          <t>NUMEQ19</t>
        </is>
      </c>
      <c r="J503" t="inlineStr">
        <is>
          <t>ROCKCODE_NUMEQ sin leyenda (no equivale 1:1 al RT)</t>
        </is>
      </c>
      <c r="K503" t="inlineStr">
        <is>
          <t>Mármol (hipótesis: sigla MDP)</t>
        </is>
      </c>
      <c r="L503" t="inlineStr">
        <is>
          <t>Metamorfico</t>
        </is>
      </c>
      <c r="M503" t="n">
        <v>3008</v>
      </c>
      <c r="N503" t="inlineStr"/>
      <c r="O503" t="inlineStr"/>
      <c r="P503" t="n">
        <v>2533.35</v>
      </c>
      <c r="Q503" t="n">
        <v>11.36</v>
      </c>
    </row>
    <row r="504">
      <c r="A504" t="inlineStr">
        <is>
          <t>MR24</t>
        </is>
      </c>
      <c r="B504" t="inlineStr">
        <is>
          <t>Merged_Table_Assay_lito</t>
        </is>
      </c>
      <c r="C504" t="inlineStr">
        <is>
          <t>metros de sondaje; pct sobre metros</t>
        </is>
      </c>
      <c r="D504" t="inlineStr">
        <is>
          <t>periodo_GM_LE2WASTE_Output</t>
        </is>
      </c>
      <c r="E504" t="inlineStr">
        <is>
          <t>2032</t>
        </is>
      </c>
      <c r="F504" t="inlineStr">
        <is>
          <t>ROCKCODE_NUMEQ</t>
        </is>
      </c>
      <c r="G504" t="inlineStr">
        <is>
          <t>1</t>
        </is>
      </c>
      <c r="H504" t="inlineStr">
        <is>
          <t>Intrusivo</t>
        </is>
      </c>
      <c r="I504" t="inlineStr">
        <is>
          <t>NUMEQ1</t>
        </is>
      </c>
      <c r="J504" t="inlineStr">
        <is>
          <t>ROCKCODE_NUMEQ=1 agrupa siglas IPP*/DI</t>
        </is>
      </c>
      <c r="K504" t="inlineStr">
        <is>
          <t>Intrusivo</t>
        </is>
      </c>
      <c r="L504" t="inlineStr">
        <is>
          <t>Intrusivo</t>
        </is>
      </c>
      <c r="M504" t="n">
        <v>7914</v>
      </c>
      <c r="N504" t="inlineStr"/>
      <c r="O504" t="inlineStr"/>
      <c r="P504" t="n">
        <v>8511.93</v>
      </c>
      <c r="Q504" t="n">
        <v>44.547</v>
      </c>
    </row>
    <row r="505">
      <c r="A505" t="inlineStr">
        <is>
          <t>MR24</t>
        </is>
      </c>
      <c r="B505" t="inlineStr">
        <is>
          <t>Merged_Table_Assay_lito</t>
        </is>
      </c>
      <c r="C505" t="inlineStr">
        <is>
          <t>metros de sondaje; pct sobre metros</t>
        </is>
      </c>
      <c r="D505" t="inlineStr">
        <is>
          <t>periodo_GM_LE2WASTE_Output</t>
        </is>
      </c>
      <c r="E505" t="inlineStr">
        <is>
          <t>2032</t>
        </is>
      </c>
      <c r="F505" t="inlineStr">
        <is>
          <t>ROCKCODE_NUMEQ</t>
        </is>
      </c>
      <c r="G505" t="inlineStr">
        <is>
          <t>10</t>
        </is>
      </c>
      <c r="H505" t="inlineStr">
        <is>
          <t>sin asignar</t>
        </is>
      </c>
      <c r="I505" t="inlineStr">
        <is>
          <t>NUMEQ10</t>
        </is>
      </c>
      <c r="J505" t="inlineStr">
        <is>
          <t>ROCKCODE_NUMEQ sin leyenda (no equivale 1:1 al RT)</t>
        </is>
      </c>
      <c r="K505" t="inlineStr">
        <is>
          <t>Caliza (hipótesis: siglas C*)</t>
        </is>
      </c>
      <c r="L505" t="inlineStr">
        <is>
          <t>Sedimentario</t>
        </is>
      </c>
      <c r="M505" t="n">
        <v>463</v>
      </c>
      <c r="N505" t="inlineStr"/>
      <c r="O505" t="inlineStr"/>
      <c r="P505" t="n">
        <v>485.65</v>
      </c>
      <c r="Q505" t="n">
        <v>2.542</v>
      </c>
    </row>
    <row r="506">
      <c r="A506" t="inlineStr">
        <is>
          <t>MR24</t>
        </is>
      </c>
      <c r="B506" t="inlineStr">
        <is>
          <t>Merged_Table_Assay_lito</t>
        </is>
      </c>
      <c r="C506" t="inlineStr">
        <is>
          <t>metros de sondaje; pct sobre metros</t>
        </is>
      </c>
      <c r="D506" t="inlineStr">
        <is>
          <t>periodo_GM_LE2WASTE_Output</t>
        </is>
      </c>
      <c r="E506" t="inlineStr">
        <is>
          <t>2032</t>
        </is>
      </c>
      <c r="F506" t="inlineStr">
        <is>
          <t>ROCKCODE_NUMEQ</t>
        </is>
      </c>
      <c r="G506" t="inlineStr">
        <is>
          <t>13</t>
        </is>
      </c>
      <c r="H506" t="inlineStr">
        <is>
          <t>sin asignar</t>
        </is>
      </c>
      <c r="I506" t="inlineStr">
        <is>
          <t>NUMEQ13</t>
        </is>
      </c>
      <c r="J506" t="inlineStr">
        <is>
          <t>ROCKCODE_NUMEQ sin leyenda (no equivale 1:1 al RT)</t>
        </is>
      </c>
      <c r="K506" t="inlineStr">
        <is>
          <t>Hornfels (hipótesis: siglas H*)</t>
        </is>
      </c>
      <c r="L506" t="inlineStr">
        <is>
          <t>Metamorfico</t>
        </is>
      </c>
      <c r="M506" t="n">
        <v>645</v>
      </c>
      <c r="N506" t="inlineStr"/>
      <c r="O506" t="inlineStr"/>
      <c r="P506" t="n">
        <v>530.1</v>
      </c>
      <c r="Q506" t="n">
        <v>2.774</v>
      </c>
    </row>
    <row r="507">
      <c r="A507" t="inlineStr">
        <is>
          <t>MR24</t>
        </is>
      </c>
      <c r="B507" t="inlineStr">
        <is>
          <t>Merged_Table_Assay_lito</t>
        </is>
      </c>
      <c r="C507" t="inlineStr">
        <is>
          <t>metros de sondaje; pct sobre metros</t>
        </is>
      </c>
      <c r="D507" t="inlineStr">
        <is>
          <t>periodo_GM_LE2WASTE_Output</t>
        </is>
      </c>
      <c r="E507" t="inlineStr">
        <is>
          <t>2032</t>
        </is>
      </c>
      <c r="F507" t="inlineStr">
        <is>
          <t>ROCKCODE_NUMEQ</t>
        </is>
      </c>
      <c r="G507" t="inlineStr">
        <is>
          <t>14</t>
        </is>
      </c>
      <c r="H507" t="inlineStr">
        <is>
          <t>sin asignar</t>
        </is>
      </c>
      <c r="I507" t="inlineStr">
        <is>
          <t>NUMEQ14</t>
        </is>
      </c>
      <c r="J507" t="inlineStr">
        <is>
          <t>ROCKCODE_NUMEQ sin leyenda (no equivale 1:1 al RT)</t>
        </is>
      </c>
      <c r="K507" t="inlineStr">
        <is>
          <t>Hornfels (hipótesis: siglas H*)</t>
        </is>
      </c>
      <c r="L507" t="inlineStr">
        <is>
          <t>Metamorfico</t>
        </is>
      </c>
      <c r="M507" t="n">
        <v>99</v>
      </c>
      <c r="N507" t="inlineStr"/>
      <c r="O507" t="inlineStr"/>
      <c r="P507" t="n">
        <v>102.5</v>
      </c>
      <c r="Q507" t="n">
        <v>0.536</v>
      </c>
    </row>
    <row r="508">
      <c r="A508" t="inlineStr">
        <is>
          <t>MR24</t>
        </is>
      </c>
      <c r="B508" t="inlineStr">
        <is>
          <t>Merged_Table_Assay_lito</t>
        </is>
      </c>
      <c r="C508" t="inlineStr">
        <is>
          <t>metros de sondaje; pct sobre metros</t>
        </is>
      </c>
      <c r="D508" t="inlineStr">
        <is>
          <t>periodo_GM_LE2WASTE_Output</t>
        </is>
      </c>
      <c r="E508" t="inlineStr">
        <is>
          <t>2032</t>
        </is>
      </c>
      <c r="F508" t="inlineStr">
        <is>
          <t>ROCKCODE_NUMEQ</t>
        </is>
      </c>
      <c r="G508" t="inlineStr">
        <is>
          <t>16</t>
        </is>
      </c>
      <c r="H508" t="inlineStr">
        <is>
          <t>sin asignar</t>
        </is>
      </c>
      <c r="I508" t="inlineStr">
        <is>
          <t>NUMEQ16</t>
        </is>
      </c>
      <c r="J508" t="inlineStr">
        <is>
          <t>ROCKCODE_NUMEQ sin leyenda (no equivale 1:1 al RT)</t>
        </is>
      </c>
      <c r="K508" t="inlineStr">
        <is>
          <t>Mármol (hipótesis: siglas M*)</t>
        </is>
      </c>
      <c r="L508" t="inlineStr">
        <is>
          <t>Metamorfico</t>
        </is>
      </c>
      <c r="M508" t="n">
        <v>8265</v>
      </c>
      <c r="N508" t="inlineStr"/>
      <c r="O508" t="inlineStr"/>
      <c r="P508" t="n">
        <v>7167.88</v>
      </c>
      <c r="Q508" t="n">
        <v>37.513</v>
      </c>
    </row>
    <row r="509">
      <c r="A509" t="inlineStr">
        <is>
          <t>MR24</t>
        </is>
      </c>
      <c r="B509" t="inlineStr">
        <is>
          <t>Merged_Table_Assay_lito</t>
        </is>
      </c>
      <c r="C509" t="inlineStr">
        <is>
          <t>metros de sondaje; pct sobre metros</t>
        </is>
      </c>
      <c r="D509" t="inlineStr">
        <is>
          <t>periodo_GM_LE2WASTE_Output</t>
        </is>
      </c>
      <c r="E509" t="inlineStr">
        <is>
          <t>2032</t>
        </is>
      </c>
      <c r="F509" t="inlineStr">
        <is>
          <t>ROCKCODE_NUMEQ</t>
        </is>
      </c>
      <c r="G509" t="inlineStr">
        <is>
          <t>19</t>
        </is>
      </c>
      <c r="H509" t="inlineStr">
        <is>
          <t>sin asignar</t>
        </is>
      </c>
      <c r="I509" t="inlineStr">
        <is>
          <t>NUMEQ19</t>
        </is>
      </c>
      <c r="J509" t="inlineStr">
        <is>
          <t>ROCKCODE_NUMEQ sin leyenda (no equivale 1:1 al RT)</t>
        </is>
      </c>
      <c r="K509" t="inlineStr">
        <is>
          <t>Mármol (hipótesis: sigla MDP)</t>
        </is>
      </c>
      <c r="L509" t="inlineStr">
        <is>
          <t>Metamorfico</t>
        </is>
      </c>
      <c r="M509" t="n">
        <v>2490</v>
      </c>
      <c r="N509" t="inlineStr"/>
      <c r="O509" t="inlineStr"/>
      <c r="P509" t="n">
        <v>2309.7</v>
      </c>
      <c r="Q509" t="n">
        <v>12.088</v>
      </c>
    </row>
    <row r="510">
      <c r="A510" t="inlineStr">
        <is>
          <t>MR24</t>
        </is>
      </c>
      <c r="B510" t="inlineStr">
        <is>
          <t>Merged_Table_Assay_lito</t>
        </is>
      </c>
      <c r="C510" t="inlineStr">
        <is>
          <t>metros de sondaje; pct sobre metros</t>
        </is>
      </c>
      <c r="D510" t="inlineStr">
        <is>
          <t>periodo_GM_LE2WASTE_Output</t>
        </is>
      </c>
      <c r="E510" t="inlineStr">
        <is>
          <t>2033</t>
        </is>
      </c>
      <c r="F510" t="inlineStr">
        <is>
          <t>ROCKCODE_NUMEQ</t>
        </is>
      </c>
      <c r="G510" t="inlineStr">
        <is>
          <t>1</t>
        </is>
      </c>
      <c r="H510" t="inlineStr">
        <is>
          <t>Intrusivo</t>
        </is>
      </c>
      <c r="I510" t="inlineStr">
        <is>
          <t>NUMEQ1</t>
        </is>
      </c>
      <c r="J510" t="inlineStr">
        <is>
          <t>ROCKCODE_NUMEQ=1 agrupa siglas IPP*/DI</t>
        </is>
      </c>
      <c r="K510" t="inlineStr">
        <is>
          <t>Intrusivo</t>
        </is>
      </c>
      <c r="L510" t="inlineStr">
        <is>
          <t>Intrusivo</t>
        </is>
      </c>
      <c r="M510" t="n">
        <v>2785</v>
      </c>
      <c r="N510" t="inlineStr"/>
      <c r="O510" t="inlineStr"/>
      <c r="P510" t="n">
        <v>3408.5</v>
      </c>
      <c r="Q510" t="n">
        <v>28.443</v>
      </c>
    </row>
    <row r="511">
      <c r="A511" t="inlineStr">
        <is>
          <t>MR24</t>
        </is>
      </c>
      <c r="B511" t="inlineStr">
        <is>
          <t>Merged_Table_Assay_lito</t>
        </is>
      </c>
      <c r="C511" t="inlineStr">
        <is>
          <t>metros de sondaje; pct sobre metros</t>
        </is>
      </c>
      <c r="D511" t="inlineStr">
        <is>
          <t>periodo_GM_LE2WASTE_Output</t>
        </is>
      </c>
      <c r="E511" t="inlineStr">
        <is>
          <t>2033</t>
        </is>
      </c>
      <c r="F511" t="inlineStr">
        <is>
          <t>ROCKCODE_NUMEQ</t>
        </is>
      </c>
      <c r="G511" t="inlineStr">
        <is>
          <t>10</t>
        </is>
      </c>
      <c r="H511" t="inlineStr">
        <is>
          <t>sin asignar</t>
        </is>
      </c>
      <c r="I511" t="inlineStr">
        <is>
          <t>NUMEQ10</t>
        </is>
      </c>
      <c r="J511" t="inlineStr">
        <is>
          <t>ROCKCODE_NUMEQ sin leyenda (no equivale 1:1 al RT)</t>
        </is>
      </c>
      <c r="K511" t="inlineStr">
        <is>
          <t>Caliza (hipótesis: siglas C*)</t>
        </is>
      </c>
      <c r="L511" t="inlineStr">
        <is>
          <t>Sedimentario</t>
        </is>
      </c>
      <c r="M511" t="n">
        <v>616</v>
      </c>
      <c r="N511" t="inlineStr"/>
      <c r="O511" t="inlineStr"/>
      <c r="P511" t="n">
        <v>611.4</v>
      </c>
      <c r="Q511" t="n">
        <v>5.102</v>
      </c>
    </row>
    <row r="512">
      <c r="A512" t="inlineStr">
        <is>
          <t>MR24</t>
        </is>
      </c>
      <c r="B512" t="inlineStr">
        <is>
          <t>Merged_Table_Assay_lito</t>
        </is>
      </c>
      <c r="C512" t="inlineStr">
        <is>
          <t>metros de sondaje; pct sobre metros</t>
        </is>
      </c>
      <c r="D512" t="inlineStr">
        <is>
          <t>periodo_GM_LE2WASTE_Output</t>
        </is>
      </c>
      <c r="E512" t="inlineStr">
        <is>
          <t>2033</t>
        </is>
      </c>
      <c r="F512" t="inlineStr">
        <is>
          <t>ROCKCODE_NUMEQ</t>
        </is>
      </c>
      <c r="G512" t="inlineStr">
        <is>
          <t>13</t>
        </is>
      </c>
      <c r="H512" t="inlineStr">
        <is>
          <t>sin asignar</t>
        </is>
      </c>
      <c r="I512" t="inlineStr">
        <is>
          <t>NUMEQ13</t>
        </is>
      </c>
      <c r="J512" t="inlineStr">
        <is>
          <t>ROCKCODE_NUMEQ sin leyenda (no equivale 1:1 al RT)</t>
        </is>
      </c>
      <c r="K512" t="inlineStr">
        <is>
          <t>Hornfels (hipótesis: siglas H*)</t>
        </is>
      </c>
      <c r="L512" t="inlineStr">
        <is>
          <t>Metamorfico</t>
        </is>
      </c>
      <c r="M512" t="n">
        <v>186</v>
      </c>
      <c r="N512" t="inlineStr"/>
      <c r="O512" t="inlineStr"/>
      <c r="P512" t="n">
        <v>171.7</v>
      </c>
      <c r="Q512" t="n">
        <v>1.433</v>
      </c>
    </row>
    <row r="513">
      <c r="A513" t="inlineStr">
        <is>
          <t>MR24</t>
        </is>
      </c>
      <c r="B513" t="inlineStr">
        <is>
          <t>Merged_Table_Assay_lito</t>
        </is>
      </c>
      <c r="C513" t="inlineStr">
        <is>
          <t>metros de sondaje; pct sobre metros</t>
        </is>
      </c>
      <c r="D513" t="inlineStr">
        <is>
          <t>periodo_GM_LE2WASTE_Output</t>
        </is>
      </c>
      <c r="E513" t="inlineStr">
        <is>
          <t>2033</t>
        </is>
      </c>
      <c r="F513" t="inlineStr">
        <is>
          <t>ROCKCODE_NUMEQ</t>
        </is>
      </c>
      <c r="G513" t="inlineStr">
        <is>
          <t>14</t>
        </is>
      </c>
      <c r="H513" t="inlineStr">
        <is>
          <t>sin asignar</t>
        </is>
      </c>
      <c r="I513" t="inlineStr">
        <is>
          <t>NUMEQ14</t>
        </is>
      </c>
      <c r="J513" t="inlineStr">
        <is>
          <t>ROCKCODE_NUMEQ sin leyenda (no equivale 1:1 al RT)</t>
        </is>
      </c>
      <c r="K513" t="inlineStr">
        <is>
          <t>Hornfels (hipótesis: siglas H*)</t>
        </is>
      </c>
      <c r="L513" t="inlineStr">
        <is>
          <t>Metamorfico</t>
        </is>
      </c>
      <c r="M513" t="n">
        <v>55</v>
      </c>
      <c r="N513" t="inlineStr"/>
      <c r="O513" t="inlineStr"/>
      <c r="P513" t="n">
        <v>54.8</v>
      </c>
      <c r="Q513" t="n">
        <v>0.457</v>
      </c>
    </row>
    <row r="514">
      <c r="A514" t="inlineStr">
        <is>
          <t>MR24</t>
        </is>
      </c>
      <c r="B514" t="inlineStr">
        <is>
          <t>Merged_Table_Assay_lito</t>
        </is>
      </c>
      <c r="C514" t="inlineStr">
        <is>
          <t>metros de sondaje; pct sobre metros</t>
        </is>
      </c>
      <c r="D514" t="inlineStr">
        <is>
          <t>periodo_GM_LE2WASTE_Output</t>
        </is>
      </c>
      <c r="E514" t="inlineStr">
        <is>
          <t>2033</t>
        </is>
      </c>
      <c r="F514" t="inlineStr">
        <is>
          <t>ROCKCODE_NUMEQ</t>
        </is>
      </c>
      <c r="G514" t="inlineStr">
        <is>
          <t>16</t>
        </is>
      </c>
      <c r="H514" t="inlineStr">
        <is>
          <t>sin asignar</t>
        </is>
      </c>
      <c r="I514" t="inlineStr">
        <is>
          <t>NUMEQ16</t>
        </is>
      </c>
      <c r="J514" t="inlineStr">
        <is>
          <t>ROCKCODE_NUMEQ sin leyenda (no equivale 1:1 al RT)</t>
        </is>
      </c>
      <c r="K514" t="inlineStr">
        <is>
          <t>Mármol (hipótesis: siglas M*)</t>
        </is>
      </c>
      <c r="L514" t="inlineStr">
        <is>
          <t>Metamorfico</t>
        </is>
      </c>
      <c r="M514" t="n">
        <v>4236</v>
      </c>
      <c r="N514" t="inlineStr"/>
      <c r="O514" t="inlineStr"/>
      <c r="P514" t="n">
        <v>4709.92</v>
      </c>
      <c r="Q514" t="n">
        <v>39.303</v>
      </c>
    </row>
    <row r="515">
      <c r="A515" t="inlineStr">
        <is>
          <t>MR24</t>
        </is>
      </c>
      <c r="B515" t="inlineStr">
        <is>
          <t>Merged_Table_Assay_lito</t>
        </is>
      </c>
      <c r="C515" t="inlineStr">
        <is>
          <t>metros de sondaje; pct sobre metros</t>
        </is>
      </c>
      <c r="D515" t="inlineStr">
        <is>
          <t>periodo_GM_LE2WASTE_Output</t>
        </is>
      </c>
      <c r="E515" t="inlineStr">
        <is>
          <t>2033</t>
        </is>
      </c>
      <c r="F515" t="inlineStr">
        <is>
          <t>ROCKCODE_NUMEQ</t>
        </is>
      </c>
      <c r="G515" t="inlineStr">
        <is>
          <t>19</t>
        </is>
      </c>
      <c r="H515" t="inlineStr">
        <is>
          <t>sin asignar</t>
        </is>
      </c>
      <c r="I515" t="inlineStr">
        <is>
          <t>NUMEQ19</t>
        </is>
      </c>
      <c r="J515" t="inlineStr">
        <is>
          <t>ROCKCODE_NUMEQ sin leyenda (no equivale 1:1 al RT)</t>
        </is>
      </c>
      <c r="K515" t="inlineStr">
        <is>
          <t>Mármol (hipótesis: sigla MDP)</t>
        </is>
      </c>
      <c r="L515" t="inlineStr">
        <is>
          <t>Metamorfico</t>
        </is>
      </c>
      <c r="M515" t="n">
        <v>2974</v>
      </c>
      <c r="N515" t="inlineStr"/>
      <c r="O515" t="inlineStr"/>
      <c r="P515" t="n">
        <v>3027.27</v>
      </c>
      <c r="Q515" t="n">
        <v>25.262</v>
      </c>
    </row>
    <row r="516">
      <c r="A516" t="inlineStr">
        <is>
          <t>MR24</t>
        </is>
      </c>
      <c r="B516" t="inlineStr">
        <is>
          <t>Merged_Table_Assay_lito</t>
        </is>
      </c>
      <c r="C516" t="inlineStr">
        <is>
          <t>metros de sondaje; pct sobre metros</t>
        </is>
      </c>
      <c r="D516" t="inlineStr">
        <is>
          <t>periodo_GM_LE2WASTE_Output</t>
        </is>
      </c>
      <c r="E516" t="inlineStr">
        <is>
          <t>2034</t>
        </is>
      </c>
      <c r="F516" t="inlineStr">
        <is>
          <t>ROCKCODE_NUMEQ</t>
        </is>
      </c>
      <c r="G516" t="inlineStr">
        <is>
          <t>1</t>
        </is>
      </c>
      <c r="H516" t="inlineStr">
        <is>
          <t>Intrusivo</t>
        </is>
      </c>
      <c r="I516" t="inlineStr">
        <is>
          <t>NUMEQ1</t>
        </is>
      </c>
      <c r="J516" t="inlineStr">
        <is>
          <t>ROCKCODE_NUMEQ=1 agrupa siglas IPP*/DI</t>
        </is>
      </c>
      <c r="K516" t="inlineStr">
        <is>
          <t>Intrusivo</t>
        </is>
      </c>
      <c r="L516" t="inlineStr">
        <is>
          <t>Intrusivo</t>
        </is>
      </c>
      <c r="M516" t="n">
        <v>1416</v>
      </c>
      <c r="N516" t="inlineStr"/>
      <c r="O516" t="inlineStr"/>
      <c r="P516" t="n">
        <v>1782.2</v>
      </c>
      <c r="Q516" t="n">
        <v>21.778</v>
      </c>
    </row>
    <row r="517">
      <c r="A517" t="inlineStr">
        <is>
          <t>MR24</t>
        </is>
      </c>
      <c r="B517" t="inlineStr">
        <is>
          <t>Merged_Table_Assay_lito</t>
        </is>
      </c>
      <c r="C517" t="inlineStr">
        <is>
          <t>metros de sondaje; pct sobre metros</t>
        </is>
      </c>
      <c r="D517" t="inlineStr">
        <is>
          <t>periodo_GM_LE2WASTE_Output</t>
        </is>
      </c>
      <c r="E517" t="inlineStr">
        <is>
          <t>2034</t>
        </is>
      </c>
      <c r="F517" t="inlineStr">
        <is>
          <t>ROCKCODE_NUMEQ</t>
        </is>
      </c>
      <c r="G517" t="inlineStr">
        <is>
          <t>10</t>
        </is>
      </c>
      <c r="H517" t="inlineStr">
        <is>
          <t>sin asignar</t>
        </is>
      </c>
      <c r="I517" t="inlineStr">
        <is>
          <t>NUMEQ10</t>
        </is>
      </c>
      <c r="J517" t="inlineStr">
        <is>
          <t>ROCKCODE_NUMEQ sin leyenda (no equivale 1:1 al RT)</t>
        </is>
      </c>
      <c r="K517" t="inlineStr">
        <is>
          <t>Caliza (hipótesis: siglas C*)</t>
        </is>
      </c>
      <c r="L517" t="inlineStr">
        <is>
          <t>Sedimentario</t>
        </is>
      </c>
      <c r="M517" t="n">
        <v>1943</v>
      </c>
      <c r="N517" t="inlineStr"/>
      <c r="O517" t="inlineStr"/>
      <c r="P517" t="n">
        <v>1627.85</v>
      </c>
      <c r="Q517" t="n">
        <v>19.892</v>
      </c>
    </row>
    <row r="518">
      <c r="A518" t="inlineStr">
        <is>
          <t>MR24</t>
        </is>
      </c>
      <c r="B518" t="inlineStr">
        <is>
          <t>Merged_Table_Assay_lito</t>
        </is>
      </c>
      <c r="C518" t="inlineStr">
        <is>
          <t>metros de sondaje; pct sobre metros</t>
        </is>
      </c>
      <c r="D518" t="inlineStr">
        <is>
          <t>periodo_GM_LE2WASTE_Output</t>
        </is>
      </c>
      <c r="E518" t="inlineStr">
        <is>
          <t>2034</t>
        </is>
      </c>
      <c r="F518" t="inlineStr">
        <is>
          <t>ROCKCODE_NUMEQ</t>
        </is>
      </c>
      <c r="G518" t="inlineStr">
        <is>
          <t>13</t>
        </is>
      </c>
      <c r="H518" t="inlineStr">
        <is>
          <t>sin asignar</t>
        </is>
      </c>
      <c r="I518" t="inlineStr">
        <is>
          <t>NUMEQ13</t>
        </is>
      </c>
      <c r="J518" t="inlineStr">
        <is>
          <t>ROCKCODE_NUMEQ sin leyenda (no equivale 1:1 al RT)</t>
        </is>
      </c>
      <c r="K518" t="inlineStr">
        <is>
          <t>Hornfels (hipótesis: siglas H*)</t>
        </is>
      </c>
      <c r="L518" t="inlineStr">
        <is>
          <t>Metamorfico</t>
        </is>
      </c>
      <c r="M518" t="n">
        <v>509</v>
      </c>
      <c r="N518" t="inlineStr"/>
      <c r="O518" t="inlineStr"/>
      <c r="P518" t="n">
        <v>481.5</v>
      </c>
      <c r="Q518" t="n">
        <v>5.884</v>
      </c>
    </row>
    <row r="519">
      <c r="A519" t="inlineStr">
        <is>
          <t>MR24</t>
        </is>
      </c>
      <c r="B519" t="inlineStr">
        <is>
          <t>Merged_Table_Assay_lito</t>
        </is>
      </c>
      <c r="C519" t="inlineStr">
        <is>
          <t>metros de sondaje; pct sobre metros</t>
        </is>
      </c>
      <c r="D519" t="inlineStr">
        <is>
          <t>periodo_GM_LE2WASTE_Output</t>
        </is>
      </c>
      <c r="E519" t="inlineStr">
        <is>
          <t>2034</t>
        </is>
      </c>
      <c r="F519" t="inlineStr">
        <is>
          <t>ROCKCODE_NUMEQ</t>
        </is>
      </c>
      <c r="G519" t="inlineStr">
        <is>
          <t>14</t>
        </is>
      </c>
      <c r="H519" t="inlineStr">
        <is>
          <t>sin asignar</t>
        </is>
      </c>
      <c r="I519" t="inlineStr">
        <is>
          <t>NUMEQ14</t>
        </is>
      </c>
      <c r="J519" t="inlineStr">
        <is>
          <t>ROCKCODE_NUMEQ sin leyenda (no equivale 1:1 al RT)</t>
        </is>
      </c>
      <c r="K519" t="inlineStr">
        <is>
          <t>Hornfels (hipótesis: siglas H*)</t>
        </is>
      </c>
      <c r="L519" t="inlineStr">
        <is>
          <t>Metamorfico</t>
        </is>
      </c>
      <c r="M519" t="n">
        <v>12</v>
      </c>
      <c r="N519" t="inlineStr"/>
      <c r="O519" t="inlineStr"/>
      <c r="P519" t="n">
        <v>7.75</v>
      </c>
      <c r="Q519" t="n">
        <v>0.095</v>
      </c>
    </row>
    <row r="520">
      <c r="A520" t="inlineStr">
        <is>
          <t>MR24</t>
        </is>
      </c>
      <c r="B520" t="inlineStr">
        <is>
          <t>Merged_Table_Assay_lito</t>
        </is>
      </c>
      <c r="C520" t="inlineStr">
        <is>
          <t>metros de sondaje; pct sobre metros</t>
        </is>
      </c>
      <c r="D520" t="inlineStr">
        <is>
          <t>periodo_GM_LE2WASTE_Output</t>
        </is>
      </c>
      <c r="E520" t="inlineStr">
        <is>
          <t>2034</t>
        </is>
      </c>
      <c r="F520" t="inlineStr">
        <is>
          <t>ROCKCODE_NUMEQ</t>
        </is>
      </c>
      <c r="G520" t="inlineStr">
        <is>
          <t>16</t>
        </is>
      </c>
      <c r="H520" t="inlineStr">
        <is>
          <t>sin asignar</t>
        </is>
      </c>
      <c r="I520" t="inlineStr">
        <is>
          <t>NUMEQ16</t>
        </is>
      </c>
      <c r="J520" t="inlineStr">
        <is>
          <t>ROCKCODE_NUMEQ sin leyenda (no equivale 1:1 al RT)</t>
        </is>
      </c>
      <c r="K520" t="inlineStr">
        <is>
          <t>Mármol (hipótesis: siglas M*)</t>
        </is>
      </c>
      <c r="L520" t="inlineStr">
        <is>
          <t>Metamorfico</t>
        </is>
      </c>
      <c r="M520" t="n">
        <v>1728</v>
      </c>
      <c r="N520" t="inlineStr"/>
      <c r="O520" t="inlineStr"/>
      <c r="P520" t="n">
        <v>1959.34</v>
      </c>
      <c r="Q520" t="n">
        <v>23.943</v>
      </c>
    </row>
    <row r="521">
      <c r="A521" t="inlineStr">
        <is>
          <t>MR24</t>
        </is>
      </c>
      <c r="B521" t="inlineStr">
        <is>
          <t>Merged_Table_Assay_lito</t>
        </is>
      </c>
      <c r="C521" t="inlineStr">
        <is>
          <t>metros de sondaje; pct sobre metros</t>
        </is>
      </c>
      <c r="D521" t="inlineStr">
        <is>
          <t>periodo_GM_LE2WASTE_Output</t>
        </is>
      </c>
      <c r="E521" t="inlineStr">
        <is>
          <t>2034</t>
        </is>
      </c>
      <c r="F521" t="inlineStr">
        <is>
          <t>ROCKCODE_NUMEQ</t>
        </is>
      </c>
      <c r="G521" t="inlineStr">
        <is>
          <t>19</t>
        </is>
      </c>
      <c r="H521" t="inlineStr">
        <is>
          <t>sin asignar</t>
        </is>
      </c>
      <c r="I521" t="inlineStr">
        <is>
          <t>NUMEQ19</t>
        </is>
      </c>
      <c r="J521" t="inlineStr">
        <is>
          <t>ROCKCODE_NUMEQ sin leyenda (no equivale 1:1 al RT)</t>
        </is>
      </c>
      <c r="K521" t="inlineStr">
        <is>
          <t>Mármol (hipótesis: sigla MDP)</t>
        </is>
      </c>
      <c r="L521" t="inlineStr">
        <is>
          <t>Metamorfico</t>
        </is>
      </c>
      <c r="M521" t="n">
        <v>2215</v>
      </c>
      <c r="N521" t="inlineStr"/>
      <c r="O521" t="inlineStr"/>
      <c r="P521" t="n">
        <v>2324.7</v>
      </c>
      <c r="Q521" t="n">
        <v>28.408</v>
      </c>
    </row>
    <row r="522">
      <c r="A522" t="inlineStr">
        <is>
          <t>MR24</t>
        </is>
      </c>
      <c r="B522" t="inlineStr">
        <is>
          <t>Merged_Table_Assay_lito</t>
        </is>
      </c>
      <c r="C522" t="inlineStr">
        <is>
          <t>metros de sondaje; pct sobre metros</t>
        </is>
      </c>
      <c r="D522" t="inlineStr">
        <is>
          <t>periodo_GM_LE2WASTE_Output</t>
        </is>
      </c>
      <c r="E522" t="inlineStr">
        <is>
          <t>2035</t>
        </is>
      </c>
      <c r="F522" t="inlineStr">
        <is>
          <t>ROCKCODE_NUMEQ</t>
        </is>
      </c>
      <c r="G522" t="inlineStr">
        <is>
          <t>1</t>
        </is>
      </c>
      <c r="H522" t="inlineStr">
        <is>
          <t>Intrusivo</t>
        </is>
      </c>
      <c r="I522" t="inlineStr">
        <is>
          <t>NUMEQ1</t>
        </is>
      </c>
      <c r="J522" t="inlineStr">
        <is>
          <t>ROCKCODE_NUMEQ=1 agrupa siglas IPP*/DI</t>
        </is>
      </c>
      <c r="K522" t="inlineStr">
        <is>
          <t>Intrusivo</t>
        </is>
      </c>
      <c r="L522" t="inlineStr">
        <is>
          <t>Intrusivo</t>
        </is>
      </c>
      <c r="M522" t="n">
        <v>3212</v>
      </c>
      <c r="N522" t="inlineStr"/>
      <c r="O522" t="inlineStr"/>
      <c r="P522" t="n">
        <v>3708.13</v>
      </c>
      <c r="Q522" t="n">
        <v>52.708</v>
      </c>
    </row>
    <row r="523">
      <c r="A523" t="inlineStr">
        <is>
          <t>MR24</t>
        </is>
      </c>
      <c r="B523" t="inlineStr">
        <is>
          <t>Merged_Table_Assay_lito</t>
        </is>
      </c>
      <c r="C523" t="inlineStr">
        <is>
          <t>metros de sondaje; pct sobre metros</t>
        </is>
      </c>
      <c r="D523" t="inlineStr">
        <is>
          <t>periodo_GM_LE2WASTE_Output</t>
        </is>
      </c>
      <c r="E523" t="inlineStr">
        <is>
          <t>2035</t>
        </is>
      </c>
      <c r="F523" t="inlineStr">
        <is>
          <t>ROCKCODE_NUMEQ</t>
        </is>
      </c>
      <c r="G523" t="inlineStr">
        <is>
          <t>10</t>
        </is>
      </c>
      <c r="H523" t="inlineStr">
        <is>
          <t>sin asignar</t>
        </is>
      </c>
      <c r="I523" t="inlineStr">
        <is>
          <t>NUMEQ10</t>
        </is>
      </c>
      <c r="J523" t="inlineStr">
        <is>
          <t>ROCKCODE_NUMEQ sin leyenda (no equivale 1:1 al RT)</t>
        </is>
      </c>
      <c r="K523" t="inlineStr">
        <is>
          <t>Caliza (hipótesis: siglas C*)</t>
        </is>
      </c>
      <c r="L523" t="inlineStr">
        <is>
          <t>Sedimentario</t>
        </is>
      </c>
      <c r="M523" t="n">
        <v>482</v>
      </c>
      <c r="N523" t="inlineStr"/>
      <c r="O523" t="inlineStr"/>
      <c r="P523" t="n">
        <v>433.85</v>
      </c>
      <c r="Q523" t="n">
        <v>6.167</v>
      </c>
    </row>
    <row r="524">
      <c r="A524" t="inlineStr">
        <is>
          <t>MR24</t>
        </is>
      </c>
      <c r="B524" t="inlineStr">
        <is>
          <t>Merged_Table_Assay_lito</t>
        </is>
      </c>
      <c r="C524" t="inlineStr">
        <is>
          <t>metros de sondaje; pct sobre metros</t>
        </is>
      </c>
      <c r="D524" t="inlineStr">
        <is>
          <t>periodo_GM_LE2WASTE_Output</t>
        </is>
      </c>
      <c r="E524" t="inlineStr">
        <is>
          <t>2035</t>
        </is>
      </c>
      <c r="F524" t="inlineStr">
        <is>
          <t>ROCKCODE_NUMEQ</t>
        </is>
      </c>
      <c r="G524" t="inlineStr">
        <is>
          <t>13</t>
        </is>
      </c>
      <c r="H524" t="inlineStr">
        <is>
          <t>sin asignar</t>
        </is>
      </c>
      <c r="I524" t="inlineStr">
        <is>
          <t>NUMEQ13</t>
        </is>
      </c>
      <c r="J524" t="inlineStr">
        <is>
          <t>ROCKCODE_NUMEQ sin leyenda (no equivale 1:1 al RT)</t>
        </is>
      </c>
      <c r="K524" t="inlineStr">
        <is>
          <t>Hornfels (hipótesis: siglas H*)</t>
        </is>
      </c>
      <c r="L524" t="inlineStr">
        <is>
          <t>Metamorfico</t>
        </is>
      </c>
      <c r="M524" t="n">
        <v>18</v>
      </c>
      <c r="N524" t="inlineStr"/>
      <c r="O524" t="inlineStr"/>
      <c r="P524" t="n">
        <v>18.85</v>
      </c>
      <c r="Q524" t="n">
        <v>0.268</v>
      </c>
    </row>
    <row r="525">
      <c r="A525" t="inlineStr">
        <is>
          <t>MR24</t>
        </is>
      </c>
      <c r="B525" t="inlineStr">
        <is>
          <t>Merged_Table_Assay_lito</t>
        </is>
      </c>
      <c r="C525" t="inlineStr">
        <is>
          <t>metros de sondaje; pct sobre metros</t>
        </is>
      </c>
      <c r="D525" t="inlineStr">
        <is>
          <t>periodo_GM_LE2WASTE_Output</t>
        </is>
      </c>
      <c r="E525" t="inlineStr">
        <is>
          <t>2035</t>
        </is>
      </c>
      <c r="F525" t="inlineStr">
        <is>
          <t>ROCKCODE_NUMEQ</t>
        </is>
      </c>
      <c r="G525" t="inlineStr">
        <is>
          <t>14</t>
        </is>
      </c>
      <c r="H525" t="inlineStr">
        <is>
          <t>sin asignar</t>
        </is>
      </c>
      <c r="I525" t="inlineStr">
        <is>
          <t>NUMEQ14</t>
        </is>
      </c>
      <c r="J525" t="inlineStr">
        <is>
          <t>ROCKCODE_NUMEQ sin leyenda (no equivale 1:1 al RT)</t>
        </is>
      </c>
      <c r="K525" t="inlineStr">
        <is>
          <t>Hornfels (hipótesis: siglas H*)</t>
        </is>
      </c>
      <c r="L525" t="inlineStr">
        <is>
          <t>Metamorfico</t>
        </is>
      </c>
      <c r="M525" t="n">
        <v>2</v>
      </c>
      <c r="N525" t="inlineStr"/>
      <c r="O525" t="inlineStr"/>
      <c r="P525" t="n">
        <v>5</v>
      </c>
      <c r="Q525" t="n">
        <v>0.07099999999999999</v>
      </c>
    </row>
    <row r="526">
      <c r="A526" t="inlineStr">
        <is>
          <t>MR24</t>
        </is>
      </c>
      <c r="B526" t="inlineStr">
        <is>
          <t>Merged_Table_Assay_lito</t>
        </is>
      </c>
      <c r="C526" t="inlineStr">
        <is>
          <t>metros de sondaje; pct sobre metros</t>
        </is>
      </c>
      <c r="D526" t="inlineStr">
        <is>
          <t>periodo_GM_LE2WASTE_Output</t>
        </is>
      </c>
      <c r="E526" t="inlineStr">
        <is>
          <t>2035</t>
        </is>
      </c>
      <c r="F526" t="inlineStr">
        <is>
          <t>ROCKCODE_NUMEQ</t>
        </is>
      </c>
      <c r="G526" t="inlineStr">
        <is>
          <t>16</t>
        </is>
      </c>
      <c r="H526" t="inlineStr">
        <is>
          <t>sin asignar</t>
        </is>
      </c>
      <c r="I526" t="inlineStr">
        <is>
          <t>NUMEQ16</t>
        </is>
      </c>
      <c r="J526" t="inlineStr">
        <is>
          <t>ROCKCODE_NUMEQ sin leyenda (no equivale 1:1 al RT)</t>
        </is>
      </c>
      <c r="K526" t="inlineStr">
        <is>
          <t>Mármol (hipótesis: siglas M*)</t>
        </is>
      </c>
      <c r="L526" t="inlineStr">
        <is>
          <t>Metamorfico</t>
        </is>
      </c>
      <c r="M526" t="n">
        <v>1518</v>
      </c>
      <c r="N526" t="inlineStr"/>
      <c r="O526" t="inlineStr"/>
      <c r="P526" t="n">
        <v>1991.2</v>
      </c>
      <c r="Q526" t="n">
        <v>28.303</v>
      </c>
    </row>
    <row r="527">
      <c r="A527" t="inlineStr">
        <is>
          <t>MR24</t>
        </is>
      </c>
      <c r="B527" t="inlineStr">
        <is>
          <t>Merged_Table_Assay_lito</t>
        </is>
      </c>
      <c r="C527" t="inlineStr">
        <is>
          <t>metros de sondaje; pct sobre metros</t>
        </is>
      </c>
      <c r="D527" t="inlineStr">
        <is>
          <t>periodo_GM_LE2WASTE_Output</t>
        </is>
      </c>
      <c r="E527" t="inlineStr">
        <is>
          <t>2035</t>
        </is>
      </c>
      <c r="F527" t="inlineStr">
        <is>
          <t>ROCKCODE_NUMEQ</t>
        </is>
      </c>
      <c r="G527" t="inlineStr">
        <is>
          <t>19</t>
        </is>
      </c>
      <c r="H527" t="inlineStr">
        <is>
          <t>sin asignar</t>
        </is>
      </c>
      <c r="I527" t="inlineStr">
        <is>
          <t>NUMEQ19</t>
        </is>
      </c>
      <c r="J527" t="inlineStr">
        <is>
          <t>ROCKCODE_NUMEQ sin leyenda (no equivale 1:1 al RT)</t>
        </is>
      </c>
      <c r="K527" t="inlineStr">
        <is>
          <t>Mármol (hipótesis: sigla MDP)</t>
        </is>
      </c>
      <c r="L527" t="inlineStr">
        <is>
          <t>Metamorfico</t>
        </is>
      </c>
      <c r="M527" t="n">
        <v>997</v>
      </c>
      <c r="N527" t="inlineStr"/>
      <c r="O527" t="inlineStr"/>
      <c r="P527" t="n">
        <v>878.25</v>
      </c>
      <c r="Q527" t="n">
        <v>12.484</v>
      </c>
    </row>
    <row r="528">
      <c r="A528" t="inlineStr">
        <is>
          <t>MR24</t>
        </is>
      </c>
      <c r="B528" t="inlineStr">
        <is>
          <t>Merged_Table_Assay_lito</t>
        </is>
      </c>
      <c r="C528" t="inlineStr">
        <is>
          <t>metros de sondaje; pct sobre metros</t>
        </is>
      </c>
      <c r="D528" t="inlineStr">
        <is>
          <t>periodo_GM_LE2WASTE_Output</t>
        </is>
      </c>
      <c r="E528" t="inlineStr">
        <is>
          <t>203637</t>
        </is>
      </c>
      <c r="F528" t="inlineStr">
        <is>
          <t>ROCKCODE_NUMEQ</t>
        </is>
      </c>
      <c r="G528" t="inlineStr">
        <is>
          <t>1</t>
        </is>
      </c>
      <c r="H528" t="inlineStr">
        <is>
          <t>Intrusivo</t>
        </is>
      </c>
      <c r="I528" t="inlineStr">
        <is>
          <t>NUMEQ1</t>
        </is>
      </c>
      <c r="J528" t="inlineStr">
        <is>
          <t>ROCKCODE_NUMEQ=1 agrupa siglas IPP*/DI</t>
        </is>
      </c>
      <c r="K528" t="inlineStr">
        <is>
          <t>Intrusivo</t>
        </is>
      </c>
      <c r="L528" t="inlineStr">
        <is>
          <t>Intrusivo</t>
        </is>
      </c>
      <c r="M528" t="n">
        <v>3189</v>
      </c>
      <c r="N528" t="inlineStr"/>
      <c r="O528" t="inlineStr"/>
      <c r="P528" t="n">
        <v>3899.43</v>
      </c>
      <c r="Q528" t="n">
        <v>22.991</v>
      </c>
    </row>
    <row r="529">
      <c r="A529" t="inlineStr">
        <is>
          <t>MR24</t>
        </is>
      </c>
      <c r="B529" t="inlineStr">
        <is>
          <t>Merged_Table_Assay_lito</t>
        </is>
      </c>
      <c r="C529" t="inlineStr">
        <is>
          <t>metros de sondaje; pct sobre metros</t>
        </is>
      </c>
      <c r="D529" t="inlineStr">
        <is>
          <t>periodo_GM_LE2WASTE_Output</t>
        </is>
      </c>
      <c r="E529" t="inlineStr">
        <is>
          <t>203637</t>
        </is>
      </c>
      <c r="F529" t="inlineStr">
        <is>
          <t>ROCKCODE_NUMEQ</t>
        </is>
      </c>
      <c r="G529" t="inlineStr">
        <is>
          <t>10</t>
        </is>
      </c>
      <c r="H529" t="inlineStr">
        <is>
          <t>sin asignar</t>
        </is>
      </c>
      <c r="I529" t="inlineStr">
        <is>
          <t>NUMEQ10</t>
        </is>
      </c>
      <c r="J529" t="inlineStr">
        <is>
          <t>ROCKCODE_NUMEQ sin leyenda (no equivale 1:1 al RT)</t>
        </is>
      </c>
      <c r="K529" t="inlineStr">
        <is>
          <t>Caliza (hipótesis: siglas C*)</t>
        </is>
      </c>
      <c r="L529" t="inlineStr">
        <is>
          <t>Sedimentario</t>
        </is>
      </c>
      <c r="M529" t="n">
        <v>1985</v>
      </c>
      <c r="N529" t="inlineStr"/>
      <c r="O529" t="inlineStr"/>
      <c r="P529" t="n">
        <v>1796.45</v>
      </c>
      <c r="Q529" t="n">
        <v>10.592</v>
      </c>
    </row>
    <row r="530">
      <c r="A530" t="inlineStr">
        <is>
          <t>MR24</t>
        </is>
      </c>
      <c r="B530" t="inlineStr">
        <is>
          <t>Merged_Table_Assay_lito</t>
        </is>
      </c>
      <c r="C530" t="inlineStr">
        <is>
          <t>metros de sondaje; pct sobre metros</t>
        </is>
      </c>
      <c r="D530" t="inlineStr">
        <is>
          <t>periodo_GM_LE2WASTE_Output</t>
        </is>
      </c>
      <c r="E530" t="inlineStr">
        <is>
          <t>203637</t>
        </is>
      </c>
      <c r="F530" t="inlineStr">
        <is>
          <t>ROCKCODE_NUMEQ</t>
        </is>
      </c>
      <c r="G530" t="inlineStr">
        <is>
          <t>13</t>
        </is>
      </c>
      <c r="H530" t="inlineStr">
        <is>
          <t>sin asignar</t>
        </is>
      </c>
      <c r="I530" t="inlineStr">
        <is>
          <t>NUMEQ13</t>
        </is>
      </c>
      <c r="J530" t="inlineStr">
        <is>
          <t>ROCKCODE_NUMEQ sin leyenda (no equivale 1:1 al RT)</t>
        </is>
      </c>
      <c r="K530" t="inlineStr">
        <is>
          <t>Hornfels (hipótesis: siglas H*)</t>
        </is>
      </c>
      <c r="L530" t="inlineStr">
        <is>
          <t>Metamorfico</t>
        </is>
      </c>
      <c r="M530" t="n">
        <v>3167</v>
      </c>
      <c r="N530" t="inlineStr"/>
      <c r="O530" t="inlineStr"/>
      <c r="P530" t="n">
        <v>2632.35</v>
      </c>
      <c r="Q530" t="n">
        <v>15.52</v>
      </c>
    </row>
    <row r="531">
      <c r="A531" t="inlineStr">
        <is>
          <t>MR24</t>
        </is>
      </c>
      <c r="B531" t="inlineStr">
        <is>
          <t>Merged_Table_Assay_lito</t>
        </is>
      </c>
      <c r="C531" t="inlineStr">
        <is>
          <t>metros de sondaje; pct sobre metros</t>
        </is>
      </c>
      <c r="D531" t="inlineStr">
        <is>
          <t>periodo_GM_LE2WASTE_Output</t>
        </is>
      </c>
      <c r="E531" t="inlineStr">
        <is>
          <t>203637</t>
        </is>
      </c>
      <c r="F531" t="inlineStr">
        <is>
          <t>ROCKCODE_NUMEQ</t>
        </is>
      </c>
      <c r="G531" t="inlineStr">
        <is>
          <t>14</t>
        </is>
      </c>
      <c r="H531" t="inlineStr">
        <is>
          <t>sin asignar</t>
        </is>
      </c>
      <c r="I531" t="inlineStr">
        <is>
          <t>NUMEQ14</t>
        </is>
      </c>
      <c r="J531" t="inlineStr">
        <is>
          <t>ROCKCODE_NUMEQ sin leyenda (no equivale 1:1 al RT)</t>
        </is>
      </c>
      <c r="K531" t="inlineStr">
        <is>
          <t>Hornfels (hipótesis: siglas H*)</t>
        </is>
      </c>
      <c r="L531" t="inlineStr">
        <is>
          <t>Metamorfico</t>
        </is>
      </c>
      <c r="M531" t="n">
        <v>965</v>
      </c>
      <c r="N531" t="inlineStr"/>
      <c r="O531" t="inlineStr"/>
      <c r="P531" t="n">
        <v>767.75</v>
      </c>
      <c r="Q531" t="n">
        <v>4.527</v>
      </c>
    </row>
    <row r="532">
      <c r="A532" t="inlineStr">
        <is>
          <t>MR24</t>
        </is>
      </c>
      <c r="B532" t="inlineStr">
        <is>
          <t>Merged_Table_Assay_lito</t>
        </is>
      </c>
      <c r="C532" t="inlineStr">
        <is>
          <t>metros de sondaje; pct sobre metros</t>
        </is>
      </c>
      <c r="D532" t="inlineStr">
        <is>
          <t>periodo_GM_LE2WASTE_Output</t>
        </is>
      </c>
      <c r="E532" t="inlineStr">
        <is>
          <t>203637</t>
        </is>
      </c>
      <c r="F532" t="inlineStr">
        <is>
          <t>ROCKCODE_NUMEQ</t>
        </is>
      </c>
      <c r="G532" t="inlineStr">
        <is>
          <t>16</t>
        </is>
      </c>
      <c r="H532" t="inlineStr">
        <is>
          <t>sin asignar</t>
        </is>
      </c>
      <c r="I532" t="inlineStr">
        <is>
          <t>NUMEQ16</t>
        </is>
      </c>
      <c r="J532" t="inlineStr">
        <is>
          <t>ROCKCODE_NUMEQ sin leyenda (no equivale 1:1 al RT)</t>
        </is>
      </c>
      <c r="K532" t="inlineStr">
        <is>
          <t>Mármol (hipótesis: siglas M*)</t>
        </is>
      </c>
      <c r="L532" t="inlineStr">
        <is>
          <t>Metamorfico</t>
        </is>
      </c>
      <c r="M532" t="n">
        <v>4548</v>
      </c>
      <c r="N532" t="inlineStr"/>
      <c r="O532" t="inlineStr"/>
      <c r="P532" t="n">
        <v>5553.72</v>
      </c>
      <c r="Q532" t="n">
        <v>32.745</v>
      </c>
    </row>
    <row r="533">
      <c r="A533" t="inlineStr">
        <is>
          <t>MR24</t>
        </is>
      </c>
      <c r="B533" t="inlineStr">
        <is>
          <t>Merged_Table_Assay_lito</t>
        </is>
      </c>
      <c r="C533" t="inlineStr">
        <is>
          <t>metros de sondaje; pct sobre metros</t>
        </is>
      </c>
      <c r="D533" t="inlineStr">
        <is>
          <t>periodo_GM_LE2WASTE_Output</t>
        </is>
      </c>
      <c r="E533" t="inlineStr">
        <is>
          <t>203637</t>
        </is>
      </c>
      <c r="F533" t="inlineStr">
        <is>
          <t>ROCKCODE_NUMEQ</t>
        </is>
      </c>
      <c r="G533" t="inlineStr">
        <is>
          <t>19</t>
        </is>
      </c>
      <c r="H533" t="inlineStr">
        <is>
          <t>sin asignar</t>
        </is>
      </c>
      <c r="I533" t="inlineStr">
        <is>
          <t>NUMEQ19</t>
        </is>
      </c>
      <c r="J533" t="inlineStr">
        <is>
          <t>ROCKCODE_NUMEQ sin leyenda (no equivale 1:1 al RT)</t>
        </is>
      </c>
      <c r="K533" t="inlineStr">
        <is>
          <t>Mármol (hipótesis: sigla MDP)</t>
        </is>
      </c>
      <c r="L533" t="inlineStr">
        <is>
          <t>Metamorfico</t>
        </is>
      </c>
      <c r="M533" t="n">
        <v>2215</v>
      </c>
      <c r="N533" t="inlineStr"/>
      <c r="O533" t="inlineStr"/>
      <c r="P533" t="n">
        <v>2310.88</v>
      </c>
      <c r="Q533" t="n">
        <v>13.625</v>
      </c>
    </row>
    <row r="534">
      <c r="A534" t="inlineStr">
        <is>
          <t>MR24</t>
        </is>
      </c>
      <c r="B534" t="inlineStr">
        <is>
          <t>Merged_Table_Assay_lito</t>
        </is>
      </c>
      <c r="C534" t="inlineStr">
        <is>
          <t>metros de sondaje; pct sobre metros</t>
        </is>
      </c>
      <c r="D534" t="inlineStr">
        <is>
          <t>periodo_GM_LE2WASTE_Output</t>
        </is>
      </c>
      <c r="E534" t="inlineStr">
        <is>
          <t>203839</t>
        </is>
      </c>
      <c r="F534" t="inlineStr">
        <is>
          <t>ROCKCODE_NUMEQ</t>
        </is>
      </c>
      <c r="G534" t="inlineStr">
        <is>
          <t>1</t>
        </is>
      </c>
      <c r="H534" t="inlineStr">
        <is>
          <t>Intrusivo</t>
        </is>
      </c>
      <c r="I534" t="inlineStr">
        <is>
          <t>NUMEQ1</t>
        </is>
      </c>
      <c r="J534" t="inlineStr">
        <is>
          <t>ROCKCODE_NUMEQ=1 agrupa siglas IPP*/DI</t>
        </is>
      </c>
      <c r="K534" t="inlineStr">
        <is>
          <t>Intrusivo</t>
        </is>
      </c>
      <c r="L534" t="inlineStr">
        <is>
          <t>Intrusivo</t>
        </is>
      </c>
      <c r="M534" t="n">
        <v>3607</v>
      </c>
      <c r="N534" t="inlineStr"/>
      <c r="O534" t="inlineStr"/>
      <c r="P534" t="n">
        <v>4095.05</v>
      </c>
      <c r="Q534" t="n">
        <v>26.05</v>
      </c>
    </row>
    <row r="535">
      <c r="A535" t="inlineStr">
        <is>
          <t>MR24</t>
        </is>
      </c>
      <c r="B535" t="inlineStr">
        <is>
          <t>Merged_Table_Assay_lito</t>
        </is>
      </c>
      <c r="C535" t="inlineStr">
        <is>
          <t>metros de sondaje; pct sobre metros</t>
        </is>
      </c>
      <c r="D535" t="inlineStr">
        <is>
          <t>periodo_GM_LE2WASTE_Output</t>
        </is>
      </c>
      <c r="E535" t="inlineStr">
        <is>
          <t>203839</t>
        </is>
      </c>
      <c r="F535" t="inlineStr">
        <is>
          <t>ROCKCODE_NUMEQ</t>
        </is>
      </c>
      <c r="G535" t="inlineStr">
        <is>
          <t>10</t>
        </is>
      </c>
      <c r="H535" t="inlineStr">
        <is>
          <t>sin asignar</t>
        </is>
      </c>
      <c r="I535" t="inlineStr">
        <is>
          <t>NUMEQ10</t>
        </is>
      </c>
      <c r="J535" t="inlineStr">
        <is>
          <t>ROCKCODE_NUMEQ sin leyenda (no equivale 1:1 al RT)</t>
        </is>
      </c>
      <c r="K535" t="inlineStr">
        <is>
          <t>Caliza (hipótesis: siglas C*)</t>
        </is>
      </c>
      <c r="L535" t="inlineStr">
        <is>
          <t>Sedimentario</t>
        </is>
      </c>
      <c r="M535" t="n">
        <v>4293</v>
      </c>
      <c r="N535" t="inlineStr"/>
      <c r="O535" t="inlineStr"/>
      <c r="P535" t="n">
        <v>3646.1</v>
      </c>
      <c r="Q535" t="n">
        <v>23.194</v>
      </c>
    </row>
    <row r="536">
      <c r="A536" t="inlineStr">
        <is>
          <t>MR24</t>
        </is>
      </c>
      <c r="B536" t="inlineStr">
        <is>
          <t>Merged_Table_Assay_lito</t>
        </is>
      </c>
      <c r="C536" t="inlineStr">
        <is>
          <t>metros de sondaje; pct sobre metros</t>
        </is>
      </c>
      <c r="D536" t="inlineStr">
        <is>
          <t>periodo_GM_LE2WASTE_Output</t>
        </is>
      </c>
      <c r="E536" t="inlineStr">
        <is>
          <t>203839</t>
        </is>
      </c>
      <c r="F536" t="inlineStr">
        <is>
          <t>ROCKCODE_NUMEQ</t>
        </is>
      </c>
      <c r="G536" t="inlineStr">
        <is>
          <t>13</t>
        </is>
      </c>
      <c r="H536" t="inlineStr">
        <is>
          <t>sin asignar</t>
        </is>
      </c>
      <c r="I536" t="inlineStr">
        <is>
          <t>NUMEQ13</t>
        </is>
      </c>
      <c r="J536" t="inlineStr">
        <is>
          <t>ROCKCODE_NUMEQ sin leyenda (no equivale 1:1 al RT)</t>
        </is>
      </c>
      <c r="K536" t="inlineStr">
        <is>
          <t>Hornfels (hipótesis: siglas H*)</t>
        </is>
      </c>
      <c r="L536" t="inlineStr">
        <is>
          <t>Metamorfico</t>
        </is>
      </c>
      <c r="M536" t="n">
        <v>816</v>
      </c>
      <c r="N536" t="inlineStr"/>
      <c r="O536" t="inlineStr"/>
      <c r="P536" t="n">
        <v>723.2</v>
      </c>
      <c r="Q536" t="n">
        <v>4.601</v>
      </c>
    </row>
    <row r="537">
      <c r="A537" t="inlineStr">
        <is>
          <t>MR24</t>
        </is>
      </c>
      <c r="B537" t="inlineStr">
        <is>
          <t>Merged_Table_Assay_lito</t>
        </is>
      </c>
      <c r="C537" t="inlineStr">
        <is>
          <t>metros de sondaje; pct sobre metros</t>
        </is>
      </c>
      <c r="D537" t="inlineStr">
        <is>
          <t>periodo_GM_LE2WASTE_Output</t>
        </is>
      </c>
      <c r="E537" t="inlineStr">
        <is>
          <t>203839</t>
        </is>
      </c>
      <c r="F537" t="inlineStr">
        <is>
          <t>ROCKCODE_NUMEQ</t>
        </is>
      </c>
      <c r="G537" t="inlineStr">
        <is>
          <t>14</t>
        </is>
      </c>
      <c r="H537" t="inlineStr">
        <is>
          <t>sin asignar</t>
        </is>
      </c>
      <c r="I537" t="inlineStr">
        <is>
          <t>NUMEQ14</t>
        </is>
      </c>
      <c r="J537" t="inlineStr">
        <is>
          <t>ROCKCODE_NUMEQ sin leyenda (no equivale 1:1 al RT)</t>
        </is>
      </c>
      <c r="K537" t="inlineStr">
        <is>
          <t>Hornfels (hipótesis: siglas H*)</t>
        </is>
      </c>
      <c r="L537" t="inlineStr">
        <is>
          <t>Metamorfico</t>
        </is>
      </c>
      <c r="M537" t="n">
        <v>82</v>
      </c>
      <c r="N537" t="inlineStr"/>
      <c r="O537" t="inlineStr"/>
      <c r="P537" t="n">
        <v>60.3</v>
      </c>
      <c r="Q537" t="n">
        <v>0.384</v>
      </c>
    </row>
    <row r="538">
      <c r="A538" t="inlineStr">
        <is>
          <t>MR24</t>
        </is>
      </c>
      <c r="B538" t="inlineStr">
        <is>
          <t>Merged_Table_Assay_lito</t>
        </is>
      </c>
      <c r="C538" t="inlineStr">
        <is>
          <t>metros de sondaje; pct sobre metros</t>
        </is>
      </c>
      <c r="D538" t="inlineStr">
        <is>
          <t>periodo_GM_LE2WASTE_Output</t>
        </is>
      </c>
      <c r="E538" t="inlineStr">
        <is>
          <t>203839</t>
        </is>
      </c>
      <c r="F538" t="inlineStr">
        <is>
          <t>ROCKCODE_NUMEQ</t>
        </is>
      </c>
      <c r="G538" t="inlineStr">
        <is>
          <t>16</t>
        </is>
      </c>
      <c r="H538" t="inlineStr">
        <is>
          <t>sin asignar</t>
        </is>
      </c>
      <c r="I538" t="inlineStr">
        <is>
          <t>NUMEQ16</t>
        </is>
      </c>
      <c r="J538" t="inlineStr">
        <is>
          <t>ROCKCODE_NUMEQ sin leyenda (no equivale 1:1 al RT)</t>
        </is>
      </c>
      <c r="K538" t="inlineStr">
        <is>
          <t>Mármol (hipótesis: siglas M*)</t>
        </is>
      </c>
      <c r="L538" t="inlineStr">
        <is>
          <t>Metamorfico</t>
        </is>
      </c>
      <c r="M538" t="n">
        <v>5502</v>
      </c>
      <c r="N538" t="inlineStr"/>
      <c r="O538" t="inlineStr"/>
      <c r="P538" t="n">
        <v>6182.75</v>
      </c>
      <c r="Q538" t="n">
        <v>39.331</v>
      </c>
    </row>
    <row r="539">
      <c r="A539" t="inlineStr">
        <is>
          <t>MR24</t>
        </is>
      </c>
      <c r="B539" t="inlineStr">
        <is>
          <t>Merged_Table_Assay_lito</t>
        </is>
      </c>
      <c r="C539" t="inlineStr">
        <is>
          <t>metros de sondaje; pct sobre metros</t>
        </is>
      </c>
      <c r="D539" t="inlineStr">
        <is>
          <t>periodo_GM_LE2WASTE_Output</t>
        </is>
      </c>
      <c r="E539" t="inlineStr">
        <is>
          <t>203839</t>
        </is>
      </c>
      <c r="F539" t="inlineStr">
        <is>
          <t>ROCKCODE_NUMEQ</t>
        </is>
      </c>
      <c r="G539" t="inlineStr">
        <is>
          <t>19</t>
        </is>
      </c>
      <c r="H539" t="inlineStr">
        <is>
          <t>sin asignar</t>
        </is>
      </c>
      <c r="I539" t="inlineStr">
        <is>
          <t>NUMEQ19</t>
        </is>
      </c>
      <c r="J539" t="inlineStr">
        <is>
          <t>ROCKCODE_NUMEQ sin leyenda (no equivale 1:1 al RT)</t>
        </is>
      </c>
      <c r="K539" t="inlineStr">
        <is>
          <t>Mármol (hipótesis: sigla MDP)</t>
        </is>
      </c>
      <c r="L539" t="inlineStr">
        <is>
          <t>Metamorfico</t>
        </is>
      </c>
      <c r="M539" t="n">
        <v>1025</v>
      </c>
      <c r="N539" t="inlineStr"/>
      <c r="O539" t="inlineStr"/>
      <c r="P539" t="n">
        <v>1012.55</v>
      </c>
      <c r="Q539" t="n">
        <v>6.441</v>
      </c>
    </row>
    <row r="540">
      <c r="A540" t="inlineStr">
        <is>
          <t>MR24</t>
        </is>
      </c>
      <c r="B540" t="inlineStr">
        <is>
          <t>Merged_Table_Assay_lito</t>
        </is>
      </c>
      <c r="C540" t="inlineStr">
        <is>
          <t>metros de sondaje; pct sobre metros</t>
        </is>
      </c>
      <c r="D540" t="inlineStr">
        <is>
          <t>periodo_GM_LE2WASTE_Output</t>
        </is>
      </c>
      <c r="E540" t="inlineStr">
        <is>
          <t>204041</t>
        </is>
      </c>
      <c r="F540" t="inlineStr">
        <is>
          <t>ROCKCODE_NUMEQ</t>
        </is>
      </c>
      <c r="G540" t="inlineStr">
        <is>
          <t>1</t>
        </is>
      </c>
      <c r="H540" t="inlineStr">
        <is>
          <t>Intrusivo</t>
        </is>
      </c>
      <c r="I540" t="inlineStr">
        <is>
          <t>NUMEQ1</t>
        </is>
      </c>
      <c r="J540" t="inlineStr">
        <is>
          <t>ROCKCODE_NUMEQ=1 agrupa siglas IPP*/DI</t>
        </is>
      </c>
      <c r="K540" t="inlineStr">
        <is>
          <t>Intrusivo</t>
        </is>
      </c>
      <c r="L540" t="inlineStr">
        <is>
          <t>Intrusivo</t>
        </is>
      </c>
      <c r="M540" t="n">
        <v>3193</v>
      </c>
      <c r="N540" t="inlineStr"/>
      <c r="O540" t="inlineStr"/>
      <c r="P540" t="n">
        <v>3957.6</v>
      </c>
      <c r="Q540" t="n">
        <v>32.705</v>
      </c>
    </row>
    <row r="541">
      <c r="A541" t="inlineStr">
        <is>
          <t>MR24</t>
        </is>
      </c>
      <c r="B541" t="inlineStr">
        <is>
          <t>Merged_Table_Assay_lito</t>
        </is>
      </c>
      <c r="C541" t="inlineStr">
        <is>
          <t>metros de sondaje; pct sobre metros</t>
        </is>
      </c>
      <c r="D541" t="inlineStr">
        <is>
          <t>periodo_GM_LE2WASTE_Output</t>
        </is>
      </c>
      <c r="E541" t="inlineStr">
        <is>
          <t>204041</t>
        </is>
      </c>
      <c r="F541" t="inlineStr">
        <is>
          <t>ROCKCODE_NUMEQ</t>
        </is>
      </c>
      <c r="G541" t="inlineStr">
        <is>
          <t>10</t>
        </is>
      </c>
      <c r="H541" t="inlineStr">
        <is>
          <t>sin asignar</t>
        </is>
      </c>
      <c r="I541" t="inlineStr">
        <is>
          <t>NUMEQ10</t>
        </is>
      </c>
      <c r="J541" t="inlineStr">
        <is>
          <t>ROCKCODE_NUMEQ sin leyenda (no equivale 1:1 al RT)</t>
        </is>
      </c>
      <c r="K541" t="inlineStr">
        <is>
          <t>Caliza (hipótesis: siglas C*)</t>
        </is>
      </c>
      <c r="L541" t="inlineStr">
        <is>
          <t>Sedimentario</t>
        </is>
      </c>
      <c r="M541" t="n">
        <v>4918</v>
      </c>
      <c r="N541" t="inlineStr"/>
      <c r="O541" t="inlineStr"/>
      <c r="P541" t="n">
        <v>4550.15</v>
      </c>
      <c r="Q541" t="n">
        <v>37.602</v>
      </c>
    </row>
    <row r="542">
      <c r="A542" t="inlineStr">
        <is>
          <t>MR24</t>
        </is>
      </c>
      <c r="B542" t="inlineStr">
        <is>
          <t>Merged_Table_Assay_lito</t>
        </is>
      </c>
      <c r="C542" t="inlineStr">
        <is>
          <t>metros de sondaje; pct sobre metros</t>
        </is>
      </c>
      <c r="D542" t="inlineStr">
        <is>
          <t>periodo_GM_LE2WASTE_Output</t>
        </is>
      </c>
      <c r="E542" t="inlineStr">
        <is>
          <t>204041</t>
        </is>
      </c>
      <c r="F542" t="inlineStr">
        <is>
          <t>ROCKCODE_NUMEQ</t>
        </is>
      </c>
      <c r="G542" t="inlineStr">
        <is>
          <t>13</t>
        </is>
      </c>
      <c r="H542" t="inlineStr">
        <is>
          <t>sin asignar</t>
        </is>
      </c>
      <c r="I542" t="inlineStr">
        <is>
          <t>NUMEQ13</t>
        </is>
      </c>
      <c r="J542" t="inlineStr">
        <is>
          <t>ROCKCODE_NUMEQ sin leyenda (no equivale 1:1 al RT)</t>
        </is>
      </c>
      <c r="K542" t="inlineStr">
        <is>
          <t>Hornfels (hipótesis: siglas H*)</t>
        </is>
      </c>
      <c r="L542" t="inlineStr">
        <is>
          <t>Metamorfico</t>
        </is>
      </c>
      <c r="M542" t="n">
        <v>1325</v>
      </c>
      <c r="N542" t="inlineStr"/>
      <c r="O542" t="inlineStr"/>
      <c r="P542" t="n">
        <v>1375.35</v>
      </c>
      <c r="Q542" t="n">
        <v>11.366</v>
      </c>
    </row>
    <row r="543">
      <c r="A543" t="inlineStr">
        <is>
          <t>MR24</t>
        </is>
      </c>
      <c r="B543" t="inlineStr">
        <is>
          <t>Merged_Table_Assay_lito</t>
        </is>
      </c>
      <c r="C543" t="inlineStr">
        <is>
          <t>metros de sondaje; pct sobre metros</t>
        </is>
      </c>
      <c r="D543" t="inlineStr">
        <is>
          <t>periodo_GM_LE2WASTE_Output</t>
        </is>
      </c>
      <c r="E543" t="inlineStr">
        <is>
          <t>204041</t>
        </is>
      </c>
      <c r="F543" t="inlineStr">
        <is>
          <t>ROCKCODE_NUMEQ</t>
        </is>
      </c>
      <c r="G543" t="inlineStr">
        <is>
          <t>14</t>
        </is>
      </c>
      <c r="H543" t="inlineStr">
        <is>
          <t>sin asignar</t>
        </is>
      </c>
      <c r="I543" t="inlineStr">
        <is>
          <t>NUMEQ14</t>
        </is>
      </c>
      <c r="J543" t="inlineStr">
        <is>
          <t>ROCKCODE_NUMEQ sin leyenda (no equivale 1:1 al RT)</t>
        </is>
      </c>
      <c r="K543" t="inlineStr">
        <is>
          <t>Hornfels (hipótesis: siglas H*)</t>
        </is>
      </c>
      <c r="L543" t="inlineStr">
        <is>
          <t>Metamorfico</t>
        </is>
      </c>
      <c r="M543" t="n">
        <v>145</v>
      </c>
      <c r="N543" t="inlineStr"/>
      <c r="O543" t="inlineStr"/>
      <c r="P543" t="n">
        <v>116.6</v>
      </c>
      <c r="Q543" t="n">
        <v>0.964</v>
      </c>
    </row>
    <row r="544">
      <c r="A544" t="inlineStr">
        <is>
          <t>MR24</t>
        </is>
      </c>
      <c r="B544" t="inlineStr">
        <is>
          <t>Merged_Table_Assay_lito</t>
        </is>
      </c>
      <c r="C544" t="inlineStr">
        <is>
          <t>metros de sondaje; pct sobre metros</t>
        </is>
      </c>
      <c r="D544" t="inlineStr">
        <is>
          <t>periodo_GM_LE2WASTE_Output</t>
        </is>
      </c>
      <c r="E544" t="inlineStr">
        <is>
          <t>204041</t>
        </is>
      </c>
      <c r="F544" t="inlineStr">
        <is>
          <t>ROCKCODE_NUMEQ</t>
        </is>
      </c>
      <c r="G544" t="inlineStr">
        <is>
          <t>16</t>
        </is>
      </c>
      <c r="H544" t="inlineStr">
        <is>
          <t>sin asignar</t>
        </is>
      </c>
      <c r="I544" t="inlineStr">
        <is>
          <t>NUMEQ16</t>
        </is>
      </c>
      <c r="J544" t="inlineStr">
        <is>
          <t>ROCKCODE_NUMEQ sin leyenda (no equivale 1:1 al RT)</t>
        </is>
      </c>
      <c r="K544" t="inlineStr">
        <is>
          <t>Mármol (hipótesis: siglas M*)</t>
        </is>
      </c>
      <c r="L544" t="inlineStr">
        <is>
          <t>Metamorfico</t>
        </is>
      </c>
      <c r="M544" t="n">
        <v>1734</v>
      </c>
      <c r="N544" t="inlineStr"/>
      <c r="O544" t="inlineStr"/>
      <c r="P544" t="n">
        <v>2026</v>
      </c>
      <c r="Q544" t="n">
        <v>16.743</v>
      </c>
    </row>
    <row r="545">
      <c r="A545" t="inlineStr">
        <is>
          <t>MR24</t>
        </is>
      </c>
      <c r="B545" t="inlineStr">
        <is>
          <t>Merged_Table_Assay_lito</t>
        </is>
      </c>
      <c r="C545" t="inlineStr">
        <is>
          <t>metros de sondaje; pct sobre metros</t>
        </is>
      </c>
      <c r="D545" t="inlineStr">
        <is>
          <t>periodo_GM_LE2WASTE_Output</t>
        </is>
      </c>
      <c r="E545" t="inlineStr">
        <is>
          <t>204041</t>
        </is>
      </c>
      <c r="F545" t="inlineStr">
        <is>
          <t>ROCKCODE_NUMEQ</t>
        </is>
      </c>
      <c r="G545" t="inlineStr">
        <is>
          <t>19</t>
        </is>
      </c>
      <c r="H545" t="inlineStr">
        <is>
          <t>sin asignar</t>
        </is>
      </c>
      <c r="I545" t="inlineStr">
        <is>
          <t>NUMEQ19</t>
        </is>
      </c>
      <c r="J545" t="inlineStr">
        <is>
          <t>ROCKCODE_NUMEQ sin leyenda (no equivale 1:1 al RT)</t>
        </is>
      </c>
      <c r="K545" t="inlineStr">
        <is>
          <t>Mármol (hipótesis: sigla MDP)</t>
        </is>
      </c>
      <c r="L545" t="inlineStr">
        <is>
          <t>Metamorfico</t>
        </is>
      </c>
      <c r="M545" t="n">
        <v>107</v>
      </c>
      <c r="N545" t="inlineStr"/>
      <c r="O545" t="inlineStr"/>
      <c r="P545" t="n">
        <v>75.15000000000001</v>
      </c>
      <c r="Q545" t="n">
        <v>0.621</v>
      </c>
    </row>
    <row r="546">
      <c r="A546" t="inlineStr">
        <is>
          <t>MR24</t>
        </is>
      </c>
      <c r="B546" t="inlineStr">
        <is>
          <t>Merged_Table_Assay_lito</t>
        </is>
      </c>
      <c r="C546" t="inlineStr">
        <is>
          <t>metros de sondaje; pct sobre metros</t>
        </is>
      </c>
      <c r="D546" t="inlineStr">
        <is>
          <t>periodo_GM_LE2WASTE_Output</t>
        </is>
      </c>
      <c r="E546" t="inlineStr">
        <is>
          <t>204245</t>
        </is>
      </c>
      <c r="F546" t="inlineStr">
        <is>
          <t>ROCKCODE_NUMEQ</t>
        </is>
      </c>
      <c r="G546" t="inlineStr">
        <is>
          <t>1</t>
        </is>
      </c>
      <c r="H546" t="inlineStr">
        <is>
          <t>Intrusivo</t>
        </is>
      </c>
      <c r="I546" t="inlineStr">
        <is>
          <t>NUMEQ1</t>
        </is>
      </c>
      <c r="J546" t="inlineStr">
        <is>
          <t>ROCKCODE_NUMEQ=1 agrupa siglas IPP*/DI</t>
        </is>
      </c>
      <c r="K546" t="inlineStr">
        <is>
          <t>Intrusivo</t>
        </is>
      </c>
      <c r="L546" t="inlineStr">
        <is>
          <t>Intrusivo</t>
        </is>
      </c>
      <c r="M546" t="n">
        <v>3495</v>
      </c>
      <c r="N546" t="inlineStr"/>
      <c r="O546" t="inlineStr"/>
      <c r="P546" t="n">
        <v>3341.3</v>
      </c>
      <c r="Q546" t="n">
        <v>22.214</v>
      </c>
    </row>
    <row r="547">
      <c r="A547" t="inlineStr">
        <is>
          <t>MR24</t>
        </is>
      </c>
      <c r="B547" t="inlineStr">
        <is>
          <t>Merged_Table_Assay_lito</t>
        </is>
      </c>
      <c r="C547" t="inlineStr">
        <is>
          <t>metros de sondaje; pct sobre metros</t>
        </is>
      </c>
      <c r="D547" t="inlineStr">
        <is>
          <t>periodo_GM_LE2WASTE_Output</t>
        </is>
      </c>
      <c r="E547" t="inlineStr">
        <is>
          <t>204245</t>
        </is>
      </c>
      <c r="F547" t="inlineStr">
        <is>
          <t>ROCKCODE_NUMEQ</t>
        </is>
      </c>
      <c r="G547" t="inlineStr">
        <is>
          <t>10</t>
        </is>
      </c>
      <c r="H547" t="inlineStr">
        <is>
          <t>sin asignar</t>
        </is>
      </c>
      <c r="I547" t="inlineStr">
        <is>
          <t>NUMEQ10</t>
        </is>
      </c>
      <c r="J547" t="inlineStr">
        <is>
          <t>ROCKCODE_NUMEQ sin leyenda (no equivale 1:1 al RT)</t>
        </is>
      </c>
      <c r="K547" t="inlineStr">
        <is>
          <t>Caliza (hipótesis: siglas C*)</t>
        </is>
      </c>
      <c r="L547" t="inlineStr">
        <is>
          <t>Sedimentario</t>
        </is>
      </c>
      <c r="M547" t="n">
        <v>1041</v>
      </c>
      <c r="N547" t="inlineStr"/>
      <c r="O547" t="inlineStr"/>
      <c r="P547" t="n">
        <v>916.15</v>
      </c>
      <c r="Q547" t="n">
        <v>6.091</v>
      </c>
    </row>
    <row r="548">
      <c r="A548" t="inlineStr">
        <is>
          <t>MR24</t>
        </is>
      </c>
      <c r="B548" t="inlineStr">
        <is>
          <t>Merged_Table_Assay_lito</t>
        </is>
      </c>
      <c r="C548" t="inlineStr">
        <is>
          <t>metros de sondaje; pct sobre metros</t>
        </is>
      </c>
      <c r="D548" t="inlineStr">
        <is>
          <t>periodo_GM_LE2WASTE_Output</t>
        </is>
      </c>
      <c r="E548" t="inlineStr">
        <is>
          <t>204245</t>
        </is>
      </c>
      <c r="F548" t="inlineStr">
        <is>
          <t>ROCKCODE_NUMEQ</t>
        </is>
      </c>
      <c r="G548" t="inlineStr">
        <is>
          <t>13</t>
        </is>
      </c>
      <c r="H548" t="inlineStr">
        <is>
          <t>sin asignar</t>
        </is>
      </c>
      <c r="I548" t="inlineStr">
        <is>
          <t>NUMEQ13</t>
        </is>
      </c>
      <c r="J548" t="inlineStr">
        <is>
          <t>ROCKCODE_NUMEQ sin leyenda (no equivale 1:1 al RT)</t>
        </is>
      </c>
      <c r="K548" t="inlineStr">
        <is>
          <t>Hornfels (hipótesis: siglas H*)</t>
        </is>
      </c>
      <c r="L548" t="inlineStr">
        <is>
          <t>Metamorfico</t>
        </is>
      </c>
      <c r="M548" t="n">
        <v>761</v>
      </c>
      <c r="N548" t="inlineStr"/>
      <c r="O548" t="inlineStr"/>
      <c r="P548" t="n">
        <v>768.6</v>
      </c>
      <c r="Q548" t="n">
        <v>5.11</v>
      </c>
    </row>
    <row r="549">
      <c r="A549" t="inlineStr">
        <is>
          <t>MR24</t>
        </is>
      </c>
      <c r="B549" t="inlineStr">
        <is>
          <t>Merged_Table_Assay_lito</t>
        </is>
      </c>
      <c r="C549" t="inlineStr">
        <is>
          <t>metros de sondaje; pct sobre metros</t>
        </is>
      </c>
      <c r="D549" t="inlineStr">
        <is>
          <t>periodo_GM_LE2WASTE_Output</t>
        </is>
      </c>
      <c r="E549" t="inlineStr">
        <is>
          <t>204245</t>
        </is>
      </c>
      <c r="F549" t="inlineStr">
        <is>
          <t>ROCKCODE_NUMEQ</t>
        </is>
      </c>
      <c r="G549" t="inlineStr">
        <is>
          <t>14</t>
        </is>
      </c>
      <c r="H549" t="inlineStr">
        <is>
          <t>sin asignar</t>
        </is>
      </c>
      <c r="I549" t="inlineStr">
        <is>
          <t>NUMEQ14</t>
        </is>
      </c>
      <c r="J549" t="inlineStr">
        <is>
          <t>ROCKCODE_NUMEQ sin leyenda (no equivale 1:1 al RT)</t>
        </is>
      </c>
      <c r="K549" t="inlineStr">
        <is>
          <t>Hornfels (hipótesis: siglas H*)</t>
        </is>
      </c>
      <c r="L549" t="inlineStr">
        <is>
          <t>Metamorfico</t>
        </is>
      </c>
      <c r="M549" t="n">
        <v>256</v>
      </c>
      <c r="N549" t="inlineStr"/>
      <c r="O549" t="inlineStr"/>
      <c r="P549" t="n">
        <v>198.75</v>
      </c>
      <c r="Q549" t="n">
        <v>1.321</v>
      </c>
    </row>
    <row r="550">
      <c r="A550" t="inlineStr">
        <is>
          <t>MR24</t>
        </is>
      </c>
      <c r="B550" t="inlineStr">
        <is>
          <t>Merged_Table_Assay_lito</t>
        </is>
      </c>
      <c r="C550" t="inlineStr">
        <is>
          <t>metros de sondaje; pct sobre metros</t>
        </is>
      </c>
      <c r="D550" t="inlineStr">
        <is>
          <t>periodo_GM_LE2WASTE_Output</t>
        </is>
      </c>
      <c r="E550" t="inlineStr">
        <is>
          <t>204245</t>
        </is>
      </c>
      <c r="F550" t="inlineStr">
        <is>
          <t>ROCKCODE_NUMEQ</t>
        </is>
      </c>
      <c r="G550" t="inlineStr">
        <is>
          <t>16</t>
        </is>
      </c>
      <c r="H550" t="inlineStr">
        <is>
          <t>sin asignar</t>
        </is>
      </c>
      <c r="I550" t="inlineStr">
        <is>
          <t>NUMEQ16</t>
        </is>
      </c>
      <c r="J550" t="inlineStr">
        <is>
          <t>ROCKCODE_NUMEQ sin leyenda (no equivale 1:1 al RT)</t>
        </is>
      </c>
      <c r="K550" t="inlineStr">
        <is>
          <t>Mármol (hipótesis: siglas M*)</t>
        </is>
      </c>
      <c r="L550" t="inlineStr">
        <is>
          <t>Metamorfico</t>
        </is>
      </c>
      <c r="M550" t="n">
        <v>8170</v>
      </c>
      <c r="N550" t="inlineStr"/>
      <c r="O550" t="inlineStr"/>
      <c r="P550" t="n">
        <v>8800.200000000001</v>
      </c>
      <c r="Q550" t="n">
        <v>58.507</v>
      </c>
    </row>
    <row r="551">
      <c r="A551" t="inlineStr">
        <is>
          <t>MR24</t>
        </is>
      </c>
      <c r="B551" t="inlineStr">
        <is>
          <t>Merged_Table_Assay_lito</t>
        </is>
      </c>
      <c r="C551" t="inlineStr">
        <is>
          <t>metros de sondaje; pct sobre metros</t>
        </is>
      </c>
      <c r="D551" t="inlineStr">
        <is>
          <t>periodo_GM_LE2WASTE_Output</t>
        </is>
      </c>
      <c r="E551" t="inlineStr">
        <is>
          <t>204245</t>
        </is>
      </c>
      <c r="F551" t="inlineStr">
        <is>
          <t>ROCKCODE_NUMEQ</t>
        </is>
      </c>
      <c r="G551" t="inlineStr">
        <is>
          <t>19</t>
        </is>
      </c>
      <c r="H551" t="inlineStr">
        <is>
          <t>sin asignar</t>
        </is>
      </c>
      <c r="I551" t="inlineStr">
        <is>
          <t>NUMEQ19</t>
        </is>
      </c>
      <c r="J551" t="inlineStr">
        <is>
          <t>ROCKCODE_NUMEQ sin leyenda (no equivale 1:1 al RT)</t>
        </is>
      </c>
      <c r="K551" t="inlineStr">
        <is>
          <t>Mármol (hipótesis: sigla MDP)</t>
        </is>
      </c>
      <c r="L551" t="inlineStr">
        <is>
          <t>Metamorfico</t>
        </is>
      </c>
      <c r="M551" t="n">
        <v>909</v>
      </c>
      <c r="N551" t="inlineStr"/>
      <c r="O551" t="inlineStr"/>
      <c r="P551" t="n">
        <v>1016.35</v>
      </c>
      <c r="Q551" t="n">
        <v>6.757</v>
      </c>
    </row>
    <row r="552">
      <c r="A552" t="inlineStr">
        <is>
          <t>MR24</t>
        </is>
      </c>
      <c r="B552" t="inlineStr">
        <is>
          <t>Merged_Table_Assay_lito</t>
        </is>
      </c>
      <c r="C552" t="inlineStr">
        <is>
          <t>metros de sondaje; pct sobre metros</t>
        </is>
      </c>
      <c r="D552" t="inlineStr">
        <is>
          <t>periodo_GM_LE2WASTE_Output</t>
        </is>
      </c>
      <c r="E552" t="inlineStr">
        <is>
          <t>204649</t>
        </is>
      </c>
      <c r="F552" t="inlineStr">
        <is>
          <t>ROCKCODE_NUMEQ</t>
        </is>
      </c>
      <c r="G552" t="inlineStr">
        <is>
          <t>1</t>
        </is>
      </c>
      <c r="H552" t="inlineStr">
        <is>
          <t>Intrusivo</t>
        </is>
      </c>
      <c r="I552" t="inlineStr">
        <is>
          <t>NUMEQ1</t>
        </is>
      </c>
      <c r="J552" t="inlineStr">
        <is>
          <t>ROCKCODE_NUMEQ=1 agrupa siglas IPP*/DI</t>
        </is>
      </c>
      <c r="K552" t="inlineStr">
        <is>
          <t>Intrusivo</t>
        </is>
      </c>
      <c r="L552" t="inlineStr">
        <is>
          <t>Intrusivo</t>
        </is>
      </c>
      <c r="M552" t="n">
        <v>3713</v>
      </c>
      <c r="N552" t="inlineStr"/>
      <c r="O552" t="inlineStr"/>
      <c r="P552" t="n">
        <v>3804.25</v>
      </c>
      <c r="Q552" t="n">
        <v>65.093</v>
      </c>
    </row>
    <row r="553">
      <c r="A553" t="inlineStr">
        <is>
          <t>MR24</t>
        </is>
      </c>
      <c r="B553" t="inlineStr">
        <is>
          <t>Merged_Table_Assay_lito</t>
        </is>
      </c>
      <c r="C553" t="inlineStr">
        <is>
          <t>metros de sondaje; pct sobre metros</t>
        </is>
      </c>
      <c r="D553" t="inlineStr">
        <is>
          <t>periodo_GM_LE2WASTE_Output</t>
        </is>
      </c>
      <c r="E553" t="inlineStr">
        <is>
          <t>204649</t>
        </is>
      </c>
      <c r="F553" t="inlineStr">
        <is>
          <t>ROCKCODE_NUMEQ</t>
        </is>
      </c>
      <c r="G553" t="inlineStr">
        <is>
          <t>16</t>
        </is>
      </c>
      <c r="H553" t="inlineStr">
        <is>
          <t>sin asignar</t>
        </is>
      </c>
      <c r="I553" t="inlineStr">
        <is>
          <t>NUMEQ16</t>
        </is>
      </c>
      <c r="J553" t="inlineStr">
        <is>
          <t>ROCKCODE_NUMEQ sin leyenda (no equivale 1:1 al RT)</t>
        </is>
      </c>
      <c r="K553" t="inlineStr">
        <is>
          <t>Mármol (hipótesis: siglas M*)</t>
        </is>
      </c>
      <c r="L553" t="inlineStr">
        <is>
          <t>Metamorfico</t>
        </is>
      </c>
      <c r="M553" t="n">
        <v>1648</v>
      </c>
      <c r="N553" t="inlineStr"/>
      <c r="O553" t="inlineStr"/>
      <c r="P553" t="n">
        <v>1894.15</v>
      </c>
      <c r="Q553" t="n">
        <v>32.41</v>
      </c>
    </row>
    <row r="554">
      <c r="A554" t="inlineStr">
        <is>
          <t>MR24</t>
        </is>
      </c>
      <c r="B554" t="inlineStr">
        <is>
          <t>Merged_Table_Assay_lito</t>
        </is>
      </c>
      <c r="C554" t="inlineStr">
        <is>
          <t>metros de sondaje; pct sobre metros</t>
        </is>
      </c>
      <c r="D554" t="inlineStr">
        <is>
          <t>periodo_GM_LE2WASTE_Output</t>
        </is>
      </c>
      <c r="E554" t="inlineStr">
        <is>
          <t>204649</t>
        </is>
      </c>
      <c r="F554" t="inlineStr">
        <is>
          <t>ROCKCODE_NUMEQ</t>
        </is>
      </c>
      <c r="G554" t="inlineStr">
        <is>
          <t>19</t>
        </is>
      </c>
      <c r="H554" t="inlineStr">
        <is>
          <t>sin asignar</t>
        </is>
      </c>
      <c r="I554" t="inlineStr">
        <is>
          <t>NUMEQ19</t>
        </is>
      </c>
      <c r="J554" t="inlineStr">
        <is>
          <t>ROCKCODE_NUMEQ sin leyenda (no equivale 1:1 al RT)</t>
        </is>
      </c>
      <c r="K554" t="inlineStr">
        <is>
          <t>Mármol (hipótesis: sigla MDP)</t>
        </is>
      </c>
      <c r="L554" t="inlineStr">
        <is>
          <t>Metamorfico</t>
        </is>
      </c>
      <c r="M554" t="n">
        <v>136</v>
      </c>
      <c r="N554" t="inlineStr"/>
      <c r="O554" t="inlineStr"/>
      <c r="P554" t="n">
        <v>145.9</v>
      </c>
      <c r="Q554" t="n">
        <v>2.496</v>
      </c>
    </row>
    <row r="555">
      <c r="A555" t="inlineStr">
        <is>
          <t>MR24</t>
        </is>
      </c>
      <c r="B555" t="inlineStr">
        <is>
          <t>Merged_Table_Assay_lito</t>
        </is>
      </c>
      <c r="C555" t="inlineStr">
        <is>
          <t>metros de sondaje; pct sobre metros</t>
        </is>
      </c>
      <c r="D555" t="inlineStr">
        <is>
          <t>fase_plp_GM_FASES_LE2_Output</t>
        </is>
      </c>
      <c r="E555" t="inlineStr">
        <is>
          <t>10AN</t>
        </is>
      </c>
      <c r="F555" t="inlineStr">
        <is>
          <t>ROCKCODE_NUMEQ</t>
        </is>
      </c>
      <c r="G555" t="inlineStr">
        <is>
          <t>1</t>
        </is>
      </c>
      <c r="H555" t="inlineStr">
        <is>
          <t>Intrusivo</t>
        </is>
      </c>
      <c r="I555" t="inlineStr">
        <is>
          <t>NUMEQ1</t>
        </is>
      </c>
      <c r="J555" t="inlineStr">
        <is>
          <t>ROCKCODE_NUMEQ=1 agrupa siglas IPP*/DI</t>
        </is>
      </c>
      <c r="K555" t="inlineStr">
        <is>
          <t>Intrusivo</t>
        </is>
      </c>
      <c r="L555" t="inlineStr">
        <is>
          <t>Intrusivo</t>
        </is>
      </c>
      <c r="M555" t="n">
        <v>9170</v>
      </c>
      <c r="N555" t="inlineStr"/>
      <c r="O555" t="inlineStr"/>
      <c r="P555" t="n">
        <v>14527.25</v>
      </c>
      <c r="Q555" t="n">
        <v>33.109</v>
      </c>
    </row>
    <row r="556">
      <c r="A556" t="inlineStr">
        <is>
          <t>MR24</t>
        </is>
      </c>
      <c r="B556" t="inlineStr">
        <is>
          <t>Merged_Table_Assay_lito</t>
        </is>
      </c>
      <c r="C556" t="inlineStr">
        <is>
          <t>metros de sondaje; pct sobre metros</t>
        </is>
      </c>
      <c r="D556" t="inlineStr">
        <is>
          <t>fase_plp_GM_FASES_LE2_Output</t>
        </is>
      </c>
      <c r="E556" t="inlineStr">
        <is>
          <t>10AN</t>
        </is>
      </c>
      <c r="F556" t="inlineStr">
        <is>
          <t>ROCKCODE_NUMEQ</t>
        </is>
      </c>
      <c r="G556" t="inlineStr">
        <is>
          <t>10</t>
        </is>
      </c>
      <c r="H556" t="inlineStr">
        <is>
          <t>sin asignar</t>
        </is>
      </c>
      <c r="I556" t="inlineStr">
        <is>
          <t>NUMEQ10</t>
        </is>
      </c>
      <c r="J556" t="inlineStr">
        <is>
          <t>ROCKCODE_NUMEQ sin leyenda (no equivale 1:1 al RT)</t>
        </is>
      </c>
      <c r="K556" t="inlineStr">
        <is>
          <t>Caliza (hipótesis: siglas C*)</t>
        </is>
      </c>
      <c r="L556" t="inlineStr">
        <is>
          <t>Sedimentario</t>
        </is>
      </c>
      <c r="M556" t="n">
        <v>556</v>
      </c>
      <c r="N556" t="inlineStr"/>
      <c r="O556" t="inlineStr"/>
      <c r="P556" t="n">
        <v>885.3</v>
      </c>
      <c r="Q556" t="n">
        <v>2.018</v>
      </c>
    </row>
    <row r="557">
      <c r="A557" t="inlineStr">
        <is>
          <t>MR24</t>
        </is>
      </c>
      <c r="B557" t="inlineStr">
        <is>
          <t>Merged_Table_Assay_lito</t>
        </is>
      </c>
      <c r="C557" t="inlineStr">
        <is>
          <t>metros de sondaje; pct sobre metros</t>
        </is>
      </c>
      <c r="D557" t="inlineStr">
        <is>
          <t>fase_plp_GM_FASES_LE2_Output</t>
        </is>
      </c>
      <c r="E557" t="inlineStr">
        <is>
          <t>10AN</t>
        </is>
      </c>
      <c r="F557" t="inlineStr">
        <is>
          <t>ROCKCODE_NUMEQ</t>
        </is>
      </c>
      <c r="G557" t="inlineStr">
        <is>
          <t>13</t>
        </is>
      </c>
      <c r="H557" t="inlineStr">
        <is>
          <t>sin asignar</t>
        </is>
      </c>
      <c r="I557" t="inlineStr">
        <is>
          <t>NUMEQ13</t>
        </is>
      </c>
      <c r="J557" t="inlineStr">
        <is>
          <t>ROCKCODE_NUMEQ sin leyenda (no equivale 1:1 al RT)</t>
        </is>
      </c>
      <c r="K557" t="inlineStr">
        <is>
          <t>Hornfels (hipótesis: siglas H*)</t>
        </is>
      </c>
      <c r="L557" t="inlineStr">
        <is>
          <t>Metamorfico</t>
        </is>
      </c>
      <c r="M557" t="n">
        <v>99</v>
      </c>
      <c r="N557" t="inlineStr"/>
      <c r="O557" t="inlineStr"/>
      <c r="P557" t="n">
        <v>189.85</v>
      </c>
      <c r="Q557" t="n">
        <v>0.433</v>
      </c>
    </row>
    <row r="558">
      <c r="A558" t="inlineStr">
        <is>
          <t>MR24</t>
        </is>
      </c>
      <c r="B558" t="inlineStr">
        <is>
          <t>Merged_Table_Assay_lito</t>
        </is>
      </c>
      <c r="C558" t="inlineStr">
        <is>
          <t>metros de sondaje; pct sobre metros</t>
        </is>
      </c>
      <c r="D558" t="inlineStr">
        <is>
          <t>fase_plp_GM_FASES_LE2_Output</t>
        </is>
      </c>
      <c r="E558" t="inlineStr">
        <is>
          <t>10AN</t>
        </is>
      </c>
      <c r="F558" t="inlineStr">
        <is>
          <t>ROCKCODE_NUMEQ</t>
        </is>
      </c>
      <c r="G558" t="inlineStr">
        <is>
          <t>14</t>
        </is>
      </c>
      <c r="H558" t="inlineStr">
        <is>
          <t>sin asignar</t>
        </is>
      </c>
      <c r="I558" t="inlineStr">
        <is>
          <t>NUMEQ14</t>
        </is>
      </c>
      <c r="J558" t="inlineStr">
        <is>
          <t>ROCKCODE_NUMEQ sin leyenda (no equivale 1:1 al RT)</t>
        </is>
      </c>
      <c r="K558" t="inlineStr">
        <is>
          <t>Hornfels (hipótesis: siglas H*)</t>
        </is>
      </c>
      <c r="L558" t="inlineStr">
        <is>
          <t>Metamorfico</t>
        </is>
      </c>
      <c r="M558" t="n">
        <v>47</v>
      </c>
      <c r="N558" t="inlineStr"/>
      <c r="O558" t="inlineStr"/>
      <c r="P558" t="n">
        <v>82.58</v>
      </c>
      <c r="Q558" t="n">
        <v>0.188</v>
      </c>
    </row>
    <row r="559">
      <c r="A559" t="inlineStr">
        <is>
          <t>MR24</t>
        </is>
      </c>
      <c r="B559" t="inlineStr">
        <is>
          <t>Merged_Table_Assay_lito</t>
        </is>
      </c>
      <c r="C559" t="inlineStr">
        <is>
          <t>metros de sondaje; pct sobre metros</t>
        </is>
      </c>
      <c r="D559" t="inlineStr">
        <is>
          <t>fase_plp_GM_FASES_LE2_Output</t>
        </is>
      </c>
      <c r="E559" t="inlineStr">
        <is>
          <t>10AN</t>
        </is>
      </c>
      <c r="F559" t="inlineStr">
        <is>
          <t>ROCKCODE_NUMEQ</t>
        </is>
      </c>
      <c r="G559" t="inlineStr">
        <is>
          <t>16</t>
        </is>
      </c>
      <c r="H559" t="inlineStr">
        <is>
          <t>sin asignar</t>
        </is>
      </c>
      <c r="I559" t="inlineStr">
        <is>
          <t>NUMEQ16</t>
        </is>
      </c>
      <c r="J559" t="inlineStr">
        <is>
          <t>ROCKCODE_NUMEQ sin leyenda (no equivale 1:1 al RT)</t>
        </is>
      </c>
      <c r="K559" t="inlineStr">
        <is>
          <t>Mármol (hipótesis: siglas M*)</t>
        </is>
      </c>
      <c r="L559" t="inlineStr">
        <is>
          <t>Metamorfico</t>
        </is>
      </c>
      <c r="M559" t="n">
        <v>17343</v>
      </c>
      <c r="N559" t="inlineStr"/>
      <c r="O559" t="inlineStr"/>
      <c r="P559" t="n">
        <v>18970</v>
      </c>
      <c r="Q559" t="n">
        <v>43.235</v>
      </c>
    </row>
    <row r="560">
      <c r="A560" t="inlineStr">
        <is>
          <t>MR24</t>
        </is>
      </c>
      <c r="B560" t="inlineStr">
        <is>
          <t>Merged_Table_Assay_lito</t>
        </is>
      </c>
      <c r="C560" t="inlineStr">
        <is>
          <t>metros de sondaje; pct sobre metros</t>
        </is>
      </c>
      <c r="D560" t="inlineStr">
        <is>
          <t>fase_plp_GM_FASES_LE2_Output</t>
        </is>
      </c>
      <c r="E560" t="inlineStr">
        <is>
          <t>10AN</t>
        </is>
      </c>
      <c r="F560" t="inlineStr">
        <is>
          <t>ROCKCODE_NUMEQ</t>
        </is>
      </c>
      <c r="G560" t="inlineStr">
        <is>
          <t>19</t>
        </is>
      </c>
      <c r="H560" t="inlineStr">
        <is>
          <t>sin asignar</t>
        </is>
      </c>
      <c r="I560" t="inlineStr">
        <is>
          <t>NUMEQ19</t>
        </is>
      </c>
      <c r="J560" t="inlineStr">
        <is>
          <t>ROCKCODE_NUMEQ sin leyenda (no equivale 1:1 al RT)</t>
        </is>
      </c>
      <c r="K560" t="inlineStr">
        <is>
          <t>Mármol (hipótesis: sigla MDP)</t>
        </is>
      </c>
      <c r="L560" t="inlineStr">
        <is>
          <t>Metamorfico</t>
        </is>
      </c>
      <c r="M560" t="n">
        <v>9978</v>
      </c>
      <c r="N560" t="inlineStr"/>
      <c r="O560" t="inlineStr"/>
      <c r="P560" t="n">
        <v>9221.700000000001</v>
      </c>
      <c r="Q560" t="n">
        <v>21.017</v>
      </c>
    </row>
    <row r="561">
      <c r="A561" t="inlineStr">
        <is>
          <t>MR24</t>
        </is>
      </c>
      <c r="B561" t="inlineStr">
        <is>
          <t>Merged_Table_Assay_lito</t>
        </is>
      </c>
      <c r="C561" t="inlineStr">
        <is>
          <t>metros de sondaje; pct sobre metros</t>
        </is>
      </c>
      <c r="D561" t="inlineStr">
        <is>
          <t>fase_plp_GM_FASES_LE2_Output</t>
        </is>
      </c>
      <c r="E561" t="inlineStr">
        <is>
          <t>10AS</t>
        </is>
      </c>
      <c r="F561" t="inlineStr">
        <is>
          <t>ROCKCODE_NUMEQ</t>
        </is>
      </c>
      <c r="G561" t="inlineStr">
        <is>
          <t>1</t>
        </is>
      </c>
      <c r="H561" t="inlineStr">
        <is>
          <t>Intrusivo</t>
        </is>
      </c>
      <c r="I561" t="inlineStr">
        <is>
          <t>NUMEQ1</t>
        </is>
      </c>
      <c r="J561" t="inlineStr">
        <is>
          <t>ROCKCODE_NUMEQ=1 agrupa siglas IPP*/DI</t>
        </is>
      </c>
      <c r="K561" t="inlineStr">
        <is>
          <t>Intrusivo</t>
        </is>
      </c>
      <c r="L561" t="inlineStr">
        <is>
          <t>Intrusivo</t>
        </is>
      </c>
      <c r="M561" t="n">
        <v>703</v>
      </c>
      <c r="N561" t="inlineStr"/>
      <c r="O561" t="inlineStr"/>
      <c r="P561" t="n">
        <v>914.5</v>
      </c>
      <c r="Q561" t="n">
        <v>33.409</v>
      </c>
    </row>
    <row r="562">
      <c r="A562" t="inlineStr">
        <is>
          <t>MR24</t>
        </is>
      </c>
      <c r="B562" t="inlineStr">
        <is>
          <t>Merged_Table_Assay_lito</t>
        </is>
      </c>
      <c r="C562" t="inlineStr">
        <is>
          <t>metros de sondaje; pct sobre metros</t>
        </is>
      </c>
      <c r="D562" t="inlineStr">
        <is>
          <t>fase_plp_GM_FASES_LE2_Output</t>
        </is>
      </c>
      <c r="E562" t="inlineStr">
        <is>
          <t>10AS</t>
        </is>
      </c>
      <c r="F562" t="inlineStr">
        <is>
          <t>ROCKCODE_NUMEQ</t>
        </is>
      </c>
      <c r="G562" t="inlineStr">
        <is>
          <t>14</t>
        </is>
      </c>
      <c r="H562" t="inlineStr">
        <is>
          <t>sin asignar</t>
        </is>
      </c>
      <c r="I562" t="inlineStr">
        <is>
          <t>NUMEQ14</t>
        </is>
      </c>
      <c r="J562" t="inlineStr">
        <is>
          <t>ROCKCODE_NUMEQ sin leyenda (no equivale 1:1 al RT)</t>
        </is>
      </c>
      <c r="K562" t="inlineStr">
        <is>
          <t>Hornfels (hipótesis: siglas H*)</t>
        </is>
      </c>
      <c r="L562" t="inlineStr">
        <is>
          <t>Metamorfico</t>
        </is>
      </c>
      <c r="M562" t="n">
        <v>61</v>
      </c>
      <c r="N562" t="inlineStr"/>
      <c r="O562" t="inlineStr"/>
      <c r="P562" t="n">
        <v>148.55</v>
      </c>
      <c r="Q562" t="n">
        <v>5.427</v>
      </c>
    </row>
    <row r="563">
      <c r="A563" t="inlineStr">
        <is>
          <t>MR24</t>
        </is>
      </c>
      <c r="B563" t="inlineStr">
        <is>
          <t>Merged_Table_Assay_lito</t>
        </is>
      </c>
      <c r="C563" t="inlineStr">
        <is>
          <t>metros de sondaje; pct sobre metros</t>
        </is>
      </c>
      <c r="D563" t="inlineStr">
        <is>
          <t>fase_plp_GM_FASES_LE2_Output</t>
        </is>
      </c>
      <c r="E563" t="inlineStr">
        <is>
          <t>10AS</t>
        </is>
      </c>
      <c r="F563" t="inlineStr">
        <is>
          <t>ROCKCODE_NUMEQ</t>
        </is>
      </c>
      <c r="G563" t="inlineStr">
        <is>
          <t>16</t>
        </is>
      </c>
      <c r="H563" t="inlineStr">
        <is>
          <t>sin asignar</t>
        </is>
      </c>
      <c r="I563" t="inlineStr">
        <is>
          <t>NUMEQ16</t>
        </is>
      </c>
      <c r="J563" t="inlineStr">
        <is>
          <t>ROCKCODE_NUMEQ sin leyenda (no equivale 1:1 al RT)</t>
        </is>
      </c>
      <c r="K563" t="inlineStr">
        <is>
          <t>Mármol (hipótesis: siglas M*)</t>
        </is>
      </c>
      <c r="L563" t="inlineStr">
        <is>
          <t>Metamorfico</t>
        </is>
      </c>
      <c r="M563" t="n">
        <v>304</v>
      </c>
      <c r="N563" t="inlineStr"/>
      <c r="O563" t="inlineStr"/>
      <c r="P563" t="n">
        <v>353.3</v>
      </c>
      <c r="Q563" t="n">
        <v>12.907</v>
      </c>
    </row>
    <row r="564">
      <c r="A564" t="inlineStr">
        <is>
          <t>MR24</t>
        </is>
      </c>
      <c r="B564" t="inlineStr">
        <is>
          <t>Merged_Table_Assay_lito</t>
        </is>
      </c>
      <c r="C564" t="inlineStr">
        <is>
          <t>metros de sondaje; pct sobre metros</t>
        </is>
      </c>
      <c r="D564" t="inlineStr">
        <is>
          <t>fase_plp_GM_FASES_LE2_Output</t>
        </is>
      </c>
      <c r="E564" t="inlineStr">
        <is>
          <t>10AS</t>
        </is>
      </c>
      <c r="F564" t="inlineStr">
        <is>
          <t>ROCKCODE_NUMEQ</t>
        </is>
      </c>
      <c r="G564" t="inlineStr">
        <is>
          <t>19</t>
        </is>
      </c>
      <c r="H564" t="inlineStr">
        <is>
          <t>sin asignar</t>
        </is>
      </c>
      <c r="I564" t="inlineStr">
        <is>
          <t>NUMEQ19</t>
        </is>
      </c>
      <c r="J564" t="inlineStr">
        <is>
          <t>ROCKCODE_NUMEQ sin leyenda (no equivale 1:1 al RT)</t>
        </is>
      </c>
      <c r="K564" t="inlineStr">
        <is>
          <t>Mármol (hipótesis: sigla MDP)</t>
        </is>
      </c>
      <c r="L564" t="inlineStr">
        <is>
          <t>Metamorfico</t>
        </is>
      </c>
      <c r="M564" t="n">
        <v>1232</v>
      </c>
      <c r="N564" t="inlineStr"/>
      <c r="O564" t="inlineStr"/>
      <c r="P564" t="n">
        <v>1320.9</v>
      </c>
      <c r="Q564" t="n">
        <v>48.256</v>
      </c>
    </row>
    <row r="565">
      <c r="A565" t="inlineStr">
        <is>
          <t>MR24</t>
        </is>
      </c>
      <c r="B565" t="inlineStr">
        <is>
          <t>Merged_Table_Assay_lito</t>
        </is>
      </c>
      <c r="C565" t="inlineStr">
        <is>
          <t>metros de sondaje; pct sobre metros</t>
        </is>
      </c>
      <c r="D565" t="inlineStr">
        <is>
          <t>fase_plp_GM_FASES_LE2_Output</t>
        </is>
      </c>
      <c r="E565" t="inlineStr">
        <is>
          <t>10B</t>
        </is>
      </c>
      <c r="F565" t="inlineStr">
        <is>
          <t>ROCKCODE_NUMEQ</t>
        </is>
      </c>
      <c r="G565" t="inlineStr">
        <is>
          <t>1</t>
        </is>
      </c>
      <c r="H565" t="inlineStr">
        <is>
          <t>Intrusivo</t>
        </is>
      </c>
      <c r="I565" t="inlineStr">
        <is>
          <t>NUMEQ1</t>
        </is>
      </c>
      <c r="J565" t="inlineStr">
        <is>
          <t>ROCKCODE_NUMEQ=1 agrupa siglas IPP*/DI</t>
        </is>
      </c>
      <c r="K565" t="inlineStr">
        <is>
          <t>Intrusivo</t>
        </is>
      </c>
      <c r="L565" t="inlineStr">
        <is>
          <t>Intrusivo</t>
        </is>
      </c>
      <c r="M565" t="n">
        <v>6239</v>
      </c>
      <c r="N565" t="inlineStr"/>
      <c r="O565" t="inlineStr"/>
      <c r="P565" t="n">
        <v>7911.3</v>
      </c>
      <c r="Q565" t="n">
        <v>43.457</v>
      </c>
    </row>
    <row r="566">
      <c r="A566" t="inlineStr">
        <is>
          <t>MR24</t>
        </is>
      </c>
      <c r="B566" t="inlineStr">
        <is>
          <t>Merged_Table_Assay_lito</t>
        </is>
      </c>
      <c r="C566" t="inlineStr">
        <is>
          <t>metros de sondaje; pct sobre metros</t>
        </is>
      </c>
      <c r="D566" t="inlineStr">
        <is>
          <t>fase_plp_GM_FASES_LE2_Output</t>
        </is>
      </c>
      <c r="E566" t="inlineStr">
        <is>
          <t>10B</t>
        </is>
      </c>
      <c r="F566" t="inlineStr">
        <is>
          <t>ROCKCODE_NUMEQ</t>
        </is>
      </c>
      <c r="G566" t="inlineStr">
        <is>
          <t>10</t>
        </is>
      </c>
      <c r="H566" t="inlineStr">
        <is>
          <t>sin asignar</t>
        </is>
      </c>
      <c r="I566" t="inlineStr">
        <is>
          <t>NUMEQ10</t>
        </is>
      </c>
      <c r="J566" t="inlineStr">
        <is>
          <t>ROCKCODE_NUMEQ sin leyenda (no equivale 1:1 al RT)</t>
        </is>
      </c>
      <c r="K566" t="inlineStr">
        <is>
          <t>Caliza (hipótesis: siglas C*)</t>
        </is>
      </c>
      <c r="L566" t="inlineStr">
        <is>
          <t>Sedimentario</t>
        </is>
      </c>
      <c r="M566" t="n">
        <v>226</v>
      </c>
      <c r="N566" t="inlineStr"/>
      <c r="O566" t="inlineStr"/>
      <c r="P566" t="n">
        <v>226.9</v>
      </c>
      <c r="Q566" t="n">
        <v>1.246</v>
      </c>
    </row>
    <row r="567">
      <c r="A567" t="inlineStr">
        <is>
          <t>MR24</t>
        </is>
      </c>
      <c r="B567" t="inlineStr">
        <is>
          <t>Merged_Table_Assay_lito</t>
        </is>
      </c>
      <c r="C567" t="inlineStr">
        <is>
          <t>metros de sondaje; pct sobre metros</t>
        </is>
      </c>
      <c r="D567" t="inlineStr">
        <is>
          <t>fase_plp_GM_FASES_LE2_Output</t>
        </is>
      </c>
      <c r="E567" t="inlineStr">
        <is>
          <t>10B</t>
        </is>
      </c>
      <c r="F567" t="inlineStr">
        <is>
          <t>ROCKCODE_NUMEQ</t>
        </is>
      </c>
      <c r="G567" t="inlineStr">
        <is>
          <t>13</t>
        </is>
      </c>
      <c r="H567" t="inlineStr">
        <is>
          <t>sin asignar</t>
        </is>
      </c>
      <c r="I567" t="inlineStr">
        <is>
          <t>NUMEQ13</t>
        </is>
      </c>
      <c r="J567" t="inlineStr">
        <is>
          <t>ROCKCODE_NUMEQ sin leyenda (no equivale 1:1 al RT)</t>
        </is>
      </c>
      <c r="K567" t="inlineStr">
        <is>
          <t>Hornfels (hipótesis: siglas H*)</t>
        </is>
      </c>
      <c r="L567" t="inlineStr">
        <is>
          <t>Metamorfico</t>
        </is>
      </c>
      <c r="M567" t="n">
        <v>826</v>
      </c>
      <c r="N567" t="inlineStr"/>
      <c r="O567" t="inlineStr"/>
      <c r="P567" t="n">
        <v>757.95</v>
      </c>
      <c r="Q567" t="n">
        <v>4.163</v>
      </c>
    </row>
    <row r="568">
      <c r="A568" t="inlineStr">
        <is>
          <t>MR24</t>
        </is>
      </c>
      <c r="B568" t="inlineStr">
        <is>
          <t>Merged_Table_Assay_lito</t>
        </is>
      </c>
      <c r="C568" t="inlineStr">
        <is>
          <t>metros de sondaje; pct sobre metros</t>
        </is>
      </c>
      <c r="D568" t="inlineStr">
        <is>
          <t>fase_plp_GM_FASES_LE2_Output</t>
        </is>
      </c>
      <c r="E568" t="inlineStr">
        <is>
          <t>10B</t>
        </is>
      </c>
      <c r="F568" t="inlineStr">
        <is>
          <t>ROCKCODE_NUMEQ</t>
        </is>
      </c>
      <c r="G568" t="inlineStr">
        <is>
          <t>14</t>
        </is>
      </c>
      <c r="H568" t="inlineStr">
        <is>
          <t>sin asignar</t>
        </is>
      </c>
      <c r="I568" t="inlineStr">
        <is>
          <t>NUMEQ14</t>
        </is>
      </c>
      <c r="J568" t="inlineStr">
        <is>
          <t>ROCKCODE_NUMEQ sin leyenda (no equivale 1:1 al RT)</t>
        </is>
      </c>
      <c r="K568" t="inlineStr">
        <is>
          <t>Hornfels (hipótesis: siglas H*)</t>
        </is>
      </c>
      <c r="L568" t="inlineStr">
        <is>
          <t>Metamorfico</t>
        </is>
      </c>
      <c r="M568" t="n">
        <v>40</v>
      </c>
      <c r="N568" t="inlineStr"/>
      <c r="O568" t="inlineStr"/>
      <c r="P568" t="n">
        <v>60.7</v>
      </c>
      <c r="Q568" t="n">
        <v>0.333</v>
      </c>
    </row>
    <row r="569">
      <c r="A569" t="inlineStr">
        <is>
          <t>MR24</t>
        </is>
      </c>
      <c r="B569" t="inlineStr">
        <is>
          <t>Merged_Table_Assay_lito</t>
        </is>
      </c>
      <c r="C569" t="inlineStr">
        <is>
          <t>metros de sondaje; pct sobre metros</t>
        </is>
      </c>
      <c r="D569" t="inlineStr">
        <is>
          <t>fase_plp_GM_FASES_LE2_Output</t>
        </is>
      </c>
      <c r="E569" t="inlineStr">
        <is>
          <t>10B</t>
        </is>
      </c>
      <c r="F569" t="inlineStr">
        <is>
          <t>ROCKCODE_NUMEQ</t>
        </is>
      </c>
      <c r="G569" t="inlineStr">
        <is>
          <t>16</t>
        </is>
      </c>
      <c r="H569" t="inlineStr">
        <is>
          <t>sin asignar</t>
        </is>
      </c>
      <c r="I569" t="inlineStr">
        <is>
          <t>NUMEQ16</t>
        </is>
      </c>
      <c r="J569" t="inlineStr">
        <is>
          <t>ROCKCODE_NUMEQ sin leyenda (no equivale 1:1 al RT)</t>
        </is>
      </c>
      <c r="K569" t="inlineStr">
        <is>
          <t>Mármol (hipótesis: siglas M*)</t>
        </is>
      </c>
      <c r="L569" t="inlineStr">
        <is>
          <t>Metamorfico</t>
        </is>
      </c>
      <c r="M569" t="n">
        <v>5591</v>
      </c>
      <c r="N569" t="inlineStr"/>
      <c r="O569" t="inlineStr"/>
      <c r="P569" t="n">
        <v>5733.7</v>
      </c>
      <c r="Q569" t="n">
        <v>31.495</v>
      </c>
    </row>
    <row r="570">
      <c r="A570" t="inlineStr">
        <is>
          <t>MR24</t>
        </is>
      </c>
      <c r="B570" t="inlineStr">
        <is>
          <t>Merged_Table_Assay_lito</t>
        </is>
      </c>
      <c r="C570" t="inlineStr">
        <is>
          <t>metros de sondaje; pct sobre metros</t>
        </is>
      </c>
      <c r="D570" t="inlineStr">
        <is>
          <t>fase_plp_GM_FASES_LE2_Output</t>
        </is>
      </c>
      <c r="E570" t="inlineStr">
        <is>
          <t>10B</t>
        </is>
      </c>
      <c r="F570" t="inlineStr">
        <is>
          <t>ROCKCODE_NUMEQ</t>
        </is>
      </c>
      <c r="G570" t="inlineStr">
        <is>
          <t>19</t>
        </is>
      </c>
      <c r="H570" t="inlineStr">
        <is>
          <t>sin asignar</t>
        </is>
      </c>
      <c r="I570" t="inlineStr">
        <is>
          <t>NUMEQ19</t>
        </is>
      </c>
      <c r="J570" t="inlineStr">
        <is>
          <t>ROCKCODE_NUMEQ sin leyenda (no equivale 1:1 al RT)</t>
        </is>
      </c>
      <c r="K570" t="inlineStr">
        <is>
          <t>Mármol (hipótesis: sigla MDP)</t>
        </is>
      </c>
      <c r="L570" t="inlineStr">
        <is>
          <t>Metamorfico</t>
        </is>
      </c>
      <c r="M570" t="n">
        <v>3730</v>
      </c>
      <c r="N570" t="inlineStr"/>
      <c r="O570" t="inlineStr"/>
      <c r="P570" t="n">
        <v>3514.55</v>
      </c>
      <c r="Q570" t="n">
        <v>19.305</v>
      </c>
    </row>
    <row r="571">
      <c r="A571" t="inlineStr">
        <is>
          <t>MR24</t>
        </is>
      </c>
      <c r="B571" t="inlineStr">
        <is>
          <t>Merged_Table_Assay_lito</t>
        </is>
      </c>
      <c r="C571" t="inlineStr">
        <is>
          <t>metros de sondaje; pct sobre metros</t>
        </is>
      </c>
      <c r="D571" t="inlineStr">
        <is>
          <t>fase_plp_GM_FASES_LE2_Output</t>
        </is>
      </c>
      <c r="E571" t="inlineStr">
        <is>
          <t>11A</t>
        </is>
      </c>
      <c r="F571" t="inlineStr">
        <is>
          <t>ROCKCODE_NUMEQ</t>
        </is>
      </c>
      <c r="G571" t="inlineStr">
        <is>
          <t>1</t>
        </is>
      </c>
      <c r="H571" t="inlineStr">
        <is>
          <t>Intrusivo</t>
        </is>
      </c>
      <c r="I571" t="inlineStr">
        <is>
          <t>NUMEQ1</t>
        </is>
      </c>
      <c r="J571" t="inlineStr">
        <is>
          <t>ROCKCODE_NUMEQ=1 agrupa siglas IPP*/DI</t>
        </is>
      </c>
      <c r="K571" t="inlineStr">
        <is>
          <t>Intrusivo</t>
        </is>
      </c>
      <c r="L571" t="inlineStr">
        <is>
          <t>Intrusivo</t>
        </is>
      </c>
      <c r="M571" t="n">
        <v>30</v>
      </c>
      <c r="N571" t="inlineStr"/>
      <c r="O571" t="inlineStr"/>
      <c r="P571" t="n">
        <v>22.1</v>
      </c>
      <c r="Q571" t="n">
        <v>0.705</v>
      </c>
    </row>
    <row r="572">
      <c r="A572" t="inlineStr">
        <is>
          <t>MR24</t>
        </is>
      </c>
      <c r="B572" t="inlineStr">
        <is>
          <t>Merged_Table_Assay_lito</t>
        </is>
      </c>
      <c r="C572" t="inlineStr">
        <is>
          <t>metros de sondaje; pct sobre metros</t>
        </is>
      </c>
      <c r="D572" t="inlineStr">
        <is>
          <t>fase_plp_GM_FASES_LE2_Output</t>
        </is>
      </c>
      <c r="E572" t="inlineStr">
        <is>
          <t>11A</t>
        </is>
      </c>
      <c r="F572" t="inlineStr">
        <is>
          <t>ROCKCODE_NUMEQ</t>
        </is>
      </c>
      <c r="G572" t="inlineStr">
        <is>
          <t>10</t>
        </is>
      </c>
      <c r="H572" t="inlineStr">
        <is>
          <t>sin asignar</t>
        </is>
      </c>
      <c r="I572" t="inlineStr">
        <is>
          <t>NUMEQ10</t>
        </is>
      </c>
      <c r="J572" t="inlineStr">
        <is>
          <t>ROCKCODE_NUMEQ sin leyenda (no equivale 1:1 al RT)</t>
        </is>
      </c>
      <c r="K572" t="inlineStr">
        <is>
          <t>Caliza (hipótesis: siglas C*)</t>
        </is>
      </c>
      <c r="L572" t="inlineStr">
        <is>
          <t>Sedimentario</t>
        </is>
      </c>
      <c r="M572" t="n">
        <v>1813</v>
      </c>
      <c r="N572" t="inlineStr"/>
      <c r="O572" t="inlineStr"/>
      <c r="P572" t="n">
        <v>1674.3</v>
      </c>
      <c r="Q572" t="n">
        <v>53.439</v>
      </c>
    </row>
    <row r="573">
      <c r="A573" t="inlineStr">
        <is>
          <t>MR24</t>
        </is>
      </c>
      <c r="B573" t="inlineStr">
        <is>
          <t>Merged_Table_Assay_lito</t>
        </is>
      </c>
      <c r="C573" t="inlineStr">
        <is>
          <t>metros de sondaje; pct sobre metros</t>
        </is>
      </c>
      <c r="D573" t="inlineStr">
        <is>
          <t>fase_plp_GM_FASES_LE2_Output</t>
        </is>
      </c>
      <c r="E573" t="inlineStr">
        <is>
          <t>11A</t>
        </is>
      </c>
      <c r="F573" t="inlineStr">
        <is>
          <t>ROCKCODE_NUMEQ</t>
        </is>
      </c>
      <c r="G573" t="inlineStr">
        <is>
          <t>13</t>
        </is>
      </c>
      <c r="H573" t="inlineStr">
        <is>
          <t>sin asignar</t>
        </is>
      </c>
      <c r="I573" t="inlineStr">
        <is>
          <t>NUMEQ13</t>
        </is>
      </c>
      <c r="J573" t="inlineStr">
        <is>
          <t>ROCKCODE_NUMEQ sin leyenda (no equivale 1:1 al RT)</t>
        </is>
      </c>
      <c r="K573" t="inlineStr">
        <is>
          <t>Hornfels (hipótesis: siglas H*)</t>
        </is>
      </c>
      <c r="L573" t="inlineStr">
        <is>
          <t>Metamorfico</t>
        </is>
      </c>
      <c r="M573" t="n">
        <v>1731</v>
      </c>
      <c r="N573" t="inlineStr"/>
      <c r="O573" t="inlineStr"/>
      <c r="P573" t="n">
        <v>1367.45</v>
      </c>
      <c r="Q573" t="n">
        <v>43.645</v>
      </c>
    </row>
    <row r="574">
      <c r="A574" t="inlineStr">
        <is>
          <t>MR24</t>
        </is>
      </c>
      <c r="B574" t="inlineStr">
        <is>
          <t>Merged_Table_Assay_lito</t>
        </is>
      </c>
      <c r="C574" t="inlineStr">
        <is>
          <t>metros de sondaje; pct sobre metros</t>
        </is>
      </c>
      <c r="D574" t="inlineStr">
        <is>
          <t>fase_plp_GM_FASES_LE2_Output</t>
        </is>
      </c>
      <c r="E574" t="inlineStr">
        <is>
          <t>11A</t>
        </is>
      </c>
      <c r="F574" t="inlineStr">
        <is>
          <t>ROCKCODE_NUMEQ</t>
        </is>
      </c>
      <c r="G574" t="inlineStr">
        <is>
          <t>14</t>
        </is>
      </c>
      <c r="H574" t="inlineStr">
        <is>
          <t>sin asignar</t>
        </is>
      </c>
      <c r="I574" t="inlineStr">
        <is>
          <t>NUMEQ14</t>
        </is>
      </c>
      <c r="J574" t="inlineStr">
        <is>
          <t>ROCKCODE_NUMEQ sin leyenda (no equivale 1:1 al RT)</t>
        </is>
      </c>
      <c r="K574" t="inlineStr">
        <is>
          <t>Hornfels (hipótesis: siglas H*)</t>
        </is>
      </c>
      <c r="L574" t="inlineStr">
        <is>
          <t>Metamorfico</t>
        </is>
      </c>
      <c r="M574" t="n">
        <v>4</v>
      </c>
      <c r="N574" t="inlineStr"/>
      <c r="O574" t="inlineStr"/>
      <c r="P574" t="n">
        <v>2.3</v>
      </c>
      <c r="Q574" t="n">
        <v>0.073</v>
      </c>
    </row>
    <row r="575">
      <c r="A575" t="inlineStr">
        <is>
          <t>MR24</t>
        </is>
      </c>
      <c r="B575" t="inlineStr">
        <is>
          <t>Merged_Table_Assay_lito</t>
        </is>
      </c>
      <c r="C575" t="inlineStr">
        <is>
          <t>metros de sondaje; pct sobre metros</t>
        </is>
      </c>
      <c r="D575" t="inlineStr">
        <is>
          <t>fase_plp_GM_FASES_LE2_Output</t>
        </is>
      </c>
      <c r="E575" t="inlineStr">
        <is>
          <t>11A</t>
        </is>
      </c>
      <c r="F575" t="inlineStr">
        <is>
          <t>ROCKCODE_NUMEQ</t>
        </is>
      </c>
      <c r="G575" t="inlineStr">
        <is>
          <t>16</t>
        </is>
      </c>
      <c r="H575" t="inlineStr">
        <is>
          <t>sin asignar</t>
        </is>
      </c>
      <c r="I575" t="inlineStr">
        <is>
          <t>NUMEQ16</t>
        </is>
      </c>
      <c r="J575" t="inlineStr">
        <is>
          <t>ROCKCODE_NUMEQ sin leyenda (no equivale 1:1 al RT)</t>
        </is>
      </c>
      <c r="K575" t="inlineStr">
        <is>
          <t>Mármol (hipótesis: siglas M*)</t>
        </is>
      </c>
      <c r="L575" t="inlineStr">
        <is>
          <t>Metamorfico</t>
        </is>
      </c>
      <c r="M575" t="n">
        <v>87</v>
      </c>
      <c r="N575" t="inlineStr"/>
      <c r="O575" t="inlineStr"/>
      <c r="P575" t="n">
        <v>66.95</v>
      </c>
      <c r="Q575" t="n">
        <v>2.137</v>
      </c>
    </row>
    <row r="576">
      <c r="A576" t="inlineStr">
        <is>
          <t>MR24</t>
        </is>
      </c>
      <c r="B576" t="inlineStr">
        <is>
          <t>Merged_Table_Assay_lito</t>
        </is>
      </c>
      <c r="C576" t="inlineStr">
        <is>
          <t>metros de sondaje; pct sobre metros</t>
        </is>
      </c>
      <c r="D576" t="inlineStr">
        <is>
          <t>fase_plp_GM_FASES_LE2_Output</t>
        </is>
      </c>
      <c r="E576" t="inlineStr">
        <is>
          <t>11B</t>
        </is>
      </c>
      <c r="F576" t="inlineStr">
        <is>
          <t>ROCKCODE_NUMEQ</t>
        </is>
      </c>
      <c r="G576" t="inlineStr">
        <is>
          <t>1</t>
        </is>
      </c>
      <c r="H576" t="inlineStr">
        <is>
          <t>Intrusivo</t>
        </is>
      </c>
      <c r="I576" t="inlineStr">
        <is>
          <t>NUMEQ1</t>
        </is>
      </c>
      <c r="J576" t="inlineStr">
        <is>
          <t>ROCKCODE_NUMEQ=1 agrupa siglas IPP*/DI</t>
        </is>
      </c>
      <c r="K576" t="inlineStr">
        <is>
          <t>Intrusivo</t>
        </is>
      </c>
      <c r="L576" t="inlineStr">
        <is>
          <t>Intrusivo</t>
        </is>
      </c>
      <c r="M576" t="n">
        <v>31</v>
      </c>
      <c r="N576" t="inlineStr"/>
      <c r="O576" t="inlineStr"/>
      <c r="P576" t="n">
        <v>23.9</v>
      </c>
      <c r="Q576" t="n">
        <v>1.428</v>
      </c>
    </row>
    <row r="577">
      <c r="A577" t="inlineStr">
        <is>
          <t>MR24</t>
        </is>
      </c>
      <c r="B577" t="inlineStr">
        <is>
          <t>Merged_Table_Assay_lito</t>
        </is>
      </c>
      <c r="C577" t="inlineStr">
        <is>
          <t>metros de sondaje; pct sobre metros</t>
        </is>
      </c>
      <c r="D577" t="inlineStr">
        <is>
          <t>fase_plp_GM_FASES_LE2_Output</t>
        </is>
      </c>
      <c r="E577" t="inlineStr">
        <is>
          <t>11B</t>
        </is>
      </c>
      <c r="F577" t="inlineStr">
        <is>
          <t>ROCKCODE_NUMEQ</t>
        </is>
      </c>
      <c r="G577" t="inlineStr">
        <is>
          <t>10</t>
        </is>
      </c>
      <c r="H577" t="inlineStr">
        <is>
          <t>sin asignar</t>
        </is>
      </c>
      <c r="I577" t="inlineStr">
        <is>
          <t>NUMEQ10</t>
        </is>
      </c>
      <c r="J577" t="inlineStr">
        <is>
          <t>ROCKCODE_NUMEQ sin leyenda (no equivale 1:1 al RT)</t>
        </is>
      </c>
      <c r="K577" t="inlineStr">
        <is>
          <t>Caliza (hipótesis: siglas C*)</t>
        </is>
      </c>
      <c r="L577" t="inlineStr">
        <is>
          <t>Sedimentario</t>
        </is>
      </c>
      <c r="M577" t="n">
        <v>1547</v>
      </c>
      <c r="N577" t="inlineStr"/>
      <c r="O577" t="inlineStr"/>
      <c r="P577" t="n">
        <v>1364.65</v>
      </c>
      <c r="Q577" t="n">
        <v>81.52500000000001</v>
      </c>
    </row>
    <row r="578">
      <c r="A578" t="inlineStr">
        <is>
          <t>MR24</t>
        </is>
      </c>
      <c r="B578" t="inlineStr">
        <is>
          <t>Merged_Table_Assay_lito</t>
        </is>
      </c>
      <c r="C578" t="inlineStr">
        <is>
          <t>metros de sondaje; pct sobre metros</t>
        </is>
      </c>
      <c r="D578" t="inlineStr">
        <is>
          <t>fase_plp_GM_FASES_LE2_Output</t>
        </is>
      </c>
      <c r="E578" t="inlineStr">
        <is>
          <t>11B</t>
        </is>
      </c>
      <c r="F578" t="inlineStr">
        <is>
          <t>ROCKCODE_NUMEQ</t>
        </is>
      </c>
      <c r="G578" t="inlineStr">
        <is>
          <t>13</t>
        </is>
      </c>
      <c r="H578" t="inlineStr">
        <is>
          <t>sin asignar</t>
        </is>
      </c>
      <c r="I578" t="inlineStr">
        <is>
          <t>NUMEQ13</t>
        </is>
      </c>
      <c r="J578" t="inlineStr">
        <is>
          <t>ROCKCODE_NUMEQ sin leyenda (no equivale 1:1 al RT)</t>
        </is>
      </c>
      <c r="K578" t="inlineStr">
        <is>
          <t>Hornfels (hipótesis: siglas H*)</t>
        </is>
      </c>
      <c r="L578" t="inlineStr">
        <is>
          <t>Metamorfico</t>
        </is>
      </c>
      <c r="M578" t="n">
        <v>284</v>
      </c>
      <c r="N578" t="inlineStr"/>
      <c r="O578" t="inlineStr"/>
      <c r="P578" t="n">
        <v>261.45</v>
      </c>
      <c r="Q578" t="n">
        <v>15.619</v>
      </c>
    </row>
    <row r="579">
      <c r="A579" t="inlineStr">
        <is>
          <t>MR24</t>
        </is>
      </c>
      <c r="B579" t="inlineStr">
        <is>
          <t>Merged_Table_Assay_lito</t>
        </is>
      </c>
      <c r="C579" t="inlineStr">
        <is>
          <t>metros de sondaje; pct sobre metros</t>
        </is>
      </c>
      <c r="D579" t="inlineStr">
        <is>
          <t>fase_plp_GM_FASES_LE2_Output</t>
        </is>
      </c>
      <c r="E579" t="inlineStr">
        <is>
          <t>11B</t>
        </is>
      </c>
      <c r="F579" t="inlineStr">
        <is>
          <t>ROCKCODE_NUMEQ</t>
        </is>
      </c>
      <c r="G579" t="inlineStr">
        <is>
          <t>14</t>
        </is>
      </c>
      <c r="H579" t="inlineStr">
        <is>
          <t>sin asignar</t>
        </is>
      </c>
      <c r="I579" t="inlineStr">
        <is>
          <t>NUMEQ14</t>
        </is>
      </c>
      <c r="J579" t="inlineStr">
        <is>
          <t>ROCKCODE_NUMEQ sin leyenda (no equivale 1:1 al RT)</t>
        </is>
      </c>
      <c r="K579" t="inlineStr">
        <is>
          <t>Hornfels (hipótesis: siglas H*)</t>
        </is>
      </c>
      <c r="L579" t="inlineStr">
        <is>
          <t>Metamorfico</t>
        </is>
      </c>
      <c r="M579" t="n">
        <v>28</v>
      </c>
      <c r="N579" t="inlineStr"/>
      <c r="O579" t="inlineStr"/>
      <c r="P579" t="n">
        <v>23.9</v>
      </c>
      <c r="Q579" t="n">
        <v>1.428</v>
      </c>
    </row>
    <row r="580">
      <c r="A580" t="inlineStr">
        <is>
          <t>MR24</t>
        </is>
      </c>
      <c r="B580" t="inlineStr">
        <is>
          <t>Merged_Table_Assay_lito</t>
        </is>
      </c>
      <c r="C580" t="inlineStr">
        <is>
          <t>metros de sondaje; pct sobre metros</t>
        </is>
      </c>
      <c r="D580" t="inlineStr">
        <is>
          <t>fase_plp_GM_FASES_LE2_Output</t>
        </is>
      </c>
      <c r="E580" t="inlineStr">
        <is>
          <t>11C</t>
        </is>
      </c>
      <c r="F580" t="inlineStr">
        <is>
          <t>ROCKCODE_NUMEQ</t>
        </is>
      </c>
      <c r="G580" t="inlineStr">
        <is>
          <t>1</t>
        </is>
      </c>
      <c r="H580" t="inlineStr">
        <is>
          <t>Intrusivo</t>
        </is>
      </c>
      <c r="I580" t="inlineStr">
        <is>
          <t>NUMEQ1</t>
        </is>
      </c>
      <c r="J580" t="inlineStr">
        <is>
          <t>ROCKCODE_NUMEQ=1 agrupa siglas IPP*/DI</t>
        </is>
      </c>
      <c r="K580" t="inlineStr">
        <is>
          <t>Intrusivo</t>
        </is>
      </c>
      <c r="L580" t="inlineStr">
        <is>
          <t>Intrusivo</t>
        </is>
      </c>
      <c r="M580" t="n">
        <v>43</v>
      </c>
      <c r="N580" t="inlineStr"/>
      <c r="O580" t="inlineStr"/>
      <c r="P580" t="n">
        <v>52.8</v>
      </c>
      <c r="Q580" t="n">
        <v>0.957</v>
      </c>
    </row>
    <row r="581">
      <c r="A581" t="inlineStr">
        <is>
          <t>MR24</t>
        </is>
      </c>
      <c r="B581" t="inlineStr">
        <is>
          <t>Merged_Table_Assay_lito</t>
        </is>
      </c>
      <c r="C581" t="inlineStr">
        <is>
          <t>metros de sondaje; pct sobre metros</t>
        </is>
      </c>
      <c r="D581" t="inlineStr">
        <is>
          <t>fase_plp_GM_FASES_LE2_Output</t>
        </is>
      </c>
      <c r="E581" t="inlineStr">
        <is>
          <t>11C</t>
        </is>
      </c>
      <c r="F581" t="inlineStr">
        <is>
          <t>ROCKCODE_NUMEQ</t>
        </is>
      </c>
      <c r="G581" t="inlineStr">
        <is>
          <t>10</t>
        </is>
      </c>
      <c r="H581" t="inlineStr">
        <is>
          <t>sin asignar</t>
        </is>
      </c>
      <c r="I581" t="inlineStr">
        <is>
          <t>NUMEQ10</t>
        </is>
      </c>
      <c r="J581" t="inlineStr">
        <is>
          <t>ROCKCODE_NUMEQ sin leyenda (no equivale 1:1 al RT)</t>
        </is>
      </c>
      <c r="K581" t="inlineStr">
        <is>
          <t>Caliza (hipótesis: siglas C*)</t>
        </is>
      </c>
      <c r="L581" t="inlineStr">
        <is>
          <t>Sedimentario</t>
        </is>
      </c>
      <c r="M581" t="n">
        <v>1751</v>
      </c>
      <c r="N581" t="inlineStr"/>
      <c r="O581" t="inlineStr"/>
      <c r="P581" t="n">
        <v>1622</v>
      </c>
      <c r="Q581" t="n">
        <v>29.393</v>
      </c>
    </row>
    <row r="582">
      <c r="A582" t="inlineStr">
        <is>
          <t>MR24</t>
        </is>
      </c>
      <c r="B582" t="inlineStr">
        <is>
          <t>Merged_Table_Assay_lito</t>
        </is>
      </c>
      <c r="C582" t="inlineStr">
        <is>
          <t>metros de sondaje; pct sobre metros</t>
        </is>
      </c>
      <c r="D582" t="inlineStr">
        <is>
          <t>fase_plp_GM_FASES_LE2_Output</t>
        </is>
      </c>
      <c r="E582" t="inlineStr">
        <is>
          <t>11C</t>
        </is>
      </c>
      <c r="F582" t="inlineStr">
        <is>
          <t>ROCKCODE_NUMEQ</t>
        </is>
      </c>
      <c r="G582" t="inlineStr">
        <is>
          <t>13</t>
        </is>
      </c>
      <c r="H582" t="inlineStr">
        <is>
          <t>sin asignar</t>
        </is>
      </c>
      <c r="I582" t="inlineStr">
        <is>
          <t>NUMEQ13</t>
        </is>
      </c>
      <c r="J582" t="inlineStr">
        <is>
          <t>ROCKCODE_NUMEQ sin leyenda (no equivale 1:1 al RT)</t>
        </is>
      </c>
      <c r="K582" t="inlineStr">
        <is>
          <t>Hornfels (hipótesis: siglas H*)</t>
        </is>
      </c>
      <c r="L582" t="inlineStr">
        <is>
          <t>Metamorfico</t>
        </is>
      </c>
      <c r="M582" t="n">
        <v>3812</v>
      </c>
      <c r="N582" t="inlineStr"/>
      <c r="O582" t="inlineStr"/>
      <c r="P582" t="n">
        <v>3278.35</v>
      </c>
      <c r="Q582" t="n">
        <v>59.408</v>
      </c>
    </row>
    <row r="583">
      <c r="A583" t="inlineStr">
        <is>
          <t>MR24</t>
        </is>
      </c>
      <c r="B583" t="inlineStr">
        <is>
          <t>Merged_Table_Assay_lito</t>
        </is>
      </c>
      <c r="C583" t="inlineStr">
        <is>
          <t>metros de sondaje; pct sobre metros</t>
        </is>
      </c>
      <c r="D583" t="inlineStr">
        <is>
          <t>fase_plp_GM_FASES_LE2_Output</t>
        </is>
      </c>
      <c r="E583" t="inlineStr">
        <is>
          <t>11C</t>
        </is>
      </c>
      <c r="F583" t="inlineStr">
        <is>
          <t>ROCKCODE_NUMEQ</t>
        </is>
      </c>
      <c r="G583" t="inlineStr">
        <is>
          <t>14</t>
        </is>
      </c>
      <c r="H583" t="inlineStr">
        <is>
          <t>sin asignar</t>
        </is>
      </c>
      <c r="I583" t="inlineStr">
        <is>
          <t>NUMEQ14</t>
        </is>
      </c>
      <c r="J583" t="inlineStr">
        <is>
          <t>ROCKCODE_NUMEQ sin leyenda (no equivale 1:1 al RT)</t>
        </is>
      </c>
      <c r="K583" t="inlineStr">
        <is>
          <t>Hornfels (hipótesis: siglas H*)</t>
        </is>
      </c>
      <c r="L583" t="inlineStr">
        <is>
          <t>Metamorfico</t>
        </is>
      </c>
      <c r="M583" t="n">
        <v>265</v>
      </c>
      <c r="N583" t="inlineStr"/>
      <c r="O583" t="inlineStr"/>
      <c r="P583" t="n">
        <v>191.5</v>
      </c>
      <c r="Q583" t="n">
        <v>3.47</v>
      </c>
    </row>
    <row r="584">
      <c r="A584" t="inlineStr">
        <is>
          <t>MR24</t>
        </is>
      </c>
      <c r="B584" t="inlineStr">
        <is>
          <t>Merged_Table_Assay_lito</t>
        </is>
      </c>
      <c r="C584" t="inlineStr">
        <is>
          <t>metros de sondaje; pct sobre metros</t>
        </is>
      </c>
      <c r="D584" t="inlineStr">
        <is>
          <t>fase_plp_GM_FASES_LE2_Output</t>
        </is>
      </c>
      <c r="E584" t="inlineStr">
        <is>
          <t>11C</t>
        </is>
      </c>
      <c r="F584" t="inlineStr">
        <is>
          <t>ROCKCODE_NUMEQ</t>
        </is>
      </c>
      <c r="G584" t="inlineStr">
        <is>
          <t>16</t>
        </is>
      </c>
      <c r="H584" t="inlineStr">
        <is>
          <t>sin asignar</t>
        </is>
      </c>
      <c r="I584" t="inlineStr">
        <is>
          <t>NUMEQ16</t>
        </is>
      </c>
      <c r="J584" t="inlineStr">
        <is>
          <t>ROCKCODE_NUMEQ sin leyenda (no equivale 1:1 al RT)</t>
        </is>
      </c>
      <c r="K584" t="inlineStr">
        <is>
          <t>Mármol (hipótesis: siglas M*)</t>
        </is>
      </c>
      <c r="L584" t="inlineStr">
        <is>
          <t>Metamorfico</t>
        </is>
      </c>
      <c r="M584" t="n">
        <v>368</v>
      </c>
      <c r="N584" t="inlineStr"/>
      <c r="O584" t="inlineStr"/>
      <c r="P584" t="n">
        <v>373.75</v>
      </c>
      <c r="Q584" t="n">
        <v>6.773</v>
      </c>
    </row>
    <row r="585">
      <c r="A585" t="inlineStr">
        <is>
          <t>MR24</t>
        </is>
      </c>
      <c r="B585" t="inlineStr">
        <is>
          <t>Merged_Table_Assay_lito</t>
        </is>
      </c>
      <c r="C585" t="inlineStr">
        <is>
          <t>metros de sondaje; pct sobre metros</t>
        </is>
      </c>
      <c r="D585" t="inlineStr">
        <is>
          <t>fase_plp_GM_FASES_LE2_Output</t>
        </is>
      </c>
      <c r="E585" t="inlineStr">
        <is>
          <t>11D</t>
        </is>
      </c>
      <c r="F585" t="inlineStr">
        <is>
          <t>ROCKCODE_NUMEQ</t>
        </is>
      </c>
      <c r="G585" t="inlineStr">
        <is>
          <t>1</t>
        </is>
      </c>
      <c r="H585" t="inlineStr">
        <is>
          <t>Intrusivo</t>
        </is>
      </c>
      <c r="I585" t="inlineStr">
        <is>
          <t>NUMEQ1</t>
        </is>
      </c>
      <c r="J585" t="inlineStr">
        <is>
          <t>ROCKCODE_NUMEQ=1 agrupa siglas IPP*/DI</t>
        </is>
      </c>
      <c r="K585" t="inlineStr">
        <is>
          <t>Intrusivo</t>
        </is>
      </c>
      <c r="L585" t="inlineStr">
        <is>
          <t>Intrusivo</t>
        </is>
      </c>
      <c r="M585" t="n">
        <v>14381</v>
      </c>
      <c r="N585" t="inlineStr"/>
      <c r="O585" t="inlineStr"/>
      <c r="P585" t="n">
        <v>14402.55</v>
      </c>
      <c r="Q585" t="n">
        <v>22.067</v>
      </c>
    </row>
    <row r="586">
      <c r="A586" t="inlineStr">
        <is>
          <t>MR24</t>
        </is>
      </c>
      <c r="B586" t="inlineStr">
        <is>
          <t>Merged_Table_Assay_lito</t>
        </is>
      </c>
      <c r="C586" t="inlineStr">
        <is>
          <t>metros de sondaje; pct sobre metros</t>
        </is>
      </c>
      <c r="D586" t="inlineStr">
        <is>
          <t>fase_plp_GM_FASES_LE2_Output</t>
        </is>
      </c>
      <c r="E586" t="inlineStr">
        <is>
          <t>11D</t>
        </is>
      </c>
      <c r="F586" t="inlineStr">
        <is>
          <t>ROCKCODE_NUMEQ</t>
        </is>
      </c>
      <c r="G586" t="inlineStr">
        <is>
          <t>10</t>
        </is>
      </c>
      <c r="H586" t="inlineStr">
        <is>
          <t>sin asignar</t>
        </is>
      </c>
      <c r="I586" t="inlineStr">
        <is>
          <t>NUMEQ10</t>
        </is>
      </c>
      <c r="J586" t="inlineStr">
        <is>
          <t>ROCKCODE_NUMEQ sin leyenda (no equivale 1:1 al RT)</t>
        </is>
      </c>
      <c r="K586" t="inlineStr">
        <is>
          <t>Caliza (hipótesis: siglas C*)</t>
        </is>
      </c>
      <c r="L586" t="inlineStr">
        <is>
          <t>Sedimentario</t>
        </is>
      </c>
      <c r="M586" t="n">
        <v>6399</v>
      </c>
      <c r="N586" t="inlineStr"/>
      <c r="O586" t="inlineStr"/>
      <c r="P586" t="n">
        <v>5770.6</v>
      </c>
      <c r="Q586" t="n">
        <v>8.840999999999999</v>
      </c>
    </row>
    <row r="587">
      <c r="A587" t="inlineStr">
        <is>
          <t>MR24</t>
        </is>
      </c>
      <c r="B587" t="inlineStr">
        <is>
          <t>Merged_Table_Assay_lito</t>
        </is>
      </c>
      <c r="C587" t="inlineStr">
        <is>
          <t>metros de sondaje; pct sobre metros</t>
        </is>
      </c>
      <c r="D587" t="inlineStr">
        <is>
          <t>fase_plp_GM_FASES_LE2_Output</t>
        </is>
      </c>
      <c r="E587" t="inlineStr">
        <is>
          <t>11D</t>
        </is>
      </c>
      <c r="F587" t="inlineStr">
        <is>
          <t>ROCKCODE_NUMEQ</t>
        </is>
      </c>
      <c r="G587" t="inlineStr">
        <is>
          <t>13</t>
        </is>
      </c>
      <c r="H587" t="inlineStr">
        <is>
          <t>sin asignar</t>
        </is>
      </c>
      <c r="I587" t="inlineStr">
        <is>
          <t>NUMEQ13</t>
        </is>
      </c>
      <c r="J587" t="inlineStr">
        <is>
          <t>ROCKCODE_NUMEQ sin leyenda (no equivale 1:1 al RT)</t>
        </is>
      </c>
      <c r="K587" t="inlineStr">
        <is>
          <t>Hornfels (hipótesis: siglas H*)</t>
        </is>
      </c>
      <c r="L587" t="inlineStr">
        <is>
          <t>Metamorfico</t>
        </is>
      </c>
      <c r="M587" t="n">
        <v>22300</v>
      </c>
      <c r="N587" t="inlineStr"/>
      <c r="O587" t="inlineStr"/>
      <c r="P587" t="n">
        <v>18692.25</v>
      </c>
      <c r="Q587" t="n">
        <v>28.639</v>
      </c>
    </row>
    <row r="588">
      <c r="A588" t="inlineStr">
        <is>
          <t>MR24</t>
        </is>
      </c>
      <c r="B588" t="inlineStr">
        <is>
          <t>Merged_Table_Assay_lito</t>
        </is>
      </c>
      <c r="C588" t="inlineStr">
        <is>
          <t>metros de sondaje; pct sobre metros</t>
        </is>
      </c>
      <c r="D588" t="inlineStr">
        <is>
          <t>fase_plp_GM_FASES_LE2_Output</t>
        </is>
      </c>
      <c r="E588" t="inlineStr">
        <is>
          <t>11D</t>
        </is>
      </c>
      <c r="F588" t="inlineStr">
        <is>
          <t>ROCKCODE_NUMEQ</t>
        </is>
      </c>
      <c r="G588" t="inlineStr">
        <is>
          <t>14</t>
        </is>
      </c>
      <c r="H588" t="inlineStr">
        <is>
          <t>sin asignar</t>
        </is>
      </c>
      <c r="I588" t="inlineStr">
        <is>
          <t>NUMEQ14</t>
        </is>
      </c>
      <c r="J588" t="inlineStr">
        <is>
          <t>ROCKCODE_NUMEQ sin leyenda (no equivale 1:1 al RT)</t>
        </is>
      </c>
      <c r="K588" t="inlineStr">
        <is>
          <t>Hornfels (hipótesis: siglas H*)</t>
        </is>
      </c>
      <c r="L588" t="inlineStr">
        <is>
          <t>Metamorfico</t>
        </is>
      </c>
      <c r="M588" t="n">
        <v>3505</v>
      </c>
      <c r="N588" t="inlineStr"/>
      <c r="O588" t="inlineStr"/>
      <c r="P588" t="n">
        <v>2765.95</v>
      </c>
      <c r="Q588" t="n">
        <v>4.238</v>
      </c>
    </row>
    <row r="589">
      <c r="A589" t="inlineStr">
        <is>
          <t>MR24</t>
        </is>
      </c>
      <c r="B589" t="inlineStr">
        <is>
          <t>Merged_Table_Assay_lito</t>
        </is>
      </c>
      <c r="C589" t="inlineStr">
        <is>
          <t>metros de sondaje; pct sobre metros</t>
        </is>
      </c>
      <c r="D589" t="inlineStr">
        <is>
          <t>fase_plp_GM_FASES_LE2_Output</t>
        </is>
      </c>
      <c r="E589" t="inlineStr">
        <is>
          <t>11D</t>
        </is>
      </c>
      <c r="F589" t="inlineStr">
        <is>
          <t>ROCKCODE_NUMEQ</t>
        </is>
      </c>
      <c r="G589" t="inlineStr">
        <is>
          <t>16</t>
        </is>
      </c>
      <c r="H589" t="inlineStr">
        <is>
          <t>sin asignar</t>
        </is>
      </c>
      <c r="I589" t="inlineStr">
        <is>
          <t>NUMEQ16</t>
        </is>
      </c>
      <c r="J589" t="inlineStr">
        <is>
          <t>ROCKCODE_NUMEQ sin leyenda (no equivale 1:1 al RT)</t>
        </is>
      </c>
      <c r="K589" t="inlineStr">
        <is>
          <t>Mármol (hipótesis: siglas M*)</t>
        </is>
      </c>
      <c r="L589" t="inlineStr">
        <is>
          <t>Metamorfico</t>
        </is>
      </c>
      <c r="M589" t="n">
        <v>21490</v>
      </c>
      <c r="N589" t="inlineStr"/>
      <c r="O589" t="inlineStr"/>
      <c r="P589" t="n">
        <v>19033.45</v>
      </c>
      <c r="Q589" t="n">
        <v>29.162</v>
      </c>
    </row>
    <row r="590">
      <c r="A590" t="inlineStr">
        <is>
          <t>MR24</t>
        </is>
      </c>
      <c r="B590" t="inlineStr">
        <is>
          <t>Merged_Table_Assay_lito</t>
        </is>
      </c>
      <c r="C590" t="inlineStr">
        <is>
          <t>metros de sondaje; pct sobre metros</t>
        </is>
      </c>
      <c r="D590" t="inlineStr">
        <is>
          <t>fase_plp_GM_FASES_LE2_Output</t>
        </is>
      </c>
      <c r="E590" t="inlineStr">
        <is>
          <t>11D</t>
        </is>
      </c>
      <c r="F590" t="inlineStr">
        <is>
          <t>ROCKCODE_NUMEQ</t>
        </is>
      </c>
      <c r="G590" t="inlineStr">
        <is>
          <t>19</t>
        </is>
      </c>
      <c r="H590" t="inlineStr">
        <is>
          <t>sin asignar</t>
        </is>
      </c>
      <c r="I590" t="inlineStr">
        <is>
          <t>NUMEQ19</t>
        </is>
      </c>
      <c r="J590" t="inlineStr">
        <is>
          <t>ROCKCODE_NUMEQ sin leyenda (no equivale 1:1 al RT)</t>
        </is>
      </c>
      <c r="K590" t="inlineStr">
        <is>
          <t>Mármol (hipótesis: sigla MDP)</t>
        </is>
      </c>
      <c r="L590" t="inlineStr">
        <is>
          <t>Metamorfico</t>
        </is>
      </c>
      <c r="M590" t="n">
        <v>5155</v>
      </c>
      <c r="N590" t="inlineStr"/>
      <c r="O590" t="inlineStr"/>
      <c r="P590" t="n">
        <v>4602.77</v>
      </c>
      <c r="Q590" t="n">
        <v>7.052</v>
      </c>
    </row>
    <row r="591">
      <c r="A591" t="inlineStr">
        <is>
          <t>MR24</t>
        </is>
      </c>
      <c r="B591" t="inlineStr">
        <is>
          <t>Merged_Table_Assay_lito</t>
        </is>
      </c>
      <c r="C591" t="inlineStr">
        <is>
          <t>metros de sondaje; pct sobre metros</t>
        </is>
      </c>
      <c r="D591" t="inlineStr">
        <is>
          <t>fase_plp_GM_FASES_LE2_Output</t>
        </is>
      </c>
      <c r="E591" t="inlineStr">
        <is>
          <t>12A1</t>
        </is>
      </c>
      <c r="F591" t="inlineStr">
        <is>
          <t>ROCKCODE_NUMEQ</t>
        </is>
      </c>
      <c r="G591" t="inlineStr">
        <is>
          <t>1</t>
        </is>
      </c>
      <c r="H591" t="inlineStr">
        <is>
          <t>Intrusivo</t>
        </is>
      </c>
      <c r="I591" t="inlineStr">
        <is>
          <t>NUMEQ1</t>
        </is>
      </c>
      <c r="J591" t="inlineStr">
        <is>
          <t>ROCKCODE_NUMEQ=1 agrupa siglas IPP*/DI</t>
        </is>
      </c>
      <c r="K591" t="inlineStr">
        <is>
          <t>Intrusivo</t>
        </is>
      </c>
      <c r="L591" t="inlineStr">
        <is>
          <t>Intrusivo</t>
        </is>
      </c>
      <c r="M591" t="n">
        <v>42</v>
      </c>
      <c r="N591" t="inlineStr"/>
      <c r="O591" t="inlineStr"/>
      <c r="P591" t="n">
        <v>68.05</v>
      </c>
      <c r="Q591" t="n">
        <v>6.277</v>
      </c>
    </row>
    <row r="592">
      <c r="A592" t="inlineStr">
        <is>
          <t>MR24</t>
        </is>
      </c>
      <c r="B592" t="inlineStr">
        <is>
          <t>Merged_Table_Assay_lito</t>
        </is>
      </c>
      <c r="C592" t="inlineStr">
        <is>
          <t>metros de sondaje; pct sobre metros</t>
        </is>
      </c>
      <c r="D592" t="inlineStr">
        <is>
          <t>fase_plp_GM_FASES_LE2_Output</t>
        </is>
      </c>
      <c r="E592" t="inlineStr">
        <is>
          <t>12A1</t>
        </is>
      </c>
      <c r="F592" t="inlineStr">
        <is>
          <t>ROCKCODE_NUMEQ</t>
        </is>
      </c>
      <c r="G592" t="inlineStr">
        <is>
          <t>10</t>
        </is>
      </c>
      <c r="H592" t="inlineStr">
        <is>
          <t>sin asignar</t>
        </is>
      </c>
      <c r="I592" t="inlineStr">
        <is>
          <t>NUMEQ10</t>
        </is>
      </c>
      <c r="J592" t="inlineStr">
        <is>
          <t>ROCKCODE_NUMEQ sin leyenda (no equivale 1:1 al RT)</t>
        </is>
      </c>
      <c r="K592" t="inlineStr">
        <is>
          <t>Caliza (hipótesis: siglas C*)</t>
        </is>
      </c>
      <c r="L592" t="inlineStr">
        <is>
          <t>Sedimentario</t>
        </is>
      </c>
      <c r="M592" t="n">
        <v>368</v>
      </c>
      <c r="N592" t="inlineStr"/>
      <c r="O592" t="inlineStr"/>
      <c r="P592" t="n">
        <v>490.95</v>
      </c>
      <c r="Q592" t="n">
        <v>45.283</v>
      </c>
    </row>
    <row r="593">
      <c r="A593" t="inlineStr">
        <is>
          <t>MR24</t>
        </is>
      </c>
      <c r="B593" t="inlineStr">
        <is>
          <t>Merged_Table_Assay_lito</t>
        </is>
      </c>
      <c r="C593" t="inlineStr">
        <is>
          <t>metros de sondaje; pct sobre metros</t>
        </is>
      </c>
      <c r="D593" t="inlineStr">
        <is>
          <t>fase_plp_GM_FASES_LE2_Output</t>
        </is>
      </c>
      <c r="E593" t="inlineStr">
        <is>
          <t>12A1</t>
        </is>
      </c>
      <c r="F593" t="inlineStr">
        <is>
          <t>ROCKCODE_NUMEQ</t>
        </is>
      </c>
      <c r="G593" t="inlineStr">
        <is>
          <t>16</t>
        </is>
      </c>
      <c r="H593" t="inlineStr">
        <is>
          <t>sin asignar</t>
        </is>
      </c>
      <c r="I593" t="inlineStr">
        <is>
          <t>NUMEQ16</t>
        </is>
      </c>
      <c r="J593" t="inlineStr">
        <is>
          <t>ROCKCODE_NUMEQ sin leyenda (no equivale 1:1 al RT)</t>
        </is>
      </c>
      <c r="K593" t="inlineStr">
        <is>
          <t>Mármol (hipótesis: siglas M*)</t>
        </is>
      </c>
      <c r="L593" t="inlineStr">
        <is>
          <t>Metamorfico</t>
        </is>
      </c>
      <c r="M593" t="n">
        <v>248</v>
      </c>
      <c r="N593" t="inlineStr"/>
      <c r="O593" t="inlineStr"/>
      <c r="P593" t="n">
        <v>323.88</v>
      </c>
      <c r="Q593" t="n">
        <v>29.873</v>
      </c>
    </row>
    <row r="594">
      <c r="A594" t="inlineStr">
        <is>
          <t>MR24</t>
        </is>
      </c>
      <c r="B594" t="inlineStr">
        <is>
          <t>Merged_Table_Assay_lito</t>
        </is>
      </c>
      <c r="C594" t="inlineStr">
        <is>
          <t>metros de sondaje; pct sobre metros</t>
        </is>
      </c>
      <c r="D594" t="inlineStr">
        <is>
          <t>fase_plp_GM_FASES_LE2_Output</t>
        </is>
      </c>
      <c r="E594" t="inlineStr">
        <is>
          <t>12A1</t>
        </is>
      </c>
      <c r="F594" t="inlineStr">
        <is>
          <t>ROCKCODE_NUMEQ</t>
        </is>
      </c>
      <c r="G594" t="inlineStr">
        <is>
          <t>19</t>
        </is>
      </c>
      <c r="H594" t="inlineStr">
        <is>
          <t>sin asignar</t>
        </is>
      </c>
      <c r="I594" t="inlineStr">
        <is>
          <t>NUMEQ19</t>
        </is>
      </c>
      <c r="J594" t="inlineStr">
        <is>
          <t>ROCKCODE_NUMEQ sin leyenda (no equivale 1:1 al RT)</t>
        </is>
      </c>
      <c r="K594" t="inlineStr">
        <is>
          <t>Mármol (hipótesis: sigla MDP)</t>
        </is>
      </c>
      <c r="L594" t="inlineStr">
        <is>
          <t>Metamorfico</t>
        </is>
      </c>
      <c r="M594" t="n">
        <v>206</v>
      </c>
      <c r="N594" t="inlineStr"/>
      <c r="O594" t="inlineStr"/>
      <c r="P594" t="n">
        <v>201.3</v>
      </c>
      <c r="Q594" t="n">
        <v>18.567</v>
      </c>
    </row>
    <row r="595">
      <c r="A595" t="inlineStr">
        <is>
          <t>MR24</t>
        </is>
      </c>
      <c r="B595" t="inlineStr">
        <is>
          <t>Merged_Table_Assay_lito</t>
        </is>
      </c>
      <c r="C595" t="inlineStr">
        <is>
          <t>metros de sondaje; pct sobre metros</t>
        </is>
      </c>
      <c r="D595" t="inlineStr">
        <is>
          <t>fase_plp_GM_FASES_LE2_Output</t>
        </is>
      </c>
      <c r="E595" t="inlineStr">
        <is>
          <t>12A2</t>
        </is>
      </c>
      <c r="F595" t="inlineStr">
        <is>
          <t>ROCKCODE_NUMEQ</t>
        </is>
      </c>
      <c r="G595" t="inlineStr">
        <is>
          <t>1</t>
        </is>
      </c>
      <c r="H595" t="inlineStr">
        <is>
          <t>Intrusivo</t>
        </is>
      </c>
      <c r="I595" t="inlineStr">
        <is>
          <t>NUMEQ1</t>
        </is>
      </c>
      <c r="J595" t="inlineStr">
        <is>
          <t>ROCKCODE_NUMEQ=1 agrupa siglas IPP*/DI</t>
        </is>
      </c>
      <c r="K595" t="inlineStr">
        <is>
          <t>Intrusivo</t>
        </is>
      </c>
      <c r="L595" t="inlineStr">
        <is>
          <t>Intrusivo</t>
        </is>
      </c>
      <c r="M595" t="n">
        <v>2589</v>
      </c>
      <c r="N595" t="inlineStr"/>
      <c r="O595" t="inlineStr"/>
      <c r="P595" t="n">
        <v>3501.76</v>
      </c>
      <c r="Q595" t="n">
        <v>18.868</v>
      </c>
    </row>
    <row r="596">
      <c r="A596" t="inlineStr">
        <is>
          <t>MR24</t>
        </is>
      </c>
      <c r="B596" t="inlineStr">
        <is>
          <t>Merged_Table_Assay_lito</t>
        </is>
      </c>
      <c r="C596" t="inlineStr">
        <is>
          <t>metros de sondaje; pct sobre metros</t>
        </is>
      </c>
      <c r="D596" t="inlineStr">
        <is>
          <t>fase_plp_GM_FASES_LE2_Output</t>
        </is>
      </c>
      <c r="E596" t="inlineStr">
        <is>
          <t>12A2</t>
        </is>
      </c>
      <c r="F596" t="inlineStr">
        <is>
          <t>ROCKCODE_NUMEQ</t>
        </is>
      </c>
      <c r="G596" t="inlineStr">
        <is>
          <t>10</t>
        </is>
      </c>
      <c r="H596" t="inlineStr">
        <is>
          <t>sin asignar</t>
        </is>
      </c>
      <c r="I596" t="inlineStr">
        <is>
          <t>NUMEQ10</t>
        </is>
      </c>
      <c r="J596" t="inlineStr">
        <is>
          <t>ROCKCODE_NUMEQ sin leyenda (no equivale 1:1 al RT)</t>
        </is>
      </c>
      <c r="K596" t="inlineStr">
        <is>
          <t>Caliza (hipótesis: siglas C*)</t>
        </is>
      </c>
      <c r="L596" t="inlineStr">
        <is>
          <t>Sedimentario</t>
        </is>
      </c>
      <c r="M596" t="n">
        <v>197</v>
      </c>
      <c r="N596" t="inlineStr"/>
      <c r="O596" t="inlineStr"/>
      <c r="P596" t="n">
        <v>333.3</v>
      </c>
      <c r="Q596" t="n">
        <v>1.796</v>
      </c>
    </row>
    <row r="597">
      <c r="A597" t="inlineStr">
        <is>
          <t>MR24</t>
        </is>
      </c>
      <c r="B597" t="inlineStr">
        <is>
          <t>Merged_Table_Assay_lito</t>
        </is>
      </c>
      <c r="C597" t="inlineStr">
        <is>
          <t>metros de sondaje; pct sobre metros</t>
        </is>
      </c>
      <c r="D597" t="inlineStr">
        <is>
          <t>fase_plp_GM_FASES_LE2_Output</t>
        </is>
      </c>
      <c r="E597" t="inlineStr">
        <is>
          <t>12A2</t>
        </is>
      </c>
      <c r="F597" t="inlineStr">
        <is>
          <t>ROCKCODE_NUMEQ</t>
        </is>
      </c>
      <c r="G597" t="inlineStr">
        <is>
          <t>13</t>
        </is>
      </c>
      <c r="H597" t="inlineStr">
        <is>
          <t>sin asignar</t>
        </is>
      </c>
      <c r="I597" t="inlineStr">
        <is>
          <t>NUMEQ13</t>
        </is>
      </c>
      <c r="J597" t="inlineStr">
        <is>
          <t>ROCKCODE_NUMEQ sin leyenda (no equivale 1:1 al RT)</t>
        </is>
      </c>
      <c r="K597" t="inlineStr">
        <is>
          <t>Hornfels (hipótesis: siglas H*)</t>
        </is>
      </c>
      <c r="L597" t="inlineStr">
        <is>
          <t>Metamorfico</t>
        </is>
      </c>
      <c r="M597" t="n">
        <v>50</v>
      </c>
      <c r="N597" t="inlineStr"/>
      <c r="O597" t="inlineStr"/>
      <c r="P597" t="n">
        <v>102.65</v>
      </c>
      <c r="Q597" t="n">
        <v>0.553</v>
      </c>
    </row>
    <row r="598">
      <c r="A598" t="inlineStr">
        <is>
          <t>MR24</t>
        </is>
      </c>
      <c r="B598" t="inlineStr">
        <is>
          <t>Merged_Table_Assay_lito</t>
        </is>
      </c>
      <c r="C598" t="inlineStr">
        <is>
          <t>metros de sondaje; pct sobre metros</t>
        </is>
      </c>
      <c r="D598" t="inlineStr">
        <is>
          <t>fase_plp_GM_FASES_LE2_Output</t>
        </is>
      </c>
      <c r="E598" t="inlineStr">
        <is>
          <t>12A2</t>
        </is>
      </c>
      <c r="F598" t="inlineStr">
        <is>
          <t>ROCKCODE_NUMEQ</t>
        </is>
      </c>
      <c r="G598" t="inlineStr">
        <is>
          <t>14</t>
        </is>
      </c>
      <c r="H598" t="inlineStr">
        <is>
          <t>sin asignar</t>
        </is>
      </c>
      <c r="I598" t="inlineStr">
        <is>
          <t>NUMEQ14</t>
        </is>
      </c>
      <c r="J598" t="inlineStr">
        <is>
          <t>ROCKCODE_NUMEQ sin leyenda (no equivale 1:1 al RT)</t>
        </is>
      </c>
      <c r="K598" t="inlineStr">
        <is>
          <t>Hornfels (hipótesis: siglas H*)</t>
        </is>
      </c>
      <c r="L598" t="inlineStr">
        <is>
          <t>Metamorfico</t>
        </is>
      </c>
      <c r="M598" t="n">
        <v>8</v>
      </c>
      <c r="N598" t="inlineStr"/>
      <c r="O598" t="inlineStr"/>
      <c r="P598" t="n">
        <v>10.05</v>
      </c>
      <c r="Q598" t="n">
        <v>0.054</v>
      </c>
    </row>
    <row r="599">
      <c r="A599" t="inlineStr">
        <is>
          <t>MR24</t>
        </is>
      </c>
      <c r="B599" t="inlineStr">
        <is>
          <t>Merged_Table_Assay_lito</t>
        </is>
      </c>
      <c r="C599" t="inlineStr">
        <is>
          <t>metros de sondaje; pct sobre metros</t>
        </is>
      </c>
      <c r="D599" t="inlineStr">
        <is>
          <t>fase_plp_GM_FASES_LE2_Output</t>
        </is>
      </c>
      <c r="E599" t="inlineStr">
        <is>
          <t>12A2</t>
        </is>
      </c>
      <c r="F599" t="inlineStr">
        <is>
          <t>ROCKCODE_NUMEQ</t>
        </is>
      </c>
      <c r="G599" t="inlineStr">
        <is>
          <t>16</t>
        </is>
      </c>
      <c r="H599" t="inlineStr">
        <is>
          <t>sin asignar</t>
        </is>
      </c>
      <c r="I599" t="inlineStr">
        <is>
          <t>NUMEQ16</t>
        </is>
      </c>
      <c r="J599" t="inlineStr">
        <is>
          <t>ROCKCODE_NUMEQ sin leyenda (no equivale 1:1 al RT)</t>
        </is>
      </c>
      <c r="K599" t="inlineStr">
        <is>
          <t>Mármol (hipótesis: siglas M*)</t>
        </is>
      </c>
      <c r="L599" t="inlineStr">
        <is>
          <t>Metamorfico</t>
        </is>
      </c>
      <c r="M599" t="n">
        <v>6594</v>
      </c>
      <c r="N599" t="inlineStr"/>
      <c r="O599" t="inlineStr"/>
      <c r="P599" t="n">
        <v>8367.67</v>
      </c>
      <c r="Q599" t="n">
        <v>45.086</v>
      </c>
    </row>
    <row r="600">
      <c r="A600" t="inlineStr">
        <is>
          <t>MR24</t>
        </is>
      </c>
      <c r="B600" t="inlineStr">
        <is>
          <t>Merged_Table_Assay_lito</t>
        </is>
      </c>
      <c r="C600" t="inlineStr">
        <is>
          <t>metros de sondaje; pct sobre metros</t>
        </is>
      </c>
      <c r="D600" t="inlineStr">
        <is>
          <t>fase_plp_GM_FASES_LE2_Output</t>
        </is>
      </c>
      <c r="E600" t="inlineStr">
        <is>
          <t>12A2</t>
        </is>
      </c>
      <c r="F600" t="inlineStr">
        <is>
          <t>ROCKCODE_NUMEQ</t>
        </is>
      </c>
      <c r="G600" t="inlineStr">
        <is>
          <t>19</t>
        </is>
      </c>
      <c r="H600" t="inlineStr">
        <is>
          <t>sin asignar</t>
        </is>
      </c>
      <c r="I600" t="inlineStr">
        <is>
          <t>NUMEQ19</t>
        </is>
      </c>
      <c r="J600" t="inlineStr">
        <is>
          <t>ROCKCODE_NUMEQ sin leyenda (no equivale 1:1 al RT)</t>
        </is>
      </c>
      <c r="K600" t="inlineStr">
        <is>
          <t>Mármol (hipótesis: sigla MDP)</t>
        </is>
      </c>
      <c r="L600" t="inlineStr">
        <is>
          <t>Metamorfico</t>
        </is>
      </c>
      <c r="M600" t="n">
        <v>6205</v>
      </c>
      <c r="N600" t="inlineStr"/>
      <c r="O600" t="inlineStr"/>
      <c r="P600" t="n">
        <v>6243.85</v>
      </c>
      <c r="Q600" t="n">
        <v>33.643</v>
      </c>
    </row>
    <row r="601">
      <c r="A601" t="inlineStr">
        <is>
          <t>MR24</t>
        </is>
      </c>
      <c r="B601" t="inlineStr">
        <is>
          <t>Merged_Table_Assay_lito</t>
        </is>
      </c>
      <c r="C601" t="inlineStr">
        <is>
          <t>metros de sondaje; pct sobre metros</t>
        </is>
      </c>
      <c r="D601" t="inlineStr">
        <is>
          <t>fase_plp_GM_FASES_LE2_Output</t>
        </is>
      </c>
      <c r="E601" t="inlineStr">
        <is>
          <t>12B</t>
        </is>
      </c>
      <c r="F601" t="inlineStr">
        <is>
          <t>ROCKCODE_NUMEQ</t>
        </is>
      </c>
      <c r="G601" t="inlineStr">
        <is>
          <t>1</t>
        </is>
      </c>
      <c r="H601" t="inlineStr">
        <is>
          <t>Intrusivo</t>
        </is>
      </c>
      <c r="I601" t="inlineStr">
        <is>
          <t>NUMEQ1</t>
        </is>
      </c>
      <c r="J601" t="inlineStr">
        <is>
          <t>ROCKCODE_NUMEQ=1 agrupa siglas IPP*/DI</t>
        </is>
      </c>
      <c r="K601" t="inlineStr">
        <is>
          <t>Intrusivo</t>
        </is>
      </c>
      <c r="L601" t="inlineStr">
        <is>
          <t>Intrusivo</t>
        </is>
      </c>
      <c r="M601" t="n">
        <v>3938</v>
      </c>
      <c r="N601" t="inlineStr"/>
      <c r="O601" t="inlineStr"/>
      <c r="P601" t="n">
        <v>4729.85</v>
      </c>
      <c r="Q601" t="n">
        <v>45.069</v>
      </c>
    </row>
    <row r="602">
      <c r="A602" t="inlineStr">
        <is>
          <t>MR24</t>
        </is>
      </c>
      <c r="B602" t="inlineStr">
        <is>
          <t>Merged_Table_Assay_lito</t>
        </is>
      </c>
      <c r="C602" t="inlineStr">
        <is>
          <t>metros de sondaje; pct sobre metros</t>
        </is>
      </c>
      <c r="D602" t="inlineStr">
        <is>
          <t>fase_plp_GM_FASES_LE2_Output</t>
        </is>
      </c>
      <c r="E602" t="inlineStr">
        <is>
          <t>12B</t>
        </is>
      </c>
      <c r="F602" t="inlineStr">
        <is>
          <t>ROCKCODE_NUMEQ</t>
        </is>
      </c>
      <c r="G602" t="inlineStr">
        <is>
          <t>10</t>
        </is>
      </c>
      <c r="H602" t="inlineStr">
        <is>
          <t>sin asignar</t>
        </is>
      </c>
      <c r="I602" t="inlineStr">
        <is>
          <t>NUMEQ10</t>
        </is>
      </c>
      <c r="J602" t="inlineStr">
        <is>
          <t>ROCKCODE_NUMEQ sin leyenda (no equivale 1:1 al RT)</t>
        </is>
      </c>
      <c r="K602" t="inlineStr">
        <is>
          <t>Caliza (hipótesis: siglas C*)</t>
        </is>
      </c>
      <c r="L602" t="inlineStr">
        <is>
          <t>Sedimentario</t>
        </is>
      </c>
      <c r="M602" t="n">
        <v>60</v>
      </c>
      <c r="N602" t="inlineStr"/>
      <c r="O602" t="inlineStr"/>
      <c r="P602" t="n">
        <v>70.65000000000001</v>
      </c>
      <c r="Q602" t="n">
        <v>0.673</v>
      </c>
    </row>
    <row r="603">
      <c r="A603" t="inlineStr">
        <is>
          <t>MR24</t>
        </is>
      </c>
      <c r="B603" t="inlineStr">
        <is>
          <t>Merged_Table_Assay_lito</t>
        </is>
      </c>
      <c r="C603" t="inlineStr">
        <is>
          <t>metros de sondaje; pct sobre metros</t>
        </is>
      </c>
      <c r="D603" t="inlineStr">
        <is>
          <t>fase_plp_GM_FASES_LE2_Output</t>
        </is>
      </c>
      <c r="E603" t="inlineStr">
        <is>
          <t>12B</t>
        </is>
      </c>
      <c r="F603" t="inlineStr">
        <is>
          <t>ROCKCODE_NUMEQ</t>
        </is>
      </c>
      <c r="G603" t="inlineStr">
        <is>
          <t>13</t>
        </is>
      </c>
      <c r="H603" t="inlineStr">
        <is>
          <t>sin asignar</t>
        </is>
      </c>
      <c r="I603" t="inlineStr">
        <is>
          <t>NUMEQ13</t>
        </is>
      </c>
      <c r="J603" t="inlineStr">
        <is>
          <t>ROCKCODE_NUMEQ sin leyenda (no equivale 1:1 al RT)</t>
        </is>
      </c>
      <c r="K603" t="inlineStr">
        <is>
          <t>Hornfels (hipótesis: siglas H*)</t>
        </is>
      </c>
      <c r="L603" t="inlineStr">
        <is>
          <t>Metamorfico</t>
        </is>
      </c>
      <c r="M603" t="n">
        <v>92</v>
      </c>
      <c r="N603" t="inlineStr"/>
      <c r="O603" t="inlineStr"/>
      <c r="P603" t="n">
        <v>79.15000000000001</v>
      </c>
      <c r="Q603" t="n">
        <v>0.754</v>
      </c>
    </row>
    <row r="604">
      <c r="A604" t="inlineStr">
        <is>
          <t>MR24</t>
        </is>
      </c>
      <c r="B604" t="inlineStr">
        <is>
          <t>Merged_Table_Assay_lito</t>
        </is>
      </c>
      <c r="C604" t="inlineStr">
        <is>
          <t>metros de sondaje; pct sobre metros</t>
        </is>
      </c>
      <c r="D604" t="inlineStr">
        <is>
          <t>fase_plp_GM_FASES_LE2_Output</t>
        </is>
      </c>
      <c r="E604" t="inlineStr">
        <is>
          <t>12B</t>
        </is>
      </c>
      <c r="F604" t="inlineStr">
        <is>
          <t>ROCKCODE_NUMEQ</t>
        </is>
      </c>
      <c r="G604" t="inlineStr">
        <is>
          <t>14</t>
        </is>
      </c>
      <c r="H604" t="inlineStr">
        <is>
          <t>sin asignar</t>
        </is>
      </c>
      <c r="I604" t="inlineStr">
        <is>
          <t>NUMEQ14</t>
        </is>
      </c>
      <c r="J604" t="inlineStr">
        <is>
          <t>ROCKCODE_NUMEQ sin leyenda (no equivale 1:1 al RT)</t>
        </is>
      </c>
      <c r="K604" t="inlineStr">
        <is>
          <t>Hornfels (hipótesis: siglas H*)</t>
        </is>
      </c>
      <c r="L604" t="inlineStr">
        <is>
          <t>Metamorfico</t>
        </is>
      </c>
      <c r="M604" t="n">
        <v>34</v>
      </c>
      <c r="N604" t="inlineStr"/>
      <c r="O604" t="inlineStr"/>
      <c r="P604" t="n">
        <v>51.3</v>
      </c>
      <c r="Q604" t="n">
        <v>0.489</v>
      </c>
    </row>
    <row r="605">
      <c r="A605" t="inlineStr">
        <is>
          <t>MR24</t>
        </is>
      </c>
      <c r="B605" t="inlineStr">
        <is>
          <t>Merged_Table_Assay_lito</t>
        </is>
      </c>
      <c r="C605" t="inlineStr">
        <is>
          <t>metros de sondaje; pct sobre metros</t>
        </is>
      </c>
      <c r="D605" t="inlineStr">
        <is>
          <t>fase_plp_GM_FASES_LE2_Output</t>
        </is>
      </c>
      <c r="E605" t="inlineStr">
        <is>
          <t>12B</t>
        </is>
      </c>
      <c r="F605" t="inlineStr">
        <is>
          <t>ROCKCODE_NUMEQ</t>
        </is>
      </c>
      <c r="G605" t="inlineStr">
        <is>
          <t>16</t>
        </is>
      </c>
      <c r="H605" t="inlineStr">
        <is>
          <t>sin asignar</t>
        </is>
      </c>
      <c r="I605" t="inlineStr">
        <is>
          <t>NUMEQ16</t>
        </is>
      </c>
      <c r="J605" t="inlineStr">
        <is>
          <t>ROCKCODE_NUMEQ sin leyenda (no equivale 1:1 al RT)</t>
        </is>
      </c>
      <c r="K605" t="inlineStr">
        <is>
          <t>Mármol (hipótesis: siglas M*)</t>
        </is>
      </c>
      <c r="L605" t="inlineStr">
        <is>
          <t>Metamorfico</t>
        </is>
      </c>
      <c r="M605" t="n">
        <v>3259</v>
      </c>
      <c r="N605" t="inlineStr"/>
      <c r="O605" t="inlineStr"/>
      <c r="P605" t="n">
        <v>3372.72</v>
      </c>
      <c r="Q605" t="n">
        <v>32.137</v>
      </c>
    </row>
    <row r="606">
      <c r="A606" t="inlineStr">
        <is>
          <t>MR24</t>
        </is>
      </c>
      <c r="B606" t="inlineStr">
        <is>
          <t>Merged_Table_Assay_lito</t>
        </is>
      </c>
      <c r="C606" t="inlineStr">
        <is>
          <t>metros de sondaje; pct sobre metros</t>
        </is>
      </c>
      <c r="D606" t="inlineStr">
        <is>
          <t>fase_plp_GM_FASES_LE2_Output</t>
        </is>
      </c>
      <c r="E606" t="inlineStr">
        <is>
          <t>12B</t>
        </is>
      </c>
      <c r="F606" t="inlineStr">
        <is>
          <t>ROCKCODE_NUMEQ</t>
        </is>
      </c>
      <c r="G606" t="inlineStr">
        <is>
          <t>19</t>
        </is>
      </c>
      <c r="H606" t="inlineStr">
        <is>
          <t>sin asignar</t>
        </is>
      </c>
      <c r="I606" t="inlineStr">
        <is>
          <t>NUMEQ19</t>
        </is>
      </c>
      <c r="J606" t="inlineStr">
        <is>
          <t>ROCKCODE_NUMEQ sin leyenda (no equivale 1:1 al RT)</t>
        </is>
      </c>
      <c r="K606" t="inlineStr">
        <is>
          <t>Mármol (hipótesis: sigla MDP)</t>
        </is>
      </c>
      <c r="L606" t="inlineStr">
        <is>
          <t>Metamorfico</t>
        </is>
      </c>
      <c r="M606" t="n">
        <v>2178</v>
      </c>
      <c r="N606" t="inlineStr"/>
      <c r="O606" t="inlineStr"/>
      <c r="P606" t="n">
        <v>2191.03</v>
      </c>
      <c r="Q606" t="n">
        <v>20.877</v>
      </c>
    </row>
    <row r="607">
      <c r="A607" t="inlineStr">
        <is>
          <t>MR24</t>
        </is>
      </c>
      <c r="B607" t="inlineStr">
        <is>
          <t>Merged_Table_Assay_lito</t>
        </is>
      </c>
      <c r="C607" t="inlineStr">
        <is>
          <t>metros de sondaje; pct sobre metros</t>
        </is>
      </c>
      <c r="D607" t="inlineStr">
        <is>
          <t>fase_plp_GM_FASES_LE2_Output</t>
        </is>
      </c>
      <c r="E607" t="inlineStr">
        <is>
          <t>13A</t>
        </is>
      </c>
      <c r="F607" t="inlineStr">
        <is>
          <t>ROCKCODE_NUMEQ</t>
        </is>
      </c>
      <c r="G607" t="inlineStr">
        <is>
          <t>10</t>
        </is>
      </c>
      <c r="H607" t="inlineStr">
        <is>
          <t>sin asignar</t>
        </is>
      </c>
      <c r="I607" t="inlineStr">
        <is>
          <t>NUMEQ10</t>
        </is>
      </c>
      <c r="J607" t="inlineStr">
        <is>
          <t>ROCKCODE_NUMEQ sin leyenda (no equivale 1:1 al RT)</t>
        </is>
      </c>
      <c r="K607" t="inlineStr">
        <is>
          <t>Caliza (hipótesis: siglas C*)</t>
        </is>
      </c>
      <c r="L607" t="inlineStr">
        <is>
          <t>Sedimentario</t>
        </is>
      </c>
      <c r="M607" t="n">
        <v>313</v>
      </c>
      <c r="N607" t="inlineStr"/>
      <c r="O607" t="inlineStr"/>
      <c r="P607" t="n">
        <v>276.3</v>
      </c>
      <c r="Q607" t="n">
        <v>80.331</v>
      </c>
    </row>
    <row r="608">
      <c r="A608" t="inlineStr">
        <is>
          <t>MR24</t>
        </is>
      </c>
      <c r="B608" t="inlineStr">
        <is>
          <t>Merged_Table_Assay_lito</t>
        </is>
      </c>
      <c r="C608" t="inlineStr">
        <is>
          <t>metros de sondaje; pct sobre metros</t>
        </is>
      </c>
      <c r="D608" t="inlineStr">
        <is>
          <t>fase_plp_GM_FASES_LE2_Output</t>
        </is>
      </c>
      <c r="E608" t="inlineStr">
        <is>
          <t>13A</t>
        </is>
      </c>
      <c r="F608" t="inlineStr">
        <is>
          <t>ROCKCODE_NUMEQ</t>
        </is>
      </c>
      <c r="G608" t="inlineStr">
        <is>
          <t>13</t>
        </is>
      </c>
      <c r="H608" t="inlineStr">
        <is>
          <t>sin asignar</t>
        </is>
      </c>
      <c r="I608" t="inlineStr">
        <is>
          <t>NUMEQ13</t>
        </is>
      </c>
      <c r="J608" t="inlineStr">
        <is>
          <t>ROCKCODE_NUMEQ sin leyenda (no equivale 1:1 al RT)</t>
        </is>
      </c>
      <c r="K608" t="inlineStr">
        <is>
          <t>Hornfels (hipótesis: siglas H*)</t>
        </is>
      </c>
      <c r="L608" t="inlineStr">
        <is>
          <t>Metamorfico</t>
        </is>
      </c>
      <c r="M608" t="n">
        <v>61</v>
      </c>
      <c r="N608" t="inlineStr"/>
      <c r="O608" t="inlineStr"/>
      <c r="P608" t="n">
        <v>56.8</v>
      </c>
      <c r="Q608" t="n">
        <v>16.514</v>
      </c>
    </row>
    <row r="609">
      <c r="A609" t="inlineStr">
        <is>
          <t>MR24</t>
        </is>
      </c>
      <c r="B609" t="inlineStr">
        <is>
          <t>Merged_Table_Assay_lito</t>
        </is>
      </c>
      <c r="C609" t="inlineStr">
        <is>
          <t>metros de sondaje; pct sobre metros</t>
        </is>
      </c>
      <c r="D609" t="inlineStr">
        <is>
          <t>fase_plp_GM_FASES_LE2_Output</t>
        </is>
      </c>
      <c r="E609" t="inlineStr">
        <is>
          <t>13A</t>
        </is>
      </c>
      <c r="F609" t="inlineStr">
        <is>
          <t>ROCKCODE_NUMEQ</t>
        </is>
      </c>
      <c r="G609" t="inlineStr">
        <is>
          <t>14</t>
        </is>
      </c>
      <c r="H609" t="inlineStr">
        <is>
          <t>sin asignar</t>
        </is>
      </c>
      <c r="I609" t="inlineStr">
        <is>
          <t>NUMEQ14</t>
        </is>
      </c>
      <c r="J609" t="inlineStr">
        <is>
          <t>ROCKCODE_NUMEQ sin leyenda (no equivale 1:1 al RT)</t>
        </is>
      </c>
      <c r="K609" t="inlineStr">
        <is>
          <t>Hornfels (hipótesis: siglas H*)</t>
        </is>
      </c>
      <c r="L609" t="inlineStr">
        <is>
          <t>Metamorfico</t>
        </is>
      </c>
      <c r="M609" t="n">
        <v>15</v>
      </c>
      <c r="N609" t="inlineStr"/>
      <c r="O609" t="inlineStr"/>
      <c r="P609" t="n">
        <v>10.85</v>
      </c>
      <c r="Q609" t="n">
        <v>3.155</v>
      </c>
    </row>
    <row r="610">
      <c r="A610" t="inlineStr">
        <is>
          <t>MR24</t>
        </is>
      </c>
      <c r="B610" t="inlineStr">
        <is>
          <t>Merged_Table_Assay_lito</t>
        </is>
      </c>
      <c r="C610" t="inlineStr">
        <is>
          <t>metros de sondaje; pct sobre metros</t>
        </is>
      </c>
      <c r="D610" t="inlineStr">
        <is>
          <t>fase_plp_GM_FASES_LE2_Output</t>
        </is>
      </c>
      <c r="E610" t="inlineStr">
        <is>
          <t>13B1</t>
        </is>
      </c>
      <c r="F610" t="inlineStr">
        <is>
          <t>ROCKCODE_NUMEQ</t>
        </is>
      </c>
      <c r="G610" t="inlineStr">
        <is>
          <t>10</t>
        </is>
      </c>
      <c r="H610" t="inlineStr">
        <is>
          <t>sin asignar</t>
        </is>
      </c>
      <c r="I610" t="inlineStr">
        <is>
          <t>NUMEQ10</t>
        </is>
      </c>
      <c r="J610" t="inlineStr">
        <is>
          <t>ROCKCODE_NUMEQ sin leyenda (no equivale 1:1 al RT)</t>
        </is>
      </c>
      <c r="K610" t="inlineStr">
        <is>
          <t>Caliza (hipótesis: siglas C*)</t>
        </is>
      </c>
      <c r="L610" t="inlineStr">
        <is>
          <t>Sedimentario</t>
        </is>
      </c>
      <c r="M610" t="n">
        <v>24</v>
      </c>
      <c r="N610" t="inlineStr"/>
      <c r="O610" t="inlineStr"/>
      <c r="P610" t="n">
        <v>19.6</v>
      </c>
      <c r="Q610" t="n">
        <v>100</v>
      </c>
    </row>
    <row r="611">
      <c r="A611" t="inlineStr">
        <is>
          <t>MR24</t>
        </is>
      </c>
      <c r="B611" t="inlineStr">
        <is>
          <t>Merged_Table_Assay_lito</t>
        </is>
      </c>
      <c r="C611" t="inlineStr">
        <is>
          <t>metros de sondaje; pct sobre metros</t>
        </is>
      </c>
      <c r="D611" t="inlineStr">
        <is>
          <t>fase_plp_GM_FASES_LE2_Output</t>
        </is>
      </c>
      <c r="E611" t="inlineStr">
        <is>
          <t>13B2</t>
        </is>
      </c>
      <c r="F611" t="inlineStr">
        <is>
          <t>ROCKCODE_NUMEQ</t>
        </is>
      </c>
      <c r="G611" t="inlineStr">
        <is>
          <t>1</t>
        </is>
      </c>
      <c r="H611" t="inlineStr">
        <is>
          <t>Intrusivo</t>
        </is>
      </c>
      <c r="I611" t="inlineStr">
        <is>
          <t>NUMEQ1</t>
        </is>
      </c>
      <c r="J611" t="inlineStr">
        <is>
          <t>ROCKCODE_NUMEQ=1 agrupa siglas IPP*/DI</t>
        </is>
      </c>
      <c r="K611" t="inlineStr">
        <is>
          <t>Intrusivo</t>
        </is>
      </c>
      <c r="L611" t="inlineStr">
        <is>
          <t>Intrusivo</t>
        </is>
      </c>
      <c r="M611" t="n">
        <v>1</v>
      </c>
      <c r="N611" t="inlineStr"/>
      <c r="O611" t="inlineStr"/>
      <c r="P611" t="n">
        <v>2.9</v>
      </c>
      <c r="Q611" t="n">
        <v>0.261</v>
      </c>
    </row>
    <row r="612">
      <c r="A612" t="inlineStr">
        <is>
          <t>MR24</t>
        </is>
      </c>
      <c r="B612" t="inlineStr">
        <is>
          <t>Merged_Table_Assay_lito</t>
        </is>
      </c>
      <c r="C612" t="inlineStr">
        <is>
          <t>metros de sondaje; pct sobre metros</t>
        </is>
      </c>
      <c r="D612" t="inlineStr">
        <is>
          <t>fase_plp_GM_FASES_LE2_Output</t>
        </is>
      </c>
      <c r="E612" t="inlineStr">
        <is>
          <t>13B2</t>
        </is>
      </c>
      <c r="F612" t="inlineStr">
        <is>
          <t>ROCKCODE_NUMEQ</t>
        </is>
      </c>
      <c r="G612" t="inlineStr">
        <is>
          <t>10</t>
        </is>
      </c>
      <c r="H612" t="inlineStr">
        <is>
          <t>sin asignar</t>
        </is>
      </c>
      <c r="I612" t="inlineStr">
        <is>
          <t>NUMEQ10</t>
        </is>
      </c>
      <c r="J612" t="inlineStr">
        <is>
          <t>ROCKCODE_NUMEQ sin leyenda (no equivale 1:1 al RT)</t>
        </is>
      </c>
      <c r="K612" t="inlineStr">
        <is>
          <t>Caliza (hipótesis: siglas C*)</t>
        </is>
      </c>
      <c r="L612" t="inlineStr">
        <is>
          <t>Sedimentario</t>
        </is>
      </c>
      <c r="M612" t="n">
        <v>703</v>
      </c>
      <c r="N612" t="inlineStr"/>
      <c r="O612" t="inlineStr"/>
      <c r="P612" t="n">
        <v>627.65</v>
      </c>
      <c r="Q612" t="n">
        <v>56.448</v>
      </c>
    </row>
    <row r="613">
      <c r="A613" t="inlineStr">
        <is>
          <t>MR24</t>
        </is>
      </c>
      <c r="B613" t="inlineStr">
        <is>
          <t>Merged_Table_Assay_lito</t>
        </is>
      </c>
      <c r="C613" t="inlineStr">
        <is>
          <t>metros de sondaje; pct sobre metros</t>
        </is>
      </c>
      <c r="D613" t="inlineStr">
        <is>
          <t>fase_plp_GM_FASES_LE2_Output</t>
        </is>
      </c>
      <c r="E613" t="inlineStr">
        <is>
          <t>13B2</t>
        </is>
      </c>
      <c r="F613" t="inlineStr">
        <is>
          <t>ROCKCODE_NUMEQ</t>
        </is>
      </c>
      <c r="G613" t="inlineStr">
        <is>
          <t>13</t>
        </is>
      </c>
      <c r="H613" t="inlineStr">
        <is>
          <t>sin asignar</t>
        </is>
      </c>
      <c r="I613" t="inlineStr">
        <is>
          <t>NUMEQ13</t>
        </is>
      </c>
      <c r="J613" t="inlineStr">
        <is>
          <t>ROCKCODE_NUMEQ sin leyenda (no equivale 1:1 al RT)</t>
        </is>
      </c>
      <c r="K613" t="inlineStr">
        <is>
          <t>Hornfels (hipótesis: siglas H*)</t>
        </is>
      </c>
      <c r="L613" t="inlineStr">
        <is>
          <t>Metamorfico</t>
        </is>
      </c>
      <c r="M613" t="n">
        <v>359</v>
      </c>
      <c r="N613" t="inlineStr"/>
      <c r="O613" t="inlineStr"/>
      <c r="P613" t="n">
        <v>330.25</v>
      </c>
      <c r="Q613" t="n">
        <v>29.701</v>
      </c>
    </row>
    <row r="614">
      <c r="A614" t="inlineStr">
        <is>
          <t>MR24</t>
        </is>
      </c>
      <c r="B614" t="inlineStr">
        <is>
          <t>Merged_Table_Assay_lito</t>
        </is>
      </c>
      <c r="C614" t="inlineStr">
        <is>
          <t>metros de sondaje; pct sobre metros</t>
        </is>
      </c>
      <c r="D614" t="inlineStr">
        <is>
          <t>fase_plp_GM_FASES_LE2_Output</t>
        </is>
      </c>
      <c r="E614" t="inlineStr">
        <is>
          <t>13B2</t>
        </is>
      </c>
      <c r="F614" t="inlineStr">
        <is>
          <t>ROCKCODE_NUMEQ</t>
        </is>
      </c>
      <c r="G614" t="inlineStr">
        <is>
          <t>14</t>
        </is>
      </c>
      <c r="H614" t="inlineStr">
        <is>
          <t>sin asignar</t>
        </is>
      </c>
      <c r="I614" t="inlineStr">
        <is>
          <t>NUMEQ14</t>
        </is>
      </c>
      <c r="J614" t="inlineStr">
        <is>
          <t>ROCKCODE_NUMEQ sin leyenda (no equivale 1:1 al RT)</t>
        </is>
      </c>
      <c r="K614" t="inlineStr">
        <is>
          <t>Hornfels (hipótesis: siglas H*)</t>
        </is>
      </c>
      <c r="L614" t="inlineStr">
        <is>
          <t>Metamorfico</t>
        </is>
      </c>
      <c r="M614" t="n">
        <v>10</v>
      </c>
      <c r="N614" t="inlineStr"/>
      <c r="O614" t="inlineStr"/>
      <c r="P614" t="n">
        <v>6.75</v>
      </c>
      <c r="Q614" t="n">
        <v>0.607</v>
      </c>
    </row>
    <row r="615">
      <c r="A615" t="inlineStr">
        <is>
          <t>MR24</t>
        </is>
      </c>
      <c r="B615" t="inlineStr">
        <is>
          <t>Merged_Table_Assay_lito</t>
        </is>
      </c>
      <c r="C615" t="inlineStr">
        <is>
          <t>metros de sondaje; pct sobre metros</t>
        </is>
      </c>
      <c r="D615" t="inlineStr">
        <is>
          <t>fase_plp_GM_FASES_LE2_Output</t>
        </is>
      </c>
      <c r="E615" t="inlineStr">
        <is>
          <t>13B2</t>
        </is>
      </c>
      <c r="F615" t="inlineStr">
        <is>
          <t>ROCKCODE_NUMEQ</t>
        </is>
      </c>
      <c r="G615" t="inlineStr">
        <is>
          <t>16</t>
        </is>
      </c>
      <c r="H615" t="inlineStr">
        <is>
          <t>sin asignar</t>
        </is>
      </c>
      <c r="I615" t="inlineStr">
        <is>
          <t>NUMEQ16</t>
        </is>
      </c>
      <c r="J615" t="inlineStr">
        <is>
          <t>ROCKCODE_NUMEQ sin leyenda (no equivale 1:1 al RT)</t>
        </is>
      </c>
      <c r="K615" t="inlineStr">
        <is>
          <t>Mármol (hipótesis: siglas M*)</t>
        </is>
      </c>
      <c r="L615" t="inlineStr">
        <is>
          <t>Metamorfico</t>
        </is>
      </c>
      <c r="M615" t="n">
        <v>71</v>
      </c>
      <c r="N615" t="inlineStr"/>
      <c r="O615" t="inlineStr"/>
      <c r="P615" t="n">
        <v>144.35</v>
      </c>
      <c r="Q615" t="n">
        <v>12.982</v>
      </c>
    </row>
    <row r="616">
      <c r="A616" t="inlineStr">
        <is>
          <t>MR24</t>
        </is>
      </c>
      <c r="B616" t="inlineStr">
        <is>
          <t>Merged_Table_Assay_lito</t>
        </is>
      </c>
      <c r="C616" t="inlineStr">
        <is>
          <t>metros de sondaje; pct sobre metros</t>
        </is>
      </c>
      <c r="D616" t="inlineStr">
        <is>
          <t>fase_plp_GM_FASES_LE2_Output</t>
        </is>
      </c>
      <c r="E616" t="inlineStr">
        <is>
          <t>13C</t>
        </is>
      </c>
      <c r="F616" t="inlineStr">
        <is>
          <t>ROCKCODE_NUMEQ</t>
        </is>
      </c>
      <c r="G616" t="inlineStr">
        <is>
          <t>1</t>
        </is>
      </c>
      <c r="H616" t="inlineStr">
        <is>
          <t>Intrusivo</t>
        </is>
      </c>
      <c r="I616" t="inlineStr">
        <is>
          <t>NUMEQ1</t>
        </is>
      </c>
      <c r="J616" t="inlineStr">
        <is>
          <t>ROCKCODE_NUMEQ=1 agrupa siglas IPP*/DI</t>
        </is>
      </c>
      <c r="K616" t="inlineStr">
        <is>
          <t>Intrusivo</t>
        </is>
      </c>
      <c r="L616" t="inlineStr">
        <is>
          <t>Intrusivo</t>
        </is>
      </c>
      <c r="M616" t="n">
        <v>4611</v>
      </c>
      <c r="N616" t="inlineStr"/>
      <c r="O616" t="inlineStr"/>
      <c r="P616" t="n">
        <v>5001</v>
      </c>
      <c r="Q616" t="n">
        <v>32.161</v>
      </c>
    </row>
    <row r="617">
      <c r="A617" t="inlineStr">
        <is>
          <t>MR24</t>
        </is>
      </c>
      <c r="B617" t="inlineStr">
        <is>
          <t>Merged_Table_Assay_lito</t>
        </is>
      </c>
      <c r="C617" t="inlineStr">
        <is>
          <t>metros de sondaje; pct sobre metros</t>
        </is>
      </c>
      <c r="D617" t="inlineStr">
        <is>
          <t>fase_plp_GM_FASES_LE2_Output</t>
        </is>
      </c>
      <c r="E617" t="inlineStr">
        <is>
          <t>13C</t>
        </is>
      </c>
      <c r="F617" t="inlineStr">
        <is>
          <t>ROCKCODE_NUMEQ</t>
        </is>
      </c>
      <c r="G617" t="inlineStr">
        <is>
          <t>10</t>
        </is>
      </c>
      <c r="H617" t="inlineStr">
        <is>
          <t>sin asignar</t>
        </is>
      </c>
      <c r="I617" t="inlineStr">
        <is>
          <t>NUMEQ10</t>
        </is>
      </c>
      <c r="J617" t="inlineStr">
        <is>
          <t>ROCKCODE_NUMEQ sin leyenda (no equivale 1:1 al RT)</t>
        </is>
      </c>
      <c r="K617" t="inlineStr">
        <is>
          <t>Caliza (hipótesis: siglas C*)</t>
        </is>
      </c>
      <c r="L617" t="inlineStr">
        <is>
          <t>Sedimentario</t>
        </is>
      </c>
      <c r="M617" t="n">
        <v>1109</v>
      </c>
      <c r="N617" t="inlineStr"/>
      <c r="O617" t="inlineStr"/>
      <c r="P617" t="n">
        <v>1122.05</v>
      </c>
      <c r="Q617" t="n">
        <v>7.216</v>
      </c>
    </row>
    <row r="618">
      <c r="A618" t="inlineStr">
        <is>
          <t>MR24</t>
        </is>
      </c>
      <c r="B618" t="inlineStr">
        <is>
          <t>Merged_Table_Assay_lito</t>
        </is>
      </c>
      <c r="C618" t="inlineStr">
        <is>
          <t>metros de sondaje; pct sobre metros</t>
        </is>
      </c>
      <c r="D618" t="inlineStr">
        <is>
          <t>fase_plp_GM_FASES_LE2_Output</t>
        </is>
      </c>
      <c r="E618" t="inlineStr">
        <is>
          <t>13C</t>
        </is>
      </c>
      <c r="F618" t="inlineStr">
        <is>
          <t>ROCKCODE_NUMEQ</t>
        </is>
      </c>
      <c r="G618" t="inlineStr">
        <is>
          <t>13</t>
        </is>
      </c>
      <c r="H618" t="inlineStr">
        <is>
          <t>sin asignar</t>
        </is>
      </c>
      <c r="I618" t="inlineStr">
        <is>
          <t>NUMEQ13</t>
        </is>
      </c>
      <c r="J618" t="inlineStr">
        <is>
          <t>ROCKCODE_NUMEQ sin leyenda (no equivale 1:1 al RT)</t>
        </is>
      </c>
      <c r="K618" t="inlineStr">
        <is>
          <t>Hornfels (hipótesis: siglas H*)</t>
        </is>
      </c>
      <c r="L618" t="inlineStr">
        <is>
          <t>Metamorfico</t>
        </is>
      </c>
      <c r="M618" t="n">
        <v>3108</v>
      </c>
      <c r="N618" t="inlineStr"/>
      <c r="O618" t="inlineStr"/>
      <c r="P618" t="n">
        <v>2627.75</v>
      </c>
      <c r="Q618" t="n">
        <v>16.899</v>
      </c>
    </row>
    <row r="619">
      <c r="A619" t="inlineStr">
        <is>
          <t>MR24</t>
        </is>
      </c>
      <c r="B619" t="inlineStr">
        <is>
          <t>Merged_Table_Assay_lito</t>
        </is>
      </c>
      <c r="C619" t="inlineStr">
        <is>
          <t>metros de sondaje; pct sobre metros</t>
        </is>
      </c>
      <c r="D619" t="inlineStr">
        <is>
          <t>fase_plp_GM_FASES_LE2_Output</t>
        </is>
      </c>
      <c r="E619" t="inlineStr">
        <is>
          <t>13C</t>
        </is>
      </c>
      <c r="F619" t="inlineStr">
        <is>
          <t>ROCKCODE_NUMEQ</t>
        </is>
      </c>
      <c r="G619" t="inlineStr">
        <is>
          <t>14</t>
        </is>
      </c>
      <c r="H619" t="inlineStr">
        <is>
          <t>sin asignar</t>
        </is>
      </c>
      <c r="I619" t="inlineStr">
        <is>
          <t>NUMEQ14</t>
        </is>
      </c>
      <c r="J619" t="inlineStr">
        <is>
          <t>ROCKCODE_NUMEQ sin leyenda (no equivale 1:1 al RT)</t>
        </is>
      </c>
      <c r="K619" t="inlineStr">
        <is>
          <t>Hornfels (hipótesis: siglas H*)</t>
        </is>
      </c>
      <c r="L619" t="inlineStr">
        <is>
          <t>Metamorfico</t>
        </is>
      </c>
      <c r="M619" t="n">
        <v>1011</v>
      </c>
      <c r="N619" t="inlineStr"/>
      <c r="O619" t="inlineStr"/>
      <c r="P619" t="n">
        <v>776.45</v>
      </c>
      <c r="Q619" t="n">
        <v>4.993</v>
      </c>
    </row>
    <row r="620">
      <c r="A620" t="inlineStr">
        <is>
          <t>MR24</t>
        </is>
      </c>
      <c r="B620" t="inlineStr">
        <is>
          <t>Merged_Table_Assay_lito</t>
        </is>
      </c>
      <c r="C620" t="inlineStr">
        <is>
          <t>metros de sondaje; pct sobre metros</t>
        </is>
      </c>
      <c r="D620" t="inlineStr">
        <is>
          <t>fase_plp_GM_FASES_LE2_Output</t>
        </is>
      </c>
      <c r="E620" t="inlineStr">
        <is>
          <t>13C</t>
        </is>
      </c>
      <c r="F620" t="inlineStr">
        <is>
          <t>ROCKCODE_NUMEQ</t>
        </is>
      </c>
      <c r="G620" t="inlineStr">
        <is>
          <t>16</t>
        </is>
      </c>
      <c r="H620" t="inlineStr">
        <is>
          <t>sin asignar</t>
        </is>
      </c>
      <c r="I620" t="inlineStr">
        <is>
          <t>NUMEQ16</t>
        </is>
      </c>
      <c r="J620" t="inlineStr">
        <is>
          <t>ROCKCODE_NUMEQ sin leyenda (no equivale 1:1 al RT)</t>
        </is>
      </c>
      <c r="K620" t="inlineStr">
        <is>
          <t>Mármol (hipótesis: siglas M*)</t>
        </is>
      </c>
      <c r="L620" t="inlineStr">
        <is>
          <t>Metamorfico</t>
        </is>
      </c>
      <c r="M620" t="n">
        <v>4436</v>
      </c>
      <c r="N620" t="inlineStr"/>
      <c r="O620" t="inlineStr"/>
      <c r="P620" t="n">
        <v>5341.7</v>
      </c>
      <c r="Q620" t="n">
        <v>34.352</v>
      </c>
    </row>
    <row r="621">
      <c r="A621" t="inlineStr">
        <is>
          <t>MR24</t>
        </is>
      </c>
      <c r="B621" t="inlineStr">
        <is>
          <t>Merged_Table_Assay_lito</t>
        </is>
      </c>
      <c r="C621" t="inlineStr">
        <is>
          <t>metros de sondaje; pct sobre metros</t>
        </is>
      </c>
      <c r="D621" t="inlineStr">
        <is>
          <t>fase_plp_GM_FASES_LE2_Output</t>
        </is>
      </c>
      <c r="E621" t="inlineStr">
        <is>
          <t>13C</t>
        </is>
      </c>
      <c r="F621" t="inlineStr">
        <is>
          <t>ROCKCODE_NUMEQ</t>
        </is>
      </c>
      <c r="G621" t="inlineStr">
        <is>
          <t>19</t>
        </is>
      </c>
      <c r="H621" t="inlineStr">
        <is>
          <t>sin asignar</t>
        </is>
      </c>
      <c r="I621" t="inlineStr">
        <is>
          <t>NUMEQ19</t>
        </is>
      </c>
      <c r="J621" t="inlineStr">
        <is>
          <t>ROCKCODE_NUMEQ sin leyenda (no equivale 1:1 al RT)</t>
        </is>
      </c>
      <c r="K621" t="inlineStr">
        <is>
          <t>Mármol (hipótesis: sigla MDP)</t>
        </is>
      </c>
      <c r="L621" t="inlineStr">
        <is>
          <t>Metamorfico</t>
        </is>
      </c>
      <c r="M621" t="n">
        <v>669</v>
      </c>
      <c r="N621" t="inlineStr"/>
      <c r="O621" t="inlineStr"/>
      <c r="P621" t="n">
        <v>680.75</v>
      </c>
      <c r="Q621" t="n">
        <v>4.378</v>
      </c>
    </row>
    <row r="622">
      <c r="A622" t="inlineStr">
        <is>
          <t>MR24</t>
        </is>
      </c>
      <c r="B622" t="inlineStr">
        <is>
          <t>Merged_Table_Assay_lito</t>
        </is>
      </c>
      <c r="C622" t="inlineStr">
        <is>
          <t>metros de sondaje; pct sobre metros</t>
        </is>
      </c>
      <c r="D622" t="inlineStr">
        <is>
          <t>fase_plp_GM_FASES_LE2_Output</t>
        </is>
      </c>
      <c r="E622" t="inlineStr">
        <is>
          <t>14</t>
        </is>
      </c>
      <c r="F622" t="inlineStr">
        <is>
          <t>ROCKCODE_NUMEQ</t>
        </is>
      </c>
      <c r="G622" t="inlineStr">
        <is>
          <t>1</t>
        </is>
      </c>
      <c r="H622" t="inlineStr">
        <is>
          <t>Intrusivo</t>
        </is>
      </c>
      <c r="I622" t="inlineStr">
        <is>
          <t>NUMEQ1</t>
        </is>
      </c>
      <c r="J622" t="inlineStr">
        <is>
          <t>ROCKCODE_NUMEQ=1 agrupa siglas IPP*/DI</t>
        </is>
      </c>
      <c r="K622" t="inlineStr">
        <is>
          <t>Intrusivo</t>
        </is>
      </c>
      <c r="L622" t="inlineStr">
        <is>
          <t>Intrusivo</t>
        </is>
      </c>
      <c r="M622" t="n">
        <v>3342</v>
      </c>
      <c r="N622" t="inlineStr"/>
      <c r="O622" t="inlineStr"/>
      <c r="P622" t="n">
        <v>3010.1</v>
      </c>
      <c r="Q622" t="n">
        <v>12.579</v>
      </c>
    </row>
    <row r="623">
      <c r="A623" t="inlineStr">
        <is>
          <t>MR24</t>
        </is>
      </c>
      <c r="B623" t="inlineStr">
        <is>
          <t>Merged_Table_Assay_lito</t>
        </is>
      </c>
      <c r="C623" t="inlineStr">
        <is>
          <t>metros de sondaje; pct sobre metros</t>
        </is>
      </c>
      <c r="D623" t="inlineStr">
        <is>
          <t>fase_plp_GM_FASES_LE2_Output</t>
        </is>
      </c>
      <c r="E623" t="inlineStr">
        <is>
          <t>14</t>
        </is>
      </c>
      <c r="F623" t="inlineStr">
        <is>
          <t>ROCKCODE_NUMEQ</t>
        </is>
      </c>
      <c r="G623" t="inlineStr">
        <is>
          <t>10</t>
        </is>
      </c>
      <c r="H623" t="inlineStr">
        <is>
          <t>sin asignar</t>
        </is>
      </c>
      <c r="I623" t="inlineStr">
        <is>
          <t>NUMEQ10</t>
        </is>
      </c>
      <c r="J623" t="inlineStr">
        <is>
          <t>ROCKCODE_NUMEQ sin leyenda (no equivale 1:1 al RT)</t>
        </is>
      </c>
      <c r="K623" t="inlineStr">
        <is>
          <t>Caliza (hipótesis: siglas C*)</t>
        </is>
      </c>
      <c r="L623" t="inlineStr">
        <is>
          <t>Sedimentario</t>
        </is>
      </c>
      <c r="M623" t="n">
        <v>11483</v>
      </c>
      <c r="N623" t="inlineStr"/>
      <c r="O623" t="inlineStr"/>
      <c r="P623" t="n">
        <v>9875.450000000001</v>
      </c>
      <c r="Q623" t="n">
        <v>41.27</v>
      </c>
    </row>
    <row r="624">
      <c r="A624" t="inlineStr">
        <is>
          <t>MR24</t>
        </is>
      </c>
      <c r="B624" t="inlineStr">
        <is>
          <t>Merged_Table_Assay_lito</t>
        </is>
      </c>
      <c r="C624" t="inlineStr">
        <is>
          <t>metros de sondaje; pct sobre metros</t>
        </is>
      </c>
      <c r="D624" t="inlineStr">
        <is>
          <t>fase_plp_GM_FASES_LE2_Output</t>
        </is>
      </c>
      <c r="E624" t="inlineStr">
        <is>
          <t>14</t>
        </is>
      </c>
      <c r="F624" t="inlineStr">
        <is>
          <t>ROCKCODE_NUMEQ</t>
        </is>
      </c>
      <c r="G624" t="inlineStr">
        <is>
          <t>13</t>
        </is>
      </c>
      <c r="H624" t="inlineStr">
        <is>
          <t>sin asignar</t>
        </is>
      </c>
      <c r="I624" t="inlineStr">
        <is>
          <t>NUMEQ13</t>
        </is>
      </c>
      <c r="J624" t="inlineStr">
        <is>
          <t>ROCKCODE_NUMEQ sin leyenda (no equivale 1:1 al RT)</t>
        </is>
      </c>
      <c r="K624" t="inlineStr">
        <is>
          <t>Hornfels (hipótesis: siglas H*)</t>
        </is>
      </c>
      <c r="L624" t="inlineStr">
        <is>
          <t>Metamorfico</t>
        </is>
      </c>
      <c r="M624" t="n">
        <v>2930</v>
      </c>
      <c r="N624" t="inlineStr"/>
      <c r="O624" t="inlineStr"/>
      <c r="P624" t="n">
        <v>2816.8</v>
      </c>
      <c r="Q624" t="n">
        <v>11.771</v>
      </c>
    </row>
    <row r="625">
      <c r="A625" t="inlineStr">
        <is>
          <t>MR24</t>
        </is>
      </c>
      <c r="B625" t="inlineStr">
        <is>
          <t>Merged_Table_Assay_lito</t>
        </is>
      </c>
      <c r="C625" t="inlineStr">
        <is>
          <t>metros de sondaje; pct sobre metros</t>
        </is>
      </c>
      <c r="D625" t="inlineStr">
        <is>
          <t>fase_plp_GM_FASES_LE2_Output</t>
        </is>
      </c>
      <c r="E625" t="inlineStr">
        <is>
          <t>14</t>
        </is>
      </c>
      <c r="F625" t="inlineStr">
        <is>
          <t>ROCKCODE_NUMEQ</t>
        </is>
      </c>
      <c r="G625" t="inlineStr">
        <is>
          <t>14</t>
        </is>
      </c>
      <c r="H625" t="inlineStr">
        <is>
          <t>sin asignar</t>
        </is>
      </c>
      <c r="I625" t="inlineStr">
        <is>
          <t>NUMEQ14</t>
        </is>
      </c>
      <c r="J625" t="inlineStr">
        <is>
          <t>ROCKCODE_NUMEQ sin leyenda (no equivale 1:1 al RT)</t>
        </is>
      </c>
      <c r="K625" t="inlineStr">
        <is>
          <t>Hornfels (hipótesis: siglas H*)</t>
        </is>
      </c>
      <c r="L625" t="inlineStr">
        <is>
          <t>Metamorfico</t>
        </is>
      </c>
      <c r="M625" t="n">
        <v>409</v>
      </c>
      <c r="N625" t="inlineStr"/>
      <c r="O625" t="inlineStr"/>
      <c r="P625" t="n">
        <v>319.4</v>
      </c>
      <c r="Q625" t="n">
        <v>1.335</v>
      </c>
    </row>
    <row r="626">
      <c r="A626" t="inlineStr">
        <is>
          <t>MR24</t>
        </is>
      </c>
      <c r="B626" t="inlineStr">
        <is>
          <t>Merged_Table_Assay_lito</t>
        </is>
      </c>
      <c r="C626" t="inlineStr">
        <is>
          <t>metros de sondaje; pct sobre metros</t>
        </is>
      </c>
      <c r="D626" t="inlineStr">
        <is>
          <t>fase_plp_GM_FASES_LE2_Output</t>
        </is>
      </c>
      <c r="E626" t="inlineStr">
        <is>
          <t>14</t>
        </is>
      </c>
      <c r="F626" t="inlineStr">
        <is>
          <t>ROCKCODE_NUMEQ</t>
        </is>
      </c>
      <c r="G626" t="inlineStr">
        <is>
          <t>16</t>
        </is>
      </c>
      <c r="H626" t="inlineStr">
        <is>
          <t>sin asignar</t>
        </is>
      </c>
      <c r="I626" t="inlineStr">
        <is>
          <t>NUMEQ16</t>
        </is>
      </c>
      <c r="J626" t="inlineStr">
        <is>
          <t>ROCKCODE_NUMEQ sin leyenda (no equivale 1:1 al RT)</t>
        </is>
      </c>
      <c r="K626" t="inlineStr">
        <is>
          <t>Mármol (hipótesis: siglas M*)</t>
        </is>
      </c>
      <c r="L626" t="inlineStr">
        <is>
          <t>Metamorfico</t>
        </is>
      </c>
      <c r="M626" t="n">
        <v>6930</v>
      </c>
      <c r="N626" t="inlineStr"/>
      <c r="O626" t="inlineStr"/>
      <c r="P626" t="n">
        <v>7326.25</v>
      </c>
      <c r="Q626" t="n">
        <v>30.617</v>
      </c>
    </row>
    <row r="627">
      <c r="A627" t="inlineStr">
        <is>
          <t>MR24</t>
        </is>
      </c>
      <c r="B627" t="inlineStr">
        <is>
          <t>Merged_Table_Assay_lito</t>
        </is>
      </c>
      <c r="C627" t="inlineStr">
        <is>
          <t>metros de sondaje; pct sobre metros</t>
        </is>
      </c>
      <c r="D627" t="inlineStr">
        <is>
          <t>fase_plp_GM_FASES_LE2_Output</t>
        </is>
      </c>
      <c r="E627" t="inlineStr">
        <is>
          <t>14</t>
        </is>
      </c>
      <c r="F627" t="inlineStr">
        <is>
          <t>ROCKCODE_NUMEQ</t>
        </is>
      </c>
      <c r="G627" t="inlineStr">
        <is>
          <t>19</t>
        </is>
      </c>
      <c r="H627" t="inlineStr">
        <is>
          <t>sin asignar</t>
        </is>
      </c>
      <c r="I627" t="inlineStr">
        <is>
          <t>NUMEQ19</t>
        </is>
      </c>
      <c r="J627" t="inlineStr">
        <is>
          <t>ROCKCODE_NUMEQ sin leyenda (no equivale 1:1 al RT)</t>
        </is>
      </c>
      <c r="K627" t="inlineStr">
        <is>
          <t>Mármol (hipótesis: sigla MDP)</t>
        </is>
      </c>
      <c r="L627" t="inlineStr">
        <is>
          <t>Metamorfico</t>
        </is>
      </c>
      <c r="M627" t="n">
        <v>564</v>
      </c>
      <c r="N627" t="inlineStr"/>
      <c r="O627" t="inlineStr"/>
      <c r="P627" t="n">
        <v>581</v>
      </c>
      <c r="Q627" t="n">
        <v>2.428</v>
      </c>
    </row>
    <row r="628">
      <c r="A628" t="inlineStr">
        <is>
          <t>MR24</t>
        </is>
      </c>
      <c r="B628" t="inlineStr">
        <is>
          <t>Merged_Table_Assay_lito</t>
        </is>
      </c>
      <c r="C628" t="inlineStr">
        <is>
          <t>metros de sondaje; pct sobre metros</t>
        </is>
      </c>
      <c r="D628" t="inlineStr">
        <is>
          <t>fase_plp_GM_FASES_LE2_Output</t>
        </is>
      </c>
      <c r="E628" t="inlineStr">
        <is>
          <t>15</t>
        </is>
      </c>
      <c r="F628" t="inlineStr">
        <is>
          <t>ROCKCODE_NUMEQ</t>
        </is>
      </c>
      <c r="G628" t="inlineStr">
        <is>
          <t>1</t>
        </is>
      </c>
      <c r="H628" t="inlineStr">
        <is>
          <t>Intrusivo</t>
        </is>
      </c>
      <c r="I628" t="inlineStr">
        <is>
          <t>NUMEQ1</t>
        </is>
      </c>
      <c r="J628" t="inlineStr">
        <is>
          <t>ROCKCODE_NUMEQ=1 agrupa siglas IPP*/DI</t>
        </is>
      </c>
      <c r="K628" t="inlineStr">
        <is>
          <t>Intrusivo</t>
        </is>
      </c>
      <c r="L628" t="inlineStr">
        <is>
          <t>Intrusivo</t>
        </is>
      </c>
      <c r="M628" t="n">
        <v>2713</v>
      </c>
      <c r="N628" t="inlineStr"/>
      <c r="O628" t="inlineStr"/>
      <c r="P628" t="n">
        <v>3041.35</v>
      </c>
      <c r="Q628" t="n">
        <v>28.895</v>
      </c>
    </row>
    <row r="629">
      <c r="A629" t="inlineStr">
        <is>
          <t>MR24</t>
        </is>
      </c>
      <c r="B629" t="inlineStr">
        <is>
          <t>Merged_Table_Assay_lito</t>
        </is>
      </c>
      <c r="C629" t="inlineStr">
        <is>
          <t>metros de sondaje; pct sobre metros</t>
        </is>
      </c>
      <c r="D629" t="inlineStr">
        <is>
          <t>fase_plp_GM_FASES_LE2_Output</t>
        </is>
      </c>
      <c r="E629" t="inlineStr">
        <is>
          <t>15</t>
        </is>
      </c>
      <c r="F629" t="inlineStr">
        <is>
          <t>ROCKCODE_NUMEQ</t>
        </is>
      </c>
      <c r="G629" t="inlineStr">
        <is>
          <t>10</t>
        </is>
      </c>
      <c r="H629" t="inlineStr">
        <is>
          <t>sin asignar</t>
        </is>
      </c>
      <c r="I629" t="inlineStr">
        <is>
          <t>NUMEQ10</t>
        </is>
      </c>
      <c r="J629" t="inlineStr">
        <is>
          <t>ROCKCODE_NUMEQ sin leyenda (no equivale 1:1 al RT)</t>
        </is>
      </c>
      <c r="K629" t="inlineStr">
        <is>
          <t>Caliza (hipótesis: siglas C*)</t>
        </is>
      </c>
      <c r="L629" t="inlineStr">
        <is>
          <t>Sedimentario</t>
        </is>
      </c>
      <c r="M629" t="n">
        <v>1701</v>
      </c>
      <c r="N629" t="inlineStr"/>
      <c r="O629" t="inlineStr"/>
      <c r="P629" t="n">
        <v>1523.4</v>
      </c>
      <c r="Q629" t="n">
        <v>14.474</v>
      </c>
    </row>
    <row r="630">
      <c r="A630" t="inlineStr">
        <is>
          <t>MR24</t>
        </is>
      </c>
      <c r="B630" t="inlineStr">
        <is>
          <t>Merged_Table_Assay_lito</t>
        </is>
      </c>
      <c r="C630" t="inlineStr">
        <is>
          <t>metros de sondaje; pct sobre metros</t>
        </is>
      </c>
      <c r="D630" t="inlineStr">
        <is>
          <t>fase_plp_GM_FASES_LE2_Output</t>
        </is>
      </c>
      <c r="E630" t="inlineStr">
        <is>
          <t>15</t>
        </is>
      </c>
      <c r="F630" t="inlineStr">
        <is>
          <t>ROCKCODE_NUMEQ</t>
        </is>
      </c>
      <c r="G630" t="inlineStr">
        <is>
          <t>13</t>
        </is>
      </c>
      <c r="H630" t="inlineStr">
        <is>
          <t>sin asignar</t>
        </is>
      </c>
      <c r="I630" t="inlineStr">
        <is>
          <t>NUMEQ13</t>
        </is>
      </c>
      <c r="J630" t="inlineStr">
        <is>
          <t>ROCKCODE_NUMEQ sin leyenda (no equivale 1:1 al RT)</t>
        </is>
      </c>
      <c r="K630" t="inlineStr">
        <is>
          <t>Hornfels (hipótesis: siglas H*)</t>
        </is>
      </c>
      <c r="L630" t="inlineStr">
        <is>
          <t>Metamorfico</t>
        </is>
      </c>
      <c r="M630" t="n">
        <v>176</v>
      </c>
      <c r="N630" t="inlineStr"/>
      <c r="O630" t="inlineStr"/>
      <c r="P630" t="n">
        <v>159</v>
      </c>
      <c r="Q630" t="n">
        <v>1.511</v>
      </c>
    </row>
    <row r="631">
      <c r="A631" t="inlineStr">
        <is>
          <t>MR24</t>
        </is>
      </c>
      <c r="B631" t="inlineStr">
        <is>
          <t>Merged_Table_Assay_lito</t>
        </is>
      </c>
      <c r="C631" t="inlineStr">
        <is>
          <t>metros de sondaje; pct sobre metros</t>
        </is>
      </c>
      <c r="D631" t="inlineStr">
        <is>
          <t>fase_plp_GM_FASES_LE2_Output</t>
        </is>
      </c>
      <c r="E631" t="inlineStr">
        <is>
          <t>15</t>
        </is>
      </c>
      <c r="F631" t="inlineStr">
        <is>
          <t>ROCKCODE_NUMEQ</t>
        </is>
      </c>
      <c r="G631" t="inlineStr">
        <is>
          <t>16</t>
        </is>
      </c>
      <c r="H631" t="inlineStr">
        <is>
          <t>sin asignar</t>
        </is>
      </c>
      <c r="I631" t="inlineStr">
        <is>
          <t>NUMEQ16</t>
        </is>
      </c>
      <c r="J631" t="inlineStr">
        <is>
          <t>ROCKCODE_NUMEQ sin leyenda (no equivale 1:1 al RT)</t>
        </is>
      </c>
      <c r="K631" t="inlineStr">
        <is>
          <t>Mármol (hipótesis: siglas M*)</t>
        </is>
      </c>
      <c r="L631" t="inlineStr">
        <is>
          <t>Metamorfico</t>
        </is>
      </c>
      <c r="M631" t="n">
        <v>4482</v>
      </c>
      <c r="N631" t="inlineStr"/>
      <c r="O631" t="inlineStr"/>
      <c r="P631" t="n">
        <v>5207.7</v>
      </c>
      <c r="Q631" t="n">
        <v>49.478</v>
      </c>
    </row>
    <row r="632">
      <c r="A632" t="inlineStr">
        <is>
          <t>MR24</t>
        </is>
      </c>
      <c r="B632" t="inlineStr">
        <is>
          <t>Merged_Table_Assay_lito</t>
        </is>
      </c>
      <c r="C632" t="inlineStr">
        <is>
          <t>metros de sondaje; pct sobre metros</t>
        </is>
      </c>
      <c r="D632" t="inlineStr">
        <is>
          <t>fase_plp_GM_FASES_LE2_Output</t>
        </is>
      </c>
      <c r="E632" t="inlineStr">
        <is>
          <t>15</t>
        </is>
      </c>
      <c r="F632" t="inlineStr">
        <is>
          <t>ROCKCODE_NUMEQ</t>
        </is>
      </c>
      <c r="G632" t="inlineStr">
        <is>
          <t>19</t>
        </is>
      </c>
      <c r="H632" t="inlineStr">
        <is>
          <t>sin asignar</t>
        </is>
      </c>
      <c r="I632" t="inlineStr">
        <is>
          <t>NUMEQ19</t>
        </is>
      </c>
      <c r="J632" t="inlineStr">
        <is>
          <t>ROCKCODE_NUMEQ sin leyenda (no equivale 1:1 al RT)</t>
        </is>
      </c>
      <c r="K632" t="inlineStr">
        <is>
          <t>Mármol (hipótesis: sigla MDP)</t>
        </is>
      </c>
      <c r="L632" t="inlineStr">
        <is>
          <t>Metamorfico</t>
        </is>
      </c>
      <c r="M632" t="n">
        <v>495</v>
      </c>
      <c r="N632" t="inlineStr"/>
      <c r="O632" t="inlineStr"/>
      <c r="P632" t="n">
        <v>593.9</v>
      </c>
      <c r="Q632" t="n">
        <v>5.643</v>
      </c>
    </row>
    <row r="633">
      <c r="A633" t="inlineStr">
        <is>
          <t>MR24</t>
        </is>
      </c>
      <c r="B633" t="inlineStr">
        <is>
          <t>Merged_Table_Assay_lito</t>
        </is>
      </c>
      <c r="C633" t="inlineStr">
        <is>
          <t>metros de sondaje; pct sobre metros</t>
        </is>
      </c>
      <c r="D633" t="inlineStr">
        <is>
          <t>fase_plp_GM_FASES_LE2_Output</t>
        </is>
      </c>
      <c r="E633" t="inlineStr">
        <is>
          <t>8</t>
        </is>
      </c>
      <c r="F633" t="inlineStr">
        <is>
          <t>ROCKCODE_NUMEQ</t>
        </is>
      </c>
      <c r="G633" t="inlineStr">
        <is>
          <t>1</t>
        </is>
      </c>
      <c r="H633" t="inlineStr">
        <is>
          <t>Intrusivo</t>
        </is>
      </c>
      <c r="I633" t="inlineStr">
        <is>
          <t>NUMEQ1</t>
        </is>
      </c>
      <c r="J633" t="inlineStr">
        <is>
          <t>ROCKCODE_NUMEQ=1 agrupa siglas IPP*/DI</t>
        </is>
      </c>
      <c r="K633" t="inlineStr">
        <is>
          <t>Intrusivo</t>
        </is>
      </c>
      <c r="L633" t="inlineStr">
        <is>
          <t>Intrusivo</t>
        </is>
      </c>
      <c r="M633" t="n">
        <v>1766</v>
      </c>
      <c r="N633" t="inlineStr"/>
      <c r="O633" t="inlineStr"/>
      <c r="P633" t="n">
        <v>2530.8</v>
      </c>
      <c r="Q633" t="n">
        <v>100</v>
      </c>
    </row>
    <row r="634">
      <c r="A634" t="inlineStr">
        <is>
          <t>MR24</t>
        </is>
      </c>
      <c r="B634" t="inlineStr">
        <is>
          <t>Merged_Table_Assay_lito</t>
        </is>
      </c>
      <c r="C634" t="inlineStr">
        <is>
          <t>metros de sondaje; pct sobre metros</t>
        </is>
      </c>
      <c r="D634" t="inlineStr">
        <is>
          <t>fase_plp_GM_FASES_LE2_Output</t>
        </is>
      </c>
      <c r="E634" t="inlineStr">
        <is>
          <t>9BN</t>
        </is>
      </c>
      <c r="F634" t="inlineStr">
        <is>
          <t>ROCKCODE_NUMEQ</t>
        </is>
      </c>
      <c r="G634" t="inlineStr">
        <is>
          <t>1</t>
        </is>
      </c>
      <c r="H634" t="inlineStr">
        <is>
          <t>Intrusivo</t>
        </is>
      </c>
      <c r="I634" t="inlineStr">
        <is>
          <t>NUMEQ1</t>
        </is>
      </c>
      <c r="J634" t="inlineStr">
        <is>
          <t>ROCKCODE_NUMEQ=1 agrupa siglas IPP*/DI</t>
        </is>
      </c>
      <c r="K634" t="inlineStr">
        <is>
          <t>Intrusivo</t>
        </is>
      </c>
      <c r="L634" t="inlineStr">
        <is>
          <t>Intrusivo</t>
        </is>
      </c>
      <c r="M634" t="n">
        <v>6276</v>
      </c>
      <c r="N634" t="inlineStr"/>
      <c r="O634" t="inlineStr"/>
      <c r="P634" t="n">
        <v>8841.780000000001</v>
      </c>
      <c r="Q634" t="n">
        <v>52.426</v>
      </c>
    </row>
    <row r="635">
      <c r="A635" t="inlineStr">
        <is>
          <t>MR24</t>
        </is>
      </c>
      <c r="B635" t="inlineStr">
        <is>
          <t>Merged_Table_Assay_lito</t>
        </is>
      </c>
      <c r="C635" t="inlineStr">
        <is>
          <t>metros de sondaje; pct sobre metros</t>
        </is>
      </c>
      <c r="D635" t="inlineStr">
        <is>
          <t>fase_plp_GM_FASES_LE2_Output</t>
        </is>
      </c>
      <c r="E635" t="inlineStr">
        <is>
          <t>9BN</t>
        </is>
      </c>
      <c r="F635" t="inlineStr">
        <is>
          <t>ROCKCODE_NUMEQ</t>
        </is>
      </c>
      <c r="G635" t="inlineStr">
        <is>
          <t>10</t>
        </is>
      </c>
      <c r="H635" t="inlineStr">
        <is>
          <t>sin asignar</t>
        </is>
      </c>
      <c r="I635" t="inlineStr">
        <is>
          <t>NUMEQ10</t>
        </is>
      </c>
      <c r="J635" t="inlineStr">
        <is>
          <t>ROCKCODE_NUMEQ sin leyenda (no equivale 1:1 al RT)</t>
        </is>
      </c>
      <c r="K635" t="inlineStr">
        <is>
          <t>Caliza (hipótesis: siglas C*)</t>
        </is>
      </c>
      <c r="L635" t="inlineStr">
        <is>
          <t>Sedimentario</t>
        </is>
      </c>
      <c r="M635" t="n">
        <v>127</v>
      </c>
      <c r="N635" t="inlineStr"/>
      <c r="O635" t="inlineStr"/>
      <c r="P635" t="n">
        <v>119.35</v>
      </c>
      <c r="Q635" t="n">
        <v>0.708</v>
      </c>
    </row>
    <row r="636">
      <c r="A636" t="inlineStr">
        <is>
          <t>MR24</t>
        </is>
      </c>
      <c r="B636" t="inlineStr">
        <is>
          <t>Merged_Table_Assay_lito</t>
        </is>
      </c>
      <c r="C636" t="inlineStr">
        <is>
          <t>metros de sondaje; pct sobre metros</t>
        </is>
      </c>
      <c r="D636" t="inlineStr">
        <is>
          <t>fase_plp_GM_FASES_LE2_Output</t>
        </is>
      </c>
      <c r="E636" t="inlineStr">
        <is>
          <t>9BN</t>
        </is>
      </c>
      <c r="F636" t="inlineStr">
        <is>
          <t>ROCKCODE_NUMEQ</t>
        </is>
      </c>
      <c r="G636" t="inlineStr">
        <is>
          <t>13</t>
        </is>
      </c>
      <c r="H636" t="inlineStr">
        <is>
          <t>sin asignar</t>
        </is>
      </c>
      <c r="I636" t="inlineStr">
        <is>
          <t>NUMEQ13</t>
        </is>
      </c>
      <c r="J636" t="inlineStr">
        <is>
          <t>ROCKCODE_NUMEQ sin leyenda (no equivale 1:1 al RT)</t>
        </is>
      </c>
      <c r="K636" t="inlineStr">
        <is>
          <t>Hornfels (hipótesis: siglas H*)</t>
        </is>
      </c>
      <c r="L636" t="inlineStr">
        <is>
          <t>Metamorfico</t>
        </is>
      </c>
      <c r="M636" t="n">
        <v>43</v>
      </c>
      <c r="N636" t="inlineStr"/>
      <c r="O636" t="inlineStr"/>
      <c r="P636" t="n">
        <v>43</v>
      </c>
      <c r="Q636" t="n">
        <v>0.255</v>
      </c>
    </row>
    <row r="637">
      <c r="A637" t="inlineStr">
        <is>
          <t>MR24</t>
        </is>
      </c>
      <c r="B637" t="inlineStr">
        <is>
          <t>Merged_Table_Assay_lito</t>
        </is>
      </c>
      <c r="C637" t="inlineStr">
        <is>
          <t>metros de sondaje; pct sobre metros</t>
        </is>
      </c>
      <c r="D637" t="inlineStr">
        <is>
          <t>fase_plp_GM_FASES_LE2_Output</t>
        </is>
      </c>
      <c r="E637" t="inlineStr">
        <is>
          <t>9BN</t>
        </is>
      </c>
      <c r="F637" t="inlineStr">
        <is>
          <t>ROCKCODE_NUMEQ</t>
        </is>
      </c>
      <c r="G637" t="inlineStr">
        <is>
          <t>14</t>
        </is>
      </c>
      <c r="H637" t="inlineStr">
        <is>
          <t>sin asignar</t>
        </is>
      </c>
      <c r="I637" t="inlineStr">
        <is>
          <t>NUMEQ14</t>
        </is>
      </c>
      <c r="J637" t="inlineStr">
        <is>
          <t>ROCKCODE_NUMEQ sin leyenda (no equivale 1:1 al RT)</t>
        </is>
      </c>
      <c r="K637" t="inlineStr">
        <is>
          <t>Hornfels (hipótesis: siglas H*)</t>
        </is>
      </c>
      <c r="L637" t="inlineStr">
        <is>
          <t>Metamorfico</t>
        </is>
      </c>
      <c r="M637" t="n">
        <v>20</v>
      </c>
      <c r="N637" t="inlineStr"/>
      <c r="O637" t="inlineStr"/>
      <c r="P637" t="n">
        <v>17.6</v>
      </c>
      <c r="Q637" t="n">
        <v>0.104</v>
      </c>
    </row>
    <row r="638">
      <c r="A638" t="inlineStr">
        <is>
          <t>MR24</t>
        </is>
      </c>
      <c r="B638" t="inlineStr">
        <is>
          <t>Merged_Table_Assay_lito</t>
        </is>
      </c>
      <c r="C638" t="inlineStr">
        <is>
          <t>metros de sondaje; pct sobre metros</t>
        </is>
      </c>
      <c r="D638" t="inlineStr">
        <is>
          <t>fase_plp_GM_FASES_LE2_Output</t>
        </is>
      </c>
      <c r="E638" t="inlineStr">
        <is>
          <t>9BN</t>
        </is>
      </c>
      <c r="F638" t="inlineStr">
        <is>
          <t>ROCKCODE_NUMEQ</t>
        </is>
      </c>
      <c r="G638" t="inlineStr">
        <is>
          <t>16</t>
        </is>
      </c>
      <c r="H638" t="inlineStr">
        <is>
          <t>sin asignar</t>
        </is>
      </c>
      <c r="I638" t="inlineStr">
        <is>
          <t>NUMEQ16</t>
        </is>
      </c>
      <c r="J638" t="inlineStr">
        <is>
          <t>ROCKCODE_NUMEQ sin leyenda (no equivale 1:1 al RT)</t>
        </is>
      </c>
      <c r="K638" t="inlineStr">
        <is>
          <t>Mármol (hipótesis: siglas M*)</t>
        </is>
      </c>
      <c r="L638" t="inlineStr">
        <is>
          <t>Metamorfico</t>
        </is>
      </c>
      <c r="M638" t="n">
        <v>6549</v>
      </c>
      <c r="N638" t="inlineStr"/>
      <c r="O638" t="inlineStr"/>
      <c r="P638" t="n">
        <v>7113.15</v>
      </c>
      <c r="Q638" t="n">
        <v>42.176</v>
      </c>
    </row>
    <row r="639">
      <c r="A639" t="inlineStr">
        <is>
          <t>MR24</t>
        </is>
      </c>
      <c r="B639" t="inlineStr">
        <is>
          <t>Merged_Table_Assay_lito</t>
        </is>
      </c>
      <c r="C639" t="inlineStr">
        <is>
          <t>metros de sondaje; pct sobre metros</t>
        </is>
      </c>
      <c r="D639" t="inlineStr">
        <is>
          <t>fase_plp_GM_FASES_LE2_Output</t>
        </is>
      </c>
      <c r="E639" t="inlineStr">
        <is>
          <t>9BN</t>
        </is>
      </c>
      <c r="F639" t="inlineStr">
        <is>
          <t>ROCKCODE_NUMEQ</t>
        </is>
      </c>
      <c r="G639" t="inlineStr">
        <is>
          <t>19</t>
        </is>
      </c>
      <c r="H639" t="inlineStr">
        <is>
          <t>sin asignar</t>
        </is>
      </c>
      <c r="I639" t="inlineStr">
        <is>
          <t>NUMEQ19</t>
        </is>
      </c>
      <c r="J639" t="inlineStr">
        <is>
          <t>ROCKCODE_NUMEQ sin leyenda (no equivale 1:1 al RT)</t>
        </is>
      </c>
      <c r="K639" t="inlineStr">
        <is>
          <t>Mármol (hipótesis: sigla MDP)</t>
        </is>
      </c>
      <c r="L639" t="inlineStr">
        <is>
          <t>Metamorfico</t>
        </is>
      </c>
      <c r="M639" t="n">
        <v>581</v>
      </c>
      <c r="N639" t="inlineStr"/>
      <c r="O639" t="inlineStr"/>
      <c r="P639" t="n">
        <v>730.33</v>
      </c>
      <c r="Q639" t="n">
        <v>4.33</v>
      </c>
    </row>
    <row r="640">
      <c r="A640" t="inlineStr">
        <is>
          <t>MR24</t>
        </is>
      </c>
      <c r="B640" t="inlineStr">
        <is>
          <t>Merged_Table_Assay_lito</t>
        </is>
      </c>
      <c r="C640" t="inlineStr">
        <is>
          <t>metros de sondaje; pct sobre metros</t>
        </is>
      </c>
      <c r="D640" t="inlineStr">
        <is>
          <t>fase_plp_GM_FASES_LE2_Output</t>
        </is>
      </c>
      <c r="E640" t="inlineStr">
        <is>
          <t>9BS</t>
        </is>
      </c>
      <c r="F640" t="inlineStr">
        <is>
          <t>ROCKCODE_NUMEQ</t>
        </is>
      </c>
      <c r="G640" t="inlineStr">
        <is>
          <t>1</t>
        </is>
      </c>
      <c r="H640" t="inlineStr">
        <is>
          <t>Intrusivo</t>
        </is>
      </c>
      <c r="I640" t="inlineStr">
        <is>
          <t>NUMEQ1</t>
        </is>
      </c>
      <c r="J640" t="inlineStr">
        <is>
          <t>ROCKCODE_NUMEQ=1 agrupa siglas IPP*/DI</t>
        </is>
      </c>
      <c r="K640" t="inlineStr">
        <is>
          <t>Intrusivo</t>
        </is>
      </c>
      <c r="L640" t="inlineStr">
        <is>
          <t>Intrusivo</t>
        </is>
      </c>
      <c r="M640" t="n">
        <v>4387</v>
      </c>
      <c r="N640" t="inlineStr"/>
      <c r="O640" t="inlineStr"/>
      <c r="P640" t="n">
        <v>6428.34</v>
      </c>
      <c r="Q640" t="n">
        <v>45.218</v>
      </c>
    </row>
    <row r="641">
      <c r="A641" t="inlineStr">
        <is>
          <t>MR24</t>
        </is>
      </c>
      <c r="B641" t="inlineStr">
        <is>
          <t>Merged_Table_Assay_lito</t>
        </is>
      </c>
      <c r="C641" t="inlineStr">
        <is>
          <t>metros de sondaje; pct sobre metros</t>
        </is>
      </c>
      <c r="D641" t="inlineStr">
        <is>
          <t>fase_plp_GM_FASES_LE2_Output</t>
        </is>
      </c>
      <c r="E641" t="inlineStr">
        <is>
          <t>9BS</t>
        </is>
      </c>
      <c r="F641" t="inlineStr">
        <is>
          <t>ROCKCODE_NUMEQ</t>
        </is>
      </c>
      <c r="G641" t="inlineStr">
        <is>
          <t>10</t>
        </is>
      </c>
      <c r="H641" t="inlineStr">
        <is>
          <t>sin asignar</t>
        </is>
      </c>
      <c r="I641" t="inlineStr">
        <is>
          <t>NUMEQ10</t>
        </is>
      </c>
      <c r="J641" t="inlineStr">
        <is>
          <t>ROCKCODE_NUMEQ sin leyenda (no equivale 1:1 al RT)</t>
        </is>
      </c>
      <c r="K641" t="inlineStr">
        <is>
          <t>Caliza (hipótesis: siglas C*)</t>
        </is>
      </c>
      <c r="L641" t="inlineStr">
        <is>
          <t>Sedimentario</t>
        </is>
      </c>
      <c r="M641" t="n">
        <v>422</v>
      </c>
      <c r="N641" t="inlineStr"/>
      <c r="O641" t="inlineStr"/>
      <c r="P641" t="n">
        <v>362.2</v>
      </c>
      <c r="Q641" t="n">
        <v>2.548</v>
      </c>
    </row>
    <row r="642">
      <c r="A642" t="inlineStr">
        <is>
          <t>MR24</t>
        </is>
      </c>
      <c r="B642" t="inlineStr">
        <is>
          <t>Merged_Table_Assay_lito</t>
        </is>
      </c>
      <c r="C642" t="inlineStr">
        <is>
          <t>metros de sondaje; pct sobre metros</t>
        </is>
      </c>
      <c r="D642" t="inlineStr">
        <is>
          <t>fase_plp_GM_FASES_LE2_Output</t>
        </is>
      </c>
      <c r="E642" t="inlineStr">
        <is>
          <t>9BS</t>
        </is>
      </c>
      <c r="F642" t="inlineStr">
        <is>
          <t>ROCKCODE_NUMEQ</t>
        </is>
      </c>
      <c r="G642" t="inlineStr">
        <is>
          <t>13</t>
        </is>
      </c>
      <c r="H642" t="inlineStr">
        <is>
          <t>sin asignar</t>
        </is>
      </c>
      <c r="I642" t="inlineStr">
        <is>
          <t>NUMEQ13</t>
        </is>
      </c>
      <c r="J642" t="inlineStr">
        <is>
          <t>ROCKCODE_NUMEQ sin leyenda (no equivale 1:1 al RT)</t>
        </is>
      </c>
      <c r="K642" t="inlineStr">
        <is>
          <t>Hornfels (hipótesis: siglas H*)</t>
        </is>
      </c>
      <c r="L642" t="inlineStr">
        <is>
          <t>Metamorfico</t>
        </is>
      </c>
      <c r="M642" t="n">
        <v>65</v>
      </c>
      <c r="N642" t="inlineStr"/>
      <c r="O642" t="inlineStr"/>
      <c r="P642" t="n">
        <v>49.95</v>
      </c>
      <c r="Q642" t="n">
        <v>0.351</v>
      </c>
    </row>
    <row r="643">
      <c r="A643" t="inlineStr">
        <is>
          <t>MR24</t>
        </is>
      </c>
      <c r="B643" t="inlineStr">
        <is>
          <t>Merged_Table_Assay_lito</t>
        </is>
      </c>
      <c r="C643" t="inlineStr">
        <is>
          <t>metros de sondaje; pct sobre metros</t>
        </is>
      </c>
      <c r="D643" t="inlineStr">
        <is>
          <t>fase_plp_GM_FASES_LE2_Output</t>
        </is>
      </c>
      <c r="E643" t="inlineStr">
        <is>
          <t>9BS</t>
        </is>
      </c>
      <c r="F643" t="inlineStr">
        <is>
          <t>ROCKCODE_NUMEQ</t>
        </is>
      </c>
      <c r="G643" t="inlineStr">
        <is>
          <t>14</t>
        </is>
      </c>
      <c r="H643" t="inlineStr">
        <is>
          <t>sin asignar</t>
        </is>
      </c>
      <c r="I643" t="inlineStr">
        <is>
          <t>NUMEQ14</t>
        </is>
      </c>
      <c r="J643" t="inlineStr">
        <is>
          <t>ROCKCODE_NUMEQ sin leyenda (no equivale 1:1 al RT)</t>
        </is>
      </c>
      <c r="K643" t="inlineStr">
        <is>
          <t>Hornfels (hipótesis: siglas H*)</t>
        </is>
      </c>
      <c r="L643" t="inlineStr">
        <is>
          <t>Metamorfico</t>
        </is>
      </c>
      <c r="M643" t="n">
        <v>48</v>
      </c>
      <c r="N643" t="inlineStr"/>
      <c r="O643" t="inlineStr"/>
      <c r="P643" t="n">
        <v>71.8</v>
      </c>
      <c r="Q643" t="n">
        <v>0.505</v>
      </c>
    </row>
    <row r="644">
      <c r="A644" t="inlineStr">
        <is>
          <t>MR24</t>
        </is>
      </c>
      <c r="B644" t="inlineStr">
        <is>
          <t>Merged_Table_Assay_lito</t>
        </is>
      </c>
      <c r="C644" t="inlineStr">
        <is>
          <t>metros de sondaje; pct sobre metros</t>
        </is>
      </c>
      <c r="D644" t="inlineStr">
        <is>
          <t>fase_plp_GM_FASES_LE2_Output</t>
        </is>
      </c>
      <c r="E644" t="inlineStr">
        <is>
          <t>9BS</t>
        </is>
      </c>
      <c r="F644" t="inlineStr">
        <is>
          <t>ROCKCODE_NUMEQ</t>
        </is>
      </c>
      <c r="G644" t="inlineStr">
        <is>
          <t>16</t>
        </is>
      </c>
      <c r="H644" t="inlineStr">
        <is>
          <t>sin asignar</t>
        </is>
      </c>
      <c r="I644" t="inlineStr">
        <is>
          <t>NUMEQ16</t>
        </is>
      </c>
      <c r="J644" t="inlineStr">
        <is>
          <t>ROCKCODE_NUMEQ sin leyenda (no equivale 1:1 al RT)</t>
        </is>
      </c>
      <c r="K644" t="inlineStr">
        <is>
          <t>Mármol (hipótesis: siglas M*)</t>
        </is>
      </c>
      <c r="L644" t="inlineStr">
        <is>
          <t>Metamorfico</t>
        </is>
      </c>
      <c r="M644" t="n">
        <v>4788</v>
      </c>
      <c r="N644" t="inlineStr"/>
      <c r="O644" t="inlineStr"/>
      <c r="P644" t="n">
        <v>5264</v>
      </c>
      <c r="Q644" t="n">
        <v>37.028</v>
      </c>
    </row>
    <row r="645">
      <c r="A645" t="inlineStr">
        <is>
          <t>MR24</t>
        </is>
      </c>
      <c r="B645" t="inlineStr">
        <is>
          <t>Merged_Table_Assay_lito</t>
        </is>
      </c>
      <c r="C645" t="inlineStr">
        <is>
          <t>metros de sondaje; pct sobre metros</t>
        </is>
      </c>
      <c r="D645" t="inlineStr">
        <is>
          <t>fase_plp_GM_FASES_LE2_Output</t>
        </is>
      </c>
      <c r="E645" t="inlineStr">
        <is>
          <t>9BS</t>
        </is>
      </c>
      <c r="F645" t="inlineStr">
        <is>
          <t>ROCKCODE_NUMEQ</t>
        </is>
      </c>
      <c r="G645" t="inlineStr">
        <is>
          <t>19</t>
        </is>
      </c>
      <c r="H645" t="inlineStr">
        <is>
          <t>sin asignar</t>
        </is>
      </c>
      <c r="I645" t="inlineStr">
        <is>
          <t>NUMEQ19</t>
        </is>
      </c>
      <c r="J645" t="inlineStr">
        <is>
          <t>ROCKCODE_NUMEQ sin leyenda (no equivale 1:1 al RT)</t>
        </is>
      </c>
      <c r="K645" t="inlineStr">
        <is>
          <t>Mármol (hipótesis: sigla MDP)</t>
        </is>
      </c>
      <c r="L645" t="inlineStr">
        <is>
          <t>Metamorfico</t>
        </is>
      </c>
      <c r="M645" t="n">
        <v>1906</v>
      </c>
      <c r="N645" t="inlineStr"/>
      <c r="O645" t="inlineStr"/>
      <c r="P645" t="n">
        <v>2040.17</v>
      </c>
      <c r="Q645" t="n">
        <v>14.351</v>
      </c>
    </row>
    <row r="646">
      <c r="A646" t="inlineStr">
        <is>
          <t>MR24</t>
        </is>
      </c>
      <c r="B646" t="inlineStr">
        <is>
          <t>Merged_Table_Assay_lito</t>
        </is>
      </c>
      <c r="C646" t="inlineStr">
        <is>
          <t>metros de sondaje; pct sobre metros</t>
        </is>
      </c>
      <c r="D646" t="inlineStr">
        <is>
          <t>fase_plp_GM_FASES_LE2_Output</t>
        </is>
      </c>
      <c r="E646" t="inlineStr">
        <is>
          <t>9C</t>
        </is>
      </c>
      <c r="F646" t="inlineStr">
        <is>
          <t>ROCKCODE_NUMEQ</t>
        </is>
      </c>
      <c r="G646" t="inlineStr">
        <is>
          <t>1</t>
        </is>
      </c>
      <c r="H646" t="inlineStr">
        <is>
          <t>Intrusivo</t>
        </is>
      </c>
      <c r="I646" t="inlineStr">
        <is>
          <t>NUMEQ1</t>
        </is>
      </c>
      <c r="J646" t="inlineStr">
        <is>
          <t>ROCKCODE_NUMEQ=1 agrupa siglas IPP*/DI</t>
        </is>
      </c>
      <c r="K646" t="inlineStr">
        <is>
          <t>Intrusivo</t>
        </is>
      </c>
      <c r="L646" t="inlineStr">
        <is>
          <t>Intrusivo</t>
        </is>
      </c>
      <c r="M646" t="n">
        <v>601</v>
      </c>
      <c r="N646" t="inlineStr"/>
      <c r="O646" t="inlineStr"/>
      <c r="P646" t="n">
        <v>672.7</v>
      </c>
      <c r="Q646" t="n">
        <v>28.488</v>
      </c>
    </row>
    <row r="647">
      <c r="A647" t="inlineStr">
        <is>
          <t>MR24</t>
        </is>
      </c>
      <c r="B647" t="inlineStr">
        <is>
          <t>Merged_Table_Assay_lito</t>
        </is>
      </c>
      <c r="C647" t="inlineStr">
        <is>
          <t>metros de sondaje; pct sobre metros</t>
        </is>
      </c>
      <c r="D647" t="inlineStr">
        <is>
          <t>fase_plp_GM_FASES_LE2_Output</t>
        </is>
      </c>
      <c r="E647" t="inlineStr">
        <is>
          <t>9C</t>
        </is>
      </c>
      <c r="F647" t="inlineStr">
        <is>
          <t>ROCKCODE_NUMEQ</t>
        </is>
      </c>
      <c r="G647" t="inlineStr">
        <is>
          <t>14</t>
        </is>
      </c>
      <c r="H647" t="inlineStr">
        <is>
          <t>sin asignar</t>
        </is>
      </c>
      <c r="I647" t="inlineStr">
        <is>
          <t>NUMEQ14</t>
        </is>
      </c>
      <c r="J647" t="inlineStr">
        <is>
          <t>ROCKCODE_NUMEQ sin leyenda (no equivale 1:1 al RT)</t>
        </is>
      </c>
      <c r="K647" t="inlineStr">
        <is>
          <t>Hornfels (hipótesis: siglas H*)</t>
        </is>
      </c>
      <c r="L647" t="inlineStr">
        <is>
          <t>Metamorfico</t>
        </is>
      </c>
      <c r="M647" t="n">
        <v>6</v>
      </c>
      <c r="N647" t="inlineStr"/>
      <c r="O647" t="inlineStr"/>
      <c r="P647" t="n">
        <v>12.45</v>
      </c>
      <c r="Q647" t="n">
        <v>0.527</v>
      </c>
    </row>
    <row r="648">
      <c r="A648" t="inlineStr">
        <is>
          <t>MR24</t>
        </is>
      </c>
      <c r="B648" t="inlineStr">
        <is>
          <t>Merged_Table_Assay_lito</t>
        </is>
      </c>
      <c r="C648" t="inlineStr">
        <is>
          <t>metros de sondaje; pct sobre metros</t>
        </is>
      </c>
      <c r="D648" t="inlineStr">
        <is>
          <t>fase_plp_GM_FASES_LE2_Output</t>
        </is>
      </c>
      <c r="E648" t="inlineStr">
        <is>
          <t>9C</t>
        </is>
      </c>
      <c r="F648" t="inlineStr">
        <is>
          <t>ROCKCODE_NUMEQ</t>
        </is>
      </c>
      <c r="G648" t="inlineStr">
        <is>
          <t>16</t>
        </is>
      </c>
      <c r="H648" t="inlineStr">
        <is>
          <t>sin asignar</t>
        </is>
      </c>
      <c r="I648" t="inlineStr">
        <is>
          <t>NUMEQ16</t>
        </is>
      </c>
      <c r="J648" t="inlineStr">
        <is>
          <t>ROCKCODE_NUMEQ sin leyenda (no equivale 1:1 al RT)</t>
        </is>
      </c>
      <c r="K648" t="inlineStr">
        <is>
          <t>Mármol (hipótesis: siglas M*)</t>
        </is>
      </c>
      <c r="L648" t="inlineStr">
        <is>
          <t>Metamorfico</t>
        </is>
      </c>
      <c r="M648" t="n">
        <v>548</v>
      </c>
      <c r="N648" t="inlineStr"/>
      <c r="O648" t="inlineStr"/>
      <c r="P648" t="n">
        <v>572.63</v>
      </c>
      <c r="Q648" t="n">
        <v>24.251</v>
      </c>
    </row>
    <row r="649">
      <c r="A649" t="inlineStr">
        <is>
          <t>MR24</t>
        </is>
      </c>
      <c r="B649" t="inlineStr">
        <is>
          <t>Merged_Table_Assay_lito</t>
        </is>
      </c>
      <c r="C649" t="inlineStr">
        <is>
          <t>metros de sondaje; pct sobre metros</t>
        </is>
      </c>
      <c r="D649" t="inlineStr">
        <is>
          <t>fase_plp_GM_FASES_LE2_Output</t>
        </is>
      </c>
      <c r="E649" t="inlineStr">
        <is>
          <t>9C</t>
        </is>
      </c>
      <c r="F649" t="inlineStr">
        <is>
          <t>ROCKCODE_NUMEQ</t>
        </is>
      </c>
      <c r="G649" t="inlineStr">
        <is>
          <t>19</t>
        </is>
      </c>
      <c r="H649" t="inlineStr">
        <is>
          <t>sin asignar</t>
        </is>
      </c>
      <c r="I649" t="inlineStr">
        <is>
          <t>NUMEQ19</t>
        </is>
      </c>
      <c r="J649" t="inlineStr">
        <is>
          <t>ROCKCODE_NUMEQ sin leyenda (no equivale 1:1 al RT)</t>
        </is>
      </c>
      <c r="K649" t="inlineStr">
        <is>
          <t>Mármol (hipótesis: sigla MDP)</t>
        </is>
      </c>
      <c r="L649" t="inlineStr">
        <is>
          <t>Metamorfico</t>
        </is>
      </c>
      <c r="M649" t="n">
        <v>1119</v>
      </c>
      <c r="N649" t="inlineStr"/>
      <c r="O649" t="inlineStr"/>
      <c r="P649" t="n">
        <v>1103.53</v>
      </c>
      <c r="Q649" t="n">
        <v>46.734</v>
      </c>
    </row>
    <row r="650">
      <c r="A650" t="inlineStr">
        <is>
          <t>MR24</t>
        </is>
      </c>
      <c r="B650" t="inlineStr">
        <is>
          <t>Merged_Table_Assay_lito</t>
        </is>
      </c>
      <c r="C650" t="inlineStr">
        <is>
          <t>metros de sondaje; pct sobre metros</t>
        </is>
      </c>
      <c r="D650" t="inlineStr">
        <is>
          <t>fase_plp_GM_FASES_LE2_Output</t>
        </is>
      </c>
      <c r="E650" t="inlineStr">
        <is>
          <t>OTROS</t>
        </is>
      </c>
      <c r="F650" t="inlineStr">
        <is>
          <t>ROCKCODE_NUMEQ</t>
        </is>
      </c>
      <c r="G650" t="inlineStr">
        <is>
          <t>1</t>
        </is>
      </c>
      <c r="H650" t="inlineStr">
        <is>
          <t>Intrusivo</t>
        </is>
      </c>
      <c r="I650" t="inlineStr">
        <is>
          <t>NUMEQ1</t>
        </is>
      </c>
      <c r="J650" t="inlineStr">
        <is>
          <t>ROCKCODE_NUMEQ=1 agrupa siglas IPP*/DI</t>
        </is>
      </c>
      <c r="K650" t="inlineStr">
        <is>
          <t>Intrusivo</t>
        </is>
      </c>
      <c r="L650" t="inlineStr">
        <is>
          <t>Intrusivo</t>
        </is>
      </c>
      <c r="M650" t="n">
        <v>134</v>
      </c>
      <c r="N650" t="inlineStr"/>
      <c r="O650" t="inlineStr"/>
      <c r="P650" t="n">
        <v>144.7</v>
      </c>
      <c r="Q650" t="n">
        <v>34.667</v>
      </c>
    </row>
    <row r="651">
      <c r="A651" t="inlineStr">
        <is>
          <t>MR24</t>
        </is>
      </c>
      <c r="B651" t="inlineStr">
        <is>
          <t>Merged_Table_Assay_lito</t>
        </is>
      </c>
      <c r="C651" t="inlineStr">
        <is>
          <t>metros de sondaje; pct sobre metros</t>
        </is>
      </c>
      <c r="D651" t="inlineStr">
        <is>
          <t>fase_plp_GM_FASES_LE2_Output</t>
        </is>
      </c>
      <c r="E651" t="inlineStr">
        <is>
          <t>OTROS</t>
        </is>
      </c>
      <c r="F651" t="inlineStr">
        <is>
          <t>ROCKCODE_NUMEQ</t>
        </is>
      </c>
      <c r="G651" t="inlineStr">
        <is>
          <t>10</t>
        </is>
      </c>
      <c r="H651" t="inlineStr">
        <is>
          <t>sin asignar</t>
        </is>
      </c>
      <c r="I651" t="inlineStr">
        <is>
          <t>NUMEQ10</t>
        </is>
      </c>
      <c r="J651" t="inlineStr">
        <is>
          <t>ROCKCODE_NUMEQ sin leyenda (no equivale 1:1 al RT)</t>
        </is>
      </c>
      <c r="K651" t="inlineStr">
        <is>
          <t>Caliza (hipótesis: siglas C*)</t>
        </is>
      </c>
      <c r="L651" t="inlineStr">
        <is>
          <t>Sedimentario</t>
        </is>
      </c>
      <c r="M651" t="n">
        <v>51</v>
      </c>
      <c r="N651" t="inlineStr"/>
      <c r="O651" t="inlineStr"/>
      <c r="P651" t="n">
        <v>49.2</v>
      </c>
      <c r="Q651" t="n">
        <v>11.787</v>
      </c>
    </row>
    <row r="652">
      <c r="A652" t="inlineStr">
        <is>
          <t>MR24</t>
        </is>
      </c>
      <c r="B652" t="inlineStr">
        <is>
          <t>Merged_Table_Assay_lito</t>
        </is>
      </c>
      <c r="C652" t="inlineStr">
        <is>
          <t>metros de sondaje; pct sobre metros</t>
        </is>
      </c>
      <c r="D652" t="inlineStr">
        <is>
          <t>fase_plp_GM_FASES_LE2_Output</t>
        </is>
      </c>
      <c r="E652" t="inlineStr">
        <is>
          <t>OTROS</t>
        </is>
      </c>
      <c r="F652" t="inlineStr">
        <is>
          <t>ROCKCODE_NUMEQ</t>
        </is>
      </c>
      <c r="G652" t="inlineStr">
        <is>
          <t>13</t>
        </is>
      </c>
      <c r="H652" t="inlineStr">
        <is>
          <t>sin asignar</t>
        </is>
      </c>
      <c r="I652" t="inlineStr">
        <is>
          <t>NUMEQ13</t>
        </is>
      </c>
      <c r="J652" t="inlineStr">
        <is>
          <t>ROCKCODE_NUMEQ sin leyenda (no equivale 1:1 al RT)</t>
        </is>
      </c>
      <c r="K652" t="inlineStr">
        <is>
          <t>Hornfels (hipótesis: siglas H*)</t>
        </is>
      </c>
      <c r="L652" t="inlineStr">
        <is>
          <t>Metamorfico</t>
        </is>
      </c>
      <c r="M652" t="n">
        <v>43</v>
      </c>
      <c r="N652" t="inlineStr"/>
      <c r="O652" t="inlineStr"/>
      <c r="P652" t="n">
        <v>46.05</v>
      </c>
      <c r="Q652" t="n">
        <v>11.033</v>
      </c>
    </row>
    <row r="653">
      <c r="A653" t="inlineStr">
        <is>
          <t>MR24</t>
        </is>
      </c>
      <c r="B653" t="inlineStr">
        <is>
          <t>Merged_Table_Assay_lito</t>
        </is>
      </c>
      <c r="C653" t="inlineStr">
        <is>
          <t>metros de sondaje; pct sobre metros</t>
        </is>
      </c>
      <c r="D653" t="inlineStr">
        <is>
          <t>fase_plp_GM_FASES_LE2_Output</t>
        </is>
      </c>
      <c r="E653" t="inlineStr">
        <is>
          <t>OTROS</t>
        </is>
      </c>
      <c r="F653" t="inlineStr">
        <is>
          <t>ROCKCODE_NUMEQ</t>
        </is>
      </c>
      <c r="G653" t="inlineStr">
        <is>
          <t>14</t>
        </is>
      </c>
      <c r="H653" t="inlineStr">
        <is>
          <t>sin asignar</t>
        </is>
      </c>
      <c r="I653" t="inlineStr">
        <is>
          <t>NUMEQ14</t>
        </is>
      </c>
      <c r="J653" t="inlineStr">
        <is>
          <t>ROCKCODE_NUMEQ sin leyenda (no equivale 1:1 al RT)</t>
        </is>
      </c>
      <c r="K653" t="inlineStr">
        <is>
          <t>Hornfels (hipótesis: siglas H*)</t>
        </is>
      </c>
      <c r="L653" t="inlineStr">
        <is>
          <t>Metamorfico</t>
        </is>
      </c>
      <c r="M653" t="n">
        <v>3</v>
      </c>
      <c r="N653" t="inlineStr"/>
      <c r="O653" t="inlineStr"/>
      <c r="P653" t="n">
        <v>1.25</v>
      </c>
      <c r="Q653" t="n">
        <v>0.299</v>
      </c>
    </row>
    <row r="654">
      <c r="A654" t="inlineStr">
        <is>
          <t>MR24</t>
        </is>
      </c>
      <c r="B654" t="inlineStr">
        <is>
          <t>Merged_Table_Assay_lito</t>
        </is>
      </c>
      <c r="C654" t="inlineStr">
        <is>
          <t>metros de sondaje; pct sobre metros</t>
        </is>
      </c>
      <c r="D654" t="inlineStr">
        <is>
          <t>fase_plp_GM_FASES_LE2_Output</t>
        </is>
      </c>
      <c r="E654" t="inlineStr">
        <is>
          <t>OTROS</t>
        </is>
      </c>
      <c r="F654" t="inlineStr">
        <is>
          <t>ROCKCODE_NUMEQ</t>
        </is>
      </c>
      <c r="G654" t="inlineStr">
        <is>
          <t>16</t>
        </is>
      </c>
      <c r="H654" t="inlineStr">
        <is>
          <t>sin asignar</t>
        </is>
      </c>
      <c r="I654" t="inlineStr">
        <is>
          <t>NUMEQ16</t>
        </is>
      </c>
      <c r="J654" t="inlineStr">
        <is>
          <t>ROCKCODE_NUMEQ sin leyenda (no equivale 1:1 al RT)</t>
        </is>
      </c>
      <c r="K654" t="inlineStr">
        <is>
          <t>Mármol (hipótesis: siglas M*)</t>
        </is>
      </c>
      <c r="L654" t="inlineStr">
        <is>
          <t>Metamorfico</t>
        </is>
      </c>
      <c r="M654" t="n">
        <v>126</v>
      </c>
      <c r="N654" t="inlineStr"/>
      <c r="O654" t="inlineStr"/>
      <c r="P654" t="n">
        <v>126.35</v>
      </c>
      <c r="Q654" t="n">
        <v>30.271</v>
      </c>
    </row>
    <row r="655">
      <c r="A655" t="inlineStr">
        <is>
          <t>MR24</t>
        </is>
      </c>
      <c r="B655" t="inlineStr">
        <is>
          <t>Merged_Table_Assay_lito</t>
        </is>
      </c>
      <c r="C655" t="inlineStr">
        <is>
          <t>metros de sondaje; pct sobre metros</t>
        </is>
      </c>
      <c r="D655" t="inlineStr">
        <is>
          <t>fase_plp_GM_FASES_LE2_Output</t>
        </is>
      </c>
      <c r="E655" t="inlineStr">
        <is>
          <t>OTROS</t>
        </is>
      </c>
      <c r="F655" t="inlineStr">
        <is>
          <t>ROCKCODE_NUMEQ</t>
        </is>
      </c>
      <c r="G655" t="inlineStr">
        <is>
          <t>19</t>
        </is>
      </c>
      <c r="H655" t="inlineStr">
        <is>
          <t>sin asignar</t>
        </is>
      </c>
      <c r="I655" t="inlineStr">
        <is>
          <t>NUMEQ19</t>
        </is>
      </c>
      <c r="J655" t="inlineStr">
        <is>
          <t>ROCKCODE_NUMEQ sin leyenda (no equivale 1:1 al RT)</t>
        </is>
      </c>
      <c r="K655" t="inlineStr">
        <is>
          <t>Mármol (hipótesis: sigla MDP)</t>
        </is>
      </c>
      <c r="L655" t="inlineStr">
        <is>
          <t>Metamorfico</t>
        </is>
      </c>
      <c r="M655" t="n">
        <v>48</v>
      </c>
      <c r="N655" t="inlineStr"/>
      <c r="O655" t="inlineStr"/>
      <c r="P655" t="n">
        <v>49.85</v>
      </c>
      <c r="Q655" t="n">
        <v>11.943</v>
      </c>
    </row>
    <row r="656">
      <c r="A656" t="inlineStr">
        <is>
          <t>MR24</t>
        </is>
      </c>
      <c r="B656" t="inlineStr">
        <is>
          <t>Merged_Table_Assay_lito</t>
        </is>
      </c>
      <c r="C656" t="inlineStr">
        <is>
          <t>metros de sondaje; pct sobre metros</t>
        </is>
      </c>
      <c r="D656" t="inlineStr">
        <is>
          <t>total</t>
        </is>
      </c>
      <c r="E656" t="inlineStr">
        <is>
          <t>total</t>
        </is>
      </c>
      <c r="F656" t="inlineStr">
        <is>
          <t>ROCKCODE</t>
        </is>
      </c>
      <c r="G656" t="inlineStr">
        <is>
          <t>BCHG</t>
        </is>
      </c>
      <c r="H656" t="inlineStr">
        <is>
          <t>sin asignar</t>
        </is>
      </c>
      <c r="I656" t="inlineStr">
        <is>
          <t>BCHG</t>
        </is>
      </c>
      <c r="J656" t="inlineStr">
        <is>
          <t>ROCKCODE agrupado en ROCKCODE_NUMEQ=13; sigla sin leyenda</t>
        </is>
      </c>
      <c r="K656" t="inlineStr">
        <is>
          <t>Hornfels (hipótesis: siglas H*)</t>
        </is>
      </c>
      <c r="L656" t="inlineStr">
        <is>
          <t>Metamorfico</t>
        </is>
      </c>
      <c r="M656" t="n">
        <v>4</v>
      </c>
      <c r="N656" t="inlineStr"/>
      <c r="O656" t="inlineStr"/>
      <c r="P656" t="n">
        <v>3.55</v>
      </c>
      <c r="Q656" t="n">
        <v>0.001</v>
      </c>
    </row>
    <row r="657">
      <c r="A657" t="inlineStr">
        <is>
          <t>MR24</t>
        </is>
      </c>
      <c r="B657" t="inlineStr">
        <is>
          <t>Merged_Table_Assay_lito</t>
        </is>
      </c>
      <c r="C657" t="inlineStr">
        <is>
          <t>metros de sondaje; pct sobre metros</t>
        </is>
      </c>
      <c r="D657" t="inlineStr">
        <is>
          <t>total</t>
        </is>
      </c>
      <c r="E657" t="inlineStr">
        <is>
          <t>total</t>
        </is>
      </c>
      <c r="F657" t="inlineStr">
        <is>
          <t>ROCKCODE</t>
        </is>
      </c>
      <c r="G657" t="inlineStr">
        <is>
          <t>BCIPPA</t>
        </is>
      </c>
      <c r="H657" t="inlineStr">
        <is>
          <t>Intrusivo</t>
        </is>
      </c>
      <c r="I657" t="inlineStr">
        <is>
          <t>BCIPPA</t>
        </is>
      </c>
      <c r="J657" t="inlineStr">
        <is>
          <t>ROCKCODE agrupado en ROCKCODE_NUMEQ=1 (Intrusivo_1)</t>
        </is>
      </c>
      <c r="K657" t="inlineStr">
        <is>
          <t>Intrusivo</t>
        </is>
      </c>
      <c r="L657" t="inlineStr">
        <is>
          <t>Intrusivo</t>
        </is>
      </c>
      <c r="M657" t="n">
        <v>37</v>
      </c>
      <c r="N657" t="inlineStr"/>
      <c r="O657" t="inlineStr"/>
      <c r="P657" t="n">
        <v>65.05</v>
      </c>
      <c r="Q657" t="n">
        <v>0.025</v>
      </c>
    </row>
    <row r="658">
      <c r="A658" t="inlineStr">
        <is>
          <t>MR24</t>
        </is>
      </c>
      <c r="B658" t="inlineStr">
        <is>
          <t>Merged_Table_Assay_lito</t>
        </is>
      </c>
      <c r="C658" t="inlineStr">
        <is>
          <t>metros de sondaje; pct sobre metros</t>
        </is>
      </c>
      <c r="D658" t="inlineStr">
        <is>
          <t>total</t>
        </is>
      </c>
      <c r="E658" t="inlineStr">
        <is>
          <t>total</t>
        </is>
      </c>
      <c r="F658" t="inlineStr">
        <is>
          <t>ROCKCODE</t>
        </is>
      </c>
      <c r="G658" t="inlineStr">
        <is>
          <t>BCIPPAO</t>
        </is>
      </c>
      <c r="H658" t="inlineStr">
        <is>
          <t>Intrusivo</t>
        </is>
      </c>
      <c r="I658" t="inlineStr">
        <is>
          <t>BCIPPAO</t>
        </is>
      </c>
      <c r="J658" t="inlineStr">
        <is>
          <t>ROCKCODE agrupado en ROCKCODE_NUMEQ=1 (Intrusivo_1)</t>
        </is>
      </c>
      <c r="K658" t="inlineStr">
        <is>
          <t>Intrusivo</t>
        </is>
      </c>
      <c r="L658" t="inlineStr">
        <is>
          <t>Intrusivo</t>
        </is>
      </c>
      <c r="M658" t="n">
        <v>13</v>
      </c>
      <c r="N658" t="inlineStr"/>
      <c r="O658" t="inlineStr"/>
      <c r="P658" t="n">
        <v>14.35</v>
      </c>
      <c r="Q658" t="n">
        <v>0.006</v>
      </c>
    </row>
    <row r="659">
      <c r="A659" t="inlineStr">
        <is>
          <t>MR24</t>
        </is>
      </c>
      <c r="B659" t="inlineStr">
        <is>
          <t>Merged_Table_Assay_lito</t>
        </is>
      </c>
      <c r="C659" t="inlineStr">
        <is>
          <t>metros de sondaje; pct sobre metros</t>
        </is>
      </c>
      <c r="D659" t="inlineStr">
        <is>
          <t>total</t>
        </is>
      </c>
      <c r="E659" t="inlineStr">
        <is>
          <t>total</t>
        </is>
      </c>
      <c r="F659" t="inlineStr">
        <is>
          <t>ROCKCODE</t>
        </is>
      </c>
      <c r="G659" t="inlineStr">
        <is>
          <t>BCIPPEO</t>
        </is>
      </c>
      <c r="H659" t="inlineStr">
        <is>
          <t>Intrusivo</t>
        </is>
      </c>
      <c r="I659" t="inlineStr">
        <is>
          <t>BCIPPEO</t>
        </is>
      </c>
      <c r="J659" t="inlineStr">
        <is>
          <t>ROCKCODE agrupado en ROCKCODE_NUMEQ=1 (Intrusivo_1)</t>
        </is>
      </c>
      <c r="K659" t="inlineStr">
        <is>
          <t>Intrusivo</t>
        </is>
      </c>
      <c r="L659" t="inlineStr">
        <is>
          <t>Intrusivo</t>
        </is>
      </c>
      <c r="M659" t="n">
        <v>4</v>
      </c>
      <c r="N659" t="inlineStr"/>
      <c r="O659" t="inlineStr"/>
      <c r="P659" t="n">
        <v>2.4</v>
      </c>
      <c r="Q659" t="n">
        <v>0.001</v>
      </c>
    </row>
    <row r="660">
      <c r="A660" t="inlineStr">
        <is>
          <t>MR24</t>
        </is>
      </c>
      <c r="B660" t="inlineStr">
        <is>
          <t>Merged_Table_Assay_lito</t>
        </is>
      </c>
      <c r="C660" t="inlineStr">
        <is>
          <t>metros de sondaje; pct sobre metros</t>
        </is>
      </c>
      <c r="D660" t="inlineStr">
        <is>
          <t>total</t>
        </is>
      </c>
      <c r="E660" t="inlineStr">
        <is>
          <t>total</t>
        </is>
      </c>
      <c r="F660" t="inlineStr">
        <is>
          <t>ROCKCODE</t>
        </is>
      </c>
      <c r="G660" t="inlineStr">
        <is>
          <t>BCM</t>
        </is>
      </c>
      <c r="H660" t="inlineStr">
        <is>
          <t>sin asignar</t>
        </is>
      </c>
      <c r="I660" t="inlineStr">
        <is>
          <t>BCM</t>
        </is>
      </c>
      <c r="J660" t="inlineStr">
        <is>
          <t>ROCKCODE agrupado en ROCKCODE_NUMEQ=16; sigla sin leyenda</t>
        </is>
      </c>
      <c r="K660" t="inlineStr">
        <is>
          <t>Mármol (hipótesis: siglas M*)</t>
        </is>
      </c>
      <c r="L660" t="inlineStr">
        <is>
          <t>Metamorfico</t>
        </is>
      </c>
      <c r="M660" t="n">
        <v>15</v>
      </c>
      <c r="N660" t="inlineStr"/>
      <c r="O660" t="inlineStr"/>
      <c r="P660" t="n">
        <v>13.35</v>
      </c>
      <c r="Q660" t="n">
        <v>0.005</v>
      </c>
    </row>
    <row r="661">
      <c r="A661" t="inlineStr">
        <is>
          <t>MR24</t>
        </is>
      </c>
      <c r="B661" t="inlineStr">
        <is>
          <t>Merged_Table_Assay_lito</t>
        </is>
      </c>
      <c r="C661" t="inlineStr">
        <is>
          <t>metros de sondaje; pct sobre metros</t>
        </is>
      </c>
      <c r="D661" t="inlineStr">
        <is>
          <t>total</t>
        </is>
      </c>
      <c r="E661" t="inlineStr">
        <is>
          <t>total</t>
        </is>
      </c>
      <c r="F661" t="inlineStr">
        <is>
          <t>ROCKCODE</t>
        </is>
      </c>
      <c r="G661" t="inlineStr">
        <is>
          <t>BMHG</t>
        </is>
      </c>
      <c r="H661" t="inlineStr">
        <is>
          <t>sin asignar</t>
        </is>
      </c>
      <c r="I661" t="inlineStr">
        <is>
          <t>BMHG</t>
        </is>
      </c>
      <c r="J661" t="inlineStr">
        <is>
          <t>ROCKCODE agrupado en ROCKCODE_NUMEQ=13; sigla sin leyenda</t>
        </is>
      </c>
      <c r="K661" t="inlineStr">
        <is>
          <t>Hornfels (hipótesis: siglas H*)</t>
        </is>
      </c>
      <c r="L661" t="inlineStr">
        <is>
          <t>Metamorfico</t>
        </is>
      </c>
      <c r="M661" t="n">
        <v>9</v>
      </c>
      <c r="N661" t="inlineStr"/>
      <c r="O661" t="inlineStr"/>
      <c r="P661" t="n">
        <v>4.85</v>
      </c>
      <c r="Q661" t="n">
        <v>0.002</v>
      </c>
    </row>
    <row r="662">
      <c r="A662" t="inlineStr">
        <is>
          <t>MR24</t>
        </is>
      </c>
      <c r="B662" t="inlineStr">
        <is>
          <t>Merged_Table_Assay_lito</t>
        </is>
      </c>
      <c r="C662" t="inlineStr">
        <is>
          <t>metros de sondaje; pct sobre metros</t>
        </is>
      </c>
      <c r="D662" t="inlineStr">
        <is>
          <t>total</t>
        </is>
      </c>
      <c r="E662" t="inlineStr">
        <is>
          <t>total</t>
        </is>
      </c>
      <c r="F662" t="inlineStr">
        <is>
          <t>ROCKCODE</t>
        </is>
      </c>
      <c r="G662" t="inlineStr">
        <is>
          <t>BMIPPA</t>
        </is>
      </c>
      <c r="H662" t="inlineStr">
        <is>
          <t>Intrusivo</t>
        </is>
      </c>
      <c r="I662" t="inlineStr">
        <is>
          <t>BMIPPA</t>
        </is>
      </c>
      <c r="J662" t="inlineStr">
        <is>
          <t>ROCKCODE agrupado en ROCKCODE_NUMEQ=1 (Intrusivo_1)</t>
        </is>
      </c>
      <c r="K662" t="inlineStr">
        <is>
          <t>Intrusivo</t>
        </is>
      </c>
      <c r="L662" t="inlineStr">
        <is>
          <t>Intrusivo</t>
        </is>
      </c>
      <c r="M662" t="n">
        <v>8</v>
      </c>
      <c r="N662" t="inlineStr"/>
      <c r="O662" t="inlineStr"/>
      <c r="P662" t="n">
        <v>9.65</v>
      </c>
      <c r="Q662" t="n">
        <v>0.004</v>
      </c>
    </row>
    <row r="663">
      <c r="A663" t="inlineStr">
        <is>
          <t>MR24</t>
        </is>
      </c>
      <c r="B663" t="inlineStr">
        <is>
          <t>Merged_Table_Assay_lito</t>
        </is>
      </c>
      <c r="C663" t="inlineStr">
        <is>
          <t>metros de sondaje; pct sobre metros</t>
        </is>
      </c>
      <c r="D663" t="inlineStr">
        <is>
          <t>total</t>
        </is>
      </c>
      <c r="E663" t="inlineStr">
        <is>
          <t>total</t>
        </is>
      </c>
      <c r="F663" t="inlineStr">
        <is>
          <t>ROCKCODE</t>
        </is>
      </c>
      <c r="G663" t="inlineStr">
        <is>
          <t>C</t>
        </is>
      </c>
      <c r="H663" t="inlineStr">
        <is>
          <t>sin asignar</t>
        </is>
      </c>
      <c r="I663" t="inlineStr">
        <is>
          <t>C</t>
        </is>
      </c>
      <c r="J663" t="inlineStr">
        <is>
          <t>ROCKCODE agrupado en ROCKCODE_NUMEQ=10; sigla sin leyenda</t>
        </is>
      </c>
      <c r="K663" t="inlineStr">
        <is>
          <t>Caliza (hipótesis: siglas C*)</t>
        </is>
      </c>
      <c r="L663" t="inlineStr">
        <is>
          <t>Sedimentario</t>
        </is>
      </c>
      <c r="M663" t="n">
        <v>69</v>
      </c>
      <c r="N663" t="inlineStr"/>
      <c r="O663" t="inlineStr"/>
      <c r="P663" t="n">
        <v>295.45</v>
      </c>
      <c r="Q663" t="n">
        <v>0.114</v>
      </c>
    </row>
    <row r="664">
      <c r="A664" t="inlineStr">
        <is>
          <t>MR24</t>
        </is>
      </c>
      <c r="B664" t="inlineStr">
        <is>
          <t>Merged_Table_Assay_lito</t>
        </is>
      </c>
      <c r="C664" t="inlineStr">
        <is>
          <t>metros de sondaje; pct sobre metros</t>
        </is>
      </c>
      <c r="D664" t="inlineStr">
        <is>
          <t>total</t>
        </is>
      </c>
      <c r="E664" t="inlineStr">
        <is>
          <t>total</t>
        </is>
      </c>
      <c r="F664" t="inlineStr">
        <is>
          <t>ROCKCODE</t>
        </is>
      </c>
      <c r="G664" t="inlineStr">
        <is>
          <t>CA</t>
        </is>
      </c>
      <c r="H664" t="inlineStr">
        <is>
          <t>sin asignar</t>
        </is>
      </c>
      <c r="I664" t="inlineStr">
        <is>
          <t>CA</t>
        </is>
      </c>
      <c r="J664" t="inlineStr">
        <is>
          <t>ROCKCODE agrupado en ROCKCODE_NUMEQ=10; sigla sin leyenda</t>
        </is>
      </c>
      <c r="K664" t="inlineStr">
        <is>
          <t>Caliza (hipótesis: siglas C*)</t>
        </is>
      </c>
      <c r="L664" t="inlineStr">
        <is>
          <t>Sedimentario</t>
        </is>
      </c>
      <c r="M664" t="n">
        <v>1773</v>
      </c>
      <c r="N664" t="inlineStr"/>
      <c r="O664" t="inlineStr"/>
      <c r="P664" t="n">
        <v>1891.25</v>
      </c>
      <c r="Q664" t="n">
        <v>0.732</v>
      </c>
    </row>
    <row r="665">
      <c r="A665" t="inlineStr">
        <is>
          <t>MR24</t>
        </is>
      </c>
      <c r="B665" t="inlineStr">
        <is>
          <t>Merged_Table_Assay_lito</t>
        </is>
      </c>
      <c r="C665" t="inlineStr">
        <is>
          <t>metros de sondaje; pct sobre metros</t>
        </is>
      </c>
      <c r="D665" t="inlineStr">
        <is>
          <t>total</t>
        </is>
      </c>
      <c r="E665" t="inlineStr">
        <is>
          <t>total</t>
        </is>
      </c>
      <c r="F665" t="inlineStr">
        <is>
          <t>ROCKCODE</t>
        </is>
      </c>
      <c r="G665" t="inlineStr">
        <is>
          <t>CBMN</t>
        </is>
      </c>
      <c r="H665" t="inlineStr">
        <is>
          <t>sin asignar</t>
        </is>
      </c>
      <c r="I665" t="inlineStr">
        <is>
          <t>CBMN</t>
        </is>
      </c>
      <c r="J665" t="inlineStr">
        <is>
          <t>ROCKCODE agrupado en ROCKCODE_NUMEQ=10; sigla sin leyenda</t>
        </is>
      </c>
      <c r="K665" t="inlineStr">
        <is>
          <t>Caliza (hipótesis: siglas C*)</t>
        </is>
      </c>
      <c r="L665" t="inlineStr">
        <is>
          <t>Sedimentario</t>
        </is>
      </c>
      <c r="M665" t="n">
        <v>276</v>
      </c>
      <c r="N665" t="inlineStr"/>
      <c r="O665" t="inlineStr"/>
      <c r="P665" t="n">
        <v>286.9</v>
      </c>
      <c r="Q665" t="n">
        <v>0.111</v>
      </c>
    </row>
    <row r="666">
      <c r="A666" t="inlineStr">
        <is>
          <t>MR24</t>
        </is>
      </c>
      <c r="B666" t="inlineStr">
        <is>
          <t>Merged_Table_Assay_lito</t>
        </is>
      </c>
      <c r="C666" t="inlineStr">
        <is>
          <t>metros de sondaje; pct sobre metros</t>
        </is>
      </c>
      <c r="D666" t="inlineStr">
        <is>
          <t>total</t>
        </is>
      </c>
      <c r="E666" t="inlineStr">
        <is>
          <t>total</t>
        </is>
      </c>
      <c r="F666" t="inlineStr">
        <is>
          <t>ROCKCODE</t>
        </is>
      </c>
      <c r="G666" t="inlineStr">
        <is>
          <t>CF</t>
        </is>
      </c>
      <c r="H666" t="inlineStr">
        <is>
          <t>sin asignar</t>
        </is>
      </c>
      <c r="I666" t="inlineStr">
        <is>
          <t>CF</t>
        </is>
      </c>
      <c r="J666" t="inlineStr">
        <is>
          <t>ROCKCODE agrupado en ROCKCODE_NUMEQ=10; sigla sin leyenda</t>
        </is>
      </c>
      <c r="K666" t="inlineStr">
        <is>
          <t>Caliza (hipótesis: siglas C*)</t>
        </is>
      </c>
      <c r="L666" t="inlineStr">
        <is>
          <t>Sedimentario</t>
        </is>
      </c>
      <c r="M666" t="n">
        <v>159</v>
      </c>
      <c r="N666" t="inlineStr"/>
      <c r="O666" t="inlineStr"/>
      <c r="P666" t="n">
        <v>121.05</v>
      </c>
      <c r="Q666" t="n">
        <v>0.047</v>
      </c>
    </row>
    <row r="667">
      <c r="A667" t="inlineStr">
        <is>
          <t>MR24</t>
        </is>
      </c>
      <c r="B667" t="inlineStr">
        <is>
          <t>Merged_Table_Assay_lito</t>
        </is>
      </c>
      <c r="C667" t="inlineStr">
        <is>
          <t>metros de sondaje; pct sobre metros</t>
        </is>
      </c>
      <c r="D667" t="inlineStr">
        <is>
          <t>total</t>
        </is>
      </c>
      <c r="E667" t="inlineStr">
        <is>
          <t>total</t>
        </is>
      </c>
      <c r="F667" t="inlineStr">
        <is>
          <t>ROCKCODE</t>
        </is>
      </c>
      <c r="G667" t="inlineStr">
        <is>
          <t>CG</t>
        </is>
      </c>
      <c r="H667" t="inlineStr">
        <is>
          <t>sin asignar</t>
        </is>
      </c>
      <c r="I667" t="inlineStr">
        <is>
          <t>CG</t>
        </is>
      </c>
      <c r="J667" t="inlineStr">
        <is>
          <t>ROCKCODE agrupado en ROCKCODE_NUMEQ=10; sigla sin leyenda</t>
        </is>
      </c>
      <c r="K667" t="inlineStr">
        <is>
          <t>Caliza (hipótesis: siglas C*)</t>
        </is>
      </c>
      <c r="L667" t="inlineStr">
        <is>
          <t>Sedimentario</t>
        </is>
      </c>
      <c r="M667" t="n">
        <v>15326</v>
      </c>
      <c r="N667" t="inlineStr"/>
      <c r="O667" t="inlineStr"/>
      <c r="P667" t="n">
        <v>13837.55</v>
      </c>
      <c r="Q667" t="n">
        <v>5.355</v>
      </c>
    </row>
    <row r="668">
      <c r="A668" t="inlineStr">
        <is>
          <t>MR24</t>
        </is>
      </c>
      <c r="B668" t="inlineStr">
        <is>
          <t>Merged_Table_Assay_lito</t>
        </is>
      </c>
      <c r="C668" t="inlineStr">
        <is>
          <t>metros de sondaje; pct sobre metros</t>
        </is>
      </c>
      <c r="D668" t="inlineStr">
        <is>
          <t>total</t>
        </is>
      </c>
      <c r="E668" t="inlineStr">
        <is>
          <t>total</t>
        </is>
      </c>
      <c r="F668" t="inlineStr">
        <is>
          <t>ROCKCODE</t>
        </is>
      </c>
      <c r="G668" t="inlineStr">
        <is>
          <t>CGS</t>
        </is>
      </c>
      <c r="H668" t="inlineStr">
        <is>
          <t>sin asignar</t>
        </is>
      </c>
      <c r="I668" t="inlineStr">
        <is>
          <t>CGS</t>
        </is>
      </c>
      <c r="J668" t="inlineStr">
        <is>
          <t>ROCKCODE agrupado en ROCKCODE_NUMEQ=10; sigla sin leyenda</t>
        </is>
      </c>
      <c r="K668" t="inlineStr">
        <is>
          <t>Caliza (hipótesis: siglas C*)</t>
        </is>
      </c>
      <c r="L668" t="inlineStr">
        <is>
          <t>Sedimentario</t>
        </is>
      </c>
      <c r="M668" t="n">
        <v>9230</v>
      </c>
      <c r="N668" t="inlineStr"/>
      <c r="O668" t="inlineStr"/>
      <c r="P668" t="n">
        <v>8022.15</v>
      </c>
      <c r="Q668" t="n">
        <v>3.104</v>
      </c>
    </row>
    <row r="669">
      <c r="A669" t="inlineStr">
        <is>
          <t>MR24</t>
        </is>
      </c>
      <c r="B669" t="inlineStr">
        <is>
          <t>Merged_Table_Assay_lito</t>
        </is>
      </c>
      <c r="C669" t="inlineStr">
        <is>
          <t>metros de sondaje; pct sobre metros</t>
        </is>
      </c>
      <c r="D669" t="inlineStr">
        <is>
          <t>total</t>
        </is>
      </c>
      <c r="E669" t="inlineStr">
        <is>
          <t>total</t>
        </is>
      </c>
      <c r="F669" t="inlineStr">
        <is>
          <t>ROCKCODE</t>
        </is>
      </c>
      <c r="G669" t="inlineStr">
        <is>
          <t>CM</t>
        </is>
      </c>
      <c r="H669" t="inlineStr">
        <is>
          <t>sin asignar</t>
        </is>
      </c>
      <c r="I669" t="inlineStr">
        <is>
          <t>CM</t>
        </is>
      </c>
      <c r="J669" t="inlineStr">
        <is>
          <t>ROCKCODE agrupado en ROCKCODE_NUMEQ=10; sigla sin leyenda</t>
        </is>
      </c>
      <c r="K669" t="inlineStr">
        <is>
          <t>Caliza (hipótesis: siglas C*)</t>
        </is>
      </c>
      <c r="L669" t="inlineStr">
        <is>
          <t>Sedimentario</t>
        </is>
      </c>
      <c r="M669" t="n">
        <v>36</v>
      </c>
      <c r="N669" t="inlineStr"/>
      <c r="O669" t="inlineStr"/>
      <c r="P669" t="n">
        <v>109.2</v>
      </c>
      <c r="Q669" t="n">
        <v>0.042</v>
      </c>
    </row>
    <row r="670">
      <c r="A670" t="inlineStr">
        <is>
          <t>MR24</t>
        </is>
      </c>
      <c r="B670" t="inlineStr">
        <is>
          <t>Merged_Table_Assay_lito</t>
        </is>
      </c>
      <c r="C670" t="inlineStr">
        <is>
          <t>metros de sondaje; pct sobre metros</t>
        </is>
      </c>
      <c r="D670" t="inlineStr">
        <is>
          <t>total</t>
        </is>
      </c>
      <c r="E670" t="inlineStr">
        <is>
          <t>total</t>
        </is>
      </c>
      <c r="F670" t="inlineStr">
        <is>
          <t>ROCKCODE</t>
        </is>
      </c>
      <c r="G670" t="inlineStr">
        <is>
          <t>CN</t>
        </is>
      </c>
      <c r="H670" t="inlineStr">
        <is>
          <t>sin asignar</t>
        </is>
      </c>
      <c r="I670" t="inlineStr">
        <is>
          <t>CN</t>
        </is>
      </c>
      <c r="J670" t="inlineStr">
        <is>
          <t>ROCKCODE agrupado en ROCKCODE_NUMEQ=10; sigla sin leyenda</t>
        </is>
      </c>
      <c r="K670" t="inlineStr">
        <is>
          <t>Caliza (hipótesis: siglas C*)</t>
        </is>
      </c>
      <c r="L670" t="inlineStr">
        <is>
          <t>Sedimentario</t>
        </is>
      </c>
      <c r="M670" t="n">
        <v>1981</v>
      </c>
      <c r="N670" t="inlineStr"/>
      <c r="O670" t="inlineStr"/>
      <c r="P670" t="n">
        <v>1850.3</v>
      </c>
      <c r="Q670" t="n">
        <v>0.716</v>
      </c>
    </row>
    <row r="671">
      <c r="A671" t="inlineStr">
        <is>
          <t>MR24</t>
        </is>
      </c>
      <c r="B671" t="inlineStr">
        <is>
          <t>Merged_Table_Assay_lito</t>
        </is>
      </c>
      <c r="C671" t="inlineStr">
        <is>
          <t>metros de sondaje; pct sobre metros</t>
        </is>
      </c>
      <c r="D671" t="inlineStr">
        <is>
          <t>total</t>
        </is>
      </c>
      <c r="E671" t="inlineStr">
        <is>
          <t>total</t>
        </is>
      </c>
      <c r="F671" t="inlineStr">
        <is>
          <t>ROCKCODE</t>
        </is>
      </c>
      <c r="G671" t="inlineStr">
        <is>
          <t>DI</t>
        </is>
      </c>
      <c r="H671" t="inlineStr">
        <is>
          <t>Intrusivo</t>
        </is>
      </c>
      <c r="I671" t="inlineStr">
        <is>
          <t>DI</t>
        </is>
      </c>
      <c r="J671" t="inlineStr">
        <is>
          <t>ROCKCODE agrupado en ROCKCODE_NUMEQ=1 (Intrusivo_1)</t>
        </is>
      </c>
      <c r="K671" t="inlineStr">
        <is>
          <t>Intrusivo</t>
        </is>
      </c>
      <c r="L671" t="inlineStr">
        <is>
          <t>Intrusivo</t>
        </is>
      </c>
      <c r="M671" t="n">
        <v>6</v>
      </c>
      <c r="N671" t="inlineStr"/>
      <c r="O671" t="inlineStr"/>
      <c r="P671" t="n">
        <v>4.05</v>
      </c>
      <c r="Q671" t="n">
        <v>0.002</v>
      </c>
    </row>
    <row r="672">
      <c r="A672" t="inlineStr">
        <is>
          <t>MR24</t>
        </is>
      </c>
      <c r="B672" t="inlineStr">
        <is>
          <t>Merged_Table_Assay_lito</t>
        </is>
      </c>
      <c r="C672" t="inlineStr">
        <is>
          <t>metros de sondaje; pct sobre metros</t>
        </is>
      </c>
      <c r="D672" t="inlineStr">
        <is>
          <t>total</t>
        </is>
      </c>
      <c r="E672" t="inlineStr">
        <is>
          <t>total</t>
        </is>
      </c>
      <c r="F672" t="inlineStr">
        <is>
          <t>ROCKCODE</t>
        </is>
      </c>
      <c r="G672" t="inlineStr">
        <is>
          <t>HBV</t>
        </is>
      </c>
      <c r="H672" t="inlineStr">
        <is>
          <t>sin asignar</t>
        </is>
      </c>
      <c r="I672" t="inlineStr">
        <is>
          <t>HBV</t>
        </is>
      </c>
      <c r="J672" t="inlineStr">
        <is>
          <t>ROCKCODE agrupado en ROCKCODE_NUMEQ=14; sigla sin leyenda</t>
        </is>
      </c>
      <c r="K672" t="inlineStr">
        <is>
          <t>Hornfels (hipótesis: siglas H*)</t>
        </is>
      </c>
      <c r="L672" t="inlineStr">
        <is>
          <t>Metamorfico</t>
        </is>
      </c>
      <c r="M672" t="n">
        <v>1932</v>
      </c>
      <c r="N672" t="inlineStr"/>
      <c r="O672" t="inlineStr"/>
      <c r="P672" t="n">
        <v>1545.58</v>
      </c>
      <c r="Q672" t="n">
        <v>0.598</v>
      </c>
    </row>
    <row r="673">
      <c r="A673" t="inlineStr">
        <is>
          <t>MR24</t>
        </is>
      </c>
      <c r="B673" t="inlineStr">
        <is>
          <t>Merged_Table_Assay_lito</t>
        </is>
      </c>
      <c r="C673" t="inlineStr">
        <is>
          <t>metros de sondaje; pct sobre metros</t>
        </is>
      </c>
      <c r="D673" t="inlineStr">
        <is>
          <t>total</t>
        </is>
      </c>
      <c r="E673" t="inlineStr">
        <is>
          <t>total</t>
        </is>
      </c>
      <c r="F673" t="inlineStr">
        <is>
          <t>ROCKCODE</t>
        </is>
      </c>
      <c r="G673" t="inlineStr">
        <is>
          <t>HC</t>
        </is>
      </c>
      <c r="H673" t="inlineStr">
        <is>
          <t>sin asignar</t>
        </is>
      </c>
      <c r="I673" t="inlineStr">
        <is>
          <t>HC</t>
        </is>
      </c>
      <c r="J673" t="inlineStr">
        <is>
          <t>ROCKCODE agrupado en ROCKCODE_NUMEQ=13; sigla sin leyenda</t>
        </is>
      </c>
      <c r="K673" t="inlineStr">
        <is>
          <t>Hornfels (hipótesis: siglas H*)</t>
        </is>
      </c>
      <c r="L673" t="inlineStr">
        <is>
          <t>Metamorfico</t>
        </is>
      </c>
      <c r="M673" t="n">
        <v>7136</v>
      </c>
      <c r="N673" t="inlineStr"/>
      <c r="O673" t="inlineStr"/>
      <c r="P673" t="n">
        <v>6169.05</v>
      </c>
      <c r="Q673" t="n">
        <v>2.387</v>
      </c>
    </row>
    <row r="674">
      <c r="A674" t="inlineStr">
        <is>
          <t>MR24</t>
        </is>
      </c>
      <c r="B674" t="inlineStr">
        <is>
          <t>Merged_Table_Assay_lito</t>
        </is>
      </c>
      <c r="C674" t="inlineStr">
        <is>
          <t>metros de sondaje; pct sobre metros</t>
        </is>
      </c>
      <c r="D674" t="inlineStr">
        <is>
          <t>total</t>
        </is>
      </c>
      <c r="E674" t="inlineStr">
        <is>
          <t>total</t>
        </is>
      </c>
      <c r="F674" t="inlineStr">
        <is>
          <t>ROCKCODE</t>
        </is>
      </c>
      <c r="G674" t="inlineStr">
        <is>
          <t>HCB</t>
        </is>
      </c>
      <c r="H674" t="inlineStr">
        <is>
          <t>sin asignar</t>
        </is>
      </c>
      <c r="I674" t="inlineStr">
        <is>
          <t>HCB</t>
        </is>
      </c>
      <c r="J674" t="inlineStr">
        <is>
          <t>ROCKCODE agrupado en ROCKCODE_NUMEQ=14; sigla sin leyenda</t>
        </is>
      </c>
      <c r="K674" t="inlineStr">
        <is>
          <t>Hornfels (hipótesis: siglas H*)</t>
        </is>
      </c>
      <c r="L674" t="inlineStr">
        <is>
          <t>Metamorfico</t>
        </is>
      </c>
      <c r="M674" t="n">
        <v>825</v>
      </c>
      <c r="N674" t="inlineStr"/>
      <c r="O674" t="inlineStr"/>
      <c r="P674" t="n">
        <v>645.45</v>
      </c>
      <c r="Q674" t="n">
        <v>0.25</v>
      </c>
    </row>
    <row r="675">
      <c r="A675" t="inlineStr">
        <is>
          <t>MR24</t>
        </is>
      </c>
      <c r="B675" t="inlineStr">
        <is>
          <t>Merged_Table_Assay_lito</t>
        </is>
      </c>
      <c r="C675" t="inlineStr">
        <is>
          <t>metros de sondaje; pct sobre metros</t>
        </is>
      </c>
      <c r="D675" t="inlineStr">
        <is>
          <t>total</t>
        </is>
      </c>
      <c r="E675" t="inlineStr">
        <is>
          <t>total</t>
        </is>
      </c>
      <c r="F675" t="inlineStr">
        <is>
          <t>ROCKCODE</t>
        </is>
      </c>
      <c r="G675" t="inlineStr">
        <is>
          <t>HDP</t>
        </is>
      </c>
      <c r="H675" t="inlineStr">
        <is>
          <t>sin asignar</t>
        </is>
      </c>
      <c r="I675" t="inlineStr">
        <is>
          <t>HDP</t>
        </is>
      </c>
      <c r="J675" t="inlineStr">
        <is>
          <t>ROCKCODE agrupado en ROCKCODE_NUMEQ=14; sigla sin leyenda</t>
        </is>
      </c>
      <c r="K675" t="inlineStr">
        <is>
          <t>Hornfels (hipótesis: siglas H*)</t>
        </is>
      </c>
      <c r="L675" t="inlineStr">
        <is>
          <t>Metamorfico</t>
        </is>
      </c>
      <c r="M675" t="n">
        <v>516</v>
      </c>
      <c r="N675" t="inlineStr"/>
      <c r="O675" t="inlineStr"/>
      <c r="P675" t="n">
        <v>475.25</v>
      </c>
      <c r="Q675" t="n">
        <v>0.184</v>
      </c>
    </row>
    <row r="676">
      <c r="A676" t="inlineStr">
        <is>
          <t>MR24</t>
        </is>
      </c>
      <c r="B676" t="inlineStr">
        <is>
          <t>Merged_Table_Assay_lito</t>
        </is>
      </c>
      <c r="C676" t="inlineStr">
        <is>
          <t>metros de sondaje; pct sobre metros</t>
        </is>
      </c>
      <c r="D676" t="inlineStr">
        <is>
          <t>total</t>
        </is>
      </c>
      <c r="E676" t="inlineStr">
        <is>
          <t>total</t>
        </is>
      </c>
      <c r="F676" t="inlineStr">
        <is>
          <t>ROCKCODE</t>
        </is>
      </c>
      <c r="G676" t="inlineStr">
        <is>
          <t>HG</t>
        </is>
      </c>
      <c r="H676" t="inlineStr">
        <is>
          <t>sin asignar</t>
        </is>
      </c>
      <c r="I676" t="inlineStr">
        <is>
          <t>HG</t>
        </is>
      </c>
      <c r="J676" t="inlineStr">
        <is>
          <t>ROCKCODE agrupado en ROCKCODE_NUMEQ=13; sigla sin leyenda</t>
        </is>
      </c>
      <c r="K676" t="inlineStr">
        <is>
          <t>Hornfels (hipótesis: siglas H*)</t>
        </is>
      </c>
      <c r="L676" t="inlineStr">
        <is>
          <t>Metamorfico</t>
        </is>
      </c>
      <c r="M676" t="n">
        <v>21209</v>
      </c>
      <c r="N676" t="inlineStr"/>
      <c r="O676" t="inlineStr"/>
      <c r="P676" t="n">
        <v>18207.75</v>
      </c>
      <c r="Q676" t="n">
        <v>7.046</v>
      </c>
    </row>
    <row r="677">
      <c r="A677" t="inlineStr">
        <is>
          <t>MR24</t>
        </is>
      </c>
      <c r="B677" t="inlineStr">
        <is>
          <t>Merged_Table_Assay_lito</t>
        </is>
      </c>
      <c r="C677" t="inlineStr">
        <is>
          <t>metros de sondaje; pct sobre metros</t>
        </is>
      </c>
      <c r="D677" t="inlineStr">
        <is>
          <t>total</t>
        </is>
      </c>
      <c r="E677" t="inlineStr">
        <is>
          <t>total</t>
        </is>
      </c>
      <c r="F677" t="inlineStr">
        <is>
          <t>ROCKCODE</t>
        </is>
      </c>
      <c r="G677" t="inlineStr">
        <is>
          <t>HGS</t>
        </is>
      </c>
      <c r="H677" t="inlineStr">
        <is>
          <t>sin asignar</t>
        </is>
      </c>
      <c r="I677" t="inlineStr">
        <is>
          <t>HGS</t>
        </is>
      </c>
      <c r="J677" t="inlineStr">
        <is>
          <t>ROCKCODE agrupado en ROCKCODE_NUMEQ=13; sigla sin leyenda</t>
        </is>
      </c>
      <c r="K677" t="inlineStr">
        <is>
          <t>Hornfels (hipótesis: siglas H*)</t>
        </is>
      </c>
      <c r="L677" t="inlineStr">
        <is>
          <t>Metamorfico</t>
        </is>
      </c>
      <c r="M677" t="n">
        <v>7621</v>
      </c>
      <c r="N677" t="inlineStr"/>
      <c r="O677" t="inlineStr"/>
      <c r="P677" t="n">
        <v>6473.5</v>
      </c>
      <c r="Q677" t="n">
        <v>2.505</v>
      </c>
    </row>
    <row r="678">
      <c r="A678" t="inlineStr">
        <is>
          <t>MR24</t>
        </is>
      </c>
      <c r="B678" t="inlineStr">
        <is>
          <t>Merged_Table_Assay_lito</t>
        </is>
      </c>
      <c r="C678" t="inlineStr">
        <is>
          <t>metros de sondaje; pct sobre metros</t>
        </is>
      </c>
      <c r="D678" t="inlineStr">
        <is>
          <t>total</t>
        </is>
      </c>
      <c r="E678" t="inlineStr">
        <is>
          <t>total</t>
        </is>
      </c>
      <c r="F678" t="inlineStr">
        <is>
          <t>ROCKCODE</t>
        </is>
      </c>
      <c r="G678" t="inlineStr">
        <is>
          <t>HGV</t>
        </is>
      </c>
      <c r="H678" t="inlineStr">
        <is>
          <t>sin asignar</t>
        </is>
      </c>
      <c r="I678" t="inlineStr">
        <is>
          <t>HGV</t>
        </is>
      </c>
      <c r="J678" t="inlineStr">
        <is>
          <t>ROCKCODE agrupado en ROCKCODE_NUMEQ=14; sigla sin leyenda</t>
        </is>
      </c>
      <c r="K678" t="inlineStr">
        <is>
          <t>Hornfels (hipótesis: siglas H*)</t>
        </is>
      </c>
      <c r="L678" t="inlineStr">
        <is>
          <t>Metamorfico</t>
        </is>
      </c>
      <c r="M678" t="n">
        <v>1896</v>
      </c>
      <c r="N678" t="inlineStr"/>
      <c r="O678" t="inlineStr"/>
      <c r="P678" t="n">
        <v>1541</v>
      </c>
      <c r="Q678" t="n">
        <v>0.596</v>
      </c>
    </row>
    <row r="679">
      <c r="A679" t="inlineStr">
        <is>
          <t>MR24</t>
        </is>
      </c>
      <c r="B679" t="inlineStr">
        <is>
          <t>Merged_Table_Assay_lito</t>
        </is>
      </c>
      <c r="C679" t="inlineStr">
        <is>
          <t>metros de sondaje; pct sobre metros</t>
        </is>
      </c>
      <c r="D679" t="inlineStr">
        <is>
          <t>total</t>
        </is>
      </c>
      <c r="E679" t="inlineStr">
        <is>
          <t>total</t>
        </is>
      </c>
      <c r="F679" t="inlineStr">
        <is>
          <t>ROCKCODE</t>
        </is>
      </c>
      <c r="G679" t="inlineStr">
        <is>
          <t>HMGV</t>
        </is>
      </c>
      <c r="H679" t="inlineStr">
        <is>
          <t>sin asignar</t>
        </is>
      </c>
      <c r="I679" t="inlineStr">
        <is>
          <t>HMGV</t>
        </is>
      </c>
      <c r="J679" t="inlineStr">
        <is>
          <t>ROCKCODE agrupado en ROCKCODE_NUMEQ=14; sigla sin leyenda</t>
        </is>
      </c>
      <c r="K679" t="inlineStr">
        <is>
          <t>Hornfels (hipótesis: siglas H*)</t>
        </is>
      </c>
      <c r="L679" t="inlineStr">
        <is>
          <t>Metamorfico</t>
        </is>
      </c>
      <c r="M679" t="n">
        <v>278</v>
      </c>
      <c r="N679" t="inlineStr"/>
      <c r="O679" t="inlineStr"/>
      <c r="P679" t="n">
        <v>286.7</v>
      </c>
      <c r="Q679" t="n">
        <v>0.111</v>
      </c>
    </row>
    <row r="680">
      <c r="A680" t="inlineStr">
        <is>
          <t>MR24</t>
        </is>
      </c>
      <c r="B680" t="inlineStr">
        <is>
          <t>Merged_Table_Assay_lito</t>
        </is>
      </c>
      <c r="C680" t="inlineStr">
        <is>
          <t>metros de sondaje; pct sobre metros</t>
        </is>
      </c>
      <c r="D680" t="inlineStr">
        <is>
          <t>total</t>
        </is>
      </c>
      <c r="E680" t="inlineStr">
        <is>
          <t>total</t>
        </is>
      </c>
      <c r="F680" t="inlineStr">
        <is>
          <t>ROCKCODE</t>
        </is>
      </c>
      <c r="G680" t="inlineStr">
        <is>
          <t>HV</t>
        </is>
      </c>
      <c r="H680" t="inlineStr">
        <is>
          <t>sin asignar</t>
        </is>
      </c>
      <c r="I680" t="inlineStr">
        <is>
          <t>HV</t>
        </is>
      </c>
      <c r="J680" t="inlineStr">
        <is>
          <t>ROCKCODE agrupado en ROCKCODE_NUMEQ=14; sigla sin leyenda</t>
        </is>
      </c>
      <c r="K680" t="inlineStr">
        <is>
          <t>Hornfels (hipótesis: siglas H*)</t>
        </is>
      </c>
      <c r="L680" t="inlineStr">
        <is>
          <t>Metamorfico</t>
        </is>
      </c>
      <c r="M680" t="n">
        <v>67</v>
      </c>
      <c r="N680" t="inlineStr"/>
      <c r="O680" t="inlineStr"/>
      <c r="P680" t="n">
        <v>59.4</v>
      </c>
      <c r="Q680" t="n">
        <v>0.023</v>
      </c>
    </row>
    <row r="681">
      <c r="A681" t="inlineStr">
        <is>
          <t>MR24</t>
        </is>
      </c>
      <c r="B681" t="inlineStr">
        <is>
          <t>Merged_Table_Assay_lito</t>
        </is>
      </c>
      <c r="C681" t="inlineStr">
        <is>
          <t>metros de sondaje; pct sobre metros</t>
        </is>
      </c>
      <c r="D681" t="inlineStr">
        <is>
          <t>total</t>
        </is>
      </c>
      <c r="E681" t="inlineStr">
        <is>
          <t>total</t>
        </is>
      </c>
      <c r="F681" t="inlineStr">
        <is>
          <t>ROCKCODE</t>
        </is>
      </c>
      <c r="G681" t="inlineStr">
        <is>
          <t>IPHPE</t>
        </is>
      </c>
      <c r="H681" t="inlineStr">
        <is>
          <t>Intrusivo</t>
        </is>
      </c>
      <c r="I681" t="inlineStr">
        <is>
          <t>IPHPE</t>
        </is>
      </c>
      <c r="J681" t="inlineStr">
        <is>
          <t>ROCKCODE agrupado en ROCKCODE_NUMEQ=1 (Intrusivo_1)</t>
        </is>
      </c>
      <c r="K681" t="inlineStr">
        <is>
          <t>Intrusivo</t>
        </is>
      </c>
      <c r="L681" t="inlineStr">
        <is>
          <t>Intrusivo</t>
        </is>
      </c>
      <c r="M681" t="n">
        <v>112</v>
      </c>
      <c r="N681" t="inlineStr"/>
      <c r="O681" t="inlineStr"/>
      <c r="P681" t="n">
        <v>87.34999999999999</v>
      </c>
      <c r="Q681" t="n">
        <v>0.034</v>
      </c>
    </row>
    <row r="682">
      <c r="A682" t="inlineStr">
        <is>
          <t>MR24</t>
        </is>
      </c>
      <c r="B682" t="inlineStr">
        <is>
          <t>Merged_Table_Assay_lito</t>
        </is>
      </c>
      <c r="C682" t="inlineStr">
        <is>
          <t>metros de sondaje; pct sobre metros</t>
        </is>
      </c>
      <c r="D682" t="inlineStr">
        <is>
          <t>total</t>
        </is>
      </c>
      <c r="E682" t="inlineStr">
        <is>
          <t>total</t>
        </is>
      </c>
      <c r="F682" t="inlineStr">
        <is>
          <t>ROCKCODE</t>
        </is>
      </c>
      <c r="G682" t="inlineStr">
        <is>
          <t>IPPA</t>
        </is>
      </c>
      <c r="H682" t="inlineStr">
        <is>
          <t>Intrusivo</t>
        </is>
      </c>
      <c r="I682" t="inlineStr">
        <is>
          <t>IPPA</t>
        </is>
      </c>
      <c r="J682" t="inlineStr">
        <is>
          <t>ROCKCODE agrupado en ROCKCODE_NUMEQ=1 (Intrusivo_1)</t>
        </is>
      </c>
      <c r="K682" t="inlineStr">
        <is>
          <t>Intrusivo</t>
        </is>
      </c>
      <c r="L682" t="inlineStr">
        <is>
          <t>Intrusivo</t>
        </is>
      </c>
      <c r="M682" t="n">
        <v>34084</v>
      </c>
      <c r="N682" t="inlineStr"/>
      <c r="O682" t="inlineStr"/>
      <c r="P682" t="n">
        <v>42233.96</v>
      </c>
      <c r="Q682" t="n">
        <v>16.343</v>
      </c>
    </row>
    <row r="683">
      <c r="A683" t="inlineStr">
        <is>
          <t>MR24</t>
        </is>
      </c>
      <c r="B683" t="inlineStr">
        <is>
          <t>Merged_Table_Assay_lito</t>
        </is>
      </c>
      <c r="C683" t="inlineStr">
        <is>
          <t>metros de sondaje; pct sobre metros</t>
        </is>
      </c>
      <c r="D683" t="inlineStr">
        <is>
          <t>total</t>
        </is>
      </c>
      <c r="E683" t="inlineStr">
        <is>
          <t>total</t>
        </is>
      </c>
      <c r="F683" t="inlineStr">
        <is>
          <t>ROCKCODE</t>
        </is>
      </c>
      <c r="G683" t="inlineStr">
        <is>
          <t>IPPAMO</t>
        </is>
      </c>
      <c r="H683" t="inlineStr">
        <is>
          <t>Intrusivo</t>
        </is>
      </c>
      <c r="I683" t="inlineStr">
        <is>
          <t>IPPAMO</t>
        </is>
      </c>
      <c r="J683" t="inlineStr">
        <is>
          <t>ROCKCODE agrupado en ROCKCODE_NUMEQ=1 (Intrusivo_1)</t>
        </is>
      </c>
      <c r="K683" t="inlineStr">
        <is>
          <t>Intrusivo</t>
        </is>
      </c>
      <c r="L683" t="inlineStr">
        <is>
          <t>Intrusivo</t>
        </is>
      </c>
      <c r="M683" t="n">
        <v>4641</v>
      </c>
      <c r="N683" t="inlineStr"/>
      <c r="O683" t="inlineStr"/>
      <c r="P683" t="n">
        <v>5235.89</v>
      </c>
      <c r="Q683" t="n">
        <v>2.026</v>
      </c>
    </row>
    <row r="684">
      <c r="A684" t="inlineStr">
        <is>
          <t>MR24</t>
        </is>
      </c>
      <c r="B684" t="inlineStr">
        <is>
          <t>Merged_Table_Assay_lito</t>
        </is>
      </c>
      <c r="C684" t="inlineStr">
        <is>
          <t>metros de sondaje; pct sobre metros</t>
        </is>
      </c>
      <c r="D684" t="inlineStr">
        <is>
          <t>total</t>
        </is>
      </c>
      <c r="E684" t="inlineStr">
        <is>
          <t>total</t>
        </is>
      </c>
      <c r="F684" t="inlineStr">
        <is>
          <t>ROCKCODE</t>
        </is>
      </c>
      <c r="G684" t="inlineStr">
        <is>
          <t>IPPAO</t>
        </is>
      </c>
      <c r="H684" t="inlineStr">
        <is>
          <t>Intrusivo</t>
        </is>
      </c>
      <c r="I684" t="inlineStr">
        <is>
          <t>IPPAO</t>
        </is>
      </c>
      <c r="J684" t="inlineStr">
        <is>
          <t>ROCKCODE agrupado en ROCKCODE_NUMEQ=1 (Intrusivo_1)</t>
        </is>
      </c>
      <c r="K684" t="inlineStr">
        <is>
          <t>Intrusivo</t>
        </is>
      </c>
      <c r="L684" t="inlineStr">
        <is>
          <t>Intrusivo</t>
        </is>
      </c>
      <c r="M684" t="n">
        <v>20954</v>
      </c>
      <c r="N684" t="inlineStr"/>
      <c r="O684" t="inlineStr"/>
      <c r="P684" t="n">
        <v>27067.93</v>
      </c>
      <c r="Q684" t="n">
        <v>10.474</v>
      </c>
    </row>
    <row r="685">
      <c r="A685" t="inlineStr">
        <is>
          <t>MR24</t>
        </is>
      </c>
      <c r="B685" t="inlineStr">
        <is>
          <t>Merged_Table_Assay_lito</t>
        </is>
      </c>
      <c r="C685" t="inlineStr">
        <is>
          <t>metros de sondaje; pct sobre metros</t>
        </is>
      </c>
      <c r="D685" t="inlineStr">
        <is>
          <t>total</t>
        </is>
      </c>
      <c r="E685" t="inlineStr">
        <is>
          <t>total</t>
        </is>
      </c>
      <c r="F685" t="inlineStr">
        <is>
          <t>ROCKCODE</t>
        </is>
      </c>
      <c r="G685" t="inlineStr">
        <is>
          <t>IPPEO</t>
        </is>
      </c>
      <c r="H685" t="inlineStr">
        <is>
          <t>Intrusivo</t>
        </is>
      </c>
      <c r="I685" t="inlineStr">
        <is>
          <t>IPPEO</t>
        </is>
      </c>
      <c r="J685" t="inlineStr">
        <is>
          <t>ROCKCODE agrupado en ROCKCODE_NUMEQ=1 (Intrusivo_1)</t>
        </is>
      </c>
      <c r="K685" t="inlineStr">
        <is>
          <t>Intrusivo</t>
        </is>
      </c>
      <c r="L685" t="inlineStr">
        <is>
          <t>Intrusivo</t>
        </is>
      </c>
      <c r="M685" t="n">
        <v>1138</v>
      </c>
      <c r="N685" t="inlineStr"/>
      <c r="O685" t="inlineStr"/>
      <c r="P685" t="n">
        <v>1107.1</v>
      </c>
      <c r="Q685" t="n">
        <v>0.428</v>
      </c>
    </row>
    <row r="686">
      <c r="A686" t="inlineStr">
        <is>
          <t>MR24</t>
        </is>
      </c>
      <c r="B686" t="inlineStr">
        <is>
          <t>Merged_Table_Assay_lito</t>
        </is>
      </c>
      <c r="C686" t="inlineStr">
        <is>
          <t>metros de sondaje; pct sobre metros</t>
        </is>
      </c>
      <c r="D686" t="inlineStr">
        <is>
          <t>total</t>
        </is>
      </c>
      <c r="E686" t="inlineStr">
        <is>
          <t>total</t>
        </is>
      </c>
      <c r="F686" t="inlineStr">
        <is>
          <t>ROCKCODE</t>
        </is>
      </c>
      <c r="G686" t="inlineStr">
        <is>
          <t>M</t>
        </is>
      </c>
      <c r="H686" t="inlineStr">
        <is>
          <t>sin asignar</t>
        </is>
      </c>
      <c r="I686" t="inlineStr">
        <is>
          <t>M</t>
        </is>
      </c>
      <c r="J686" t="inlineStr">
        <is>
          <t>ROCKCODE agrupado en ROCKCODE_NUMEQ=16; sigla sin leyenda</t>
        </is>
      </c>
      <c r="K686" t="inlineStr">
        <is>
          <t>Mármol (hipótesis: siglas M*)</t>
        </is>
      </c>
      <c r="L686" t="inlineStr">
        <is>
          <t>Metamorfico</t>
        </is>
      </c>
      <c r="M686" t="n">
        <v>57</v>
      </c>
      <c r="N686" t="inlineStr"/>
      <c r="O686" t="inlineStr"/>
      <c r="P686" t="n">
        <v>103.55</v>
      </c>
      <c r="Q686" t="n">
        <v>0.04</v>
      </c>
    </row>
    <row r="687">
      <c r="A687" t="inlineStr">
        <is>
          <t>MR24</t>
        </is>
      </c>
      <c r="B687" t="inlineStr">
        <is>
          <t>Merged_Table_Assay_lito</t>
        </is>
      </c>
      <c r="C687" t="inlineStr">
        <is>
          <t>metros de sondaje; pct sobre metros</t>
        </is>
      </c>
      <c r="D687" t="inlineStr">
        <is>
          <t>total</t>
        </is>
      </c>
      <c r="E687" t="inlineStr">
        <is>
          <t>total</t>
        </is>
      </c>
      <c r="F687" t="inlineStr">
        <is>
          <t>ROCKCODE</t>
        </is>
      </c>
      <c r="G687" t="inlineStr">
        <is>
          <t>MC</t>
        </is>
      </c>
      <c r="H687" t="inlineStr">
        <is>
          <t>sin asignar</t>
        </is>
      </c>
      <c r="I687" t="inlineStr">
        <is>
          <t>MC</t>
        </is>
      </c>
      <c r="J687" t="inlineStr">
        <is>
          <t>ROCKCODE agrupado en ROCKCODE_NUMEQ=16; sigla sin leyenda</t>
        </is>
      </c>
      <c r="K687" t="inlineStr">
        <is>
          <t>Mármol (hipótesis: siglas M*)</t>
        </is>
      </c>
      <c r="L687" t="inlineStr">
        <is>
          <t>Metamorfico</t>
        </is>
      </c>
      <c r="M687" t="n">
        <v>32694</v>
      </c>
      <c r="N687" t="inlineStr"/>
      <c r="O687" t="inlineStr"/>
      <c r="P687" t="n">
        <v>36837.29</v>
      </c>
      <c r="Q687" t="n">
        <v>14.255</v>
      </c>
    </row>
    <row r="688">
      <c r="A688" t="inlineStr">
        <is>
          <t>MR24</t>
        </is>
      </c>
      <c r="B688" t="inlineStr">
        <is>
          <t>Merged_Table_Assay_lito</t>
        </is>
      </c>
      <c r="C688" t="inlineStr">
        <is>
          <t>metros de sondaje; pct sobre metros</t>
        </is>
      </c>
      <c r="D688" t="inlineStr">
        <is>
          <t>total</t>
        </is>
      </c>
      <c r="E688" t="inlineStr">
        <is>
          <t>total</t>
        </is>
      </c>
      <c r="F688" t="inlineStr">
        <is>
          <t>ROCKCODE</t>
        </is>
      </c>
      <c r="G688" t="inlineStr">
        <is>
          <t>MCB</t>
        </is>
      </c>
      <c r="H688" t="inlineStr">
        <is>
          <t>sin asignar</t>
        </is>
      </c>
      <c r="I688" t="inlineStr">
        <is>
          <t>MCB</t>
        </is>
      </c>
      <c r="J688" t="inlineStr">
        <is>
          <t>ROCKCODE agrupado en ROCKCODE_NUMEQ=16; sigla sin leyenda</t>
        </is>
      </c>
      <c r="K688" t="inlineStr">
        <is>
          <t>Mármol (hipótesis: siglas M*)</t>
        </is>
      </c>
      <c r="L688" t="inlineStr">
        <is>
          <t>Metamorfico</t>
        </is>
      </c>
      <c r="M688" t="n">
        <v>4491</v>
      </c>
      <c r="N688" t="inlineStr"/>
      <c r="O688" t="inlineStr"/>
      <c r="P688" t="n">
        <v>5739.75</v>
      </c>
      <c r="Q688" t="n">
        <v>2.221</v>
      </c>
    </row>
    <row r="689">
      <c r="A689" t="inlineStr">
        <is>
          <t>MR24</t>
        </is>
      </c>
      <c r="B689" t="inlineStr">
        <is>
          <t>Merged_Table_Assay_lito</t>
        </is>
      </c>
      <c r="C689" t="inlineStr">
        <is>
          <t>metros de sondaje; pct sobre metros</t>
        </is>
      </c>
      <c r="D689" t="inlineStr">
        <is>
          <t>total</t>
        </is>
      </c>
      <c r="E689" t="inlineStr">
        <is>
          <t>total</t>
        </is>
      </c>
      <c r="F689" t="inlineStr">
        <is>
          <t>ROCKCODE</t>
        </is>
      </c>
      <c r="G689" t="inlineStr">
        <is>
          <t>MCGB</t>
        </is>
      </c>
      <c r="H689" t="inlineStr">
        <is>
          <t>sin asignar</t>
        </is>
      </c>
      <c r="I689" t="inlineStr">
        <is>
          <t>MCGB</t>
        </is>
      </c>
      <c r="J689" t="inlineStr">
        <is>
          <t>ROCKCODE agrupado en ROCKCODE_NUMEQ=16; sigla sin leyenda</t>
        </is>
      </c>
      <c r="K689" t="inlineStr">
        <is>
          <t>Mármol (hipótesis: siglas M*)</t>
        </is>
      </c>
      <c r="L689" t="inlineStr">
        <is>
          <t>Metamorfico</t>
        </is>
      </c>
      <c r="M689" t="n">
        <v>11767</v>
      </c>
      <c r="N689" t="inlineStr"/>
      <c r="O689" t="inlineStr"/>
      <c r="P689" t="n">
        <v>11983.71</v>
      </c>
      <c r="Q689" t="n">
        <v>4.637</v>
      </c>
    </row>
    <row r="690">
      <c r="A690" t="inlineStr">
        <is>
          <t>MR24</t>
        </is>
      </c>
      <c r="B690" t="inlineStr">
        <is>
          <t>Merged_Table_Assay_lito</t>
        </is>
      </c>
      <c r="C690" t="inlineStr">
        <is>
          <t>metros de sondaje; pct sobre metros</t>
        </is>
      </c>
      <c r="D690" t="inlineStr">
        <is>
          <t>total</t>
        </is>
      </c>
      <c r="E690" t="inlineStr">
        <is>
          <t>total</t>
        </is>
      </c>
      <c r="F690" t="inlineStr">
        <is>
          <t>ROCKCODE</t>
        </is>
      </c>
      <c r="G690" t="inlineStr">
        <is>
          <t>MDL</t>
        </is>
      </c>
      <c r="H690" t="inlineStr">
        <is>
          <t>sin asignar</t>
        </is>
      </c>
      <c r="I690" t="inlineStr">
        <is>
          <t>MDL</t>
        </is>
      </c>
      <c r="J690" t="inlineStr">
        <is>
          <t>ROCKCODE agrupado en ROCKCODE_NUMEQ=16; sigla sin leyenda</t>
        </is>
      </c>
      <c r="K690" t="inlineStr">
        <is>
          <t>Mármol (hipótesis: siglas M*)</t>
        </is>
      </c>
      <c r="L690" t="inlineStr">
        <is>
          <t>Metamorfico</t>
        </is>
      </c>
      <c r="M690" t="n">
        <v>79</v>
      </c>
      <c r="N690" t="inlineStr"/>
      <c r="O690" t="inlineStr"/>
      <c r="P690" t="n">
        <v>176.35</v>
      </c>
      <c r="Q690" t="n">
        <v>0.068</v>
      </c>
    </row>
    <row r="691">
      <c r="A691" t="inlineStr">
        <is>
          <t>MR24</t>
        </is>
      </c>
      <c r="B691" t="inlineStr">
        <is>
          <t>Merged_Table_Assay_lito</t>
        </is>
      </c>
      <c r="C691" t="inlineStr">
        <is>
          <t>metros de sondaje; pct sobre metros</t>
        </is>
      </c>
      <c r="D691" t="inlineStr">
        <is>
          <t>total</t>
        </is>
      </c>
      <c r="E691" t="inlineStr">
        <is>
          <t>total</t>
        </is>
      </c>
      <c r="F691" t="inlineStr">
        <is>
          <t>ROCKCODE</t>
        </is>
      </c>
      <c r="G691" t="inlineStr">
        <is>
          <t>MDP</t>
        </is>
      </c>
      <c r="H691" t="inlineStr">
        <is>
          <t>sin asignar</t>
        </is>
      </c>
      <c r="I691" t="inlineStr">
        <is>
          <t>MDP</t>
        </is>
      </c>
      <c r="J691" t="inlineStr">
        <is>
          <t>ROCKCODE agrupado en ROCKCODE_NUMEQ=19; sigla sin leyenda</t>
        </is>
      </c>
      <c r="K691" t="inlineStr">
        <is>
          <t>Mármol (hipótesis: sigla MDP)</t>
        </is>
      </c>
      <c r="L691" t="inlineStr">
        <is>
          <t>Metamorfico</t>
        </is>
      </c>
      <c r="M691" t="n">
        <v>34066</v>
      </c>
      <c r="N691" t="inlineStr"/>
      <c r="O691" t="inlineStr"/>
      <c r="P691" t="n">
        <v>33075.63</v>
      </c>
      <c r="Q691" t="n">
        <v>12.799</v>
      </c>
    </row>
    <row r="692">
      <c r="A692" t="inlineStr">
        <is>
          <t>MR24</t>
        </is>
      </c>
      <c r="B692" t="inlineStr">
        <is>
          <t>Merged_Table_Assay_lito</t>
        </is>
      </c>
      <c r="C692" t="inlineStr">
        <is>
          <t>metros de sondaje; pct sobre metros</t>
        </is>
      </c>
      <c r="D692" t="inlineStr">
        <is>
          <t>total</t>
        </is>
      </c>
      <c r="E692" t="inlineStr">
        <is>
          <t>total</t>
        </is>
      </c>
      <c r="F692" t="inlineStr">
        <is>
          <t>ROCKCODE</t>
        </is>
      </c>
      <c r="G692" t="inlineStr">
        <is>
          <t>MG</t>
        </is>
      </c>
      <c r="H692" t="inlineStr">
        <is>
          <t>sin asignar</t>
        </is>
      </c>
      <c r="I692" t="inlineStr">
        <is>
          <t>MG</t>
        </is>
      </c>
      <c r="J692" t="inlineStr">
        <is>
          <t>ROCKCODE agrupado en ROCKCODE_NUMEQ=16; sigla sin leyenda</t>
        </is>
      </c>
      <c r="K692" t="inlineStr">
        <is>
          <t>Mármol (hipótesis: siglas M*)</t>
        </is>
      </c>
      <c r="L692" t="inlineStr">
        <is>
          <t>Metamorfico</t>
        </is>
      </c>
      <c r="M692" t="n">
        <v>13016</v>
      </c>
      <c r="N692" t="inlineStr"/>
      <c r="O692" t="inlineStr"/>
      <c r="P692" t="n">
        <v>12318.25</v>
      </c>
      <c r="Q692" t="n">
        <v>4.767</v>
      </c>
    </row>
    <row r="693">
      <c r="A693" t="inlineStr">
        <is>
          <t>MR24</t>
        </is>
      </c>
      <c r="B693" t="inlineStr">
        <is>
          <t>Merged_Table_Assay_lito</t>
        </is>
      </c>
      <c r="C693" t="inlineStr">
        <is>
          <t>metros de sondaje; pct sobre metros</t>
        </is>
      </c>
      <c r="D693" t="inlineStr">
        <is>
          <t>total</t>
        </is>
      </c>
      <c r="E693" t="inlineStr">
        <is>
          <t>total</t>
        </is>
      </c>
      <c r="F693" t="inlineStr">
        <is>
          <t>ROCKCODE</t>
        </is>
      </c>
      <c r="G693" t="inlineStr">
        <is>
          <t>MGS</t>
        </is>
      </c>
      <c r="H693" t="inlineStr">
        <is>
          <t>sin asignar</t>
        </is>
      </c>
      <c r="I693" t="inlineStr">
        <is>
          <t>MGS</t>
        </is>
      </c>
      <c r="J693" t="inlineStr">
        <is>
          <t>ROCKCODE agrupado en ROCKCODE_NUMEQ=16; sigla sin leyenda</t>
        </is>
      </c>
      <c r="K693" t="inlineStr">
        <is>
          <t>Mármol (hipótesis: siglas M*)</t>
        </is>
      </c>
      <c r="L693" t="inlineStr">
        <is>
          <t>Metamorfico</t>
        </is>
      </c>
      <c r="M693" t="n">
        <v>7766</v>
      </c>
      <c r="N693" t="inlineStr"/>
      <c r="O693" t="inlineStr"/>
      <c r="P693" t="n">
        <v>7097.1</v>
      </c>
      <c r="Q693" t="n">
        <v>2.746</v>
      </c>
    </row>
    <row r="694">
      <c r="A694" t="inlineStr">
        <is>
          <t>MR24</t>
        </is>
      </c>
      <c r="B694" t="inlineStr">
        <is>
          <t>Merged_Table_Assay_lito</t>
        </is>
      </c>
      <c r="C694" t="inlineStr">
        <is>
          <t>metros de sondaje; pct sobre metros</t>
        </is>
      </c>
      <c r="D694" t="inlineStr">
        <is>
          <t>total</t>
        </is>
      </c>
      <c r="E694" t="inlineStr">
        <is>
          <t>total</t>
        </is>
      </c>
      <c r="F694" t="inlineStr">
        <is>
          <t>ROCKCODE</t>
        </is>
      </c>
      <c r="G694" t="inlineStr">
        <is>
          <t>MPA</t>
        </is>
      </c>
      <c r="H694" t="inlineStr">
        <is>
          <t>sin asignar</t>
        </is>
      </c>
      <c r="I694" t="inlineStr">
        <is>
          <t>MPA</t>
        </is>
      </c>
      <c r="J694" t="inlineStr">
        <is>
          <t>ROCKCODE agrupado en ROCKCODE_NUMEQ=16; sigla sin leyenda</t>
        </is>
      </c>
      <c r="K694" t="inlineStr">
        <is>
          <t>Mármol (hipótesis: siglas M*)</t>
        </is>
      </c>
      <c r="L694" t="inlineStr">
        <is>
          <t>Metamorfico</t>
        </is>
      </c>
      <c r="M694" t="n">
        <v>13329</v>
      </c>
      <c r="N694" t="inlineStr"/>
      <c r="O694" t="inlineStr"/>
      <c r="P694" t="n">
        <v>13422.2</v>
      </c>
      <c r="Q694" t="n">
        <v>5.194</v>
      </c>
    </row>
    <row r="695">
      <c r="A695" t="inlineStr">
        <is>
          <t>MR24</t>
        </is>
      </c>
      <c r="B695" t="inlineStr">
        <is>
          <t>Merged_Table_Assay_lito</t>
        </is>
      </c>
      <c r="C695" t="inlineStr">
        <is>
          <t>metros de sondaje; pct sobre metros</t>
        </is>
      </c>
      <c r="D695" t="inlineStr">
        <is>
          <t>periodo_GM_LE2WASTE_Output</t>
        </is>
      </c>
      <c r="E695" t="inlineStr">
        <is>
          <t>2025</t>
        </is>
      </c>
      <c r="F695" t="inlineStr">
        <is>
          <t>ROCKCODE</t>
        </is>
      </c>
      <c r="G695" t="inlineStr">
        <is>
          <t>C</t>
        </is>
      </c>
      <c r="H695" t="inlineStr">
        <is>
          <t>sin asignar</t>
        </is>
      </c>
      <c r="I695" t="inlineStr">
        <is>
          <t>C</t>
        </is>
      </c>
      <c r="J695" t="inlineStr">
        <is>
          <t>ROCKCODE agrupado en ROCKCODE_NUMEQ=10; sigla sin leyenda</t>
        </is>
      </c>
      <c r="K695" t="inlineStr">
        <is>
          <t>Caliza (hipótesis: siglas C*)</t>
        </is>
      </c>
      <c r="L695" t="inlineStr">
        <is>
          <t>Sedimentario</t>
        </is>
      </c>
      <c r="M695" t="n">
        <v>6</v>
      </c>
      <c r="N695" t="inlineStr"/>
      <c r="O695" t="inlineStr"/>
      <c r="P695" t="n">
        <v>7.75</v>
      </c>
      <c r="Q695" t="n">
        <v>0.044</v>
      </c>
    </row>
    <row r="696">
      <c r="A696" t="inlineStr">
        <is>
          <t>MR24</t>
        </is>
      </c>
      <c r="B696" t="inlineStr">
        <is>
          <t>Merged_Table_Assay_lito</t>
        </is>
      </c>
      <c r="C696" t="inlineStr">
        <is>
          <t>metros de sondaje; pct sobre metros</t>
        </is>
      </c>
      <c r="D696" t="inlineStr">
        <is>
          <t>periodo_GM_LE2WASTE_Output</t>
        </is>
      </c>
      <c r="E696" t="inlineStr">
        <is>
          <t>2025</t>
        </is>
      </c>
      <c r="F696" t="inlineStr">
        <is>
          <t>ROCKCODE</t>
        </is>
      </c>
      <c r="G696" t="inlineStr">
        <is>
          <t>CA</t>
        </is>
      </c>
      <c r="H696" t="inlineStr">
        <is>
          <t>sin asignar</t>
        </is>
      </c>
      <c r="I696" t="inlineStr">
        <is>
          <t>CA</t>
        </is>
      </c>
      <c r="J696" t="inlineStr">
        <is>
          <t>ROCKCODE agrupado en ROCKCODE_NUMEQ=10; sigla sin leyenda</t>
        </is>
      </c>
      <c r="K696" t="inlineStr">
        <is>
          <t>Caliza (hipótesis: siglas C*)</t>
        </is>
      </c>
      <c r="L696" t="inlineStr">
        <is>
          <t>Sedimentario</t>
        </is>
      </c>
      <c r="M696" t="n">
        <v>218</v>
      </c>
      <c r="N696" t="inlineStr"/>
      <c r="O696" t="inlineStr"/>
      <c r="P696" t="n">
        <v>222</v>
      </c>
      <c r="Q696" t="n">
        <v>1.25</v>
      </c>
    </row>
    <row r="697">
      <c r="A697" t="inlineStr">
        <is>
          <t>MR24</t>
        </is>
      </c>
      <c r="B697" t="inlineStr">
        <is>
          <t>Merged_Table_Assay_lito</t>
        </is>
      </c>
      <c r="C697" t="inlineStr">
        <is>
          <t>metros de sondaje; pct sobre metros</t>
        </is>
      </c>
      <c r="D697" t="inlineStr">
        <is>
          <t>periodo_GM_LE2WASTE_Output</t>
        </is>
      </c>
      <c r="E697" t="inlineStr">
        <is>
          <t>2025</t>
        </is>
      </c>
      <c r="F697" t="inlineStr">
        <is>
          <t>ROCKCODE</t>
        </is>
      </c>
      <c r="G697" t="inlineStr">
        <is>
          <t>CBMN</t>
        </is>
      </c>
      <c r="H697" t="inlineStr">
        <is>
          <t>sin asignar</t>
        </is>
      </c>
      <c r="I697" t="inlineStr">
        <is>
          <t>CBMN</t>
        </is>
      </c>
      <c r="J697" t="inlineStr">
        <is>
          <t>ROCKCODE agrupado en ROCKCODE_NUMEQ=10; sigla sin leyenda</t>
        </is>
      </c>
      <c r="K697" t="inlineStr">
        <is>
          <t>Caliza (hipótesis: siglas C*)</t>
        </is>
      </c>
      <c r="L697" t="inlineStr">
        <is>
          <t>Sedimentario</t>
        </is>
      </c>
      <c r="M697" t="n">
        <v>24</v>
      </c>
      <c r="N697" t="inlineStr"/>
      <c r="O697" t="inlineStr"/>
      <c r="P697" t="n">
        <v>51.85</v>
      </c>
      <c r="Q697" t="n">
        <v>0.292</v>
      </c>
    </row>
    <row r="698">
      <c r="A698" t="inlineStr">
        <is>
          <t>MR24</t>
        </is>
      </c>
      <c r="B698" t="inlineStr">
        <is>
          <t>Merged_Table_Assay_lito</t>
        </is>
      </c>
      <c r="C698" t="inlineStr">
        <is>
          <t>metros de sondaje; pct sobre metros</t>
        </is>
      </c>
      <c r="D698" t="inlineStr">
        <is>
          <t>periodo_GM_LE2WASTE_Output</t>
        </is>
      </c>
      <c r="E698" t="inlineStr">
        <is>
          <t>2025</t>
        </is>
      </c>
      <c r="F698" t="inlineStr">
        <is>
          <t>ROCKCODE</t>
        </is>
      </c>
      <c r="G698" t="inlineStr">
        <is>
          <t>CF</t>
        </is>
      </c>
      <c r="H698" t="inlineStr">
        <is>
          <t>sin asignar</t>
        </is>
      </c>
      <c r="I698" t="inlineStr">
        <is>
          <t>CF</t>
        </is>
      </c>
      <c r="J698" t="inlineStr">
        <is>
          <t>ROCKCODE agrupado en ROCKCODE_NUMEQ=10; sigla sin leyenda</t>
        </is>
      </c>
      <c r="K698" t="inlineStr">
        <is>
          <t>Caliza (hipótesis: siglas C*)</t>
        </is>
      </c>
      <c r="L698" t="inlineStr">
        <is>
          <t>Sedimentario</t>
        </is>
      </c>
      <c r="M698" t="n">
        <v>2</v>
      </c>
      <c r="N698" t="inlineStr"/>
      <c r="O698" t="inlineStr"/>
      <c r="P698" t="n">
        <v>1.5</v>
      </c>
      <c r="Q698" t="n">
        <v>0.008</v>
      </c>
    </row>
    <row r="699">
      <c r="A699" t="inlineStr">
        <is>
          <t>MR24</t>
        </is>
      </c>
      <c r="B699" t="inlineStr">
        <is>
          <t>Merged_Table_Assay_lito</t>
        </is>
      </c>
      <c r="C699" t="inlineStr">
        <is>
          <t>metros de sondaje; pct sobre metros</t>
        </is>
      </c>
      <c r="D699" t="inlineStr">
        <is>
          <t>periodo_GM_LE2WASTE_Output</t>
        </is>
      </c>
      <c r="E699" t="inlineStr">
        <is>
          <t>2025</t>
        </is>
      </c>
      <c r="F699" t="inlineStr">
        <is>
          <t>ROCKCODE</t>
        </is>
      </c>
      <c r="G699" t="inlineStr">
        <is>
          <t>CG</t>
        </is>
      </c>
      <c r="H699" t="inlineStr">
        <is>
          <t>sin asignar</t>
        </is>
      </c>
      <c r="I699" t="inlineStr">
        <is>
          <t>CG</t>
        </is>
      </c>
      <c r="J699" t="inlineStr">
        <is>
          <t>ROCKCODE agrupado en ROCKCODE_NUMEQ=10; sigla sin leyenda</t>
        </is>
      </c>
      <c r="K699" t="inlineStr">
        <is>
          <t>Caliza (hipótesis: siglas C*)</t>
        </is>
      </c>
      <c r="L699" t="inlineStr">
        <is>
          <t>Sedimentario</t>
        </is>
      </c>
      <c r="M699" t="n">
        <v>929</v>
      </c>
      <c r="N699" t="inlineStr"/>
      <c r="O699" t="inlineStr"/>
      <c r="P699" t="n">
        <v>941.7</v>
      </c>
      <c r="Q699" t="n">
        <v>5.303</v>
      </c>
    </row>
    <row r="700">
      <c r="A700" t="inlineStr">
        <is>
          <t>MR24</t>
        </is>
      </c>
      <c r="B700" t="inlineStr">
        <is>
          <t>Merged_Table_Assay_lito</t>
        </is>
      </c>
      <c r="C700" t="inlineStr">
        <is>
          <t>metros de sondaje; pct sobre metros</t>
        </is>
      </c>
      <c r="D700" t="inlineStr">
        <is>
          <t>periodo_GM_LE2WASTE_Output</t>
        </is>
      </c>
      <c r="E700" t="inlineStr">
        <is>
          <t>2025</t>
        </is>
      </c>
      <c r="F700" t="inlineStr">
        <is>
          <t>ROCKCODE</t>
        </is>
      </c>
      <c r="G700" t="inlineStr">
        <is>
          <t>CGS</t>
        </is>
      </c>
      <c r="H700" t="inlineStr">
        <is>
          <t>sin asignar</t>
        </is>
      </c>
      <c r="I700" t="inlineStr">
        <is>
          <t>CGS</t>
        </is>
      </c>
      <c r="J700" t="inlineStr">
        <is>
          <t>ROCKCODE agrupado en ROCKCODE_NUMEQ=10; sigla sin leyenda</t>
        </is>
      </c>
      <c r="K700" t="inlineStr">
        <is>
          <t>Caliza (hipótesis: siglas C*)</t>
        </is>
      </c>
      <c r="L700" t="inlineStr">
        <is>
          <t>Sedimentario</t>
        </is>
      </c>
      <c r="M700" t="n">
        <v>431</v>
      </c>
      <c r="N700" t="inlineStr"/>
      <c r="O700" t="inlineStr"/>
      <c r="P700" t="n">
        <v>449.65</v>
      </c>
      <c r="Q700" t="n">
        <v>2.532</v>
      </c>
    </row>
    <row r="701">
      <c r="A701" t="inlineStr">
        <is>
          <t>MR24</t>
        </is>
      </c>
      <c r="B701" t="inlineStr">
        <is>
          <t>Merged_Table_Assay_lito</t>
        </is>
      </c>
      <c r="C701" t="inlineStr">
        <is>
          <t>metros de sondaje; pct sobre metros</t>
        </is>
      </c>
      <c r="D701" t="inlineStr">
        <is>
          <t>periodo_GM_LE2WASTE_Output</t>
        </is>
      </c>
      <c r="E701" t="inlineStr">
        <is>
          <t>2025</t>
        </is>
      </c>
      <c r="F701" t="inlineStr">
        <is>
          <t>ROCKCODE</t>
        </is>
      </c>
      <c r="G701" t="inlineStr">
        <is>
          <t>CN</t>
        </is>
      </c>
      <c r="H701" t="inlineStr">
        <is>
          <t>sin asignar</t>
        </is>
      </c>
      <c r="I701" t="inlineStr">
        <is>
          <t>CN</t>
        </is>
      </c>
      <c r="J701" t="inlineStr">
        <is>
          <t>ROCKCODE agrupado en ROCKCODE_NUMEQ=10; sigla sin leyenda</t>
        </is>
      </c>
      <c r="K701" t="inlineStr">
        <is>
          <t>Caliza (hipótesis: siglas C*)</t>
        </is>
      </c>
      <c r="L701" t="inlineStr">
        <is>
          <t>Sedimentario</t>
        </is>
      </c>
      <c r="M701" t="n">
        <v>119</v>
      </c>
      <c r="N701" t="inlineStr"/>
      <c r="O701" t="inlineStr"/>
      <c r="P701" t="n">
        <v>114.8</v>
      </c>
      <c r="Q701" t="n">
        <v>0.646</v>
      </c>
    </row>
    <row r="702">
      <c r="A702" t="inlineStr">
        <is>
          <t>MR24</t>
        </is>
      </c>
      <c r="B702" t="inlineStr">
        <is>
          <t>Merged_Table_Assay_lito</t>
        </is>
      </c>
      <c r="C702" t="inlineStr">
        <is>
          <t>metros de sondaje; pct sobre metros</t>
        </is>
      </c>
      <c r="D702" t="inlineStr">
        <is>
          <t>periodo_GM_LE2WASTE_Output</t>
        </is>
      </c>
      <c r="E702" t="inlineStr">
        <is>
          <t>2025</t>
        </is>
      </c>
      <c r="F702" t="inlineStr">
        <is>
          <t>ROCKCODE</t>
        </is>
      </c>
      <c r="G702" t="inlineStr">
        <is>
          <t>DI</t>
        </is>
      </c>
      <c r="H702" t="inlineStr">
        <is>
          <t>Intrusivo</t>
        </is>
      </c>
      <c r="I702" t="inlineStr">
        <is>
          <t>DI</t>
        </is>
      </c>
      <c r="J702" t="inlineStr">
        <is>
          <t>ROCKCODE agrupado en ROCKCODE_NUMEQ=1 (Intrusivo_1)</t>
        </is>
      </c>
      <c r="K702" t="inlineStr">
        <is>
          <t>Intrusivo</t>
        </is>
      </c>
      <c r="L702" t="inlineStr">
        <is>
          <t>Intrusivo</t>
        </is>
      </c>
      <c r="M702" t="n">
        <v>2</v>
      </c>
      <c r="N702" t="inlineStr"/>
      <c r="O702" t="inlineStr"/>
      <c r="P702" t="n">
        <v>1.25</v>
      </c>
      <c r="Q702" t="n">
        <v>0.007</v>
      </c>
    </row>
    <row r="703">
      <c r="A703" t="inlineStr">
        <is>
          <t>MR24</t>
        </is>
      </c>
      <c r="B703" t="inlineStr">
        <is>
          <t>Merged_Table_Assay_lito</t>
        </is>
      </c>
      <c r="C703" t="inlineStr">
        <is>
          <t>metros de sondaje; pct sobre metros</t>
        </is>
      </c>
      <c r="D703" t="inlineStr">
        <is>
          <t>periodo_GM_LE2WASTE_Output</t>
        </is>
      </c>
      <c r="E703" t="inlineStr">
        <is>
          <t>2025</t>
        </is>
      </c>
      <c r="F703" t="inlineStr">
        <is>
          <t>ROCKCODE</t>
        </is>
      </c>
      <c r="G703" t="inlineStr">
        <is>
          <t>HBV</t>
        </is>
      </c>
      <c r="H703" t="inlineStr">
        <is>
          <t>sin asignar</t>
        </is>
      </c>
      <c r="I703" t="inlineStr">
        <is>
          <t>HBV</t>
        </is>
      </c>
      <c r="J703" t="inlineStr">
        <is>
          <t>ROCKCODE agrupado en ROCKCODE_NUMEQ=14; sigla sin leyenda</t>
        </is>
      </c>
      <c r="K703" t="inlineStr">
        <is>
          <t>Hornfels (hipótesis: siglas H*)</t>
        </is>
      </c>
      <c r="L703" t="inlineStr">
        <is>
          <t>Metamorfico</t>
        </is>
      </c>
      <c r="M703" t="n">
        <v>9</v>
      </c>
      <c r="N703" t="inlineStr"/>
      <c r="O703" t="inlineStr"/>
      <c r="P703" t="n">
        <v>14.95</v>
      </c>
      <c r="Q703" t="n">
        <v>0.08400000000000001</v>
      </c>
    </row>
    <row r="704">
      <c r="A704" t="inlineStr">
        <is>
          <t>MR24</t>
        </is>
      </c>
      <c r="B704" t="inlineStr">
        <is>
          <t>Merged_Table_Assay_lito</t>
        </is>
      </c>
      <c r="C704" t="inlineStr">
        <is>
          <t>metros de sondaje; pct sobre metros</t>
        </is>
      </c>
      <c r="D704" t="inlineStr">
        <is>
          <t>periodo_GM_LE2WASTE_Output</t>
        </is>
      </c>
      <c r="E704" t="inlineStr">
        <is>
          <t>2025</t>
        </is>
      </c>
      <c r="F704" t="inlineStr">
        <is>
          <t>ROCKCODE</t>
        </is>
      </c>
      <c r="G704" t="inlineStr">
        <is>
          <t>HC</t>
        </is>
      </c>
      <c r="H704" t="inlineStr">
        <is>
          <t>sin asignar</t>
        </is>
      </c>
      <c r="I704" t="inlineStr">
        <is>
          <t>HC</t>
        </is>
      </c>
      <c r="J704" t="inlineStr">
        <is>
          <t>ROCKCODE agrupado en ROCKCODE_NUMEQ=13; sigla sin leyenda</t>
        </is>
      </c>
      <c r="K704" t="inlineStr">
        <is>
          <t>Hornfels (hipótesis: siglas H*)</t>
        </is>
      </c>
      <c r="L704" t="inlineStr">
        <is>
          <t>Metamorfico</t>
        </is>
      </c>
      <c r="M704" t="n">
        <v>173</v>
      </c>
      <c r="N704" t="inlineStr"/>
      <c r="O704" t="inlineStr"/>
      <c r="P704" t="n">
        <v>155.15</v>
      </c>
      <c r="Q704" t="n">
        <v>0.874</v>
      </c>
    </row>
    <row r="705">
      <c r="A705" t="inlineStr">
        <is>
          <t>MR24</t>
        </is>
      </c>
      <c r="B705" t="inlineStr">
        <is>
          <t>Merged_Table_Assay_lito</t>
        </is>
      </c>
      <c r="C705" t="inlineStr">
        <is>
          <t>metros de sondaje; pct sobre metros</t>
        </is>
      </c>
      <c r="D705" t="inlineStr">
        <is>
          <t>periodo_GM_LE2WASTE_Output</t>
        </is>
      </c>
      <c r="E705" t="inlineStr">
        <is>
          <t>2025</t>
        </is>
      </c>
      <c r="F705" t="inlineStr">
        <is>
          <t>ROCKCODE</t>
        </is>
      </c>
      <c r="G705" t="inlineStr">
        <is>
          <t>HCB</t>
        </is>
      </c>
      <c r="H705" t="inlineStr">
        <is>
          <t>sin asignar</t>
        </is>
      </c>
      <c r="I705" t="inlineStr">
        <is>
          <t>HCB</t>
        </is>
      </c>
      <c r="J705" t="inlineStr">
        <is>
          <t>ROCKCODE agrupado en ROCKCODE_NUMEQ=14; sigla sin leyenda</t>
        </is>
      </c>
      <c r="K705" t="inlineStr">
        <is>
          <t>Hornfels (hipótesis: siglas H*)</t>
        </is>
      </c>
      <c r="L705" t="inlineStr">
        <is>
          <t>Metamorfico</t>
        </is>
      </c>
      <c r="M705" t="n">
        <v>5</v>
      </c>
      <c r="N705" t="inlineStr"/>
      <c r="O705" t="inlineStr"/>
      <c r="P705" t="n">
        <v>1.5</v>
      </c>
      <c r="Q705" t="n">
        <v>0.008</v>
      </c>
    </row>
    <row r="706">
      <c r="A706" t="inlineStr">
        <is>
          <t>MR24</t>
        </is>
      </c>
      <c r="B706" t="inlineStr">
        <is>
          <t>Merged_Table_Assay_lito</t>
        </is>
      </c>
      <c r="C706" t="inlineStr">
        <is>
          <t>metros de sondaje; pct sobre metros</t>
        </is>
      </c>
      <c r="D706" t="inlineStr">
        <is>
          <t>periodo_GM_LE2WASTE_Output</t>
        </is>
      </c>
      <c r="E706" t="inlineStr">
        <is>
          <t>2025</t>
        </is>
      </c>
      <c r="F706" t="inlineStr">
        <is>
          <t>ROCKCODE</t>
        </is>
      </c>
      <c r="G706" t="inlineStr">
        <is>
          <t>HDP</t>
        </is>
      </c>
      <c r="H706" t="inlineStr">
        <is>
          <t>sin asignar</t>
        </is>
      </c>
      <c r="I706" t="inlineStr">
        <is>
          <t>HDP</t>
        </is>
      </c>
      <c r="J706" t="inlineStr">
        <is>
          <t>ROCKCODE agrupado en ROCKCODE_NUMEQ=14; sigla sin leyenda</t>
        </is>
      </c>
      <c r="K706" t="inlineStr">
        <is>
          <t>Hornfels (hipótesis: siglas H*)</t>
        </is>
      </c>
      <c r="L706" t="inlineStr">
        <is>
          <t>Metamorfico</t>
        </is>
      </c>
      <c r="M706" t="n">
        <v>9</v>
      </c>
      <c r="N706" t="inlineStr"/>
      <c r="O706" t="inlineStr"/>
      <c r="P706" t="n">
        <v>20</v>
      </c>
      <c r="Q706" t="n">
        <v>0.113</v>
      </c>
    </row>
    <row r="707">
      <c r="A707" t="inlineStr">
        <is>
          <t>MR24</t>
        </is>
      </c>
      <c r="B707" t="inlineStr">
        <is>
          <t>Merged_Table_Assay_lito</t>
        </is>
      </c>
      <c r="C707" t="inlineStr">
        <is>
          <t>metros de sondaje; pct sobre metros</t>
        </is>
      </c>
      <c r="D707" t="inlineStr">
        <is>
          <t>periodo_GM_LE2WASTE_Output</t>
        </is>
      </c>
      <c r="E707" t="inlineStr">
        <is>
          <t>2025</t>
        </is>
      </c>
      <c r="F707" t="inlineStr">
        <is>
          <t>ROCKCODE</t>
        </is>
      </c>
      <c r="G707" t="inlineStr">
        <is>
          <t>HG</t>
        </is>
      </c>
      <c r="H707" t="inlineStr">
        <is>
          <t>sin asignar</t>
        </is>
      </c>
      <c r="I707" t="inlineStr">
        <is>
          <t>HG</t>
        </is>
      </c>
      <c r="J707" t="inlineStr">
        <is>
          <t>ROCKCODE agrupado en ROCKCODE_NUMEQ=13; sigla sin leyenda</t>
        </is>
      </c>
      <c r="K707" t="inlineStr">
        <is>
          <t>Hornfels (hipótesis: siglas H*)</t>
        </is>
      </c>
      <c r="L707" t="inlineStr">
        <is>
          <t>Metamorfico</t>
        </is>
      </c>
      <c r="M707" t="n">
        <v>753</v>
      </c>
      <c r="N707" t="inlineStr"/>
      <c r="O707" t="inlineStr"/>
      <c r="P707" t="n">
        <v>625.75</v>
      </c>
      <c r="Q707" t="n">
        <v>3.524</v>
      </c>
    </row>
    <row r="708">
      <c r="A708" t="inlineStr">
        <is>
          <t>MR24</t>
        </is>
      </c>
      <c r="B708" t="inlineStr">
        <is>
          <t>Merged_Table_Assay_lito</t>
        </is>
      </c>
      <c r="C708" t="inlineStr">
        <is>
          <t>metros de sondaje; pct sobre metros</t>
        </is>
      </c>
      <c r="D708" t="inlineStr">
        <is>
          <t>periodo_GM_LE2WASTE_Output</t>
        </is>
      </c>
      <c r="E708" t="inlineStr">
        <is>
          <t>2025</t>
        </is>
      </c>
      <c r="F708" t="inlineStr">
        <is>
          <t>ROCKCODE</t>
        </is>
      </c>
      <c r="G708" t="inlineStr">
        <is>
          <t>HGS</t>
        </is>
      </c>
      <c r="H708" t="inlineStr">
        <is>
          <t>sin asignar</t>
        </is>
      </c>
      <c r="I708" t="inlineStr">
        <is>
          <t>HGS</t>
        </is>
      </c>
      <c r="J708" t="inlineStr">
        <is>
          <t>ROCKCODE agrupado en ROCKCODE_NUMEQ=13; sigla sin leyenda</t>
        </is>
      </c>
      <c r="K708" t="inlineStr">
        <is>
          <t>Hornfels (hipótesis: siglas H*)</t>
        </is>
      </c>
      <c r="L708" t="inlineStr">
        <is>
          <t>Metamorfico</t>
        </is>
      </c>
      <c r="M708" t="n">
        <v>351</v>
      </c>
      <c r="N708" t="inlineStr"/>
      <c r="O708" t="inlineStr"/>
      <c r="P708" t="n">
        <v>318.5</v>
      </c>
      <c r="Q708" t="n">
        <v>1.794</v>
      </c>
    </row>
    <row r="709">
      <c r="A709" t="inlineStr">
        <is>
          <t>MR24</t>
        </is>
      </c>
      <c r="B709" t="inlineStr">
        <is>
          <t>Merged_Table_Assay_lito</t>
        </is>
      </c>
      <c r="C709" t="inlineStr">
        <is>
          <t>metros de sondaje; pct sobre metros</t>
        </is>
      </c>
      <c r="D709" t="inlineStr">
        <is>
          <t>periodo_GM_LE2WASTE_Output</t>
        </is>
      </c>
      <c r="E709" t="inlineStr">
        <is>
          <t>2025</t>
        </is>
      </c>
      <c r="F709" t="inlineStr">
        <is>
          <t>ROCKCODE</t>
        </is>
      </c>
      <c r="G709" t="inlineStr">
        <is>
          <t>HGV</t>
        </is>
      </c>
      <c r="H709" t="inlineStr">
        <is>
          <t>sin asignar</t>
        </is>
      </c>
      <c r="I709" t="inlineStr">
        <is>
          <t>HGV</t>
        </is>
      </c>
      <c r="J709" t="inlineStr">
        <is>
          <t>ROCKCODE agrupado en ROCKCODE_NUMEQ=14; sigla sin leyenda</t>
        </is>
      </c>
      <c r="K709" t="inlineStr">
        <is>
          <t>Hornfels (hipótesis: siglas H*)</t>
        </is>
      </c>
      <c r="L709" t="inlineStr">
        <is>
          <t>Metamorfico</t>
        </is>
      </c>
      <c r="M709" t="n">
        <v>6</v>
      </c>
      <c r="N709" t="inlineStr"/>
      <c r="O709" t="inlineStr"/>
      <c r="P709" t="n">
        <v>11</v>
      </c>
      <c r="Q709" t="n">
        <v>0.062</v>
      </c>
    </row>
    <row r="710">
      <c r="A710" t="inlineStr">
        <is>
          <t>MR24</t>
        </is>
      </c>
      <c r="B710" t="inlineStr">
        <is>
          <t>Merged_Table_Assay_lito</t>
        </is>
      </c>
      <c r="C710" t="inlineStr">
        <is>
          <t>metros de sondaje; pct sobre metros</t>
        </is>
      </c>
      <c r="D710" t="inlineStr">
        <is>
          <t>periodo_GM_LE2WASTE_Output</t>
        </is>
      </c>
      <c r="E710" t="inlineStr">
        <is>
          <t>2025</t>
        </is>
      </c>
      <c r="F710" t="inlineStr">
        <is>
          <t>ROCKCODE</t>
        </is>
      </c>
      <c r="G710" t="inlineStr">
        <is>
          <t>HMGV</t>
        </is>
      </c>
      <c r="H710" t="inlineStr">
        <is>
          <t>sin asignar</t>
        </is>
      </c>
      <c r="I710" t="inlineStr">
        <is>
          <t>HMGV</t>
        </is>
      </c>
      <c r="J710" t="inlineStr">
        <is>
          <t>ROCKCODE agrupado en ROCKCODE_NUMEQ=14; sigla sin leyenda</t>
        </is>
      </c>
      <c r="K710" t="inlineStr">
        <is>
          <t>Hornfels (hipótesis: siglas H*)</t>
        </is>
      </c>
      <c r="L710" t="inlineStr">
        <is>
          <t>Metamorfico</t>
        </is>
      </c>
      <c r="M710" t="n">
        <v>10</v>
      </c>
      <c r="N710" t="inlineStr"/>
      <c r="O710" t="inlineStr"/>
      <c r="P710" t="n">
        <v>7.25</v>
      </c>
      <c r="Q710" t="n">
        <v>0.041</v>
      </c>
    </row>
    <row r="711">
      <c r="A711" t="inlineStr">
        <is>
          <t>MR24</t>
        </is>
      </c>
      <c r="B711" t="inlineStr">
        <is>
          <t>Merged_Table_Assay_lito</t>
        </is>
      </c>
      <c r="C711" t="inlineStr">
        <is>
          <t>metros de sondaje; pct sobre metros</t>
        </is>
      </c>
      <c r="D711" t="inlineStr">
        <is>
          <t>periodo_GM_LE2WASTE_Output</t>
        </is>
      </c>
      <c r="E711" t="inlineStr">
        <is>
          <t>2025</t>
        </is>
      </c>
      <c r="F711" t="inlineStr">
        <is>
          <t>ROCKCODE</t>
        </is>
      </c>
      <c r="G711" t="inlineStr">
        <is>
          <t>IPHPE</t>
        </is>
      </c>
      <c r="H711" t="inlineStr">
        <is>
          <t>Intrusivo</t>
        </is>
      </c>
      <c r="I711" t="inlineStr">
        <is>
          <t>IPHPE</t>
        </is>
      </c>
      <c r="J711" t="inlineStr">
        <is>
          <t>ROCKCODE agrupado en ROCKCODE_NUMEQ=1 (Intrusivo_1)</t>
        </is>
      </c>
      <c r="K711" t="inlineStr">
        <is>
          <t>Intrusivo</t>
        </is>
      </c>
      <c r="L711" t="inlineStr">
        <is>
          <t>Intrusivo</t>
        </is>
      </c>
      <c r="M711" t="n">
        <v>6</v>
      </c>
      <c r="N711" t="inlineStr"/>
      <c r="O711" t="inlineStr"/>
      <c r="P711" t="n">
        <v>6.65</v>
      </c>
      <c r="Q711" t="n">
        <v>0.037</v>
      </c>
    </row>
    <row r="712">
      <c r="A712" t="inlineStr">
        <is>
          <t>MR24</t>
        </is>
      </c>
      <c r="B712" t="inlineStr">
        <is>
          <t>Merged_Table_Assay_lito</t>
        </is>
      </c>
      <c r="C712" t="inlineStr">
        <is>
          <t>metros de sondaje; pct sobre metros</t>
        </is>
      </c>
      <c r="D712" t="inlineStr">
        <is>
          <t>periodo_GM_LE2WASTE_Output</t>
        </is>
      </c>
      <c r="E712" t="inlineStr">
        <is>
          <t>2025</t>
        </is>
      </c>
      <c r="F712" t="inlineStr">
        <is>
          <t>ROCKCODE</t>
        </is>
      </c>
      <c r="G712" t="inlineStr">
        <is>
          <t>IPPA</t>
        </is>
      </c>
      <c r="H712" t="inlineStr">
        <is>
          <t>Intrusivo</t>
        </is>
      </c>
      <c r="I712" t="inlineStr">
        <is>
          <t>IPPA</t>
        </is>
      </c>
      <c r="J712" t="inlineStr">
        <is>
          <t>ROCKCODE agrupado en ROCKCODE_NUMEQ=1 (Intrusivo_1)</t>
        </is>
      </c>
      <c r="K712" t="inlineStr">
        <is>
          <t>Intrusivo</t>
        </is>
      </c>
      <c r="L712" t="inlineStr">
        <is>
          <t>Intrusivo</t>
        </is>
      </c>
      <c r="M712" t="n">
        <v>2170</v>
      </c>
      <c r="N712" t="inlineStr"/>
      <c r="O712" t="inlineStr"/>
      <c r="P712" t="n">
        <v>3117.75</v>
      </c>
      <c r="Q712" t="n">
        <v>17.557</v>
      </c>
    </row>
    <row r="713">
      <c r="A713" t="inlineStr">
        <is>
          <t>MR24</t>
        </is>
      </c>
      <c r="B713" t="inlineStr">
        <is>
          <t>Merged_Table_Assay_lito</t>
        </is>
      </c>
      <c r="C713" t="inlineStr">
        <is>
          <t>metros de sondaje; pct sobre metros</t>
        </is>
      </c>
      <c r="D713" t="inlineStr">
        <is>
          <t>periodo_GM_LE2WASTE_Output</t>
        </is>
      </c>
      <c r="E713" t="inlineStr">
        <is>
          <t>2025</t>
        </is>
      </c>
      <c r="F713" t="inlineStr">
        <is>
          <t>ROCKCODE</t>
        </is>
      </c>
      <c r="G713" t="inlineStr">
        <is>
          <t>IPPAMO</t>
        </is>
      </c>
      <c r="H713" t="inlineStr">
        <is>
          <t>Intrusivo</t>
        </is>
      </c>
      <c r="I713" t="inlineStr">
        <is>
          <t>IPPAMO</t>
        </is>
      </c>
      <c r="J713" t="inlineStr">
        <is>
          <t>ROCKCODE agrupado en ROCKCODE_NUMEQ=1 (Intrusivo_1)</t>
        </is>
      </c>
      <c r="K713" t="inlineStr">
        <is>
          <t>Intrusivo</t>
        </is>
      </c>
      <c r="L713" t="inlineStr">
        <is>
          <t>Intrusivo</t>
        </is>
      </c>
      <c r="M713" t="n">
        <v>8</v>
      </c>
      <c r="N713" t="inlineStr"/>
      <c r="O713" t="inlineStr"/>
      <c r="P713" t="n">
        <v>18.5</v>
      </c>
      <c r="Q713" t="n">
        <v>0.104</v>
      </c>
    </row>
    <row r="714">
      <c r="A714" t="inlineStr">
        <is>
          <t>MR24</t>
        </is>
      </c>
      <c r="B714" t="inlineStr">
        <is>
          <t>Merged_Table_Assay_lito</t>
        </is>
      </c>
      <c r="C714" t="inlineStr">
        <is>
          <t>metros de sondaje; pct sobre metros</t>
        </is>
      </c>
      <c r="D714" t="inlineStr">
        <is>
          <t>periodo_GM_LE2WASTE_Output</t>
        </is>
      </c>
      <c r="E714" t="inlineStr">
        <is>
          <t>2025</t>
        </is>
      </c>
      <c r="F714" t="inlineStr">
        <is>
          <t>ROCKCODE</t>
        </is>
      </c>
      <c r="G714" t="inlineStr">
        <is>
          <t>IPPAO</t>
        </is>
      </c>
      <c r="H714" t="inlineStr">
        <is>
          <t>Intrusivo</t>
        </is>
      </c>
      <c r="I714" t="inlineStr">
        <is>
          <t>IPPAO</t>
        </is>
      </c>
      <c r="J714" t="inlineStr">
        <is>
          <t>ROCKCODE agrupado en ROCKCODE_NUMEQ=1 (Intrusivo_1)</t>
        </is>
      </c>
      <c r="K714" t="inlineStr">
        <is>
          <t>Intrusivo</t>
        </is>
      </c>
      <c r="L714" t="inlineStr">
        <is>
          <t>Intrusivo</t>
        </is>
      </c>
      <c r="M714" t="n">
        <v>809</v>
      </c>
      <c r="N714" t="inlineStr"/>
      <c r="O714" t="inlineStr"/>
      <c r="P714" t="n">
        <v>900.4</v>
      </c>
      <c r="Q714" t="n">
        <v>5.07</v>
      </c>
    </row>
    <row r="715">
      <c r="A715" t="inlineStr">
        <is>
          <t>MR24</t>
        </is>
      </c>
      <c r="B715" t="inlineStr">
        <is>
          <t>Merged_Table_Assay_lito</t>
        </is>
      </c>
      <c r="C715" t="inlineStr">
        <is>
          <t>metros de sondaje; pct sobre metros</t>
        </is>
      </c>
      <c r="D715" t="inlineStr">
        <is>
          <t>periodo_GM_LE2WASTE_Output</t>
        </is>
      </c>
      <c r="E715" t="inlineStr">
        <is>
          <t>2025</t>
        </is>
      </c>
      <c r="F715" t="inlineStr">
        <is>
          <t>ROCKCODE</t>
        </is>
      </c>
      <c r="G715" t="inlineStr">
        <is>
          <t>IPPEO</t>
        </is>
      </c>
      <c r="H715" t="inlineStr">
        <is>
          <t>Intrusivo</t>
        </is>
      </c>
      <c r="I715" t="inlineStr">
        <is>
          <t>IPPEO</t>
        </is>
      </c>
      <c r="J715" t="inlineStr">
        <is>
          <t>ROCKCODE agrupado en ROCKCODE_NUMEQ=1 (Intrusivo_1)</t>
        </is>
      </c>
      <c r="K715" t="inlineStr">
        <is>
          <t>Intrusivo</t>
        </is>
      </c>
      <c r="L715" t="inlineStr">
        <is>
          <t>Intrusivo</t>
        </is>
      </c>
      <c r="M715" t="n">
        <v>11</v>
      </c>
      <c r="N715" t="inlineStr"/>
      <c r="O715" t="inlineStr"/>
      <c r="P715" t="n">
        <v>17.8</v>
      </c>
      <c r="Q715" t="n">
        <v>0.1</v>
      </c>
    </row>
    <row r="716">
      <c r="A716" t="inlineStr">
        <is>
          <t>MR24</t>
        </is>
      </c>
      <c r="B716" t="inlineStr">
        <is>
          <t>Merged_Table_Assay_lito</t>
        </is>
      </c>
      <c r="C716" t="inlineStr">
        <is>
          <t>metros de sondaje; pct sobre metros</t>
        </is>
      </c>
      <c r="D716" t="inlineStr">
        <is>
          <t>periodo_GM_LE2WASTE_Output</t>
        </is>
      </c>
      <c r="E716" t="inlineStr">
        <is>
          <t>2025</t>
        </is>
      </c>
      <c r="F716" t="inlineStr">
        <is>
          <t>ROCKCODE</t>
        </is>
      </c>
      <c r="G716" t="inlineStr">
        <is>
          <t>M</t>
        </is>
      </c>
      <c r="H716" t="inlineStr">
        <is>
          <t>sin asignar</t>
        </is>
      </c>
      <c r="I716" t="inlineStr">
        <is>
          <t>M</t>
        </is>
      </c>
      <c r="J716" t="inlineStr">
        <is>
          <t>ROCKCODE agrupado en ROCKCODE_NUMEQ=16; sigla sin leyenda</t>
        </is>
      </c>
      <c r="K716" t="inlineStr">
        <is>
          <t>Mármol (hipótesis: siglas M*)</t>
        </is>
      </c>
      <c r="L716" t="inlineStr">
        <is>
          <t>Metamorfico</t>
        </is>
      </c>
      <c r="M716" t="n">
        <v>7</v>
      </c>
      <c r="N716" t="inlineStr"/>
      <c r="O716" t="inlineStr"/>
      <c r="P716" t="n">
        <v>48.9</v>
      </c>
      <c r="Q716" t="n">
        <v>0.275</v>
      </c>
    </row>
    <row r="717">
      <c r="A717" t="inlineStr">
        <is>
          <t>MR24</t>
        </is>
      </c>
      <c r="B717" t="inlineStr">
        <is>
          <t>Merged_Table_Assay_lito</t>
        </is>
      </c>
      <c r="C717" t="inlineStr">
        <is>
          <t>metros de sondaje; pct sobre metros</t>
        </is>
      </c>
      <c r="D717" t="inlineStr">
        <is>
          <t>periodo_GM_LE2WASTE_Output</t>
        </is>
      </c>
      <c r="E717" t="inlineStr">
        <is>
          <t>2025</t>
        </is>
      </c>
      <c r="F717" t="inlineStr">
        <is>
          <t>ROCKCODE</t>
        </is>
      </c>
      <c r="G717" t="inlineStr">
        <is>
          <t>MC</t>
        </is>
      </c>
      <c r="H717" t="inlineStr">
        <is>
          <t>sin asignar</t>
        </is>
      </c>
      <c r="I717" t="inlineStr">
        <is>
          <t>MC</t>
        </is>
      </c>
      <c r="J717" t="inlineStr">
        <is>
          <t>ROCKCODE agrupado en ROCKCODE_NUMEQ=16; sigla sin leyenda</t>
        </is>
      </c>
      <c r="K717" t="inlineStr">
        <is>
          <t>Mármol (hipótesis: siglas M*)</t>
        </is>
      </c>
      <c r="L717" t="inlineStr">
        <is>
          <t>Metamorfico</t>
        </is>
      </c>
      <c r="M717" t="n">
        <v>2514</v>
      </c>
      <c r="N717" t="inlineStr"/>
      <c r="O717" t="inlineStr"/>
      <c r="P717" t="n">
        <v>2910.87</v>
      </c>
      <c r="Q717" t="n">
        <v>16.392</v>
      </c>
    </row>
    <row r="718">
      <c r="A718" t="inlineStr">
        <is>
          <t>MR24</t>
        </is>
      </c>
      <c r="B718" t="inlineStr">
        <is>
          <t>Merged_Table_Assay_lito</t>
        </is>
      </c>
      <c r="C718" t="inlineStr">
        <is>
          <t>metros de sondaje; pct sobre metros</t>
        </is>
      </c>
      <c r="D718" t="inlineStr">
        <is>
          <t>periodo_GM_LE2WASTE_Output</t>
        </is>
      </c>
      <c r="E718" t="inlineStr">
        <is>
          <t>2025</t>
        </is>
      </c>
      <c r="F718" t="inlineStr">
        <is>
          <t>ROCKCODE</t>
        </is>
      </c>
      <c r="G718" t="inlineStr">
        <is>
          <t>MCB</t>
        </is>
      </c>
      <c r="H718" t="inlineStr">
        <is>
          <t>sin asignar</t>
        </is>
      </c>
      <c r="I718" t="inlineStr">
        <is>
          <t>MCB</t>
        </is>
      </c>
      <c r="J718" t="inlineStr">
        <is>
          <t>ROCKCODE agrupado en ROCKCODE_NUMEQ=16; sigla sin leyenda</t>
        </is>
      </c>
      <c r="K718" t="inlineStr">
        <is>
          <t>Mármol (hipótesis: siglas M*)</t>
        </is>
      </c>
      <c r="L718" t="inlineStr">
        <is>
          <t>Metamorfico</t>
        </is>
      </c>
      <c r="M718" t="n">
        <v>348</v>
      </c>
      <c r="N718" t="inlineStr"/>
      <c r="O718" t="inlineStr"/>
      <c r="P718" t="n">
        <v>481.6</v>
      </c>
      <c r="Q718" t="n">
        <v>2.712</v>
      </c>
    </row>
    <row r="719">
      <c r="A719" t="inlineStr">
        <is>
          <t>MR24</t>
        </is>
      </c>
      <c r="B719" t="inlineStr">
        <is>
          <t>Merged_Table_Assay_lito</t>
        </is>
      </c>
      <c r="C719" t="inlineStr">
        <is>
          <t>metros de sondaje; pct sobre metros</t>
        </is>
      </c>
      <c r="D719" t="inlineStr">
        <is>
          <t>periodo_GM_LE2WASTE_Output</t>
        </is>
      </c>
      <c r="E719" t="inlineStr">
        <is>
          <t>2025</t>
        </is>
      </c>
      <c r="F719" t="inlineStr">
        <is>
          <t>ROCKCODE</t>
        </is>
      </c>
      <c r="G719" t="inlineStr">
        <is>
          <t>MCGB</t>
        </is>
      </c>
      <c r="H719" t="inlineStr">
        <is>
          <t>sin asignar</t>
        </is>
      </c>
      <c r="I719" t="inlineStr">
        <is>
          <t>MCGB</t>
        </is>
      </c>
      <c r="J719" t="inlineStr">
        <is>
          <t>ROCKCODE agrupado en ROCKCODE_NUMEQ=16; sigla sin leyenda</t>
        </is>
      </c>
      <c r="K719" t="inlineStr">
        <is>
          <t>Mármol (hipótesis: siglas M*)</t>
        </is>
      </c>
      <c r="L719" t="inlineStr">
        <is>
          <t>Metamorfico</t>
        </is>
      </c>
      <c r="M719" t="n">
        <v>1210</v>
      </c>
      <c r="N719" t="inlineStr"/>
      <c r="O719" t="inlineStr"/>
      <c r="P719" t="n">
        <v>1286.76</v>
      </c>
      <c r="Q719" t="n">
        <v>7.246</v>
      </c>
    </row>
    <row r="720">
      <c r="A720" t="inlineStr">
        <is>
          <t>MR24</t>
        </is>
      </c>
      <c r="B720" t="inlineStr">
        <is>
          <t>Merged_Table_Assay_lito</t>
        </is>
      </c>
      <c r="C720" t="inlineStr">
        <is>
          <t>metros de sondaje; pct sobre metros</t>
        </is>
      </c>
      <c r="D720" t="inlineStr">
        <is>
          <t>periodo_GM_LE2WASTE_Output</t>
        </is>
      </c>
      <c r="E720" t="inlineStr">
        <is>
          <t>2025</t>
        </is>
      </c>
      <c r="F720" t="inlineStr">
        <is>
          <t>ROCKCODE</t>
        </is>
      </c>
      <c r="G720" t="inlineStr">
        <is>
          <t>MDL</t>
        </is>
      </c>
      <c r="H720" t="inlineStr">
        <is>
          <t>sin asignar</t>
        </is>
      </c>
      <c r="I720" t="inlineStr">
        <is>
          <t>MDL</t>
        </is>
      </c>
      <c r="J720" t="inlineStr">
        <is>
          <t>ROCKCODE agrupado en ROCKCODE_NUMEQ=16; sigla sin leyenda</t>
        </is>
      </c>
      <c r="K720" t="inlineStr">
        <is>
          <t>Mármol (hipótesis: siglas M*)</t>
        </is>
      </c>
      <c r="L720" t="inlineStr">
        <is>
          <t>Metamorfico</t>
        </is>
      </c>
      <c r="M720" t="n">
        <v>23</v>
      </c>
      <c r="N720" t="inlineStr"/>
      <c r="O720" t="inlineStr"/>
      <c r="P720" t="n">
        <v>52.15</v>
      </c>
      <c r="Q720" t="n">
        <v>0.294</v>
      </c>
    </row>
    <row r="721">
      <c r="A721" t="inlineStr">
        <is>
          <t>MR24</t>
        </is>
      </c>
      <c r="B721" t="inlineStr">
        <is>
          <t>Merged_Table_Assay_lito</t>
        </is>
      </c>
      <c r="C721" t="inlineStr">
        <is>
          <t>metros de sondaje; pct sobre metros</t>
        </is>
      </c>
      <c r="D721" t="inlineStr">
        <is>
          <t>periodo_GM_LE2WASTE_Output</t>
        </is>
      </c>
      <c r="E721" t="inlineStr">
        <is>
          <t>2025</t>
        </is>
      </c>
      <c r="F721" t="inlineStr">
        <is>
          <t>ROCKCODE</t>
        </is>
      </c>
      <c r="G721" t="inlineStr">
        <is>
          <t>MDP</t>
        </is>
      </c>
      <c r="H721" t="inlineStr">
        <is>
          <t>sin asignar</t>
        </is>
      </c>
      <c r="I721" t="inlineStr">
        <is>
          <t>MDP</t>
        </is>
      </c>
      <c r="J721" t="inlineStr">
        <is>
          <t>ROCKCODE agrupado en ROCKCODE_NUMEQ=19; sigla sin leyenda</t>
        </is>
      </c>
      <c r="K721" t="inlineStr">
        <is>
          <t>Mármol (hipótesis: sigla MDP)</t>
        </is>
      </c>
      <c r="L721" t="inlineStr">
        <is>
          <t>Metamorfico</t>
        </is>
      </c>
      <c r="M721" t="n">
        <v>2121</v>
      </c>
      <c r="N721" t="inlineStr"/>
      <c r="O721" t="inlineStr"/>
      <c r="P721" t="n">
        <v>2246.93</v>
      </c>
      <c r="Q721" t="n">
        <v>12.653</v>
      </c>
    </row>
    <row r="722">
      <c r="A722" t="inlineStr">
        <is>
          <t>MR24</t>
        </is>
      </c>
      <c r="B722" t="inlineStr">
        <is>
          <t>Merged_Table_Assay_lito</t>
        </is>
      </c>
      <c r="C722" t="inlineStr">
        <is>
          <t>metros de sondaje; pct sobre metros</t>
        </is>
      </c>
      <c r="D722" t="inlineStr">
        <is>
          <t>periodo_GM_LE2WASTE_Output</t>
        </is>
      </c>
      <c r="E722" t="inlineStr">
        <is>
          <t>2025</t>
        </is>
      </c>
      <c r="F722" t="inlineStr">
        <is>
          <t>ROCKCODE</t>
        </is>
      </c>
      <c r="G722" t="inlineStr">
        <is>
          <t>MG</t>
        </is>
      </c>
      <c r="H722" t="inlineStr">
        <is>
          <t>sin asignar</t>
        </is>
      </c>
      <c r="I722" t="inlineStr">
        <is>
          <t>MG</t>
        </is>
      </c>
      <c r="J722" t="inlineStr">
        <is>
          <t>ROCKCODE agrupado en ROCKCODE_NUMEQ=16; sigla sin leyenda</t>
        </is>
      </c>
      <c r="K722" t="inlineStr">
        <is>
          <t>Mármol (hipótesis: siglas M*)</t>
        </is>
      </c>
      <c r="L722" t="inlineStr">
        <is>
          <t>Metamorfico</t>
        </is>
      </c>
      <c r="M722" t="n">
        <v>2026</v>
      </c>
      <c r="N722" t="inlineStr"/>
      <c r="O722" t="inlineStr"/>
      <c r="P722" t="n">
        <v>2013.4</v>
      </c>
      <c r="Q722" t="n">
        <v>11.338</v>
      </c>
    </row>
    <row r="723">
      <c r="A723" t="inlineStr">
        <is>
          <t>MR24</t>
        </is>
      </c>
      <c r="B723" t="inlineStr">
        <is>
          <t>Merged_Table_Assay_lito</t>
        </is>
      </c>
      <c r="C723" t="inlineStr">
        <is>
          <t>metros de sondaje; pct sobre metros</t>
        </is>
      </c>
      <c r="D723" t="inlineStr">
        <is>
          <t>periodo_GM_LE2WASTE_Output</t>
        </is>
      </c>
      <c r="E723" t="inlineStr">
        <is>
          <t>2025</t>
        </is>
      </c>
      <c r="F723" t="inlineStr">
        <is>
          <t>ROCKCODE</t>
        </is>
      </c>
      <c r="G723" t="inlineStr">
        <is>
          <t>MGS</t>
        </is>
      </c>
      <c r="H723" t="inlineStr">
        <is>
          <t>sin asignar</t>
        </is>
      </c>
      <c r="I723" t="inlineStr">
        <is>
          <t>MGS</t>
        </is>
      </c>
      <c r="J723" t="inlineStr">
        <is>
          <t>ROCKCODE agrupado en ROCKCODE_NUMEQ=16; sigla sin leyenda</t>
        </is>
      </c>
      <c r="K723" t="inlineStr">
        <is>
          <t>Mármol (hipótesis: siglas M*)</t>
        </is>
      </c>
      <c r="L723" t="inlineStr">
        <is>
          <t>Metamorfico</t>
        </is>
      </c>
      <c r="M723" t="n">
        <v>1299</v>
      </c>
      <c r="N723" t="inlineStr"/>
      <c r="O723" t="inlineStr"/>
      <c r="P723" t="n">
        <v>1156.1</v>
      </c>
      <c r="Q723" t="n">
        <v>6.51</v>
      </c>
    </row>
    <row r="724">
      <c r="A724" t="inlineStr">
        <is>
          <t>MR24</t>
        </is>
      </c>
      <c r="B724" t="inlineStr">
        <is>
          <t>Merged_Table_Assay_lito</t>
        </is>
      </c>
      <c r="C724" t="inlineStr">
        <is>
          <t>metros de sondaje; pct sobre metros</t>
        </is>
      </c>
      <c r="D724" t="inlineStr">
        <is>
          <t>periodo_GM_LE2WASTE_Output</t>
        </is>
      </c>
      <c r="E724" t="inlineStr">
        <is>
          <t>2025</t>
        </is>
      </c>
      <c r="F724" t="inlineStr">
        <is>
          <t>ROCKCODE</t>
        </is>
      </c>
      <c r="G724" t="inlineStr">
        <is>
          <t>MPA</t>
        </is>
      </c>
      <c r="H724" t="inlineStr">
        <is>
          <t>sin asignar</t>
        </is>
      </c>
      <c r="I724" t="inlineStr">
        <is>
          <t>MPA</t>
        </is>
      </c>
      <c r="J724" t="inlineStr">
        <is>
          <t>ROCKCODE agrupado en ROCKCODE_NUMEQ=16; sigla sin leyenda</t>
        </is>
      </c>
      <c r="K724" t="inlineStr">
        <is>
          <t>Mármol (hipótesis: siglas M*)</t>
        </is>
      </c>
      <c r="L724" t="inlineStr">
        <is>
          <t>Metamorfico</t>
        </is>
      </c>
      <c r="M724" t="n">
        <v>485</v>
      </c>
      <c r="N724" t="inlineStr"/>
      <c r="O724" t="inlineStr"/>
      <c r="P724" t="n">
        <v>555.9</v>
      </c>
      <c r="Q724" t="n">
        <v>3.13</v>
      </c>
    </row>
    <row r="725">
      <c r="A725" t="inlineStr">
        <is>
          <t>MR24</t>
        </is>
      </c>
      <c r="B725" t="inlineStr">
        <is>
          <t>Merged_Table_Assay_lito</t>
        </is>
      </c>
      <c r="C725" t="inlineStr">
        <is>
          <t>metros de sondaje; pct sobre metros</t>
        </is>
      </c>
      <c r="D725" t="inlineStr">
        <is>
          <t>periodo_GM_LE2WASTE_Output</t>
        </is>
      </c>
      <c r="E725" t="inlineStr">
        <is>
          <t>2026</t>
        </is>
      </c>
      <c r="F725" t="inlineStr">
        <is>
          <t>ROCKCODE</t>
        </is>
      </c>
      <c r="G725" t="inlineStr">
        <is>
          <t>BCIPPA</t>
        </is>
      </c>
      <c r="H725" t="inlineStr">
        <is>
          <t>Intrusivo</t>
        </is>
      </c>
      <c r="I725" t="inlineStr">
        <is>
          <t>BCIPPA</t>
        </is>
      </c>
      <c r="J725" t="inlineStr">
        <is>
          <t>ROCKCODE agrupado en ROCKCODE_NUMEQ=1 (Intrusivo_1)</t>
        </is>
      </c>
      <c r="K725" t="inlineStr">
        <is>
          <t>Intrusivo</t>
        </is>
      </c>
      <c r="L725" t="inlineStr">
        <is>
          <t>Intrusivo</t>
        </is>
      </c>
      <c r="M725" t="n">
        <v>6</v>
      </c>
      <c r="N725" t="inlineStr"/>
      <c r="O725" t="inlineStr"/>
      <c r="P725" t="n">
        <v>11</v>
      </c>
      <c r="Q725" t="n">
        <v>0.063</v>
      </c>
    </row>
    <row r="726">
      <c r="A726" t="inlineStr">
        <is>
          <t>MR24</t>
        </is>
      </c>
      <c r="B726" t="inlineStr">
        <is>
          <t>Merged_Table_Assay_lito</t>
        </is>
      </c>
      <c r="C726" t="inlineStr">
        <is>
          <t>metros de sondaje; pct sobre metros</t>
        </is>
      </c>
      <c r="D726" t="inlineStr">
        <is>
          <t>periodo_GM_LE2WASTE_Output</t>
        </is>
      </c>
      <c r="E726" t="inlineStr">
        <is>
          <t>2026</t>
        </is>
      </c>
      <c r="F726" t="inlineStr">
        <is>
          <t>ROCKCODE</t>
        </is>
      </c>
      <c r="G726" t="inlineStr">
        <is>
          <t>C</t>
        </is>
      </c>
      <c r="H726" t="inlineStr">
        <is>
          <t>sin asignar</t>
        </is>
      </c>
      <c r="I726" t="inlineStr">
        <is>
          <t>C</t>
        </is>
      </c>
      <c r="J726" t="inlineStr">
        <is>
          <t>ROCKCODE agrupado en ROCKCODE_NUMEQ=10; sigla sin leyenda</t>
        </is>
      </c>
      <c r="K726" t="inlineStr">
        <is>
          <t>Caliza (hipótesis: siglas C*)</t>
        </is>
      </c>
      <c r="L726" t="inlineStr">
        <is>
          <t>Sedimentario</t>
        </is>
      </c>
      <c r="M726" t="n">
        <v>8</v>
      </c>
      <c r="N726" t="inlineStr"/>
      <c r="O726" t="inlineStr"/>
      <c r="P726" t="n">
        <v>40</v>
      </c>
      <c r="Q726" t="n">
        <v>0.228</v>
      </c>
    </row>
    <row r="727">
      <c r="A727" t="inlineStr">
        <is>
          <t>MR24</t>
        </is>
      </c>
      <c r="B727" t="inlineStr">
        <is>
          <t>Merged_Table_Assay_lito</t>
        </is>
      </c>
      <c r="C727" t="inlineStr">
        <is>
          <t>metros de sondaje; pct sobre metros</t>
        </is>
      </c>
      <c r="D727" t="inlineStr">
        <is>
          <t>periodo_GM_LE2WASTE_Output</t>
        </is>
      </c>
      <c r="E727" t="inlineStr">
        <is>
          <t>2026</t>
        </is>
      </c>
      <c r="F727" t="inlineStr">
        <is>
          <t>ROCKCODE</t>
        </is>
      </c>
      <c r="G727" t="inlineStr">
        <is>
          <t>CA</t>
        </is>
      </c>
      <c r="H727" t="inlineStr">
        <is>
          <t>sin asignar</t>
        </is>
      </c>
      <c r="I727" t="inlineStr">
        <is>
          <t>CA</t>
        </is>
      </c>
      <c r="J727" t="inlineStr">
        <is>
          <t>ROCKCODE agrupado en ROCKCODE_NUMEQ=10; sigla sin leyenda</t>
        </is>
      </c>
      <c r="K727" t="inlineStr">
        <is>
          <t>Caliza (hipótesis: siglas C*)</t>
        </is>
      </c>
      <c r="L727" t="inlineStr">
        <is>
          <t>Sedimentario</t>
        </is>
      </c>
      <c r="M727" t="n">
        <v>243</v>
      </c>
      <c r="N727" t="inlineStr"/>
      <c r="O727" t="inlineStr"/>
      <c r="P727" t="n">
        <v>244.15</v>
      </c>
      <c r="Q727" t="n">
        <v>1.395</v>
      </c>
    </row>
    <row r="728">
      <c r="A728" t="inlineStr">
        <is>
          <t>MR24</t>
        </is>
      </c>
      <c r="B728" t="inlineStr">
        <is>
          <t>Merged_Table_Assay_lito</t>
        </is>
      </c>
      <c r="C728" t="inlineStr">
        <is>
          <t>metros de sondaje; pct sobre metros</t>
        </is>
      </c>
      <c r="D728" t="inlineStr">
        <is>
          <t>periodo_GM_LE2WASTE_Output</t>
        </is>
      </c>
      <c r="E728" t="inlineStr">
        <is>
          <t>2026</t>
        </is>
      </c>
      <c r="F728" t="inlineStr">
        <is>
          <t>ROCKCODE</t>
        </is>
      </c>
      <c r="G728" t="inlineStr">
        <is>
          <t>CBMN</t>
        </is>
      </c>
      <c r="H728" t="inlineStr">
        <is>
          <t>sin asignar</t>
        </is>
      </c>
      <c r="I728" t="inlineStr">
        <is>
          <t>CBMN</t>
        </is>
      </c>
      <c r="J728" t="inlineStr">
        <is>
          <t>ROCKCODE agrupado en ROCKCODE_NUMEQ=10; sigla sin leyenda</t>
        </is>
      </c>
      <c r="K728" t="inlineStr">
        <is>
          <t>Caliza (hipótesis: siglas C*)</t>
        </is>
      </c>
      <c r="L728" t="inlineStr">
        <is>
          <t>Sedimentario</t>
        </is>
      </c>
      <c r="M728" t="n">
        <v>11</v>
      </c>
      <c r="N728" t="inlineStr"/>
      <c r="O728" t="inlineStr"/>
      <c r="P728" t="n">
        <v>43.65</v>
      </c>
      <c r="Q728" t="n">
        <v>0.249</v>
      </c>
    </row>
    <row r="729">
      <c r="A729" t="inlineStr">
        <is>
          <t>MR24</t>
        </is>
      </c>
      <c r="B729" t="inlineStr">
        <is>
          <t>Merged_Table_Assay_lito</t>
        </is>
      </c>
      <c r="C729" t="inlineStr">
        <is>
          <t>metros de sondaje; pct sobre metros</t>
        </is>
      </c>
      <c r="D729" t="inlineStr">
        <is>
          <t>periodo_GM_LE2WASTE_Output</t>
        </is>
      </c>
      <c r="E729" t="inlineStr">
        <is>
          <t>2026</t>
        </is>
      </c>
      <c r="F729" t="inlineStr">
        <is>
          <t>ROCKCODE</t>
        </is>
      </c>
      <c r="G729" t="inlineStr">
        <is>
          <t>CG</t>
        </is>
      </c>
      <c r="H729" t="inlineStr">
        <is>
          <t>sin asignar</t>
        </is>
      </c>
      <c r="I729" t="inlineStr">
        <is>
          <t>CG</t>
        </is>
      </c>
      <c r="J729" t="inlineStr">
        <is>
          <t>ROCKCODE agrupado en ROCKCODE_NUMEQ=10; sigla sin leyenda</t>
        </is>
      </c>
      <c r="K729" t="inlineStr">
        <is>
          <t>Caliza (hipótesis: siglas C*)</t>
        </is>
      </c>
      <c r="L729" t="inlineStr">
        <is>
          <t>Sedimentario</t>
        </is>
      </c>
      <c r="M729" t="n">
        <v>1628</v>
      </c>
      <c r="N729" t="inlineStr"/>
      <c r="O729" t="inlineStr"/>
      <c r="P729" t="n">
        <v>1445.7</v>
      </c>
      <c r="Q729" t="n">
        <v>8.257999999999999</v>
      </c>
    </row>
    <row r="730">
      <c r="A730" t="inlineStr">
        <is>
          <t>MR24</t>
        </is>
      </c>
      <c r="B730" t="inlineStr">
        <is>
          <t>Merged_Table_Assay_lito</t>
        </is>
      </c>
      <c r="C730" t="inlineStr">
        <is>
          <t>metros de sondaje; pct sobre metros</t>
        </is>
      </c>
      <c r="D730" t="inlineStr">
        <is>
          <t>periodo_GM_LE2WASTE_Output</t>
        </is>
      </c>
      <c r="E730" t="inlineStr">
        <is>
          <t>2026</t>
        </is>
      </c>
      <c r="F730" t="inlineStr">
        <is>
          <t>ROCKCODE</t>
        </is>
      </c>
      <c r="G730" t="inlineStr">
        <is>
          <t>CGS</t>
        </is>
      </c>
      <c r="H730" t="inlineStr">
        <is>
          <t>sin asignar</t>
        </is>
      </c>
      <c r="I730" t="inlineStr">
        <is>
          <t>CGS</t>
        </is>
      </c>
      <c r="J730" t="inlineStr">
        <is>
          <t>ROCKCODE agrupado en ROCKCODE_NUMEQ=10; sigla sin leyenda</t>
        </is>
      </c>
      <c r="K730" t="inlineStr">
        <is>
          <t>Caliza (hipótesis: siglas C*)</t>
        </is>
      </c>
      <c r="L730" t="inlineStr">
        <is>
          <t>Sedimentario</t>
        </is>
      </c>
      <c r="M730" t="n">
        <v>604</v>
      </c>
      <c r="N730" t="inlineStr"/>
      <c r="O730" t="inlineStr"/>
      <c r="P730" t="n">
        <v>521.6</v>
      </c>
      <c r="Q730" t="n">
        <v>2.98</v>
      </c>
    </row>
    <row r="731">
      <c r="A731" t="inlineStr">
        <is>
          <t>MR24</t>
        </is>
      </c>
      <c r="B731" t="inlineStr">
        <is>
          <t>Merged_Table_Assay_lito</t>
        </is>
      </c>
      <c r="C731" t="inlineStr">
        <is>
          <t>metros de sondaje; pct sobre metros</t>
        </is>
      </c>
      <c r="D731" t="inlineStr">
        <is>
          <t>periodo_GM_LE2WASTE_Output</t>
        </is>
      </c>
      <c r="E731" t="inlineStr">
        <is>
          <t>2026</t>
        </is>
      </c>
      <c r="F731" t="inlineStr">
        <is>
          <t>ROCKCODE</t>
        </is>
      </c>
      <c r="G731" t="inlineStr">
        <is>
          <t>CN</t>
        </is>
      </c>
      <c r="H731" t="inlineStr">
        <is>
          <t>sin asignar</t>
        </is>
      </c>
      <c r="I731" t="inlineStr">
        <is>
          <t>CN</t>
        </is>
      </c>
      <c r="J731" t="inlineStr">
        <is>
          <t>ROCKCODE agrupado en ROCKCODE_NUMEQ=10; sigla sin leyenda</t>
        </is>
      </c>
      <c r="K731" t="inlineStr">
        <is>
          <t>Caliza (hipótesis: siglas C*)</t>
        </is>
      </c>
      <c r="L731" t="inlineStr">
        <is>
          <t>Sedimentario</t>
        </is>
      </c>
      <c r="M731" t="n">
        <v>146</v>
      </c>
      <c r="N731" t="inlineStr"/>
      <c r="O731" t="inlineStr"/>
      <c r="P731" t="n">
        <v>162.1</v>
      </c>
      <c r="Q731" t="n">
        <v>0.926</v>
      </c>
    </row>
    <row r="732">
      <c r="A732" t="inlineStr">
        <is>
          <t>MR24</t>
        </is>
      </c>
      <c r="B732" t="inlineStr">
        <is>
          <t>Merged_Table_Assay_lito</t>
        </is>
      </c>
      <c r="C732" t="inlineStr">
        <is>
          <t>metros de sondaje; pct sobre metros</t>
        </is>
      </c>
      <c r="D732" t="inlineStr">
        <is>
          <t>periodo_GM_LE2WASTE_Output</t>
        </is>
      </c>
      <c r="E732" t="inlineStr">
        <is>
          <t>2026</t>
        </is>
      </c>
      <c r="F732" t="inlineStr">
        <is>
          <t>ROCKCODE</t>
        </is>
      </c>
      <c r="G732" t="inlineStr">
        <is>
          <t>DI</t>
        </is>
      </c>
      <c r="H732" t="inlineStr">
        <is>
          <t>Intrusivo</t>
        </is>
      </c>
      <c r="I732" t="inlineStr">
        <is>
          <t>DI</t>
        </is>
      </c>
      <c r="J732" t="inlineStr">
        <is>
          <t>ROCKCODE agrupado en ROCKCODE_NUMEQ=1 (Intrusivo_1)</t>
        </is>
      </c>
      <c r="K732" t="inlineStr">
        <is>
          <t>Intrusivo</t>
        </is>
      </c>
      <c r="L732" t="inlineStr">
        <is>
          <t>Intrusivo</t>
        </is>
      </c>
      <c r="M732" t="n">
        <v>2</v>
      </c>
      <c r="N732" t="inlineStr"/>
      <c r="O732" t="inlineStr"/>
      <c r="P732" t="n">
        <v>1.5</v>
      </c>
      <c r="Q732" t="n">
        <v>0.008999999999999999</v>
      </c>
    </row>
    <row r="733">
      <c r="A733" t="inlineStr">
        <is>
          <t>MR24</t>
        </is>
      </c>
      <c r="B733" t="inlineStr">
        <is>
          <t>Merged_Table_Assay_lito</t>
        </is>
      </c>
      <c r="C733" t="inlineStr">
        <is>
          <t>metros de sondaje; pct sobre metros</t>
        </is>
      </c>
      <c r="D733" t="inlineStr">
        <is>
          <t>periodo_GM_LE2WASTE_Output</t>
        </is>
      </c>
      <c r="E733" t="inlineStr">
        <is>
          <t>2026</t>
        </is>
      </c>
      <c r="F733" t="inlineStr">
        <is>
          <t>ROCKCODE</t>
        </is>
      </c>
      <c r="G733" t="inlineStr">
        <is>
          <t>HBV</t>
        </is>
      </c>
      <c r="H733" t="inlineStr">
        <is>
          <t>sin asignar</t>
        </is>
      </c>
      <c r="I733" t="inlineStr">
        <is>
          <t>HBV</t>
        </is>
      </c>
      <c r="J733" t="inlineStr">
        <is>
          <t>ROCKCODE agrupado en ROCKCODE_NUMEQ=14; sigla sin leyenda</t>
        </is>
      </c>
      <c r="K733" t="inlineStr">
        <is>
          <t>Hornfels (hipótesis: siglas H*)</t>
        </is>
      </c>
      <c r="L733" t="inlineStr">
        <is>
          <t>Metamorfico</t>
        </is>
      </c>
      <c r="M733" t="n">
        <v>47</v>
      </c>
      <c r="N733" t="inlineStr"/>
      <c r="O733" t="inlineStr"/>
      <c r="P733" t="n">
        <v>54.15</v>
      </c>
      <c r="Q733" t="n">
        <v>0.309</v>
      </c>
    </row>
    <row r="734">
      <c r="A734" t="inlineStr">
        <is>
          <t>MR24</t>
        </is>
      </c>
      <c r="B734" t="inlineStr">
        <is>
          <t>Merged_Table_Assay_lito</t>
        </is>
      </c>
      <c r="C734" t="inlineStr">
        <is>
          <t>metros de sondaje; pct sobre metros</t>
        </is>
      </c>
      <c r="D734" t="inlineStr">
        <is>
          <t>periodo_GM_LE2WASTE_Output</t>
        </is>
      </c>
      <c r="E734" t="inlineStr">
        <is>
          <t>2026</t>
        </is>
      </c>
      <c r="F734" t="inlineStr">
        <is>
          <t>ROCKCODE</t>
        </is>
      </c>
      <c r="G734" t="inlineStr">
        <is>
          <t>HC</t>
        </is>
      </c>
      <c r="H734" t="inlineStr">
        <is>
          <t>sin asignar</t>
        </is>
      </c>
      <c r="I734" t="inlineStr">
        <is>
          <t>HC</t>
        </is>
      </c>
      <c r="J734" t="inlineStr">
        <is>
          <t>ROCKCODE agrupado en ROCKCODE_NUMEQ=13; sigla sin leyenda</t>
        </is>
      </c>
      <c r="K734" t="inlineStr">
        <is>
          <t>Hornfels (hipótesis: siglas H*)</t>
        </is>
      </c>
      <c r="L734" t="inlineStr">
        <is>
          <t>Metamorfico</t>
        </is>
      </c>
      <c r="M734" t="n">
        <v>177</v>
      </c>
      <c r="N734" t="inlineStr"/>
      <c r="O734" t="inlineStr"/>
      <c r="P734" t="n">
        <v>172.6</v>
      </c>
      <c r="Q734" t="n">
        <v>0.986</v>
      </c>
    </row>
    <row r="735">
      <c r="A735" t="inlineStr">
        <is>
          <t>MR24</t>
        </is>
      </c>
      <c r="B735" t="inlineStr">
        <is>
          <t>Merged_Table_Assay_lito</t>
        </is>
      </c>
      <c r="C735" t="inlineStr">
        <is>
          <t>metros de sondaje; pct sobre metros</t>
        </is>
      </c>
      <c r="D735" t="inlineStr">
        <is>
          <t>periodo_GM_LE2WASTE_Output</t>
        </is>
      </c>
      <c r="E735" t="inlineStr">
        <is>
          <t>2026</t>
        </is>
      </c>
      <c r="F735" t="inlineStr">
        <is>
          <t>ROCKCODE</t>
        </is>
      </c>
      <c r="G735" t="inlineStr">
        <is>
          <t>HDP</t>
        </is>
      </c>
      <c r="H735" t="inlineStr">
        <is>
          <t>sin asignar</t>
        </is>
      </c>
      <c r="I735" t="inlineStr">
        <is>
          <t>HDP</t>
        </is>
      </c>
      <c r="J735" t="inlineStr">
        <is>
          <t>ROCKCODE agrupado en ROCKCODE_NUMEQ=14; sigla sin leyenda</t>
        </is>
      </c>
      <c r="K735" t="inlineStr">
        <is>
          <t>Hornfels (hipótesis: siglas H*)</t>
        </is>
      </c>
      <c r="L735" t="inlineStr">
        <is>
          <t>Metamorfico</t>
        </is>
      </c>
      <c r="M735" t="n">
        <v>7</v>
      </c>
      <c r="N735" t="inlineStr"/>
      <c r="O735" t="inlineStr"/>
      <c r="P735" t="n">
        <v>5.65</v>
      </c>
      <c r="Q735" t="n">
        <v>0.032</v>
      </c>
    </row>
    <row r="736">
      <c r="A736" t="inlineStr">
        <is>
          <t>MR24</t>
        </is>
      </c>
      <c r="B736" t="inlineStr">
        <is>
          <t>Merged_Table_Assay_lito</t>
        </is>
      </c>
      <c r="C736" t="inlineStr">
        <is>
          <t>metros de sondaje; pct sobre metros</t>
        </is>
      </c>
      <c r="D736" t="inlineStr">
        <is>
          <t>periodo_GM_LE2WASTE_Output</t>
        </is>
      </c>
      <c r="E736" t="inlineStr">
        <is>
          <t>2026</t>
        </is>
      </c>
      <c r="F736" t="inlineStr">
        <is>
          <t>ROCKCODE</t>
        </is>
      </c>
      <c r="G736" t="inlineStr">
        <is>
          <t>HG</t>
        </is>
      </c>
      <c r="H736" t="inlineStr">
        <is>
          <t>sin asignar</t>
        </is>
      </c>
      <c r="I736" t="inlineStr">
        <is>
          <t>HG</t>
        </is>
      </c>
      <c r="J736" t="inlineStr">
        <is>
          <t>ROCKCODE agrupado en ROCKCODE_NUMEQ=13; sigla sin leyenda</t>
        </is>
      </c>
      <c r="K736" t="inlineStr">
        <is>
          <t>Hornfels (hipótesis: siglas H*)</t>
        </is>
      </c>
      <c r="L736" t="inlineStr">
        <is>
          <t>Metamorfico</t>
        </is>
      </c>
      <c r="M736" t="n">
        <v>623</v>
      </c>
      <c r="N736" t="inlineStr"/>
      <c r="O736" t="inlineStr"/>
      <c r="P736" t="n">
        <v>493.1</v>
      </c>
      <c r="Q736" t="n">
        <v>2.817</v>
      </c>
    </row>
    <row r="737">
      <c r="A737" t="inlineStr">
        <is>
          <t>MR24</t>
        </is>
      </c>
      <c r="B737" t="inlineStr">
        <is>
          <t>Merged_Table_Assay_lito</t>
        </is>
      </c>
      <c r="C737" t="inlineStr">
        <is>
          <t>metros de sondaje; pct sobre metros</t>
        </is>
      </c>
      <c r="D737" t="inlineStr">
        <is>
          <t>periodo_GM_LE2WASTE_Output</t>
        </is>
      </c>
      <c r="E737" t="inlineStr">
        <is>
          <t>2026</t>
        </is>
      </c>
      <c r="F737" t="inlineStr">
        <is>
          <t>ROCKCODE</t>
        </is>
      </c>
      <c r="G737" t="inlineStr">
        <is>
          <t>HGS</t>
        </is>
      </c>
      <c r="H737" t="inlineStr">
        <is>
          <t>sin asignar</t>
        </is>
      </c>
      <c r="I737" t="inlineStr">
        <is>
          <t>HGS</t>
        </is>
      </c>
      <c r="J737" t="inlineStr">
        <is>
          <t>ROCKCODE agrupado en ROCKCODE_NUMEQ=13; sigla sin leyenda</t>
        </is>
      </c>
      <c r="K737" t="inlineStr">
        <is>
          <t>Hornfels (hipótesis: siglas H*)</t>
        </is>
      </c>
      <c r="L737" t="inlineStr">
        <is>
          <t>Metamorfico</t>
        </is>
      </c>
      <c r="M737" t="n">
        <v>116</v>
      </c>
      <c r="N737" t="inlineStr"/>
      <c r="O737" t="inlineStr"/>
      <c r="P737" t="n">
        <v>87</v>
      </c>
      <c r="Q737" t="n">
        <v>0.497</v>
      </c>
    </row>
    <row r="738">
      <c r="A738" t="inlineStr">
        <is>
          <t>MR24</t>
        </is>
      </c>
      <c r="B738" t="inlineStr">
        <is>
          <t>Merged_Table_Assay_lito</t>
        </is>
      </c>
      <c r="C738" t="inlineStr">
        <is>
          <t>metros de sondaje; pct sobre metros</t>
        </is>
      </c>
      <c r="D738" t="inlineStr">
        <is>
          <t>periodo_GM_LE2WASTE_Output</t>
        </is>
      </c>
      <c r="E738" t="inlineStr">
        <is>
          <t>2026</t>
        </is>
      </c>
      <c r="F738" t="inlineStr">
        <is>
          <t>ROCKCODE</t>
        </is>
      </c>
      <c r="G738" t="inlineStr">
        <is>
          <t>HGV</t>
        </is>
      </c>
      <c r="H738" t="inlineStr">
        <is>
          <t>sin asignar</t>
        </is>
      </c>
      <c r="I738" t="inlineStr">
        <is>
          <t>HGV</t>
        </is>
      </c>
      <c r="J738" t="inlineStr">
        <is>
          <t>ROCKCODE agrupado en ROCKCODE_NUMEQ=14; sigla sin leyenda</t>
        </is>
      </c>
      <c r="K738" t="inlineStr">
        <is>
          <t>Hornfels (hipótesis: siglas H*)</t>
        </is>
      </c>
      <c r="L738" t="inlineStr">
        <is>
          <t>Metamorfico</t>
        </is>
      </c>
      <c r="M738" t="n">
        <v>7</v>
      </c>
      <c r="N738" t="inlineStr"/>
      <c r="O738" t="inlineStr"/>
      <c r="P738" t="n">
        <v>7.15</v>
      </c>
      <c r="Q738" t="n">
        <v>0.041</v>
      </c>
    </row>
    <row r="739">
      <c r="A739" t="inlineStr">
        <is>
          <t>MR24</t>
        </is>
      </c>
      <c r="B739" t="inlineStr">
        <is>
          <t>Merged_Table_Assay_lito</t>
        </is>
      </c>
      <c r="C739" t="inlineStr">
        <is>
          <t>metros de sondaje; pct sobre metros</t>
        </is>
      </c>
      <c r="D739" t="inlineStr">
        <is>
          <t>periodo_GM_LE2WASTE_Output</t>
        </is>
      </c>
      <c r="E739" t="inlineStr">
        <is>
          <t>2026</t>
        </is>
      </c>
      <c r="F739" t="inlineStr">
        <is>
          <t>ROCKCODE</t>
        </is>
      </c>
      <c r="G739" t="inlineStr">
        <is>
          <t>HMGV</t>
        </is>
      </c>
      <c r="H739" t="inlineStr">
        <is>
          <t>sin asignar</t>
        </is>
      </c>
      <c r="I739" t="inlineStr">
        <is>
          <t>HMGV</t>
        </is>
      </c>
      <c r="J739" t="inlineStr">
        <is>
          <t>ROCKCODE agrupado en ROCKCODE_NUMEQ=14; sigla sin leyenda</t>
        </is>
      </c>
      <c r="K739" t="inlineStr">
        <is>
          <t>Hornfels (hipótesis: siglas H*)</t>
        </is>
      </c>
      <c r="L739" t="inlineStr">
        <is>
          <t>Metamorfico</t>
        </is>
      </c>
      <c r="M739" t="n">
        <v>1</v>
      </c>
      <c r="N739" t="inlineStr"/>
      <c r="O739" t="inlineStr"/>
      <c r="P739" t="n">
        <v>3.4</v>
      </c>
      <c r="Q739" t="n">
        <v>0.019</v>
      </c>
    </row>
    <row r="740">
      <c r="A740" t="inlineStr">
        <is>
          <t>MR24</t>
        </is>
      </c>
      <c r="B740" t="inlineStr">
        <is>
          <t>Merged_Table_Assay_lito</t>
        </is>
      </c>
      <c r="C740" t="inlineStr">
        <is>
          <t>metros de sondaje; pct sobre metros</t>
        </is>
      </c>
      <c r="D740" t="inlineStr">
        <is>
          <t>periodo_GM_LE2WASTE_Output</t>
        </is>
      </c>
      <c r="E740" t="inlineStr">
        <is>
          <t>2026</t>
        </is>
      </c>
      <c r="F740" t="inlineStr">
        <is>
          <t>ROCKCODE</t>
        </is>
      </c>
      <c r="G740" t="inlineStr">
        <is>
          <t>HV</t>
        </is>
      </c>
      <c r="H740" t="inlineStr">
        <is>
          <t>sin asignar</t>
        </is>
      </c>
      <c r="I740" t="inlineStr">
        <is>
          <t>HV</t>
        </is>
      </c>
      <c r="J740" t="inlineStr">
        <is>
          <t>ROCKCODE agrupado en ROCKCODE_NUMEQ=14; sigla sin leyenda</t>
        </is>
      </c>
      <c r="K740" t="inlineStr">
        <is>
          <t>Hornfels (hipótesis: siglas H*)</t>
        </is>
      </c>
      <c r="L740" t="inlineStr">
        <is>
          <t>Metamorfico</t>
        </is>
      </c>
      <c r="M740" t="n">
        <v>5</v>
      </c>
      <c r="N740" t="inlineStr"/>
      <c r="O740" t="inlineStr"/>
      <c r="P740" t="n">
        <v>3</v>
      </c>
      <c r="Q740" t="n">
        <v>0.017</v>
      </c>
    </row>
    <row r="741">
      <c r="A741" t="inlineStr">
        <is>
          <t>MR24</t>
        </is>
      </c>
      <c r="B741" t="inlineStr">
        <is>
          <t>Merged_Table_Assay_lito</t>
        </is>
      </c>
      <c r="C741" t="inlineStr">
        <is>
          <t>metros de sondaje; pct sobre metros</t>
        </is>
      </c>
      <c r="D741" t="inlineStr">
        <is>
          <t>periodo_GM_LE2WASTE_Output</t>
        </is>
      </c>
      <c r="E741" t="inlineStr">
        <is>
          <t>2026</t>
        </is>
      </c>
      <c r="F741" t="inlineStr">
        <is>
          <t>ROCKCODE</t>
        </is>
      </c>
      <c r="G741" t="inlineStr">
        <is>
          <t>IPHPE</t>
        </is>
      </c>
      <c r="H741" t="inlineStr">
        <is>
          <t>Intrusivo</t>
        </is>
      </c>
      <c r="I741" t="inlineStr">
        <is>
          <t>IPHPE</t>
        </is>
      </c>
      <c r="J741" t="inlineStr">
        <is>
          <t>ROCKCODE agrupado en ROCKCODE_NUMEQ=1 (Intrusivo_1)</t>
        </is>
      </c>
      <c r="K741" t="inlineStr">
        <is>
          <t>Intrusivo</t>
        </is>
      </c>
      <c r="L741" t="inlineStr">
        <is>
          <t>Intrusivo</t>
        </is>
      </c>
      <c r="M741" t="n">
        <v>12</v>
      </c>
      <c r="N741" t="inlineStr"/>
      <c r="O741" t="inlineStr"/>
      <c r="P741" t="n">
        <v>11.25</v>
      </c>
      <c r="Q741" t="n">
        <v>0.064</v>
      </c>
    </row>
    <row r="742">
      <c r="A742" t="inlineStr">
        <is>
          <t>MR24</t>
        </is>
      </c>
      <c r="B742" t="inlineStr">
        <is>
          <t>Merged_Table_Assay_lito</t>
        </is>
      </c>
      <c r="C742" t="inlineStr">
        <is>
          <t>metros de sondaje; pct sobre metros</t>
        </is>
      </c>
      <c r="D742" t="inlineStr">
        <is>
          <t>periodo_GM_LE2WASTE_Output</t>
        </is>
      </c>
      <c r="E742" t="inlineStr">
        <is>
          <t>2026</t>
        </is>
      </c>
      <c r="F742" t="inlineStr">
        <is>
          <t>ROCKCODE</t>
        </is>
      </c>
      <c r="G742" t="inlineStr">
        <is>
          <t>IPPA</t>
        </is>
      </c>
      <c r="H742" t="inlineStr">
        <is>
          <t>Intrusivo</t>
        </is>
      </c>
      <c r="I742" t="inlineStr">
        <is>
          <t>IPPA</t>
        </is>
      </c>
      <c r="J742" t="inlineStr">
        <is>
          <t>ROCKCODE agrupado en ROCKCODE_NUMEQ=1 (Intrusivo_1)</t>
        </is>
      </c>
      <c r="K742" t="inlineStr">
        <is>
          <t>Intrusivo</t>
        </is>
      </c>
      <c r="L742" t="inlineStr">
        <is>
          <t>Intrusivo</t>
        </is>
      </c>
      <c r="M742" t="n">
        <v>2123</v>
      </c>
      <c r="N742" t="inlineStr"/>
      <c r="O742" t="inlineStr"/>
      <c r="P742" t="n">
        <v>3074.9</v>
      </c>
      <c r="Q742" t="n">
        <v>17.565</v>
      </c>
    </row>
    <row r="743">
      <c r="A743" t="inlineStr">
        <is>
          <t>MR24</t>
        </is>
      </c>
      <c r="B743" t="inlineStr">
        <is>
          <t>Merged_Table_Assay_lito</t>
        </is>
      </c>
      <c r="C743" t="inlineStr">
        <is>
          <t>metros de sondaje; pct sobre metros</t>
        </is>
      </c>
      <c r="D743" t="inlineStr">
        <is>
          <t>periodo_GM_LE2WASTE_Output</t>
        </is>
      </c>
      <c r="E743" t="inlineStr">
        <is>
          <t>2026</t>
        </is>
      </c>
      <c r="F743" t="inlineStr">
        <is>
          <t>ROCKCODE</t>
        </is>
      </c>
      <c r="G743" t="inlineStr">
        <is>
          <t>IPPAMO</t>
        </is>
      </c>
      <c r="H743" t="inlineStr">
        <is>
          <t>Intrusivo</t>
        </is>
      </c>
      <c r="I743" t="inlineStr">
        <is>
          <t>IPPAMO</t>
        </is>
      </c>
      <c r="J743" t="inlineStr">
        <is>
          <t>ROCKCODE agrupado en ROCKCODE_NUMEQ=1 (Intrusivo_1)</t>
        </is>
      </c>
      <c r="K743" t="inlineStr">
        <is>
          <t>Intrusivo</t>
        </is>
      </c>
      <c r="L743" t="inlineStr">
        <is>
          <t>Intrusivo</t>
        </is>
      </c>
      <c r="M743" t="n">
        <v>75</v>
      </c>
      <c r="N743" t="inlineStr"/>
      <c r="O743" t="inlineStr"/>
      <c r="P743" t="n">
        <v>86</v>
      </c>
      <c r="Q743" t="n">
        <v>0.491</v>
      </c>
    </row>
    <row r="744">
      <c r="A744" t="inlineStr">
        <is>
          <t>MR24</t>
        </is>
      </c>
      <c r="B744" t="inlineStr">
        <is>
          <t>Merged_Table_Assay_lito</t>
        </is>
      </c>
      <c r="C744" t="inlineStr">
        <is>
          <t>metros de sondaje; pct sobre metros</t>
        </is>
      </c>
      <c r="D744" t="inlineStr">
        <is>
          <t>periodo_GM_LE2WASTE_Output</t>
        </is>
      </c>
      <c r="E744" t="inlineStr">
        <is>
          <t>2026</t>
        </is>
      </c>
      <c r="F744" t="inlineStr">
        <is>
          <t>ROCKCODE</t>
        </is>
      </c>
      <c r="G744" t="inlineStr">
        <is>
          <t>IPPAO</t>
        </is>
      </c>
      <c r="H744" t="inlineStr">
        <is>
          <t>Intrusivo</t>
        </is>
      </c>
      <c r="I744" t="inlineStr">
        <is>
          <t>IPPAO</t>
        </is>
      </c>
      <c r="J744" t="inlineStr">
        <is>
          <t>ROCKCODE agrupado en ROCKCODE_NUMEQ=1 (Intrusivo_1)</t>
        </is>
      </c>
      <c r="K744" t="inlineStr">
        <is>
          <t>Intrusivo</t>
        </is>
      </c>
      <c r="L744" t="inlineStr">
        <is>
          <t>Intrusivo</t>
        </is>
      </c>
      <c r="M744" t="n">
        <v>1408</v>
      </c>
      <c r="N744" t="inlineStr"/>
      <c r="O744" t="inlineStr"/>
      <c r="P744" t="n">
        <v>2035.75</v>
      </c>
      <c r="Q744" t="n">
        <v>11.629</v>
      </c>
    </row>
    <row r="745">
      <c r="A745" t="inlineStr">
        <is>
          <t>MR24</t>
        </is>
      </c>
      <c r="B745" t="inlineStr">
        <is>
          <t>Merged_Table_Assay_lito</t>
        </is>
      </c>
      <c r="C745" t="inlineStr">
        <is>
          <t>metros de sondaje; pct sobre metros</t>
        </is>
      </c>
      <c r="D745" t="inlineStr">
        <is>
          <t>periodo_GM_LE2WASTE_Output</t>
        </is>
      </c>
      <c r="E745" t="inlineStr">
        <is>
          <t>2026</t>
        </is>
      </c>
      <c r="F745" t="inlineStr">
        <is>
          <t>ROCKCODE</t>
        </is>
      </c>
      <c r="G745" t="inlineStr">
        <is>
          <t>IPPEO</t>
        </is>
      </c>
      <c r="H745" t="inlineStr">
        <is>
          <t>Intrusivo</t>
        </is>
      </c>
      <c r="I745" t="inlineStr">
        <is>
          <t>IPPEO</t>
        </is>
      </c>
      <c r="J745" t="inlineStr">
        <is>
          <t>ROCKCODE agrupado en ROCKCODE_NUMEQ=1 (Intrusivo_1)</t>
        </is>
      </c>
      <c r="K745" t="inlineStr">
        <is>
          <t>Intrusivo</t>
        </is>
      </c>
      <c r="L745" t="inlineStr">
        <is>
          <t>Intrusivo</t>
        </is>
      </c>
      <c r="M745" t="n">
        <v>9</v>
      </c>
      <c r="N745" t="inlineStr"/>
      <c r="O745" t="inlineStr"/>
      <c r="P745" t="n">
        <v>13.4</v>
      </c>
      <c r="Q745" t="n">
        <v>0.077</v>
      </c>
    </row>
    <row r="746">
      <c r="A746" t="inlineStr">
        <is>
          <t>MR24</t>
        </is>
      </c>
      <c r="B746" t="inlineStr">
        <is>
          <t>Merged_Table_Assay_lito</t>
        </is>
      </c>
      <c r="C746" t="inlineStr">
        <is>
          <t>metros de sondaje; pct sobre metros</t>
        </is>
      </c>
      <c r="D746" t="inlineStr">
        <is>
          <t>periodo_GM_LE2WASTE_Output</t>
        </is>
      </c>
      <c r="E746" t="inlineStr">
        <is>
          <t>2026</t>
        </is>
      </c>
      <c r="F746" t="inlineStr">
        <is>
          <t>ROCKCODE</t>
        </is>
      </c>
      <c r="G746" t="inlineStr">
        <is>
          <t>M</t>
        </is>
      </c>
      <c r="H746" t="inlineStr">
        <is>
          <t>sin asignar</t>
        </is>
      </c>
      <c r="I746" t="inlineStr">
        <is>
          <t>M</t>
        </is>
      </c>
      <c r="J746" t="inlineStr">
        <is>
          <t>ROCKCODE agrupado en ROCKCODE_NUMEQ=16; sigla sin leyenda</t>
        </is>
      </c>
      <c r="K746" t="inlineStr">
        <is>
          <t>Mármol (hipótesis: siglas M*)</t>
        </is>
      </c>
      <c r="L746" t="inlineStr">
        <is>
          <t>Metamorfico</t>
        </is>
      </c>
      <c r="M746" t="n">
        <v>3</v>
      </c>
      <c r="N746" t="inlineStr"/>
      <c r="O746" t="inlineStr"/>
      <c r="P746" t="n">
        <v>4.5</v>
      </c>
      <c r="Q746" t="n">
        <v>0.026</v>
      </c>
    </row>
    <row r="747">
      <c r="A747" t="inlineStr">
        <is>
          <t>MR24</t>
        </is>
      </c>
      <c r="B747" t="inlineStr">
        <is>
          <t>Merged_Table_Assay_lito</t>
        </is>
      </c>
      <c r="C747" t="inlineStr">
        <is>
          <t>metros de sondaje; pct sobre metros</t>
        </is>
      </c>
      <c r="D747" t="inlineStr">
        <is>
          <t>periodo_GM_LE2WASTE_Output</t>
        </is>
      </c>
      <c r="E747" t="inlineStr">
        <is>
          <t>2026</t>
        </is>
      </c>
      <c r="F747" t="inlineStr">
        <is>
          <t>ROCKCODE</t>
        </is>
      </c>
      <c r="G747" t="inlineStr">
        <is>
          <t>MC</t>
        </is>
      </c>
      <c r="H747" t="inlineStr">
        <is>
          <t>sin asignar</t>
        </is>
      </c>
      <c r="I747" t="inlineStr">
        <is>
          <t>MC</t>
        </is>
      </c>
      <c r="J747" t="inlineStr">
        <is>
          <t>ROCKCODE agrupado en ROCKCODE_NUMEQ=16; sigla sin leyenda</t>
        </is>
      </c>
      <c r="K747" t="inlineStr">
        <is>
          <t>Mármol (hipótesis: siglas M*)</t>
        </is>
      </c>
      <c r="L747" t="inlineStr">
        <is>
          <t>Metamorfico</t>
        </is>
      </c>
      <c r="M747" t="n">
        <v>2300</v>
      </c>
      <c r="N747" t="inlineStr"/>
      <c r="O747" t="inlineStr"/>
      <c r="P747" t="n">
        <v>2806.51</v>
      </c>
      <c r="Q747" t="n">
        <v>16.032</v>
      </c>
    </row>
    <row r="748">
      <c r="A748" t="inlineStr">
        <is>
          <t>MR24</t>
        </is>
      </c>
      <c r="B748" t="inlineStr">
        <is>
          <t>Merged_Table_Assay_lito</t>
        </is>
      </c>
      <c r="C748" t="inlineStr">
        <is>
          <t>metros de sondaje; pct sobre metros</t>
        </is>
      </c>
      <c r="D748" t="inlineStr">
        <is>
          <t>periodo_GM_LE2WASTE_Output</t>
        </is>
      </c>
      <c r="E748" t="inlineStr">
        <is>
          <t>2026</t>
        </is>
      </c>
      <c r="F748" t="inlineStr">
        <is>
          <t>ROCKCODE</t>
        </is>
      </c>
      <c r="G748" t="inlineStr">
        <is>
          <t>MCB</t>
        </is>
      </c>
      <c r="H748" t="inlineStr">
        <is>
          <t>sin asignar</t>
        </is>
      </c>
      <c r="I748" t="inlineStr">
        <is>
          <t>MCB</t>
        </is>
      </c>
      <c r="J748" t="inlineStr">
        <is>
          <t>ROCKCODE agrupado en ROCKCODE_NUMEQ=16; sigla sin leyenda</t>
        </is>
      </c>
      <c r="K748" t="inlineStr">
        <is>
          <t>Mármol (hipótesis: siglas M*)</t>
        </is>
      </c>
      <c r="L748" t="inlineStr">
        <is>
          <t>Metamorfico</t>
        </is>
      </c>
      <c r="M748" t="n">
        <v>357</v>
      </c>
      <c r="N748" t="inlineStr"/>
      <c r="O748" t="inlineStr"/>
      <c r="P748" t="n">
        <v>622.55</v>
      </c>
      <c r="Q748" t="n">
        <v>3.556</v>
      </c>
    </row>
    <row r="749">
      <c r="A749" t="inlineStr">
        <is>
          <t>MR24</t>
        </is>
      </c>
      <c r="B749" t="inlineStr">
        <is>
          <t>Merged_Table_Assay_lito</t>
        </is>
      </c>
      <c r="C749" t="inlineStr">
        <is>
          <t>metros de sondaje; pct sobre metros</t>
        </is>
      </c>
      <c r="D749" t="inlineStr">
        <is>
          <t>periodo_GM_LE2WASTE_Output</t>
        </is>
      </c>
      <c r="E749" t="inlineStr">
        <is>
          <t>2026</t>
        </is>
      </c>
      <c r="F749" t="inlineStr">
        <is>
          <t>ROCKCODE</t>
        </is>
      </c>
      <c r="G749" t="inlineStr">
        <is>
          <t>MCGB</t>
        </is>
      </c>
      <c r="H749" t="inlineStr">
        <is>
          <t>sin asignar</t>
        </is>
      </c>
      <c r="I749" t="inlineStr">
        <is>
          <t>MCGB</t>
        </is>
      </c>
      <c r="J749" t="inlineStr">
        <is>
          <t>ROCKCODE agrupado en ROCKCODE_NUMEQ=16; sigla sin leyenda</t>
        </is>
      </c>
      <c r="K749" t="inlineStr">
        <is>
          <t>Mármol (hipótesis: siglas M*)</t>
        </is>
      </c>
      <c r="L749" t="inlineStr">
        <is>
          <t>Metamorfico</t>
        </is>
      </c>
      <c r="M749" t="n">
        <v>1151</v>
      </c>
      <c r="N749" t="inlineStr"/>
      <c r="O749" t="inlineStr"/>
      <c r="P749" t="n">
        <v>1181.05</v>
      </c>
      <c r="Q749" t="n">
        <v>6.747</v>
      </c>
    </row>
    <row r="750">
      <c r="A750" t="inlineStr">
        <is>
          <t>MR24</t>
        </is>
      </c>
      <c r="B750" t="inlineStr">
        <is>
          <t>Merged_Table_Assay_lito</t>
        </is>
      </c>
      <c r="C750" t="inlineStr">
        <is>
          <t>metros de sondaje; pct sobre metros</t>
        </is>
      </c>
      <c r="D750" t="inlineStr">
        <is>
          <t>periodo_GM_LE2WASTE_Output</t>
        </is>
      </c>
      <c r="E750" t="inlineStr">
        <is>
          <t>2026</t>
        </is>
      </c>
      <c r="F750" t="inlineStr">
        <is>
          <t>ROCKCODE</t>
        </is>
      </c>
      <c r="G750" t="inlineStr">
        <is>
          <t>MDP</t>
        </is>
      </c>
      <c r="H750" t="inlineStr">
        <is>
          <t>sin asignar</t>
        </is>
      </c>
      <c r="I750" t="inlineStr">
        <is>
          <t>MDP</t>
        </is>
      </c>
      <c r="J750" t="inlineStr">
        <is>
          <t>ROCKCODE agrupado en ROCKCODE_NUMEQ=19; sigla sin leyenda</t>
        </is>
      </c>
      <c r="K750" t="inlineStr">
        <is>
          <t>Mármol (hipótesis: sigla MDP)</t>
        </is>
      </c>
      <c r="L750" t="inlineStr">
        <is>
          <t>Metamorfico</t>
        </is>
      </c>
      <c r="M750" t="n">
        <v>2606</v>
      </c>
      <c r="N750" t="inlineStr"/>
      <c r="O750" t="inlineStr"/>
      <c r="P750" t="n">
        <v>2706.92</v>
      </c>
      <c r="Q750" t="n">
        <v>15.463</v>
      </c>
    </row>
    <row r="751">
      <c r="A751" t="inlineStr">
        <is>
          <t>MR24</t>
        </is>
      </c>
      <c r="B751" t="inlineStr">
        <is>
          <t>Merged_Table_Assay_lito</t>
        </is>
      </c>
      <c r="C751" t="inlineStr">
        <is>
          <t>metros de sondaje; pct sobre metros</t>
        </is>
      </c>
      <c r="D751" t="inlineStr">
        <is>
          <t>periodo_GM_LE2WASTE_Output</t>
        </is>
      </c>
      <c r="E751" t="inlineStr">
        <is>
          <t>2026</t>
        </is>
      </c>
      <c r="F751" t="inlineStr">
        <is>
          <t>ROCKCODE</t>
        </is>
      </c>
      <c r="G751" t="inlineStr">
        <is>
          <t>MG</t>
        </is>
      </c>
      <c r="H751" t="inlineStr">
        <is>
          <t>sin asignar</t>
        </is>
      </c>
      <c r="I751" t="inlineStr">
        <is>
          <t>MG</t>
        </is>
      </c>
      <c r="J751" t="inlineStr">
        <is>
          <t>ROCKCODE agrupado en ROCKCODE_NUMEQ=16; sigla sin leyenda</t>
        </is>
      </c>
      <c r="K751" t="inlineStr">
        <is>
          <t>Mármol (hipótesis: siglas M*)</t>
        </is>
      </c>
      <c r="L751" t="inlineStr">
        <is>
          <t>Metamorfico</t>
        </is>
      </c>
      <c r="M751" t="n">
        <v>998</v>
      </c>
      <c r="N751" t="inlineStr"/>
      <c r="O751" t="inlineStr"/>
      <c r="P751" t="n">
        <v>1022.45</v>
      </c>
      <c r="Q751" t="n">
        <v>5.841</v>
      </c>
    </row>
    <row r="752">
      <c r="A752" t="inlineStr">
        <is>
          <t>MR24</t>
        </is>
      </c>
      <c r="B752" t="inlineStr">
        <is>
          <t>Merged_Table_Assay_lito</t>
        </is>
      </c>
      <c r="C752" t="inlineStr">
        <is>
          <t>metros de sondaje; pct sobre metros</t>
        </is>
      </c>
      <c r="D752" t="inlineStr">
        <is>
          <t>periodo_GM_LE2WASTE_Output</t>
        </is>
      </c>
      <c r="E752" t="inlineStr">
        <is>
          <t>2026</t>
        </is>
      </c>
      <c r="F752" t="inlineStr">
        <is>
          <t>ROCKCODE</t>
        </is>
      </c>
      <c r="G752" t="inlineStr">
        <is>
          <t>MGS</t>
        </is>
      </c>
      <c r="H752" t="inlineStr">
        <is>
          <t>sin asignar</t>
        </is>
      </c>
      <c r="I752" t="inlineStr">
        <is>
          <t>MGS</t>
        </is>
      </c>
      <c r="J752" t="inlineStr">
        <is>
          <t>ROCKCODE agrupado en ROCKCODE_NUMEQ=16; sigla sin leyenda</t>
        </is>
      </c>
      <c r="K752" t="inlineStr">
        <is>
          <t>Mármol (hipótesis: siglas M*)</t>
        </is>
      </c>
      <c r="L752" t="inlineStr">
        <is>
          <t>Metamorfico</t>
        </is>
      </c>
      <c r="M752" t="n">
        <v>187</v>
      </c>
      <c r="N752" t="inlineStr"/>
      <c r="O752" t="inlineStr"/>
      <c r="P752" t="n">
        <v>176.75</v>
      </c>
      <c r="Q752" t="n">
        <v>1.01</v>
      </c>
    </row>
    <row r="753">
      <c r="A753" t="inlineStr">
        <is>
          <t>MR24</t>
        </is>
      </c>
      <c r="B753" t="inlineStr">
        <is>
          <t>Merged_Table_Assay_lito</t>
        </is>
      </c>
      <c r="C753" t="inlineStr">
        <is>
          <t>metros de sondaje; pct sobre metros</t>
        </is>
      </c>
      <c r="D753" t="inlineStr">
        <is>
          <t>periodo_GM_LE2WASTE_Output</t>
        </is>
      </c>
      <c r="E753" t="inlineStr">
        <is>
          <t>2026</t>
        </is>
      </c>
      <c r="F753" t="inlineStr">
        <is>
          <t>ROCKCODE</t>
        </is>
      </c>
      <c r="G753" t="inlineStr">
        <is>
          <t>MPA</t>
        </is>
      </c>
      <c r="H753" t="inlineStr">
        <is>
          <t>sin asignar</t>
        </is>
      </c>
      <c r="I753" t="inlineStr">
        <is>
          <t>MPA</t>
        </is>
      </c>
      <c r="J753" t="inlineStr">
        <is>
          <t>ROCKCODE agrupado en ROCKCODE_NUMEQ=16; sigla sin leyenda</t>
        </is>
      </c>
      <c r="K753" t="inlineStr">
        <is>
          <t>Mármol (hipótesis: siglas M*)</t>
        </is>
      </c>
      <c r="L753" t="inlineStr">
        <is>
          <t>Metamorfico</t>
        </is>
      </c>
      <c r="M753" t="n">
        <v>462</v>
      </c>
      <c r="N753" t="inlineStr"/>
      <c r="O753" t="inlineStr"/>
      <c r="P753" t="n">
        <v>467.9</v>
      </c>
      <c r="Q753" t="n">
        <v>2.673</v>
      </c>
    </row>
    <row r="754">
      <c r="A754" t="inlineStr">
        <is>
          <t>MR24</t>
        </is>
      </c>
      <c r="B754" t="inlineStr">
        <is>
          <t>Merged_Table_Assay_lito</t>
        </is>
      </c>
      <c r="C754" t="inlineStr">
        <is>
          <t>metros de sondaje; pct sobre metros</t>
        </is>
      </c>
      <c r="D754" t="inlineStr">
        <is>
          <t>periodo_GM_LE2WASTE_Output</t>
        </is>
      </c>
      <c r="E754" t="inlineStr">
        <is>
          <t>2027</t>
        </is>
      </c>
      <c r="F754" t="inlineStr">
        <is>
          <t>ROCKCODE</t>
        </is>
      </c>
      <c r="G754" t="inlineStr">
        <is>
          <t>BCIPPAO</t>
        </is>
      </c>
      <c r="H754" t="inlineStr">
        <is>
          <t>Intrusivo</t>
        </is>
      </c>
      <c r="I754" t="inlineStr">
        <is>
          <t>BCIPPAO</t>
        </is>
      </c>
      <c r="J754" t="inlineStr">
        <is>
          <t>ROCKCODE agrupado en ROCKCODE_NUMEQ=1 (Intrusivo_1)</t>
        </is>
      </c>
      <c r="K754" t="inlineStr">
        <is>
          <t>Intrusivo</t>
        </is>
      </c>
      <c r="L754" t="inlineStr">
        <is>
          <t>Intrusivo</t>
        </is>
      </c>
      <c r="M754" t="n">
        <v>7</v>
      </c>
      <c r="N754" t="inlineStr"/>
      <c r="O754" t="inlineStr"/>
      <c r="P754" t="n">
        <v>6.15</v>
      </c>
      <c r="Q754" t="n">
        <v>0.038</v>
      </c>
    </row>
    <row r="755">
      <c r="A755" t="inlineStr">
        <is>
          <t>MR24</t>
        </is>
      </c>
      <c r="B755" t="inlineStr">
        <is>
          <t>Merged_Table_Assay_lito</t>
        </is>
      </c>
      <c r="C755" t="inlineStr">
        <is>
          <t>metros de sondaje; pct sobre metros</t>
        </is>
      </c>
      <c r="D755" t="inlineStr">
        <is>
          <t>periodo_GM_LE2WASTE_Output</t>
        </is>
      </c>
      <c r="E755" t="inlineStr">
        <is>
          <t>2027</t>
        </is>
      </c>
      <c r="F755" t="inlineStr">
        <is>
          <t>ROCKCODE</t>
        </is>
      </c>
      <c r="G755" t="inlineStr">
        <is>
          <t>CF</t>
        </is>
      </c>
      <c r="H755" t="inlineStr">
        <is>
          <t>sin asignar</t>
        </is>
      </c>
      <c r="I755" t="inlineStr">
        <is>
          <t>CF</t>
        </is>
      </c>
      <c r="J755" t="inlineStr">
        <is>
          <t>ROCKCODE agrupado en ROCKCODE_NUMEQ=10; sigla sin leyenda</t>
        </is>
      </c>
      <c r="K755" t="inlineStr">
        <is>
          <t>Caliza (hipótesis: siglas C*)</t>
        </is>
      </c>
      <c r="L755" t="inlineStr">
        <is>
          <t>Sedimentario</t>
        </is>
      </c>
      <c r="M755" t="n">
        <v>4</v>
      </c>
      <c r="N755" t="inlineStr"/>
      <c r="O755" t="inlineStr"/>
      <c r="P755" t="n">
        <v>9.699999999999999</v>
      </c>
      <c r="Q755" t="n">
        <v>0.06</v>
      </c>
    </row>
    <row r="756">
      <c r="A756" t="inlineStr">
        <is>
          <t>MR24</t>
        </is>
      </c>
      <c r="B756" t="inlineStr">
        <is>
          <t>Merged_Table_Assay_lito</t>
        </is>
      </c>
      <c r="C756" t="inlineStr">
        <is>
          <t>metros de sondaje; pct sobre metros</t>
        </is>
      </c>
      <c r="D756" t="inlineStr">
        <is>
          <t>periodo_GM_LE2WASTE_Output</t>
        </is>
      </c>
      <c r="E756" t="inlineStr">
        <is>
          <t>2027</t>
        </is>
      </c>
      <c r="F756" t="inlineStr">
        <is>
          <t>ROCKCODE</t>
        </is>
      </c>
      <c r="G756" t="inlineStr">
        <is>
          <t>CG</t>
        </is>
      </c>
      <c r="H756" t="inlineStr">
        <is>
          <t>sin asignar</t>
        </is>
      </c>
      <c r="I756" t="inlineStr">
        <is>
          <t>CG</t>
        </is>
      </c>
      <c r="J756" t="inlineStr">
        <is>
          <t>ROCKCODE agrupado en ROCKCODE_NUMEQ=10; sigla sin leyenda</t>
        </is>
      </c>
      <c r="K756" t="inlineStr">
        <is>
          <t>Caliza (hipótesis: siglas C*)</t>
        </is>
      </c>
      <c r="L756" t="inlineStr">
        <is>
          <t>Sedimentario</t>
        </is>
      </c>
      <c r="M756" t="n">
        <v>17</v>
      </c>
      <c r="N756" t="inlineStr"/>
      <c r="O756" t="inlineStr"/>
      <c r="P756" t="n">
        <v>15.55</v>
      </c>
      <c r="Q756" t="n">
        <v>0.097</v>
      </c>
    </row>
    <row r="757">
      <c r="A757" t="inlineStr">
        <is>
          <t>MR24</t>
        </is>
      </c>
      <c r="B757" t="inlineStr">
        <is>
          <t>Merged_Table_Assay_lito</t>
        </is>
      </c>
      <c r="C757" t="inlineStr">
        <is>
          <t>metros de sondaje; pct sobre metros</t>
        </is>
      </c>
      <c r="D757" t="inlineStr">
        <is>
          <t>periodo_GM_LE2WASTE_Output</t>
        </is>
      </c>
      <c r="E757" t="inlineStr">
        <is>
          <t>2027</t>
        </is>
      </c>
      <c r="F757" t="inlineStr">
        <is>
          <t>ROCKCODE</t>
        </is>
      </c>
      <c r="G757" t="inlineStr">
        <is>
          <t>CGS</t>
        </is>
      </c>
      <c r="H757" t="inlineStr">
        <is>
          <t>sin asignar</t>
        </is>
      </c>
      <c r="I757" t="inlineStr">
        <is>
          <t>CGS</t>
        </is>
      </c>
      <c r="J757" t="inlineStr">
        <is>
          <t>ROCKCODE agrupado en ROCKCODE_NUMEQ=10; sigla sin leyenda</t>
        </is>
      </c>
      <c r="K757" t="inlineStr">
        <is>
          <t>Caliza (hipótesis: siglas C*)</t>
        </is>
      </c>
      <c r="L757" t="inlineStr">
        <is>
          <t>Sedimentario</t>
        </is>
      </c>
      <c r="M757" t="n">
        <v>12</v>
      </c>
      <c r="N757" t="inlineStr"/>
      <c r="O757" t="inlineStr"/>
      <c r="P757" t="n">
        <v>15</v>
      </c>
      <c r="Q757" t="n">
        <v>0.093</v>
      </c>
    </row>
    <row r="758">
      <c r="A758" t="inlineStr">
        <is>
          <t>MR24</t>
        </is>
      </c>
      <c r="B758" t="inlineStr">
        <is>
          <t>Merged_Table_Assay_lito</t>
        </is>
      </c>
      <c r="C758" t="inlineStr">
        <is>
          <t>metros de sondaje; pct sobre metros</t>
        </is>
      </c>
      <c r="D758" t="inlineStr">
        <is>
          <t>periodo_GM_LE2WASTE_Output</t>
        </is>
      </c>
      <c r="E758" t="inlineStr">
        <is>
          <t>2027</t>
        </is>
      </c>
      <c r="F758" t="inlineStr">
        <is>
          <t>ROCKCODE</t>
        </is>
      </c>
      <c r="G758" t="inlineStr">
        <is>
          <t>CN</t>
        </is>
      </c>
      <c r="H758" t="inlineStr">
        <is>
          <t>sin asignar</t>
        </is>
      </c>
      <c r="I758" t="inlineStr">
        <is>
          <t>CN</t>
        </is>
      </c>
      <c r="J758" t="inlineStr">
        <is>
          <t>ROCKCODE agrupado en ROCKCODE_NUMEQ=10; sigla sin leyenda</t>
        </is>
      </c>
      <c r="K758" t="inlineStr">
        <is>
          <t>Caliza (hipótesis: siglas C*)</t>
        </is>
      </c>
      <c r="L758" t="inlineStr">
        <is>
          <t>Sedimentario</t>
        </is>
      </c>
      <c r="M758" t="n">
        <v>62</v>
      </c>
      <c r="N758" t="inlineStr"/>
      <c r="O758" t="inlineStr"/>
      <c r="P758" t="n">
        <v>116</v>
      </c>
      <c r="Q758" t="n">
        <v>0.722</v>
      </c>
    </row>
    <row r="759">
      <c r="A759" t="inlineStr">
        <is>
          <t>MR24</t>
        </is>
      </c>
      <c r="B759" t="inlineStr">
        <is>
          <t>Merged_Table_Assay_lito</t>
        </is>
      </c>
      <c r="C759" t="inlineStr">
        <is>
          <t>metros de sondaje; pct sobre metros</t>
        </is>
      </c>
      <c r="D759" t="inlineStr">
        <is>
          <t>periodo_GM_LE2WASTE_Output</t>
        </is>
      </c>
      <c r="E759" t="inlineStr">
        <is>
          <t>2027</t>
        </is>
      </c>
      <c r="F759" t="inlineStr">
        <is>
          <t>ROCKCODE</t>
        </is>
      </c>
      <c r="G759" t="inlineStr">
        <is>
          <t>HC</t>
        </is>
      </c>
      <c r="H759" t="inlineStr">
        <is>
          <t>sin asignar</t>
        </is>
      </c>
      <c r="I759" t="inlineStr">
        <is>
          <t>HC</t>
        </is>
      </c>
      <c r="J759" t="inlineStr">
        <is>
          <t>ROCKCODE agrupado en ROCKCODE_NUMEQ=13; sigla sin leyenda</t>
        </is>
      </c>
      <c r="K759" t="inlineStr">
        <is>
          <t>Hornfels (hipótesis: siglas H*)</t>
        </is>
      </c>
      <c r="L759" t="inlineStr">
        <is>
          <t>Metamorfico</t>
        </is>
      </c>
      <c r="M759" t="n">
        <v>44</v>
      </c>
      <c r="N759" t="inlineStr"/>
      <c r="O759" t="inlineStr"/>
      <c r="P759" t="n">
        <v>61.05</v>
      </c>
      <c r="Q759" t="n">
        <v>0.38</v>
      </c>
    </row>
    <row r="760">
      <c r="A760" t="inlineStr">
        <is>
          <t>MR24</t>
        </is>
      </c>
      <c r="B760" t="inlineStr">
        <is>
          <t>Merged_Table_Assay_lito</t>
        </is>
      </c>
      <c r="C760" t="inlineStr">
        <is>
          <t>metros de sondaje; pct sobre metros</t>
        </is>
      </c>
      <c r="D760" t="inlineStr">
        <is>
          <t>periodo_GM_LE2WASTE_Output</t>
        </is>
      </c>
      <c r="E760" t="inlineStr">
        <is>
          <t>2027</t>
        </is>
      </c>
      <c r="F760" t="inlineStr">
        <is>
          <t>ROCKCODE</t>
        </is>
      </c>
      <c r="G760" t="inlineStr">
        <is>
          <t>HG</t>
        </is>
      </c>
      <c r="H760" t="inlineStr">
        <is>
          <t>sin asignar</t>
        </is>
      </c>
      <c r="I760" t="inlineStr">
        <is>
          <t>HG</t>
        </is>
      </c>
      <c r="J760" t="inlineStr">
        <is>
          <t>ROCKCODE agrupado en ROCKCODE_NUMEQ=13; sigla sin leyenda</t>
        </is>
      </c>
      <c r="K760" t="inlineStr">
        <is>
          <t>Hornfels (hipótesis: siglas H*)</t>
        </is>
      </c>
      <c r="L760" t="inlineStr">
        <is>
          <t>Metamorfico</t>
        </is>
      </c>
      <c r="M760" t="n">
        <v>8</v>
      </c>
      <c r="N760" t="inlineStr"/>
      <c r="O760" t="inlineStr"/>
      <c r="P760" t="n">
        <v>14.4</v>
      </c>
      <c r="Q760" t="n">
        <v>0.09</v>
      </c>
    </row>
    <row r="761">
      <c r="A761" t="inlineStr">
        <is>
          <t>MR24</t>
        </is>
      </c>
      <c r="B761" t="inlineStr">
        <is>
          <t>Merged_Table_Assay_lito</t>
        </is>
      </c>
      <c r="C761" t="inlineStr">
        <is>
          <t>metros de sondaje; pct sobre metros</t>
        </is>
      </c>
      <c r="D761" t="inlineStr">
        <is>
          <t>periodo_GM_LE2WASTE_Output</t>
        </is>
      </c>
      <c r="E761" t="inlineStr">
        <is>
          <t>2027</t>
        </is>
      </c>
      <c r="F761" t="inlineStr">
        <is>
          <t>ROCKCODE</t>
        </is>
      </c>
      <c r="G761" t="inlineStr">
        <is>
          <t>HGS</t>
        </is>
      </c>
      <c r="H761" t="inlineStr">
        <is>
          <t>sin asignar</t>
        </is>
      </c>
      <c r="I761" t="inlineStr">
        <is>
          <t>HGS</t>
        </is>
      </c>
      <c r="J761" t="inlineStr">
        <is>
          <t>ROCKCODE agrupado en ROCKCODE_NUMEQ=13; sigla sin leyenda</t>
        </is>
      </c>
      <c r="K761" t="inlineStr">
        <is>
          <t>Hornfels (hipótesis: siglas H*)</t>
        </is>
      </c>
      <c r="L761" t="inlineStr">
        <is>
          <t>Metamorfico</t>
        </is>
      </c>
      <c r="M761" t="n">
        <v>40</v>
      </c>
      <c r="N761" t="inlineStr"/>
      <c r="O761" t="inlineStr"/>
      <c r="P761" t="n">
        <v>51.05</v>
      </c>
      <c r="Q761" t="n">
        <v>0.318</v>
      </c>
    </row>
    <row r="762">
      <c r="A762" t="inlineStr">
        <is>
          <t>MR24</t>
        </is>
      </c>
      <c r="B762" t="inlineStr">
        <is>
          <t>Merged_Table_Assay_lito</t>
        </is>
      </c>
      <c r="C762" t="inlineStr">
        <is>
          <t>metros de sondaje; pct sobre metros</t>
        </is>
      </c>
      <c r="D762" t="inlineStr">
        <is>
          <t>periodo_GM_LE2WASTE_Output</t>
        </is>
      </c>
      <c r="E762" t="inlineStr">
        <is>
          <t>2027</t>
        </is>
      </c>
      <c r="F762" t="inlineStr">
        <is>
          <t>ROCKCODE</t>
        </is>
      </c>
      <c r="G762" t="inlineStr">
        <is>
          <t>HMGV</t>
        </is>
      </c>
      <c r="H762" t="inlineStr">
        <is>
          <t>sin asignar</t>
        </is>
      </c>
      <c r="I762" t="inlineStr">
        <is>
          <t>HMGV</t>
        </is>
      </c>
      <c r="J762" t="inlineStr">
        <is>
          <t>ROCKCODE agrupado en ROCKCODE_NUMEQ=14; sigla sin leyenda</t>
        </is>
      </c>
      <c r="K762" t="inlineStr">
        <is>
          <t>Hornfels (hipótesis: siglas H*)</t>
        </is>
      </c>
      <c r="L762" t="inlineStr">
        <is>
          <t>Metamorfico</t>
        </is>
      </c>
      <c r="M762" t="n">
        <v>11</v>
      </c>
      <c r="N762" t="inlineStr"/>
      <c r="O762" t="inlineStr"/>
      <c r="P762" t="n">
        <v>45.35</v>
      </c>
      <c r="Q762" t="n">
        <v>0.282</v>
      </c>
    </row>
    <row r="763">
      <c r="A763" t="inlineStr">
        <is>
          <t>MR24</t>
        </is>
      </c>
      <c r="B763" t="inlineStr">
        <is>
          <t>Merged_Table_Assay_lito</t>
        </is>
      </c>
      <c r="C763" t="inlineStr">
        <is>
          <t>metros de sondaje; pct sobre metros</t>
        </is>
      </c>
      <c r="D763" t="inlineStr">
        <is>
          <t>periodo_GM_LE2WASTE_Output</t>
        </is>
      </c>
      <c r="E763" t="inlineStr">
        <is>
          <t>2027</t>
        </is>
      </c>
      <c r="F763" t="inlineStr">
        <is>
          <t>ROCKCODE</t>
        </is>
      </c>
      <c r="G763" t="inlineStr">
        <is>
          <t>IPPA</t>
        </is>
      </c>
      <c r="H763" t="inlineStr">
        <is>
          <t>Intrusivo</t>
        </is>
      </c>
      <c r="I763" t="inlineStr">
        <is>
          <t>IPPA</t>
        </is>
      </c>
      <c r="J763" t="inlineStr">
        <is>
          <t>ROCKCODE agrupado en ROCKCODE_NUMEQ=1 (Intrusivo_1)</t>
        </is>
      </c>
      <c r="K763" t="inlineStr">
        <is>
          <t>Intrusivo</t>
        </is>
      </c>
      <c r="L763" t="inlineStr">
        <is>
          <t>Intrusivo</t>
        </is>
      </c>
      <c r="M763" t="n">
        <v>1798</v>
      </c>
      <c r="N763" t="inlineStr"/>
      <c r="O763" t="inlineStr"/>
      <c r="P763" t="n">
        <v>2784.5</v>
      </c>
      <c r="Q763" t="n">
        <v>17.336</v>
      </c>
    </row>
    <row r="764">
      <c r="A764" t="inlineStr">
        <is>
          <t>MR24</t>
        </is>
      </c>
      <c r="B764" t="inlineStr">
        <is>
          <t>Merged_Table_Assay_lito</t>
        </is>
      </c>
      <c r="C764" t="inlineStr">
        <is>
          <t>metros de sondaje; pct sobre metros</t>
        </is>
      </c>
      <c r="D764" t="inlineStr">
        <is>
          <t>periodo_GM_LE2WASTE_Output</t>
        </is>
      </c>
      <c r="E764" t="inlineStr">
        <is>
          <t>2027</t>
        </is>
      </c>
      <c r="F764" t="inlineStr">
        <is>
          <t>ROCKCODE</t>
        </is>
      </c>
      <c r="G764" t="inlineStr">
        <is>
          <t>IPPAMO</t>
        </is>
      </c>
      <c r="H764" t="inlineStr">
        <is>
          <t>Intrusivo</t>
        </is>
      </c>
      <c r="I764" t="inlineStr">
        <is>
          <t>IPPAMO</t>
        </is>
      </c>
      <c r="J764" t="inlineStr">
        <is>
          <t>ROCKCODE agrupado en ROCKCODE_NUMEQ=1 (Intrusivo_1)</t>
        </is>
      </c>
      <c r="K764" t="inlineStr">
        <is>
          <t>Intrusivo</t>
        </is>
      </c>
      <c r="L764" t="inlineStr">
        <is>
          <t>Intrusivo</t>
        </is>
      </c>
      <c r="M764" t="n">
        <v>194</v>
      </c>
      <c r="N764" t="inlineStr"/>
      <c r="O764" t="inlineStr"/>
      <c r="P764" t="n">
        <v>255.6</v>
      </c>
      <c r="Q764" t="n">
        <v>1.591</v>
      </c>
    </row>
    <row r="765">
      <c r="A765" t="inlineStr">
        <is>
          <t>MR24</t>
        </is>
      </c>
      <c r="B765" t="inlineStr">
        <is>
          <t>Merged_Table_Assay_lito</t>
        </is>
      </c>
      <c r="C765" t="inlineStr">
        <is>
          <t>metros de sondaje; pct sobre metros</t>
        </is>
      </c>
      <c r="D765" t="inlineStr">
        <is>
          <t>periodo_GM_LE2WASTE_Output</t>
        </is>
      </c>
      <c r="E765" t="inlineStr">
        <is>
          <t>2027</t>
        </is>
      </c>
      <c r="F765" t="inlineStr">
        <is>
          <t>ROCKCODE</t>
        </is>
      </c>
      <c r="G765" t="inlineStr">
        <is>
          <t>IPPAO</t>
        </is>
      </c>
      <c r="H765" t="inlineStr">
        <is>
          <t>Intrusivo</t>
        </is>
      </c>
      <c r="I765" t="inlineStr">
        <is>
          <t>IPPAO</t>
        </is>
      </c>
      <c r="J765" t="inlineStr">
        <is>
          <t>ROCKCODE agrupado en ROCKCODE_NUMEQ=1 (Intrusivo_1)</t>
        </is>
      </c>
      <c r="K765" t="inlineStr">
        <is>
          <t>Intrusivo</t>
        </is>
      </c>
      <c r="L765" t="inlineStr">
        <is>
          <t>Intrusivo</t>
        </is>
      </c>
      <c r="M765" t="n">
        <v>1778</v>
      </c>
      <c r="N765" t="inlineStr"/>
      <c r="O765" t="inlineStr"/>
      <c r="P765" t="n">
        <v>2321.5</v>
      </c>
      <c r="Q765" t="n">
        <v>14.454</v>
      </c>
    </row>
    <row r="766">
      <c r="A766" t="inlineStr">
        <is>
          <t>MR24</t>
        </is>
      </c>
      <c r="B766" t="inlineStr">
        <is>
          <t>Merged_Table_Assay_lito</t>
        </is>
      </c>
      <c r="C766" t="inlineStr">
        <is>
          <t>metros de sondaje; pct sobre metros</t>
        </is>
      </c>
      <c r="D766" t="inlineStr">
        <is>
          <t>periodo_GM_LE2WASTE_Output</t>
        </is>
      </c>
      <c r="E766" t="inlineStr">
        <is>
          <t>2027</t>
        </is>
      </c>
      <c r="F766" t="inlineStr">
        <is>
          <t>ROCKCODE</t>
        </is>
      </c>
      <c r="G766" t="inlineStr">
        <is>
          <t>IPPEO</t>
        </is>
      </c>
      <c r="H766" t="inlineStr">
        <is>
          <t>Intrusivo</t>
        </is>
      </c>
      <c r="I766" t="inlineStr">
        <is>
          <t>IPPEO</t>
        </is>
      </c>
      <c r="J766" t="inlineStr">
        <is>
          <t>ROCKCODE agrupado en ROCKCODE_NUMEQ=1 (Intrusivo_1)</t>
        </is>
      </c>
      <c r="K766" t="inlineStr">
        <is>
          <t>Intrusivo</t>
        </is>
      </c>
      <c r="L766" t="inlineStr">
        <is>
          <t>Intrusivo</t>
        </is>
      </c>
      <c r="M766" t="n">
        <v>9</v>
      </c>
      <c r="N766" t="inlineStr"/>
      <c r="O766" t="inlineStr"/>
      <c r="P766" t="n">
        <v>15.3</v>
      </c>
      <c r="Q766" t="n">
        <v>0.095</v>
      </c>
    </row>
    <row r="767">
      <c r="A767" t="inlineStr">
        <is>
          <t>MR24</t>
        </is>
      </c>
      <c r="B767" t="inlineStr">
        <is>
          <t>Merged_Table_Assay_lito</t>
        </is>
      </c>
      <c r="C767" t="inlineStr">
        <is>
          <t>metros de sondaje; pct sobre metros</t>
        </is>
      </c>
      <c r="D767" t="inlineStr">
        <is>
          <t>periodo_GM_LE2WASTE_Output</t>
        </is>
      </c>
      <c r="E767" t="inlineStr">
        <is>
          <t>2027</t>
        </is>
      </c>
      <c r="F767" t="inlineStr">
        <is>
          <t>ROCKCODE</t>
        </is>
      </c>
      <c r="G767" t="inlineStr">
        <is>
          <t>MC</t>
        </is>
      </c>
      <c r="H767" t="inlineStr">
        <is>
          <t>sin asignar</t>
        </is>
      </c>
      <c r="I767" t="inlineStr">
        <is>
          <t>MC</t>
        </is>
      </c>
      <c r="J767" t="inlineStr">
        <is>
          <t>ROCKCODE agrupado en ROCKCODE_NUMEQ=16; sigla sin leyenda</t>
        </is>
      </c>
      <c r="K767" t="inlineStr">
        <is>
          <t>Mármol (hipótesis: siglas M*)</t>
        </is>
      </c>
      <c r="L767" t="inlineStr">
        <is>
          <t>Metamorfico</t>
        </is>
      </c>
      <c r="M767" t="n">
        <v>3012</v>
      </c>
      <c r="N767" t="inlineStr"/>
      <c r="O767" t="inlineStr"/>
      <c r="P767" t="n">
        <v>3531.75</v>
      </c>
      <c r="Q767" t="n">
        <v>21.989</v>
      </c>
    </row>
    <row r="768">
      <c r="A768" t="inlineStr">
        <is>
          <t>MR24</t>
        </is>
      </c>
      <c r="B768" t="inlineStr">
        <is>
          <t>Merged_Table_Assay_lito</t>
        </is>
      </c>
      <c r="C768" t="inlineStr">
        <is>
          <t>metros de sondaje; pct sobre metros</t>
        </is>
      </c>
      <c r="D768" t="inlineStr">
        <is>
          <t>periodo_GM_LE2WASTE_Output</t>
        </is>
      </c>
      <c r="E768" t="inlineStr">
        <is>
          <t>2027</t>
        </is>
      </c>
      <c r="F768" t="inlineStr">
        <is>
          <t>ROCKCODE</t>
        </is>
      </c>
      <c r="G768" t="inlineStr">
        <is>
          <t>MCB</t>
        </is>
      </c>
      <c r="H768" t="inlineStr">
        <is>
          <t>sin asignar</t>
        </is>
      </c>
      <c r="I768" t="inlineStr">
        <is>
          <t>MCB</t>
        </is>
      </c>
      <c r="J768" t="inlineStr">
        <is>
          <t>ROCKCODE agrupado en ROCKCODE_NUMEQ=16; sigla sin leyenda</t>
        </is>
      </c>
      <c r="K768" t="inlineStr">
        <is>
          <t>Mármol (hipótesis: siglas M*)</t>
        </is>
      </c>
      <c r="L768" t="inlineStr">
        <is>
          <t>Metamorfico</t>
        </is>
      </c>
      <c r="M768" t="n">
        <v>207</v>
      </c>
      <c r="N768" t="inlineStr"/>
      <c r="O768" t="inlineStr"/>
      <c r="P768" t="n">
        <v>226.05</v>
      </c>
      <c r="Q768" t="n">
        <v>1.407</v>
      </c>
    </row>
    <row r="769">
      <c r="A769" t="inlineStr">
        <is>
          <t>MR24</t>
        </is>
      </c>
      <c r="B769" t="inlineStr">
        <is>
          <t>Merged_Table_Assay_lito</t>
        </is>
      </c>
      <c r="C769" t="inlineStr">
        <is>
          <t>metros de sondaje; pct sobre metros</t>
        </is>
      </c>
      <c r="D769" t="inlineStr">
        <is>
          <t>periodo_GM_LE2WASTE_Output</t>
        </is>
      </c>
      <c r="E769" t="inlineStr">
        <is>
          <t>2027</t>
        </is>
      </c>
      <c r="F769" t="inlineStr">
        <is>
          <t>ROCKCODE</t>
        </is>
      </c>
      <c r="G769" t="inlineStr">
        <is>
          <t>MCGB</t>
        </is>
      </c>
      <c r="H769" t="inlineStr">
        <is>
          <t>sin asignar</t>
        </is>
      </c>
      <c r="I769" t="inlineStr">
        <is>
          <t>MCGB</t>
        </is>
      </c>
      <c r="J769" t="inlineStr">
        <is>
          <t>ROCKCODE agrupado en ROCKCODE_NUMEQ=16; sigla sin leyenda</t>
        </is>
      </c>
      <c r="K769" t="inlineStr">
        <is>
          <t>Mármol (hipótesis: siglas M*)</t>
        </is>
      </c>
      <c r="L769" t="inlineStr">
        <is>
          <t>Metamorfico</t>
        </is>
      </c>
      <c r="M769" t="n">
        <v>354</v>
      </c>
      <c r="N769" t="inlineStr"/>
      <c r="O769" t="inlineStr"/>
      <c r="P769" t="n">
        <v>492.55</v>
      </c>
      <c r="Q769" t="n">
        <v>3.067</v>
      </c>
    </row>
    <row r="770">
      <c r="A770" t="inlineStr">
        <is>
          <t>MR24</t>
        </is>
      </c>
      <c r="B770" t="inlineStr">
        <is>
          <t>Merged_Table_Assay_lito</t>
        </is>
      </c>
      <c r="C770" t="inlineStr">
        <is>
          <t>metros de sondaje; pct sobre metros</t>
        </is>
      </c>
      <c r="D770" t="inlineStr">
        <is>
          <t>periodo_GM_LE2WASTE_Output</t>
        </is>
      </c>
      <c r="E770" t="inlineStr">
        <is>
          <t>2027</t>
        </is>
      </c>
      <c r="F770" t="inlineStr">
        <is>
          <t>ROCKCODE</t>
        </is>
      </c>
      <c r="G770" t="inlineStr">
        <is>
          <t>MDL</t>
        </is>
      </c>
      <c r="H770" t="inlineStr">
        <is>
          <t>sin asignar</t>
        </is>
      </c>
      <c r="I770" t="inlineStr">
        <is>
          <t>MDL</t>
        </is>
      </c>
      <c r="J770" t="inlineStr">
        <is>
          <t>ROCKCODE agrupado en ROCKCODE_NUMEQ=16; sigla sin leyenda</t>
        </is>
      </c>
      <c r="K770" t="inlineStr">
        <is>
          <t>Mármol (hipótesis: siglas M*)</t>
        </is>
      </c>
      <c r="L770" t="inlineStr">
        <is>
          <t>Metamorfico</t>
        </is>
      </c>
      <c r="M770" t="n">
        <v>17</v>
      </c>
      <c r="N770" t="inlineStr"/>
      <c r="O770" t="inlineStr"/>
      <c r="P770" t="n">
        <v>34.05</v>
      </c>
      <c r="Q770" t="n">
        <v>0.212</v>
      </c>
    </row>
    <row r="771">
      <c r="A771" t="inlineStr">
        <is>
          <t>MR24</t>
        </is>
      </c>
      <c r="B771" t="inlineStr">
        <is>
          <t>Merged_Table_Assay_lito</t>
        </is>
      </c>
      <c r="C771" t="inlineStr">
        <is>
          <t>metros de sondaje; pct sobre metros</t>
        </is>
      </c>
      <c r="D771" t="inlineStr">
        <is>
          <t>periodo_GM_LE2WASTE_Output</t>
        </is>
      </c>
      <c r="E771" t="inlineStr">
        <is>
          <t>2027</t>
        </is>
      </c>
      <c r="F771" t="inlineStr">
        <is>
          <t>ROCKCODE</t>
        </is>
      </c>
      <c r="G771" t="inlineStr">
        <is>
          <t>MDP</t>
        </is>
      </c>
      <c r="H771" t="inlineStr">
        <is>
          <t>sin asignar</t>
        </is>
      </c>
      <c r="I771" t="inlineStr">
        <is>
          <t>MDP</t>
        </is>
      </c>
      <c r="J771" t="inlineStr">
        <is>
          <t>ROCKCODE agrupado en ROCKCODE_NUMEQ=19; sigla sin leyenda</t>
        </is>
      </c>
      <c r="K771" t="inlineStr">
        <is>
          <t>Mármol (hipótesis: sigla MDP)</t>
        </is>
      </c>
      <c r="L771" t="inlineStr">
        <is>
          <t>Metamorfico</t>
        </is>
      </c>
      <c r="M771" t="n">
        <v>5234</v>
      </c>
      <c r="N771" t="inlineStr"/>
      <c r="O771" t="inlineStr"/>
      <c r="P771" t="n">
        <v>4859.58</v>
      </c>
      <c r="Q771" t="n">
        <v>30.256</v>
      </c>
    </row>
    <row r="772">
      <c r="A772" t="inlineStr">
        <is>
          <t>MR24</t>
        </is>
      </c>
      <c r="B772" t="inlineStr">
        <is>
          <t>Merged_Table_Assay_lito</t>
        </is>
      </c>
      <c r="C772" t="inlineStr">
        <is>
          <t>metros de sondaje; pct sobre metros</t>
        </is>
      </c>
      <c r="D772" t="inlineStr">
        <is>
          <t>periodo_GM_LE2WASTE_Output</t>
        </is>
      </c>
      <c r="E772" t="inlineStr">
        <is>
          <t>2027</t>
        </is>
      </c>
      <c r="F772" t="inlineStr">
        <is>
          <t>ROCKCODE</t>
        </is>
      </c>
      <c r="G772" t="inlineStr">
        <is>
          <t>MG</t>
        </is>
      </c>
      <c r="H772" t="inlineStr">
        <is>
          <t>sin asignar</t>
        </is>
      </c>
      <c r="I772" t="inlineStr">
        <is>
          <t>MG</t>
        </is>
      </c>
      <c r="J772" t="inlineStr">
        <is>
          <t>ROCKCODE agrupado en ROCKCODE_NUMEQ=16; sigla sin leyenda</t>
        </is>
      </c>
      <c r="K772" t="inlineStr">
        <is>
          <t>Mármol (hipótesis: siglas M*)</t>
        </is>
      </c>
      <c r="L772" t="inlineStr">
        <is>
          <t>Metamorfico</t>
        </is>
      </c>
      <c r="M772" t="n">
        <v>532</v>
      </c>
      <c r="N772" t="inlineStr"/>
      <c r="O772" t="inlineStr"/>
      <c r="P772" t="n">
        <v>491</v>
      </c>
      <c r="Q772" t="n">
        <v>3.057</v>
      </c>
    </row>
    <row r="773">
      <c r="A773" t="inlineStr">
        <is>
          <t>MR24</t>
        </is>
      </c>
      <c r="B773" t="inlineStr">
        <is>
          <t>Merged_Table_Assay_lito</t>
        </is>
      </c>
      <c r="C773" t="inlineStr">
        <is>
          <t>metros de sondaje; pct sobre metros</t>
        </is>
      </c>
      <c r="D773" t="inlineStr">
        <is>
          <t>periodo_GM_LE2WASTE_Output</t>
        </is>
      </c>
      <c r="E773" t="inlineStr">
        <is>
          <t>2027</t>
        </is>
      </c>
      <c r="F773" t="inlineStr">
        <is>
          <t>ROCKCODE</t>
        </is>
      </c>
      <c r="G773" t="inlineStr">
        <is>
          <t>MGS</t>
        </is>
      </c>
      <c r="H773" t="inlineStr">
        <is>
          <t>sin asignar</t>
        </is>
      </c>
      <c r="I773" t="inlineStr">
        <is>
          <t>MGS</t>
        </is>
      </c>
      <c r="J773" t="inlineStr">
        <is>
          <t>ROCKCODE agrupado en ROCKCODE_NUMEQ=16; sigla sin leyenda</t>
        </is>
      </c>
      <c r="K773" t="inlineStr">
        <is>
          <t>Mármol (hipótesis: siglas M*)</t>
        </is>
      </c>
      <c r="L773" t="inlineStr">
        <is>
          <t>Metamorfico</t>
        </is>
      </c>
      <c r="M773" t="n">
        <v>12</v>
      </c>
      <c r="N773" t="inlineStr"/>
      <c r="O773" t="inlineStr"/>
      <c r="P773" t="n">
        <v>25.15</v>
      </c>
      <c r="Q773" t="n">
        <v>0.157</v>
      </c>
    </row>
    <row r="774">
      <c r="A774" t="inlineStr">
        <is>
          <t>MR24</t>
        </is>
      </c>
      <c r="B774" t="inlineStr">
        <is>
          <t>Merged_Table_Assay_lito</t>
        </is>
      </c>
      <c r="C774" t="inlineStr">
        <is>
          <t>metros de sondaje; pct sobre metros</t>
        </is>
      </c>
      <c r="D774" t="inlineStr">
        <is>
          <t>periodo_GM_LE2WASTE_Output</t>
        </is>
      </c>
      <c r="E774" t="inlineStr">
        <is>
          <t>2027</t>
        </is>
      </c>
      <c r="F774" t="inlineStr">
        <is>
          <t>ROCKCODE</t>
        </is>
      </c>
      <c r="G774" t="inlineStr">
        <is>
          <t>MPA</t>
        </is>
      </c>
      <c r="H774" t="inlineStr">
        <is>
          <t>sin asignar</t>
        </is>
      </c>
      <c r="I774" t="inlineStr">
        <is>
          <t>MPA</t>
        </is>
      </c>
      <c r="J774" t="inlineStr">
        <is>
          <t>ROCKCODE agrupado en ROCKCODE_NUMEQ=16; sigla sin leyenda</t>
        </is>
      </c>
      <c r="K774" t="inlineStr">
        <is>
          <t>Mármol (hipótesis: siglas M*)</t>
        </is>
      </c>
      <c r="L774" t="inlineStr">
        <is>
          <t>Metamorfico</t>
        </is>
      </c>
      <c r="M774" t="n">
        <v>729</v>
      </c>
      <c r="N774" t="inlineStr"/>
      <c r="O774" t="inlineStr"/>
      <c r="P774" t="n">
        <v>690.45</v>
      </c>
      <c r="Q774" t="n">
        <v>4.299</v>
      </c>
    </row>
    <row r="775">
      <c r="A775" t="inlineStr">
        <is>
          <t>MR24</t>
        </is>
      </c>
      <c r="B775" t="inlineStr">
        <is>
          <t>Merged_Table_Assay_lito</t>
        </is>
      </c>
      <c r="C775" t="inlineStr">
        <is>
          <t>metros de sondaje; pct sobre metros</t>
        </is>
      </c>
      <c r="D775" t="inlineStr">
        <is>
          <t>periodo_GM_LE2WASTE_Output</t>
        </is>
      </c>
      <c r="E775" t="inlineStr">
        <is>
          <t>2028</t>
        </is>
      </c>
      <c r="F775" t="inlineStr">
        <is>
          <t>ROCKCODE</t>
        </is>
      </c>
      <c r="G775" t="inlineStr">
        <is>
          <t>BCIPPA</t>
        </is>
      </c>
      <c r="H775" t="inlineStr">
        <is>
          <t>Intrusivo</t>
        </is>
      </c>
      <c r="I775" t="inlineStr">
        <is>
          <t>BCIPPA</t>
        </is>
      </c>
      <c r="J775" t="inlineStr">
        <is>
          <t>ROCKCODE agrupado en ROCKCODE_NUMEQ=1 (Intrusivo_1)</t>
        </is>
      </c>
      <c r="K775" t="inlineStr">
        <is>
          <t>Intrusivo</t>
        </is>
      </c>
      <c r="L775" t="inlineStr">
        <is>
          <t>Intrusivo</t>
        </is>
      </c>
      <c r="M775" t="n">
        <v>5</v>
      </c>
      <c r="N775" t="inlineStr"/>
      <c r="O775" t="inlineStr"/>
      <c r="P775" t="n">
        <v>12.15</v>
      </c>
      <c r="Q775" t="n">
        <v>0.059</v>
      </c>
    </row>
    <row r="776">
      <c r="A776" t="inlineStr">
        <is>
          <t>MR24</t>
        </is>
      </c>
      <c r="B776" t="inlineStr">
        <is>
          <t>Merged_Table_Assay_lito</t>
        </is>
      </c>
      <c r="C776" t="inlineStr">
        <is>
          <t>metros de sondaje; pct sobre metros</t>
        </is>
      </c>
      <c r="D776" t="inlineStr">
        <is>
          <t>periodo_GM_LE2WASTE_Output</t>
        </is>
      </c>
      <c r="E776" t="inlineStr">
        <is>
          <t>2028</t>
        </is>
      </c>
      <c r="F776" t="inlineStr">
        <is>
          <t>ROCKCODE</t>
        </is>
      </c>
      <c r="G776" t="inlineStr">
        <is>
          <t>BCIPPAO</t>
        </is>
      </c>
      <c r="H776" t="inlineStr">
        <is>
          <t>Intrusivo</t>
        </is>
      </c>
      <c r="I776" t="inlineStr">
        <is>
          <t>BCIPPAO</t>
        </is>
      </c>
      <c r="J776" t="inlineStr">
        <is>
          <t>ROCKCODE agrupado en ROCKCODE_NUMEQ=1 (Intrusivo_1)</t>
        </is>
      </c>
      <c r="K776" t="inlineStr">
        <is>
          <t>Intrusivo</t>
        </is>
      </c>
      <c r="L776" t="inlineStr">
        <is>
          <t>Intrusivo</t>
        </is>
      </c>
      <c r="M776" t="n">
        <v>1</v>
      </c>
      <c r="N776" t="inlineStr"/>
      <c r="O776" t="inlineStr"/>
      <c r="P776" t="n">
        <v>2</v>
      </c>
      <c r="Q776" t="n">
        <v>0.01</v>
      </c>
    </row>
    <row r="777">
      <c r="A777" t="inlineStr">
        <is>
          <t>MR24</t>
        </is>
      </c>
      <c r="B777" t="inlineStr">
        <is>
          <t>Merged_Table_Assay_lito</t>
        </is>
      </c>
      <c r="C777" t="inlineStr">
        <is>
          <t>metros de sondaje; pct sobre metros</t>
        </is>
      </c>
      <c r="D777" t="inlineStr">
        <is>
          <t>periodo_GM_LE2WASTE_Output</t>
        </is>
      </c>
      <c r="E777" t="inlineStr">
        <is>
          <t>2028</t>
        </is>
      </c>
      <c r="F777" t="inlineStr">
        <is>
          <t>ROCKCODE</t>
        </is>
      </c>
      <c r="G777" t="inlineStr">
        <is>
          <t>BMHG</t>
        </is>
      </c>
      <c r="H777" t="inlineStr">
        <is>
          <t>sin asignar</t>
        </is>
      </c>
      <c r="I777" t="inlineStr">
        <is>
          <t>BMHG</t>
        </is>
      </c>
      <c r="J777" t="inlineStr">
        <is>
          <t>ROCKCODE agrupado en ROCKCODE_NUMEQ=13; sigla sin leyenda</t>
        </is>
      </c>
      <c r="K777" t="inlineStr">
        <is>
          <t>Hornfels (hipótesis: siglas H*)</t>
        </is>
      </c>
      <c r="L777" t="inlineStr">
        <is>
          <t>Metamorfico</t>
        </is>
      </c>
      <c r="M777" t="n">
        <v>7</v>
      </c>
      <c r="N777" t="inlineStr"/>
      <c r="O777" t="inlineStr"/>
      <c r="P777" t="n">
        <v>3.85</v>
      </c>
      <c r="Q777" t="n">
        <v>0.019</v>
      </c>
    </row>
    <row r="778">
      <c r="A778" t="inlineStr">
        <is>
          <t>MR24</t>
        </is>
      </c>
      <c r="B778" t="inlineStr">
        <is>
          <t>Merged_Table_Assay_lito</t>
        </is>
      </c>
      <c r="C778" t="inlineStr">
        <is>
          <t>metros de sondaje; pct sobre metros</t>
        </is>
      </c>
      <c r="D778" t="inlineStr">
        <is>
          <t>periodo_GM_LE2WASTE_Output</t>
        </is>
      </c>
      <c r="E778" t="inlineStr">
        <is>
          <t>2028</t>
        </is>
      </c>
      <c r="F778" t="inlineStr">
        <is>
          <t>ROCKCODE</t>
        </is>
      </c>
      <c r="G778" t="inlineStr">
        <is>
          <t>CA</t>
        </is>
      </c>
      <c r="H778" t="inlineStr">
        <is>
          <t>sin asignar</t>
        </is>
      </c>
      <c r="I778" t="inlineStr">
        <is>
          <t>CA</t>
        </is>
      </c>
      <c r="J778" t="inlineStr">
        <is>
          <t>ROCKCODE agrupado en ROCKCODE_NUMEQ=10; sigla sin leyenda</t>
        </is>
      </c>
      <c r="K778" t="inlineStr">
        <is>
          <t>Caliza (hipótesis: siglas C*)</t>
        </is>
      </c>
      <c r="L778" t="inlineStr">
        <is>
          <t>Sedimentario</t>
        </is>
      </c>
      <c r="M778" t="n">
        <v>72</v>
      </c>
      <c r="N778" t="inlineStr"/>
      <c r="O778" t="inlineStr"/>
      <c r="P778" t="n">
        <v>77</v>
      </c>
      <c r="Q778" t="n">
        <v>0.372</v>
      </c>
    </row>
    <row r="779">
      <c r="A779" t="inlineStr">
        <is>
          <t>MR24</t>
        </is>
      </c>
      <c r="B779" t="inlineStr">
        <is>
          <t>Merged_Table_Assay_lito</t>
        </is>
      </c>
      <c r="C779" t="inlineStr">
        <is>
          <t>metros de sondaje; pct sobre metros</t>
        </is>
      </c>
      <c r="D779" t="inlineStr">
        <is>
          <t>periodo_GM_LE2WASTE_Output</t>
        </is>
      </c>
      <c r="E779" t="inlineStr">
        <is>
          <t>2028</t>
        </is>
      </c>
      <c r="F779" t="inlineStr">
        <is>
          <t>ROCKCODE</t>
        </is>
      </c>
      <c r="G779" t="inlineStr">
        <is>
          <t>CG</t>
        </is>
      </c>
      <c r="H779" t="inlineStr">
        <is>
          <t>sin asignar</t>
        </is>
      </c>
      <c r="I779" t="inlineStr">
        <is>
          <t>CG</t>
        </is>
      </c>
      <c r="J779" t="inlineStr">
        <is>
          <t>ROCKCODE agrupado en ROCKCODE_NUMEQ=10; sigla sin leyenda</t>
        </is>
      </c>
      <c r="K779" t="inlineStr">
        <is>
          <t>Caliza (hipótesis: siglas C*)</t>
        </is>
      </c>
      <c r="L779" t="inlineStr">
        <is>
          <t>Sedimentario</t>
        </is>
      </c>
      <c r="M779" t="n">
        <v>953</v>
      </c>
      <c r="N779" t="inlineStr"/>
      <c r="O779" t="inlineStr"/>
      <c r="P779" t="n">
        <v>867.65</v>
      </c>
      <c r="Q779" t="n">
        <v>4.189</v>
      </c>
    </row>
    <row r="780">
      <c r="A780" t="inlineStr">
        <is>
          <t>MR24</t>
        </is>
      </c>
      <c r="B780" t="inlineStr">
        <is>
          <t>Merged_Table_Assay_lito</t>
        </is>
      </c>
      <c r="C780" t="inlineStr">
        <is>
          <t>metros de sondaje; pct sobre metros</t>
        </is>
      </c>
      <c r="D780" t="inlineStr">
        <is>
          <t>periodo_GM_LE2WASTE_Output</t>
        </is>
      </c>
      <c r="E780" t="inlineStr">
        <is>
          <t>2028</t>
        </is>
      </c>
      <c r="F780" t="inlineStr">
        <is>
          <t>ROCKCODE</t>
        </is>
      </c>
      <c r="G780" t="inlineStr">
        <is>
          <t>CGS</t>
        </is>
      </c>
      <c r="H780" t="inlineStr">
        <is>
          <t>sin asignar</t>
        </is>
      </c>
      <c r="I780" t="inlineStr">
        <is>
          <t>CGS</t>
        </is>
      </c>
      <c r="J780" t="inlineStr">
        <is>
          <t>ROCKCODE agrupado en ROCKCODE_NUMEQ=10; sigla sin leyenda</t>
        </is>
      </c>
      <c r="K780" t="inlineStr">
        <is>
          <t>Caliza (hipótesis: siglas C*)</t>
        </is>
      </c>
      <c r="L780" t="inlineStr">
        <is>
          <t>Sedimentario</t>
        </is>
      </c>
      <c r="M780" t="n">
        <v>398</v>
      </c>
      <c r="N780" t="inlineStr"/>
      <c r="O780" t="inlineStr"/>
      <c r="P780" t="n">
        <v>351</v>
      </c>
      <c r="Q780" t="n">
        <v>1.695</v>
      </c>
    </row>
    <row r="781">
      <c r="A781" t="inlineStr">
        <is>
          <t>MR24</t>
        </is>
      </c>
      <c r="B781" t="inlineStr">
        <is>
          <t>Merged_Table_Assay_lito</t>
        </is>
      </c>
      <c r="C781" t="inlineStr">
        <is>
          <t>metros de sondaje; pct sobre metros</t>
        </is>
      </c>
      <c r="D781" t="inlineStr">
        <is>
          <t>periodo_GM_LE2WASTE_Output</t>
        </is>
      </c>
      <c r="E781" t="inlineStr">
        <is>
          <t>2028</t>
        </is>
      </c>
      <c r="F781" t="inlineStr">
        <is>
          <t>ROCKCODE</t>
        </is>
      </c>
      <c r="G781" t="inlineStr">
        <is>
          <t>CM</t>
        </is>
      </c>
      <c r="H781" t="inlineStr">
        <is>
          <t>sin asignar</t>
        </is>
      </c>
      <c r="I781" t="inlineStr">
        <is>
          <t>CM</t>
        </is>
      </c>
      <c r="J781" t="inlineStr">
        <is>
          <t>ROCKCODE agrupado en ROCKCODE_NUMEQ=10; sigla sin leyenda</t>
        </is>
      </c>
      <c r="K781" t="inlineStr">
        <is>
          <t>Caliza (hipótesis: siglas C*)</t>
        </is>
      </c>
      <c r="L781" t="inlineStr">
        <is>
          <t>Sedimentario</t>
        </is>
      </c>
      <c r="M781" t="n">
        <v>10</v>
      </c>
      <c r="N781" t="inlineStr"/>
      <c r="O781" t="inlineStr"/>
      <c r="P781" t="n">
        <v>22</v>
      </c>
      <c r="Q781" t="n">
        <v>0.106</v>
      </c>
    </row>
    <row r="782">
      <c r="A782" t="inlineStr">
        <is>
          <t>MR24</t>
        </is>
      </c>
      <c r="B782" t="inlineStr">
        <is>
          <t>Merged_Table_Assay_lito</t>
        </is>
      </c>
      <c r="C782" t="inlineStr">
        <is>
          <t>metros de sondaje; pct sobre metros</t>
        </is>
      </c>
      <c r="D782" t="inlineStr">
        <is>
          <t>periodo_GM_LE2WASTE_Output</t>
        </is>
      </c>
      <c r="E782" t="inlineStr">
        <is>
          <t>2028</t>
        </is>
      </c>
      <c r="F782" t="inlineStr">
        <is>
          <t>ROCKCODE</t>
        </is>
      </c>
      <c r="G782" t="inlineStr">
        <is>
          <t>CN</t>
        </is>
      </c>
      <c r="H782" t="inlineStr">
        <is>
          <t>sin asignar</t>
        </is>
      </c>
      <c r="I782" t="inlineStr">
        <is>
          <t>CN</t>
        </is>
      </c>
      <c r="J782" t="inlineStr">
        <is>
          <t>ROCKCODE agrupado en ROCKCODE_NUMEQ=10; sigla sin leyenda</t>
        </is>
      </c>
      <c r="K782" t="inlineStr">
        <is>
          <t>Caliza (hipótesis: siglas C*)</t>
        </is>
      </c>
      <c r="L782" t="inlineStr">
        <is>
          <t>Sedimentario</t>
        </is>
      </c>
      <c r="M782" t="n">
        <v>34</v>
      </c>
      <c r="N782" t="inlineStr"/>
      <c r="O782" t="inlineStr"/>
      <c r="P782" t="n">
        <v>21.05</v>
      </c>
      <c r="Q782" t="n">
        <v>0.102</v>
      </c>
    </row>
    <row r="783">
      <c r="A783" t="inlineStr">
        <is>
          <t>MR24</t>
        </is>
      </c>
      <c r="B783" t="inlineStr">
        <is>
          <t>Merged_Table_Assay_lito</t>
        </is>
      </c>
      <c r="C783" t="inlineStr">
        <is>
          <t>metros de sondaje; pct sobre metros</t>
        </is>
      </c>
      <c r="D783" t="inlineStr">
        <is>
          <t>periodo_GM_LE2WASTE_Output</t>
        </is>
      </c>
      <c r="E783" t="inlineStr">
        <is>
          <t>2028</t>
        </is>
      </c>
      <c r="F783" t="inlineStr">
        <is>
          <t>ROCKCODE</t>
        </is>
      </c>
      <c r="G783" t="inlineStr">
        <is>
          <t>HBV</t>
        </is>
      </c>
      <c r="H783" t="inlineStr">
        <is>
          <t>sin asignar</t>
        </is>
      </c>
      <c r="I783" t="inlineStr">
        <is>
          <t>HBV</t>
        </is>
      </c>
      <c r="J783" t="inlineStr">
        <is>
          <t>ROCKCODE agrupado en ROCKCODE_NUMEQ=14; sigla sin leyenda</t>
        </is>
      </c>
      <c r="K783" t="inlineStr">
        <is>
          <t>Hornfels (hipótesis: siglas H*)</t>
        </is>
      </c>
      <c r="L783" t="inlineStr">
        <is>
          <t>Metamorfico</t>
        </is>
      </c>
      <c r="M783" t="n">
        <v>67</v>
      </c>
      <c r="N783" t="inlineStr"/>
      <c r="O783" t="inlineStr"/>
      <c r="P783" t="n">
        <v>57.03</v>
      </c>
      <c r="Q783" t="n">
        <v>0.275</v>
      </c>
    </row>
    <row r="784">
      <c r="A784" t="inlineStr">
        <is>
          <t>MR24</t>
        </is>
      </c>
      <c r="B784" t="inlineStr">
        <is>
          <t>Merged_Table_Assay_lito</t>
        </is>
      </c>
      <c r="C784" t="inlineStr">
        <is>
          <t>metros de sondaje; pct sobre metros</t>
        </is>
      </c>
      <c r="D784" t="inlineStr">
        <is>
          <t>periodo_GM_LE2WASTE_Output</t>
        </is>
      </c>
      <c r="E784" t="inlineStr">
        <is>
          <t>2028</t>
        </is>
      </c>
      <c r="F784" t="inlineStr">
        <is>
          <t>ROCKCODE</t>
        </is>
      </c>
      <c r="G784" t="inlineStr">
        <is>
          <t>HC</t>
        </is>
      </c>
      <c r="H784" t="inlineStr">
        <is>
          <t>sin asignar</t>
        </is>
      </c>
      <c r="I784" t="inlineStr">
        <is>
          <t>HC</t>
        </is>
      </c>
      <c r="J784" t="inlineStr">
        <is>
          <t>ROCKCODE agrupado en ROCKCODE_NUMEQ=13; sigla sin leyenda</t>
        </is>
      </c>
      <c r="K784" t="inlineStr">
        <is>
          <t>Hornfels (hipótesis: siglas H*)</t>
        </is>
      </c>
      <c r="L784" t="inlineStr">
        <is>
          <t>Metamorfico</t>
        </is>
      </c>
      <c r="M784" t="n">
        <v>765</v>
      </c>
      <c r="N784" t="inlineStr"/>
      <c r="O784" t="inlineStr"/>
      <c r="P784" t="n">
        <v>697.85</v>
      </c>
      <c r="Q784" t="n">
        <v>3.369</v>
      </c>
    </row>
    <row r="785">
      <c r="A785" t="inlineStr">
        <is>
          <t>MR24</t>
        </is>
      </c>
      <c r="B785" t="inlineStr">
        <is>
          <t>Merged_Table_Assay_lito</t>
        </is>
      </c>
      <c r="C785" t="inlineStr">
        <is>
          <t>metros de sondaje; pct sobre metros</t>
        </is>
      </c>
      <c r="D785" t="inlineStr">
        <is>
          <t>periodo_GM_LE2WASTE_Output</t>
        </is>
      </c>
      <c r="E785" t="inlineStr">
        <is>
          <t>2028</t>
        </is>
      </c>
      <c r="F785" t="inlineStr">
        <is>
          <t>ROCKCODE</t>
        </is>
      </c>
      <c r="G785" t="inlineStr">
        <is>
          <t>HCB</t>
        </is>
      </c>
      <c r="H785" t="inlineStr">
        <is>
          <t>sin asignar</t>
        </is>
      </c>
      <c r="I785" t="inlineStr">
        <is>
          <t>HCB</t>
        </is>
      </c>
      <c r="J785" t="inlineStr">
        <is>
          <t>ROCKCODE agrupado en ROCKCODE_NUMEQ=14; sigla sin leyenda</t>
        </is>
      </c>
      <c r="K785" t="inlineStr">
        <is>
          <t>Hornfels (hipótesis: siglas H*)</t>
        </is>
      </c>
      <c r="L785" t="inlineStr">
        <is>
          <t>Metamorfico</t>
        </is>
      </c>
      <c r="M785" t="n">
        <v>40</v>
      </c>
      <c r="N785" t="inlineStr"/>
      <c r="O785" t="inlineStr"/>
      <c r="P785" t="n">
        <v>28</v>
      </c>
      <c r="Q785" t="n">
        <v>0.135</v>
      </c>
    </row>
    <row r="786">
      <c r="A786" t="inlineStr">
        <is>
          <t>MR24</t>
        </is>
      </c>
      <c r="B786" t="inlineStr">
        <is>
          <t>Merged_Table_Assay_lito</t>
        </is>
      </c>
      <c r="C786" t="inlineStr">
        <is>
          <t>metros de sondaje; pct sobre metros</t>
        </is>
      </c>
      <c r="D786" t="inlineStr">
        <is>
          <t>periodo_GM_LE2WASTE_Output</t>
        </is>
      </c>
      <c r="E786" t="inlineStr">
        <is>
          <t>2028</t>
        </is>
      </c>
      <c r="F786" t="inlineStr">
        <is>
          <t>ROCKCODE</t>
        </is>
      </c>
      <c r="G786" t="inlineStr">
        <is>
          <t>HDP</t>
        </is>
      </c>
      <c r="H786" t="inlineStr">
        <is>
          <t>sin asignar</t>
        </is>
      </c>
      <c r="I786" t="inlineStr">
        <is>
          <t>HDP</t>
        </is>
      </c>
      <c r="J786" t="inlineStr">
        <is>
          <t>ROCKCODE agrupado en ROCKCODE_NUMEQ=14; sigla sin leyenda</t>
        </is>
      </c>
      <c r="K786" t="inlineStr">
        <is>
          <t>Hornfels (hipótesis: siglas H*)</t>
        </is>
      </c>
      <c r="L786" t="inlineStr">
        <is>
          <t>Metamorfico</t>
        </is>
      </c>
      <c r="M786" t="n">
        <v>1</v>
      </c>
      <c r="N786" t="inlineStr"/>
      <c r="O786" t="inlineStr"/>
      <c r="P786" t="n">
        <v>2.35</v>
      </c>
      <c r="Q786" t="n">
        <v>0.011</v>
      </c>
    </row>
    <row r="787">
      <c r="A787" t="inlineStr">
        <is>
          <t>MR24</t>
        </is>
      </c>
      <c r="B787" t="inlineStr">
        <is>
          <t>Merged_Table_Assay_lito</t>
        </is>
      </c>
      <c r="C787" t="inlineStr">
        <is>
          <t>metros de sondaje; pct sobre metros</t>
        </is>
      </c>
      <c r="D787" t="inlineStr">
        <is>
          <t>periodo_GM_LE2WASTE_Output</t>
        </is>
      </c>
      <c r="E787" t="inlineStr">
        <is>
          <t>2028</t>
        </is>
      </c>
      <c r="F787" t="inlineStr">
        <is>
          <t>ROCKCODE</t>
        </is>
      </c>
      <c r="G787" t="inlineStr">
        <is>
          <t>HG</t>
        </is>
      </c>
      <c r="H787" t="inlineStr">
        <is>
          <t>sin asignar</t>
        </is>
      </c>
      <c r="I787" t="inlineStr">
        <is>
          <t>HG</t>
        </is>
      </c>
      <c r="J787" t="inlineStr">
        <is>
          <t>ROCKCODE agrupado en ROCKCODE_NUMEQ=13; sigla sin leyenda</t>
        </is>
      </c>
      <c r="K787" t="inlineStr">
        <is>
          <t>Hornfels (hipótesis: siglas H*)</t>
        </is>
      </c>
      <c r="L787" t="inlineStr">
        <is>
          <t>Metamorfico</t>
        </is>
      </c>
      <c r="M787" t="n">
        <v>1519</v>
      </c>
      <c r="N787" t="inlineStr"/>
      <c r="O787" t="inlineStr"/>
      <c r="P787" t="n">
        <v>1328.65</v>
      </c>
      <c r="Q787" t="n">
        <v>6.415</v>
      </c>
    </row>
    <row r="788">
      <c r="A788" t="inlineStr">
        <is>
          <t>MR24</t>
        </is>
      </c>
      <c r="B788" t="inlineStr">
        <is>
          <t>Merged_Table_Assay_lito</t>
        </is>
      </c>
      <c r="C788" t="inlineStr">
        <is>
          <t>metros de sondaje; pct sobre metros</t>
        </is>
      </c>
      <c r="D788" t="inlineStr">
        <is>
          <t>periodo_GM_LE2WASTE_Output</t>
        </is>
      </c>
      <c r="E788" t="inlineStr">
        <is>
          <t>2028</t>
        </is>
      </c>
      <c r="F788" t="inlineStr">
        <is>
          <t>ROCKCODE</t>
        </is>
      </c>
      <c r="G788" t="inlineStr">
        <is>
          <t>HGS</t>
        </is>
      </c>
      <c r="H788" t="inlineStr">
        <is>
          <t>sin asignar</t>
        </is>
      </c>
      <c r="I788" t="inlineStr">
        <is>
          <t>HGS</t>
        </is>
      </c>
      <c r="J788" t="inlineStr">
        <is>
          <t>ROCKCODE agrupado en ROCKCODE_NUMEQ=13; sigla sin leyenda</t>
        </is>
      </c>
      <c r="K788" t="inlineStr">
        <is>
          <t>Hornfels (hipótesis: siglas H*)</t>
        </is>
      </c>
      <c r="L788" t="inlineStr">
        <is>
          <t>Metamorfico</t>
        </is>
      </c>
      <c r="M788" t="n">
        <v>1150</v>
      </c>
      <c r="N788" t="inlineStr"/>
      <c r="O788" t="inlineStr"/>
      <c r="P788" t="n">
        <v>955.55</v>
      </c>
      <c r="Q788" t="n">
        <v>4.613</v>
      </c>
    </row>
    <row r="789">
      <c r="A789" t="inlineStr">
        <is>
          <t>MR24</t>
        </is>
      </c>
      <c r="B789" t="inlineStr">
        <is>
          <t>Merged_Table_Assay_lito</t>
        </is>
      </c>
      <c r="C789" t="inlineStr">
        <is>
          <t>metros de sondaje; pct sobre metros</t>
        </is>
      </c>
      <c r="D789" t="inlineStr">
        <is>
          <t>periodo_GM_LE2WASTE_Output</t>
        </is>
      </c>
      <c r="E789" t="inlineStr">
        <is>
          <t>2028</t>
        </is>
      </c>
      <c r="F789" t="inlineStr">
        <is>
          <t>ROCKCODE</t>
        </is>
      </c>
      <c r="G789" t="inlineStr">
        <is>
          <t>HGV</t>
        </is>
      </c>
      <c r="H789" t="inlineStr">
        <is>
          <t>sin asignar</t>
        </is>
      </c>
      <c r="I789" t="inlineStr">
        <is>
          <t>HGV</t>
        </is>
      </c>
      <c r="J789" t="inlineStr">
        <is>
          <t>ROCKCODE agrupado en ROCKCODE_NUMEQ=14; sigla sin leyenda</t>
        </is>
      </c>
      <c r="K789" t="inlineStr">
        <is>
          <t>Hornfels (hipótesis: siglas H*)</t>
        </is>
      </c>
      <c r="L789" t="inlineStr">
        <is>
          <t>Metamorfico</t>
        </is>
      </c>
      <c r="M789" t="n">
        <v>75</v>
      </c>
      <c r="N789" t="inlineStr"/>
      <c r="O789" t="inlineStr"/>
      <c r="P789" t="n">
        <v>148.15</v>
      </c>
      <c r="Q789" t="n">
        <v>0.715</v>
      </c>
    </row>
    <row r="790">
      <c r="A790" t="inlineStr">
        <is>
          <t>MR24</t>
        </is>
      </c>
      <c r="B790" t="inlineStr">
        <is>
          <t>Merged_Table_Assay_lito</t>
        </is>
      </c>
      <c r="C790" t="inlineStr">
        <is>
          <t>metros de sondaje; pct sobre metros</t>
        </is>
      </c>
      <c r="D790" t="inlineStr">
        <is>
          <t>periodo_GM_LE2WASTE_Output</t>
        </is>
      </c>
      <c r="E790" t="inlineStr">
        <is>
          <t>2028</t>
        </is>
      </c>
      <c r="F790" t="inlineStr">
        <is>
          <t>ROCKCODE</t>
        </is>
      </c>
      <c r="G790" t="inlineStr">
        <is>
          <t>HMGV</t>
        </is>
      </c>
      <c r="H790" t="inlineStr">
        <is>
          <t>sin asignar</t>
        </is>
      </c>
      <c r="I790" t="inlineStr">
        <is>
          <t>HMGV</t>
        </is>
      </c>
      <c r="J790" t="inlineStr">
        <is>
          <t>ROCKCODE agrupado en ROCKCODE_NUMEQ=14; sigla sin leyenda</t>
        </is>
      </c>
      <c r="K790" t="inlineStr">
        <is>
          <t>Hornfels (hipótesis: siglas H*)</t>
        </is>
      </c>
      <c r="L790" t="inlineStr">
        <is>
          <t>Metamorfico</t>
        </is>
      </c>
      <c r="M790" t="n">
        <v>16</v>
      </c>
      <c r="N790" t="inlineStr"/>
      <c r="O790" t="inlineStr"/>
      <c r="P790" t="n">
        <v>26.6</v>
      </c>
      <c r="Q790" t="n">
        <v>0.128</v>
      </c>
    </row>
    <row r="791">
      <c r="A791" t="inlineStr">
        <is>
          <t>MR24</t>
        </is>
      </c>
      <c r="B791" t="inlineStr">
        <is>
          <t>Merged_Table_Assay_lito</t>
        </is>
      </c>
      <c r="C791" t="inlineStr">
        <is>
          <t>metros de sondaje; pct sobre metros</t>
        </is>
      </c>
      <c r="D791" t="inlineStr">
        <is>
          <t>periodo_GM_LE2WASTE_Output</t>
        </is>
      </c>
      <c r="E791" t="inlineStr">
        <is>
          <t>2028</t>
        </is>
      </c>
      <c r="F791" t="inlineStr">
        <is>
          <t>ROCKCODE</t>
        </is>
      </c>
      <c r="G791" t="inlineStr">
        <is>
          <t>IPPA</t>
        </is>
      </c>
      <c r="H791" t="inlineStr">
        <is>
          <t>Intrusivo</t>
        </is>
      </c>
      <c r="I791" t="inlineStr">
        <is>
          <t>IPPA</t>
        </is>
      </c>
      <c r="J791" t="inlineStr">
        <is>
          <t>ROCKCODE agrupado en ROCKCODE_NUMEQ=1 (Intrusivo_1)</t>
        </is>
      </c>
      <c r="K791" t="inlineStr">
        <is>
          <t>Intrusivo</t>
        </is>
      </c>
      <c r="L791" t="inlineStr">
        <is>
          <t>Intrusivo</t>
        </is>
      </c>
      <c r="M791" t="n">
        <v>1543</v>
      </c>
      <c r="N791" t="inlineStr"/>
      <c r="O791" t="inlineStr"/>
      <c r="P791" t="n">
        <v>2350.05</v>
      </c>
      <c r="Q791" t="n">
        <v>11.346</v>
      </c>
    </row>
    <row r="792">
      <c r="A792" t="inlineStr">
        <is>
          <t>MR24</t>
        </is>
      </c>
      <c r="B792" t="inlineStr">
        <is>
          <t>Merged_Table_Assay_lito</t>
        </is>
      </c>
      <c r="C792" t="inlineStr">
        <is>
          <t>metros de sondaje; pct sobre metros</t>
        </is>
      </c>
      <c r="D792" t="inlineStr">
        <is>
          <t>periodo_GM_LE2WASTE_Output</t>
        </is>
      </c>
      <c r="E792" t="inlineStr">
        <is>
          <t>2028</t>
        </is>
      </c>
      <c r="F792" t="inlineStr">
        <is>
          <t>ROCKCODE</t>
        </is>
      </c>
      <c r="G792" t="inlineStr">
        <is>
          <t>IPPAMO</t>
        </is>
      </c>
      <c r="H792" t="inlineStr">
        <is>
          <t>Intrusivo</t>
        </is>
      </c>
      <c r="I792" t="inlineStr">
        <is>
          <t>IPPAMO</t>
        </is>
      </c>
      <c r="J792" t="inlineStr">
        <is>
          <t>ROCKCODE agrupado en ROCKCODE_NUMEQ=1 (Intrusivo_1)</t>
        </is>
      </c>
      <c r="K792" t="inlineStr">
        <is>
          <t>Intrusivo</t>
        </is>
      </c>
      <c r="L792" t="inlineStr">
        <is>
          <t>Intrusivo</t>
        </is>
      </c>
      <c r="M792" t="n">
        <v>583</v>
      </c>
      <c r="N792" t="inlineStr"/>
      <c r="O792" t="inlineStr"/>
      <c r="P792" t="n">
        <v>776.3</v>
      </c>
      <c r="Q792" t="n">
        <v>3.748</v>
      </c>
    </row>
    <row r="793">
      <c r="A793" t="inlineStr">
        <is>
          <t>MR24</t>
        </is>
      </c>
      <c r="B793" t="inlineStr">
        <is>
          <t>Merged_Table_Assay_lito</t>
        </is>
      </c>
      <c r="C793" t="inlineStr">
        <is>
          <t>metros de sondaje; pct sobre metros</t>
        </is>
      </c>
      <c r="D793" t="inlineStr">
        <is>
          <t>periodo_GM_LE2WASTE_Output</t>
        </is>
      </c>
      <c r="E793" t="inlineStr">
        <is>
          <t>2028</t>
        </is>
      </c>
      <c r="F793" t="inlineStr">
        <is>
          <t>ROCKCODE</t>
        </is>
      </c>
      <c r="G793" t="inlineStr">
        <is>
          <t>IPPAO</t>
        </is>
      </c>
      <c r="H793" t="inlineStr">
        <is>
          <t>Intrusivo</t>
        </is>
      </c>
      <c r="I793" t="inlineStr">
        <is>
          <t>IPPAO</t>
        </is>
      </c>
      <c r="J793" t="inlineStr">
        <is>
          <t>ROCKCODE agrupado en ROCKCODE_NUMEQ=1 (Intrusivo_1)</t>
        </is>
      </c>
      <c r="K793" t="inlineStr">
        <is>
          <t>Intrusivo</t>
        </is>
      </c>
      <c r="L793" t="inlineStr">
        <is>
          <t>Intrusivo</t>
        </is>
      </c>
      <c r="M793" t="n">
        <v>1478</v>
      </c>
      <c r="N793" t="inlineStr"/>
      <c r="O793" t="inlineStr"/>
      <c r="P793" t="n">
        <v>2110.23</v>
      </c>
      <c r="Q793" t="n">
        <v>10.188</v>
      </c>
    </row>
    <row r="794">
      <c r="A794" t="inlineStr">
        <is>
          <t>MR24</t>
        </is>
      </c>
      <c r="B794" t="inlineStr">
        <is>
          <t>Merged_Table_Assay_lito</t>
        </is>
      </c>
      <c r="C794" t="inlineStr">
        <is>
          <t>metros de sondaje; pct sobre metros</t>
        </is>
      </c>
      <c r="D794" t="inlineStr">
        <is>
          <t>periodo_GM_LE2WASTE_Output</t>
        </is>
      </c>
      <c r="E794" t="inlineStr">
        <is>
          <t>2028</t>
        </is>
      </c>
      <c r="F794" t="inlineStr">
        <is>
          <t>ROCKCODE</t>
        </is>
      </c>
      <c r="G794" t="inlineStr">
        <is>
          <t>IPPEO</t>
        </is>
      </c>
      <c r="H794" t="inlineStr">
        <is>
          <t>Intrusivo</t>
        </is>
      </c>
      <c r="I794" t="inlineStr">
        <is>
          <t>IPPEO</t>
        </is>
      </c>
      <c r="J794" t="inlineStr">
        <is>
          <t>ROCKCODE agrupado en ROCKCODE_NUMEQ=1 (Intrusivo_1)</t>
        </is>
      </c>
      <c r="K794" t="inlineStr">
        <is>
          <t>Intrusivo</t>
        </is>
      </c>
      <c r="L794" t="inlineStr">
        <is>
          <t>Intrusivo</t>
        </is>
      </c>
      <c r="M794" t="n">
        <v>12</v>
      </c>
      <c r="N794" t="inlineStr"/>
      <c r="O794" t="inlineStr"/>
      <c r="P794" t="n">
        <v>17.75</v>
      </c>
      <c r="Q794" t="n">
        <v>0.08599999999999999</v>
      </c>
    </row>
    <row r="795">
      <c r="A795" t="inlineStr">
        <is>
          <t>MR24</t>
        </is>
      </c>
      <c r="B795" t="inlineStr">
        <is>
          <t>Merged_Table_Assay_lito</t>
        </is>
      </c>
      <c r="C795" t="inlineStr">
        <is>
          <t>metros de sondaje; pct sobre metros</t>
        </is>
      </c>
      <c r="D795" t="inlineStr">
        <is>
          <t>periodo_GM_LE2WASTE_Output</t>
        </is>
      </c>
      <c r="E795" t="inlineStr">
        <is>
          <t>2028</t>
        </is>
      </c>
      <c r="F795" t="inlineStr">
        <is>
          <t>ROCKCODE</t>
        </is>
      </c>
      <c r="G795" t="inlineStr">
        <is>
          <t>M</t>
        </is>
      </c>
      <c r="H795" t="inlineStr">
        <is>
          <t>sin asignar</t>
        </is>
      </c>
      <c r="I795" t="inlineStr">
        <is>
          <t>M</t>
        </is>
      </c>
      <c r="J795" t="inlineStr">
        <is>
          <t>ROCKCODE agrupado en ROCKCODE_NUMEQ=16; sigla sin leyenda</t>
        </is>
      </c>
      <c r="K795" t="inlineStr">
        <is>
          <t>Mármol (hipótesis: siglas M*)</t>
        </is>
      </c>
      <c r="L795" t="inlineStr">
        <is>
          <t>Metamorfico</t>
        </is>
      </c>
      <c r="M795" t="n">
        <v>2</v>
      </c>
      <c r="N795" t="inlineStr"/>
      <c r="O795" t="inlineStr"/>
      <c r="P795" t="n">
        <v>2.5</v>
      </c>
      <c r="Q795" t="n">
        <v>0.012</v>
      </c>
    </row>
    <row r="796">
      <c r="A796" t="inlineStr">
        <is>
          <t>MR24</t>
        </is>
      </c>
      <c r="B796" t="inlineStr">
        <is>
          <t>Merged_Table_Assay_lito</t>
        </is>
      </c>
      <c r="C796" t="inlineStr">
        <is>
          <t>metros de sondaje; pct sobre metros</t>
        </is>
      </c>
      <c r="D796" t="inlineStr">
        <is>
          <t>periodo_GM_LE2WASTE_Output</t>
        </is>
      </c>
      <c r="E796" t="inlineStr">
        <is>
          <t>2028</t>
        </is>
      </c>
      <c r="F796" t="inlineStr">
        <is>
          <t>ROCKCODE</t>
        </is>
      </c>
      <c r="G796" t="inlineStr">
        <is>
          <t>MC</t>
        </is>
      </c>
      <c r="H796" t="inlineStr">
        <is>
          <t>sin asignar</t>
        </is>
      </c>
      <c r="I796" t="inlineStr">
        <is>
          <t>MC</t>
        </is>
      </c>
      <c r="J796" t="inlineStr">
        <is>
          <t>ROCKCODE agrupado en ROCKCODE_NUMEQ=16; sigla sin leyenda</t>
        </is>
      </c>
      <c r="K796" t="inlineStr">
        <is>
          <t>Mármol (hipótesis: siglas M*)</t>
        </is>
      </c>
      <c r="L796" t="inlineStr">
        <is>
          <t>Metamorfico</t>
        </is>
      </c>
      <c r="M796" t="n">
        <v>3506</v>
      </c>
      <c r="N796" t="inlineStr"/>
      <c r="O796" t="inlineStr"/>
      <c r="P796" t="n">
        <v>3836.05</v>
      </c>
      <c r="Q796" t="n">
        <v>18.521</v>
      </c>
    </row>
    <row r="797">
      <c r="A797" t="inlineStr">
        <is>
          <t>MR24</t>
        </is>
      </c>
      <c r="B797" t="inlineStr">
        <is>
          <t>Merged_Table_Assay_lito</t>
        </is>
      </c>
      <c r="C797" t="inlineStr">
        <is>
          <t>metros de sondaje; pct sobre metros</t>
        </is>
      </c>
      <c r="D797" t="inlineStr">
        <is>
          <t>periodo_GM_LE2WASTE_Output</t>
        </is>
      </c>
      <c r="E797" t="inlineStr">
        <is>
          <t>2028</t>
        </is>
      </c>
      <c r="F797" t="inlineStr">
        <is>
          <t>ROCKCODE</t>
        </is>
      </c>
      <c r="G797" t="inlineStr">
        <is>
          <t>MCB</t>
        </is>
      </c>
      <c r="H797" t="inlineStr">
        <is>
          <t>sin asignar</t>
        </is>
      </c>
      <c r="I797" t="inlineStr">
        <is>
          <t>MCB</t>
        </is>
      </c>
      <c r="J797" t="inlineStr">
        <is>
          <t>ROCKCODE agrupado en ROCKCODE_NUMEQ=16; sigla sin leyenda</t>
        </is>
      </c>
      <c r="K797" t="inlineStr">
        <is>
          <t>Mármol (hipótesis: siglas M*)</t>
        </is>
      </c>
      <c r="L797" t="inlineStr">
        <is>
          <t>Metamorfico</t>
        </is>
      </c>
      <c r="M797" t="n">
        <v>280</v>
      </c>
      <c r="N797" t="inlineStr"/>
      <c r="O797" t="inlineStr"/>
      <c r="P797" t="n">
        <v>352.65</v>
      </c>
      <c r="Q797" t="n">
        <v>1.703</v>
      </c>
    </row>
    <row r="798">
      <c r="A798" t="inlineStr">
        <is>
          <t>MR24</t>
        </is>
      </c>
      <c r="B798" t="inlineStr">
        <is>
          <t>Merged_Table_Assay_lito</t>
        </is>
      </c>
      <c r="C798" t="inlineStr">
        <is>
          <t>metros de sondaje; pct sobre metros</t>
        </is>
      </c>
      <c r="D798" t="inlineStr">
        <is>
          <t>periodo_GM_LE2WASTE_Output</t>
        </is>
      </c>
      <c r="E798" t="inlineStr">
        <is>
          <t>2028</t>
        </is>
      </c>
      <c r="F798" t="inlineStr">
        <is>
          <t>ROCKCODE</t>
        </is>
      </c>
      <c r="G798" t="inlineStr">
        <is>
          <t>MCGB</t>
        </is>
      </c>
      <c r="H798" t="inlineStr">
        <is>
          <t>sin asignar</t>
        </is>
      </c>
      <c r="I798" t="inlineStr">
        <is>
          <t>MCGB</t>
        </is>
      </c>
      <c r="J798" t="inlineStr">
        <is>
          <t>ROCKCODE agrupado en ROCKCODE_NUMEQ=16; sigla sin leyenda</t>
        </is>
      </c>
      <c r="K798" t="inlineStr">
        <is>
          <t>Mármol (hipótesis: siglas M*)</t>
        </is>
      </c>
      <c r="L798" t="inlineStr">
        <is>
          <t>Metamorfico</t>
        </is>
      </c>
      <c r="M798" t="n">
        <v>1028</v>
      </c>
      <c r="N798" t="inlineStr"/>
      <c r="O798" t="inlineStr"/>
      <c r="P798" t="n">
        <v>1104.35</v>
      </c>
      <c r="Q798" t="n">
        <v>5.332</v>
      </c>
    </row>
    <row r="799">
      <c r="A799" t="inlineStr">
        <is>
          <t>MR24</t>
        </is>
      </c>
      <c r="B799" t="inlineStr">
        <is>
          <t>Merged_Table_Assay_lito</t>
        </is>
      </c>
      <c r="C799" t="inlineStr">
        <is>
          <t>metros de sondaje; pct sobre metros</t>
        </is>
      </c>
      <c r="D799" t="inlineStr">
        <is>
          <t>periodo_GM_LE2WASTE_Output</t>
        </is>
      </c>
      <c r="E799" t="inlineStr">
        <is>
          <t>2028</t>
        </is>
      </c>
      <c r="F799" t="inlineStr">
        <is>
          <t>ROCKCODE</t>
        </is>
      </c>
      <c r="G799" t="inlineStr">
        <is>
          <t>MDL</t>
        </is>
      </c>
      <c r="H799" t="inlineStr">
        <is>
          <t>sin asignar</t>
        </is>
      </c>
      <c r="I799" t="inlineStr">
        <is>
          <t>MDL</t>
        </is>
      </c>
      <c r="J799" t="inlineStr">
        <is>
          <t>ROCKCODE agrupado en ROCKCODE_NUMEQ=16; sigla sin leyenda</t>
        </is>
      </c>
      <c r="K799" t="inlineStr">
        <is>
          <t>Mármol (hipótesis: siglas M*)</t>
        </is>
      </c>
      <c r="L799" t="inlineStr">
        <is>
          <t>Metamorfico</t>
        </is>
      </c>
      <c r="M799" t="n">
        <v>1</v>
      </c>
      <c r="N799" t="inlineStr"/>
      <c r="O799" t="inlineStr"/>
      <c r="P799" t="n">
        <v>1</v>
      </c>
      <c r="Q799" t="n">
        <v>0.005</v>
      </c>
    </row>
    <row r="800">
      <c r="A800" t="inlineStr">
        <is>
          <t>MR24</t>
        </is>
      </c>
      <c r="B800" t="inlineStr">
        <is>
          <t>Merged_Table_Assay_lito</t>
        </is>
      </c>
      <c r="C800" t="inlineStr">
        <is>
          <t>metros de sondaje; pct sobre metros</t>
        </is>
      </c>
      <c r="D800" t="inlineStr">
        <is>
          <t>periodo_GM_LE2WASTE_Output</t>
        </is>
      </c>
      <c r="E800" t="inlineStr">
        <is>
          <t>2028</t>
        </is>
      </c>
      <c r="F800" t="inlineStr">
        <is>
          <t>ROCKCODE</t>
        </is>
      </c>
      <c r="G800" t="inlineStr">
        <is>
          <t>MDP</t>
        </is>
      </c>
      <c r="H800" t="inlineStr">
        <is>
          <t>sin asignar</t>
        </is>
      </c>
      <c r="I800" t="inlineStr">
        <is>
          <t>MDP</t>
        </is>
      </c>
      <c r="J800" t="inlineStr">
        <is>
          <t>ROCKCODE agrupado en ROCKCODE_NUMEQ=19; sigla sin leyenda</t>
        </is>
      </c>
      <c r="K800" t="inlineStr">
        <is>
          <t>Mármol (hipótesis: sigla MDP)</t>
        </is>
      </c>
      <c r="L800" t="inlineStr">
        <is>
          <t>Metamorfico</t>
        </is>
      </c>
      <c r="M800" t="n">
        <v>4394</v>
      </c>
      <c r="N800" t="inlineStr"/>
      <c r="O800" t="inlineStr"/>
      <c r="P800" t="n">
        <v>4118.05</v>
      </c>
      <c r="Q800" t="n">
        <v>19.882</v>
      </c>
    </row>
    <row r="801">
      <c r="A801" t="inlineStr">
        <is>
          <t>MR24</t>
        </is>
      </c>
      <c r="B801" t="inlineStr">
        <is>
          <t>Merged_Table_Assay_lito</t>
        </is>
      </c>
      <c r="C801" t="inlineStr">
        <is>
          <t>metros de sondaje; pct sobre metros</t>
        </is>
      </c>
      <c r="D801" t="inlineStr">
        <is>
          <t>periodo_GM_LE2WASTE_Output</t>
        </is>
      </c>
      <c r="E801" t="inlineStr">
        <is>
          <t>2028</t>
        </is>
      </c>
      <c r="F801" t="inlineStr">
        <is>
          <t>ROCKCODE</t>
        </is>
      </c>
      <c r="G801" t="inlineStr">
        <is>
          <t>MG</t>
        </is>
      </c>
      <c r="H801" t="inlineStr">
        <is>
          <t>sin asignar</t>
        </is>
      </c>
      <c r="I801" t="inlineStr">
        <is>
          <t>MG</t>
        </is>
      </c>
      <c r="J801" t="inlineStr">
        <is>
          <t>ROCKCODE agrupado en ROCKCODE_NUMEQ=16; sigla sin leyenda</t>
        </is>
      </c>
      <c r="K801" t="inlineStr">
        <is>
          <t>Mármol (hipótesis: siglas M*)</t>
        </is>
      </c>
      <c r="L801" t="inlineStr">
        <is>
          <t>Metamorfico</t>
        </is>
      </c>
      <c r="M801" t="n">
        <v>818</v>
      </c>
      <c r="N801" t="inlineStr"/>
      <c r="O801" t="inlineStr"/>
      <c r="P801" t="n">
        <v>650.65</v>
      </c>
      <c r="Q801" t="n">
        <v>3.141</v>
      </c>
    </row>
    <row r="802">
      <c r="A802" t="inlineStr">
        <is>
          <t>MR24</t>
        </is>
      </c>
      <c r="B802" t="inlineStr">
        <is>
          <t>Merged_Table_Assay_lito</t>
        </is>
      </c>
      <c r="C802" t="inlineStr">
        <is>
          <t>metros de sondaje; pct sobre metros</t>
        </is>
      </c>
      <c r="D802" t="inlineStr">
        <is>
          <t>periodo_GM_LE2WASTE_Output</t>
        </is>
      </c>
      <c r="E802" t="inlineStr">
        <is>
          <t>2028</t>
        </is>
      </c>
      <c r="F802" t="inlineStr">
        <is>
          <t>ROCKCODE</t>
        </is>
      </c>
      <c r="G802" t="inlineStr">
        <is>
          <t>MGS</t>
        </is>
      </c>
      <c r="H802" t="inlineStr">
        <is>
          <t>sin asignar</t>
        </is>
      </c>
      <c r="I802" t="inlineStr">
        <is>
          <t>MGS</t>
        </is>
      </c>
      <c r="J802" t="inlineStr">
        <is>
          <t>ROCKCODE agrupado en ROCKCODE_NUMEQ=16; sigla sin leyenda</t>
        </is>
      </c>
      <c r="K802" t="inlineStr">
        <is>
          <t>Mármol (hipótesis: siglas M*)</t>
        </is>
      </c>
      <c r="L802" t="inlineStr">
        <is>
          <t>Metamorfico</t>
        </is>
      </c>
      <c r="M802" t="n">
        <v>125</v>
      </c>
      <c r="N802" t="inlineStr"/>
      <c r="O802" t="inlineStr"/>
      <c r="P802" t="n">
        <v>136.35</v>
      </c>
      <c r="Q802" t="n">
        <v>0.658</v>
      </c>
    </row>
    <row r="803">
      <c r="A803" t="inlineStr">
        <is>
          <t>MR24</t>
        </is>
      </c>
      <c r="B803" t="inlineStr">
        <is>
          <t>Merged_Table_Assay_lito</t>
        </is>
      </c>
      <c r="C803" t="inlineStr">
        <is>
          <t>metros de sondaje; pct sobre metros</t>
        </is>
      </c>
      <c r="D803" t="inlineStr">
        <is>
          <t>periodo_GM_LE2WASTE_Output</t>
        </is>
      </c>
      <c r="E803" t="inlineStr">
        <is>
          <t>2028</t>
        </is>
      </c>
      <c r="F803" t="inlineStr">
        <is>
          <t>ROCKCODE</t>
        </is>
      </c>
      <c r="G803" t="inlineStr">
        <is>
          <t>MPA</t>
        </is>
      </c>
      <c r="H803" t="inlineStr">
        <is>
          <t>sin asignar</t>
        </is>
      </c>
      <c r="I803" t="inlineStr">
        <is>
          <t>MPA</t>
        </is>
      </c>
      <c r="J803" t="inlineStr">
        <is>
          <t>ROCKCODE agrupado en ROCKCODE_NUMEQ=16; sigla sin leyenda</t>
        </is>
      </c>
      <c r="K803" t="inlineStr">
        <is>
          <t>Mármol (hipótesis: siglas M*)</t>
        </is>
      </c>
      <c r="L803" t="inlineStr">
        <is>
          <t>Metamorfico</t>
        </is>
      </c>
      <c r="M803" t="n">
        <v>669</v>
      </c>
      <c r="N803" t="inlineStr"/>
      <c r="O803" t="inlineStr"/>
      <c r="P803" t="n">
        <v>655.4</v>
      </c>
      <c r="Q803" t="n">
        <v>3.164</v>
      </c>
    </row>
    <row r="804">
      <c r="A804" t="inlineStr">
        <is>
          <t>MR24</t>
        </is>
      </c>
      <c r="B804" t="inlineStr">
        <is>
          <t>Merged_Table_Assay_lito</t>
        </is>
      </c>
      <c r="C804" t="inlineStr">
        <is>
          <t>metros de sondaje; pct sobre metros</t>
        </is>
      </c>
      <c r="D804" t="inlineStr">
        <is>
          <t>periodo_GM_LE2WASTE_Output</t>
        </is>
      </c>
      <c r="E804" t="inlineStr">
        <is>
          <t>2029</t>
        </is>
      </c>
      <c r="F804" t="inlineStr">
        <is>
          <t>ROCKCODE</t>
        </is>
      </c>
      <c r="G804" t="inlineStr">
        <is>
          <t>BCIPPA</t>
        </is>
      </c>
      <c r="H804" t="inlineStr">
        <is>
          <t>Intrusivo</t>
        </is>
      </c>
      <c r="I804" t="inlineStr">
        <is>
          <t>BCIPPA</t>
        </is>
      </c>
      <c r="J804" t="inlineStr">
        <is>
          <t>ROCKCODE agrupado en ROCKCODE_NUMEQ=1 (Intrusivo_1)</t>
        </is>
      </c>
      <c r="K804" t="inlineStr">
        <is>
          <t>Intrusivo</t>
        </is>
      </c>
      <c r="L804" t="inlineStr">
        <is>
          <t>Intrusivo</t>
        </is>
      </c>
      <c r="M804" t="n">
        <v>4</v>
      </c>
      <c r="N804" t="inlineStr"/>
      <c r="O804" t="inlineStr"/>
      <c r="P804" t="n">
        <v>6.35</v>
      </c>
      <c r="Q804" t="n">
        <v>0.03</v>
      </c>
    </row>
    <row r="805">
      <c r="A805" t="inlineStr">
        <is>
          <t>MR24</t>
        </is>
      </c>
      <c r="B805" t="inlineStr">
        <is>
          <t>Merged_Table_Assay_lito</t>
        </is>
      </c>
      <c r="C805" t="inlineStr">
        <is>
          <t>metros de sondaje; pct sobre metros</t>
        </is>
      </c>
      <c r="D805" t="inlineStr">
        <is>
          <t>periodo_GM_LE2WASTE_Output</t>
        </is>
      </c>
      <c r="E805" t="inlineStr">
        <is>
          <t>2029</t>
        </is>
      </c>
      <c r="F805" t="inlineStr">
        <is>
          <t>ROCKCODE</t>
        </is>
      </c>
      <c r="G805" t="inlineStr">
        <is>
          <t>BCIPPEO</t>
        </is>
      </c>
      <c r="H805" t="inlineStr">
        <is>
          <t>Intrusivo</t>
        </is>
      </c>
      <c r="I805" t="inlineStr">
        <is>
          <t>BCIPPEO</t>
        </is>
      </c>
      <c r="J805" t="inlineStr">
        <is>
          <t>ROCKCODE agrupado en ROCKCODE_NUMEQ=1 (Intrusivo_1)</t>
        </is>
      </c>
      <c r="K805" t="inlineStr">
        <is>
          <t>Intrusivo</t>
        </is>
      </c>
      <c r="L805" t="inlineStr">
        <is>
          <t>Intrusivo</t>
        </is>
      </c>
      <c r="M805" t="n">
        <v>4</v>
      </c>
      <c r="N805" t="inlineStr"/>
      <c r="O805" t="inlineStr"/>
      <c r="P805" t="n">
        <v>2.4</v>
      </c>
      <c r="Q805" t="n">
        <v>0.011</v>
      </c>
    </row>
    <row r="806">
      <c r="A806" t="inlineStr">
        <is>
          <t>MR24</t>
        </is>
      </c>
      <c r="B806" t="inlineStr">
        <is>
          <t>Merged_Table_Assay_lito</t>
        </is>
      </c>
      <c r="C806" t="inlineStr">
        <is>
          <t>metros de sondaje; pct sobre metros</t>
        </is>
      </c>
      <c r="D806" t="inlineStr">
        <is>
          <t>periodo_GM_LE2WASTE_Output</t>
        </is>
      </c>
      <c r="E806" t="inlineStr">
        <is>
          <t>2029</t>
        </is>
      </c>
      <c r="F806" t="inlineStr">
        <is>
          <t>ROCKCODE</t>
        </is>
      </c>
      <c r="G806" t="inlineStr">
        <is>
          <t>BCM</t>
        </is>
      </c>
      <c r="H806" t="inlineStr">
        <is>
          <t>sin asignar</t>
        </is>
      </c>
      <c r="I806" t="inlineStr">
        <is>
          <t>BCM</t>
        </is>
      </c>
      <c r="J806" t="inlineStr">
        <is>
          <t>ROCKCODE agrupado en ROCKCODE_NUMEQ=16; sigla sin leyenda</t>
        </is>
      </c>
      <c r="K806" t="inlineStr">
        <is>
          <t>Mármol (hipótesis: siglas M*)</t>
        </is>
      </c>
      <c r="L806" t="inlineStr">
        <is>
          <t>Metamorfico</t>
        </is>
      </c>
      <c r="M806" t="n">
        <v>2</v>
      </c>
      <c r="N806" t="inlineStr"/>
      <c r="O806" t="inlineStr"/>
      <c r="P806" t="n">
        <v>1.75</v>
      </c>
      <c r="Q806" t="n">
        <v>0.008</v>
      </c>
    </row>
    <row r="807">
      <c r="A807" t="inlineStr">
        <is>
          <t>MR24</t>
        </is>
      </c>
      <c r="B807" t="inlineStr">
        <is>
          <t>Merged_Table_Assay_lito</t>
        </is>
      </c>
      <c r="C807" t="inlineStr">
        <is>
          <t>metros de sondaje; pct sobre metros</t>
        </is>
      </c>
      <c r="D807" t="inlineStr">
        <is>
          <t>periodo_GM_LE2WASTE_Output</t>
        </is>
      </c>
      <c r="E807" t="inlineStr">
        <is>
          <t>2029</t>
        </is>
      </c>
      <c r="F807" t="inlineStr">
        <is>
          <t>ROCKCODE</t>
        </is>
      </c>
      <c r="G807" t="inlineStr">
        <is>
          <t>BMIPPA</t>
        </is>
      </c>
      <c r="H807" t="inlineStr">
        <is>
          <t>Intrusivo</t>
        </is>
      </c>
      <c r="I807" t="inlineStr">
        <is>
          <t>BMIPPA</t>
        </is>
      </c>
      <c r="J807" t="inlineStr">
        <is>
          <t>ROCKCODE agrupado en ROCKCODE_NUMEQ=1 (Intrusivo_1)</t>
        </is>
      </c>
      <c r="K807" t="inlineStr">
        <is>
          <t>Intrusivo</t>
        </is>
      </c>
      <c r="L807" t="inlineStr">
        <is>
          <t>Intrusivo</t>
        </is>
      </c>
      <c r="M807" t="n">
        <v>3</v>
      </c>
      <c r="N807" t="inlineStr"/>
      <c r="O807" t="inlineStr"/>
      <c r="P807" t="n">
        <v>4.6</v>
      </c>
      <c r="Q807" t="n">
        <v>0.022</v>
      </c>
    </row>
    <row r="808">
      <c r="A808" t="inlineStr">
        <is>
          <t>MR24</t>
        </is>
      </c>
      <c r="B808" t="inlineStr">
        <is>
          <t>Merged_Table_Assay_lito</t>
        </is>
      </c>
      <c r="C808" t="inlineStr">
        <is>
          <t>metros de sondaje; pct sobre metros</t>
        </is>
      </c>
      <c r="D808" t="inlineStr">
        <is>
          <t>periodo_GM_LE2WASTE_Output</t>
        </is>
      </c>
      <c r="E808" t="inlineStr">
        <is>
          <t>2029</t>
        </is>
      </c>
      <c r="F808" t="inlineStr">
        <is>
          <t>ROCKCODE</t>
        </is>
      </c>
      <c r="G808" t="inlineStr">
        <is>
          <t>C</t>
        </is>
      </c>
      <c r="H808" t="inlineStr">
        <is>
          <t>sin asignar</t>
        </is>
      </c>
      <c r="I808" t="inlineStr">
        <is>
          <t>C</t>
        </is>
      </c>
      <c r="J808" t="inlineStr">
        <is>
          <t>ROCKCODE agrupado en ROCKCODE_NUMEQ=10; sigla sin leyenda</t>
        </is>
      </c>
      <c r="K808" t="inlineStr">
        <is>
          <t>Caliza (hipótesis: siglas C*)</t>
        </is>
      </c>
      <c r="L808" t="inlineStr">
        <is>
          <t>Sedimentario</t>
        </is>
      </c>
      <c r="M808" t="n">
        <v>2</v>
      </c>
      <c r="N808" t="inlineStr"/>
      <c r="O808" t="inlineStr"/>
      <c r="P808" t="n">
        <v>10</v>
      </c>
      <c r="Q808" t="n">
        <v>0.047</v>
      </c>
    </row>
    <row r="809">
      <c r="A809" t="inlineStr">
        <is>
          <t>MR24</t>
        </is>
      </c>
      <c r="B809" t="inlineStr">
        <is>
          <t>Merged_Table_Assay_lito</t>
        </is>
      </c>
      <c r="C809" t="inlineStr">
        <is>
          <t>metros de sondaje; pct sobre metros</t>
        </is>
      </c>
      <c r="D809" t="inlineStr">
        <is>
          <t>periodo_GM_LE2WASTE_Output</t>
        </is>
      </c>
      <c r="E809" t="inlineStr">
        <is>
          <t>2029</t>
        </is>
      </c>
      <c r="F809" t="inlineStr">
        <is>
          <t>ROCKCODE</t>
        </is>
      </c>
      <c r="G809" t="inlineStr">
        <is>
          <t>CA</t>
        </is>
      </c>
      <c r="H809" t="inlineStr">
        <is>
          <t>sin asignar</t>
        </is>
      </c>
      <c r="I809" t="inlineStr">
        <is>
          <t>CA</t>
        </is>
      </c>
      <c r="J809" t="inlineStr">
        <is>
          <t>ROCKCODE agrupado en ROCKCODE_NUMEQ=10; sigla sin leyenda</t>
        </is>
      </c>
      <c r="K809" t="inlineStr">
        <is>
          <t>Caliza (hipótesis: siglas C*)</t>
        </is>
      </c>
      <c r="L809" t="inlineStr">
        <is>
          <t>Sedimentario</t>
        </is>
      </c>
      <c r="M809" t="n">
        <v>149</v>
      </c>
      <c r="N809" t="inlineStr"/>
      <c r="O809" t="inlineStr"/>
      <c r="P809" t="n">
        <v>188.1</v>
      </c>
      <c r="Q809" t="n">
        <v>0.882</v>
      </c>
    </row>
    <row r="810">
      <c r="A810" t="inlineStr">
        <is>
          <t>MR24</t>
        </is>
      </c>
      <c r="B810" t="inlineStr">
        <is>
          <t>Merged_Table_Assay_lito</t>
        </is>
      </c>
      <c r="C810" t="inlineStr">
        <is>
          <t>metros de sondaje; pct sobre metros</t>
        </is>
      </c>
      <c r="D810" t="inlineStr">
        <is>
          <t>periodo_GM_LE2WASTE_Output</t>
        </is>
      </c>
      <c r="E810" t="inlineStr">
        <is>
          <t>2029</t>
        </is>
      </c>
      <c r="F810" t="inlineStr">
        <is>
          <t>ROCKCODE</t>
        </is>
      </c>
      <c r="G810" t="inlineStr">
        <is>
          <t>CBMN</t>
        </is>
      </c>
      <c r="H810" t="inlineStr">
        <is>
          <t>sin asignar</t>
        </is>
      </c>
      <c r="I810" t="inlineStr">
        <is>
          <t>CBMN</t>
        </is>
      </c>
      <c r="J810" t="inlineStr">
        <is>
          <t>ROCKCODE agrupado en ROCKCODE_NUMEQ=10; sigla sin leyenda</t>
        </is>
      </c>
      <c r="K810" t="inlineStr">
        <is>
          <t>Caliza (hipótesis: siglas C*)</t>
        </is>
      </c>
      <c r="L810" t="inlineStr">
        <is>
          <t>Sedimentario</t>
        </is>
      </c>
      <c r="M810" t="n">
        <v>21</v>
      </c>
      <c r="N810" t="inlineStr"/>
      <c r="O810" t="inlineStr"/>
      <c r="P810" t="n">
        <v>24.7</v>
      </c>
      <c r="Q810" t="n">
        <v>0.116</v>
      </c>
    </row>
    <row r="811">
      <c r="A811" t="inlineStr">
        <is>
          <t>MR24</t>
        </is>
      </c>
      <c r="B811" t="inlineStr">
        <is>
          <t>Merged_Table_Assay_lito</t>
        </is>
      </c>
      <c r="C811" t="inlineStr">
        <is>
          <t>metros de sondaje; pct sobre metros</t>
        </is>
      </c>
      <c r="D811" t="inlineStr">
        <is>
          <t>periodo_GM_LE2WASTE_Output</t>
        </is>
      </c>
      <c r="E811" t="inlineStr">
        <is>
          <t>2029</t>
        </is>
      </c>
      <c r="F811" t="inlineStr">
        <is>
          <t>ROCKCODE</t>
        </is>
      </c>
      <c r="G811" t="inlineStr">
        <is>
          <t>CF</t>
        </is>
      </c>
      <c r="H811" t="inlineStr">
        <is>
          <t>sin asignar</t>
        </is>
      </c>
      <c r="I811" t="inlineStr">
        <is>
          <t>CF</t>
        </is>
      </c>
      <c r="J811" t="inlineStr">
        <is>
          <t>ROCKCODE agrupado en ROCKCODE_NUMEQ=10; sigla sin leyenda</t>
        </is>
      </c>
      <c r="K811" t="inlineStr">
        <is>
          <t>Caliza (hipótesis: siglas C*)</t>
        </is>
      </c>
      <c r="L811" t="inlineStr">
        <is>
          <t>Sedimentario</t>
        </is>
      </c>
      <c r="M811" t="n">
        <v>12</v>
      </c>
      <c r="N811" t="inlineStr"/>
      <c r="O811" t="inlineStr"/>
      <c r="P811" t="n">
        <v>7.4</v>
      </c>
      <c r="Q811" t="n">
        <v>0.035</v>
      </c>
    </row>
    <row r="812">
      <c r="A812" t="inlineStr">
        <is>
          <t>MR24</t>
        </is>
      </c>
      <c r="B812" t="inlineStr">
        <is>
          <t>Merged_Table_Assay_lito</t>
        </is>
      </c>
      <c r="C812" t="inlineStr">
        <is>
          <t>metros de sondaje; pct sobre metros</t>
        </is>
      </c>
      <c r="D812" t="inlineStr">
        <is>
          <t>periodo_GM_LE2WASTE_Output</t>
        </is>
      </c>
      <c r="E812" t="inlineStr">
        <is>
          <t>2029</t>
        </is>
      </c>
      <c r="F812" t="inlineStr">
        <is>
          <t>ROCKCODE</t>
        </is>
      </c>
      <c r="G812" t="inlineStr">
        <is>
          <t>CG</t>
        </is>
      </c>
      <c r="H812" t="inlineStr">
        <is>
          <t>sin asignar</t>
        </is>
      </c>
      <c r="I812" t="inlineStr">
        <is>
          <t>CG</t>
        </is>
      </c>
      <c r="J812" t="inlineStr">
        <is>
          <t>ROCKCODE agrupado en ROCKCODE_NUMEQ=10; sigla sin leyenda</t>
        </is>
      </c>
      <c r="K812" t="inlineStr">
        <is>
          <t>Caliza (hipótesis: siglas C*)</t>
        </is>
      </c>
      <c r="L812" t="inlineStr">
        <is>
          <t>Sedimentario</t>
        </is>
      </c>
      <c r="M812" t="n">
        <v>2790</v>
      </c>
      <c r="N812" t="inlineStr"/>
      <c r="O812" t="inlineStr"/>
      <c r="P812" t="n">
        <v>2587</v>
      </c>
      <c r="Q812" t="n">
        <v>12.134</v>
      </c>
    </row>
    <row r="813">
      <c r="A813" t="inlineStr">
        <is>
          <t>MR24</t>
        </is>
      </c>
      <c r="B813" t="inlineStr">
        <is>
          <t>Merged_Table_Assay_lito</t>
        </is>
      </c>
      <c r="C813" t="inlineStr">
        <is>
          <t>metros de sondaje; pct sobre metros</t>
        </is>
      </c>
      <c r="D813" t="inlineStr">
        <is>
          <t>periodo_GM_LE2WASTE_Output</t>
        </is>
      </c>
      <c r="E813" t="inlineStr">
        <is>
          <t>2029</t>
        </is>
      </c>
      <c r="F813" t="inlineStr">
        <is>
          <t>ROCKCODE</t>
        </is>
      </c>
      <c r="G813" t="inlineStr">
        <is>
          <t>CGS</t>
        </is>
      </c>
      <c r="H813" t="inlineStr">
        <is>
          <t>sin asignar</t>
        </is>
      </c>
      <c r="I813" t="inlineStr">
        <is>
          <t>CGS</t>
        </is>
      </c>
      <c r="J813" t="inlineStr">
        <is>
          <t>ROCKCODE agrupado en ROCKCODE_NUMEQ=10; sigla sin leyenda</t>
        </is>
      </c>
      <c r="K813" t="inlineStr">
        <is>
          <t>Caliza (hipótesis: siglas C*)</t>
        </is>
      </c>
      <c r="L813" t="inlineStr">
        <is>
          <t>Sedimentario</t>
        </is>
      </c>
      <c r="M813" t="n">
        <v>796</v>
      </c>
      <c r="N813" t="inlineStr"/>
      <c r="O813" t="inlineStr"/>
      <c r="P813" t="n">
        <v>681.05</v>
      </c>
      <c r="Q813" t="n">
        <v>3.194</v>
      </c>
    </row>
    <row r="814">
      <c r="A814" t="inlineStr">
        <is>
          <t>MR24</t>
        </is>
      </c>
      <c r="B814" t="inlineStr">
        <is>
          <t>Merged_Table_Assay_lito</t>
        </is>
      </c>
      <c r="C814" t="inlineStr">
        <is>
          <t>metros de sondaje; pct sobre metros</t>
        </is>
      </c>
      <c r="D814" t="inlineStr">
        <is>
          <t>periodo_GM_LE2WASTE_Output</t>
        </is>
      </c>
      <c r="E814" t="inlineStr">
        <is>
          <t>2029</t>
        </is>
      </c>
      <c r="F814" t="inlineStr">
        <is>
          <t>ROCKCODE</t>
        </is>
      </c>
      <c r="G814" t="inlineStr">
        <is>
          <t>CM</t>
        </is>
      </c>
      <c r="H814" t="inlineStr">
        <is>
          <t>sin asignar</t>
        </is>
      </c>
      <c r="I814" t="inlineStr">
        <is>
          <t>CM</t>
        </is>
      </c>
      <c r="J814" t="inlineStr">
        <is>
          <t>ROCKCODE agrupado en ROCKCODE_NUMEQ=10; sigla sin leyenda</t>
        </is>
      </c>
      <c r="K814" t="inlineStr">
        <is>
          <t>Caliza (hipótesis: siglas C*)</t>
        </is>
      </c>
      <c r="L814" t="inlineStr">
        <is>
          <t>Sedimentario</t>
        </is>
      </c>
      <c r="M814" t="n">
        <v>10</v>
      </c>
      <c r="N814" t="inlineStr"/>
      <c r="O814" t="inlineStr"/>
      <c r="P814" t="n">
        <v>18</v>
      </c>
      <c r="Q814" t="n">
        <v>0.08400000000000001</v>
      </c>
    </row>
    <row r="815">
      <c r="A815" t="inlineStr">
        <is>
          <t>MR24</t>
        </is>
      </c>
      <c r="B815" t="inlineStr">
        <is>
          <t>Merged_Table_Assay_lito</t>
        </is>
      </c>
      <c r="C815" t="inlineStr">
        <is>
          <t>metros de sondaje; pct sobre metros</t>
        </is>
      </c>
      <c r="D815" t="inlineStr">
        <is>
          <t>periodo_GM_LE2WASTE_Output</t>
        </is>
      </c>
      <c r="E815" t="inlineStr">
        <is>
          <t>2029</t>
        </is>
      </c>
      <c r="F815" t="inlineStr">
        <is>
          <t>ROCKCODE</t>
        </is>
      </c>
      <c r="G815" t="inlineStr">
        <is>
          <t>CN</t>
        </is>
      </c>
      <c r="H815" t="inlineStr">
        <is>
          <t>sin asignar</t>
        </is>
      </c>
      <c r="I815" t="inlineStr">
        <is>
          <t>CN</t>
        </is>
      </c>
      <c r="J815" t="inlineStr">
        <is>
          <t>ROCKCODE agrupado en ROCKCODE_NUMEQ=10; sigla sin leyenda</t>
        </is>
      </c>
      <c r="K815" t="inlineStr">
        <is>
          <t>Caliza (hipótesis: siglas C*)</t>
        </is>
      </c>
      <c r="L815" t="inlineStr">
        <is>
          <t>Sedimentario</t>
        </is>
      </c>
      <c r="M815" t="n">
        <v>37</v>
      </c>
      <c r="N815" t="inlineStr"/>
      <c r="O815" t="inlineStr"/>
      <c r="P815" t="n">
        <v>45.6</v>
      </c>
      <c r="Q815" t="n">
        <v>0.214</v>
      </c>
    </row>
    <row r="816">
      <c r="A816" t="inlineStr">
        <is>
          <t>MR24</t>
        </is>
      </c>
      <c r="B816" t="inlineStr">
        <is>
          <t>Merged_Table_Assay_lito</t>
        </is>
      </c>
      <c r="C816" t="inlineStr">
        <is>
          <t>metros de sondaje; pct sobre metros</t>
        </is>
      </c>
      <c r="D816" t="inlineStr">
        <is>
          <t>periodo_GM_LE2WASTE_Output</t>
        </is>
      </c>
      <c r="E816" t="inlineStr">
        <is>
          <t>2029</t>
        </is>
      </c>
      <c r="F816" t="inlineStr">
        <is>
          <t>ROCKCODE</t>
        </is>
      </c>
      <c r="G816" t="inlineStr">
        <is>
          <t>DI</t>
        </is>
      </c>
      <c r="H816" t="inlineStr">
        <is>
          <t>Intrusivo</t>
        </is>
      </c>
      <c r="I816" t="inlineStr">
        <is>
          <t>DI</t>
        </is>
      </c>
      <c r="J816" t="inlineStr">
        <is>
          <t>ROCKCODE agrupado en ROCKCODE_NUMEQ=1 (Intrusivo_1)</t>
        </is>
      </c>
      <c r="K816" t="inlineStr">
        <is>
          <t>Intrusivo</t>
        </is>
      </c>
      <c r="L816" t="inlineStr">
        <is>
          <t>Intrusivo</t>
        </is>
      </c>
      <c r="M816" t="n">
        <v>2</v>
      </c>
      <c r="N816" t="inlineStr"/>
      <c r="O816" t="inlineStr"/>
      <c r="P816" t="n">
        <v>1.3</v>
      </c>
      <c r="Q816" t="n">
        <v>0.006</v>
      </c>
    </row>
    <row r="817">
      <c r="A817" t="inlineStr">
        <is>
          <t>MR24</t>
        </is>
      </c>
      <c r="B817" t="inlineStr">
        <is>
          <t>Merged_Table_Assay_lito</t>
        </is>
      </c>
      <c r="C817" t="inlineStr">
        <is>
          <t>metros de sondaje; pct sobre metros</t>
        </is>
      </c>
      <c r="D817" t="inlineStr">
        <is>
          <t>periodo_GM_LE2WASTE_Output</t>
        </is>
      </c>
      <c r="E817" t="inlineStr">
        <is>
          <t>2029</t>
        </is>
      </c>
      <c r="F817" t="inlineStr">
        <is>
          <t>ROCKCODE</t>
        </is>
      </c>
      <c r="G817" t="inlineStr">
        <is>
          <t>HBV</t>
        </is>
      </c>
      <c r="H817" t="inlineStr">
        <is>
          <t>sin asignar</t>
        </is>
      </c>
      <c r="I817" t="inlineStr">
        <is>
          <t>HBV</t>
        </is>
      </c>
      <c r="J817" t="inlineStr">
        <is>
          <t>ROCKCODE agrupado en ROCKCODE_NUMEQ=14; sigla sin leyenda</t>
        </is>
      </c>
      <c r="K817" t="inlineStr">
        <is>
          <t>Hornfels (hipótesis: siglas H*)</t>
        </is>
      </c>
      <c r="L817" t="inlineStr">
        <is>
          <t>Metamorfico</t>
        </is>
      </c>
      <c r="M817" t="n">
        <v>98</v>
      </c>
      <c r="N817" t="inlineStr"/>
      <c r="O817" t="inlineStr"/>
      <c r="P817" t="n">
        <v>64.3</v>
      </c>
      <c r="Q817" t="n">
        <v>0.302</v>
      </c>
    </row>
    <row r="818">
      <c r="A818" t="inlineStr">
        <is>
          <t>MR24</t>
        </is>
      </c>
      <c r="B818" t="inlineStr">
        <is>
          <t>Merged_Table_Assay_lito</t>
        </is>
      </c>
      <c r="C818" t="inlineStr">
        <is>
          <t>metros de sondaje; pct sobre metros</t>
        </is>
      </c>
      <c r="D818" t="inlineStr">
        <is>
          <t>periodo_GM_LE2WASTE_Output</t>
        </is>
      </c>
      <c r="E818" t="inlineStr">
        <is>
          <t>2029</t>
        </is>
      </c>
      <c r="F818" t="inlineStr">
        <is>
          <t>ROCKCODE</t>
        </is>
      </c>
      <c r="G818" t="inlineStr">
        <is>
          <t>HC</t>
        </is>
      </c>
      <c r="H818" t="inlineStr">
        <is>
          <t>sin asignar</t>
        </is>
      </c>
      <c r="I818" t="inlineStr">
        <is>
          <t>HC</t>
        </is>
      </c>
      <c r="J818" t="inlineStr">
        <is>
          <t>ROCKCODE agrupado en ROCKCODE_NUMEQ=13; sigla sin leyenda</t>
        </is>
      </c>
      <c r="K818" t="inlineStr">
        <is>
          <t>Hornfels (hipótesis: siglas H*)</t>
        </is>
      </c>
      <c r="L818" t="inlineStr">
        <is>
          <t>Metamorfico</t>
        </is>
      </c>
      <c r="M818" t="n">
        <v>827</v>
      </c>
      <c r="N818" t="inlineStr"/>
      <c r="O818" t="inlineStr"/>
      <c r="P818" t="n">
        <v>751.5</v>
      </c>
      <c r="Q818" t="n">
        <v>3.525</v>
      </c>
    </row>
    <row r="819">
      <c r="A819" t="inlineStr">
        <is>
          <t>MR24</t>
        </is>
      </c>
      <c r="B819" t="inlineStr">
        <is>
          <t>Merged_Table_Assay_lito</t>
        </is>
      </c>
      <c r="C819" t="inlineStr">
        <is>
          <t>metros de sondaje; pct sobre metros</t>
        </is>
      </c>
      <c r="D819" t="inlineStr">
        <is>
          <t>periodo_GM_LE2WASTE_Output</t>
        </is>
      </c>
      <c r="E819" t="inlineStr">
        <is>
          <t>2029</t>
        </is>
      </c>
      <c r="F819" t="inlineStr">
        <is>
          <t>ROCKCODE</t>
        </is>
      </c>
      <c r="G819" t="inlineStr">
        <is>
          <t>HCB</t>
        </is>
      </c>
      <c r="H819" t="inlineStr">
        <is>
          <t>sin asignar</t>
        </is>
      </c>
      <c r="I819" t="inlineStr">
        <is>
          <t>HCB</t>
        </is>
      </c>
      <c r="J819" t="inlineStr">
        <is>
          <t>ROCKCODE agrupado en ROCKCODE_NUMEQ=14; sigla sin leyenda</t>
        </is>
      </c>
      <c r="K819" t="inlineStr">
        <is>
          <t>Hornfels (hipótesis: siglas H*)</t>
        </is>
      </c>
      <c r="L819" t="inlineStr">
        <is>
          <t>Metamorfico</t>
        </is>
      </c>
      <c r="M819" t="n">
        <v>30</v>
      </c>
      <c r="N819" t="inlineStr"/>
      <c r="O819" t="inlineStr"/>
      <c r="P819" t="n">
        <v>21.6</v>
      </c>
      <c r="Q819" t="n">
        <v>0.101</v>
      </c>
    </row>
    <row r="820">
      <c r="A820" t="inlineStr">
        <is>
          <t>MR24</t>
        </is>
      </c>
      <c r="B820" t="inlineStr">
        <is>
          <t>Merged_Table_Assay_lito</t>
        </is>
      </c>
      <c r="C820" t="inlineStr">
        <is>
          <t>metros de sondaje; pct sobre metros</t>
        </is>
      </c>
      <c r="D820" t="inlineStr">
        <is>
          <t>periodo_GM_LE2WASTE_Output</t>
        </is>
      </c>
      <c r="E820" t="inlineStr">
        <is>
          <t>2029</t>
        </is>
      </c>
      <c r="F820" t="inlineStr">
        <is>
          <t>ROCKCODE</t>
        </is>
      </c>
      <c r="G820" t="inlineStr">
        <is>
          <t>HDP</t>
        </is>
      </c>
      <c r="H820" t="inlineStr">
        <is>
          <t>sin asignar</t>
        </is>
      </c>
      <c r="I820" t="inlineStr">
        <is>
          <t>HDP</t>
        </is>
      </c>
      <c r="J820" t="inlineStr">
        <is>
          <t>ROCKCODE agrupado en ROCKCODE_NUMEQ=14; sigla sin leyenda</t>
        </is>
      </c>
      <c r="K820" t="inlineStr">
        <is>
          <t>Hornfels (hipótesis: siglas H*)</t>
        </is>
      </c>
      <c r="L820" t="inlineStr">
        <is>
          <t>Metamorfico</t>
        </is>
      </c>
      <c r="M820" t="n">
        <v>8</v>
      </c>
      <c r="N820" t="inlineStr"/>
      <c r="O820" t="inlineStr"/>
      <c r="P820" t="n">
        <v>4.8</v>
      </c>
      <c r="Q820" t="n">
        <v>0.023</v>
      </c>
    </row>
    <row r="821">
      <c r="A821" t="inlineStr">
        <is>
          <t>MR24</t>
        </is>
      </c>
      <c r="B821" t="inlineStr">
        <is>
          <t>Merged_Table_Assay_lito</t>
        </is>
      </c>
      <c r="C821" t="inlineStr">
        <is>
          <t>metros de sondaje; pct sobre metros</t>
        </is>
      </c>
      <c r="D821" t="inlineStr">
        <is>
          <t>periodo_GM_LE2WASTE_Output</t>
        </is>
      </c>
      <c r="E821" t="inlineStr">
        <is>
          <t>2029</t>
        </is>
      </c>
      <c r="F821" t="inlineStr">
        <is>
          <t>ROCKCODE</t>
        </is>
      </c>
      <c r="G821" t="inlineStr">
        <is>
          <t>HG</t>
        </is>
      </c>
      <c r="H821" t="inlineStr">
        <is>
          <t>sin asignar</t>
        </is>
      </c>
      <c r="I821" t="inlineStr">
        <is>
          <t>HG</t>
        </is>
      </c>
      <c r="J821" t="inlineStr">
        <is>
          <t>ROCKCODE agrupado en ROCKCODE_NUMEQ=13; sigla sin leyenda</t>
        </is>
      </c>
      <c r="K821" t="inlineStr">
        <is>
          <t>Hornfels (hipótesis: siglas H*)</t>
        </is>
      </c>
      <c r="L821" t="inlineStr">
        <is>
          <t>Metamorfico</t>
        </is>
      </c>
      <c r="M821" t="n">
        <v>2122</v>
      </c>
      <c r="N821" t="inlineStr"/>
      <c r="O821" t="inlineStr"/>
      <c r="P821" t="n">
        <v>1934.55</v>
      </c>
      <c r="Q821" t="n">
        <v>9.073</v>
      </c>
    </row>
    <row r="822">
      <c r="A822" t="inlineStr">
        <is>
          <t>MR24</t>
        </is>
      </c>
      <c r="B822" t="inlineStr">
        <is>
          <t>Merged_Table_Assay_lito</t>
        </is>
      </c>
      <c r="C822" t="inlineStr">
        <is>
          <t>metros de sondaje; pct sobre metros</t>
        </is>
      </c>
      <c r="D822" t="inlineStr">
        <is>
          <t>periodo_GM_LE2WASTE_Output</t>
        </is>
      </c>
      <c r="E822" t="inlineStr">
        <is>
          <t>2029</t>
        </is>
      </c>
      <c r="F822" t="inlineStr">
        <is>
          <t>ROCKCODE</t>
        </is>
      </c>
      <c r="G822" t="inlineStr">
        <is>
          <t>HGS</t>
        </is>
      </c>
      <c r="H822" t="inlineStr">
        <is>
          <t>sin asignar</t>
        </is>
      </c>
      <c r="I822" t="inlineStr">
        <is>
          <t>HGS</t>
        </is>
      </c>
      <c r="J822" t="inlineStr">
        <is>
          <t>ROCKCODE agrupado en ROCKCODE_NUMEQ=13; sigla sin leyenda</t>
        </is>
      </c>
      <c r="K822" t="inlineStr">
        <is>
          <t>Hornfels (hipótesis: siglas H*)</t>
        </is>
      </c>
      <c r="L822" t="inlineStr">
        <is>
          <t>Metamorfico</t>
        </is>
      </c>
      <c r="M822" t="n">
        <v>817</v>
      </c>
      <c r="N822" t="inlineStr"/>
      <c r="O822" t="inlineStr"/>
      <c r="P822" t="n">
        <v>734.6</v>
      </c>
      <c r="Q822" t="n">
        <v>3.445</v>
      </c>
    </row>
    <row r="823">
      <c r="A823" t="inlineStr">
        <is>
          <t>MR24</t>
        </is>
      </c>
      <c r="B823" t="inlineStr">
        <is>
          <t>Merged_Table_Assay_lito</t>
        </is>
      </c>
      <c r="C823" t="inlineStr">
        <is>
          <t>metros de sondaje; pct sobre metros</t>
        </is>
      </c>
      <c r="D823" t="inlineStr">
        <is>
          <t>periodo_GM_LE2WASTE_Output</t>
        </is>
      </c>
      <c r="E823" t="inlineStr">
        <is>
          <t>2029</t>
        </is>
      </c>
      <c r="F823" t="inlineStr">
        <is>
          <t>ROCKCODE</t>
        </is>
      </c>
      <c r="G823" t="inlineStr">
        <is>
          <t>HGV</t>
        </is>
      </c>
      <c r="H823" t="inlineStr">
        <is>
          <t>sin asignar</t>
        </is>
      </c>
      <c r="I823" t="inlineStr">
        <is>
          <t>HGV</t>
        </is>
      </c>
      <c r="J823" t="inlineStr">
        <is>
          <t>ROCKCODE agrupado en ROCKCODE_NUMEQ=14; sigla sin leyenda</t>
        </is>
      </c>
      <c r="K823" t="inlineStr">
        <is>
          <t>Hornfels (hipótesis: siglas H*)</t>
        </is>
      </c>
      <c r="L823" t="inlineStr">
        <is>
          <t>Metamorfico</t>
        </is>
      </c>
      <c r="M823" t="n">
        <v>54</v>
      </c>
      <c r="N823" t="inlineStr"/>
      <c r="O823" t="inlineStr"/>
      <c r="P823" t="n">
        <v>36.05</v>
      </c>
      <c r="Q823" t="n">
        <v>0.169</v>
      </c>
    </row>
    <row r="824">
      <c r="A824" t="inlineStr">
        <is>
          <t>MR24</t>
        </is>
      </c>
      <c r="B824" t="inlineStr">
        <is>
          <t>Merged_Table_Assay_lito</t>
        </is>
      </c>
      <c r="C824" t="inlineStr">
        <is>
          <t>metros de sondaje; pct sobre metros</t>
        </is>
      </c>
      <c r="D824" t="inlineStr">
        <is>
          <t>periodo_GM_LE2WASTE_Output</t>
        </is>
      </c>
      <c r="E824" t="inlineStr">
        <is>
          <t>2029</t>
        </is>
      </c>
      <c r="F824" t="inlineStr">
        <is>
          <t>ROCKCODE</t>
        </is>
      </c>
      <c r="G824" t="inlineStr">
        <is>
          <t>HMGV</t>
        </is>
      </c>
      <c r="H824" t="inlineStr">
        <is>
          <t>sin asignar</t>
        </is>
      </c>
      <c r="I824" t="inlineStr">
        <is>
          <t>HMGV</t>
        </is>
      </c>
      <c r="J824" t="inlineStr">
        <is>
          <t>ROCKCODE agrupado en ROCKCODE_NUMEQ=14; sigla sin leyenda</t>
        </is>
      </c>
      <c r="K824" t="inlineStr">
        <is>
          <t>Hornfels (hipótesis: siglas H*)</t>
        </is>
      </c>
      <c r="L824" t="inlineStr">
        <is>
          <t>Metamorfico</t>
        </is>
      </c>
      <c r="M824" t="n">
        <v>11</v>
      </c>
      <c r="N824" t="inlineStr"/>
      <c r="O824" t="inlineStr"/>
      <c r="P824" t="n">
        <v>8.949999999999999</v>
      </c>
      <c r="Q824" t="n">
        <v>0.042</v>
      </c>
    </row>
    <row r="825">
      <c r="A825" t="inlineStr">
        <is>
          <t>MR24</t>
        </is>
      </c>
      <c r="B825" t="inlineStr">
        <is>
          <t>Merged_Table_Assay_lito</t>
        </is>
      </c>
      <c r="C825" t="inlineStr">
        <is>
          <t>metros de sondaje; pct sobre metros</t>
        </is>
      </c>
      <c r="D825" t="inlineStr">
        <is>
          <t>periodo_GM_LE2WASTE_Output</t>
        </is>
      </c>
      <c r="E825" t="inlineStr">
        <is>
          <t>2029</t>
        </is>
      </c>
      <c r="F825" t="inlineStr">
        <is>
          <t>ROCKCODE</t>
        </is>
      </c>
      <c r="G825" t="inlineStr">
        <is>
          <t>HV</t>
        </is>
      </c>
      <c r="H825" t="inlineStr">
        <is>
          <t>sin asignar</t>
        </is>
      </c>
      <c r="I825" t="inlineStr">
        <is>
          <t>HV</t>
        </is>
      </c>
      <c r="J825" t="inlineStr">
        <is>
          <t>ROCKCODE agrupado en ROCKCODE_NUMEQ=14; sigla sin leyenda</t>
        </is>
      </c>
      <c r="K825" t="inlineStr">
        <is>
          <t>Hornfels (hipótesis: siglas H*)</t>
        </is>
      </c>
      <c r="L825" t="inlineStr">
        <is>
          <t>Metamorfico</t>
        </is>
      </c>
      <c r="M825" t="n">
        <v>28</v>
      </c>
      <c r="N825" t="inlineStr"/>
      <c r="O825" t="inlineStr"/>
      <c r="P825" t="n">
        <v>23.05</v>
      </c>
      <c r="Q825" t="n">
        <v>0.108</v>
      </c>
    </row>
    <row r="826">
      <c r="A826" t="inlineStr">
        <is>
          <t>MR24</t>
        </is>
      </c>
      <c r="B826" t="inlineStr">
        <is>
          <t>Merged_Table_Assay_lito</t>
        </is>
      </c>
      <c r="C826" t="inlineStr">
        <is>
          <t>metros de sondaje; pct sobre metros</t>
        </is>
      </c>
      <c r="D826" t="inlineStr">
        <is>
          <t>periodo_GM_LE2WASTE_Output</t>
        </is>
      </c>
      <c r="E826" t="inlineStr">
        <is>
          <t>2029</t>
        </is>
      </c>
      <c r="F826" t="inlineStr">
        <is>
          <t>ROCKCODE</t>
        </is>
      </c>
      <c r="G826" t="inlineStr">
        <is>
          <t>IPPA</t>
        </is>
      </c>
      <c r="H826" t="inlineStr">
        <is>
          <t>Intrusivo</t>
        </is>
      </c>
      <c r="I826" t="inlineStr">
        <is>
          <t>IPPA</t>
        </is>
      </c>
      <c r="J826" t="inlineStr">
        <is>
          <t>ROCKCODE agrupado en ROCKCODE_NUMEQ=1 (Intrusivo_1)</t>
        </is>
      </c>
      <c r="K826" t="inlineStr">
        <is>
          <t>Intrusivo</t>
        </is>
      </c>
      <c r="L826" t="inlineStr">
        <is>
          <t>Intrusivo</t>
        </is>
      </c>
      <c r="M826" t="n">
        <v>2651</v>
      </c>
      <c r="N826" t="inlineStr"/>
      <c r="O826" t="inlineStr"/>
      <c r="P826" t="n">
        <v>3846.13</v>
      </c>
      <c r="Q826" t="n">
        <v>18.039</v>
      </c>
    </row>
    <row r="827">
      <c r="A827" t="inlineStr">
        <is>
          <t>MR24</t>
        </is>
      </c>
      <c r="B827" t="inlineStr">
        <is>
          <t>Merged_Table_Assay_lito</t>
        </is>
      </c>
      <c r="C827" t="inlineStr">
        <is>
          <t>metros de sondaje; pct sobre metros</t>
        </is>
      </c>
      <c r="D827" t="inlineStr">
        <is>
          <t>periodo_GM_LE2WASTE_Output</t>
        </is>
      </c>
      <c r="E827" t="inlineStr">
        <is>
          <t>2029</t>
        </is>
      </c>
      <c r="F827" t="inlineStr">
        <is>
          <t>ROCKCODE</t>
        </is>
      </c>
      <c r="G827" t="inlineStr">
        <is>
          <t>IPPAMO</t>
        </is>
      </c>
      <c r="H827" t="inlineStr">
        <is>
          <t>Intrusivo</t>
        </is>
      </c>
      <c r="I827" t="inlineStr">
        <is>
          <t>IPPAMO</t>
        </is>
      </c>
      <c r="J827" t="inlineStr">
        <is>
          <t>ROCKCODE agrupado en ROCKCODE_NUMEQ=1 (Intrusivo_1)</t>
        </is>
      </c>
      <c r="K827" t="inlineStr">
        <is>
          <t>Intrusivo</t>
        </is>
      </c>
      <c r="L827" t="inlineStr">
        <is>
          <t>Intrusivo</t>
        </is>
      </c>
      <c r="M827" t="n">
        <v>369</v>
      </c>
      <c r="N827" t="inlineStr"/>
      <c r="O827" t="inlineStr"/>
      <c r="P827" t="n">
        <v>480.54</v>
      </c>
      <c r="Q827" t="n">
        <v>2.254</v>
      </c>
    </row>
    <row r="828">
      <c r="A828" t="inlineStr">
        <is>
          <t>MR24</t>
        </is>
      </c>
      <c r="B828" t="inlineStr">
        <is>
          <t>Merged_Table_Assay_lito</t>
        </is>
      </c>
      <c r="C828" t="inlineStr">
        <is>
          <t>metros de sondaje; pct sobre metros</t>
        </is>
      </c>
      <c r="D828" t="inlineStr">
        <is>
          <t>periodo_GM_LE2WASTE_Output</t>
        </is>
      </c>
      <c r="E828" t="inlineStr">
        <is>
          <t>2029</t>
        </is>
      </c>
      <c r="F828" t="inlineStr">
        <is>
          <t>ROCKCODE</t>
        </is>
      </c>
      <c r="G828" t="inlineStr">
        <is>
          <t>IPPAO</t>
        </is>
      </c>
      <c r="H828" t="inlineStr">
        <is>
          <t>Intrusivo</t>
        </is>
      </c>
      <c r="I828" t="inlineStr">
        <is>
          <t>IPPAO</t>
        </is>
      </c>
      <c r="J828" t="inlineStr">
        <is>
          <t>ROCKCODE agrupado en ROCKCODE_NUMEQ=1 (Intrusivo_1)</t>
        </is>
      </c>
      <c r="K828" t="inlineStr">
        <is>
          <t>Intrusivo</t>
        </is>
      </c>
      <c r="L828" t="inlineStr">
        <is>
          <t>Intrusivo</t>
        </is>
      </c>
      <c r="M828" t="n">
        <v>2195</v>
      </c>
      <c r="N828" t="inlineStr"/>
      <c r="O828" t="inlineStr"/>
      <c r="P828" t="n">
        <v>3181.04</v>
      </c>
      <c r="Q828" t="n">
        <v>14.92</v>
      </c>
    </row>
    <row r="829">
      <c r="A829" t="inlineStr">
        <is>
          <t>MR24</t>
        </is>
      </c>
      <c r="B829" t="inlineStr">
        <is>
          <t>Merged_Table_Assay_lito</t>
        </is>
      </c>
      <c r="C829" t="inlineStr">
        <is>
          <t>metros de sondaje; pct sobre metros</t>
        </is>
      </c>
      <c r="D829" t="inlineStr">
        <is>
          <t>periodo_GM_LE2WASTE_Output</t>
        </is>
      </c>
      <c r="E829" t="inlineStr">
        <is>
          <t>2029</t>
        </is>
      </c>
      <c r="F829" t="inlineStr">
        <is>
          <t>ROCKCODE</t>
        </is>
      </c>
      <c r="G829" t="inlineStr">
        <is>
          <t>IPPEO</t>
        </is>
      </c>
      <c r="H829" t="inlineStr">
        <is>
          <t>Intrusivo</t>
        </is>
      </c>
      <c r="I829" t="inlineStr">
        <is>
          <t>IPPEO</t>
        </is>
      </c>
      <c r="J829" t="inlineStr">
        <is>
          <t>ROCKCODE agrupado en ROCKCODE_NUMEQ=1 (Intrusivo_1)</t>
        </is>
      </c>
      <c r="K829" t="inlineStr">
        <is>
          <t>Intrusivo</t>
        </is>
      </c>
      <c r="L829" t="inlineStr">
        <is>
          <t>Intrusivo</t>
        </is>
      </c>
      <c r="M829" t="n">
        <v>111</v>
      </c>
      <c r="N829" t="inlineStr"/>
      <c r="O829" t="inlineStr"/>
      <c r="P829" t="n">
        <v>116.7</v>
      </c>
      <c r="Q829" t="n">
        <v>0.547</v>
      </c>
    </row>
    <row r="830">
      <c r="A830" t="inlineStr">
        <is>
          <t>MR24</t>
        </is>
      </c>
      <c r="B830" t="inlineStr">
        <is>
          <t>Merged_Table_Assay_lito</t>
        </is>
      </c>
      <c r="C830" t="inlineStr">
        <is>
          <t>metros de sondaje; pct sobre metros</t>
        </is>
      </c>
      <c r="D830" t="inlineStr">
        <is>
          <t>periodo_GM_LE2WASTE_Output</t>
        </is>
      </c>
      <c r="E830" t="inlineStr">
        <is>
          <t>2029</t>
        </is>
      </c>
      <c r="F830" t="inlineStr">
        <is>
          <t>ROCKCODE</t>
        </is>
      </c>
      <c r="G830" t="inlineStr">
        <is>
          <t>M</t>
        </is>
      </c>
      <c r="H830" t="inlineStr">
        <is>
          <t>sin asignar</t>
        </is>
      </c>
      <c r="I830" t="inlineStr">
        <is>
          <t>M</t>
        </is>
      </c>
      <c r="J830" t="inlineStr">
        <is>
          <t>ROCKCODE agrupado en ROCKCODE_NUMEQ=16; sigla sin leyenda</t>
        </is>
      </c>
      <c r="K830" t="inlineStr">
        <is>
          <t>Mármol (hipótesis: siglas M*)</t>
        </is>
      </c>
      <c r="L830" t="inlineStr">
        <is>
          <t>Metamorfico</t>
        </is>
      </c>
      <c r="M830" t="n">
        <v>3</v>
      </c>
      <c r="N830" t="inlineStr"/>
      <c r="O830" t="inlineStr"/>
      <c r="P830" t="n">
        <v>6.8</v>
      </c>
      <c r="Q830" t="n">
        <v>0.032</v>
      </c>
    </row>
    <row r="831">
      <c r="A831" t="inlineStr">
        <is>
          <t>MR24</t>
        </is>
      </c>
      <c r="B831" t="inlineStr">
        <is>
          <t>Merged_Table_Assay_lito</t>
        </is>
      </c>
      <c r="C831" t="inlineStr">
        <is>
          <t>metros de sondaje; pct sobre metros</t>
        </is>
      </c>
      <c r="D831" t="inlineStr">
        <is>
          <t>periodo_GM_LE2WASTE_Output</t>
        </is>
      </c>
      <c r="E831" t="inlineStr">
        <is>
          <t>2029</t>
        </is>
      </c>
      <c r="F831" t="inlineStr">
        <is>
          <t>ROCKCODE</t>
        </is>
      </c>
      <c r="G831" t="inlineStr">
        <is>
          <t>MC</t>
        </is>
      </c>
      <c r="H831" t="inlineStr">
        <is>
          <t>sin asignar</t>
        </is>
      </c>
      <c r="I831" t="inlineStr">
        <is>
          <t>MC</t>
        </is>
      </c>
      <c r="J831" t="inlineStr">
        <is>
          <t>ROCKCODE agrupado en ROCKCODE_NUMEQ=16; sigla sin leyenda</t>
        </is>
      </c>
      <c r="K831" t="inlineStr">
        <is>
          <t>Mármol (hipótesis: siglas M*)</t>
        </is>
      </c>
      <c r="L831" t="inlineStr">
        <is>
          <t>Metamorfico</t>
        </is>
      </c>
      <c r="M831" t="n">
        <v>2313</v>
      </c>
      <c r="N831" t="inlineStr"/>
      <c r="O831" t="inlineStr"/>
      <c r="P831" t="n">
        <v>2505.75</v>
      </c>
      <c r="Q831" t="n">
        <v>11.752</v>
      </c>
    </row>
    <row r="832">
      <c r="A832" t="inlineStr">
        <is>
          <t>MR24</t>
        </is>
      </c>
      <c r="B832" t="inlineStr">
        <is>
          <t>Merged_Table_Assay_lito</t>
        </is>
      </c>
      <c r="C832" t="inlineStr">
        <is>
          <t>metros de sondaje; pct sobre metros</t>
        </is>
      </c>
      <c r="D832" t="inlineStr">
        <is>
          <t>periodo_GM_LE2WASTE_Output</t>
        </is>
      </c>
      <c r="E832" t="inlineStr">
        <is>
          <t>2029</t>
        </is>
      </c>
      <c r="F832" t="inlineStr">
        <is>
          <t>ROCKCODE</t>
        </is>
      </c>
      <c r="G832" t="inlineStr">
        <is>
          <t>MCB</t>
        </is>
      </c>
      <c r="H832" t="inlineStr">
        <is>
          <t>sin asignar</t>
        </is>
      </c>
      <c r="I832" t="inlineStr">
        <is>
          <t>MCB</t>
        </is>
      </c>
      <c r="J832" t="inlineStr">
        <is>
          <t>ROCKCODE agrupado en ROCKCODE_NUMEQ=16; sigla sin leyenda</t>
        </is>
      </c>
      <c r="K832" t="inlineStr">
        <is>
          <t>Mármol (hipótesis: siglas M*)</t>
        </is>
      </c>
      <c r="L832" t="inlineStr">
        <is>
          <t>Metamorfico</t>
        </is>
      </c>
      <c r="M832" t="n">
        <v>176</v>
      </c>
      <c r="N832" t="inlineStr"/>
      <c r="O832" t="inlineStr"/>
      <c r="P832" t="n">
        <v>219.55</v>
      </c>
      <c r="Q832" t="n">
        <v>1.03</v>
      </c>
    </row>
    <row r="833">
      <c r="A833" t="inlineStr">
        <is>
          <t>MR24</t>
        </is>
      </c>
      <c r="B833" t="inlineStr">
        <is>
          <t>Merged_Table_Assay_lito</t>
        </is>
      </c>
      <c r="C833" t="inlineStr">
        <is>
          <t>metros de sondaje; pct sobre metros</t>
        </is>
      </c>
      <c r="D833" t="inlineStr">
        <is>
          <t>periodo_GM_LE2WASTE_Output</t>
        </is>
      </c>
      <c r="E833" t="inlineStr">
        <is>
          <t>2029</t>
        </is>
      </c>
      <c r="F833" t="inlineStr">
        <is>
          <t>ROCKCODE</t>
        </is>
      </c>
      <c r="G833" t="inlineStr">
        <is>
          <t>MCGB</t>
        </is>
      </c>
      <c r="H833" t="inlineStr">
        <is>
          <t>sin asignar</t>
        </is>
      </c>
      <c r="I833" t="inlineStr">
        <is>
          <t>MCGB</t>
        </is>
      </c>
      <c r="J833" t="inlineStr">
        <is>
          <t>ROCKCODE agrupado en ROCKCODE_NUMEQ=16; sigla sin leyenda</t>
        </is>
      </c>
      <c r="K833" t="inlineStr">
        <is>
          <t>Mármol (hipótesis: siglas M*)</t>
        </is>
      </c>
      <c r="L833" t="inlineStr">
        <is>
          <t>Metamorfico</t>
        </is>
      </c>
      <c r="M833" t="n">
        <v>684</v>
      </c>
      <c r="N833" t="inlineStr"/>
      <c r="O833" t="inlineStr"/>
      <c r="P833" t="n">
        <v>852.9</v>
      </c>
      <c r="Q833" t="n">
        <v>4</v>
      </c>
    </row>
    <row r="834">
      <c r="A834" t="inlineStr">
        <is>
          <t>MR24</t>
        </is>
      </c>
      <c r="B834" t="inlineStr">
        <is>
          <t>Merged_Table_Assay_lito</t>
        </is>
      </c>
      <c r="C834" t="inlineStr">
        <is>
          <t>metros de sondaje; pct sobre metros</t>
        </is>
      </c>
      <c r="D834" t="inlineStr">
        <is>
          <t>periodo_GM_LE2WASTE_Output</t>
        </is>
      </c>
      <c r="E834" t="inlineStr">
        <is>
          <t>2029</t>
        </is>
      </c>
      <c r="F834" t="inlineStr">
        <is>
          <t>ROCKCODE</t>
        </is>
      </c>
      <c r="G834" t="inlineStr">
        <is>
          <t>MDP</t>
        </is>
      </c>
      <c r="H834" t="inlineStr">
        <is>
          <t>sin asignar</t>
        </is>
      </c>
      <c r="I834" t="inlineStr">
        <is>
          <t>MDP</t>
        </is>
      </c>
      <c r="J834" t="inlineStr">
        <is>
          <t>ROCKCODE agrupado en ROCKCODE_NUMEQ=19; sigla sin leyenda</t>
        </is>
      </c>
      <c r="K834" t="inlineStr">
        <is>
          <t>Mármol (hipótesis: sigla MDP)</t>
        </is>
      </c>
      <c r="L834" t="inlineStr">
        <is>
          <t>Metamorfico</t>
        </is>
      </c>
      <c r="M834" t="n">
        <v>980</v>
      </c>
      <c r="N834" t="inlineStr"/>
      <c r="O834" t="inlineStr"/>
      <c r="P834" t="n">
        <v>1105.8</v>
      </c>
      <c r="Q834" t="n">
        <v>5.186</v>
      </c>
    </row>
    <row r="835">
      <c r="A835" t="inlineStr">
        <is>
          <t>MR24</t>
        </is>
      </c>
      <c r="B835" t="inlineStr">
        <is>
          <t>Merged_Table_Assay_lito</t>
        </is>
      </c>
      <c r="C835" t="inlineStr">
        <is>
          <t>metros de sondaje; pct sobre metros</t>
        </is>
      </c>
      <c r="D835" t="inlineStr">
        <is>
          <t>periodo_GM_LE2WASTE_Output</t>
        </is>
      </c>
      <c r="E835" t="inlineStr">
        <is>
          <t>2029</t>
        </is>
      </c>
      <c r="F835" t="inlineStr">
        <is>
          <t>ROCKCODE</t>
        </is>
      </c>
      <c r="G835" t="inlineStr">
        <is>
          <t>MG</t>
        </is>
      </c>
      <c r="H835" t="inlineStr">
        <is>
          <t>sin asignar</t>
        </is>
      </c>
      <c r="I835" t="inlineStr">
        <is>
          <t>MG</t>
        </is>
      </c>
      <c r="J835" t="inlineStr">
        <is>
          <t>ROCKCODE agrupado en ROCKCODE_NUMEQ=16; sigla sin leyenda</t>
        </is>
      </c>
      <c r="K835" t="inlineStr">
        <is>
          <t>Mármol (hipótesis: siglas M*)</t>
        </is>
      </c>
      <c r="L835" t="inlineStr">
        <is>
          <t>Metamorfico</t>
        </is>
      </c>
      <c r="M835" t="n">
        <v>909</v>
      </c>
      <c r="N835" t="inlineStr"/>
      <c r="O835" t="inlineStr"/>
      <c r="P835" t="n">
        <v>809.2</v>
      </c>
      <c r="Q835" t="n">
        <v>3.795</v>
      </c>
    </row>
    <row r="836">
      <c r="A836" t="inlineStr">
        <is>
          <t>MR24</t>
        </is>
      </c>
      <c r="B836" t="inlineStr">
        <is>
          <t>Merged_Table_Assay_lito</t>
        </is>
      </c>
      <c r="C836" t="inlineStr">
        <is>
          <t>metros de sondaje; pct sobre metros</t>
        </is>
      </c>
      <c r="D836" t="inlineStr">
        <is>
          <t>periodo_GM_LE2WASTE_Output</t>
        </is>
      </c>
      <c r="E836" t="inlineStr">
        <is>
          <t>2029</t>
        </is>
      </c>
      <c r="F836" t="inlineStr">
        <is>
          <t>ROCKCODE</t>
        </is>
      </c>
      <c r="G836" t="inlineStr">
        <is>
          <t>MGS</t>
        </is>
      </c>
      <c r="H836" t="inlineStr">
        <is>
          <t>sin asignar</t>
        </is>
      </c>
      <c r="I836" t="inlineStr">
        <is>
          <t>MGS</t>
        </is>
      </c>
      <c r="J836" t="inlineStr">
        <is>
          <t>ROCKCODE agrupado en ROCKCODE_NUMEQ=16; sigla sin leyenda</t>
        </is>
      </c>
      <c r="K836" t="inlineStr">
        <is>
          <t>Mármol (hipótesis: siglas M*)</t>
        </is>
      </c>
      <c r="L836" t="inlineStr">
        <is>
          <t>Metamorfico</t>
        </is>
      </c>
      <c r="M836" t="n">
        <v>381</v>
      </c>
      <c r="N836" t="inlineStr"/>
      <c r="O836" t="inlineStr"/>
      <c r="P836" t="n">
        <v>341.6</v>
      </c>
      <c r="Q836" t="n">
        <v>1.602</v>
      </c>
    </row>
    <row r="837">
      <c r="A837" t="inlineStr">
        <is>
          <t>MR24</t>
        </is>
      </c>
      <c r="B837" t="inlineStr">
        <is>
          <t>Merged_Table_Assay_lito</t>
        </is>
      </c>
      <c r="C837" t="inlineStr">
        <is>
          <t>metros de sondaje; pct sobre metros</t>
        </is>
      </c>
      <c r="D837" t="inlineStr">
        <is>
          <t>periodo_GM_LE2WASTE_Output</t>
        </is>
      </c>
      <c r="E837" t="inlineStr">
        <is>
          <t>2029</t>
        </is>
      </c>
      <c r="F837" t="inlineStr">
        <is>
          <t>ROCKCODE</t>
        </is>
      </c>
      <c r="G837" t="inlineStr">
        <is>
          <t>MPA</t>
        </is>
      </c>
      <c r="H837" t="inlineStr">
        <is>
          <t>sin asignar</t>
        </is>
      </c>
      <c r="I837" t="inlineStr">
        <is>
          <t>MPA</t>
        </is>
      </c>
      <c r="J837" t="inlineStr">
        <is>
          <t>ROCKCODE agrupado en ROCKCODE_NUMEQ=16; sigla sin leyenda</t>
        </is>
      </c>
      <c r="K837" t="inlineStr">
        <is>
          <t>Mármol (hipótesis: siglas M*)</t>
        </is>
      </c>
      <c r="L837" t="inlineStr">
        <is>
          <t>Metamorfico</t>
        </is>
      </c>
      <c r="M837" t="n">
        <v>673</v>
      </c>
      <c r="N837" t="inlineStr"/>
      <c r="O837" t="inlineStr"/>
      <c r="P837" t="n">
        <v>697.35</v>
      </c>
      <c r="Q837" t="n">
        <v>3.271</v>
      </c>
    </row>
    <row r="838">
      <c r="A838" t="inlineStr">
        <is>
          <t>MR24</t>
        </is>
      </c>
      <c r="B838" t="inlineStr">
        <is>
          <t>Merged_Table_Assay_lito</t>
        </is>
      </c>
      <c r="C838" t="inlineStr">
        <is>
          <t>metros de sondaje; pct sobre metros</t>
        </is>
      </c>
      <c r="D838" t="inlineStr">
        <is>
          <t>periodo_GM_LE2WASTE_Output</t>
        </is>
      </c>
      <c r="E838" t="inlineStr">
        <is>
          <t>2030</t>
        </is>
      </c>
      <c r="F838" t="inlineStr">
        <is>
          <t>ROCKCODE</t>
        </is>
      </c>
      <c r="G838" t="inlineStr">
        <is>
          <t>BCHG</t>
        </is>
      </c>
      <c r="H838" t="inlineStr">
        <is>
          <t>sin asignar</t>
        </is>
      </c>
      <c r="I838" t="inlineStr">
        <is>
          <t>BCHG</t>
        </is>
      </c>
      <c r="J838" t="inlineStr">
        <is>
          <t>ROCKCODE agrupado en ROCKCODE_NUMEQ=13; sigla sin leyenda</t>
        </is>
      </c>
      <c r="K838" t="inlineStr">
        <is>
          <t>Hornfels (hipótesis: siglas H*)</t>
        </is>
      </c>
      <c r="L838" t="inlineStr">
        <is>
          <t>Metamorfico</t>
        </is>
      </c>
      <c r="M838" t="n">
        <v>4</v>
      </c>
      <c r="N838" t="inlineStr"/>
      <c r="O838" t="inlineStr"/>
      <c r="P838" t="n">
        <v>3.55</v>
      </c>
      <c r="Q838" t="n">
        <v>0.012</v>
      </c>
    </row>
    <row r="839">
      <c r="A839" t="inlineStr">
        <is>
          <t>MR24</t>
        </is>
      </c>
      <c r="B839" t="inlineStr">
        <is>
          <t>Merged_Table_Assay_lito</t>
        </is>
      </c>
      <c r="C839" t="inlineStr">
        <is>
          <t>metros de sondaje; pct sobre metros</t>
        </is>
      </c>
      <c r="D839" t="inlineStr">
        <is>
          <t>periodo_GM_LE2WASTE_Output</t>
        </is>
      </c>
      <c r="E839" t="inlineStr">
        <is>
          <t>2030</t>
        </is>
      </c>
      <c r="F839" t="inlineStr">
        <is>
          <t>ROCKCODE</t>
        </is>
      </c>
      <c r="G839" t="inlineStr">
        <is>
          <t>BCIPPA</t>
        </is>
      </c>
      <c r="H839" t="inlineStr">
        <is>
          <t>Intrusivo</t>
        </is>
      </c>
      <c r="I839" t="inlineStr">
        <is>
          <t>BCIPPA</t>
        </is>
      </c>
      <c r="J839" t="inlineStr">
        <is>
          <t>ROCKCODE agrupado en ROCKCODE_NUMEQ=1 (Intrusivo_1)</t>
        </is>
      </c>
      <c r="K839" t="inlineStr">
        <is>
          <t>Intrusivo</t>
        </is>
      </c>
      <c r="L839" t="inlineStr">
        <is>
          <t>Intrusivo</t>
        </is>
      </c>
      <c r="M839" t="n">
        <v>2</v>
      </c>
      <c r="N839" t="inlineStr"/>
      <c r="O839" t="inlineStr"/>
      <c r="P839" t="n">
        <v>1</v>
      </c>
      <c r="Q839" t="n">
        <v>0.003</v>
      </c>
    </row>
    <row r="840">
      <c r="A840" t="inlineStr">
        <is>
          <t>MR24</t>
        </is>
      </c>
      <c r="B840" t="inlineStr">
        <is>
          <t>Merged_Table_Assay_lito</t>
        </is>
      </c>
      <c r="C840" t="inlineStr">
        <is>
          <t>metros de sondaje; pct sobre metros</t>
        </is>
      </c>
      <c r="D840" t="inlineStr">
        <is>
          <t>periodo_GM_LE2WASTE_Output</t>
        </is>
      </c>
      <c r="E840" t="inlineStr">
        <is>
          <t>2030</t>
        </is>
      </c>
      <c r="F840" t="inlineStr">
        <is>
          <t>ROCKCODE</t>
        </is>
      </c>
      <c r="G840" t="inlineStr">
        <is>
          <t>BCIPPAO</t>
        </is>
      </c>
      <c r="H840" t="inlineStr">
        <is>
          <t>Intrusivo</t>
        </is>
      </c>
      <c r="I840" t="inlineStr">
        <is>
          <t>BCIPPAO</t>
        </is>
      </c>
      <c r="J840" t="inlineStr">
        <is>
          <t>ROCKCODE agrupado en ROCKCODE_NUMEQ=1 (Intrusivo_1)</t>
        </is>
      </c>
      <c r="K840" t="inlineStr">
        <is>
          <t>Intrusivo</t>
        </is>
      </c>
      <c r="L840" t="inlineStr">
        <is>
          <t>Intrusivo</t>
        </is>
      </c>
      <c r="M840" t="n">
        <v>2</v>
      </c>
      <c r="N840" t="inlineStr"/>
      <c r="O840" t="inlineStr"/>
      <c r="P840" t="n">
        <v>1.9</v>
      </c>
      <c r="Q840" t="n">
        <v>0.006</v>
      </c>
    </row>
    <row r="841">
      <c r="A841" t="inlineStr">
        <is>
          <t>MR24</t>
        </is>
      </c>
      <c r="B841" t="inlineStr">
        <is>
          <t>Merged_Table_Assay_lito</t>
        </is>
      </c>
      <c r="C841" t="inlineStr">
        <is>
          <t>metros de sondaje; pct sobre metros</t>
        </is>
      </c>
      <c r="D841" t="inlineStr">
        <is>
          <t>periodo_GM_LE2WASTE_Output</t>
        </is>
      </c>
      <c r="E841" t="inlineStr">
        <is>
          <t>2030</t>
        </is>
      </c>
      <c r="F841" t="inlineStr">
        <is>
          <t>ROCKCODE</t>
        </is>
      </c>
      <c r="G841" t="inlineStr">
        <is>
          <t>BMHG</t>
        </is>
      </c>
      <c r="H841" t="inlineStr">
        <is>
          <t>sin asignar</t>
        </is>
      </c>
      <c r="I841" t="inlineStr">
        <is>
          <t>BMHG</t>
        </is>
      </c>
      <c r="J841" t="inlineStr">
        <is>
          <t>ROCKCODE agrupado en ROCKCODE_NUMEQ=13; sigla sin leyenda</t>
        </is>
      </c>
      <c r="K841" t="inlineStr">
        <is>
          <t>Hornfels (hipótesis: siglas H*)</t>
        </is>
      </c>
      <c r="L841" t="inlineStr">
        <is>
          <t>Metamorfico</t>
        </is>
      </c>
      <c r="M841" t="n">
        <v>2</v>
      </c>
      <c r="N841" t="inlineStr"/>
      <c r="O841" t="inlineStr"/>
      <c r="P841" t="n">
        <v>1</v>
      </c>
      <c r="Q841" t="n">
        <v>0.003</v>
      </c>
    </row>
    <row r="842">
      <c r="A842" t="inlineStr">
        <is>
          <t>MR24</t>
        </is>
      </c>
      <c r="B842" t="inlineStr">
        <is>
          <t>Merged_Table_Assay_lito</t>
        </is>
      </c>
      <c r="C842" t="inlineStr">
        <is>
          <t>metros de sondaje; pct sobre metros</t>
        </is>
      </c>
      <c r="D842" t="inlineStr">
        <is>
          <t>periodo_GM_LE2WASTE_Output</t>
        </is>
      </c>
      <c r="E842" t="inlineStr">
        <is>
          <t>2030</t>
        </is>
      </c>
      <c r="F842" t="inlineStr">
        <is>
          <t>ROCKCODE</t>
        </is>
      </c>
      <c r="G842" t="inlineStr">
        <is>
          <t>CG</t>
        </is>
      </c>
      <c r="H842" t="inlineStr">
        <is>
          <t>sin asignar</t>
        </is>
      </c>
      <c r="I842" t="inlineStr">
        <is>
          <t>CG</t>
        </is>
      </c>
      <c r="J842" t="inlineStr">
        <is>
          <t>ROCKCODE agrupado en ROCKCODE_NUMEQ=10; sigla sin leyenda</t>
        </is>
      </c>
      <c r="K842" t="inlineStr">
        <is>
          <t>Caliza (hipótesis: siglas C*)</t>
        </is>
      </c>
      <c r="L842" t="inlineStr">
        <is>
          <t>Sedimentario</t>
        </is>
      </c>
      <c r="M842" t="n">
        <v>1927</v>
      </c>
      <c r="N842" t="inlineStr"/>
      <c r="O842" t="inlineStr"/>
      <c r="P842" t="n">
        <v>1754.2</v>
      </c>
      <c r="Q842" t="n">
        <v>5.698</v>
      </c>
    </row>
    <row r="843">
      <c r="A843" t="inlineStr">
        <is>
          <t>MR24</t>
        </is>
      </c>
      <c r="B843" t="inlineStr">
        <is>
          <t>Merged_Table_Assay_lito</t>
        </is>
      </c>
      <c r="C843" t="inlineStr">
        <is>
          <t>metros de sondaje; pct sobre metros</t>
        </is>
      </c>
      <c r="D843" t="inlineStr">
        <is>
          <t>periodo_GM_LE2WASTE_Output</t>
        </is>
      </c>
      <c r="E843" t="inlineStr">
        <is>
          <t>2030</t>
        </is>
      </c>
      <c r="F843" t="inlineStr">
        <is>
          <t>ROCKCODE</t>
        </is>
      </c>
      <c r="G843" t="inlineStr">
        <is>
          <t>CGS</t>
        </is>
      </c>
      <c r="H843" t="inlineStr">
        <is>
          <t>sin asignar</t>
        </is>
      </c>
      <c r="I843" t="inlineStr">
        <is>
          <t>CGS</t>
        </is>
      </c>
      <c r="J843" t="inlineStr">
        <is>
          <t>ROCKCODE agrupado en ROCKCODE_NUMEQ=10; sigla sin leyenda</t>
        </is>
      </c>
      <c r="K843" t="inlineStr">
        <is>
          <t>Caliza (hipótesis: siglas C*)</t>
        </is>
      </c>
      <c r="L843" t="inlineStr">
        <is>
          <t>Sedimentario</t>
        </is>
      </c>
      <c r="M843" t="n">
        <v>705</v>
      </c>
      <c r="N843" t="inlineStr"/>
      <c r="O843" t="inlineStr"/>
      <c r="P843" t="n">
        <v>579.65</v>
      </c>
      <c r="Q843" t="n">
        <v>1.883</v>
      </c>
    </row>
    <row r="844">
      <c r="A844" t="inlineStr">
        <is>
          <t>MR24</t>
        </is>
      </c>
      <c r="B844" t="inlineStr">
        <is>
          <t>Merged_Table_Assay_lito</t>
        </is>
      </c>
      <c r="C844" t="inlineStr">
        <is>
          <t>metros de sondaje; pct sobre metros</t>
        </is>
      </c>
      <c r="D844" t="inlineStr">
        <is>
          <t>periodo_GM_LE2WASTE_Output</t>
        </is>
      </c>
      <c r="E844" t="inlineStr">
        <is>
          <t>2030</t>
        </is>
      </c>
      <c r="F844" t="inlineStr">
        <is>
          <t>ROCKCODE</t>
        </is>
      </c>
      <c r="G844" t="inlineStr">
        <is>
          <t>CM</t>
        </is>
      </c>
      <c r="H844" t="inlineStr">
        <is>
          <t>sin asignar</t>
        </is>
      </c>
      <c r="I844" t="inlineStr">
        <is>
          <t>CM</t>
        </is>
      </c>
      <c r="J844" t="inlineStr">
        <is>
          <t>ROCKCODE agrupado en ROCKCODE_NUMEQ=10; sigla sin leyenda</t>
        </is>
      </c>
      <c r="K844" t="inlineStr">
        <is>
          <t>Caliza (hipótesis: siglas C*)</t>
        </is>
      </c>
      <c r="L844" t="inlineStr">
        <is>
          <t>Sedimentario</t>
        </is>
      </c>
      <c r="M844" t="n">
        <v>4</v>
      </c>
      <c r="N844" t="inlineStr"/>
      <c r="O844" t="inlineStr"/>
      <c r="P844" t="n">
        <v>19.2</v>
      </c>
      <c r="Q844" t="n">
        <v>0.062</v>
      </c>
    </row>
    <row r="845">
      <c r="A845" t="inlineStr">
        <is>
          <t>MR24</t>
        </is>
      </c>
      <c r="B845" t="inlineStr">
        <is>
          <t>Merged_Table_Assay_lito</t>
        </is>
      </c>
      <c r="C845" t="inlineStr">
        <is>
          <t>metros de sondaje; pct sobre metros</t>
        </is>
      </c>
      <c r="D845" t="inlineStr">
        <is>
          <t>periodo_GM_LE2WASTE_Output</t>
        </is>
      </c>
      <c r="E845" t="inlineStr">
        <is>
          <t>2030</t>
        </is>
      </c>
      <c r="F845" t="inlineStr">
        <is>
          <t>ROCKCODE</t>
        </is>
      </c>
      <c r="G845" t="inlineStr">
        <is>
          <t>CN</t>
        </is>
      </c>
      <c r="H845" t="inlineStr">
        <is>
          <t>sin asignar</t>
        </is>
      </c>
      <c r="I845" t="inlineStr">
        <is>
          <t>CN</t>
        </is>
      </c>
      <c r="J845" t="inlineStr">
        <is>
          <t>ROCKCODE agrupado en ROCKCODE_NUMEQ=10; sigla sin leyenda</t>
        </is>
      </c>
      <c r="K845" t="inlineStr">
        <is>
          <t>Caliza (hipótesis: siglas C*)</t>
        </is>
      </c>
      <c r="L845" t="inlineStr">
        <is>
          <t>Sedimentario</t>
        </is>
      </c>
      <c r="M845" t="n">
        <v>120</v>
      </c>
      <c r="N845" t="inlineStr"/>
      <c r="O845" t="inlineStr"/>
      <c r="P845" t="n">
        <v>127.1</v>
      </c>
      <c r="Q845" t="n">
        <v>0.413</v>
      </c>
    </row>
    <row r="846">
      <c r="A846" t="inlineStr">
        <is>
          <t>MR24</t>
        </is>
      </c>
      <c r="B846" t="inlineStr">
        <is>
          <t>Merged_Table_Assay_lito</t>
        </is>
      </c>
      <c r="C846" t="inlineStr">
        <is>
          <t>metros de sondaje; pct sobre metros</t>
        </is>
      </c>
      <c r="D846" t="inlineStr">
        <is>
          <t>periodo_GM_LE2WASTE_Output</t>
        </is>
      </c>
      <c r="E846" t="inlineStr">
        <is>
          <t>2030</t>
        </is>
      </c>
      <c r="F846" t="inlineStr">
        <is>
          <t>ROCKCODE</t>
        </is>
      </c>
      <c r="G846" t="inlineStr">
        <is>
          <t>HBV</t>
        </is>
      </c>
      <c r="H846" t="inlineStr">
        <is>
          <t>sin asignar</t>
        </is>
      </c>
      <c r="I846" t="inlineStr">
        <is>
          <t>HBV</t>
        </is>
      </c>
      <c r="J846" t="inlineStr">
        <is>
          <t>ROCKCODE agrupado en ROCKCODE_NUMEQ=14; sigla sin leyenda</t>
        </is>
      </c>
      <c r="K846" t="inlineStr">
        <is>
          <t>Hornfels (hipótesis: siglas H*)</t>
        </is>
      </c>
      <c r="L846" t="inlineStr">
        <is>
          <t>Metamorfico</t>
        </is>
      </c>
      <c r="M846" t="n">
        <v>571</v>
      </c>
      <c r="N846" t="inlineStr"/>
      <c r="O846" t="inlineStr"/>
      <c r="P846" t="n">
        <v>469.2</v>
      </c>
      <c r="Q846" t="n">
        <v>1.524</v>
      </c>
    </row>
    <row r="847">
      <c r="A847" t="inlineStr">
        <is>
          <t>MR24</t>
        </is>
      </c>
      <c r="B847" t="inlineStr">
        <is>
          <t>Merged_Table_Assay_lito</t>
        </is>
      </c>
      <c r="C847" t="inlineStr">
        <is>
          <t>metros de sondaje; pct sobre metros</t>
        </is>
      </c>
      <c r="D847" t="inlineStr">
        <is>
          <t>periodo_GM_LE2WASTE_Output</t>
        </is>
      </c>
      <c r="E847" t="inlineStr">
        <is>
          <t>2030</t>
        </is>
      </c>
      <c r="F847" t="inlineStr">
        <is>
          <t>ROCKCODE</t>
        </is>
      </c>
      <c r="G847" t="inlineStr">
        <is>
          <t>HC</t>
        </is>
      </c>
      <c r="H847" t="inlineStr">
        <is>
          <t>sin asignar</t>
        </is>
      </c>
      <c r="I847" t="inlineStr">
        <is>
          <t>HC</t>
        </is>
      </c>
      <c r="J847" t="inlineStr">
        <is>
          <t>ROCKCODE agrupado en ROCKCODE_NUMEQ=13; sigla sin leyenda</t>
        </is>
      </c>
      <c r="K847" t="inlineStr">
        <is>
          <t>Hornfels (hipótesis: siglas H*)</t>
        </is>
      </c>
      <c r="L847" t="inlineStr">
        <is>
          <t>Metamorfico</t>
        </is>
      </c>
      <c r="M847" t="n">
        <v>2210</v>
      </c>
      <c r="N847" t="inlineStr"/>
      <c r="O847" t="inlineStr"/>
      <c r="P847" t="n">
        <v>1756.7</v>
      </c>
      <c r="Q847" t="n">
        <v>5.706</v>
      </c>
    </row>
    <row r="848">
      <c r="A848" t="inlineStr">
        <is>
          <t>MR24</t>
        </is>
      </c>
      <c r="B848" t="inlineStr">
        <is>
          <t>Merged_Table_Assay_lito</t>
        </is>
      </c>
      <c r="C848" t="inlineStr">
        <is>
          <t>metros de sondaje; pct sobre metros</t>
        </is>
      </c>
      <c r="D848" t="inlineStr">
        <is>
          <t>periodo_GM_LE2WASTE_Output</t>
        </is>
      </c>
      <c r="E848" t="inlineStr">
        <is>
          <t>2030</t>
        </is>
      </c>
      <c r="F848" t="inlineStr">
        <is>
          <t>ROCKCODE</t>
        </is>
      </c>
      <c r="G848" t="inlineStr">
        <is>
          <t>HCB</t>
        </is>
      </c>
      <c r="H848" t="inlineStr">
        <is>
          <t>sin asignar</t>
        </is>
      </c>
      <c r="I848" t="inlineStr">
        <is>
          <t>HCB</t>
        </is>
      </c>
      <c r="J848" t="inlineStr">
        <is>
          <t>ROCKCODE agrupado en ROCKCODE_NUMEQ=14; sigla sin leyenda</t>
        </is>
      </c>
      <c r="K848" t="inlineStr">
        <is>
          <t>Hornfels (hipótesis: siglas H*)</t>
        </is>
      </c>
      <c r="L848" t="inlineStr">
        <is>
          <t>Metamorfico</t>
        </is>
      </c>
      <c r="M848" t="n">
        <v>269</v>
      </c>
      <c r="N848" t="inlineStr"/>
      <c r="O848" t="inlineStr"/>
      <c r="P848" t="n">
        <v>209.75</v>
      </c>
      <c r="Q848" t="n">
        <v>0.681</v>
      </c>
    </row>
    <row r="849">
      <c r="A849" t="inlineStr">
        <is>
          <t>MR24</t>
        </is>
      </c>
      <c r="B849" t="inlineStr">
        <is>
          <t>Merged_Table_Assay_lito</t>
        </is>
      </c>
      <c r="C849" t="inlineStr">
        <is>
          <t>metros de sondaje; pct sobre metros</t>
        </is>
      </c>
      <c r="D849" t="inlineStr">
        <is>
          <t>periodo_GM_LE2WASTE_Output</t>
        </is>
      </c>
      <c r="E849" t="inlineStr">
        <is>
          <t>2030</t>
        </is>
      </c>
      <c r="F849" t="inlineStr">
        <is>
          <t>ROCKCODE</t>
        </is>
      </c>
      <c r="G849" t="inlineStr">
        <is>
          <t>HDP</t>
        </is>
      </c>
      <c r="H849" t="inlineStr">
        <is>
          <t>sin asignar</t>
        </is>
      </c>
      <c r="I849" t="inlineStr">
        <is>
          <t>HDP</t>
        </is>
      </c>
      <c r="J849" t="inlineStr">
        <is>
          <t>ROCKCODE agrupado en ROCKCODE_NUMEQ=14; sigla sin leyenda</t>
        </is>
      </c>
      <c r="K849" t="inlineStr">
        <is>
          <t>Hornfels (hipótesis: siglas H*)</t>
        </is>
      </c>
      <c r="L849" t="inlineStr">
        <is>
          <t>Metamorfico</t>
        </is>
      </c>
      <c r="M849" t="n">
        <v>84</v>
      </c>
      <c r="N849" t="inlineStr"/>
      <c r="O849" t="inlineStr"/>
      <c r="P849" t="n">
        <v>87.09999999999999</v>
      </c>
      <c r="Q849" t="n">
        <v>0.283</v>
      </c>
    </row>
    <row r="850">
      <c r="A850" t="inlineStr">
        <is>
          <t>MR24</t>
        </is>
      </c>
      <c r="B850" t="inlineStr">
        <is>
          <t>Merged_Table_Assay_lito</t>
        </is>
      </c>
      <c r="C850" t="inlineStr">
        <is>
          <t>metros de sondaje; pct sobre metros</t>
        </is>
      </c>
      <c r="D850" t="inlineStr">
        <is>
          <t>periodo_GM_LE2WASTE_Output</t>
        </is>
      </c>
      <c r="E850" t="inlineStr">
        <is>
          <t>2030</t>
        </is>
      </c>
      <c r="F850" t="inlineStr">
        <is>
          <t>ROCKCODE</t>
        </is>
      </c>
      <c r="G850" t="inlineStr">
        <is>
          <t>HG</t>
        </is>
      </c>
      <c r="H850" t="inlineStr">
        <is>
          <t>sin asignar</t>
        </is>
      </c>
      <c r="I850" t="inlineStr">
        <is>
          <t>HG</t>
        </is>
      </c>
      <c r="J850" t="inlineStr">
        <is>
          <t>ROCKCODE agrupado en ROCKCODE_NUMEQ=13; sigla sin leyenda</t>
        </is>
      </c>
      <c r="K850" t="inlineStr">
        <is>
          <t>Hornfels (hipótesis: siglas H*)</t>
        </is>
      </c>
      <c r="L850" t="inlineStr">
        <is>
          <t>Metamorfico</t>
        </is>
      </c>
      <c r="M850" t="n">
        <v>8923</v>
      </c>
      <c r="N850" t="inlineStr"/>
      <c r="O850" t="inlineStr"/>
      <c r="P850" t="n">
        <v>7435.55</v>
      </c>
      <c r="Q850" t="n">
        <v>24.153</v>
      </c>
    </row>
    <row r="851">
      <c r="A851" t="inlineStr">
        <is>
          <t>MR24</t>
        </is>
      </c>
      <c r="B851" t="inlineStr">
        <is>
          <t>Merged_Table_Assay_lito</t>
        </is>
      </c>
      <c r="C851" t="inlineStr">
        <is>
          <t>metros de sondaje; pct sobre metros</t>
        </is>
      </c>
      <c r="D851" t="inlineStr">
        <is>
          <t>periodo_GM_LE2WASTE_Output</t>
        </is>
      </c>
      <c r="E851" t="inlineStr">
        <is>
          <t>2030</t>
        </is>
      </c>
      <c r="F851" t="inlineStr">
        <is>
          <t>ROCKCODE</t>
        </is>
      </c>
      <c r="G851" t="inlineStr">
        <is>
          <t>HGS</t>
        </is>
      </c>
      <c r="H851" t="inlineStr">
        <is>
          <t>sin asignar</t>
        </is>
      </c>
      <c r="I851" t="inlineStr">
        <is>
          <t>HGS</t>
        </is>
      </c>
      <c r="J851" t="inlineStr">
        <is>
          <t>ROCKCODE agrupado en ROCKCODE_NUMEQ=13; sigla sin leyenda</t>
        </is>
      </c>
      <c r="K851" t="inlineStr">
        <is>
          <t>Hornfels (hipótesis: siglas H*)</t>
        </is>
      </c>
      <c r="L851" t="inlineStr">
        <is>
          <t>Metamorfico</t>
        </is>
      </c>
      <c r="M851" t="n">
        <v>2988</v>
      </c>
      <c r="N851" t="inlineStr"/>
      <c r="O851" t="inlineStr"/>
      <c r="P851" t="n">
        <v>2411</v>
      </c>
      <c r="Q851" t="n">
        <v>7.832</v>
      </c>
    </row>
    <row r="852">
      <c r="A852" t="inlineStr">
        <is>
          <t>MR24</t>
        </is>
      </c>
      <c r="B852" t="inlineStr">
        <is>
          <t>Merged_Table_Assay_lito</t>
        </is>
      </c>
      <c r="C852" t="inlineStr">
        <is>
          <t>metros de sondaje; pct sobre metros</t>
        </is>
      </c>
      <c r="D852" t="inlineStr">
        <is>
          <t>periodo_GM_LE2WASTE_Output</t>
        </is>
      </c>
      <c r="E852" t="inlineStr">
        <is>
          <t>2030</t>
        </is>
      </c>
      <c r="F852" t="inlineStr">
        <is>
          <t>ROCKCODE</t>
        </is>
      </c>
      <c r="G852" t="inlineStr">
        <is>
          <t>HGV</t>
        </is>
      </c>
      <c r="H852" t="inlineStr">
        <is>
          <t>sin asignar</t>
        </is>
      </c>
      <c r="I852" t="inlineStr">
        <is>
          <t>HGV</t>
        </is>
      </c>
      <c r="J852" t="inlineStr">
        <is>
          <t>ROCKCODE agrupado en ROCKCODE_NUMEQ=14; sigla sin leyenda</t>
        </is>
      </c>
      <c r="K852" t="inlineStr">
        <is>
          <t>Hornfels (hipótesis: siglas H*)</t>
        </is>
      </c>
      <c r="L852" t="inlineStr">
        <is>
          <t>Metamorfico</t>
        </is>
      </c>
      <c r="M852" t="n">
        <v>496</v>
      </c>
      <c r="N852" t="inlineStr"/>
      <c r="O852" t="inlineStr"/>
      <c r="P852" t="n">
        <v>380.45</v>
      </c>
      <c r="Q852" t="n">
        <v>1.236</v>
      </c>
    </row>
    <row r="853">
      <c r="A853" t="inlineStr">
        <is>
          <t>MR24</t>
        </is>
      </c>
      <c r="B853" t="inlineStr">
        <is>
          <t>Merged_Table_Assay_lito</t>
        </is>
      </c>
      <c r="C853" t="inlineStr">
        <is>
          <t>metros de sondaje; pct sobre metros</t>
        </is>
      </c>
      <c r="D853" t="inlineStr">
        <is>
          <t>periodo_GM_LE2WASTE_Output</t>
        </is>
      </c>
      <c r="E853" t="inlineStr">
        <is>
          <t>2030</t>
        </is>
      </c>
      <c r="F853" t="inlineStr">
        <is>
          <t>ROCKCODE</t>
        </is>
      </c>
      <c r="G853" t="inlineStr">
        <is>
          <t>HMGV</t>
        </is>
      </c>
      <c r="H853" t="inlineStr">
        <is>
          <t>sin asignar</t>
        </is>
      </c>
      <c r="I853" t="inlineStr">
        <is>
          <t>HMGV</t>
        </is>
      </c>
      <c r="J853" t="inlineStr">
        <is>
          <t>ROCKCODE agrupado en ROCKCODE_NUMEQ=14; sigla sin leyenda</t>
        </is>
      </c>
      <c r="K853" t="inlineStr">
        <is>
          <t>Hornfels (hipótesis: siglas H*)</t>
        </is>
      </c>
      <c r="L853" t="inlineStr">
        <is>
          <t>Metamorfico</t>
        </is>
      </c>
      <c r="M853" t="n">
        <v>87</v>
      </c>
      <c r="N853" t="inlineStr"/>
      <c r="O853" t="inlineStr"/>
      <c r="P853" t="n">
        <v>76.7</v>
      </c>
      <c r="Q853" t="n">
        <v>0.249</v>
      </c>
    </row>
    <row r="854">
      <c r="A854" t="inlineStr">
        <is>
          <t>MR24</t>
        </is>
      </c>
      <c r="B854" t="inlineStr">
        <is>
          <t>Merged_Table_Assay_lito</t>
        </is>
      </c>
      <c r="C854" t="inlineStr">
        <is>
          <t>metros de sondaje; pct sobre metros</t>
        </is>
      </c>
      <c r="D854" t="inlineStr">
        <is>
          <t>periodo_GM_LE2WASTE_Output</t>
        </is>
      </c>
      <c r="E854" t="inlineStr">
        <is>
          <t>2030</t>
        </is>
      </c>
      <c r="F854" t="inlineStr">
        <is>
          <t>ROCKCODE</t>
        </is>
      </c>
      <c r="G854" t="inlineStr">
        <is>
          <t>HV</t>
        </is>
      </c>
      <c r="H854" t="inlineStr">
        <is>
          <t>sin asignar</t>
        </is>
      </c>
      <c r="I854" t="inlineStr">
        <is>
          <t>HV</t>
        </is>
      </c>
      <c r="J854" t="inlineStr">
        <is>
          <t>ROCKCODE agrupado en ROCKCODE_NUMEQ=14; sigla sin leyenda</t>
        </is>
      </c>
      <c r="K854" t="inlineStr">
        <is>
          <t>Hornfels (hipótesis: siglas H*)</t>
        </is>
      </c>
      <c r="L854" t="inlineStr">
        <is>
          <t>Metamorfico</t>
        </is>
      </c>
      <c r="M854" t="n">
        <v>19</v>
      </c>
      <c r="N854" t="inlineStr"/>
      <c r="O854" t="inlineStr"/>
      <c r="P854" t="n">
        <v>15.5</v>
      </c>
      <c r="Q854" t="n">
        <v>0.05</v>
      </c>
    </row>
    <row r="855">
      <c r="A855" t="inlineStr">
        <is>
          <t>MR24</t>
        </is>
      </c>
      <c r="B855" t="inlineStr">
        <is>
          <t>Merged_Table_Assay_lito</t>
        </is>
      </c>
      <c r="C855" t="inlineStr">
        <is>
          <t>metros de sondaje; pct sobre metros</t>
        </is>
      </c>
      <c r="D855" t="inlineStr">
        <is>
          <t>periodo_GM_LE2WASTE_Output</t>
        </is>
      </c>
      <c r="E855" t="inlineStr">
        <is>
          <t>2030</t>
        </is>
      </c>
      <c r="F855" t="inlineStr">
        <is>
          <t>ROCKCODE</t>
        </is>
      </c>
      <c r="G855" t="inlineStr">
        <is>
          <t>IPHPE</t>
        </is>
      </c>
      <c r="H855" t="inlineStr">
        <is>
          <t>Intrusivo</t>
        </is>
      </c>
      <c r="I855" t="inlineStr">
        <is>
          <t>IPHPE</t>
        </is>
      </c>
      <c r="J855" t="inlineStr">
        <is>
          <t>ROCKCODE agrupado en ROCKCODE_NUMEQ=1 (Intrusivo_1)</t>
        </is>
      </c>
      <c r="K855" t="inlineStr">
        <is>
          <t>Intrusivo</t>
        </is>
      </c>
      <c r="L855" t="inlineStr">
        <is>
          <t>Intrusivo</t>
        </is>
      </c>
      <c r="M855" t="n">
        <v>39</v>
      </c>
      <c r="N855" t="inlineStr"/>
      <c r="O855" t="inlineStr"/>
      <c r="P855" t="n">
        <v>23.75</v>
      </c>
      <c r="Q855" t="n">
        <v>0.077</v>
      </c>
    </row>
    <row r="856">
      <c r="A856" t="inlineStr">
        <is>
          <t>MR24</t>
        </is>
      </c>
      <c r="B856" t="inlineStr">
        <is>
          <t>Merged_Table_Assay_lito</t>
        </is>
      </c>
      <c r="C856" t="inlineStr">
        <is>
          <t>metros de sondaje; pct sobre metros</t>
        </is>
      </c>
      <c r="D856" t="inlineStr">
        <is>
          <t>periodo_GM_LE2WASTE_Output</t>
        </is>
      </c>
      <c r="E856" t="inlineStr">
        <is>
          <t>2030</t>
        </is>
      </c>
      <c r="F856" t="inlineStr">
        <is>
          <t>ROCKCODE</t>
        </is>
      </c>
      <c r="G856" t="inlineStr">
        <is>
          <t>IPPA</t>
        </is>
      </c>
      <c r="H856" t="inlineStr">
        <is>
          <t>Intrusivo</t>
        </is>
      </c>
      <c r="I856" t="inlineStr">
        <is>
          <t>IPPA</t>
        </is>
      </c>
      <c r="J856" t="inlineStr">
        <is>
          <t>ROCKCODE agrupado en ROCKCODE_NUMEQ=1 (Intrusivo_1)</t>
        </is>
      </c>
      <c r="K856" t="inlineStr">
        <is>
          <t>Intrusivo</t>
        </is>
      </c>
      <c r="L856" t="inlineStr">
        <is>
          <t>Intrusivo</t>
        </is>
      </c>
      <c r="M856" t="n">
        <v>2015</v>
      </c>
      <c r="N856" t="inlineStr"/>
      <c r="O856" t="inlineStr"/>
      <c r="P856" t="n">
        <v>2905.94</v>
      </c>
      <c r="Q856" t="n">
        <v>9.439</v>
      </c>
    </row>
    <row r="857">
      <c r="A857" t="inlineStr">
        <is>
          <t>MR24</t>
        </is>
      </c>
      <c r="B857" t="inlineStr">
        <is>
          <t>Merged_Table_Assay_lito</t>
        </is>
      </c>
      <c r="C857" t="inlineStr">
        <is>
          <t>metros de sondaje; pct sobre metros</t>
        </is>
      </c>
      <c r="D857" t="inlineStr">
        <is>
          <t>periodo_GM_LE2WASTE_Output</t>
        </is>
      </c>
      <c r="E857" t="inlineStr">
        <is>
          <t>2030</t>
        </is>
      </c>
      <c r="F857" t="inlineStr">
        <is>
          <t>ROCKCODE</t>
        </is>
      </c>
      <c r="G857" t="inlineStr">
        <is>
          <t>IPPAMO</t>
        </is>
      </c>
      <c r="H857" t="inlineStr">
        <is>
          <t>Intrusivo</t>
        </is>
      </c>
      <c r="I857" t="inlineStr">
        <is>
          <t>IPPAMO</t>
        </is>
      </c>
      <c r="J857" t="inlineStr">
        <is>
          <t>ROCKCODE agrupado en ROCKCODE_NUMEQ=1 (Intrusivo_1)</t>
        </is>
      </c>
      <c r="K857" t="inlineStr">
        <is>
          <t>Intrusivo</t>
        </is>
      </c>
      <c r="L857" t="inlineStr">
        <is>
          <t>Intrusivo</t>
        </is>
      </c>
      <c r="M857" t="n">
        <v>105</v>
      </c>
      <c r="N857" t="inlineStr"/>
      <c r="O857" t="inlineStr"/>
      <c r="P857" t="n">
        <v>148</v>
      </c>
      <c r="Q857" t="n">
        <v>0.481</v>
      </c>
    </row>
    <row r="858">
      <c r="A858" t="inlineStr">
        <is>
          <t>MR24</t>
        </is>
      </c>
      <c r="B858" t="inlineStr">
        <is>
          <t>Merged_Table_Assay_lito</t>
        </is>
      </c>
      <c r="C858" t="inlineStr">
        <is>
          <t>metros de sondaje; pct sobre metros</t>
        </is>
      </c>
      <c r="D858" t="inlineStr">
        <is>
          <t>periodo_GM_LE2WASTE_Output</t>
        </is>
      </c>
      <c r="E858" t="inlineStr">
        <is>
          <t>2030</t>
        </is>
      </c>
      <c r="F858" t="inlineStr">
        <is>
          <t>ROCKCODE</t>
        </is>
      </c>
      <c r="G858" t="inlineStr">
        <is>
          <t>IPPAO</t>
        </is>
      </c>
      <c r="H858" t="inlineStr">
        <is>
          <t>Intrusivo</t>
        </is>
      </c>
      <c r="I858" t="inlineStr">
        <is>
          <t>IPPAO</t>
        </is>
      </c>
      <c r="J858" t="inlineStr">
        <is>
          <t>ROCKCODE agrupado en ROCKCODE_NUMEQ=1 (Intrusivo_1)</t>
        </is>
      </c>
      <c r="K858" t="inlineStr">
        <is>
          <t>Intrusivo</t>
        </is>
      </c>
      <c r="L858" t="inlineStr">
        <is>
          <t>Intrusivo</t>
        </is>
      </c>
      <c r="M858" t="n">
        <v>1840</v>
      </c>
      <c r="N858" t="inlineStr"/>
      <c r="O858" t="inlineStr"/>
      <c r="P858" t="n">
        <v>2752.85</v>
      </c>
      <c r="Q858" t="n">
        <v>8.942</v>
      </c>
    </row>
    <row r="859">
      <c r="A859" t="inlineStr">
        <is>
          <t>MR24</t>
        </is>
      </c>
      <c r="B859" t="inlineStr">
        <is>
          <t>Merged_Table_Assay_lito</t>
        </is>
      </c>
      <c r="C859" t="inlineStr">
        <is>
          <t>metros de sondaje; pct sobre metros</t>
        </is>
      </c>
      <c r="D859" t="inlineStr">
        <is>
          <t>periodo_GM_LE2WASTE_Output</t>
        </is>
      </c>
      <c r="E859" t="inlineStr">
        <is>
          <t>2030</t>
        </is>
      </c>
      <c r="F859" t="inlineStr">
        <is>
          <t>ROCKCODE</t>
        </is>
      </c>
      <c r="G859" t="inlineStr">
        <is>
          <t>IPPEO</t>
        </is>
      </c>
      <c r="H859" t="inlineStr">
        <is>
          <t>Intrusivo</t>
        </is>
      </c>
      <c r="I859" t="inlineStr">
        <is>
          <t>IPPEO</t>
        </is>
      </c>
      <c r="J859" t="inlineStr">
        <is>
          <t>ROCKCODE agrupado en ROCKCODE_NUMEQ=1 (Intrusivo_1)</t>
        </is>
      </c>
      <c r="K859" t="inlineStr">
        <is>
          <t>Intrusivo</t>
        </is>
      </c>
      <c r="L859" t="inlineStr">
        <is>
          <t>Intrusivo</t>
        </is>
      </c>
      <c r="M859" t="n">
        <v>436</v>
      </c>
      <c r="N859" t="inlineStr"/>
      <c r="O859" t="inlineStr"/>
      <c r="P859" t="n">
        <v>372.35</v>
      </c>
      <c r="Q859" t="n">
        <v>1.21</v>
      </c>
    </row>
    <row r="860">
      <c r="A860" t="inlineStr">
        <is>
          <t>MR24</t>
        </is>
      </c>
      <c r="B860" t="inlineStr">
        <is>
          <t>Merged_Table_Assay_lito</t>
        </is>
      </c>
      <c r="C860" t="inlineStr">
        <is>
          <t>metros de sondaje; pct sobre metros</t>
        </is>
      </c>
      <c r="D860" t="inlineStr">
        <is>
          <t>periodo_GM_LE2WASTE_Output</t>
        </is>
      </c>
      <c r="E860" t="inlineStr">
        <is>
          <t>2030</t>
        </is>
      </c>
      <c r="F860" t="inlineStr">
        <is>
          <t>ROCKCODE</t>
        </is>
      </c>
      <c r="G860" t="inlineStr">
        <is>
          <t>MC</t>
        </is>
      </c>
      <c r="H860" t="inlineStr">
        <is>
          <t>sin asignar</t>
        </is>
      </c>
      <c r="I860" t="inlineStr">
        <is>
          <t>MC</t>
        </is>
      </c>
      <c r="J860" t="inlineStr">
        <is>
          <t>ROCKCODE agrupado en ROCKCODE_NUMEQ=16; sigla sin leyenda</t>
        </is>
      </c>
      <c r="K860" t="inlineStr">
        <is>
          <t>Mármol (hipótesis: siglas M*)</t>
        </is>
      </c>
      <c r="L860" t="inlineStr">
        <is>
          <t>Metamorfico</t>
        </is>
      </c>
      <c r="M860" t="n">
        <v>1705</v>
      </c>
      <c r="N860" t="inlineStr"/>
      <c r="O860" t="inlineStr"/>
      <c r="P860" t="n">
        <v>1849.4</v>
      </c>
      <c r="Q860" t="n">
        <v>6.007</v>
      </c>
    </row>
    <row r="861">
      <c r="A861" t="inlineStr">
        <is>
          <t>MR24</t>
        </is>
      </c>
      <c r="B861" t="inlineStr">
        <is>
          <t>Merged_Table_Assay_lito</t>
        </is>
      </c>
      <c r="C861" t="inlineStr">
        <is>
          <t>metros de sondaje; pct sobre metros</t>
        </is>
      </c>
      <c r="D861" t="inlineStr">
        <is>
          <t>periodo_GM_LE2WASTE_Output</t>
        </is>
      </c>
      <c r="E861" t="inlineStr">
        <is>
          <t>2030</t>
        </is>
      </c>
      <c r="F861" t="inlineStr">
        <is>
          <t>ROCKCODE</t>
        </is>
      </c>
      <c r="G861" t="inlineStr">
        <is>
          <t>MCB</t>
        </is>
      </c>
      <c r="H861" t="inlineStr">
        <is>
          <t>sin asignar</t>
        </is>
      </c>
      <c r="I861" t="inlineStr">
        <is>
          <t>MCB</t>
        </is>
      </c>
      <c r="J861" t="inlineStr">
        <is>
          <t>ROCKCODE agrupado en ROCKCODE_NUMEQ=16; sigla sin leyenda</t>
        </is>
      </c>
      <c r="K861" t="inlineStr">
        <is>
          <t>Mármol (hipótesis: siglas M*)</t>
        </is>
      </c>
      <c r="L861" t="inlineStr">
        <is>
          <t>Metamorfico</t>
        </is>
      </c>
      <c r="M861" t="n">
        <v>334</v>
      </c>
      <c r="N861" t="inlineStr"/>
      <c r="O861" t="inlineStr"/>
      <c r="P861" t="n">
        <v>497.4</v>
      </c>
      <c r="Q861" t="n">
        <v>1.616</v>
      </c>
    </row>
    <row r="862">
      <c r="A862" t="inlineStr">
        <is>
          <t>MR24</t>
        </is>
      </c>
      <c r="B862" t="inlineStr">
        <is>
          <t>Merged_Table_Assay_lito</t>
        </is>
      </c>
      <c r="C862" t="inlineStr">
        <is>
          <t>metros de sondaje; pct sobre metros</t>
        </is>
      </c>
      <c r="D862" t="inlineStr">
        <is>
          <t>periodo_GM_LE2WASTE_Output</t>
        </is>
      </c>
      <c r="E862" t="inlineStr">
        <is>
          <t>2030</t>
        </is>
      </c>
      <c r="F862" t="inlineStr">
        <is>
          <t>ROCKCODE</t>
        </is>
      </c>
      <c r="G862" t="inlineStr">
        <is>
          <t>MCGB</t>
        </is>
      </c>
      <c r="H862" t="inlineStr">
        <is>
          <t>sin asignar</t>
        </is>
      </c>
      <c r="I862" t="inlineStr">
        <is>
          <t>MCGB</t>
        </is>
      </c>
      <c r="J862" t="inlineStr">
        <is>
          <t>ROCKCODE agrupado en ROCKCODE_NUMEQ=16; sigla sin leyenda</t>
        </is>
      </c>
      <c r="K862" t="inlineStr">
        <is>
          <t>Mármol (hipótesis: siglas M*)</t>
        </is>
      </c>
      <c r="L862" t="inlineStr">
        <is>
          <t>Metamorfico</t>
        </is>
      </c>
      <c r="M862" t="n">
        <v>1317</v>
      </c>
      <c r="N862" t="inlineStr"/>
      <c r="O862" t="inlineStr"/>
      <c r="P862" t="n">
        <v>1304.9</v>
      </c>
      <c r="Q862" t="n">
        <v>4.239</v>
      </c>
    </row>
    <row r="863">
      <c r="A863" t="inlineStr">
        <is>
          <t>MR24</t>
        </is>
      </c>
      <c r="B863" t="inlineStr">
        <is>
          <t>Merged_Table_Assay_lito</t>
        </is>
      </c>
      <c r="C863" t="inlineStr">
        <is>
          <t>metros de sondaje; pct sobre metros</t>
        </is>
      </c>
      <c r="D863" t="inlineStr">
        <is>
          <t>periodo_GM_LE2WASTE_Output</t>
        </is>
      </c>
      <c r="E863" t="inlineStr">
        <is>
          <t>2030</t>
        </is>
      </c>
      <c r="F863" t="inlineStr">
        <is>
          <t>ROCKCODE</t>
        </is>
      </c>
      <c r="G863" t="inlineStr">
        <is>
          <t>MDP</t>
        </is>
      </c>
      <c r="H863" t="inlineStr">
        <is>
          <t>sin asignar</t>
        </is>
      </c>
      <c r="I863" t="inlineStr">
        <is>
          <t>MDP</t>
        </is>
      </c>
      <c r="J863" t="inlineStr">
        <is>
          <t>ROCKCODE agrupado en ROCKCODE_NUMEQ=19; sigla sin leyenda</t>
        </is>
      </c>
      <c r="K863" t="inlineStr">
        <is>
          <t>Mármol (hipótesis: sigla MDP)</t>
        </is>
      </c>
      <c r="L863" t="inlineStr">
        <is>
          <t>Metamorfico</t>
        </is>
      </c>
      <c r="M863" t="n">
        <v>2655</v>
      </c>
      <c r="N863" t="inlineStr"/>
      <c r="O863" t="inlineStr"/>
      <c r="P863" t="n">
        <v>2404.25</v>
      </c>
      <c r="Q863" t="n">
        <v>7.81</v>
      </c>
    </row>
    <row r="864">
      <c r="A864" t="inlineStr">
        <is>
          <t>MR24</t>
        </is>
      </c>
      <c r="B864" t="inlineStr">
        <is>
          <t>Merged_Table_Assay_lito</t>
        </is>
      </c>
      <c r="C864" t="inlineStr">
        <is>
          <t>metros de sondaje; pct sobre metros</t>
        </is>
      </c>
      <c r="D864" t="inlineStr">
        <is>
          <t>periodo_GM_LE2WASTE_Output</t>
        </is>
      </c>
      <c r="E864" t="inlineStr">
        <is>
          <t>2030</t>
        </is>
      </c>
      <c r="F864" t="inlineStr">
        <is>
          <t>ROCKCODE</t>
        </is>
      </c>
      <c r="G864" t="inlineStr">
        <is>
          <t>MG</t>
        </is>
      </c>
      <c r="H864" t="inlineStr">
        <is>
          <t>sin asignar</t>
        </is>
      </c>
      <c r="I864" t="inlineStr">
        <is>
          <t>MG</t>
        </is>
      </c>
      <c r="J864" t="inlineStr">
        <is>
          <t>ROCKCODE agrupado en ROCKCODE_NUMEQ=16; sigla sin leyenda</t>
        </is>
      </c>
      <c r="K864" t="inlineStr">
        <is>
          <t>Mármol (hipótesis: siglas M*)</t>
        </is>
      </c>
      <c r="L864" t="inlineStr">
        <is>
          <t>Metamorfico</t>
        </is>
      </c>
      <c r="M864" t="n">
        <v>981</v>
      </c>
      <c r="N864" t="inlineStr"/>
      <c r="O864" t="inlineStr"/>
      <c r="P864" t="n">
        <v>913.05</v>
      </c>
      <c r="Q864" t="n">
        <v>2.966</v>
      </c>
    </row>
    <row r="865">
      <c r="A865" t="inlineStr">
        <is>
          <t>MR24</t>
        </is>
      </c>
      <c r="B865" t="inlineStr">
        <is>
          <t>Merged_Table_Assay_lito</t>
        </is>
      </c>
      <c r="C865" t="inlineStr">
        <is>
          <t>metros de sondaje; pct sobre metros</t>
        </is>
      </c>
      <c r="D865" t="inlineStr">
        <is>
          <t>periodo_GM_LE2WASTE_Output</t>
        </is>
      </c>
      <c r="E865" t="inlineStr">
        <is>
          <t>2030</t>
        </is>
      </c>
      <c r="F865" t="inlineStr">
        <is>
          <t>ROCKCODE</t>
        </is>
      </c>
      <c r="G865" t="inlineStr">
        <is>
          <t>MGS</t>
        </is>
      </c>
      <c r="H865" t="inlineStr">
        <is>
          <t>sin asignar</t>
        </is>
      </c>
      <c r="I865" t="inlineStr">
        <is>
          <t>MGS</t>
        </is>
      </c>
      <c r="J865" t="inlineStr">
        <is>
          <t>ROCKCODE agrupado en ROCKCODE_NUMEQ=16; sigla sin leyenda</t>
        </is>
      </c>
      <c r="K865" t="inlineStr">
        <is>
          <t>Mármol (hipótesis: siglas M*)</t>
        </is>
      </c>
      <c r="L865" t="inlineStr">
        <is>
          <t>Metamorfico</t>
        </is>
      </c>
      <c r="M865" t="n">
        <v>968</v>
      </c>
      <c r="N865" t="inlineStr"/>
      <c r="O865" t="inlineStr"/>
      <c r="P865" t="n">
        <v>858.95</v>
      </c>
      <c r="Q865" t="n">
        <v>2.79</v>
      </c>
    </row>
    <row r="866">
      <c r="A866" t="inlineStr">
        <is>
          <t>MR24</t>
        </is>
      </c>
      <c r="B866" t="inlineStr">
        <is>
          <t>Merged_Table_Assay_lito</t>
        </is>
      </c>
      <c r="C866" t="inlineStr">
        <is>
          <t>metros de sondaje; pct sobre metros</t>
        </is>
      </c>
      <c r="D866" t="inlineStr">
        <is>
          <t>periodo_GM_LE2WASTE_Output</t>
        </is>
      </c>
      <c r="E866" t="inlineStr">
        <is>
          <t>2030</t>
        </is>
      </c>
      <c r="F866" t="inlineStr">
        <is>
          <t>ROCKCODE</t>
        </is>
      </c>
      <c r="G866" t="inlineStr">
        <is>
          <t>MPA</t>
        </is>
      </c>
      <c r="H866" t="inlineStr">
        <is>
          <t>sin asignar</t>
        </is>
      </c>
      <c r="I866" t="inlineStr">
        <is>
          <t>MPA</t>
        </is>
      </c>
      <c r="J866" t="inlineStr">
        <is>
          <t>ROCKCODE agrupado en ROCKCODE_NUMEQ=16; sigla sin leyenda</t>
        </is>
      </c>
      <c r="K866" t="inlineStr">
        <is>
          <t>Mármol (hipótesis: siglas M*)</t>
        </is>
      </c>
      <c r="L866" t="inlineStr">
        <is>
          <t>Metamorfico</t>
        </is>
      </c>
      <c r="M866" t="n">
        <v>1540</v>
      </c>
      <c r="N866" t="inlineStr"/>
      <c r="O866" t="inlineStr"/>
      <c r="P866" t="n">
        <v>1424.85</v>
      </c>
      <c r="Q866" t="n">
        <v>4.628</v>
      </c>
    </row>
    <row r="867">
      <c r="A867" t="inlineStr">
        <is>
          <t>MR24</t>
        </is>
      </c>
      <c r="B867" t="inlineStr">
        <is>
          <t>Merged_Table_Assay_lito</t>
        </is>
      </c>
      <c r="C867" t="inlineStr">
        <is>
          <t>metros de sondaje; pct sobre metros</t>
        </is>
      </c>
      <c r="D867" t="inlineStr">
        <is>
          <t>periodo_GM_LE2WASTE_Output</t>
        </is>
      </c>
      <c r="E867" t="inlineStr">
        <is>
          <t>2031</t>
        </is>
      </c>
      <c r="F867" t="inlineStr">
        <is>
          <t>ROCKCODE</t>
        </is>
      </c>
      <c r="G867" t="inlineStr">
        <is>
          <t>C</t>
        </is>
      </c>
      <c r="H867" t="inlineStr">
        <is>
          <t>sin asignar</t>
        </is>
      </c>
      <c r="I867" t="inlineStr">
        <is>
          <t>C</t>
        </is>
      </c>
      <c r="J867" t="inlineStr">
        <is>
          <t>ROCKCODE agrupado en ROCKCODE_NUMEQ=10; sigla sin leyenda</t>
        </is>
      </c>
      <c r="K867" t="inlineStr">
        <is>
          <t>Caliza (hipótesis: siglas C*)</t>
        </is>
      </c>
      <c r="L867" t="inlineStr">
        <is>
          <t>Sedimentario</t>
        </is>
      </c>
      <c r="M867" t="n">
        <v>10</v>
      </c>
      <c r="N867" t="inlineStr"/>
      <c r="O867" t="inlineStr"/>
      <c r="P867" t="n">
        <v>30</v>
      </c>
      <c r="Q867" t="n">
        <v>0.135</v>
      </c>
    </row>
    <row r="868">
      <c r="A868" t="inlineStr">
        <is>
          <t>MR24</t>
        </is>
      </c>
      <c r="B868" t="inlineStr">
        <is>
          <t>Merged_Table_Assay_lito</t>
        </is>
      </c>
      <c r="C868" t="inlineStr">
        <is>
          <t>metros de sondaje; pct sobre metros</t>
        </is>
      </c>
      <c r="D868" t="inlineStr">
        <is>
          <t>periodo_GM_LE2WASTE_Output</t>
        </is>
      </c>
      <c r="E868" t="inlineStr">
        <is>
          <t>2031</t>
        </is>
      </c>
      <c r="F868" t="inlineStr">
        <is>
          <t>ROCKCODE</t>
        </is>
      </c>
      <c r="G868" t="inlineStr">
        <is>
          <t>CG</t>
        </is>
      </c>
      <c r="H868" t="inlineStr">
        <is>
          <t>sin asignar</t>
        </is>
      </c>
      <c r="I868" t="inlineStr">
        <is>
          <t>CG</t>
        </is>
      </c>
      <c r="J868" t="inlineStr">
        <is>
          <t>ROCKCODE agrupado en ROCKCODE_NUMEQ=10; sigla sin leyenda</t>
        </is>
      </c>
      <c r="K868" t="inlineStr">
        <is>
          <t>Caliza (hipótesis: siglas C*)</t>
        </is>
      </c>
      <c r="L868" t="inlineStr">
        <is>
          <t>Sedimentario</t>
        </is>
      </c>
      <c r="M868" t="n">
        <v>260</v>
      </c>
      <c r="N868" t="inlineStr"/>
      <c r="O868" t="inlineStr"/>
      <c r="P868" t="n">
        <v>245.05</v>
      </c>
      <c r="Q868" t="n">
        <v>1.099</v>
      </c>
    </row>
    <row r="869">
      <c r="A869" t="inlineStr">
        <is>
          <t>MR24</t>
        </is>
      </c>
      <c r="B869" t="inlineStr">
        <is>
          <t>Merged_Table_Assay_lito</t>
        </is>
      </c>
      <c r="C869" t="inlineStr">
        <is>
          <t>metros de sondaje; pct sobre metros</t>
        </is>
      </c>
      <c r="D869" t="inlineStr">
        <is>
          <t>periodo_GM_LE2WASTE_Output</t>
        </is>
      </c>
      <c r="E869" t="inlineStr">
        <is>
          <t>2031</t>
        </is>
      </c>
      <c r="F869" t="inlineStr">
        <is>
          <t>ROCKCODE</t>
        </is>
      </c>
      <c r="G869" t="inlineStr">
        <is>
          <t>CGS</t>
        </is>
      </c>
      <c r="H869" t="inlineStr">
        <is>
          <t>sin asignar</t>
        </is>
      </c>
      <c r="I869" t="inlineStr">
        <is>
          <t>CGS</t>
        </is>
      </c>
      <c r="J869" t="inlineStr">
        <is>
          <t>ROCKCODE agrupado en ROCKCODE_NUMEQ=10; sigla sin leyenda</t>
        </is>
      </c>
      <c r="K869" t="inlineStr">
        <is>
          <t>Caliza (hipótesis: siglas C*)</t>
        </is>
      </c>
      <c r="L869" t="inlineStr">
        <is>
          <t>Sedimentario</t>
        </is>
      </c>
      <c r="M869" t="n">
        <v>294</v>
      </c>
      <c r="N869" t="inlineStr"/>
      <c r="O869" t="inlineStr"/>
      <c r="P869" t="n">
        <v>241.5</v>
      </c>
      <c r="Q869" t="n">
        <v>1.083</v>
      </c>
    </row>
    <row r="870">
      <c r="A870" t="inlineStr">
        <is>
          <t>MR24</t>
        </is>
      </c>
      <c r="B870" t="inlineStr">
        <is>
          <t>Merged_Table_Assay_lito</t>
        </is>
      </c>
      <c r="C870" t="inlineStr">
        <is>
          <t>metros de sondaje; pct sobre metros</t>
        </is>
      </c>
      <c r="D870" t="inlineStr">
        <is>
          <t>periodo_GM_LE2WASTE_Output</t>
        </is>
      </c>
      <c r="E870" t="inlineStr">
        <is>
          <t>2031</t>
        </is>
      </c>
      <c r="F870" t="inlineStr">
        <is>
          <t>ROCKCODE</t>
        </is>
      </c>
      <c r="G870" t="inlineStr">
        <is>
          <t>CN</t>
        </is>
      </c>
      <c r="H870" t="inlineStr">
        <is>
          <t>sin asignar</t>
        </is>
      </c>
      <c r="I870" t="inlineStr">
        <is>
          <t>CN</t>
        </is>
      </c>
      <c r="J870" t="inlineStr">
        <is>
          <t>ROCKCODE agrupado en ROCKCODE_NUMEQ=10; sigla sin leyenda</t>
        </is>
      </c>
      <c r="K870" t="inlineStr">
        <is>
          <t>Caliza (hipótesis: siglas C*)</t>
        </is>
      </c>
      <c r="L870" t="inlineStr">
        <is>
          <t>Sedimentario</t>
        </is>
      </c>
      <c r="M870" t="n">
        <v>41</v>
      </c>
      <c r="N870" t="inlineStr"/>
      <c r="O870" t="inlineStr"/>
      <c r="P870" t="n">
        <v>46.3</v>
      </c>
      <c r="Q870" t="n">
        <v>0.208</v>
      </c>
    </row>
    <row r="871">
      <c r="A871" t="inlineStr">
        <is>
          <t>MR24</t>
        </is>
      </c>
      <c r="B871" t="inlineStr">
        <is>
          <t>Merged_Table_Assay_lito</t>
        </is>
      </c>
      <c r="C871" t="inlineStr">
        <is>
          <t>metros de sondaje; pct sobre metros</t>
        </is>
      </c>
      <c r="D871" t="inlineStr">
        <is>
          <t>periodo_GM_LE2WASTE_Output</t>
        </is>
      </c>
      <c r="E871" t="inlineStr">
        <is>
          <t>2031</t>
        </is>
      </c>
      <c r="F871" t="inlineStr">
        <is>
          <t>ROCKCODE</t>
        </is>
      </c>
      <c r="G871" t="inlineStr">
        <is>
          <t>HBV</t>
        </is>
      </c>
      <c r="H871" t="inlineStr">
        <is>
          <t>sin asignar</t>
        </is>
      </c>
      <c r="I871" t="inlineStr">
        <is>
          <t>HBV</t>
        </is>
      </c>
      <c r="J871" t="inlineStr">
        <is>
          <t>ROCKCODE agrupado en ROCKCODE_NUMEQ=14; sigla sin leyenda</t>
        </is>
      </c>
      <c r="K871" t="inlineStr">
        <is>
          <t>Hornfels (hipótesis: siglas H*)</t>
        </is>
      </c>
      <c r="L871" t="inlineStr">
        <is>
          <t>Metamorfico</t>
        </is>
      </c>
      <c r="M871" t="n">
        <v>791</v>
      </c>
      <c r="N871" t="inlineStr"/>
      <c r="O871" t="inlineStr"/>
      <c r="P871" t="n">
        <v>609.15</v>
      </c>
      <c r="Q871" t="n">
        <v>2.732</v>
      </c>
    </row>
    <row r="872">
      <c r="A872" t="inlineStr">
        <is>
          <t>MR24</t>
        </is>
      </c>
      <c r="B872" t="inlineStr">
        <is>
          <t>Merged_Table_Assay_lito</t>
        </is>
      </c>
      <c r="C872" t="inlineStr">
        <is>
          <t>metros de sondaje; pct sobre metros</t>
        </is>
      </c>
      <c r="D872" t="inlineStr">
        <is>
          <t>periodo_GM_LE2WASTE_Output</t>
        </is>
      </c>
      <c r="E872" t="inlineStr">
        <is>
          <t>2031</t>
        </is>
      </c>
      <c r="F872" t="inlineStr">
        <is>
          <t>ROCKCODE</t>
        </is>
      </c>
      <c r="G872" t="inlineStr">
        <is>
          <t>HC</t>
        </is>
      </c>
      <c r="H872" t="inlineStr">
        <is>
          <t>sin asignar</t>
        </is>
      </c>
      <c r="I872" t="inlineStr">
        <is>
          <t>HC</t>
        </is>
      </c>
      <c r="J872" t="inlineStr">
        <is>
          <t>ROCKCODE agrupado en ROCKCODE_NUMEQ=13; sigla sin leyenda</t>
        </is>
      </c>
      <c r="K872" t="inlineStr">
        <is>
          <t>Hornfels (hipótesis: siglas H*)</t>
        </is>
      </c>
      <c r="L872" t="inlineStr">
        <is>
          <t>Metamorfico</t>
        </is>
      </c>
      <c r="M872" t="n">
        <v>1056</v>
      </c>
      <c r="N872" t="inlineStr"/>
      <c r="O872" t="inlineStr"/>
      <c r="P872" t="n">
        <v>850.25</v>
      </c>
      <c r="Q872" t="n">
        <v>3.813</v>
      </c>
    </row>
    <row r="873">
      <c r="A873" t="inlineStr">
        <is>
          <t>MR24</t>
        </is>
      </c>
      <c r="B873" t="inlineStr">
        <is>
          <t>Merged_Table_Assay_lito</t>
        </is>
      </c>
      <c r="C873" t="inlineStr">
        <is>
          <t>metros de sondaje; pct sobre metros</t>
        </is>
      </c>
      <c r="D873" t="inlineStr">
        <is>
          <t>periodo_GM_LE2WASTE_Output</t>
        </is>
      </c>
      <c r="E873" t="inlineStr">
        <is>
          <t>2031</t>
        </is>
      </c>
      <c r="F873" t="inlineStr">
        <is>
          <t>ROCKCODE</t>
        </is>
      </c>
      <c r="G873" t="inlineStr">
        <is>
          <t>HCB</t>
        </is>
      </c>
      <c r="H873" t="inlineStr">
        <is>
          <t>sin asignar</t>
        </is>
      </c>
      <c r="I873" t="inlineStr">
        <is>
          <t>HCB</t>
        </is>
      </c>
      <c r="J873" t="inlineStr">
        <is>
          <t>ROCKCODE agrupado en ROCKCODE_NUMEQ=14; sigla sin leyenda</t>
        </is>
      </c>
      <c r="K873" t="inlineStr">
        <is>
          <t>Hornfels (hipótesis: siglas H*)</t>
        </is>
      </c>
      <c r="L873" t="inlineStr">
        <is>
          <t>Metamorfico</t>
        </is>
      </c>
      <c r="M873" t="n">
        <v>326</v>
      </c>
      <c r="N873" t="inlineStr"/>
      <c r="O873" t="inlineStr"/>
      <c r="P873" t="n">
        <v>258.4</v>
      </c>
      <c r="Q873" t="n">
        <v>1.159</v>
      </c>
    </row>
    <row r="874">
      <c r="A874" t="inlineStr">
        <is>
          <t>MR24</t>
        </is>
      </c>
      <c r="B874" t="inlineStr">
        <is>
          <t>Merged_Table_Assay_lito</t>
        </is>
      </c>
      <c r="C874" t="inlineStr">
        <is>
          <t>metros de sondaje; pct sobre metros</t>
        </is>
      </c>
      <c r="D874" t="inlineStr">
        <is>
          <t>periodo_GM_LE2WASTE_Output</t>
        </is>
      </c>
      <c r="E874" t="inlineStr">
        <is>
          <t>2031</t>
        </is>
      </c>
      <c r="F874" t="inlineStr">
        <is>
          <t>ROCKCODE</t>
        </is>
      </c>
      <c r="G874" t="inlineStr">
        <is>
          <t>HDP</t>
        </is>
      </c>
      <c r="H874" t="inlineStr">
        <is>
          <t>sin asignar</t>
        </is>
      </c>
      <c r="I874" t="inlineStr">
        <is>
          <t>HDP</t>
        </is>
      </c>
      <c r="J874" t="inlineStr">
        <is>
          <t>ROCKCODE agrupado en ROCKCODE_NUMEQ=14; sigla sin leyenda</t>
        </is>
      </c>
      <c r="K874" t="inlineStr">
        <is>
          <t>Hornfels (hipótesis: siglas H*)</t>
        </is>
      </c>
      <c r="L874" t="inlineStr">
        <is>
          <t>Metamorfico</t>
        </is>
      </c>
      <c r="M874" t="n">
        <v>239</v>
      </c>
      <c r="N874" t="inlineStr"/>
      <c r="O874" t="inlineStr"/>
      <c r="P874" t="n">
        <v>180.7</v>
      </c>
      <c r="Q874" t="n">
        <v>0.8100000000000001</v>
      </c>
    </row>
    <row r="875">
      <c r="A875" t="inlineStr">
        <is>
          <t>MR24</t>
        </is>
      </c>
      <c r="B875" t="inlineStr">
        <is>
          <t>Merged_Table_Assay_lito</t>
        </is>
      </c>
      <c r="C875" t="inlineStr">
        <is>
          <t>metros de sondaje; pct sobre metros</t>
        </is>
      </c>
      <c r="D875" t="inlineStr">
        <is>
          <t>periodo_GM_LE2WASTE_Output</t>
        </is>
      </c>
      <c r="E875" t="inlineStr">
        <is>
          <t>2031</t>
        </is>
      </c>
      <c r="F875" t="inlineStr">
        <is>
          <t>ROCKCODE</t>
        </is>
      </c>
      <c r="G875" t="inlineStr">
        <is>
          <t>HG</t>
        </is>
      </c>
      <c r="H875" t="inlineStr">
        <is>
          <t>sin asignar</t>
        </is>
      </c>
      <c r="I875" t="inlineStr">
        <is>
          <t>HG</t>
        </is>
      </c>
      <c r="J875" t="inlineStr">
        <is>
          <t>ROCKCODE agrupado en ROCKCODE_NUMEQ=13; sigla sin leyenda</t>
        </is>
      </c>
      <c r="K875" t="inlineStr">
        <is>
          <t>Hornfels (hipótesis: siglas H*)</t>
        </is>
      </c>
      <c r="L875" t="inlineStr">
        <is>
          <t>Metamorfico</t>
        </is>
      </c>
      <c r="M875" t="n">
        <v>3253</v>
      </c>
      <c r="N875" t="inlineStr"/>
      <c r="O875" t="inlineStr"/>
      <c r="P875" t="n">
        <v>2759.4</v>
      </c>
      <c r="Q875" t="n">
        <v>12.374</v>
      </c>
    </row>
    <row r="876">
      <c r="A876" t="inlineStr">
        <is>
          <t>MR24</t>
        </is>
      </c>
      <c r="B876" t="inlineStr">
        <is>
          <t>Merged_Table_Assay_lito</t>
        </is>
      </c>
      <c r="C876" t="inlineStr">
        <is>
          <t>metros de sondaje; pct sobre metros</t>
        </is>
      </c>
      <c r="D876" t="inlineStr">
        <is>
          <t>periodo_GM_LE2WASTE_Output</t>
        </is>
      </c>
      <c r="E876" t="inlineStr">
        <is>
          <t>2031</t>
        </is>
      </c>
      <c r="F876" t="inlineStr">
        <is>
          <t>ROCKCODE</t>
        </is>
      </c>
      <c r="G876" t="inlineStr">
        <is>
          <t>HGS</t>
        </is>
      </c>
      <c r="H876" t="inlineStr">
        <is>
          <t>sin asignar</t>
        </is>
      </c>
      <c r="I876" t="inlineStr">
        <is>
          <t>HGS</t>
        </is>
      </c>
      <c r="J876" t="inlineStr">
        <is>
          <t>ROCKCODE agrupado en ROCKCODE_NUMEQ=13; sigla sin leyenda</t>
        </is>
      </c>
      <c r="K876" t="inlineStr">
        <is>
          <t>Hornfels (hipótesis: siglas H*)</t>
        </is>
      </c>
      <c r="L876" t="inlineStr">
        <is>
          <t>Metamorfico</t>
        </is>
      </c>
      <c r="M876" t="n">
        <v>624</v>
      </c>
      <c r="N876" t="inlineStr"/>
      <c r="O876" t="inlineStr"/>
      <c r="P876" t="n">
        <v>554.45</v>
      </c>
      <c r="Q876" t="n">
        <v>2.486</v>
      </c>
    </row>
    <row r="877">
      <c r="A877" t="inlineStr">
        <is>
          <t>MR24</t>
        </is>
      </c>
      <c r="B877" t="inlineStr">
        <is>
          <t>Merged_Table_Assay_lito</t>
        </is>
      </c>
      <c r="C877" t="inlineStr">
        <is>
          <t>metros de sondaje; pct sobre metros</t>
        </is>
      </c>
      <c r="D877" t="inlineStr">
        <is>
          <t>periodo_GM_LE2WASTE_Output</t>
        </is>
      </c>
      <c r="E877" t="inlineStr">
        <is>
          <t>2031</t>
        </is>
      </c>
      <c r="F877" t="inlineStr">
        <is>
          <t>ROCKCODE</t>
        </is>
      </c>
      <c r="G877" t="inlineStr">
        <is>
          <t>HGV</t>
        </is>
      </c>
      <c r="H877" t="inlineStr">
        <is>
          <t>sin asignar</t>
        </is>
      </c>
      <c r="I877" t="inlineStr">
        <is>
          <t>HGV</t>
        </is>
      </c>
      <c r="J877" t="inlineStr">
        <is>
          <t>ROCKCODE agrupado en ROCKCODE_NUMEQ=14; sigla sin leyenda</t>
        </is>
      </c>
      <c r="K877" t="inlineStr">
        <is>
          <t>Hornfels (hipótesis: siglas H*)</t>
        </is>
      </c>
      <c r="L877" t="inlineStr">
        <is>
          <t>Metamorfico</t>
        </is>
      </c>
      <c r="M877" t="n">
        <v>351</v>
      </c>
      <c r="N877" t="inlineStr"/>
      <c r="O877" t="inlineStr"/>
      <c r="P877" t="n">
        <v>268.55</v>
      </c>
      <c r="Q877" t="n">
        <v>1.204</v>
      </c>
    </row>
    <row r="878">
      <c r="A878" t="inlineStr">
        <is>
          <t>MR24</t>
        </is>
      </c>
      <c r="B878" t="inlineStr">
        <is>
          <t>Merged_Table_Assay_lito</t>
        </is>
      </c>
      <c r="C878" t="inlineStr">
        <is>
          <t>metros de sondaje; pct sobre metros</t>
        </is>
      </c>
      <c r="D878" t="inlineStr">
        <is>
          <t>periodo_GM_LE2WASTE_Output</t>
        </is>
      </c>
      <c r="E878" t="inlineStr">
        <is>
          <t>2031</t>
        </is>
      </c>
      <c r="F878" t="inlineStr">
        <is>
          <t>ROCKCODE</t>
        </is>
      </c>
      <c r="G878" t="inlineStr">
        <is>
          <t>HMGV</t>
        </is>
      </c>
      <c r="H878" t="inlineStr">
        <is>
          <t>sin asignar</t>
        </is>
      </c>
      <c r="I878" t="inlineStr">
        <is>
          <t>HMGV</t>
        </is>
      </c>
      <c r="J878" t="inlineStr">
        <is>
          <t>ROCKCODE agrupado en ROCKCODE_NUMEQ=14; sigla sin leyenda</t>
        </is>
      </c>
      <c r="K878" t="inlineStr">
        <is>
          <t>Hornfels (hipótesis: siglas H*)</t>
        </is>
      </c>
      <c r="L878" t="inlineStr">
        <is>
          <t>Metamorfico</t>
        </is>
      </c>
      <c r="M878" t="n">
        <v>109</v>
      </c>
      <c r="N878" t="inlineStr"/>
      <c r="O878" t="inlineStr"/>
      <c r="P878" t="n">
        <v>74.55</v>
      </c>
      <c r="Q878" t="n">
        <v>0.334</v>
      </c>
    </row>
    <row r="879">
      <c r="A879" t="inlineStr">
        <is>
          <t>MR24</t>
        </is>
      </c>
      <c r="B879" t="inlineStr">
        <is>
          <t>Merged_Table_Assay_lito</t>
        </is>
      </c>
      <c r="C879" t="inlineStr">
        <is>
          <t>metros de sondaje; pct sobre metros</t>
        </is>
      </c>
      <c r="D879" t="inlineStr">
        <is>
          <t>periodo_GM_LE2WASTE_Output</t>
        </is>
      </c>
      <c r="E879" t="inlineStr">
        <is>
          <t>2031</t>
        </is>
      </c>
      <c r="F879" t="inlineStr">
        <is>
          <t>ROCKCODE</t>
        </is>
      </c>
      <c r="G879" t="inlineStr">
        <is>
          <t>HV</t>
        </is>
      </c>
      <c r="H879" t="inlineStr">
        <is>
          <t>sin asignar</t>
        </is>
      </c>
      <c r="I879" t="inlineStr">
        <is>
          <t>HV</t>
        </is>
      </c>
      <c r="J879" t="inlineStr">
        <is>
          <t>ROCKCODE agrupado en ROCKCODE_NUMEQ=14; sigla sin leyenda</t>
        </is>
      </c>
      <c r="K879" t="inlineStr">
        <is>
          <t>Hornfels (hipótesis: siglas H*)</t>
        </is>
      </c>
      <c r="L879" t="inlineStr">
        <is>
          <t>Metamorfico</t>
        </is>
      </c>
      <c r="M879" t="n">
        <v>11</v>
      </c>
      <c r="N879" t="inlineStr"/>
      <c r="O879" t="inlineStr"/>
      <c r="P879" t="n">
        <v>15.6</v>
      </c>
      <c r="Q879" t="n">
        <v>0.07000000000000001</v>
      </c>
    </row>
    <row r="880">
      <c r="A880" t="inlineStr">
        <is>
          <t>MR24</t>
        </is>
      </c>
      <c r="B880" t="inlineStr">
        <is>
          <t>Merged_Table_Assay_lito</t>
        </is>
      </c>
      <c r="C880" t="inlineStr">
        <is>
          <t>metros de sondaje; pct sobre metros</t>
        </is>
      </c>
      <c r="D880" t="inlineStr">
        <is>
          <t>periodo_GM_LE2WASTE_Output</t>
        </is>
      </c>
      <c r="E880" t="inlineStr">
        <is>
          <t>2031</t>
        </is>
      </c>
      <c r="F880" t="inlineStr">
        <is>
          <t>ROCKCODE</t>
        </is>
      </c>
      <c r="G880" t="inlineStr">
        <is>
          <t>IPHPE</t>
        </is>
      </c>
      <c r="H880" t="inlineStr">
        <is>
          <t>Intrusivo</t>
        </is>
      </c>
      <c r="I880" t="inlineStr">
        <is>
          <t>IPHPE</t>
        </is>
      </c>
      <c r="J880" t="inlineStr">
        <is>
          <t>ROCKCODE agrupado en ROCKCODE_NUMEQ=1 (Intrusivo_1)</t>
        </is>
      </c>
      <c r="K880" t="inlineStr">
        <is>
          <t>Intrusivo</t>
        </is>
      </c>
      <c r="L880" t="inlineStr">
        <is>
          <t>Intrusivo</t>
        </is>
      </c>
      <c r="M880" t="n">
        <v>34</v>
      </c>
      <c r="N880" t="inlineStr"/>
      <c r="O880" t="inlineStr"/>
      <c r="P880" t="n">
        <v>22.7</v>
      </c>
      <c r="Q880" t="n">
        <v>0.102</v>
      </c>
    </row>
    <row r="881">
      <c r="A881" t="inlineStr">
        <is>
          <t>MR24</t>
        </is>
      </c>
      <c r="B881" t="inlineStr">
        <is>
          <t>Merged_Table_Assay_lito</t>
        </is>
      </c>
      <c r="C881" t="inlineStr">
        <is>
          <t>metros de sondaje; pct sobre metros</t>
        </is>
      </c>
      <c r="D881" t="inlineStr">
        <is>
          <t>periodo_GM_LE2WASTE_Output</t>
        </is>
      </c>
      <c r="E881" t="inlineStr">
        <is>
          <t>2031</t>
        </is>
      </c>
      <c r="F881" t="inlineStr">
        <is>
          <t>ROCKCODE</t>
        </is>
      </c>
      <c r="G881" t="inlineStr">
        <is>
          <t>IPPA</t>
        </is>
      </c>
      <c r="H881" t="inlineStr">
        <is>
          <t>Intrusivo</t>
        </is>
      </c>
      <c r="I881" t="inlineStr">
        <is>
          <t>IPPA</t>
        </is>
      </c>
      <c r="J881" t="inlineStr">
        <is>
          <t>ROCKCODE agrupado en ROCKCODE_NUMEQ=1 (Intrusivo_1)</t>
        </is>
      </c>
      <c r="K881" t="inlineStr">
        <is>
          <t>Intrusivo</t>
        </is>
      </c>
      <c r="L881" t="inlineStr">
        <is>
          <t>Intrusivo</t>
        </is>
      </c>
      <c r="M881" t="n">
        <v>1836</v>
      </c>
      <c r="N881" t="inlineStr"/>
      <c r="O881" t="inlineStr"/>
      <c r="P881" t="n">
        <v>2178.61</v>
      </c>
      <c r="Q881" t="n">
        <v>9.77</v>
      </c>
    </row>
    <row r="882">
      <c r="A882" t="inlineStr">
        <is>
          <t>MR24</t>
        </is>
      </c>
      <c r="B882" t="inlineStr">
        <is>
          <t>Merged_Table_Assay_lito</t>
        </is>
      </c>
      <c r="C882" t="inlineStr">
        <is>
          <t>metros de sondaje; pct sobre metros</t>
        </is>
      </c>
      <c r="D882" t="inlineStr">
        <is>
          <t>periodo_GM_LE2WASTE_Output</t>
        </is>
      </c>
      <c r="E882" t="inlineStr">
        <is>
          <t>2031</t>
        </is>
      </c>
      <c r="F882" t="inlineStr">
        <is>
          <t>ROCKCODE</t>
        </is>
      </c>
      <c r="G882" t="inlineStr">
        <is>
          <t>IPPAMO</t>
        </is>
      </c>
      <c r="H882" t="inlineStr">
        <is>
          <t>Intrusivo</t>
        </is>
      </c>
      <c r="I882" t="inlineStr">
        <is>
          <t>IPPAMO</t>
        </is>
      </c>
      <c r="J882" t="inlineStr">
        <is>
          <t>ROCKCODE agrupado en ROCKCODE_NUMEQ=1 (Intrusivo_1)</t>
        </is>
      </c>
      <c r="K882" t="inlineStr">
        <is>
          <t>Intrusivo</t>
        </is>
      </c>
      <c r="L882" t="inlineStr">
        <is>
          <t>Intrusivo</t>
        </is>
      </c>
      <c r="M882" t="n">
        <v>1117</v>
      </c>
      <c r="N882" t="inlineStr"/>
      <c r="O882" t="inlineStr"/>
      <c r="P882" t="n">
        <v>1091.5</v>
      </c>
      <c r="Q882" t="n">
        <v>4.895</v>
      </c>
    </row>
    <row r="883">
      <c r="A883" t="inlineStr">
        <is>
          <t>MR24</t>
        </is>
      </c>
      <c r="B883" t="inlineStr">
        <is>
          <t>Merged_Table_Assay_lito</t>
        </is>
      </c>
      <c r="C883" t="inlineStr">
        <is>
          <t>metros de sondaje; pct sobre metros</t>
        </is>
      </c>
      <c r="D883" t="inlineStr">
        <is>
          <t>periodo_GM_LE2WASTE_Output</t>
        </is>
      </c>
      <c r="E883" t="inlineStr">
        <is>
          <t>2031</t>
        </is>
      </c>
      <c r="F883" t="inlineStr">
        <is>
          <t>ROCKCODE</t>
        </is>
      </c>
      <c r="G883" t="inlineStr">
        <is>
          <t>IPPAO</t>
        </is>
      </c>
      <c r="H883" t="inlineStr">
        <is>
          <t>Intrusivo</t>
        </is>
      </c>
      <c r="I883" t="inlineStr">
        <is>
          <t>IPPAO</t>
        </is>
      </c>
      <c r="J883" t="inlineStr">
        <is>
          <t>ROCKCODE agrupado en ROCKCODE_NUMEQ=1 (Intrusivo_1)</t>
        </is>
      </c>
      <c r="K883" t="inlineStr">
        <is>
          <t>Intrusivo</t>
        </is>
      </c>
      <c r="L883" t="inlineStr">
        <is>
          <t>Intrusivo</t>
        </is>
      </c>
      <c r="M883" t="n">
        <v>1533</v>
      </c>
      <c r="N883" t="inlineStr"/>
      <c r="O883" t="inlineStr"/>
      <c r="P883" t="n">
        <v>2118.15</v>
      </c>
      <c r="Q883" t="n">
        <v>9.499000000000001</v>
      </c>
    </row>
    <row r="884">
      <c r="A884" t="inlineStr">
        <is>
          <t>MR24</t>
        </is>
      </c>
      <c r="B884" t="inlineStr">
        <is>
          <t>Merged_Table_Assay_lito</t>
        </is>
      </c>
      <c r="C884" t="inlineStr">
        <is>
          <t>metros de sondaje; pct sobre metros</t>
        </is>
      </c>
      <c r="D884" t="inlineStr">
        <is>
          <t>periodo_GM_LE2WASTE_Output</t>
        </is>
      </c>
      <c r="E884" t="inlineStr">
        <is>
          <t>2031</t>
        </is>
      </c>
      <c r="F884" t="inlineStr">
        <is>
          <t>ROCKCODE</t>
        </is>
      </c>
      <c r="G884" t="inlineStr">
        <is>
          <t>IPPEO</t>
        </is>
      </c>
      <c r="H884" t="inlineStr">
        <is>
          <t>Intrusivo</t>
        </is>
      </c>
      <c r="I884" t="inlineStr">
        <is>
          <t>IPPEO</t>
        </is>
      </c>
      <c r="J884" t="inlineStr">
        <is>
          <t>ROCKCODE agrupado en ROCKCODE_NUMEQ=1 (Intrusivo_1)</t>
        </is>
      </c>
      <c r="K884" t="inlineStr">
        <is>
          <t>Intrusivo</t>
        </is>
      </c>
      <c r="L884" t="inlineStr">
        <is>
          <t>Intrusivo</t>
        </is>
      </c>
      <c r="M884" t="n">
        <v>126</v>
      </c>
      <c r="N884" t="inlineStr"/>
      <c r="O884" t="inlineStr"/>
      <c r="P884" t="n">
        <v>115.85</v>
      </c>
      <c r="Q884" t="n">
        <v>0.52</v>
      </c>
    </row>
    <row r="885">
      <c r="A885" t="inlineStr">
        <is>
          <t>MR24</t>
        </is>
      </c>
      <c r="B885" t="inlineStr">
        <is>
          <t>Merged_Table_Assay_lito</t>
        </is>
      </c>
      <c r="C885" t="inlineStr">
        <is>
          <t>metros de sondaje; pct sobre metros</t>
        </is>
      </c>
      <c r="D885" t="inlineStr">
        <is>
          <t>periodo_GM_LE2WASTE_Output</t>
        </is>
      </c>
      <c r="E885" t="inlineStr">
        <is>
          <t>2031</t>
        </is>
      </c>
      <c r="F885" t="inlineStr">
        <is>
          <t>ROCKCODE</t>
        </is>
      </c>
      <c r="G885" t="inlineStr">
        <is>
          <t>M</t>
        </is>
      </c>
      <c r="H885" t="inlineStr">
        <is>
          <t>sin asignar</t>
        </is>
      </c>
      <c r="I885" t="inlineStr">
        <is>
          <t>M</t>
        </is>
      </c>
      <c r="J885" t="inlineStr">
        <is>
          <t>ROCKCODE agrupado en ROCKCODE_NUMEQ=16; sigla sin leyenda</t>
        </is>
      </c>
      <c r="K885" t="inlineStr">
        <is>
          <t>Mármol (hipótesis: siglas M*)</t>
        </is>
      </c>
      <c r="L885" t="inlineStr">
        <is>
          <t>Metamorfico</t>
        </is>
      </c>
      <c r="M885" t="n">
        <v>41</v>
      </c>
      <c r="N885" t="inlineStr"/>
      <c r="O885" t="inlineStr"/>
      <c r="P885" t="n">
        <v>38.05</v>
      </c>
      <c r="Q885" t="n">
        <v>0.171</v>
      </c>
    </row>
    <row r="886">
      <c r="A886" t="inlineStr">
        <is>
          <t>MR24</t>
        </is>
      </c>
      <c r="B886" t="inlineStr">
        <is>
          <t>Merged_Table_Assay_lito</t>
        </is>
      </c>
      <c r="C886" t="inlineStr">
        <is>
          <t>metros de sondaje; pct sobre metros</t>
        </is>
      </c>
      <c r="D886" t="inlineStr">
        <is>
          <t>periodo_GM_LE2WASTE_Output</t>
        </is>
      </c>
      <c r="E886" t="inlineStr">
        <is>
          <t>2031</t>
        </is>
      </c>
      <c r="F886" t="inlineStr">
        <is>
          <t>ROCKCODE</t>
        </is>
      </c>
      <c r="G886" t="inlineStr">
        <is>
          <t>MC</t>
        </is>
      </c>
      <c r="H886" t="inlineStr">
        <is>
          <t>sin asignar</t>
        </is>
      </c>
      <c r="I886" t="inlineStr">
        <is>
          <t>MC</t>
        </is>
      </c>
      <c r="J886" t="inlineStr">
        <is>
          <t>ROCKCODE agrupado en ROCKCODE_NUMEQ=16; sigla sin leyenda</t>
        </is>
      </c>
      <c r="K886" t="inlineStr">
        <is>
          <t>Mármol (hipótesis: siglas M*)</t>
        </is>
      </c>
      <c r="L886" t="inlineStr">
        <is>
          <t>Metamorfico</t>
        </is>
      </c>
      <c r="M886" t="n">
        <v>2941</v>
      </c>
      <c r="N886" t="inlineStr"/>
      <c r="O886" t="inlineStr"/>
      <c r="P886" t="n">
        <v>2699.3</v>
      </c>
      <c r="Q886" t="n">
        <v>12.105</v>
      </c>
    </row>
    <row r="887">
      <c r="A887" t="inlineStr">
        <is>
          <t>MR24</t>
        </is>
      </c>
      <c r="B887" t="inlineStr">
        <is>
          <t>Merged_Table_Assay_lito</t>
        </is>
      </c>
      <c r="C887" t="inlineStr">
        <is>
          <t>metros de sondaje; pct sobre metros</t>
        </is>
      </c>
      <c r="D887" t="inlineStr">
        <is>
          <t>periodo_GM_LE2WASTE_Output</t>
        </is>
      </c>
      <c r="E887" t="inlineStr">
        <is>
          <t>2031</t>
        </is>
      </c>
      <c r="F887" t="inlineStr">
        <is>
          <t>ROCKCODE</t>
        </is>
      </c>
      <c r="G887" t="inlineStr">
        <is>
          <t>MCB</t>
        </is>
      </c>
      <c r="H887" t="inlineStr">
        <is>
          <t>sin asignar</t>
        </is>
      </c>
      <c r="I887" t="inlineStr">
        <is>
          <t>MCB</t>
        </is>
      </c>
      <c r="J887" t="inlineStr">
        <is>
          <t>ROCKCODE agrupado en ROCKCODE_NUMEQ=16; sigla sin leyenda</t>
        </is>
      </c>
      <c r="K887" t="inlineStr">
        <is>
          <t>Mármol (hipótesis: siglas M*)</t>
        </is>
      </c>
      <c r="L887" t="inlineStr">
        <is>
          <t>Metamorfico</t>
        </is>
      </c>
      <c r="M887" t="n">
        <v>229</v>
      </c>
      <c r="N887" t="inlineStr"/>
      <c r="O887" t="inlineStr"/>
      <c r="P887" t="n">
        <v>231.3</v>
      </c>
      <c r="Q887" t="n">
        <v>1.037</v>
      </c>
    </row>
    <row r="888">
      <c r="A888" t="inlineStr">
        <is>
          <t>MR24</t>
        </is>
      </c>
      <c r="B888" t="inlineStr">
        <is>
          <t>Merged_Table_Assay_lito</t>
        </is>
      </c>
      <c r="C888" t="inlineStr">
        <is>
          <t>metros de sondaje; pct sobre metros</t>
        </is>
      </c>
      <c r="D888" t="inlineStr">
        <is>
          <t>periodo_GM_LE2WASTE_Output</t>
        </is>
      </c>
      <c r="E888" t="inlineStr">
        <is>
          <t>2031</t>
        </is>
      </c>
      <c r="F888" t="inlineStr">
        <is>
          <t>ROCKCODE</t>
        </is>
      </c>
      <c r="G888" t="inlineStr">
        <is>
          <t>MCGB</t>
        </is>
      </c>
      <c r="H888" t="inlineStr">
        <is>
          <t>sin asignar</t>
        </is>
      </c>
      <c r="I888" t="inlineStr">
        <is>
          <t>MCGB</t>
        </is>
      </c>
      <c r="J888" t="inlineStr">
        <is>
          <t>ROCKCODE agrupado en ROCKCODE_NUMEQ=16; sigla sin leyenda</t>
        </is>
      </c>
      <c r="K888" t="inlineStr">
        <is>
          <t>Mármol (hipótesis: siglas M*)</t>
        </is>
      </c>
      <c r="L888" t="inlineStr">
        <is>
          <t>Metamorfico</t>
        </is>
      </c>
      <c r="M888" t="n">
        <v>746</v>
      </c>
      <c r="N888" t="inlineStr"/>
      <c r="O888" t="inlineStr"/>
      <c r="P888" t="n">
        <v>682.8</v>
      </c>
      <c r="Q888" t="n">
        <v>3.062</v>
      </c>
    </row>
    <row r="889">
      <c r="A889" t="inlineStr">
        <is>
          <t>MR24</t>
        </is>
      </c>
      <c r="B889" t="inlineStr">
        <is>
          <t>Merged_Table_Assay_lito</t>
        </is>
      </c>
      <c r="C889" t="inlineStr">
        <is>
          <t>metros de sondaje; pct sobre metros</t>
        </is>
      </c>
      <c r="D889" t="inlineStr">
        <is>
          <t>periodo_GM_LE2WASTE_Output</t>
        </is>
      </c>
      <c r="E889" t="inlineStr">
        <is>
          <t>2031</t>
        </is>
      </c>
      <c r="F889" t="inlineStr">
        <is>
          <t>ROCKCODE</t>
        </is>
      </c>
      <c r="G889" t="inlineStr">
        <is>
          <t>MDP</t>
        </is>
      </c>
      <c r="H889" t="inlineStr">
        <is>
          <t>sin asignar</t>
        </is>
      </c>
      <c r="I889" t="inlineStr">
        <is>
          <t>MDP</t>
        </is>
      </c>
      <c r="J889" t="inlineStr">
        <is>
          <t>ROCKCODE agrupado en ROCKCODE_NUMEQ=19; sigla sin leyenda</t>
        </is>
      </c>
      <c r="K889" t="inlineStr">
        <is>
          <t>Mármol (hipótesis: sigla MDP)</t>
        </is>
      </c>
      <c r="L889" t="inlineStr">
        <is>
          <t>Metamorfico</t>
        </is>
      </c>
      <c r="M889" t="n">
        <v>3008</v>
      </c>
      <c r="N889" t="inlineStr"/>
      <c r="O889" t="inlineStr"/>
      <c r="P889" t="n">
        <v>2533.35</v>
      </c>
      <c r="Q889" t="n">
        <v>11.36</v>
      </c>
    </row>
    <row r="890">
      <c r="A890" t="inlineStr">
        <is>
          <t>MR24</t>
        </is>
      </c>
      <c r="B890" t="inlineStr">
        <is>
          <t>Merged_Table_Assay_lito</t>
        </is>
      </c>
      <c r="C890" t="inlineStr">
        <is>
          <t>metros de sondaje; pct sobre metros</t>
        </is>
      </c>
      <c r="D890" t="inlineStr">
        <is>
          <t>periodo_GM_LE2WASTE_Output</t>
        </is>
      </c>
      <c r="E890" t="inlineStr">
        <is>
          <t>2031</t>
        </is>
      </c>
      <c r="F890" t="inlineStr">
        <is>
          <t>ROCKCODE</t>
        </is>
      </c>
      <c r="G890" t="inlineStr">
        <is>
          <t>MG</t>
        </is>
      </c>
      <c r="H890" t="inlineStr">
        <is>
          <t>sin asignar</t>
        </is>
      </c>
      <c r="I890" t="inlineStr">
        <is>
          <t>MG</t>
        </is>
      </c>
      <c r="J890" t="inlineStr">
        <is>
          <t>ROCKCODE agrupado en ROCKCODE_NUMEQ=16; sigla sin leyenda</t>
        </is>
      </c>
      <c r="K890" t="inlineStr">
        <is>
          <t>Mármol (hipótesis: siglas M*)</t>
        </is>
      </c>
      <c r="L890" t="inlineStr">
        <is>
          <t>Metamorfico</t>
        </is>
      </c>
      <c r="M890" t="n">
        <v>1427</v>
      </c>
      <c r="N890" t="inlineStr"/>
      <c r="O890" t="inlineStr"/>
      <c r="P890" t="n">
        <v>1195.95</v>
      </c>
      <c r="Q890" t="n">
        <v>5.363</v>
      </c>
    </row>
    <row r="891">
      <c r="A891" t="inlineStr">
        <is>
          <t>MR24</t>
        </is>
      </c>
      <c r="B891" t="inlineStr">
        <is>
          <t>Merged_Table_Assay_lito</t>
        </is>
      </c>
      <c r="C891" t="inlineStr">
        <is>
          <t>metros de sondaje; pct sobre metros</t>
        </is>
      </c>
      <c r="D891" t="inlineStr">
        <is>
          <t>periodo_GM_LE2WASTE_Output</t>
        </is>
      </c>
      <c r="E891" t="inlineStr">
        <is>
          <t>2031</t>
        </is>
      </c>
      <c r="F891" t="inlineStr">
        <is>
          <t>ROCKCODE</t>
        </is>
      </c>
      <c r="G891" t="inlineStr">
        <is>
          <t>MGS</t>
        </is>
      </c>
      <c r="H891" t="inlineStr">
        <is>
          <t>sin asignar</t>
        </is>
      </c>
      <c r="I891" t="inlineStr">
        <is>
          <t>MGS</t>
        </is>
      </c>
      <c r="J891" t="inlineStr">
        <is>
          <t>ROCKCODE agrupado en ROCKCODE_NUMEQ=16; sigla sin leyenda</t>
        </is>
      </c>
      <c r="K891" t="inlineStr">
        <is>
          <t>Mármol (hipótesis: siglas M*)</t>
        </is>
      </c>
      <c r="L891" t="inlineStr">
        <is>
          <t>Metamorfico</t>
        </is>
      </c>
      <c r="M891" t="n">
        <v>1703</v>
      </c>
      <c r="N891" t="inlineStr"/>
      <c r="O891" t="inlineStr"/>
      <c r="P891" t="n">
        <v>1354.6</v>
      </c>
      <c r="Q891" t="n">
        <v>6.075</v>
      </c>
    </row>
    <row r="892">
      <c r="A892" t="inlineStr">
        <is>
          <t>MR24</t>
        </is>
      </c>
      <c r="B892" t="inlineStr">
        <is>
          <t>Merged_Table_Assay_lito</t>
        </is>
      </c>
      <c r="C892" t="inlineStr">
        <is>
          <t>metros de sondaje; pct sobre metros</t>
        </is>
      </c>
      <c r="D892" t="inlineStr">
        <is>
          <t>periodo_GM_LE2WASTE_Output</t>
        </is>
      </c>
      <c r="E892" t="inlineStr">
        <is>
          <t>2031</t>
        </is>
      </c>
      <c r="F892" t="inlineStr">
        <is>
          <t>ROCKCODE</t>
        </is>
      </c>
      <c r="G892" t="inlineStr">
        <is>
          <t>MPA</t>
        </is>
      </c>
      <c r="H892" t="inlineStr">
        <is>
          <t>sin asignar</t>
        </is>
      </c>
      <c r="I892" t="inlineStr">
        <is>
          <t>MPA</t>
        </is>
      </c>
      <c r="J892" t="inlineStr">
        <is>
          <t>ROCKCODE agrupado en ROCKCODE_NUMEQ=16; sigla sin leyenda</t>
        </is>
      </c>
      <c r="K892" t="inlineStr">
        <is>
          <t>Mármol (hipótesis: siglas M*)</t>
        </is>
      </c>
      <c r="L892" t="inlineStr">
        <is>
          <t>Metamorfico</t>
        </is>
      </c>
      <c r="M892" t="n">
        <v>2130</v>
      </c>
      <c r="N892" t="inlineStr"/>
      <c r="O892" t="inlineStr"/>
      <c r="P892" t="n">
        <v>1903.6</v>
      </c>
      <c r="Q892" t="n">
        <v>8.536</v>
      </c>
    </row>
    <row r="893">
      <c r="A893" t="inlineStr">
        <is>
          <t>MR24</t>
        </is>
      </c>
      <c r="B893" t="inlineStr">
        <is>
          <t>Merged_Table_Assay_lito</t>
        </is>
      </c>
      <c r="C893" t="inlineStr">
        <is>
          <t>metros de sondaje; pct sobre metros</t>
        </is>
      </c>
      <c r="D893" t="inlineStr">
        <is>
          <t>periodo_GM_LE2WASTE_Output</t>
        </is>
      </c>
      <c r="E893" t="inlineStr">
        <is>
          <t>2032</t>
        </is>
      </c>
      <c r="F893" t="inlineStr">
        <is>
          <t>ROCKCODE</t>
        </is>
      </c>
      <c r="G893" t="inlineStr">
        <is>
          <t>BCIPPA</t>
        </is>
      </c>
      <c r="H893" t="inlineStr">
        <is>
          <t>Intrusivo</t>
        </is>
      </c>
      <c r="I893" t="inlineStr">
        <is>
          <t>BCIPPA</t>
        </is>
      </c>
      <c r="J893" t="inlineStr">
        <is>
          <t>ROCKCODE agrupado en ROCKCODE_NUMEQ=1 (Intrusivo_1)</t>
        </is>
      </c>
      <c r="K893" t="inlineStr">
        <is>
          <t>Intrusivo</t>
        </is>
      </c>
      <c r="L893" t="inlineStr">
        <is>
          <t>Intrusivo</t>
        </is>
      </c>
      <c r="M893" t="n">
        <v>5</v>
      </c>
      <c r="N893" t="inlineStr"/>
      <c r="O893" t="inlineStr"/>
      <c r="P893" t="n">
        <v>7.6</v>
      </c>
      <c r="Q893" t="n">
        <v>0.04</v>
      </c>
    </row>
    <row r="894">
      <c r="A894" t="inlineStr">
        <is>
          <t>MR24</t>
        </is>
      </c>
      <c r="B894" t="inlineStr">
        <is>
          <t>Merged_Table_Assay_lito</t>
        </is>
      </c>
      <c r="C894" t="inlineStr">
        <is>
          <t>metros de sondaje; pct sobre metros</t>
        </is>
      </c>
      <c r="D894" t="inlineStr">
        <is>
          <t>periodo_GM_LE2WASTE_Output</t>
        </is>
      </c>
      <c r="E894" t="inlineStr">
        <is>
          <t>2032</t>
        </is>
      </c>
      <c r="F894" t="inlineStr">
        <is>
          <t>ROCKCODE</t>
        </is>
      </c>
      <c r="G894" t="inlineStr">
        <is>
          <t>BCIPPAO</t>
        </is>
      </c>
      <c r="H894" t="inlineStr">
        <is>
          <t>Intrusivo</t>
        </is>
      </c>
      <c r="I894" t="inlineStr">
        <is>
          <t>BCIPPAO</t>
        </is>
      </c>
      <c r="J894" t="inlineStr">
        <is>
          <t>ROCKCODE agrupado en ROCKCODE_NUMEQ=1 (Intrusivo_1)</t>
        </is>
      </c>
      <c r="K894" t="inlineStr">
        <is>
          <t>Intrusivo</t>
        </is>
      </c>
      <c r="L894" t="inlineStr">
        <is>
          <t>Intrusivo</t>
        </is>
      </c>
      <c r="M894" t="n">
        <v>1</v>
      </c>
      <c r="N894" t="inlineStr"/>
      <c r="O894" t="inlineStr"/>
      <c r="P894" t="n">
        <v>1</v>
      </c>
      <c r="Q894" t="n">
        <v>0.005</v>
      </c>
    </row>
    <row r="895">
      <c r="A895" t="inlineStr">
        <is>
          <t>MR24</t>
        </is>
      </c>
      <c r="B895" t="inlineStr">
        <is>
          <t>Merged_Table_Assay_lito</t>
        </is>
      </c>
      <c r="C895" t="inlineStr">
        <is>
          <t>metros de sondaje; pct sobre metros</t>
        </is>
      </c>
      <c r="D895" t="inlineStr">
        <is>
          <t>periodo_GM_LE2WASTE_Output</t>
        </is>
      </c>
      <c r="E895" t="inlineStr">
        <is>
          <t>2032</t>
        </is>
      </c>
      <c r="F895" t="inlineStr">
        <is>
          <t>ROCKCODE</t>
        </is>
      </c>
      <c r="G895" t="inlineStr">
        <is>
          <t>BCM</t>
        </is>
      </c>
      <c r="H895" t="inlineStr">
        <is>
          <t>sin asignar</t>
        </is>
      </c>
      <c r="I895" t="inlineStr">
        <is>
          <t>BCM</t>
        </is>
      </c>
      <c r="J895" t="inlineStr">
        <is>
          <t>ROCKCODE agrupado en ROCKCODE_NUMEQ=16; sigla sin leyenda</t>
        </is>
      </c>
      <c r="K895" t="inlineStr">
        <is>
          <t>Mármol (hipótesis: siglas M*)</t>
        </is>
      </c>
      <c r="L895" t="inlineStr">
        <is>
          <t>Metamorfico</t>
        </is>
      </c>
      <c r="M895" t="n">
        <v>4</v>
      </c>
      <c r="N895" t="inlineStr"/>
      <c r="O895" t="inlineStr"/>
      <c r="P895" t="n">
        <v>1.3</v>
      </c>
      <c r="Q895" t="n">
        <v>0.007</v>
      </c>
    </row>
    <row r="896">
      <c r="A896" t="inlineStr">
        <is>
          <t>MR24</t>
        </is>
      </c>
      <c r="B896" t="inlineStr">
        <is>
          <t>Merged_Table_Assay_lito</t>
        </is>
      </c>
      <c r="C896" t="inlineStr">
        <is>
          <t>metros de sondaje; pct sobre metros</t>
        </is>
      </c>
      <c r="D896" t="inlineStr">
        <is>
          <t>periodo_GM_LE2WASTE_Output</t>
        </is>
      </c>
      <c r="E896" t="inlineStr">
        <is>
          <t>2032</t>
        </is>
      </c>
      <c r="F896" t="inlineStr">
        <is>
          <t>ROCKCODE</t>
        </is>
      </c>
      <c r="G896" t="inlineStr">
        <is>
          <t>BMIPPA</t>
        </is>
      </c>
      <c r="H896" t="inlineStr">
        <is>
          <t>Intrusivo</t>
        </is>
      </c>
      <c r="I896" t="inlineStr">
        <is>
          <t>BMIPPA</t>
        </is>
      </c>
      <c r="J896" t="inlineStr">
        <is>
          <t>ROCKCODE agrupado en ROCKCODE_NUMEQ=1 (Intrusivo_1)</t>
        </is>
      </c>
      <c r="K896" t="inlineStr">
        <is>
          <t>Intrusivo</t>
        </is>
      </c>
      <c r="L896" t="inlineStr">
        <is>
          <t>Intrusivo</t>
        </is>
      </c>
      <c r="M896" t="n">
        <v>1</v>
      </c>
      <c r="N896" t="inlineStr"/>
      <c r="O896" t="inlineStr"/>
      <c r="P896" t="n">
        <v>1.75</v>
      </c>
      <c r="Q896" t="n">
        <v>0.008999999999999999</v>
      </c>
    </row>
    <row r="897">
      <c r="A897" t="inlineStr">
        <is>
          <t>MR24</t>
        </is>
      </c>
      <c r="B897" t="inlineStr">
        <is>
          <t>Merged_Table_Assay_lito</t>
        </is>
      </c>
      <c r="C897" t="inlineStr">
        <is>
          <t>metros de sondaje; pct sobre metros</t>
        </is>
      </c>
      <c r="D897" t="inlineStr">
        <is>
          <t>periodo_GM_LE2WASTE_Output</t>
        </is>
      </c>
      <c r="E897" t="inlineStr">
        <is>
          <t>2032</t>
        </is>
      </c>
      <c r="F897" t="inlineStr">
        <is>
          <t>ROCKCODE</t>
        </is>
      </c>
      <c r="G897" t="inlineStr">
        <is>
          <t>CA</t>
        </is>
      </c>
      <c r="H897" t="inlineStr">
        <is>
          <t>sin asignar</t>
        </is>
      </c>
      <c r="I897" t="inlineStr">
        <is>
          <t>CA</t>
        </is>
      </c>
      <c r="J897" t="inlineStr">
        <is>
          <t>ROCKCODE agrupado en ROCKCODE_NUMEQ=10; sigla sin leyenda</t>
        </is>
      </c>
      <c r="K897" t="inlineStr">
        <is>
          <t>Caliza (hipótesis: siglas C*)</t>
        </is>
      </c>
      <c r="L897" t="inlineStr">
        <is>
          <t>Sedimentario</t>
        </is>
      </c>
      <c r="M897" t="n">
        <v>6</v>
      </c>
      <c r="N897" t="inlineStr"/>
      <c r="O897" t="inlineStr"/>
      <c r="P897" t="n">
        <v>6</v>
      </c>
      <c r="Q897" t="n">
        <v>0.031</v>
      </c>
    </row>
    <row r="898">
      <c r="A898" t="inlineStr">
        <is>
          <t>MR24</t>
        </is>
      </c>
      <c r="B898" t="inlineStr">
        <is>
          <t>Merged_Table_Assay_lito</t>
        </is>
      </c>
      <c r="C898" t="inlineStr">
        <is>
          <t>metros de sondaje; pct sobre metros</t>
        </is>
      </c>
      <c r="D898" t="inlineStr">
        <is>
          <t>periodo_GM_LE2WASTE_Output</t>
        </is>
      </c>
      <c r="E898" t="inlineStr">
        <is>
          <t>2032</t>
        </is>
      </c>
      <c r="F898" t="inlineStr">
        <is>
          <t>ROCKCODE</t>
        </is>
      </c>
      <c r="G898" t="inlineStr">
        <is>
          <t>CBMN</t>
        </is>
      </c>
      <c r="H898" t="inlineStr">
        <is>
          <t>sin asignar</t>
        </is>
      </c>
      <c r="I898" t="inlineStr">
        <is>
          <t>CBMN</t>
        </is>
      </c>
      <c r="J898" t="inlineStr">
        <is>
          <t>ROCKCODE agrupado en ROCKCODE_NUMEQ=10; sigla sin leyenda</t>
        </is>
      </c>
      <c r="K898" t="inlineStr">
        <is>
          <t>Caliza (hipótesis: siglas C*)</t>
        </is>
      </c>
      <c r="L898" t="inlineStr">
        <is>
          <t>Sedimentario</t>
        </is>
      </c>
      <c r="M898" t="n">
        <v>20</v>
      </c>
      <c r="N898" t="inlineStr"/>
      <c r="O898" t="inlineStr"/>
      <c r="P898" t="n">
        <v>18.15</v>
      </c>
      <c r="Q898" t="n">
        <v>0.095</v>
      </c>
    </row>
    <row r="899">
      <c r="A899" t="inlineStr">
        <is>
          <t>MR24</t>
        </is>
      </c>
      <c r="B899" t="inlineStr">
        <is>
          <t>Merged_Table_Assay_lito</t>
        </is>
      </c>
      <c r="C899" t="inlineStr">
        <is>
          <t>metros de sondaje; pct sobre metros</t>
        </is>
      </c>
      <c r="D899" t="inlineStr">
        <is>
          <t>periodo_GM_LE2WASTE_Output</t>
        </is>
      </c>
      <c r="E899" t="inlineStr">
        <is>
          <t>2032</t>
        </is>
      </c>
      <c r="F899" t="inlineStr">
        <is>
          <t>ROCKCODE</t>
        </is>
      </c>
      <c r="G899" t="inlineStr">
        <is>
          <t>CF</t>
        </is>
      </c>
      <c r="H899" t="inlineStr">
        <is>
          <t>sin asignar</t>
        </is>
      </c>
      <c r="I899" t="inlineStr">
        <is>
          <t>CF</t>
        </is>
      </c>
      <c r="J899" t="inlineStr">
        <is>
          <t>ROCKCODE agrupado en ROCKCODE_NUMEQ=10; sigla sin leyenda</t>
        </is>
      </c>
      <c r="K899" t="inlineStr">
        <is>
          <t>Caliza (hipótesis: siglas C*)</t>
        </is>
      </c>
      <c r="L899" t="inlineStr">
        <is>
          <t>Sedimentario</t>
        </is>
      </c>
      <c r="M899" t="n">
        <v>9</v>
      </c>
      <c r="N899" t="inlineStr"/>
      <c r="O899" t="inlineStr"/>
      <c r="P899" t="n">
        <v>5.35</v>
      </c>
      <c r="Q899" t="n">
        <v>0.028</v>
      </c>
    </row>
    <row r="900">
      <c r="A900" t="inlineStr">
        <is>
          <t>MR24</t>
        </is>
      </c>
      <c r="B900" t="inlineStr">
        <is>
          <t>Merged_Table_Assay_lito</t>
        </is>
      </c>
      <c r="C900" t="inlineStr">
        <is>
          <t>metros de sondaje; pct sobre metros</t>
        </is>
      </c>
      <c r="D900" t="inlineStr">
        <is>
          <t>periodo_GM_LE2WASTE_Output</t>
        </is>
      </c>
      <c r="E900" t="inlineStr">
        <is>
          <t>2032</t>
        </is>
      </c>
      <c r="F900" t="inlineStr">
        <is>
          <t>ROCKCODE</t>
        </is>
      </c>
      <c r="G900" t="inlineStr">
        <is>
          <t>CG</t>
        </is>
      </c>
      <c r="H900" t="inlineStr">
        <is>
          <t>sin asignar</t>
        </is>
      </c>
      <c r="I900" t="inlineStr">
        <is>
          <t>CG</t>
        </is>
      </c>
      <c r="J900" t="inlineStr">
        <is>
          <t>ROCKCODE agrupado en ROCKCODE_NUMEQ=10; sigla sin leyenda</t>
        </is>
      </c>
      <c r="K900" t="inlineStr">
        <is>
          <t>Caliza (hipótesis: siglas C*)</t>
        </is>
      </c>
      <c r="L900" t="inlineStr">
        <is>
          <t>Sedimentario</t>
        </is>
      </c>
      <c r="M900" t="n">
        <v>282</v>
      </c>
      <c r="N900" t="inlineStr"/>
      <c r="O900" t="inlineStr"/>
      <c r="P900" t="n">
        <v>273.45</v>
      </c>
      <c r="Q900" t="n">
        <v>1.431</v>
      </c>
    </row>
    <row r="901">
      <c r="A901" t="inlineStr">
        <is>
          <t>MR24</t>
        </is>
      </c>
      <c r="B901" t="inlineStr">
        <is>
          <t>Merged_Table_Assay_lito</t>
        </is>
      </c>
      <c r="C901" t="inlineStr">
        <is>
          <t>metros de sondaje; pct sobre metros</t>
        </is>
      </c>
      <c r="D901" t="inlineStr">
        <is>
          <t>periodo_GM_LE2WASTE_Output</t>
        </is>
      </c>
      <c r="E901" t="inlineStr">
        <is>
          <t>2032</t>
        </is>
      </c>
      <c r="F901" t="inlineStr">
        <is>
          <t>ROCKCODE</t>
        </is>
      </c>
      <c r="G901" t="inlineStr">
        <is>
          <t>CGS</t>
        </is>
      </c>
      <c r="H901" t="inlineStr">
        <is>
          <t>sin asignar</t>
        </is>
      </c>
      <c r="I901" t="inlineStr">
        <is>
          <t>CGS</t>
        </is>
      </c>
      <c r="J901" t="inlineStr">
        <is>
          <t>ROCKCODE agrupado en ROCKCODE_NUMEQ=10; sigla sin leyenda</t>
        </is>
      </c>
      <c r="K901" t="inlineStr">
        <is>
          <t>Caliza (hipótesis: siglas C*)</t>
        </is>
      </c>
      <c r="L901" t="inlineStr">
        <is>
          <t>Sedimentario</t>
        </is>
      </c>
      <c r="M901" t="n">
        <v>92</v>
      </c>
      <c r="N901" t="inlineStr"/>
      <c r="O901" t="inlineStr"/>
      <c r="P901" t="n">
        <v>139.25</v>
      </c>
      <c r="Q901" t="n">
        <v>0.729</v>
      </c>
    </row>
    <row r="902">
      <c r="A902" t="inlineStr">
        <is>
          <t>MR24</t>
        </is>
      </c>
      <c r="B902" t="inlineStr">
        <is>
          <t>Merged_Table_Assay_lito</t>
        </is>
      </c>
      <c r="C902" t="inlineStr">
        <is>
          <t>metros de sondaje; pct sobre metros</t>
        </is>
      </c>
      <c r="D902" t="inlineStr">
        <is>
          <t>periodo_GM_LE2WASTE_Output</t>
        </is>
      </c>
      <c r="E902" t="inlineStr">
        <is>
          <t>2032</t>
        </is>
      </c>
      <c r="F902" t="inlineStr">
        <is>
          <t>ROCKCODE</t>
        </is>
      </c>
      <c r="G902" t="inlineStr">
        <is>
          <t>CN</t>
        </is>
      </c>
      <c r="H902" t="inlineStr">
        <is>
          <t>sin asignar</t>
        </is>
      </c>
      <c r="I902" t="inlineStr">
        <is>
          <t>CN</t>
        </is>
      </c>
      <c r="J902" t="inlineStr">
        <is>
          <t>ROCKCODE agrupado en ROCKCODE_NUMEQ=10; sigla sin leyenda</t>
        </is>
      </c>
      <c r="K902" t="inlineStr">
        <is>
          <t>Caliza (hipótesis: siglas C*)</t>
        </is>
      </c>
      <c r="L902" t="inlineStr">
        <is>
          <t>Sedimentario</t>
        </is>
      </c>
      <c r="M902" t="n">
        <v>54</v>
      </c>
      <c r="N902" t="inlineStr"/>
      <c r="O902" t="inlineStr"/>
      <c r="P902" t="n">
        <v>43.45</v>
      </c>
      <c r="Q902" t="n">
        <v>0.227</v>
      </c>
    </row>
    <row r="903">
      <c r="A903" t="inlineStr">
        <is>
          <t>MR24</t>
        </is>
      </c>
      <c r="B903" t="inlineStr">
        <is>
          <t>Merged_Table_Assay_lito</t>
        </is>
      </c>
      <c r="C903" t="inlineStr">
        <is>
          <t>metros de sondaje; pct sobre metros</t>
        </is>
      </c>
      <c r="D903" t="inlineStr">
        <is>
          <t>periodo_GM_LE2WASTE_Output</t>
        </is>
      </c>
      <c r="E903" t="inlineStr">
        <is>
          <t>2032</t>
        </is>
      </c>
      <c r="F903" t="inlineStr">
        <is>
          <t>ROCKCODE</t>
        </is>
      </c>
      <c r="G903" t="inlineStr">
        <is>
          <t>HBV</t>
        </is>
      </c>
      <c r="H903" t="inlineStr">
        <is>
          <t>sin asignar</t>
        </is>
      </c>
      <c r="I903" t="inlineStr">
        <is>
          <t>HBV</t>
        </is>
      </c>
      <c r="J903" t="inlineStr">
        <is>
          <t>ROCKCODE agrupado en ROCKCODE_NUMEQ=14; sigla sin leyenda</t>
        </is>
      </c>
      <c r="K903" t="inlineStr">
        <is>
          <t>Hornfels (hipótesis: siglas H*)</t>
        </is>
      </c>
      <c r="L903" t="inlineStr">
        <is>
          <t>Metamorfico</t>
        </is>
      </c>
      <c r="M903" t="n">
        <v>7</v>
      </c>
      <c r="N903" t="inlineStr"/>
      <c r="O903" t="inlineStr"/>
      <c r="P903" t="n">
        <v>4.65</v>
      </c>
      <c r="Q903" t="n">
        <v>0.024</v>
      </c>
    </row>
    <row r="904">
      <c r="A904" t="inlineStr">
        <is>
          <t>MR24</t>
        </is>
      </c>
      <c r="B904" t="inlineStr">
        <is>
          <t>Merged_Table_Assay_lito</t>
        </is>
      </c>
      <c r="C904" t="inlineStr">
        <is>
          <t>metros de sondaje; pct sobre metros</t>
        </is>
      </c>
      <c r="D904" t="inlineStr">
        <is>
          <t>periodo_GM_LE2WASTE_Output</t>
        </is>
      </c>
      <c r="E904" t="inlineStr">
        <is>
          <t>2032</t>
        </is>
      </c>
      <c r="F904" t="inlineStr">
        <is>
          <t>ROCKCODE</t>
        </is>
      </c>
      <c r="G904" t="inlineStr">
        <is>
          <t>HC</t>
        </is>
      </c>
      <c r="H904" t="inlineStr">
        <is>
          <t>sin asignar</t>
        </is>
      </c>
      <c r="I904" t="inlineStr">
        <is>
          <t>HC</t>
        </is>
      </c>
      <c r="J904" t="inlineStr">
        <is>
          <t>ROCKCODE agrupado en ROCKCODE_NUMEQ=13; sigla sin leyenda</t>
        </is>
      </c>
      <c r="K904" t="inlineStr">
        <is>
          <t>Hornfels (hipótesis: siglas H*)</t>
        </is>
      </c>
      <c r="L904" t="inlineStr">
        <is>
          <t>Metamorfico</t>
        </is>
      </c>
      <c r="M904" t="n">
        <v>389</v>
      </c>
      <c r="N904" t="inlineStr"/>
      <c r="O904" t="inlineStr"/>
      <c r="P904" t="n">
        <v>315.65</v>
      </c>
      <c r="Q904" t="n">
        <v>1.652</v>
      </c>
    </row>
    <row r="905">
      <c r="A905" t="inlineStr">
        <is>
          <t>MR24</t>
        </is>
      </c>
      <c r="B905" t="inlineStr">
        <is>
          <t>Merged_Table_Assay_lito</t>
        </is>
      </c>
      <c r="C905" t="inlineStr">
        <is>
          <t>metros de sondaje; pct sobre metros</t>
        </is>
      </c>
      <c r="D905" t="inlineStr">
        <is>
          <t>periodo_GM_LE2WASTE_Output</t>
        </is>
      </c>
      <c r="E905" t="inlineStr">
        <is>
          <t>2032</t>
        </is>
      </c>
      <c r="F905" t="inlineStr">
        <is>
          <t>ROCKCODE</t>
        </is>
      </c>
      <c r="G905" t="inlineStr">
        <is>
          <t>HDP</t>
        </is>
      </c>
      <c r="H905" t="inlineStr">
        <is>
          <t>sin asignar</t>
        </is>
      </c>
      <c r="I905" t="inlineStr">
        <is>
          <t>HDP</t>
        </is>
      </c>
      <c r="J905" t="inlineStr">
        <is>
          <t>ROCKCODE agrupado en ROCKCODE_NUMEQ=14; sigla sin leyenda</t>
        </is>
      </c>
      <c r="K905" t="inlineStr">
        <is>
          <t>Hornfels (hipótesis: siglas H*)</t>
        </is>
      </c>
      <c r="L905" t="inlineStr">
        <is>
          <t>Metamorfico</t>
        </is>
      </c>
      <c r="M905" t="n">
        <v>50</v>
      </c>
      <c r="N905" t="inlineStr"/>
      <c r="O905" t="inlineStr"/>
      <c r="P905" t="n">
        <v>62.6</v>
      </c>
      <c r="Q905" t="n">
        <v>0.328</v>
      </c>
    </row>
    <row r="906">
      <c r="A906" t="inlineStr">
        <is>
          <t>MR24</t>
        </is>
      </c>
      <c r="B906" t="inlineStr">
        <is>
          <t>Merged_Table_Assay_lito</t>
        </is>
      </c>
      <c r="C906" t="inlineStr">
        <is>
          <t>metros de sondaje; pct sobre metros</t>
        </is>
      </c>
      <c r="D906" t="inlineStr">
        <is>
          <t>periodo_GM_LE2WASTE_Output</t>
        </is>
      </c>
      <c r="E906" t="inlineStr">
        <is>
          <t>2032</t>
        </is>
      </c>
      <c r="F906" t="inlineStr">
        <is>
          <t>ROCKCODE</t>
        </is>
      </c>
      <c r="G906" t="inlineStr">
        <is>
          <t>HG</t>
        </is>
      </c>
      <c r="H906" t="inlineStr">
        <is>
          <t>sin asignar</t>
        </is>
      </c>
      <c r="I906" t="inlineStr">
        <is>
          <t>HG</t>
        </is>
      </c>
      <c r="J906" t="inlineStr">
        <is>
          <t>ROCKCODE agrupado en ROCKCODE_NUMEQ=13; sigla sin leyenda</t>
        </is>
      </c>
      <c r="K906" t="inlineStr">
        <is>
          <t>Hornfels (hipótesis: siglas H*)</t>
        </is>
      </c>
      <c r="L906" t="inlineStr">
        <is>
          <t>Metamorfico</t>
        </is>
      </c>
      <c r="M906" t="n">
        <v>216</v>
      </c>
      <c r="N906" t="inlineStr"/>
      <c r="O906" t="inlineStr"/>
      <c r="P906" t="n">
        <v>177.75</v>
      </c>
      <c r="Q906" t="n">
        <v>0.93</v>
      </c>
    </row>
    <row r="907">
      <c r="A907" t="inlineStr">
        <is>
          <t>MR24</t>
        </is>
      </c>
      <c r="B907" t="inlineStr">
        <is>
          <t>Merged_Table_Assay_lito</t>
        </is>
      </c>
      <c r="C907" t="inlineStr">
        <is>
          <t>metros de sondaje; pct sobre metros</t>
        </is>
      </c>
      <c r="D907" t="inlineStr">
        <is>
          <t>periodo_GM_LE2WASTE_Output</t>
        </is>
      </c>
      <c r="E907" t="inlineStr">
        <is>
          <t>2032</t>
        </is>
      </c>
      <c r="F907" t="inlineStr">
        <is>
          <t>ROCKCODE</t>
        </is>
      </c>
      <c r="G907" t="inlineStr">
        <is>
          <t>HGS</t>
        </is>
      </c>
      <c r="H907" t="inlineStr">
        <is>
          <t>sin asignar</t>
        </is>
      </c>
      <c r="I907" t="inlineStr">
        <is>
          <t>HGS</t>
        </is>
      </c>
      <c r="J907" t="inlineStr">
        <is>
          <t>ROCKCODE agrupado en ROCKCODE_NUMEQ=13; sigla sin leyenda</t>
        </is>
      </c>
      <c r="K907" t="inlineStr">
        <is>
          <t>Hornfels (hipótesis: siglas H*)</t>
        </is>
      </c>
      <c r="L907" t="inlineStr">
        <is>
          <t>Metamorfico</t>
        </is>
      </c>
      <c r="M907" t="n">
        <v>40</v>
      </c>
      <c r="N907" t="inlineStr"/>
      <c r="O907" t="inlineStr"/>
      <c r="P907" t="n">
        <v>36.7</v>
      </c>
      <c r="Q907" t="n">
        <v>0.192</v>
      </c>
    </row>
    <row r="908">
      <c r="A908" t="inlineStr">
        <is>
          <t>MR24</t>
        </is>
      </c>
      <c r="B908" t="inlineStr">
        <is>
          <t>Merged_Table_Assay_lito</t>
        </is>
      </c>
      <c r="C908" t="inlineStr">
        <is>
          <t>metros de sondaje; pct sobre metros</t>
        </is>
      </c>
      <c r="D908" t="inlineStr">
        <is>
          <t>periodo_GM_LE2WASTE_Output</t>
        </is>
      </c>
      <c r="E908" t="inlineStr">
        <is>
          <t>2032</t>
        </is>
      </c>
      <c r="F908" t="inlineStr">
        <is>
          <t>ROCKCODE</t>
        </is>
      </c>
      <c r="G908" t="inlineStr">
        <is>
          <t>HGV</t>
        </is>
      </c>
      <c r="H908" t="inlineStr">
        <is>
          <t>sin asignar</t>
        </is>
      </c>
      <c r="I908" t="inlineStr">
        <is>
          <t>HGV</t>
        </is>
      </c>
      <c r="J908" t="inlineStr">
        <is>
          <t>ROCKCODE agrupado en ROCKCODE_NUMEQ=14; sigla sin leyenda</t>
        </is>
      </c>
      <c r="K908" t="inlineStr">
        <is>
          <t>Hornfels (hipótesis: siglas H*)</t>
        </is>
      </c>
      <c r="L908" t="inlineStr">
        <is>
          <t>Metamorfico</t>
        </is>
      </c>
      <c r="M908" t="n">
        <v>40</v>
      </c>
      <c r="N908" t="inlineStr"/>
      <c r="O908" t="inlineStr"/>
      <c r="P908" t="n">
        <v>34.55</v>
      </c>
      <c r="Q908" t="n">
        <v>0.181</v>
      </c>
    </row>
    <row r="909">
      <c r="A909" t="inlineStr">
        <is>
          <t>MR24</t>
        </is>
      </c>
      <c r="B909" t="inlineStr">
        <is>
          <t>Merged_Table_Assay_lito</t>
        </is>
      </c>
      <c r="C909" t="inlineStr">
        <is>
          <t>metros de sondaje; pct sobre metros</t>
        </is>
      </c>
      <c r="D909" t="inlineStr">
        <is>
          <t>periodo_GM_LE2WASTE_Output</t>
        </is>
      </c>
      <c r="E909" t="inlineStr">
        <is>
          <t>2032</t>
        </is>
      </c>
      <c r="F909" t="inlineStr">
        <is>
          <t>ROCKCODE</t>
        </is>
      </c>
      <c r="G909" t="inlineStr">
        <is>
          <t>HV</t>
        </is>
      </c>
      <c r="H909" t="inlineStr">
        <is>
          <t>sin asignar</t>
        </is>
      </c>
      <c r="I909" t="inlineStr">
        <is>
          <t>HV</t>
        </is>
      </c>
      <c r="J909" t="inlineStr">
        <is>
          <t>ROCKCODE agrupado en ROCKCODE_NUMEQ=14; sigla sin leyenda</t>
        </is>
      </c>
      <c r="K909" t="inlineStr">
        <is>
          <t>Hornfels (hipótesis: siglas H*)</t>
        </is>
      </c>
      <c r="L909" t="inlineStr">
        <is>
          <t>Metamorfico</t>
        </is>
      </c>
      <c r="M909" t="n">
        <v>2</v>
      </c>
      <c r="N909" t="inlineStr"/>
      <c r="O909" t="inlineStr"/>
      <c r="P909" t="n">
        <v>0.7</v>
      </c>
      <c r="Q909" t="n">
        <v>0.004</v>
      </c>
    </row>
    <row r="910">
      <c r="A910" t="inlineStr">
        <is>
          <t>MR24</t>
        </is>
      </c>
      <c r="B910" t="inlineStr">
        <is>
          <t>Merged_Table_Assay_lito</t>
        </is>
      </c>
      <c r="C910" t="inlineStr">
        <is>
          <t>metros de sondaje; pct sobre metros</t>
        </is>
      </c>
      <c r="D910" t="inlineStr">
        <is>
          <t>periodo_GM_LE2WASTE_Output</t>
        </is>
      </c>
      <c r="E910" t="inlineStr">
        <is>
          <t>2032</t>
        </is>
      </c>
      <c r="F910" t="inlineStr">
        <is>
          <t>ROCKCODE</t>
        </is>
      </c>
      <c r="G910" t="inlineStr">
        <is>
          <t>IPHPE</t>
        </is>
      </c>
      <c r="H910" t="inlineStr">
        <is>
          <t>Intrusivo</t>
        </is>
      </c>
      <c r="I910" t="inlineStr">
        <is>
          <t>IPHPE</t>
        </is>
      </c>
      <c r="J910" t="inlineStr">
        <is>
          <t>ROCKCODE agrupado en ROCKCODE_NUMEQ=1 (Intrusivo_1)</t>
        </is>
      </c>
      <c r="K910" t="inlineStr">
        <is>
          <t>Intrusivo</t>
        </is>
      </c>
      <c r="L910" t="inlineStr">
        <is>
          <t>Intrusivo</t>
        </is>
      </c>
      <c r="M910" t="n">
        <v>15</v>
      </c>
      <c r="N910" t="inlineStr"/>
      <c r="O910" t="inlineStr"/>
      <c r="P910" t="n">
        <v>8.1</v>
      </c>
      <c r="Q910" t="n">
        <v>0.042</v>
      </c>
    </row>
    <row r="911">
      <c r="A911" t="inlineStr">
        <is>
          <t>MR24</t>
        </is>
      </c>
      <c r="B911" t="inlineStr">
        <is>
          <t>Merged_Table_Assay_lito</t>
        </is>
      </c>
      <c r="C911" t="inlineStr">
        <is>
          <t>metros de sondaje; pct sobre metros</t>
        </is>
      </c>
      <c r="D911" t="inlineStr">
        <is>
          <t>periodo_GM_LE2WASTE_Output</t>
        </is>
      </c>
      <c r="E911" t="inlineStr">
        <is>
          <t>2032</t>
        </is>
      </c>
      <c r="F911" t="inlineStr">
        <is>
          <t>ROCKCODE</t>
        </is>
      </c>
      <c r="G911" t="inlineStr">
        <is>
          <t>IPPA</t>
        </is>
      </c>
      <c r="H911" t="inlineStr">
        <is>
          <t>Intrusivo</t>
        </is>
      </c>
      <c r="I911" t="inlineStr">
        <is>
          <t>IPPA</t>
        </is>
      </c>
      <c r="J911" t="inlineStr">
        <is>
          <t>ROCKCODE agrupado en ROCKCODE_NUMEQ=1 (Intrusivo_1)</t>
        </is>
      </c>
      <c r="K911" t="inlineStr">
        <is>
          <t>Intrusivo</t>
        </is>
      </c>
      <c r="L911" t="inlineStr">
        <is>
          <t>Intrusivo</t>
        </is>
      </c>
      <c r="M911" t="n">
        <v>4533</v>
      </c>
      <c r="N911" t="inlineStr"/>
      <c r="O911" t="inlineStr"/>
      <c r="P911" t="n">
        <v>4590.83</v>
      </c>
      <c r="Q911" t="n">
        <v>24.026</v>
      </c>
    </row>
    <row r="912">
      <c r="A912" t="inlineStr">
        <is>
          <t>MR24</t>
        </is>
      </c>
      <c r="B912" t="inlineStr">
        <is>
          <t>Merged_Table_Assay_lito</t>
        </is>
      </c>
      <c r="C912" t="inlineStr">
        <is>
          <t>metros de sondaje; pct sobre metros</t>
        </is>
      </c>
      <c r="D912" t="inlineStr">
        <is>
          <t>periodo_GM_LE2WASTE_Output</t>
        </is>
      </c>
      <c r="E912" t="inlineStr">
        <is>
          <t>2032</t>
        </is>
      </c>
      <c r="F912" t="inlineStr">
        <is>
          <t>ROCKCODE</t>
        </is>
      </c>
      <c r="G912" t="inlineStr">
        <is>
          <t>IPPAMO</t>
        </is>
      </c>
      <c r="H912" t="inlineStr">
        <is>
          <t>Intrusivo</t>
        </is>
      </c>
      <c r="I912" t="inlineStr">
        <is>
          <t>IPPAMO</t>
        </is>
      </c>
      <c r="J912" t="inlineStr">
        <is>
          <t>ROCKCODE agrupado en ROCKCODE_NUMEQ=1 (Intrusivo_1)</t>
        </is>
      </c>
      <c r="K912" t="inlineStr">
        <is>
          <t>Intrusivo</t>
        </is>
      </c>
      <c r="L912" t="inlineStr">
        <is>
          <t>Intrusivo</t>
        </is>
      </c>
      <c r="M912" t="n">
        <v>317</v>
      </c>
      <c r="N912" t="inlineStr"/>
      <c r="O912" t="inlineStr"/>
      <c r="P912" t="n">
        <v>351.75</v>
      </c>
      <c r="Q912" t="n">
        <v>1.841</v>
      </c>
    </row>
    <row r="913">
      <c r="A913" t="inlineStr">
        <is>
          <t>MR24</t>
        </is>
      </c>
      <c r="B913" t="inlineStr">
        <is>
          <t>Merged_Table_Assay_lito</t>
        </is>
      </c>
      <c r="C913" t="inlineStr">
        <is>
          <t>metros de sondaje; pct sobre metros</t>
        </is>
      </c>
      <c r="D913" t="inlineStr">
        <is>
          <t>periodo_GM_LE2WASTE_Output</t>
        </is>
      </c>
      <c r="E913" t="inlineStr">
        <is>
          <t>2032</t>
        </is>
      </c>
      <c r="F913" t="inlineStr">
        <is>
          <t>ROCKCODE</t>
        </is>
      </c>
      <c r="G913" t="inlineStr">
        <is>
          <t>IPPAO</t>
        </is>
      </c>
      <c r="H913" t="inlineStr">
        <is>
          <t>Intrusivo</t>
        </is>
      </c>
      <c r="I913" t="inlineStr">
        <is>
          <t>IPPAO</t>
        </is>
      </c>
      <c r="J913" t="inlineStr">
        <is>
          <t>ROCKCODE agrupado en ROCKCODE_NUMEQ=1 (Intrusivo_1)</t>
        </is>
      </c>
      <c r="K913" t="inlineStr">
        <is>
          <t>Intrusivo</t>
        </is>
      </c>
      <c r="L913" t="inlineStr">
        <is>
          <t>Intrusivo</t>
        </is>
      </c>
      <c r="M913" t="n">
        <v>2903</v>
      </c>
      <c r="N913" t="inlineStr"/>
      <c r="O913" t="inlineStr"/>
      <c r="P913" t="n">
        <v>3443.7</v>
      </c>
      <c r="Q913" t="n">
        <v>18.023</v>
      </c>
    </row>
    <row r="914">
      <c r="A914" t="inlineStr">
        <is>
          <t>MR24</t>
        </is>
      </c>
      <c r="B914" t="inlineStr">
        <is>
          <t>Merged_Table_Assay_lito</t>
        </is>
      </c>
      <c r="C914" t="inlineStr">
        <is>
          <t>metros de sondaje; pct sobre metros</t>
        </is>
      </c>
      <c r="D914" t="inlineStr">
        <is>
          <t>periodo_GM_LE2WASTE_Output</t>
        </is>
      </c>
      <c r="E914" t="inlineStr">
        <is>
          <t>2032</t>
        </is>
      </c>
      <c r="F914" t="inlineStr">
        <is>
          <t>ROCKCODE</t>
        </is>
      </c>
      <c r="G914" t="inlineStr">
        <is>
          <t>IPPEO</t>
        </is>
      </c>
      <c r="H914" t="inlineStr">
        <is>
          <t>Intrusivo</t>
        </is>
      </c>
      <c r="I914" t="inlineStr">
        <is>
          <t>IPPEO</t>
        </is>
      </c>
      <c r="J914" t="inlineStr">
        <is>
          <t>ROCKCODE agrupado en ROCKCODE_NUMEQ=1 (Intrusivo_1)</t>
        </is>
      </c>
      <c r="K914" t="inlineStr">
        <is>
          <t>Intrusivo</t>
        </is>
      </c>
      <c r="L914" t="inlineStr">
        <is>
          <t>Intrusivo</t>
        </is>
      </c>
      <c r="M914" t="n">
        <v>139</v>
      </c>
      <c r="N914" t="inlineStr"/>
      <c r="O914" t="inlineStr"/>
      <c r="P914" t="n">
        <v>107.2</v>
      </c>
      <c r="Q914" t="n">
        <v>0.5610000000000001</v>
      </c>
    </row>
    <row r="915">
      <c r="A915" t="inlineStr">
        <is>
          <t>MR24</t>
        </is>
      </c>
      <c r="B915" t="inlineStr">
        <is>
          <t>Merged_Table_Assay_lito</t>
        </is>
      </c>
      <c r="C915" t="inlineStr">
        <is>
          <t>metros de sondaje; pct sobre metros</t>
        </is>
      </c>
      <c r="D915" t="inlineStr">
        <is>
          <t>periodo_GM_LE2WASTE_Output</t>
        </is>
      </c>
      <c r="E915" t="inlineStr">
        <is>
          <t>2032</t>
        </is>
      </c>
      <c r="F915" t="inlineStr">
        <is>
          <t>ROCKCODE</t>
        </is>
      </c>
      <c r="G915" t="inlineStr">
        <is>
          <t>MC</t>
        </is>
      </c>
      <c r="H915" t="inlineStr">
        <is>
          <t>sin asignar</t>
        </is>
      </c>
      <c r="I915" t="inlineStr">
        <is>
          <t>MC</t>
        </is>
      </c>
      <c r="J915" t="inlineStr">
        <is>
          <t>ROCKCODE agrupado en ROCKCODE_NUMEQ=16; sigla sin leyenda</t>
        </is>
      </c>
      <c r="K915" t="inlineStr">
        <is>
          <t>Mármol (hipótesis: siglas M*)</t>
        </is>
      </c>
      <c r="L915" t="inlineStr">
        <is>
          <t>Metamorfico</t>
        </is>
      </c>
      <c r="M915" t="n">
        <v>3082</v>
      </c>
      <c r="N915" t="inlineStr"/>
      <c r="O915" t="inlineStr"/>
      <c r="P915" t="n">
        <v>2608.13</v>
      </c>
      <c r="Q915" t="n">
        <v>13.65</v>
      </c>
    </row>
    <row r="916">
      <c r="A916" t="inlineStr">
        <is>
          <t>MR24</t>
        </is>
      </c>
      <c r="B916" t="inlineStr">
        <is>
          <t>Merged_Table_Assay_lito</t>
        </is>
      </c>
      <c r="C916" t="inlineStr">
        <is>
          <t>metros de sondaje; pct sobre metros</t>
        </is>
      </c>
      <c r="D916" t="inlineStr">
        <is>
          <t>periodo_GM_LE2WASTE_Output</t>
        </is>
      </c>
      <c r="E916" t="inlineStr">
        <is>
          <t>2032</t>
        </is>
      </c>
      <c r="F916" t="inlineStr">
        <is>
          <t>ROCKCODE</t>
        </is>
      </c>
      <c r="G916" t="inlineStr">
        <is>
          <t>MCB</t>
        </is>
      </c>
      <c r="H916" t="inlineStr">
        <is>
          <t>sin asignar</t>
        </is>
      </c>
      <c r="I916" t="inlineStr">
        <is>
          <t>MCB</t>
        </is>
      </c>
      <c r="J916" t="inlineStr">
        <is>
          <t>ROCKCODE agrupado en ROCKCODE_NUMEQ=16; sigla sin leyenda</t>
        </is>
      </c>
      <c r="K916" t="inlineStr">
        <is>
          <t>Mármol (hipótesis: siglas M*)</t>
        </is>
      </c>
      <c r="L916" t="inlineStr">
        <is>
          <t>Metamorfico</t>
        </is>
      </c>
      <c r="M916" t="n">
        <v>355</v>
      </c>
      <c r="N916" t="inlineStr"/>
      <c r="O916" t="inlineStr"/>
      <c r="P916" t="n">
        <v>381.5</v>
      </c>
      <c r="Q916" t="n">
        <v>1.997</v>
      </c>
    </row>
    <row r="917">
      <c r="A917" t="inlineStr">
        <is>
          <t>MR24</t>
        </is>
      </c>
      <c r="B917" t="inlineStr">
        <is>
          <t>Merged_Table_Assay_lito</t>
        </is>
      </c>
      <c r="C917" t="inlineStr">
        <is>
          <t>metros de sondaje; pct sobre metros</t>
        </is>
      </c>
      <c r="D917" t="inlineStr">
        <is>
          <t>periodo_GM_LE2WASTE_Output</t>
        </is>
      </c>
      <c r="E917" t="inlineStr">
        <is>
          <t>2032</t>
        </is>
      </c>
      <c r="F917" t="inlineStr">
        <is>
          <t>ROCKCODE</t>
        </is>
      </c>
      <c r="G917" t="inlineStr">
        <is>
          <t>MCGB</t>
        </is>
      </c>
      <c r="H917" t="inlineStr">
        <is>
          <t>sin asignar</t>
        </is>
      </c>
      <c r="I917" t="inlineStr">
        <is>
          <t>MCGB</t>
        </is>
      </c>
      <c r="J917" t="inlineStr">
        <is>
          <t>ROCKCODE agrupado en ROCKCODE_NUMEQ=16; sigla sin leyenda</t>
        </is>
      </c>
      <c r="K917" t="inlineStr">
        <is>
          <t>Mármol (hipótesis: siglas M*)</t>
        </is>
      </c>
      <c r="L917" t="inlineStr">
        <is>
          <t>Metamorfico</t>
        </is>
      </c>
      <c r="M917" t="n">
        <v>885</v>
      </c>
      <c r="N917" t="inlineStr"/>
      <c r="O917" t="inlineStr"/>
      <c r="P917" t="n">
        <v>708.85</v>
      </c>
      <c r="Q917" t="n">
        <v>3.71</v>
      </c>
    </row>
    <row r="918">
      <c r="A918" t="inlineStr">
        <is>
          <t>MR24</t>
        </is>
      </c>
      <c r="B918" t="inlineStr">
        <is>
          <t>Merged_Table_Assay_lito</t>
        </is>
      </c>
      <c r="C918" t="inlineStr">
        <is>
          <t>metros de sondaje; pct sobre metros</t>
        </is>
      </c>
      <c r="D918" t="inlineStr">
        <is>
          <t>periodo_GM_LE2WASTE_Output</t>
        </is>
      </c>
      <c r="E918" t="inlineStr">
        <is>
          <t>2032</t>
        </is>
      </c>
      <c r="F918" t="inlineStr">
        <is>
          <t>ROCKCODE</t>
        </is>
      </c>
      <c r="G918" t="inlineStr">
        <is>
          <t>MDP</t>
        </is>
      </c>
      <c r="H918" t="inlineStr">
        <is>
          <t>sin asignar</t>
        </is>
      </c>
      <c r="I918" t="inlineStr">
        <is>
          <t>MDP</t>
        </is>
      </c>
      <c r="J918" t="inlineStr">
        <is>
          <t>ROCKCODE agrupado en ROCKCODE_NUMEQ=19; sigla sin leyenda</t>
        </is>
      </c>
      <c r="K918" t="inlineStr">
        <is>
          <t>Mármol (hipótesis: sigla MDP)</t>
        </is>
      </c>
      <c r="L918" t="inlineStr">
        <is>
          <t>Metamorfico</t>
        </is>
      </c>
      <c r="M918" t="n">
        <v>2490</v>
      </c>
      <c r="N918" t="inlineStr"/>
      <c r="O918" t="inlineStr"/>
      <c r="P918" t="n">
        <v>2309.7</v>
      </c>
      <c r="Q918" t="n">
        <v>12.088</v>
      </c>
    </row>
    <row r="919">
      <c r="A919" t="inlineStr">
        <is>
          <t>MR24</t>
        </is>
      </c>
      <c r="B919" t="inlineStr">
        <is>
          <t>Merged_Table_Assay_lito</t>
        </is>
      </c>
      <c r="C919" t="inlineStr">
        <is>
          <t>metros de sondaje; pct sobre metros</t>
        </is>
      </c>
      <c r="D919" t="inlineStr">
        <is>
          <t>periodo_GM_LE2WASTE_Output</t>
        </is>
      </c>
      <c r="E919" t="inlineStr">
        <is>
          <t>2032</t>
        </is>
      </c>
      <c r="F919" t="inlineStr">
        <is>
          <t>ROCKCODE</t>
        </is>
      </c>
      <c r="G919" t="inlineStr">
        <is>
          <t>MG</t>
        </is>
      </c>
      <c r="H919" t="inlineStr">
        <is>
          <t>sin asignar</t>
        </is>
      </c>
      <c r="I919" t="inlineStr">
        <is>
          <t>MG</t>
        </is>
      </c>
      <c r="J919" t="inlineStr">
        <is>
          <t>ROCKCODE agrupado en ROCKCODE_NUMEQ=16; sigla sin leyenda</t>
        </is>
      </c>
      <c r="K919" t="inlineStr">
        <is>
          <t>Mármol (hipótesis: siglas M*)</t>
        </is>
      </c>
      <c r="L919" t="inlineStr">
        <is>
          <t>Metamorfico</t>
        </is>
      </c>
      <c r="M919" t="n">
        <v>1035</v>
      </c>
      <c r="N919" t="inlineStr"/>
      <c r="O919" t="inlineStr"/>
      <c r="P919" t="n">
        <v>793.25</v>
      </c>
      <c r="Q919" t="n">
        <v>4.151</v>
      </c>
    </row>
    <row r="920">
      <c r="A920" t="inlineStr">
        <is>
          <t>MR24</t>
        </is>
      </c>
      <c r="B920" t="inlineStr">
        <is>
          <t>Merged_Table_Assay_lito</t>
        </is>
      </c>
      <c r="C920" t="inlineStr">
        <is>
          <t>metros de sondaje; pct sobre metros</t>
        </is>
      </c>
      <c r="D920" t="inlineStr">
        <is>
          <t>periodo_GM_LE2WASTE_Output</t>
        </is>
      </c>
      <c r="E920" t="inlineStr">
        <is>
          <t>2032</t>
        </is>
      </c>
      <c r="F920" t="inlineStr">
        <is>
          <t>ROCKCODE</t>
        </is>
      </c>
      <c r="G920" t="inlineStr">
        <is>
          <t>MGS</t>
        </is>
      </c>
      <c r="H920" t="inlineStr">
        <is>
          <t>sin asignar</t>
        </is>
      </c>
      <c r="I920" t="inlineStr">
        <is>
          <t>MGS</t>
        </is>
      </c>
      <c r="J920" t="inlineStr">
        <is>
          <t>ROCKCODE agrupado en ROCKCODE_NUMEQ=16; sigla sin leyenda</t>
        </is>
      </c>
      <c r="K920" t="inlineStr">
        <is>
          <t>Mármol (hipótesis: siglas M*)</t>
        </is>
      </c>
      <c r="L920" t="inlineStr">
        <is>
          <t>Metamorfico</t>
        </is>
      </c>
      <c r="M920" t="n">
        <v>430</v>
      </c>
      <c r="N920" t="inlineStr"/>
      <c r="O920" t="inlineStr"/>
      <c r="P920" t="n">
        <v>344.9</v>
      </c>
      <c r="Q920" t="n">
        <v>1.805</v>
      </c>
    </row>
    <row r="921">
      <c r="A921" t="inlineStr">
        <is>
          <t>MR24</t>
        </is>
      </c>
      <c r="B921" t="inlineStr">
        <is>
          <t>Merged_Table_Assay_lito</t>
        </is>
      </c>
      <c r="C921" t="inlineStr">
        <is>
          <t>metros de sondaje; pct sobre metros</t>
        </is>
      </c>
      <c r="D921" t="inlineStr">
        <is>
          <t>periodo_GM_LE2WASTE_Output</t>
        </is>
      </c>
      <c r="E921" t="inlineStr">
        <is>
          <t>2032</t>
        </is>
      </c>
      <c r="F921" t="inlineStr">
        <is>
          <t>ROCKCODE</t>
        </is>
      </c>
      <c r="G921" t="inlineStr">
        <is>
          <t>MPA</t>
        </is>
      </c>
      <c r="H921" t="inlineStr">
        <is>
          <t>sin asignar</t>
        </is>
      </c>
      <c r="I921" t="inlineStr">
        <is>
          <t>MPA</t>
        </is>
      </c>
      <c r="J921" t="inlineStr">
        <is>
          <t>ROCKCODE agrupado en ROCKCODE_NUMEQ=16; sigla sin leyenda</t>
        </is>
      </c>
      <c r="K921" t="inlineStr">
        <is>
          <t>Mármol (hipótesis: siglas M*)</t>
        </is>
      </c>
      <c r="L921" t="inlineStr">
        <is>
          <t>Metamorfico</t>
        </is>
      </c>
      <c r="M921" t="n">
        <v>2474</v>
      </c>
      <c r="N921" t="inlineStr"/>
      <c r="O921" t="inlineStr"/>
      <c r="P921" t="n">
        <v>2329.95</v>
      </c>
      <c r="Q921" t="n">
        <v>12.194</v>
      </c>
    </row>
    <row r="922">
      <c r="A922" t="inlineStr">
        <is>
          <t>MR24</t>
        </is>
      </c>
      <c r="B922" t="inlineStr">
        <is>
          <t>Merged_Table_Assay_lito</t>
        </is>
      </c>
      <c r="C922" t="inlineStr">
        <is>
          <t>metros de sondaje; pct sobre metros</t>
        </is>
      </c>
      <c r="D922" t="inlineStr">
        <is>
          <t>periodo_GM_LE2WASTE_Output</t>
        </is>
      </c>
      <c r="E922" t="inlineStr">
        <is>
          <t>2033</t>
        </is>
      </c>
      <c r="F922" t="inlineStr">
        <is>
          <t>ROCKCODE</t>
        </is>
      </c>
      <c r="G922" t="inlineStr">
        <is>
          <t>BCM</t>
        </is>
      </c>
      <c r="H922" t="inlineStr">
        <is>
          <t>sin asignar</t>
        </is>
      </c>
      <c r="I922" t="inlineStr">
        <is>
          <t>BCM</t>
        </is>
      </c>
      <c r="J922" t="inlineStr">
        <is>
          <t>ROCKCODE agrupado en ROCKCODE_NUMEQ=16; sigla sin leyenda</t>
        </is>
      </c>
      <c r="K922" t="inlineStr">
        <is>
          <t>Mármol (hipótesis: siglas M*)</t>
        </is>
      </c>
      <c r="L922" t="inlineStr">
        <is>
          <t>Metamorfico</t>
        </is>
      </c>
      <c r="M922" t="n">
        <v>9</v>
      </c>
      <c r="N922" t="inlineStr"/>
      <c r="O922" t="inlineStr"/>
      <c r="P922" t="n">
        <v>10.3</v>
      </c>
      <c r="Q922" t="n">
        <v>0.08599999999999999</v>
      </c>
    </row>
    <row r="923">
      <c r="A923" t="inlineStr">
        <is>
          <t>MR24</t>
        </is>
      </c>
      <c r="B923" t="inlineStr">
        <is>
          <t>Merged_Table_Assay_lito</t>
        </is>
      </c>
      <c r="C923" t="inlineStr">
        <is>
          <t>metros de sondaje; pct sobre metros</t>
        </is>
      </c>
      <c r="D923" t="inlineStr">
        <is>
          <t>periodo_GM_LE2WASTE_Output</t>
        </is>
      </c>
      <c r="E923" t="inlineStr">
        <is>
          <t>2033</t>
        </is>
      </c>
      <c r="F923" t="inlineStr">
        <is>
          <t>ROCKCODE</t>
        </is>
      </c>
      <c r="G923" t="inlineStr">
        <is>
          <t>BMIPPA</t>
        </is>
      </c>
      <c r="H923" t="inlineStr">
        <is>
          <t>Intrusivo</t>
        </is>
      </c>
      <c r="I923" t="inlineStr">
        <is>
          <t>BMIPPA</t>
        </is>
      </c>
      <c r="J923" t="inlineStr">
        <is>
          <t>ROCKCODE agrupado en ROCKCODE_NUMEQ=1 (Intrusivo_1)</t>
        </is>
      </c>
      <c r="K923" t="inlineStr">
        <is>
          <t>Intrusivo</t>
        </is>
      </c>
      <c r="L923" t="inlineStr">
        <is>
          <t>Intrusivo</t>
        </is>
      </c>
      <c r="M923" t="n">
        <v>4</v>
      </c>
      <c r="N923" t="inlineStr"/>
      <c r="O923" t="inlineStr"/>
      <c r="P923" t="n">
        <v>3.3</v>
      </c>
      <c r="Q923" t="n">
        <v>0.028</v>
      </c>
    </row>
    <row r="924">
      <c r="A924" t="inlineStr">
        <is>
          <t>MR24</t>
        </is>
      </c>
      <c r="B924" t="inlineStr">
        <is>
          <t>Merged_Table_Assay_lito</t>
        </is>
      </c>
      <c r="C924" t="inlineStr">
        <is>
          <t>metros de sondaje; pct sobre metros</t>
        </is>
      </c>
      <c r="D924" t="inlineStr">
        <is>
          <t>periodo_GM_LE2WASTE_Output</t>
        </is>
      </c>
      <c r="E924" t="inlineStr">
        <is>
          <t>2033</t>
        </is>
      </c>
      <c r="F924" t="inlineStr">
        <is>
          <t>ROCKCODE</t>
        </is>
      </c>
      <c r="G924" t="inlineStr">
        <is>
          <t>CA</t>
        </is>
      </c>
      <c r="H924" t="inlineStr">
        <is>
          <t>sin asignar</t>
        </is>
      </c>
      <c r="I924" t="inlineStr">
        <is>
          <t>CA</t>
        </is>
      </c>
      <c r="J924" t="inlineStr">
        <is>
          <t>ROCKCODE agrupado en ROCKCODE_NUMEQ=10; sigla sin leyenda</t>
        </is>
      </c>
      <c r="K924" t="inlineStr">
        <is>
          <t>Caliza (hipótesis: siglas C*)</t>
        </is>
      </c>
      <c r="L924" t="inlineStr">
        <is>
          <t>Sedimentario</t>
        </is>
      </c>
      <c r="M924" t="n">
        <v>33</v>
      </c>
      <c r="N924" t="inlineStr"/>
      <c r="O924" t="inlineStr"/>
      <c r="P924" t="n">
        <v>36.55</v>
      </c>
      <c r="Q924" t="n">
        <v>0.305</v>
      </c>
    </row>
    <row r="925">
      <c r="A925" t="inlineStr">
        <is>
          <t>MR24</t>
        </is>
      </c>
      <c r="B925" t="inlineStr">
        <is>
          <t>Merged_Table_Assay_lito</t>
        </is>
      </c>
      <c r="C925" t="inlineStr">
        <is>
          <t>metros de sondaje; pct sobre metros</t>
        </is>
      </c>
      <c r="D925" t="inlineStr">
        <is>
          <t>periodo_GM_LE2WASTE_Output</t>
        </is>
      </c>
      <c r="E925" t="inlineStr">
        <is>
          <t>2033</t>
        </is>
      </c>
      <c r="F925" t="inlineStr">
        <is>
          <t>ROCKCODE</t>
        </is>
      </c>
      <c r="G925" t="inlineStr">
        <is>
          <t>CBMN</t>
        </is>
      </c>
      <c r="H925" t="inlineStr">
        <is>
          <t>sin asignar</t>
        </is>
      </c>
      <c r="I925" t="inlineStr">
        <is>
          <t>CBMN</t>
        </is>
      </c>
      <c r="J925" t="inlineStr">
        <is>
          <t>ROCKCODE agrupado en ROCKCODE_NUMEQ=10; sigla sin leyenda</t>
        </is>
      </c>
      <c r="K925" t="inlineStr">
        <is>
          <t>Caliza (hipótesis: siglas C*)</t>
        </is>
      </c>
      <c r="L925" t="inlineStr">
        <is>
          <t>Sedimentario</t>
        </is>
      </c>
      <c r="M925" t="n">
        <v>19</v>
      </c>
      <c r="N925" t="inlineStr"/>
      <c r="O925" t="inlineStr"/>
      <c r="P925" t="n">
        <v>21.65</v>
      </c>
      <c r="Q925" t="n">
        <v>0.181</v>
      </c>
    </row>
    <row r="926">
      <c r="A926" t="inlineStr">
        <is>
          <t>MR24</t>
        </is>
      </c>
      <c r="B926" t="inlineStr">
        <is>
          <t>Merged_Table_Assay_lito</t>
        </is>
      </c>
      <c r="C926" t="inlineStr">
        <is>
          <t>metros de sondaje; pct sobre metros</t>
        </is>
      </c>
      <c r="D926" t="inlineStr">
        <is>
          <t>periodo_GM_LE2WASTE_Output</t>
        </is>
      </c>
      <c r="E926" t="inlineStr">
        <is>
          <t>2033</t>
        </is>
      </c>
      <c r="F926" t="inlineStr">
        <is>
          <t>ROCKCODE</t>
        </is>
      </c>
      <c r="G926" t="inlineStr">
        <is>
          <t>CF</t>
        </is>
      </c>
      <c r="H926" t="inlineStr">
        <is>
          <t>sin asignar</t>
        </is>
      </c>
      <c r="I926" t="inlineStr">
        <is>
          <t>CF</t>
        </is>
      </c>
      <c r="J926" t="inlineStr">
        <is>
          <t>ROCKCODE agrupado en ROCKCODE_NUMEQ=10; sigla sin leyenda</t>
        </is>
      </c>
      <c r="K926" t="inlineStr">
        <is>
          <t>Caliza (hipótesis: siglas C*)</t>
        </is>
      </c>
      <c r="L926" t="inlineStr">
        <is>
          <t>Sedimentario</t>
        </is>
      </c>
      <c r="M926" t="n">
        <v>2</v>
      </c>
      <c r="N926" t="inlineStr"/>
      <c r="O926" t="inlineStr"/>
      <c r="P926" t="n">
        <v>4.05</v>
      </c>
      <c r="Q926" t="n">
        <v>0.034</v>
      </c>
    </row>
    <row r="927">
      <c r="A927" t="inlineStr">
        <is>
          <t>MR24</t>
        </is>
      </c>
      <c r="B927" t="inlineStr">
        <is>
          <t>Merged_Table_Assay_lito</t>
        </is>
      </c>
      <c r="C927" t="inlineStr">
        <is>
          <t>metros de sondaje; pct sobre metros</t>
        </is>
      </c>
      <c r="D927" t="inlineStr">
        <is>
          <t>periodo_GM_LE2WASTE_Output</t>
        </is>
      </c>
      <c r="E927" t="inlineStr">
        <is>
          <t>2033</t>
        </is>
      </c>
      <c r="F927" t="inlineStr">
        <is>
          <t>ROCKCODE</t>
        </is>
      </c>
      <c r="G927" t="inlineStr">
        <is>
          <t>CG</t>
        </is>
      </c>
      <c r="H927" t="inlineStr">
        <is>
          <t>sin asignar</t>
        </is>
      </c>
      <c r="I927" t="inlineStr">
        <is>
          <t>CG</t>
        </is>
      </c>
      <c r="J927" t="inlineStr">
        <is>
          <t>ROCKCODE agrupado en ROCKCODE_NUMEQ=10; sigla sin leyenda</t>
        </is>
      </c>
      <c r="K927" t="inlineStr">
        <is>
          <t>Caliza (hipótesis: siglas C*)</t>
        </is>
      </c>
      <c r="L927" t="inlineStr">
        <is>
          <t>Sedimentario</t>
        </is>
      </c>
      <c r="M927" t="n">
        <v>189</v>
      </c>
      <c r="N927" t="inlineStr"/>
      <c r="O927" t="inlineStr"/>
      <c r="P927" t="n">
        <v>184.4</v>
      </c>
      <c r="Q927" t="n">
        <v>1.539</v>
      </c>
    </row>
    <row r="928">
      <c r="A928" t="inlineStr">
        <is>
          <t>MR24</t>
        </is>
      </c>
      <c r="B928" t="inlineStr">
        <is>
          <t>Merged_Table_Assay_lito</t>
        </is>
      </c>
      <c r="C928" t="inlineStr">
        <is>
          <t>metros de sondaje; pct sobre metros</t>
        </is>
      </c>
      <c r="D928" t="inlineStr">
        <is>
          <t>periodo_GM_LE2WASTE_Output</t>
        </is>
      </c>
      <c r="E928" t="inlineStr">
        <is>
          <t>2033</t>
        </is>
      </c>
      <c r="F928" t="inlineStr">
        <is>
          <t>ROCKCODE</t>
        </is>
      </c>
      <c r="G928" t="inlineStr">
        <is>
          <t>CGS</t>
        </is>
      </c>
      <c r="H928" t="inlineStr">
        <is>
          <t>sin asignar</t>
        </is>
      </c>
      <c r="I928" t="inlineStr">
        <is>
          <t>CGS</t>
        </is>
      </c>
      <c r="J928" t="inlineStr">
        <is>
          <t>ROCKCODE agrupado en ROCKCODE_NUMEQ=10; sigla sin leyenda</t>
        </is>
      </c>
      <c r="K928" t="inlineStr">
        <is>
          <t>Caliza (hipótesis: siglas C*)</t>
        </is>
      </c>
      <c r="L928" t="inlineStr">
        <is>
          <t>Sedimentario</t>
        </is>
      </c>
      <c r="M928" t="n">
        <v>304</v>
      </c>
      <c r="N928" t="inlineStr"/>
      <c r="O928" t="inlineStr"/>
      <c r="P928" t="n">
        <v>272.35</v>
      </c>
      <c r="Q928" t="n">
        <v>2.273</v>
      </c>
    </row>
    <row r="929">
      <c r="A929" t="inlineStr">
        <is>
          <t>MR24</t>
        </is>
      </c>
      <c r="B929" t="inlineStr">
        <is>
          <t>Merged_Table_Assay_lito</t>
        </is>
      </c>
      <c r="C929" t="inlineStr">
        <is>
          <t>metros de sondaje; pct sobre metros</t>
        </is>
      </c>
      <c r="D929" t="inlineStr">
        <is>
          <t>periodo_GM_LE2WASTE_Output</t>
        </is>
      </c>
      <c r="E929" t="inlineStr">
        <is>
          <t>2033</t>
        </is>
      </c>
      <c r="F929" t="inlineStr">
        <is>
          <t>ROCKCODE</t>
        </is>
      </c>
      <c r="G929" t="inlineStr">
        <is>
          <t>CN</t>
        </is>
      </c>
      <c r="H929" t="inlineStr">
        <is>
          <t>sin asignar</t>
        </is>
      </c>
      <c r="I929" t="inlineStr">
        <is>
          <t>CN</t>
        </is>
      </c>
      <c r="J929" t="inlineStr">
        <is>
          <t>ROCKCODE agrupado en ROCKCODE_NUMEQ=10; sigla sin leyenda</t>
        </is>
      </c>
      <c r="K929" t="inlineStr">
        <is>
          <t>Caliza (hipótesis: siglas C*)</t>
        </is>
      </c>
      <c r="L929" t="inlineStr">
        <is>
          <t>Sedimentario</t>
        </is>
      </c>
      <c r="M929" t="n">
        <v>69</v>
      </c>
      <c r="N929" t="inlineStr"/>
      <c r="O929" t="inlineStr"/>
      <c r="P929" t="n">
        <v>92.40000000000001</v>
      </c>
      <c r="Q929" t="n">
        <v>0.771</v>
      </c>
    </row>
    <row r="930">
      <c r="A930" t="inlineStr">
        <is>
          <t>MR24</t>
        </is>
      </c>
      <c r="B930" t="inlineStr">
        <is>
          <t>Merged_Table_Assay_lito</t>
        </is>
      </c>
      <c r="C930" t="inlineStr">
        <is>
          <t>metros de sondaje; pct sobre metros</t>
        </is>
      </c>
      <c r="D930" t="inlineStr">
        <is>
          <t>periodo_GM_LE2WASTE_Output</t>
        </is>
      </c>
      <c r="E930" t="inlineStr">
        <is>
          <t>2033</t>
        </is>
      </c>
      <c r="F930" t="inlineStr">
        <is>
          <t>ROCKCODE</t>
        </is>
      </c>
      <c r="G930" t="inlineStr">
        <is>
          <t>HBV</t>
        </is>
      </c>
      <c r="H930" t="inlineStr">
        <is>
          <t>sin asignar</t>
        </is>
      </c>
      <c r="I930" t="inlineStr">
        <is>
          <t>HBV</t>
        </is>
      </c>
      <c r="J930" t="inlineStr">
        <is>
          <t>ROCKCODE agrupado en ROCKCODE_NUMEQ=14; sigla sin leyenda</t>
        </is>
      </c>
      <c r="K930" t="inlineStr">
        <is>
          <t>Hornfels (hipótesis: siglas H*)</t>
        </is>
      </c>
      <c r="L930" t="inlineStr">
        <is>
          <t>Metamorfico</t>
        </is>
      </c>
      <c r="M930" t="n">
        <v>5</v>
      </c>
      <c r="N930" t="inlineStr"/>
      <c r="O930" t="inlineStr"/>
      <c r="P930" t="n">
        <v>4.05</v>
      </c>
      <c r="Q930" t="n">
        <v>0.034</v>
      </c>
    </row>
    <row r="931">
      <c r="A931" t="inlineStr">
        <is>
          <t>MR24</t>
        </is>
      </c>
      <c r="B931" t="inlineStr">
        <is>
          <t>Merged_Table_Assay_lito</t>
        </is>
      </c>
      <c r="C931" t="inlineStr">
        <is>
          <t>metros de sondaje; pct sobre metros</t>
        </is>
      </c>
      <c r="D931" t="inlineStr">
        <is>
          <t>periodo_GM_LE2WASTE_Output</t>
        </is>
      </c>
      <c r="E931" t="inlineStr">
        <is>
          <t>2033</t>
        </is>
      </c>
      <c r="F931" t="inlineStr">
        <is>
          <t>ROCKCODE</t>
        </is>
      </c>
      <c r="G931" t="inlineStr">
        <is>
          <t>HC</t>
        </is>
      </c>
      <c r="H931" t="inlineStr">
        <is>
          <t>sin asignar</t>
        </is>
      </c>
      <c r="I931" t="inlineStr">
        <is>
          <t>HC</t>
        </is>
      </c>
      <c r="J931" t="inlineStr">
        <is>
          <t>ROCKCODE agrupado en ROCKCODE_NUMEQ=13; sigla sin leyenda</t>
        </is>
      </c>
      <c r="K931" t="inlineStr">
        <is>
          <t>Hornfels (hipótesis: siglas H*)</t>
        </is>
      </c>
      <c r="L931" t="inlineStr">
        <is>
          <t>Metamorfico</t>
        </is>
      </c>
      <c r="M931" t="n">
        <v>29</v>
      </c>
      <c r="N931" t="inlineStr"/>
      <c r="O931" t="inlineStr"/>
      <c r="P931" t="n">
        <v>20.65</v>
      </c>
      <c r="Q931" t="n">
        <v>0.172</v>
      </c>
    </row>
    <row r="932">
      <c r="A932" t="inlineStr">
        <is>
          <t>MR24</t>
        </is>
      </c>
      <c r="B932" t="inlineStr">
        <is>
          <t>Merged_Table_Assay_lito</t>
        </is>
      </c>
      <c r="C932" t="inlineStr">
        <is>
          <t>metros de sondaje; pct sobre metros</t>
        </is>
      </c>
      <c r="D932" t="inlineStr">
        <is>
          <t>periodo_GM_LE2WASTE_Output</t>
        </is>
      </c>
      <c r="E932" t="inlineStr">
        <is>
          <t>2033</t>
        </is>
      </c>
      <c r="F932" t="inlineStr">
        <is>
          <t>ROCKCODE</t>
        </is>
      </c>
      <c r="G932" t="inlineStr">
        <is>
          <t>HDP</t>
        </is>
      </c>
      <c r="H932" t="inlineStr">
        <is>
          <t>sin asignar</t>
        </is>
      </c>
      <c r="I932" t="inlineStr">
        <is>
          <t>HDP</t>
        </is>
      </c>
      <c r="J932" t="inlineStr">
        <is>
          <t>ROCKCODE agrupado en ROCKCODE_NUMEQ=14; sigla sin leyenda</t>
        </is>
      </c>
      <c r="K932" t="inlineStr">
        <is>
          <t>Hornfels (hipótesis: siglas H*)</t>
        </is>
      </c>
      <c r="L932" t="inlineStr">
        <is>
          <t>Metamorfico</t>
        </is>
      </c>
      <c r="M932" t="n">
        <v>19</v>
      </c>
      <c r="N932" t="inlineStr"/>
      <c r="O932" t="inlineStr"/>
      <c r="P932" t="n">
        <v>27.25</v>
      </c>
      <c r="Q932" t="n">
        <v>0.227</v>
      </c>
    </row>
    <row r="933">
      <c r="A933" t="inlineStr">
        <is>
          <t>MR24</t>
        </is>
      </c>
      <c r="B933" t="inlineStr">
        <is>
          <t>Merged_Table_Assay_lito</t>
        </is>
      </c>
      <c r="C933" t="inlineStr">
        <is>
          <t>metros de sondaje; pct sobre metros</t>
        </is>
      </c>
      <c r="D933" t="inlineStr">
        <is>
          <t>periodo_GM_LE2WASTE_Output</t>
        </is>
      </c>
      <c r="E933" t="inlineStr">
        <is>
          <t>2033</t>
        </is>
      </c>
      <c r="F933" t="inlineStr">
        <is>
          <t>ROCKCODE</t>
        </is>
      </c>
      <c r="G933" t="inlineStr">
        <is>
          <t>HG</t>
        </is>
      </c>
      <c r="H933" t="inlineStr">
        <is>
          <t>sin asignar</t>
        </is>
      </c>
      <c r="I933" t="inlineStr">
        <is>
          <t>HG</t>
        </is>
      </c>
      <c r="J933" t="inlineStr">
        <is>
          <t>ROCKCODE agrupado en ROCKCODE_NUMEQ=13; sigla sin leyenda</t>
        </is>
      </c>
      <c r="K933" t="inlineStr">
        <is>
          <t>Hornfels (hipótesis: siglas H*)</t>
        </is>
      </c>
      <c r="L933" t="inlineStr">
        <is>
          <t>Metamorfico</t>
        </is>
      </c>
      <c r="M933" t="n">
        <v>86</v>
      </c>
      <c r="N933" t="inlineStr"/>
      <c r="O933" t="inlineStr"/>
      <c r="P933" t="n">
        <v>89.90000000000001</v>
      </c>
      <c r="Q933" t="n">
        <v>0.75</v>
      </c>
    </row>
    <row r="934">
      <c r="A934" t="inlineStr">
        <is>
          <t>MR24</t>
        </is>
      </c>
      <c r="B934" t="inlineStr">
        <is>
          <t>Merged_Table_Assay_lito</t>
        </is>
      </c>
      <c r="C934" t="inlineStr">
        <is>
          <t>metros de sondaje; pct sobre metros</t>
        </is>
      </c>
      <c r="D934" t="inlineStr">
        <is>
          <t>periodo_GM_LE2WASTE_Output</t>
        </is>
      </c>
      <c r="E934" t="inlineStr">
        <is>
          <t>2033</t>
        </is>
      </c>
      <c r="F934" t="inlineStr">
        <is>
          <t>ROCKCODE</t>
        </is>
      </c>
      <c r="G934" t="inlineStr">
        <is>
          <t>HGS</t>
        </is>
      </c>
      <c r="H934" t="inlineStr">
        <is>
          <t>sin asignar</t>
        </is>
      </c>
      <c r="I934" t="inlineStr">
        <is>
          <t>HGS</t>
        </is>
      </c>
      <c r="J934" t="inlineStr">
        <is>
          <t>ROCKCODE agrupado en ROCKCODE_NUMEQ=13; sigla sin leyenda</t>
        </is>
      </c>
      <c r="K934" t="inlineStr">
        <is>
          <t>Hornfels (hipótesis: siglas H*)</t>
        </is>
      </c>
      <c r="L934" t="inlineStr">
        <is>
          <t>Metamorfico</t>
        </is>
      </c>
      <c r="M934" t="n">
        <v>71</v>
      </c>
      <c r="N934" t="inlineStr"/>
      <c r="O934" t="inlineStr"/>
      <c r="P934" t="n">
        <v>61.15</v>
      </c>
      <c r="Q934" t="n">
        <v>0.51</v>
      </c>
    </row>
    <row r="935">
      <c r="A935" t="inlineStr">
        <is>
          <t>MR24</t>
        </is>
      </c>
      <c r="B935" t="inlineStr">
        <is>
          <t>Merged_Table_Assay_lito</t>
        </is>
      </c>
      <c r="C935" t="inlineStr">
        <is>
          <t>metros de sondaje; pct sobre metros</t>
        </is>
      </c>
      <c r="D935" t="inlineStr">
        <is>
          <t>periodo_GM_LE2WASTE_Output</t>
        </is>
      </c>
      <c r="E935" t="inlineStr">
        <is>
          <t>2033</t>
        </is>
      </c>
      <c r="F935" t="inlineStr">
        <is>
          <t>ROCKCODE</t>
        </is>
      </c>
      <c r="G935" t="inlineStr">
        <is>
          <t>HGV</t>
        </is>
      </c>
      <c r="H935" t="inlineStr">
        <is>
          <t>sin asignar</t>
        </is>
      </c>
      <c r="I935" t="inlineStr">
        <is>
          <t>HGV</t>
        </is>
      </c>
      <c r="J935" t="inlineStr">
        <is>
          <t>ROCKCODE agrupado en ROCKCODE_NUMEQ=14; sigla sin leyenda</t>
        </is>
      </c>
      <c r="K935" t="inlineStr">
        <is>
          <t>Hornfels (hipótesis: siglas H*)</t>
        </is>
      </c>
      <c r="L935" t="inlineStr">
        <is>
          <t>Metamorfico</t>
        </is>
      </c>
      <c r="M935" t="n">
        <v>31</v>
      </c>
      <c r="N935" t="inlineStr"/>
      <c r="O935" t="inlineStr"/>
      <c r="P935" t="n">
        <v>23.5</v>
      </c>
      <c r="Q935" t="n">
        <v>0.196</v>
      </c>
    </row>
    <row r="936">
      <c r="A936" t="inlineStr">
        <is>
          <t>MR24</t>
        </is>
      </c>
      <c r="B936" t="inlineStr">
        <is>
          <t>Merged_Table_Assay_lito</t>
        </is>
      </c>
      <c r="C936" t="inlineStr">
        <is>
          <t>metros de sondaje; pct sobre metros</t>
        </is>
      </c>
      <c r="D936" t="inlineStr">
        <is>
          <t>periodo_GM_LE2WASTE_Output</t>
        </is>
      </c>
      <c r="E936" t="inlineStr">
        <is>
          <t>2033</t>
        </is>
      </c>
      <c r="F936" t="inlineStr">
        <is>
          <t>ROCKCODE</t>
        </is>
      </c>
      <c r="G936" t="inlineStr">
        <is>
          <t>IPPA</t>
        </is>
      </c>
      <c r="H936" t="inlineStr">
        <is>
          <t>Intrusivo</t>
        </is>
      </c>
      <c r="I936" t="inlineStr">
        <is>
          <t>IPPA</t>
        </is>
      </c>
      <c r="J936" t="inlineStr">
        <is>
          <t>ROCKCODE agrupado en ROCKCODE_NUMEQ=1 (Intrusivo_1)</t>
        </is>
      </c>
      <c r="K936" t="inlineStr">
        <is>
          <t>Intrusivo</t>
        </is>
      </c>
      <c r="L936" t="inlineStr">
        <is>
          <t>Intrusivo</t>
        </is>
      </c>
      <c r="M936" t="n">
        <v>2258</v>
      </c>
      <c r="N936" t="inlineStr"/>
      <c r="O936" t="inlineStr"/>
      <c r="P936" t="n">
        <v>2597.7</v>
      </c>
      <c r="Q936" t="n">
        <v>21.677</v>
      </c>
    </row>
    <row r="937">
      <c r="A937" t="inlineStr">
        <is>
          <t>MR24</t>
        </is>
      </c>
      <c r="B937" t="inlineStr">
        <is>
          <t>Merged_Table_Assay_lito</t>
        </is>
      </c>
      <c r="C937" t="inlineStr">
        <is>
          <t>metros de sondaje; pct sobre metros</t>
        </is>
      </c>
      <c r="D937" t="inlineStr">
        <is>
          <t>periodo_GM_LE2WASTE_Output</t>
        </is>
      </c>
      <c r="E937" t="inlineStr">
        <is>
          <t>2033</t>
        </is>
      </c>
      <c r="F937" t="inlineStr">
        <is>
          <t>ROCKCODE</t>
        </is>
      </c>
      <c r="G937" t="inlineStr">
        <is>
          <t>IPPAMO</t>
        </is>
      </c>
      <c r="H937" t="inlineStr">
        <is>
          <t>Intrusivo</t>
        </is>
      </c>
      <c r="I937" t="inlineStr">
        <is>
          <t>IPPAMO</t>
        </is>
      </c>
      <c r="J937" t="inlineStr">
        <is>
          <t>ROCKCODE agrupado en ROCKCODE_NUMEQ=1 (Intrusivo_1)</t>
        </is>
      </c>
      <c r="K937" t="inlineStr">
        <is>
          <t>Intrusivo</t>
        </is>
      </c>
      <c r="L937" t="inlineStr">
        <is>
          <t>Intrusivo</t>
        </is>
      </c>
      <c r="M937" t="n">
        <v>26</v>
      </c>
      <c r="N937" t="inlineStr"/>
      <c r="O937" t="inlineStr"/>
      <c r="P937" t="n">
        <v>40.25</v>
      </c>
      <c r="Q937" t="n">
        <v>0.336</v>
      </c>
    </row>
    <row r="938">
      <c r="A938" t="inlineStr">
        <is>
          <t>MR24</t>
        </is>
      </c>
      <c r="B938" t="inlineStr">
        <is>
          <t>Merged_Table_Assay_lito</t>
        </is>
      </c>
      <c r="C938" t="inlineStr">
        <is>
          <t>metros de sondaje; pct sobre metros</t>
        </is>
      </c>
      <c r="D938" t="inlineStr">
        <is>
          <t>periodo_GM_LE2WASTE_Output</t>
        </is>
      </c>
      <c r="E938" t="inlineStr">
        <is>
          <t>2033</t>
        </is>
      </c>
      <c r="F938" t="inlineStr">
        <is>
          <t>ROCKCODE</t>
        </is>
      </c>
      <c r="G938" t="inlineStr">
        <is>
          <t>IPPAO</t>
        </is>
      </c>
      <c r="H938" t="inlineStr">
        <is>
          <t>Intrusivo</t>
        </is>
      </c>
      <c r="I938" t="inlineStr">
        <is>
          <t>IPPAO</t>
        </is>
      </c>
      <c r="J938" t="inlineStr">
        <is>
          <t>ROCKCODE agrupado en ROCKCODE_NUMEQ=1 (Intrusivo_1)</t>
        </is>
      </c>
      <c r="K938" t="inlineStr">
        <is>
          <t>Intrusivo</t>
        </is>
      </c>
      <c r="L938" t="inlineStr">
        <is>
          <t>Intrusivo</t>
        </is>
      </c>
      <c r="M938" t="n">
        <v>448</v>
      </c>
      <c r="N938" t="inlineStr"/>
      <c r="O938" t="inlineStr"/>
      <c r="P938" t="n">
        <v>709.95</v>
      </c>
      <c r="Q938" t="n">
        <v>5.924</v>
      </c>
    </row>
    <row r="939">
      <c r="A939" t="inlineStr">
        <is>
          <t>MR24</t>
        </is>
      </c>
      <c r="B939" t="inlineStr">
        <is>
          <t>Merged_Table_Assay_lito</t>
        </is>
      </c>
      <c r="C939" t="inlineStr">
        <is>
          <t>metros de sondaje; pct sobre metros</t>
        </is>
      </c>
      <c r="D939" t="inlineStr">
        <is>
          <t>periodo_GM_LE2WASTE_Output</t>
        </is>
      </c>
      <c r="E939" t="inlineStr">
        <is>
          <t>2033</t>
        </is>
      </c>
      <c r="F939" t="inlineStr">
        <is>
          <t>ROCKCODE</t>
        </is>
      </c>
      <c r="G939" t="inlineStr">
        <is>
          <t>IPPEO</t>
        </is>
      </c>
      <c r="H939" t="inlineStr">
        <is>
          <t>Intrusivo</t>
        </is>
      </c>
      <c r="I939" t="inlineStr">
        <is>
          <t>IPPEO</t>
        </is>
      </c>
      <c r="J939" t="inlineStr">
        <is>
          <t>ROCKCODE agrupado en ROCKCODE_NUMEQ=1 (Intrusivo_1)</t>
        </is>
      </c>
      <c r="K939" t="inlineStr">
        <is>
          <t>Intrusivo</t>
        </is>
      </c>
      <c r="L939" t="inlineStr">
        <is>
          <t>Intrusivo</t>
        </is>
      </c>
      <c r="M939" t="n">
        <v>49</v>
      </c>
      <c r="N939" t="inlineStr"/>
      <c r="O939" t="inlineStr"/>
      <c r="P939" t="n">
        <v>57.3</v>
      </c>
      <c r="Q939" t="n">
        <v>0.478</v>
      </c>
    </row>
    <row r="940">
      <c r="A940" t="inlineStr">
        <is>
          <t>MR24</t>
        </is>
      </c>
      <c r="B940" t="inlineStr">
        <is>
          <t>Merged_Table_Assay_lito</t>
        </is>
      </c>
      <c r="C940" t="inlineStr">
        <is>
          <t>metros de sondaje; pct sobre metros</t>
        </is>
      </c>
      <c r="D940" t="inlineStr">
        <is>
          <t>periodo_GM_LE2WASTE_Output</t>
        </is>
      </c>
      <c r="E940" t="inlineStr">
        <is>
          <t>2033</t>
        </is>
      </c>
      <c r="F940" t="inlineStr">
        <is>
          <t>ROCKCODE</t>
        </is>
      </c>
      <c r="G940" t="inlineStr">
        <is>
          <t>M</t>
        </is>
      </c>
      <c r="H940" t="inlineStr">
        <is>
          <t>sin asignar</t>
        </is>
      </c>
      <c r="I940" t="inlineStr">
        <is>
          <t>M</t>
        </is>
      </c>
      <c r="J940" t="inlineStr">
        <is>
          <t>ROCKCODE agrupado en ROCKCODE_NUMEQ=16; sigla sin leyenda</t>
        </is>
      </c>
      <c r="K940" t="inlineStr">
        <is>
          <t>Mármol (hipótesis: siglas M*)</t>
        </is>
      </c>
      <c r="L940" t="inlineStr">
        <is>
          <t>Metamorfico</t>
        </is>
      </c>
      <c r="M940" t="n">
        <v>1</v>
      </c>
      <c r="N940" t="inlineStr"/>
      <c r="O940" t="inlineStr"/>
      <c r="P940" t="n">
        <v>2.8</v>
      </c>
      <c r="Q940" t="n">
        <v>0.023</v>
      </c>
    </row>
    <row r="941">
      <c r="A941" t="inlineStr">
        <is>
          <t>MR24</t>
        </is>
      </c>
      <c r="B941" t="inlineStr">
        <is>
          <t>Merged_Table_Assay_lito</t>
        </is>
      </c>
      <c r="C941" t="inlineStr">
        <is>
          <t>metros de sondaje; pct sobre metros</t>
        </is>
      </c>
      <c r="D941" t="inlineStr">
        <is>
          <t>periodo_GM_LE2WASTE_Output</t>
        </is>
      </c>
      <c r="E941" t="inlineStr">
        <is>
          <t>2033</t>
        </is>
      </c>
      <c r="F941" t="inlineStr">
        <is>
          <t>ROCKCODE</t>
        </is>
      </c>
      <c r="G941" t="inlineStr">
        <is>
          <t>MC</t>
        </is>
      </c>
      <c r="H941" t="inlineStr">
        <is>
          <t>sin asignar</t>
        </is>
      </c>
      <c r="I941" t="inlineStr">
        <is>
          <t>MC</t>
        </is>
      </c>
      <c r="J941" t="inlineStr">
        <is>
          <t>ROCKCODE agrupado en ROCKCODE_NUMEQ=16; sigla sin leyenda</t>
        </is>
      </c>
      <c r="K941" t="inlineStr">
        <is>
          <t>Mármol (hipótesis: siglas M*)</t>
        </is>
      </c>
      <c r="L941" t="inlineStr">
        <is>
          <t>Metamorfico</t>
        </is>
      </c>
      <c r="M941" t="n">
        <v>2001</v>
      </c>
      <c r="N941" t="inlineStr"/>
      <c r="O941" t="inlineStr"/>
      <c r="P941" t="n">
        <v>2316.92</v>
      </c>
      <c r="Q941" t="n">
        <v>19.334</v>
      </c>
    </row>
    <row r="942">
      <c r="A942" t="inlineStr">
        <is>
          <t>MR24</t>
        </is>
      </c>
      <c r="B942" t="inlineStr">
        <is>
          <t>Merged_Table_Assay_lito</t>
        </is>
      </c>
      <c r="C942" t="inlineStr">
        <is>
          <t>metros de sondaje; pct sobre metros</t>
        </is>
      </c>
      <c r="D942" t="inlineStr">
        <is>
          <t>periodo_GM_LE2WASTE_Output</t>
        </is>
      </c>
      <c r="E942" t="inlineStr">
        <is>
          <t>2033</t>
        </is>
      </c>
      <c r="F942" t="inlineStr">
        <is>
          <t>ROCKCODE</t>
        </is>
      </c>
      <c r="G942" t="inlineStr">
        <is>
          <t>MCB</t>
        </is>
      </c>
      <c r="H942" t="inlineStr">
        <is>
          <t>sin asignar</t>
        </is>
      </c>
      <c r="I942" t="inlineStr">
        <is>
          <t>MCB</t>
        </is>
      </c>
      <c r="J942" t="inlineStr">
        <is>
          <t>ROCKCODE agrupado en ROCKCODE_NUMEQ=16; sigla sin leyenda</t>
        </is>
      </c>
      <c r="K942" t="inlineStr">
        <is>
          <t>Mármol (hipótesis: siglas M*)</t>
        </is>
      </c>
      <c r="L942" t="inlineStr">
        <is>
          <t>Metamorfico</t>
        </is>
      </c>
      <c r="M942" t="n">
        <v>560</v>
      </c>
      <c r="N942" t="inlineStr"/>
      <c r="O942" t="inlineStr"/>
      <c r="P942" t="n">
        <v>652.55</v>
      </c>
      <c r="Q942" t="n">
        <v>5.445</v>
      </c>
    </row>
    <row r="943">
      <c r="A943" t="inlineStr">
        <is>
          <t>MR24</t>
        </is>
      </c>
      <c r="B943" t="inlineStr">
        <is>
          <t>Merged_Table_Assay_lito</t>
        </is>
      </c>
      <c r="C943" t="inlineStr">
        <is>
          <t>metros de sondaje; pct sobre metros</t>
        </is>
      </c>
      <c r="D943" t="inlineStr">
        <is>
          <t>periodo_GM_LE2WASTE_Output</t>
        </is>
      </c>
      <c r="E943" t="inlineStr">
        <is>
          <t>2033</t>
        </is>
      </c>
      <c r="F943" t="inlineStr">
        <is>
          <t>ROCKCODE</t>
        </is>
      </c>
      <c r="G943" t="inlineStr">
        <is>
          <t>MCGB</t>
        </is>
      </c>
      <c r="H943" t="inlineStr">
        <is>
          <t>sin asignar</t>
        </is>
      </c>
      <c r="I943" t="inlineStr">
        <is>
          <t>MCGB</t>
        </is>
      </c>
      <c r="J943" t="inlineStr">
        <is>
          <t>ROCKCODE agrupado en ROCKCODE_NUMEQ=16; sigla sin leyenda</t>
        </is>
      </c>
      <c r="K943" t="inlineStr">
        <is>
          <t>Mármol (hipótesis: siglas M*)</t>
        </is>
      </c>
      <c r="L943" t="inlineStr">
        <is>
          <t>Metamorfico</t>
        </is>
      </c>
      <c r="M943" t="n">
        <v>667</v>
      </c>
      <c r="N943" t="inlineStr"/>
      <c r="O943" t="inlineStr"/>
      <c r="P943" t="n">
        <v>619.35</v>
      </c>
      <c r="Q943" t="n">
        <v>5.168</v>
      </c>
    </row>
    <row r="944">
      <c r="A944" t="inlineStr">
        <is>
          <t>MR24</t>
        </is>
      </c>
      <c r="B944" t="inlineStr">
        <is>
          <t>Merged_Table_Assay_lito</t>
        </is>
      </c>
      <c r="C944" t="inlineStr">
        <is>
          <t>metros de sondaje; pct sobre metros</t>
        </is>
      </c>
      <c r="D944" t="inlineStr">
        <is>
          <t>periodo_GM_LE2WASTE_Output</t>
        </is>
      </c>
      <c r="E944" t="inlineStr">
        <is>
          <t>2033</t>
        </is>
      </c>
      <c r="F944" t="inlineStr">
        <is>
          <t>ROCKCODE</t>
        </is>
      </c>
      <c r="G944" t="inlineStr">
        <is>
          <t>MDP</t>
        </is>
      </c>
      <c r="H944" t="inlineStr">
        <is>
          <t>sin asignar</t>
        </is>
      </c>
      <c r="I944" t="inlineStr">
        <is>
          <t>MDP</t>
        </is>
      </c>
      <c r="J944" t="inlineStr">
        <is>
          <t>ROCKCODE agrupado en ROCKCODE_NUMEQ=19; sigla sin leyenda</t>
        </is>
      </c>
      <c r="K944" t="inlineStr">
        <is>
          <t>Mármol (hipótesis: sigla MDP)</t>
        </is>
      </c>
      <c r="L944" t="inlineStr">
        <is>
          <t>Metamorfico</t>
        </is>
      </c>
      <c r="M944" t="n">
        <v>2974</v>
      </c>
      <c r="N944" t="inlineStr"/>
      <c r="O944" t="inlineStr"/>
      <c r="P944" t="n">
        <v>3027.27</v>
      </c>
      <c r="Q944" t="n">
        <v>25.262</v>
      </c>
    </row>
    <row r="945">
      <c r="A945" t="inlineStr">
        <is>
          <t>MR24</t>
        </is>
      </c>
      <c r="B945" t="inlineStr">
        <is>
          <t>Merged_Table_Assay_lito</t>
        </is>
      </c>
      <c r="C945" t="inlineStr">
        <is>
          <t>metros de sondaje; pct sobre metros</t>
        </is>
      </c>
      <c r="D945" t="inlineStr">
        <is>
          <t>periodo_GM_LE2WASTE_Output</t>
        </is>
      </c>
      <c r="E945" t="inlineStr">
        <is>
          <t>2033</t>
        </is>
      </c>
      <c r="F945" t="inlineStr">
        <is>
          <t>ROCKCODE</t>
        </is>
      </c>
      <c r="G945" t="inlineStr">
        <is>
          <t>MG</t>
        </is>
      </c>
      <c r="H945" t="inlineStr">
        <is>
          <t>sin asignar</t>
        </is>
      </c>
      <c r="I945" t="inlineStr">
        <is>
          <t>MG</t>
        </is>
      </c>
      <c r="J945" t="inlineStr">
        <is>
          <t>ROCKCODE agrupado en ROCKCODE_NUMEQ=16; sigla sin leyenda</t>
        </is>
      </c>
      <c r="K945" t="inlineStr">
        <is>
          <t>Mármol (hipótesis: siglas M*)</t>
        </is>
      </c>
      <c r="L945" t="inlineStr">
        <is>
          <t>Metamorfico</t>
        </is>
      </c>
      <c r="M945" t="n">
        <v>363</v>
      </c>
      <c r="N945" t="inlineStr"/>
      <c r="O945" t="inlineStr"/>
      <c r="P945" t="n">
        <v>390.7</v>
      </c>
      <c r="Q945" t="n">
        <v>3.26</v>
      </c>
    </row>
    <row r="946">
      <c r="A946" t="inlineStr">
        <is>
          <t>MR24</t>
        </is>
      </c>
      <c r="B946" t="inlineStr">
        <is>
          <t>Merged_Table_Assay_lito</t>
        </is>
      </c>
      <c r="C946" t="inlineStr">
        <is>
          <t>metros de sondaje; pct sobre metros</t>
        </is>
      </c>
      <c r="D946" t="inlineStr">
        <is>
          <t>periodo_GM_LE2WASTE_Output</t>
        </is>
      </c>
      <c r="E946" t="inlineStr">
        <is>
          <t>2033</t>
        </is>
      </c>
      <c r="F946" t="inlineStr">
        <is>
          <t>ROCKCODE</t>
        </is>
      </c>
      <c r="G946" t="inlineStr">
        <is>
          <t>MGS</t>
        </is>
      </c>
      <c r="H946" t="inlineStr">
        <is>
          <t>sin asignar</t>
        </is>
      </c>
      <c r="I946" t="inlineStr">
        <is>
          <t>MGS</t>
        </is>
      </c>
      <c r="J946" t="inlineStr">
        <is>
          <t>ROCKCODE agrupado en ROCKCODE_NUMEQ=16; sigla sin leyenda</t>
        </is>
      </c>
      <c r="K946" t="inlineStr">
        <is>
          <t>Mármol (hipótesis: siglas M*)</t>
        </is>
      </c>
      <c r="L946" t="inlineStr">
        <is>
          <t>Metamorfico</t>
        </is>
      </c>
      <c r="M946" t="n">
        <v>76</v>
      </c>
      <c r="N946" t="inlineStr"/>
      <c r="O946" t="inlineStr"/>
      <c r="P946" t="n">
        <v>105.25</v>
      </c>
      <c r="Q946" t="n">
        <v>0.878</v>
      </c>
    </row>
    <row r="947">
      <c r="A947" t="inlineStr">
        <is>
          <t>MR24</t>
        </is>
      </c>
      <c r="B947" t="inlineStr">
        <is>
          <t>Merged_Table_Assay_lito</t>
        </is>
      </c>
      <c r="C947" t="inlineStr">
        <is>
          <t>metros de sondaje; pct sobre metros</t>
        </is>
      </c>
      <c r="D947" t="inlineStr">
        <is>
          <t>periodo_GM_LE2WASTE_Output</t>
        </is>
      </c>
      <c r="E947" t="inlineStr">
        <is>
          <t>2033</t>
        </is>
      </c>
      <c r="F947" t="inlineStr">
        <is>
          <t>ROCKCODE</t>
        </is>
      </c>
      <c r="G947" t="inlineStr">
        <is>
          <t>MPA</t>
        </is>
      </c>
      <c r="H947" t="inlineStr">
        <is>
          <t>sin asignar</t>
        </is>
      </c>
      <c r="I947" t="inlineStr">
        <is>
          <t>MPA</t>
        </is>
      </c>
      <c r="J947" t="inlineStr">
        <is>
          <t>ROCKCODE agrupado en ROCKCODE_NUMEQ=16; sigla sin leyenda</t>
        </is>
      </c>
      <c r="K947" t="inlineStr">
        <is>
          <t>Mármol (hipótesis: siglas M*)</t>
        </is>
      </c>
      <c r="L947" t="inlineStr">
        <is>
          <t>Metamorfico</t>
        </is>
      </c>
      <c r="M947" t="n">
        <v>559</v>
      </c>
      <c r="N947" t="inlineStr"/>
      <c r="O947" t="inlineStr"/>
      <c r="P947" t="n">
        <v>612.05</v>
      </c>
      <c r="Q947" t="n">
        <v>5.107</v>
      </c>
    </row>
    <row r="948">
      <c r="A948" t="inlineStr">
        <is>
          <t>MR24</t>
        </is>
      </c>
      <c r="B948" t="inlineStr">
        <is>
          <t>Merged_Table_Assay_lito</t>
        </is>
      </c>
      <c r="C948" t="inlineStr">
        <is>
          <t>metros de sondaje; pct sobre metros</t>
        </is>
      </c>
      <c r="D948" t="inlineStr">
        <is>
          <t>periodo_GM_LE2WASTE_Output</t>
        </is>
      </c>
      <c r="E948" t="inlineStr">
        <is>
          <t>2034</t>
        </is>
      </c>
      <c r="F948" t="inlineStr">
        <is>
          <t>ROCKCODE</t>
        </is>
      </c>
      <c r="G948" t="inlineStr">
        <is>
          <t>BCIPPA</t>
        </is>
      </c>
      <c r="H948" t="inlineStr">
        <is>
          <t>Intrusivo</t>
        </is>
      </c>
      <c r="I948" t="inlineStr">
        <is>
          <t>BCIPPA</t>
        </is>
      </c>
      <c r="J948" t="inlineStr">
        <is>
          <t>ROCKCODE agrupado en ROCKCODE_NUMEQ=1 (Intrusivo_1)</t>
        </is>
      </c>
      <c r="K948" t="inlineStr">
        <is>
          <t>Intrusivo</t>
        </is>
      </c>
      <c r="L948" t="inlineStr">
        <is>
          <t>Intrusivo</t>
        </is>
      </c>
      <c r="M948" t="n">
        <v>2</v>
      </c>
      <c r="N948" t="inlineStr"/>
      <c r="O948" t="inlineStr"/>
      <c r="P948" t="n">
        <v>4.6</v>
      </c>
      <c r="Q948" t="n">
        <v>0.056</v>
      </c>
    </row>
    <row r="949">
      <c r="A949" t="inlineStr">
        <is>
          <t>MR24</t>
        </is>
      </c>
      <c r="B949" t="inlineStr">
        <is>
          <t>Merged_Table_Assay_lito</t>
        </is>
      </c>
      <c r="C949" t="inlineStr">
        <is>
          <t>metros de sondaje; pct sobre metros</t>
        </is>
      </c>
      <c r="D949" t="inlineStr">
        <is>
          <t>periodo_GM_LE2WASTE_Output</t>
        </is>
      </c>
      <c r="E949" t="inlineStr">
        <is>
          <t>2034</t>
        </is>
      </c>
      <c r="F949" t="inlineStr">
        <is>
          <t>ROCKCODE</t>
        </is>
      </c>
      <c r="G949" t="inlineStr">
        <is>
          <t>CA</t>
        </is>
      </c>
      <c r="H949" t="inlineStr">
        <is>
          <t>sin asignar</t>
        </is>
      </c>
      <c r="I949" t="inlineStr">
        <is>
          <t>CA</t>
        </is>
      </c>
      <c r="J949" t="inlineStr">
        <is>
          <t>ROCKCODE agrupado en ROCKCODE_NUMEQ=10; sigla sin leyenda</t>
        </is>
      </c>
      <c r="K949" t="inlineStr">
        <is>
          <t>Caliza (hipótesis: siglas C*)</t>
        </is>
      </c>
      <c r="L949" t="inlineStr">
        <is>
          <t>Sedimentario</t>
        </is>
      </c>
      <c r="M949" t="n">
        <v>276</v>
      </c>
      <c r="N949" t="inlineStr"/>
      <c r="O949" t="inlineStr"/>
      <c r="P949" t="n">
        <v>240.5</v>
      </c>
      <c r="Q949" t="n">
        <v>2.939</v>
      </c>
    </row>
    <row r="950">
      <c r="A950" t="inlineStr">
        <is>
          <t>MR24</t>
        </is>
      </c>
      <c r="B950" t="inlineStr">
        <is>
          <t>Merged_Table_Assay_lito</t>
        </is>
      </c>
      <c r="C950" t="inlineStr">
        <is>
          <t>metros de sondaje; pct sobre metros</t>
        </is>
      </c>
      <c r="D950" t="inlineStr">
        <is>
          <t>periodo_GM_LE2WASTE_Output</t>
        </is>
      </c>
      <c r="E950" t="inlineStr">
        <is>
          <t>2034</t>
        </is>
      </c>
      <c r="F950" t="inlineStr">
        <is>
          <t>ROCKCODE</t>
        </is>
      </c>
      <c r="G950" t="inlineStr">
        <is>
          <t>CBMN</t>
        </is>
      </c>
      <c r="H950" t="inlineStr">
        <is>
          <t>sin asignar</t>
        </is>
      </c>
      <c r="I950" t="inlineStr">
        <is>
          <t>CBMN</t>
        </is>
      </c>
      <c r="J950" t="inlineStr">
        <is>
          <t>ROCKCODE agrupado en ROCKCODE_NUMEQ=10; sigla sin leyenda</t>
        </is>
      </c>
      <c r="K950" t="inlineStr">
        <is>
          <t>Caliza (hipótesis: siglas C*)</t>
        </is>
      </c>
      <c r="L950" t="inlineStr">
        <is>
          <t>Sedimentario</t>
        </is>
      </c>
      <c r="M950" t="n">
        <v>47</v>
      </c>
      <c r="N950" t="inlineStr"/>
      <c r="O950" t="inlineStr"/>
      <c r="P950" t="n">
        <v>34.4</v>
      </c>
      <c r="Q950" t="n">
        <v>0.42</v>
      </c>
    </row>
    <row r="951">
      <c r="A951" t="inlineStr">
        <is>
          <t>MR24</t>
        </is>
      </c>
      <c r="B951" t="inlineStr">
        <is>
          <t>Merged_Table_Assay_lito</t>
        </is>
      </c>
      <c r="C951" t="inlineStr">
        <is>
          <t>metros de sondaje; pct sobre metros</t>
        </is>
      </c>
      <c r="D951" t="inlineStr">
        <is>
          <t>periodo_GM_LE2WASTE_Output</t>
        </is>
      </c>
      <c r="E951" t="inlineStr">
        <is>
          <t>2034</t>
        </is>
      </c>
      <c r="F951" t="inlineStr">
        <is>
          <t>ROCKCODE</t>
        </is>
      </c>
      <c r="G951" t="inlineStr">
        <is>
          <t>CF</t>
        </is>
      </c>
      <c r="H951" t="inlineStr">
        <is>
          <t>sin asignar</t>
        </is>
      </c>
      <c r="I951" t="inlineStr">
        <is>
          <t>CF</t>
        </is>
      </c>
      <c r="J951" t="inlineStr">
        <is>
          <t>ROCKCODE agrupado en ROCKCODE_NUMEQ=10; sigla sin leyenda</t>
        </is>
      </c>
      <c r="K951" t="inlineStr">
        <is>
          <t>Caliza (hipótesis: siglas C*)</t>
        </is>
      </c>
      <c r="L951" t="inlineStr">
        <is>
          <t>Sedimentario</t>
        </is>
      </c>
      <c r="M951" t="n">
        <v>1</v>
      </c>
      <c r="N951" t="inlineStr"/>
      <c r="O951" t="inlineStr"/>
      <c r="P951" t="n">
        <v>2.5</v>
      </c>
      <c r="Q951" t="n">
        <v>0.031</v>
      </c>
    </row>
    <row r="952">
      <c r="A952" t="inlineStr">
        <is>
          <t>MR24</t>
        </is>
      </c>
      <c r="B952" t="inlineStr">
        <is>
          <t>Merged_Table_Assay_lito</t>
        </is>
      </c>
      <c r="C952" t="inlineStr">
        <is>
          <t>metros de sondaje; pct sobre metros</t>
        </is>
      </c>
      <c r="D952" t="inlineStr">
        <is>
          <t>periodo_GM_LE2WASTE_Output</t>
        </is>
      </c>
      <c r="E952" t="inlineStr">
        <is>
          <t>2034</t>
        </is>
      </c>
      <c r="F952" t="inlineStr">
        <is>
          <t>ROCKCODE</t>
        </is>
      </c>
      <c r="G952" t="inlineStr">
        <is>
          <t>CG</t>
        </is>
      </c>
      <c r="H952" t="inlineStr">
        <is>
          <t>sin asignar</t>
        </is>
      </c>
      <c r="I952" t="inlineStr">
        <is>
          <t>CG</t>
        </is>
      </c>
      <c r="J952" t="inlineStr">
        <is>
          <t>ROCKCODE agrupado en ROCKCODE_NUMEQ=10; sigla sin leyenda</t>
        </is>
      </c>
      <c r="K952" t="inlineStr">
        <is>
          <t>Caliza (hipótesis: siglas C*)</t>
        </is>
      </c>
      <c r="L952" t="inlineStr">
        <is>
          <t>Sedimentario</t>
        </is>
      </c>
      <c r="M952" t="n">
        <v>837</v>
      </c>
      <c r="N952" t="inlineStr"/>
      <c r="O952" t="inlineStr"/>
      <c r="P952" t="n">
        <v>713.1</v>
      </c>
      <c r="Q952" t="n">
        <v>8.714</v>
      </c>
    </row>
    <row r="953">
      <c r="A953" t="inlineStr">
        <is>
          <t>MR24</t>
        </is>
      </c>
      <c r="B953" t="inlineStr">
        <is>
          <t>Merged_Table_Assay_lito</t>
        </is>
      </c>
      <c r="C953" t="inlineStr">
        <is>
          <t>metros de sondaje; pct sobre metros</t>
        </is>
      </c>
      <c r="D953" t="inlineStr">
        <is>
          <t>periodo_GM_LE2WASTE_Output</t>
        </is>
      </c>
      <c r="E953" t="inlineStr">
        <is>
          <t>2034</t>
        </is>
      </c>
      <c r="F953" t="inlineStr">
        <is>
          <t>ROCKCODE</t>
        </is>
      </c>
      <c r="G953" t="inlineStr">
        <is>
          <t>CGS</t>
        </is>
      </c>
      <c r="H953" t="inlineStr">
        <is>
          <t>sin asignar</t>
        </is>
      </c>
      <c r="I953" t="inlineStr">
        <is>
          <t>CGS</t>
        </is>
      </c>
      <c r="J953" t="inlineStr">
        <is>
          <t>ROCKCODE agrupado en ROCKCODE_NUMEQ=10; sigla sin leyenda</t>
        </is>
      </c>
      <c r="K953" t="inlineStr">
        <is>
          <t>Caliza (hipótesis: siglas C*)</t>
        </is>
      </c>
      <c r="L953" t="inlineStr">
        <is>
          <t>Sedimentario</t>
        </is>
      </c>
      <c r="M953" t="n">
        <v>579</v>
      </c>
      <c r="N953" t="inlineStr"/>
      <c r="O953" t="inlineStr"/>
      <c r="P953" t="n">
        <v>451.5</v>
      </c>
      <c r="Q953" t="n">
        <v>5.517</v>
      </c>
    </row>
    <row r="954">
      <c r="A954" t="inlineStr">
        <is>
          <t>MR24</t>
        </is>
      </c>
      <c r="B954" t="inlineStr">
        <is>
          <t>Merged_Table_Assay_lito</t>
        </is>
      </c>
      <c r="C954" t="inlineStr">
        <is>
          <t>metros de sondaje; pct sobre metros</t>
        </is>
      </c>
      <c r="D954" t="inlineStr">
        <is>
          <t>periodo_GM_LE2WASTE_Output</t>
        </is>
      </c>
      <c r="E954" t="inlineStr">
        <is>
          <t>2034</t>
        </is>
      </c>
      <c r="F954" t="inlineStr">
        <is>
          <t>ROCKCODE</t>
        </is>
      </c>
      <c r="G954" t="inlineStr">
        <is>
          <t>CN</t>
        </is>
      </c>
      <c r="H954" t="inlineStr">
        <is>
          <t>sin asignar</t>
        </is>
      </c>
      <c r="I954" t="inlineStr">
        <is>
          <t>CN</t>
        </is>
      </c>
      <c r="J954" t="inlineStr">
        <is>
          <t>ROCKCODE agrupado en ROCKCODE_NUMEQ=10; sigla sin leyenda</t>
        </is>
      </c>
      <c r="K954" t="inlineStr">
        <is>
          <t>Caliza (hipótesis: siglas C*)</t>
        </is>
      </c>
      <c r="L954" t="inlineStr">
        <is>
          <t>Sedimentario</t>
        </is>
      </c>
      <c r="M954" t="n">
        <v>203</v>
      </c>
      <c r="N954" t="inlineStr"/>
      <c r="O954" t="inlineStr"/>
      <c r="P954" t="n">
        <v>185.85</v>
      </c>
      <c r="Q954" t="n">
        <v>2.271</v>
      </c>
    </row>
    <row r="955">
      <c r="A955" t="inlineStr">
        <is>
          <t>MR24</t>
        </is>
      </c>
      <c r="B955" t="inlineStr">
        <is>
          <t>Merged_Table_Assay_lito</t>
        </is>
      </c>
      <c r="C955" t="inlineStr">
        <is>
          <t>metros de sondaje; pct sobre metros</t>
        </is>
      </c>
      <c r="D955" t="inlineStr">
        <is>
          <t>periodo_GM_LE2WASTE_Output</t>
        </is>
      </c>
      <c r="E955" t="inlineStr">
        <is>
          <t>2034</t>
        </is>
      </c>
      <c r="F955" t="inlineStr">
        <is>
          <t>ROCKCODE</t>
        </is>
      </c>
      <c r="G955" t="inlineStr">
        <is>
          <t>HC</t>
        </is>
      </c>
      <c r="H955" t="inlineStr">
        <is>
          <t>sin asignar</t>
        </is>
      </c>
      <c r="I955" t="inlineStr">
        <is>
          <t>HC</t>
        </is>
      </c>
      <c r="J955" t="inlineStr">
        <is>
          <t>ROCKCODE agrupado en ROCKCODE_NUMEQ=13; sigla sin leyenda</t>
        </is>
      </c>
      <c r="K955" t="inlineStr">
        <is>
          <t>Hornfels (hipótesis: siglas H*)</t>
        </is>
      </c>
      <c r="L955" t="inlineStr">
        <is>
          <t>Metamorfico</t>
        </is>
      </c>
      <c r="M955" t="n">
        <v>45</v>
      </c>
      <c r="N955" t="inlineStr"/>
      <c r="O955" t="inlineStr"/>
      <c r="P955" t="n">
        <v>27.4</v>
      </c>
      <c r="Q955" t="n">
        <v>0.335</v>
      </c>
    </row>
    <row r="956">
      <c r="A956" t="inlineStr">
        <is>
          <t>MR24</t>
        </is>
      </c>
      <c r="B956" t="inlineStr">
        <is>
          <t>Merged_Table_Assay_lito</t>
        </is>
      </c>
      <c r="C956" t="inlineStr">
        <is>
          <t>metros de sondaje; pct sobre metros</t>
        </is>
      </c>
      <c r="D956" t="inlineStr">
        <is>
          <t>periodo_GM_LE2WASTE_Output</t>
        </is>
      </c>
      <c r="E956" t="inlineStr">
        <is>
          <t>2034</t>
        </is>
      </c>
      <c r="F956" t="inlineStr">
        <is>
          <t>ROCKCODE</t>
        </is>
      </c>
      <c r="G956" t="inlineStr">
        <is>
          <t>HCB</t>
        </is>
      </c>
      <c r="H956" t="inlineStr">
        <is>
          <t>sin asignar</t>
        </is>
      </c>
      <c r="I956" t="inlineStr">
        <is>
          <t>HCB</t>
        </is>
      </c>
      <c r="J956" t="inlineStr">
        <is>
          <t>ROCKCODE agrupado en ROCKCODE_NUMEQ=14; sigla sin leyenda</t>
        </is>
      </c>
      <c r="K956" t="inlineStr">
        <is>
          <t>Hornfels (hipótesis: siglas H*)</t>
        </is>
      </c>
      <c r="L956" t="inlineStr">
        <is>
          <t>Metamorfico</t>
        </is>
      </c>
      <c r="M956" t="n">
        <v>8</v>
      </c>
      <c r="N956" t="inlineStr"/>
      <c r="O956" t="inlineStr"/>
      <c r="P956" t="n">
        <v>4.85</v>
      </c>
      <c r="Q956" t="n">
        <v>0.059</v>
      </c>
    </row>
    <row r="957">
      <c r="A957" t="inlineStr">
        <is>
          <t>MR24</t>
        </is>
      </c>
      <c r="B957" t="inlineStr">
        <is>
          <t>Merged_Table_Assay_lito</t>
        </is>
      </c>
      <c r="C957" t="inlineStr">
        <is>
          <t>metros de sondaje; pct sobre metros</t>
        </is>
      </c>
      <c r="D957" t="inlineStr">
        <is>
          <t>periodo_GM_LE2WASTE_Output</t>
        </is>
      </c>
      <c r="E957" t="inlineStr">
        <is>
          <t>2034</t>
        </is>
      </c>
      <c r="F957" t="inlineStr">
        <is>
          <t>ROCKCODE</t>
        </is>
      </c>
      <c r="G957" t="inlineStr">
        <is>
          <t>HG</t>
        </is>
      </c>
      <c r="H957" t="inlineStr">
        <is>
          <t>sin asignar</t>
        </is>
      </c>
      <c r="I957" t="inlineStr">
        <is>
          <t>HG</t>
        </is>
      </c>
      <c r="J957" t="inlineStr">
        <is>
          <t>ROCKCODE agrupado en ROCKCODE_NUMEQ=13; sigla sin leyenda</t>
        </is>
      </c>
      <c r="K957" t="inlineStr">
        <is>
          <t>Hornfels (hipótesis: siglas H*)</t>
        </is>
      </c>
      <c r="L957" t="inlineStr">
        <is>
          <t>Metamorfico</t>
        </is>
      </c>
      <c r="M957" t="n">
        <v>268</v>
      </c>
      <c r="N957" t="inlineStr"/>
      <c r="O957" t="inlineStr"/>
      <c r="P957" t="n">
        <v>269.45</v>
      </c>
      <c r="Q957" t="n">
        <v>3.293</v>
      </c>
    </row>
    <row r="958">
      <c r="A958" t="inlineStr">
        <is>
          <t>MR24</t>
        </is>
      </c>
      <c r="B958" t="inlineStr">
        <is>
          <t>Merged_Table_Assay_lito</t>
        </is>
      </c>
      <c r="C958" t="inlineStr">
        <is>
          <t>metros de sondaje; pct sobre metros</t>
        </is>
      </c>
      <c r="D958" t="inlineStr">
        <is>
          <t>periodo_GM_LE2WASTE_Output</t>
        </is>
      </c>
      <c r="E958" t="inlineStr">
        <is>
          <t>2034</t>
        </is>
      </c>
      <c r="F958" t="inlineStr">
        <is>
          <t>ROCKCODE</t>
        </is>
      </c>
      <c r="G958" t="inlineStr">
        <is>
          <t>HGS</t>
        </is>
      </c>
      <c r="H958" t="inlineStr">
        <is>
          <t>sin asignar</t>
        </is>
      </c>
      <c r="I958" t="inlineStr">
        <is>
          <t>HGS</t>
        </is>
      </c>
      <c r="J958" t="inlineStr">
        <is>
          <t>ROCKCODE agrupado en ROCKCODE_NUMEQ=13; sigla sin leyenda</t>
        </is>
      </c>
      <c r="K958" t="inlineStr">
        <is>
          <t>Hornfels (hipótesis: siglas H*)</t>
        </is>
      </c>
      <c r="L958" t="inlineStr">
        <is>
          <t>Metamorfico</t>
        </is>
      </c>
      <c r="M958" t="n">
        <v>196</v>
      </c>
      <c r="N958" t="inlineStr"/>
      <c r="O958" t="inlineStr"/>
      <c r="P958" t="n">
        <v>184.65</v>
      </c>
      <c r="Q958" t="n">
        <v>2.256</v>
      </c>
    </row>
    <row r="959">
      <c r="A959" t="inlineStr">
        <is>
          <t>MR24</t>
        </is>
      </c>
      <c r="B959" t="inlineStr">
        <is>
          <t>Merged_Table_Assay_lito</t>
        </is>
      </c>
      <c r="C959" t="inlineStr">
        <is>
          <t>metros de sondaje; pct sobre metros</t>
        </is>
      </c>
      <c r="D959" t="inlineStr">
        <is>
          <t>periodo_GM_LE2WASTE_Output</t>
        </is>
      </c>
      <c r="E959" t="inlineStr">
        <is>
          <t>2034</t>
        </is>
      </c>
      <c r="F959" t="inlineStr">
        <is>
          <t>ROCKCODE</t>
        </is>
      </c>
      <c r="G959" t="inlineStr">
        <is>
          <t>HGV</t>
        </is>
      </c>
      <c r="H959" t="inlineStr">
        <is>
          <t>sin asignar</t>
        </is>
      </c>
      <c r="I959" t="inlineStr">
        <is>
          <t>HGV</t>
        </is>
      </c>
      <c r="J959" t="inlineStr">
        <is>
          <t>ROCKCODE agrupado en ROCKCODE_NUMEQ=14; sigla sin leyenda</t>
        </is>
      </c>
      <c r="K959" t="inlineStr">
        <is>
          <t>Hornfels (hipótesis: siglas H*)</t>
        </is>
      </c>
      <c r="L959" t="inlineStr">
        <is>
          <t>Metamorfico</t>
        </is>
      </c>
      <c r="M959" t="n">
        <v>4</v>
      </c>
      <c r="N959" t="inlineStr"/>
      <c r="O959" t="inlineStr"/>
      <c r="P959" t="n">
        <v>2.9</v>
      </c>
      <c r="Q959" t="n">
        <v>0.035</v>
      </c>
    </row>
    <row r="960">
      <c r="A960" t="inlineStr">
        <is>
          <t>MR24</t>
        </is>
      </c>
      <c r="B960" t="inlineStr">
        <is>
          <t>Merged_Table_Assay_lito</t>
        </is>
      </c>
      <c r="C960" t="inlineStr">
        <is>
          <t>metros de sondaje; pct sobre metros</t>
        </is>
      </c>
      <c r="D960" t="inlineStr">
        <is>
          <t>periodo_GM_LE2WASTE_Output</t>
        </is>
      </c>
      <c r="E960" t="inlineStr">
        <is>
          <t>2034</t>
        </is>
      </c>
      <c r="F960" t="inlineStr">
        <is>
          <t>ROCKCODE</t>
        </is>
      </c>
      <c r="G960" t="inlineStr">
        <is>
          <t>IPPA</t>
        </is>
      </c>
      <c r="H960" t="inlineStr">
        <is>
          <t>Intrusivo</t>
        </is>
      </c>
      <c r="I960" t="inlineStr">
        <is>
          <t>IPPA</t>
        </is>
      </c>
      <c r="J960" t="inlineStr">
        <is>
          <t>ROCKCODE agrupado en ROCKCODE_NUMEQ=1 (Intrusivo_1)</t>
        </is>
      </c>
      <c r="K960" t="inlineStr">
        <is>
          <t>Intrusivo</t>
        </is>
      </c>
      <c r="L960" t="inlineStr">
        <is>
          <t>Intrusivo</t>
        </is>
      </c>
      <c r="M960" t="n">
        <v>851</v>
      </c>
      <c r="N960" t="inlineStr"/>
      <c r="O960" t="inlineStr"/>
      <c r="P960" t="n">
        <v>1039.35</v>
      </c>
      <c r="Q960" t="n">
        <v>12.701</v>
      </c>
    </row>
    <row r="961">
      <c r="A961" t="inlineStr">
        <is>
          <t>MR24</t>
        </is>
      </c>
      <c r="B961" t="inlineStr">
        <is>
          <t>Merged_Table_Assay_lito</t>
        </is>
      </c>
      <c r="C961" t="inlineStr">
        <is>
          <t>metros de sondaje; pct sobre metros</t>
        </is>
      </c>
      <c r="D961" t="inlineStr">
        <is>
          <t>periodo_GM_LE2WASTE_Output</t>
        </is>
      </c>
      <c r="E961" t="inlineStr">
        <is>
          <t>2034</t>
        </is>
      </c>
      <c r="F961" t="inlineStr">
        <is>
          <t>ROCKCODE</t>
        </is>
      </c>
      <c r="G961" t="inlineStr">
        <is>
          <t>IPPAMO</t>
        </is>
      </c>
      <c r="H961" t="inlineStr">
        <is>
          <t>Intrusivo</t>
        </is>
      </c>
      <c r="I961" t="inlineStr">
        <is>
          <t>IPPAMO</t>
        </is>
      </c>
      <c r="J961" t="inlineStr">
        <is>
          <t>ROCKCODE agrupado en ROCKCODE_NUMEQ=1 (Intrusivo_1)</t>
        </is>
      </c>
      <c r="K961" t="inlineStr">
        <is>
          <t>Intrusivo</t>
        </is>
      </c>
      <c r="L961" t="inlineStr">
        <is>
          <t>Intrusivo</t>
        </is>
      </c>
      <c r="M961" t="n">
        <v>10</v>
      </c>
      <c r="N961" t="inlineStr"/>
      <c r="O961" t="inlineStr"/>
      <c r="P961" t="n">
        <v>12.95</v>
      </c>
      <c r="Q961" t="n">
        <v>0.158</v>
      </c>
    </row>
    <row r="962">
      <c r="A962" t="inlineStr">
        <is>
          <t>MR24</t>
        </is>
      </c>
      <c r="B962" t="inlineStr">
        <is>
          <t>Merged_Table_Assay_lito</t>
        </is>
      </c>
      <c r="C962" t="inlineStr">
        <is>
          <t>metros de sondaje; pct sobre metros</t>
        </is>
      </c>
      <c r="D962" t="inlineStr">
        <is>
          <t>periodo_GM_LE2WASTE_Output</t>
        </is>
      </c>
      <c r="E962" t="inlineStr">
        <is>
          <t>2034</t>
        </is>
      </c>
      <c r="F962" t="inlineStr">
        <is>
          <t>ROCKCODE</t>
        </is>
      </c>
      <c r="G962" t="inlineStr">
        <is>
          <t>IPPAO</t>
        </is>
      </c>
      <c r="H962" t="inlineStr">
        <is>
          <t>Intrusivo</t>
        </is>
      </c>
      <c r="I962" t="inlineStr">
        <is>
          <t>IPPAO</t>
        </is>
      </c>
      <c r="J962" t="inlineStr">
        <is>
          <t>ROCKCODE agrupado en ROCKCODE_NUMEQ=1 (Intrusivo_1)</t>
        </is>
      </c>
      <c r="K962" t="inlineStr">
        <is>
          <t>Intrusivo</t>
        </is>
      </c>
      <c r="L962" t="inlineStr">
        <is>
          <t>Intrusivo</t>
        </is>
      </c>
      <c r="M962" t="n">
        <v>526</v>
      </c>
      <c r="N962" t="inlineStr"/>
      <c r="O962" t="inlineStr"/>
      <c r="P962" t="n">
        <v>694.1</v>
      </c>
      <c r="Q962" t="n">
        <v>8.481999999999999</v>
      </c>
    </row>
    <row r="963">
      <c r="A963" t="inlineStr">
        <is>
          <t>MR24</t>
        </is>
      </c>
      <c r="B963" t="inlineStr">
        <is>
          <t>Merged_Table_Assay_lito</t>
        </is>
      </c>
      <c r="C963" t="inlineStr">
        <is>
          <t>metros de sondaje; pct sobre metros</t>
        </is>
      </c>
      <c r="D963" t="inlineStr">
        <is>
          <t>periodo_GM_LE2WASTE_Output</t>
        </is>
      </c>
      <c r="E963" t="inlineStr">
        <is>
          <t>2034</t>
        </is>
      </c>
      <c r="F963" t="inlineStr">
        <is>
          <t>ROCKCODE</t>
        </is>
      </c>
      <c r="G963" t="inlineStr">
        <is>
          <t>IPPEO</t>
        </is>
      </c>
      <c r="H963" t="inlineStr">
        <is>
          <t>Intrusivo</t>
        </is>
      </c>
      <c r="I963" t="inlineStr">
        <is>
          <t>IPPEO</t>
        </is>
      </c>
      <c r="J963" t="inlineStr">
        <is>
          <t>ROCKCODE agrupado en ROCKCODE_NUMEQ=1 (Intrusivo_1)</t>
        </is>
      </c>
      <c r="K963" t="inlineStr">
        <is>
          <t>Intrusivo</t>
        </is>
      </c>
      <c r="L963" t="inlineStr">
        <is>
          <t>Intrusivo</t>
        </is>
      </c>
      <c r="M963" t="n">
        <v>27</v>
      </c>
      <c r="N963" t="inlineStr"/>
      <c r="O963" t="inlineStr"/>
      <c r="P963" t="n">
        <v>31.2</v>
      </c>
      <c r="Q963" t="n">
        <v>0.381</v>
      </c>
    </row>
    <row r="964">
      <c r="A964" t="inlineStr">
        <is>
          <t>MR24</t>
        </is>
      </c>
      <c r="B964" t="inlineStr">
        <is>
          <t>Merged_Table_Assay_lito</t>
        </is>
      </c>
      <c r="C964" t="inlineStr">
        <is>
          <t>metros de sondaje; pct sobre metros</t>
        </is>
      </c>
      <c r="D964" t="inlineStr">
        <is>
          <t>periodo_GM_LE2WASTE_Output</t>
        </is>
      </c>
      <c r="E964" t="inlineStr">
        <is>
          <t>2034</t>
        </is>
      </c>
      <c r="F964" t="inlineStr">
        <is>
          <t>ROCKCODE</t>
        </is>
      </c>
      <c r="G964" t="inlineStr">
        <is>
          <t>MC</t>
        </is>
      </c>
      <c r="H964" t="inlineStr">
        <is>
          <t>sin asignar</t>
        </is>
      </c>
      <c r="I964" t="inlineStr">
        <is>
          <t>MC</t>
        </is>
      </c>
      <c r="J964" t="inlineStr">
        <is>
          <t>ROCKCODE agrupado en ROCKCODE_NUMEQ=16; sigla sin leyenda</t>
        </is>
      </c>
      <c r="K964" t="inlineStr">
        <is>
          <t>Mármol (hipótesis: siglas M*)</t>
        </is>
      </c>
      <c r="L964" t="inlineStr">
        <is>
          <t>Metamorfico</t>
        </is>
      </c>
      <c r="M964" t="n">
        <v>886</v>
      </c>
      <c r="N964" t="inlineStr"/>
      <c r="O964" t="inlineStr"/>
      <c r="P964" t="n">
        <v>992.74</v>
      </c>
      <c r="Q964" t="n">
        <v>12.131</v>
      </c>
    </row>
    <row r="965">
      <c r="A965" t="inlineStr">
        <is>
          <t>MR24</t>
        </is>
      </c>
      <c r="B965" t="inlineStr">
        <is>
          <t>Merged_Table_Assay_lito</t>
        </is>
      </c>
      <c r="C965" t="inlineStr">
        <is>
          <t>metros de sondaje; pct sobre metros</t>
        </is>
      </c>
      <c r="D965" t="inlineStr">
        <is>
          <t>periodo_GM_LE2WASTE_Output</t>
        </is>
      </c>
      <c r="E965" t="inlineStr">
        <is>
          <t>2034</t>
        </is>
      </c>
      <c r="F965" t="inlineStr">
        <is>
          <t>ROCKCODE</t>
        </is>
      </c>
      <c r="G965" t="inlineStr">
        <is>
          <t>MCB</t>
        </is>
      </c>
      <c r="H965" t="inlineStr">
        <is>
          <t>sin asignar</t>
        </is>
      </c>
      <c r="I965" t="inlineStr">
        <is>
          <t>MCB</t>
        </is>
      </c>
      <c r="J965" t="inlineStr">
        <is>
          <t>ROCKCODE agrupado en ROCKCODE_NUMEQ=16; sigla sin leyenda</t>
        </is>
      </c>
      <c r="K965" t="inlineStr">
        <is>
          <t>Mármol (hipótesis: siglas M*)</t>
        </is>
      </c>
      <c r="L965" t="inlineStr">
        <is>
          <t>Metamorfico</t>
        </is>
      </c>
      <c r="M965" t="n">
        <v>99</v>
      </c>
      <c r="N965" t="inlineStr"/>
      <c r="O965" t="inlineStr"/>
      <c r="P965" t="n">
        <v>135.2</v>
      </c>
      <c r="Q965" t="n">
        <v>1.652</v>
      </c>
    </row>
    <row r="966">
      <c r="A966" t="inlineStr">
        <is>
          <t>MR24</t>
        </is>
      </c>
      <c r="B966" t="inlineStr">
        <is>
          <t>Merged_Table_Assay_lito</t>
        </is>
      </c>
      <c r="C966" t="inlineStr">
        <is>
          <t>metros de sondaje; pct sobre metros</t>
        </is>
      </c>
      <c r="D966" t="inlineStr">
        <is>
          <t>periodo_GM_LE2WASTE_Output</t>
        </is>
      </c>
      <c r="E966" t="inlineStr">
        <is>
          <t>2034</t>
        </is>
      </c>
      <c r="F966" t="inlineStr">
        <is>
          <t>ROCKCODE</t>
        </is>
      </c>
      <c r="G966" t="inlineStr">
        <is>
          <t>MCGB</t>
        </is>
      </c>
      <c r="H966" t="inlineStr">
        <is>
          <t>sin asignar</t>
        </is>
      </c>
      <c r="I966" t="inlineStr">
        <is>
          <t>MCGB</t>
        </is>
      </c>
      <c r="J966" t="inlineStr">
        <is>
          <t>ROCKCODE agrupado en ROCKCODE_NUMEQ=16; sigla sin leyenda</t>
        </is>
      </c>
      <c r="K966" t="inlineStr">
        <is>
          <t>Mármol (hipótesis: siglas M*)</t>
        </is>
      </c>
      <c r="L966" t="inlineStr">
        <is>
          <t>Metamorfico</t>
        </is>
      </c>
      <c r="M966" t="n">
        <v>110</v>
      </c>
      <c r="N966" t="inlineStr"/>
      <c r="O966" t="inlineStr"/>
      <c r="P966" t="n">
        <v>139.9</v>
      </c>
      <c r="Q966" t="n">
        <v>1.71</v>
      </c>
    </row>
    <row r="967">
      <c r="A967" t="inlineStr">
        <is>
          <t>MR24</t>
        </is>
      </c>
      <c r="B967" t="inlineStr">
        <is>
          <t>Merged_Table_Assay_lito</t>
        </is>
      </c>
      <c r="C967" t="inlineStr">
        <is>
          <t>metros de sondaje; pct sobre metros</t>
        </is>
      </c>
      <c r="D967" t="inlineStr">
        <is>
          <t>periodo_GM_LE2WASTE_Output</t>
        </is>
      </c>
      <c r="E967" t="inlineStr">
        <is>
          <t>2034</t>
        </is>
      </c>
      <c r="F967" t="inlineStr">
        <is>
          <t>ROCKCODE</t>
        </is>
      </c>
      <c r="G967" t="inlineStr">
        <is>
          <t>MDP</t>
        </is>
      </c>
      <c r="H967" t="inlineStr">
        <is>
          <t>sin asignar</t>
        </is>
      </c>
      <c r="I967" t="inlineStr">
        <is>
          <t>MDP</t>
        </is>
      </c>
      <c r="J967" t="inlineStr">
        <is>
          <t>ROCKCODE agrupado en ROCKCODE_NUMEQ=19; sigla sin leyenda</t>
        </is>
      </c>
      <c r="K967" t="inlineStr">
        <is>
          <t>Mármol (hipótesis: sigla MDP)</t>
        </is>
      </c>
      <c r="L967" t="inlineStr">
        <is>
          <t>Metamorfico</t>
        </is>
      </c>
      <c r="M967" t="n">
        <v>2215</v>
      </c>
      <c r="N967" t="inlineStr"/>
      <c r="O967" t="inlineStr"/>
      <c r="P967" t="n">
        <v>2324.7</v>
      </c>
      <c r="Q967" t="n">
        <v>28.408</v>
      </c>
    </row>
    <row r="968">
      <c r="A968" t="inlineStr">
        <is>
          <t>MR24</t>
        </is>
      </c>
      <c r="B968" t="inlineStr">
        <is>
          <t>Merged_Table_Assay_lito</t>
        </is>
      </c>
      <c r="C968" t="inlineStr">
        <is>
          <t>metros de sondaje; pct sobre metros</t>
        </is>
      </c>
      <c r="D968" t="inlineStr">
        <is>
          <t>periodo_GM_LE2WASTE_Output</t>
        </is>
      </c>
      <c r="E968" t="inlineStr">
        <is>
          <t>2034</t>
        </is>
      </c>
      <c r="F968" t="inlineStr">
        <is>
          <t>ROCKCODE</t>
        </is>
      </c>
      <c r="G968" t="inlineStr">
        <is>
          <t>MG</t>
        </is>
      </c>
      <c r="H968" t="inlineStr">
        <is>
          <t>sin asignar</t>
        </is>
      </c>
      <c r="I968" t="inlineStr">
        <is>
          <t>MG</t>
        </is>
      </c>
      <c r="J968" t="inlineStr">
        <is>
          <t>ROCKCODE agrupado en ROCKCODE_NUMEQ=16; sigla sin leyenda</t>
        </is>
      </c>
      <c r="K968" t="inlineStr">
        <is>
          <t>Mármol (hipótesis: siglas M*)</t>
        </is>
      </c>
      <c r="L968" t="inlineStr">
        <is>
          <t>Metamorfico</t>
        </is>
      </c>
      <c r="M968" t="n">
        <v>410</v>
      </c>
      <c r="N968" t="inlineStr"/>
      <c r="O968" t="inlineStr"/>
      <c r="P968" t="n">
        <v>418.1</v>
      </c>
      <c r="Q968" t="n">
        <v>5.109</v>
      </c>
    </row>
    <row r="969">
      <c r="A969" t="inlineStr">
        <is>
          <t>MR24</t>
        </is>
      </c>
      <c r="B969" t="inlineStr">
        <is>
          <t>Merged_Table_Assay_lito</t>
        </is>
      </c>
      <c r="C969" t="inlineStr">
        <is>
          <t>metros de sondaje; pct sobre metros</t>
        </is>
      </c>
      <c r="D969" t="inlineStr">
        <is>
          <t>periodo_GM_LE2WASTE_Output</t>
        </is>
      </c>
      <c r="E969" t="inlineStr">
        <is>
          <t>2034</t>
        </is>
      </c>
      <c r="F969" t="inlineStr">
        <is>
          <t>ROCKCODE</t>
        </is>
      </c>
      <c r="G969" t="inlineStr">
        <is>
          <t>MGS</t>
        </is>
      </c>
      <c r="H969" t="inlineStr">
        <is>
          <t>sin asignar</t>
        </is>
      </c>
      <c r="I969" t="inlineStr">
        <is>
          <t>MGS</t>
        </is>
      </c>
      <c r="J969" t="inlineStr">
        <is>
          <t>ROCKCODE agrupado en ROCKCODE_NUMEQ=16; sigla sin leyenda</t>
        </is>
      </c>
      <c r="K969" t="inlineStr">
        <is>
          <t>Mármol (hipótesis: siglas M*)</t>
        </is>
      </c>
      <c r="L969" t="inlineStr">
        <is>
          <t>Metamorfico</t>
        </is>
      </c>
      <c r="M969" t="n">
        <v>66</v>
      </c>
      <c r="N969" t="inlineStr"/>
      <c r="O969" t="inlineStr"/>
      <c r="P969" t="n">
        <v>108.45</v>
      </c>
      <c r="Q969" t="n">
        <v>1.325</v>
      </c>
    </row>
    <row r="970">
      <c r="A970" t="inlineStr">
        <is>
          <t>MR24</t>
        </is>
      </c>
      <c r="B970" t="inlineStr">
        <is>
          <t>Merged_Table_Assay_lito</t>
        </is>
      </c>
      <c r="C970" t="inlineStr">
        <is>
          <t>metros de sondaje; pct sobre metros</t>
        </is>
      </c>
      <c r="D970" t="inlineStr">
        <is>
          <t>periodo_GM_LE2WASTE_Output</t>
        </is>
      </c>
      <c r="E970" t="inlineStr">
        <is>
          <t>2034</t>
        </is>
      </c>
      <c r="F970" t="inlineStr">
        <is>
          <t>ROCKCODE</t>
        </is>
      </c>
      <c r="G970" t="inlineStr">
        <is>
          <t>MPA</t>
        </is>
      </c>
      <c r="H970" t="inlineStr">
        <is>
          <t>sin asignar</t>
        </is>
      </c>
      <c r="I970" t="inlineStr">
        <is>
          <t>MPA</t>
        </is>
      </c>
      <c r="J970" t="inlineStr">
        <is>
          <t>ROCKCODE agrupado en ROCKCODE_NUMEQ=16; sigla sin leyenda</t>
        </is>
      </c>
      <c r="K970" t="inlineStr">
        <is>
          <t>Mármol (hipótesis: siglas M*)</t>
        </is>
      </c>
      <c r="L970" t="inlineStr">
        <is>
          <t>Metamorfico</t>
        </is>
      </c>
      <c r="M970" t="n">
        <v>157</v>
      </c>
      <c r="N970" t="inlineStr"/>
      <c r="O970" t="inlineStr"/>
      <c r="P970" t="n">
        <v>164.95</v>
      </c>
      <c r="Q970" t="n">
        <v>2.016</v>
      </c>
    </row>
    <row r="971">
      <c r="A971" t="inlineStr">
        <is>
          <t>MR24</t>
        </is>
      </c>
      <c r="B971" t="inlineStr">
        <is>
          <t>Merged_Table_Assay_lito</t>
        </is>
      </c>
      <c r="C971" t="inlineStr">
        <is>
          <t>metros de sondaje; pct sobre metros</t>
        </is>
      </c>
      <c r="D971" t="inlineStr">
        <is>
          <t>periodo_GM_LE2WASTE_Output</t>
        </is>
      </c>
      <c r="E971" t="inlineStr">
        <is>
          <t>2035</t>
        </is>
      </c>
      <c r="F971" t="inlineStr">
        <is>
          <t>ROCKCODE</t>
        </is>
      </c>
      <c r="G971" t="inlineStr">
        <is>
          <t>BCIPPA</t>
        </is>
      </c>
      <c r="H971" t="inlineStr">
        <is>
          <t>Intrusivo</t>
        </is>
      </c>
      <c r="I971" t="inlineStr">
        <is>
          <t>BCIPPA</t>
        </is>
      </c>
      <c r="J971" t="inlineStr">
        <is>
          <t>ROCKCODE agrupado en ROCKCODE_NUMEQ=1 (Intrusivo_1)</t>
        </is>
      </c>
      <c r="K971" t="inlineStr">
        <is>
          <t>Intrusivo</t>
        </is>
      </c>
      <c r="L971" t="inlineStr">
        <is>
          <t>Intrusivo</t>
        </is>
      </c>
      <c r="M971" t="n">
        <v>2</v>
      </c>
      <c r="N971" t="inlineStr"/>
      <c r="O971" t="inlineStr"/>
      <c r="P971" t="n">
        <v>3</v>
      </c>
      <c r="Q971" t="n">
        <v>0.043</v>
      </c>
    </row>
    <row r="972">
      <c r="A972" t="inlineStr">
        <is>
          <t>MR24</t>
        </is>
      </c>
      <c r="B972" t="inlineStr">
        <is>
          <t>Merged_Table_Assay_lito</t>
        </is>
      </c>
      <c r="C972" t="inlineStr">
        <is>
          <t>metros de sondaje; pct sobre metros</t>
        </is>
      </c>
      <c r="D972" t="inlineStr">
        <is>
          <t>periodo_GM_LE2WASTE_Output</t>
        </is>
      </c>
      <c r="E972" t="inlineStr">
        <is>
          <t>2035</t>
        </is>
      </c>
      <c r="F972" t="inlineStr">
        <is>
          <t>ROCKCODE</t>
        </is>
      </c>
      <c r="G972" t="inlineStr">
        <is>
          <t>CA</t>
        </is>
      </c>
      <c r="H972" t="inlineStr">
        <is>
          <t>sin asignar</t>
        </is>
      </c>
      <c r="I972" t="inlineStr">
        <is>
          <t>CA</t>
        </is>
      </c>
      <c r="J972" t="inlineStr">
        <is>
          <t>ROCKCODE agrupado en ROCKCODE_NUMEQ=10; sigla sin leyenda</t>
        </is>
      </c>
      <c r="K972" t="inlineStr">
        <is>
          <t>Caliza (hipótesis: siglas C*)</t>
        </is>
      </c>
      <c r="L972" t="inlineStr">
        <is>
          <t>Sedimentario</t>
        </is>
      </c>
      <c r="M972" t="n">
        <v>67</v>
      </c>
      <c r="N972" t="inlineStr"/>
      <c r="O972" t="inlineStr"/>
      <c r="P972" t="n">
        <v>56</v>
      </c>
      <c r="Q972" t="n">
        <v>0.796</v>
      </c>
    </row>
    <row r="973">
      <c r="A973" t="inlineStr">
        <is>
          <t>MR24</t>
        </is>
      </c>
      <c r="B973" t="inlineStr">
        <is>
          <t>Merged_Table_Assay_lito</t>
        </is>
      </c>
      <c r="C973" t="inlineStr">
        <is>
          <t>metros de sondaje; pct sobre metros</t>
        </is>
      </c>
      <c r="D973" t="inlineStr">
        <is>
          <t>periodo_GM_LE2WASTE_Output</t>
        </is>
      </c>
      <c r="E973" t="inlineStr">
        <is>
          <t>2035</t>
        </is>
      </c>
      <c r="F973" t="inlineStr">
        <is>
          <t>ROCKCODE</t>
        </is>
      </c>
      <c r="G973" t="inlineStr">
        <is>
          <t>CG</t>
        </is>
      </c>
      <c r="H973" t="inlineStr">
        <is>
          <t>sin asignar</t>
        </is>
      </c>
      <c r="I973" t="inlineStr">
        <is>
          <t>CG</t>
        </is>
      </c>
      <c r="J973" t="inlineStr">
        <is>
          <t>ROCKCODE agrupado en ROCKCODE_NUMEQ=10; sigla sin leyenda</t>
        </is>
      </c>
      <c r="K973" t="inlineStr">
        <is>
          <t>Caliza (hipótesis: siglas C*)</t>
        </is>
      </c>
      <c r="L973" t="inlineStr">
        <is>
          <t>Sedimentario</t>
        </is>
      </c>
      <c r="M973" t="n">
        <v>251</v>
      </c>
      <c r="N973" t="inlineStr"/>
      <c r="O973" t="inlineStr"/>
      <c r="P973" t="n">
        <v>218.9</v>
      </c>
      <c r="Q973" t="n">
        <v>3.111</v>
      </c>
    </row>
    <row r="974">
      <c r="A974" t="inlineStr">
        <is>
          <t>MR24</t>
        </is>
      </c>
      <c r="B974" t="inlineStr">
        <is>
          <t>Merged_Table_Assay_lito</t>
        </is>
      </c>
      <c r="C974" t="inlineStr">
        <is>
          <t>metros de sondaje; pct sobre metros</t>
        </is>
      </c>
      <c r="D974" t="inlineStr">
        <is>
          <t>periodo_GM_LE2WASTE_Output</t>
        </is>
      </c>
      <c r="E974" t="inlineStr">
        <is>
          <t>2035</t>
        </is>
      </c>
      <c r="F974" t="inlineStr">
        <is>
          <t>ROCKCODE</t>
        </is>
      </c>
      <c r="G974" t="inlineStr">
        <is>
          <t>CGS</t>
        </is>
      </c>
      <c r="H974" t="inlineStr">
        <is>
          <t>sin asignar</t>
        </is>
      </c>
      <c r="I974" t="inlineStr">
        <is>
          <t>CGS</t>
        </is>
      </c>
      <c r="J974" t="inlineStr">
        <is>
          <t>ROCKCODE agrupado en ROCKCODE_NUMEQ=10; sigla sin leyenda</t>
        </is>
      </c>
      <c r="K974" t="inlineStr">
        <is>
          <t>Caliza (hipótesis: siglas C*)</t>
        </is>
      </c>
      <c r="L974" t="inlineStr">
        <is>
          <t>Sedimentario</t>
        </is>
      </c>
      <c r="M974" t="n">
        <v>82</v>
      </c>
      <c r="N974" t="inlineStr"/>
      <c r="O974" t="inlineStr"/>
      <c r="P974" t="n">
        <v>68.55</v>
      </c>
      <c r="Q974" t="n">
        <v>0.974</v>
      </c>
    </row>
    <row r="975">
      <c r="A975" t="inlineStr">
        <is>
          <t>MR24</t>
        </is>
      </c>
      <c r="B975" t="inlineStr">
        <is>
          <t>Merged_Table_Assay_lito</t>
        </is>
      </c>
      <c r="C975" t="inlineStr">
        <is>
          <t>metros de sondaje; pct sobre metros</t>
        </is>
      </c>
      <c r="D975" t="inlineStr">
        <is>
          <t>periodo_GM_LE2WASTE_Output</t>
        </is>
      </c>
      <c r="E975" t="inlineStr">
        <is>
          <t>2035</t>
        </is>
      </c>
      <c r="F975" t="inlineStr">
        <is>
          <t>ROCKCODE</t>
        </is>
      </c>
      <c r="G975" t="inlineStr">
        <is>
          <t>CN</t>
        </is>
      </c>
      <c r="H975" t="inlineStr">
        <is>
          <t>sin asignar</t>
        </is>
      </c>
      <c r="I975" t="inlineStr">
        <is>
          <t>CN</t>
        </is>
      </c>
      <c r="J975" t="inlineStr">
        <is>
          <t>ROCKCODE agrupado en ROCKCODE_NUMEQ=10; sigla sin leyenda</t>
        </is>
      </c>
      <c r="K975" t="inlineStr">
        <is>
          <t>Caliza (hipótesis: siglas C*)</t>
        </is>
      </c>
      <c r="L975" t="inlineStr">
        <is>
          <t>Sedimentario</t>
        </is>
      </c>
      <c r="M975" t="n">
        <v>82</v>
      </c>
      <c r="N975" t="inlineStr"/>
      <c r="O975" t="inlineStr"/>
      <c r="P975" t="n">
        <v>90.40000000000001</v>
      </c>
      <c r="Q975" t="n">
        <v>1.285</v>
      </c>
    </row>
    <row r="976">
      <c r="A976" t="inlineStr">
        <is>
          <t>MR24</t>
        </is>
      </c>
      <c r="B976" t="inlineStr">
        <is>
          <t>Merged_Table_Assay_lito</t>
        </is>
      </c>
      <c r="C976" t="inlineStr">
        <is>
          <t>metros de sondaje; pct sobre metros</t>
        </is>
      </c>
      <c r="D976" t="inlineStr">
        <is>
          <t>periodo_GM_LE2WASTE_Output</t>
        </is>
      </c>
      <c r="E976" t="inlineStr">
        <is>
          <t>2035</t>
        </is>
      </c>
      <c r="F976" t="inlineStr">
        <is>
          <t>ROCKCODE</t>
        </is>
      </c>
      <c r="G976" t="inlineStr">
        <is>
          <t>HC</t>
        </is>
      </c>
      <c r="H976" t="inlineStr">
        <is>
          <t>sin asignar</t>
        </is>
      </c>
      <c r="I976" t="inlineStr">
        <is>
          <t>HC</t>
        </is>
      </c>
      <c r="J976" t="inlineStr">
        <is>
          <t>ROCKCODE agrupado en ROCKCODE_NUMEQ=13; sigla sin leyenda</t>
        </is>
      </c>
      <c r="K976" t="inlineStr">
        <is>
          <t>Hornfels (hipótesis: siglas H*)</t>
        </is>
      </c>
      <c r="L976" t="inlineStr">
        <is>
          <t>Metamorfico</t>
        </is>
      </c>
      <c r="M976" t="n">
        <v>2</v>
      </c>
      <c r="N976" t="inlineStr"/>
      <c r="O976" t="inlineStr"/>
      <c r="P976" t="n">
        <v>2.75</v>
      </c>
      <c r="Q976" t="n">
        <v>0.039</v>
      </c>
    </row>
    <row r="977">
      <c r="A977" t="inlineStr">
        <is>
          <t>MR24</t>
        </is>
      </c>
      <c r="B977" t="inlineStr">
        <is>
          <t>Merged_Table_Assay_lito</t>
        </is>
      </c>
      <c r="C977" t="inlineStr">
        <is>
          <t>metros de sondaje; pct sobre metros</t>
        </is>
      </c>
      <c r="D977" t="inlineStr">
        <is>
          <t>periodo_GM_LE2WASTE_Output</t>
        </is>
      </c>
      <c r="E977" t="inlineStr">
        <is>
          <t>2035</t>
        </is>
      </c>
      <c r="F977" t="inlineStr">
        <is>
          <t>ROCKCODE</t>
        </is>
      </c>
      <c r="G977" t="inlineStr">
        <is>
          <t>HG</t>
        </is>
      </c>
      <c r="H977" t="inlineStr">
        <is>
          <t>sin asignar</t>
        </is>
      </c>
      <c r="I977" t="inlineStr">
        <is>
          <t>HG</t>
        </is>
      </c>
      <c r="J977" t="inlineStr">
        <is>
          <t>ROCKCODE agrupado en ROCKCODE_NUMEQ=13; sigla sin leyenda</t>
        </is>
      </c>
      <c r="K977" t="inlineStr">
        <is>
          <t>Hornfels (hipótesis: siglas H*)</t>
        </is>
      </c>
      <c r="L977" t="inlineStr">
        <is>
          <t>Metamorfico</t>
        </is>
      </c>
      <c r="M977" t="n">
        <v>5</v>
      </c>
      <c r="N977" t="inlineStr"/>
      <c r="O977" t="inlineStr"/>
      <c r="P977" t="n">
        <v>4.5</v>
      </c>
      <c r="Q977" t="n">
        <v>0.064</v>
      </c>
    </row>
    <row r="978">
      <c r="A978" t="inlineStr">
        <is>
          <t>MR24</t>
        </is>
      </c>
      <c r="B978" t="inlineStr">
        <is>
          <t>Merged_Table_Assay_lito</t>
        </is>
      </c>
      <c r="C978" t="inlineStr">
        <is>
          <t>metros de sondaje; pct sobre metros</t>
        </is>
      </c>
      <c r="D978" t="inlineStr">
        <is>
          <t>periodo_GM_LE2WASTE_Output</t>
        </is>
      </c>
      <c r="E978" t="inlineStr">
        <is>
          <t>2035</t>
        </is>
      </c>
      <c r="F978" t="inlineStr">
        <is>
          <t>ROCKCODE</t>
        </is>
      </c>
      <c r="G978" t="inlineStr">
        <is>
          <t>HGS</t>
        </is>
      </c>
      <c r="H978" t="inlineStr">
        <is>
          <t>sin asignar</t>
        </is>
      </c>
      <c r="I978" t="inlineStr">
        <is>
          <t>HGS</t>
        </is>
      </c>
      <c r="J978" t="inlineStr">
        <is>
          <t>ROCKCODE agrupado en ROCKCODE_NUMEQ=13; sigla sin leyenda</t>
        </is>
      </c>
      <c r="K978" t="inlineStr">
        <is>
          <t>Hornfels (hipótesis: siglas H*)</t>
        </is>
      </c>
      <c r="L978" t="inlineStr">
        <is>
          <t>Metamorfico</t>
        </is>
      </c>
      <c r="M978" t="n">
        <v>11</v>
      </c>
      <c r="N978" t="inlineStr"/>
      <c r="O978" t="inlineStr"/>
      <c r="P978" t="n">
        <v>11.6</v>
      </c>
      <c r="Q978" t="n">
        <v>0.165</v>
      </c>
    </row>
    <row r="979">
      <c r="A979" t="inlineStr">
        <is>
          <t>MR24</t>
        </is>
      </c>
      <c r="B979" t="inlineStr">
        <is>
          <t>Merged_Table_Assay_lito</t>
        </is>
      </c>
      <c r="C979" t="inlineStr">
        <is>
          <t>metros de sondaje; pct sobre metros</t>
        </is>
      </c>
      <c r="D979" t="inlineStr">
        <is>
          <t>periodo_GM_LE2WASTE_Output</t>
        </is>
      </c>
      <c r="E979" t="inlineStr">
        <is>
          <t>2035</t>
        </is>
      </c>
      <c r="F979" t="inlineStr">
        <is>
          <t>ROCKCODE</t>
        </is>
      </c>
      <c r="G979" t="inlineStr">
        <is>
          <t>HGV</t>
        </is>
      </c>
      <c r="H979" t="inlineStr">
        <is>
          <t>sin asignar</t>
        </is>
      </c>
      <c r="I979" t="inlineStr">
        <is>
          <t>HGV</t>
        </is>
      </c>
      <c r="J979" t="inlineStr">
        <is>
          <t>ROCKCODE agrupado en ROCKCODE_NUMEQ=14; sigla sin leyenda</t>
        </is>
      </c>
      <c r="K979" t="inlineStr">
        <is>
          <t>Hornfels (hipótesis: siglas H*)</t>
        </is>
      </c>
      <c r="L979" t="inlineStr">
        <is>
          <t>Metamorfico</t>
        </is>
      </c>
      <c r="M979" t="n">
        <v>2</v>
      </c>
      <c r="N979" t="inlineStr"/>
      <c r="O979" t="inlineStr"/>
      <c r="P979" t="n">
        <v>5</v>
      </c>
      <c r="Q979" t="n">
        <v>0.07099999999999999</v>
      </c>
    </row>
    <row r="980">
      <c r="A980" t="inlineStr">
        <is>
          <t>MR24</t>
        </is>
      </c>
      <c r="B980" t="inlineStr">
        <is>
          <t>Merged_Table_Assay_lito</t>
        </is>
      </c>
      <c r="C980" t="inlineStr">
        <is>
          <t>metros de sondaje; pct sobre metros</t>
        </is>
      </c>
      <c r="D980" t="inlineStr">
        <is>
          <t>periodo_GM_LE2WASTE_Output</t>
        </is>
      </c>
      <c r="E980" t="inlineStr">
        <is>
          <t>2035</t>
        </is>
      </c>
      <c r="F980" t="inlineStr">
        <is>
          <t>ROCKCODE</t>
        </is>
      </c>
      <c r="G980" t="inlineStr">
        <is>
          <t>IPPA</t>
        </is>
      </c>
      <c r="H980" t="inlineStr">
        <is>
          <t>Intrusivo</t>
        </is>
      </c>
      <c r="I980" t="inlineStr">
        <is>
          <t>IPPA</t>
        </is>
      </c>
      <c r="J980" t="inlineStr">
        <is>
          <t>ROCKCODE agrupado en ROCKCODE_NUMEQ=1 (Intrusivo_1)</t>
        </is>
      </c>
      <c r="K980" t="inlineStr">
        <is>
          <t>Intrusivo</t>
        </is>
      </c>
      <c r="L980" t="inlineStr">
        <is>
          <t>Intrusivo</t>
        </is>
      </c>
      <c r="M980" t="n">
        <v>2762</v>
      </c>
      <c r="N980" t="inlineStr"/>
      <c r="O980" t="inlineStr"/>
      <c r="P980" t="n">
        <v>3142.92</v>
      </c>
      <c r="Q980" t="n">
        <v>44.674</v>
      </c>
    </row>
    <row r="981">
      <c r="A981" t="inlineStr">
        <is>
          <t>MR24</t>
        </is>
      </c>
      <c r="B981" t="inlineStr">
        <is>
          <t>Merged_Table_Assay_lito</t>
        </is>
      </c>
      <c r="C981" t="inlineStr">
        <is>
          <t>metros de sondaje; pct sobre metros</t>
        </is>
      </c>
      <c r="D981" t="inlineStr">
        <is>
          <t>periodo_GM_LE2WASTE_Output</t>
        </is>
      </c>
      <c r="E981" t="inlineStr">
        <is>
          <t>2035</t>
        </is>
      </c>
      <c r="F981" t="inlineStr">
        <is>
          <t>ROCKCODE</t>
        </is>
      </c>
      <c r="G981" t="inlineStr">
        <is>
          <t>IPPAMO</t>
        </is>
      </c>
      <c r="H981" t="inlineStr">
        <is>
          <t>Intrusivo</t>
        </is>
      </c>
      <c r="I981" t="inlineStr">
        <is>
          <t>IPPAMO</t>
        </is>
      </c>
      <c r="J981" t="inlineStr">
        <is>
          <t>ROCKCODE agrupado en ROCKCODE_NUMEQ=1 (Intrusivo_1)</t>
        </is>
      </c>
      <c r="K981" t="inlineStr">
        <is>
          <t>Intrusivo</t>
        </is>
      </c>
      <c r="L981" t="inlineStr">
        <is>
          <t>Intrusivo</t>
        </is>
      </c>
      <c r="M981" t="n">
        <v>5</v>
      </c>
      <c r="N981" t="inlineStr"/>
      <c r="O981" t="inlineStr"/>
      <c r="P981" t="n">
        <v>11.5</v>
      </c>
      <c r="Q981" t="n">
        <v>0.163</v>
      </c>
    </row>
    <row r="982">
      <c r="A982" t="inlineStr">
        <is>
          <t>MR24</t>
        </is>
      </c>
      <c r="B982" t="inlineStr">
        <is>
          <t>Merged_Table_Assay_lito</t>
        </is>
      </c>
      <c r="C982" t="inlineStr">
        <is>
          <t>metros de sondaje; pct sobre metros</t>
        </is>
      </c>
      <c r="D982" t="inlineStr">
        <is>
          <t>periodo_GM_LE2WASTE_Output</t>
        </is>
      </c>
      <c r="E982" t="inlineStr">
        <is>
          <t>2035</t>
        </is>
      </c>
      <c r="F982" t="inlineStr">
        <is>
          <t>ROCKCODE</t>
        </is>
      </c>
      <c r="G982" t="inlineStr">
        <is>
          <t>IPPAO</t>
        </is>
      </c>
      <c r="H982" t="inlineStr">
        <is>
          <t>Intrusivo</t>
        </is>
      </c>
      <c r="I982" t="inlineStr">
        <is>
          <t>IPPAO</t>
        </is>
      </c>
      <c r="J982" t="inlineStr">
        <is>
          <t>ROCKCODE agrupado en ROCKCODE_NUMEQ=1 (Intrusivo_1)</t>
        </is>
      </c>
      <c r="K982" t="inlineStr">
        <is>
          <t>Intrusivo</t>
        </is>
      </c>
      <c r="L982" t="inlineStr">
        <is>
          <t>Intrusivo</t>
        </is>
      </c>
      <c r="M982" t="n">
        <v>437</v>
      </c>
      <c r="N982" t="inlineStr"/>
      <c r="O982" t="inlineStr"/>
      <c r="P982" t="n">
        <v>538.66</v>
      </c>
      <c r="Q982" t="n">
        <v>7.657</v>
      </c>
    </row>
    <row r="983">
      <c r="A983" t="inlineStr">
        <is>
          <t>MR24</t>
        </is>
      </c>
      <c r="B983" t="inlineStr">
        <is>
          <t>Merged_Table_Assay_lito</t>
        </is>
      </c>
      <c r="C983" t="inlineStr">
        <is>
          <t>metros de sondaje; pct sobre metros</t>
        </is>
      </c>
      <c r="D983" t="inlineStr">
        <is>
          <t>periodo_GM_LE2WASTE_Output</t>
        </is>
      </c>
      <c r="E983" t="inlineStr">
        <is>
          <t>2035</t>
        </is>
      </c>
      <c r="F983" t="inlineStr">
        <is>
          <t>ROCKCODE</t>
        </is>
      </c>
      <c r="G983" t="inlineStr">
        <is>
          <t>IPPEO</t>
        </is>
      </c>
      <c r="H983" t="inlineStr">
        <is>
          <t>Intrusivo</t>
        </is>
      </c>
      <c r="I983" t="inlineStr">
        <is>
          <t>IPPEO</t>
        </is>
      </c>
      <c r="J983" t="inlineStr">
        <is>
          <t>ROCKCODE agrupado en ROCKCODE_NUMEQ=1 (Intrusivo_1)</t>
        </is>
      </c>
      <c r="K983" t="inlineStr">
        <is>
          <t>Intrusivo</t>
        </is>
      </c>
      <c r="L983" t="inlineStr">
        <is>
          <t>Intrusivo</t>
        </is>
      </c>
      <c r="M983" t="n">
        <v>6</v>
      </c>
      <c r="N983" t="inlineStr"/>
      <c r="O983" t="inlineStr"/>
      <c r="P983" t="n">
        <v>12.05</v>
      </c>
      <c r="Q983" t="n">
        <v>0.171</v>
      </c>
    </row>
    <row r="984">
      <c r="A984" t="inlineStr">
        <is>
          <t>MR24</t>
        </is>
      </c>
      <c r="B984" t="inlineStr">
        <is>
          <t>Merged_Table_Assay_lito</t>
        </is>
      </c>
      <c r="C984" t="inlineStr">
        <is>
          <t>metros de sondaje; pct sobre metros</t>
        </is>
      </c>
      <c r="D984" t="inlineStr">
        <is>
          <t>periodo_GM_LE2WASTE_Output</t>
        </is>
      </c>
      <c r="E984" t="inlineStr">
        <is>
          <t>2035</t>
        </is>
      </c>
      <c r="F984" t="inlineStr">
        <is>
          <t>ROCKCODE</t>
        </is>
      </c>
      <c r="G984" t="inlineStr">
        <is>
          <t>MC</t>
        </is>
      </c>
      <c r="H984" t="inlineStr">
        <is>
          <t>sin asignar</t>
        </is>
      </c>
      <c r="I984" t="inlineStr">
        <is>
          <t>MC</t>
        </is>
      </c>
      <c r="J984" t="inlineStr">
        <is>
          <t>ROCKCODE agrupado en ROCKCODE_NUMEQ=16; sigla sin leyenda</t>
        </is>
      </c>
      <c r="K984" t="inlineStr">
        <is>
          <t>Mármol (hipótesis: siglas M*)</t>
        </is>
      </c>
      <c r="L984" t="inlineStr">
        <is>
          <t>Metamorfico</t>
        </is>
      </c>
      <c r="M984" t="n">
        <v>901</v>
      </c>
      <c r="N984" t="inlineStr"/>
      <c r="O984" t="inlineStr"/>
      <c r="P984" t="n">
        <v>1390.7</v>
      </c>
      <c r="Q984" t="n">
        <v>19.768</v>
      </c>
    </row>
    <row r="985">
      <c r="A985" t="inlineStr">
        <is>
          <t>MR24</t>
        </is>
      </c>
      <c r="B985" t="inlineStr">
        <is>
          <t>Merged_Table_Assay_lito</t>
        </is>
      </c>
      <c r="C985" t="inlineStr">
        <is>
          <t>metros de sondaje; pct sobre metros</t>
        </is>
      </c>
      <c r="D985" t="inlineStr">
        <is>
          <t>periodo_GM_LE2WASTE_Output</t>
        </is>
      </c>
      <c r="E985" t="inlineStr">
        <is>
          <t>2035</t>
        </is>
      </c>
      <c r="F985" t="inlineStr">
        <is>
          <t>ROCKCODE</t>
        </is>
      </c>
      <c r="G985" t="inlineStr">
        <is>
          <t>MCB</t>
        </is>
      </c>
      <c r="H985" t="inlineStr">
        <is>
          <t>sin asignar</t>
        </is>
      </c>
      <c r="I985" t="inlineStr">
        <is>
          <t>MCB</t>
        </is>
      </c>
      <c r="J985" t="inlineStr">
        <is>
          <t>ROCKCODE agrupado en ROCKCODE_NUMEQ=16; sigla sin leyenda</t>
        </is>
      </c>
      <c r="K985" t="inlineStr">
        <is>
          <t>Mármol (hipótesis: siglas M*)</t>
        </is>
      </c>
      <c r="L985" t="inlineStr">
        <is>
          <t>Metamorfico</t>
        </is>
      </c>
      <c r="M985" t="n">
        <v>84</v>
      </c>
      <c r="N985" t="inlineStr"/>
      <c r="O985" t="inlineStr"/>
      <c r="P985" t="n">
        <v>108.05</v>
      </c>
      <c r="Q985" t="n">
        <v>1.536</v>
      </c>
    </row>
    <row r="986">
      <c r="A986" t="inlineStr">
        <is>
          <t>MR24</t>
        </is>
      </c>
      <c r="B986" t="inlineStr">
        <is>
          <t>Merged_Table_Assay_lito</t>
        </is>
      </c>
      <c r="C986" t="inlineStr">
        <is>
          <t>metros de sondaje; pct sobre metros</t>
        </is>
      </c>
      <c r="D986" t="inlineStr">
        <is>
          <t>periodo_GM_LE2WASTE_Output</t>
        </is>
      </c>
      <c r="E986" t="inlineStr">
        <is>
          <t>2035</t>
        </is>
      </c>
      <c r="F986" t="inlineStr">
        <is>
          <t>ROCKCODE</t>
        </is>
      </c>
      <c r="G986" t="inlineStr">
        <is>
          <t>MCGB</t>
        </is>
      </c>
      <c r="H986" t="inlineStr">
        <is>
          <t>sin asignar</t>
        </is>
      </c>
      <c r="I986" t="inlineStr">
        <is>
          <t>MCGB</t>
        </is>
      </c>
      <c r="J986" t="inlineStr">
        <is>
          <t>ROCKCODE agrupado en ROCKCODE_NUMEQ=16; sigla sin leyenda</t>
        </is>
      </c>
      <c r="K986" t="inlineStr">
        <is>
          <t>Mármol (hipótesis: siglas M*)</t>
        </is>
      </c>
      <c r="L986" t="inlineStr">
        <is>
          <t>Metamorfico</t>
        </is>
      </c>
      <c r="M986" t="n">
        <v>189</v>
      </c>
      <c r="N986" t="inlineStr"/>
      <c r="O986" t="inlineStr"/>
      <c r="P986" t="n">
        <v>200.2</v>
      </c>
      <c r="Q986" t="n">
        <v>2.846</v>
      </c>
    </row>
    <row r="987">
      <c r="A987" t="inlineStr">
        <is>
          <t>MR24</t>
        </is>
      </c>
      <c r="B987" t="inlineStr">
        <is>
          <t>Merged_Table_Assay_lito</t>
        </is>
      </c>
      <c r="C987" t="inlineStr">
        <is>
          <t>metros de sondaje; pct sobre metros</t>
        </is>
      </c>
      <c r="D987" t="inlineStr">
        <is>
          <t>periodo_GM_LE2WASTE_Output</t>
        </is>
      </c>
      <c r="E987" t="inlineStr">
        <is>
          <t>2035</t>
        </is>
      </c>
      <c r="F987" t="inlineStr">
        <is>
          <t>ROCKCODE</t>
        </is>
      </c>
      <c r="G987" t="inlineStr">
        <is>
          <t>MDP</t>
        </is>
      </c>
      <c r="H987" t="inlineStr">
        <is>
          <t>sin asignar</t>
        </is>
      </c>
      <c r="I987" t="inlineStr">
        <is>
          <t>MDP</t>
        </is>
      </c>
      <c r="J987" t="inlineStr">
        <is>
          <t>ROCKCODE agrupado en ROCKCODE_NUMEQ=19; sigla sin leyenda</t>
        </is>
      </c>
      <c r="K987" t="inlineStr">
        <is>
          <t>Mármol (hipótesis: sigla MDP)</t>
        </is>
      </c>
      <c r="L987" t="inlineStr">
        <is>
          <t>Metamorfico</t>
        </is>
      </c>
      <c r="M987" t="n">
        <v>997</v>
      </c>
      <c r="N987" t="inlineStr"/>
      <c r="O987" t="inlineStr"/>
      <c r="P987" t="n">
        <v>878.25</v>
      </c>
      <c r="Q987" t="n">
        <v>12.484</v>
      </c>
    </row>
    <row r="988">
      <c r="A988" t="inlineStr">
        <is>
          <t>MR24</t>
        </is>
      </c>
      <c r="B988" t="inlineStr">
        <is>
          <t>Merged_Table_Assay_lito</t>
        </is>
      </c>
      <c r="C988" t="inlineStr">
        <is>
          <t>metros de sondaje; pct sobre metros</t>
        </is>
      </c>
      <c r="D988" t="inlineStr">
        <is>
          <t>periodo_GM_LE2WASTE_Output</t>
        </is>
      </c>
      <c r="E988" t="inlineStr">
        <is>
          <t>2035</t>
        </is>
      </c>
      <c r="F988" t="inlineStr">
        <is>
          <t>ROCKCODE</t>
        </is>
      </c>
      <c r="G988" t="inlineStr">
        <is>
          <t>MG</t>
        </is>
      </c>
      <c r="H988" t="inlineStr">
        <is>
          <t>sin asignar</t>
        </is>
      </c>
      <c r="I988" t="inlineStr">
        <is>
          <t>MG</t>
        </is>
      </c>
      <c r="J988" t="inlineStr">
        <is>
          <t>ROCKCODE agrupado en ROCKCODE_NUMEQ=16; sigla sin leyenda</t>
        </is>
      </c>
      <c r="K988" t="inlineStr">
        <is>
          <t>Mármol (hipótesis: siglas M*)</t>
        </is>
      </c>
      <c r="L988" t="inlineStr">
        <is>
          <t>Metamorfico</t>
        </is>
      </c>
      <c r="M988" t="n">
        <v>238</v>
      </c>
      <c r="N988" t="inlineStr"/>
      <c r="O988" t="inlineStr"/>
      <c r="P988" t="n">
        <v>204.85</v>
      </c>
      <c r="Q988" t="n">
        <v>2.912</v>
      </c>
    </row>
    <row r="989">
      <c r="A989" t="inlineStr">
        <is>
          <t>MR24</t>
        </is>
      </c>
      <c r="B989" t="inlineStr">
        <is>
          <t>Merged_Table_Assay_lito</t>
        </is>
      </c>
      <c r="C989" t="inlineStr">
        <is>
          <t>metros de sondaje; pct sobre metros</t>
        </is>
      </c>
      <c r="D989" t="inlineStr">
        <is>
          <t>periodo_GM_LE2WASTE_Output</t>
        </is>
      </c>
      <c r="E989" t="inlineStr">
        <is>
          <t>2035</t>
        </is>
      </c>
      <c r="F989" t="inlineStr">
        <is>
          <t>ROCKCODE</t>
        </is>
      </c>
      <c r="G989" t="inlineStr">
        <is>
          <t>MGS</t>
        </is>
      </c>
      <c r="H989" t="inlineStr">
        <is>
          <t>sin asignar</t>
        </is>
      </c>
      <c r="I989" t="inlineStr">
        <is>
          <t>MGS</t>
        </is>
      </c>
      <c r="J989" t="inlineStr">
        <is>
          <t>ROCKCODE agrupado en ROCKCODE_NUMEQ=16; sigla sin leyenda</t>
        </is>
      </c>
      <c r="K989" t="inlineStr">
        <is>
          <t>Mármol (hipótesis: siglas M*)</t>
        </is>
      </c>
      <c r="L989" t="inlineStr">
        <is>
          <t>Metamorfico</t>
        </is>
      </c>
      <c r="M989" t="n">
        <v>44</v>
      </c>
      <c r="N989" t="inlineStr"/>
      <c r="O989" t="inlineStr"/>
      <c r="P989" t="n">
        <v>43.65</v>
      </c>
      <c r="Q989" t="n">
        <v>0.62</v>
      </c>
    </row>
    <row r="990">
      <c r="A990" t="inlineStr">
        <is>
          <t>MR24</t>
        </is>
      </c>
      <c r="B990" t="inlineStr">
        <is>
          <t>Merged_Table_Assay_lito</t>
        </is>
      </c>
      <c r="C990" t="inlineStr">
        <is>
          <t>metros de sondaje; pct sobre metros</t>
        </is>
      </c>
      <c r="D990" t="inlineStr">
        <is>
          <t>periodo_GM_LE2WASTE_Output</t>
        </is>
      </c>
      <c r="E990" t="inlineStr">
        <is>
          <t>2035</t>
        </is>
      </c>
      <c r="F990" t="inlineStr">
        <is>
          <t>ROCKCODE</t>
        </is>
      </c>
      <c r="G990" t="inlineStr">
        <is>
          <t>MPA</t>
        </is>
      </c>
      <c r="H990" t="inlineStr">
        <is>
          <t>sin asignar</t>
        </is>
      </c>
      <c r="I990" t="inlineStr">
        <is>
          <t>MPA</t>
        </is>
      </c>
      <c r="J990" t="inlineStr">
        <is>
          <t>ROCKCODE agrupado en ROCKCODE_NUMEQ=16; sigla sin leyenda</t>
        </is>
      </c>
      <c r="K990" t="inlineStr">
        <is>
          <t>Mármol (hipótesis: siglas M*)</t>
        </is>
      </c>
      <c r="L990" t="inlineStr">
        <is>
          <t>Metamorfico</t>
        </is>
      </c>
      <c r="M990" t="n">
        <v>62</v>
      </c>
      <c r="N990" t="inlineStr"/>
      <c r="O990" t="inlineStr"/>
      <c r="P990" t="n">
        <v>43.75</v>
      </c>
      <c r="Q990" t="n">
        <v>0.622</v>
      </c>
    </row>
    <row r="991">
      <c r="A991" t="inlineStr">
        <is>
          <t>MR24</t>
        </is>
      </c>
      <c r="B991" t="inlineStr">
        <is>
          <t>Merged_Table_Assay_lito</t>
        </is>
      </c>
      <c r="C991" t="inlineStr">
        <is>
          <t>metros de sondaje; pct sobre metros</t>
        </is>
      </c>
      <c r="D991" t="inlineStr">
        <is>
          <t>periodo_GM_LE2WASTE_Output</t>
        </is>
      </c>
      <c r="E991" t="inlineStr">
        <is>
          <t>203637</t>
        </is>
      </c>
      <c r="F991" t="inlineStr">
        <is>
          <t>ROCKCODE</t>
        </is>
      </c>
      <c r="G991" t="inlineStr">
        <is>
          <t>BCIPPAO</t>
        </is>
      </c>
      <c r="H991" t="inlineStr">
        <is>
          <t>Intrusivo</t>
        </is>
      </c>
      <c r="I991" t="inlineStr">
        <is>
          <t>BCIPPAO</t>
        </is>
      </c>
      <c r="J991" t="inlineStr">
        <is>
          <t>ROCKCODE agrupado en ROCKCODE_NUMEQ=1 (Intrusivo_1)</t>
        </is>
      </c>
      <c r="K991" t="inlineStr">
        <is>
          <t>Intrusivo</t>
        </is>
      </c>
      <c r="L991" t="inlineStr">
        <is>
          <t>Intrusivo</t>
        </is>
      </c>
      <c r="M991" t="n">
        <v>2</v>
      </c>
      <c r="N991" t="inlineStr"/>
      <c r="O991" t="inlineStr"/>
      <c r="P991" t="n">
        <v>3.3</v>
      </c>
      <c r="Q991" t="n">
        <v>0.019</v>
      </c>
    </row>
    <row r="992">
      <c r="A992" t="inlineStr">
        <is>
          <t>MR24</t>
        </is>
      </c>
      <c r="B992" t="inlineStr">
        <is>
          <t>Merged_Table_Assay_lito</t>
        </is>
      </c>
      <c r="C992" t="inlineStr">
        <is>
          <t>metros de sondaje; pct sobre metros</t>
        </is>
      </c>
      <c r="D992" t="inlineStr">
        <is>
          <t>periodo_GM_LE2WASTE_Output</t>
        </is>
      </c>
      <c r="E992" t="inlineStr">
        <is>
          <t>203637</t>
        </is>
      </c>
      <c r="F992" t="inlineStr">
        <is>
          <t>ROCKCODE</t>
        </is>
      </c>
      <c r="G992" t="inlineStr">
        <is>
          <t>CA</t>
        </is>
      </c>
      <c r="H992" t="inlineStr">
        <is>
          <t>sin asignar</t>
        </is>
      </c>
      <c r="I992" t="inlineStr">
        <is>
          <t>CA</t>
        </is>
      </c>
      <c r="J992" t="inlineStr">
        <is>
          <t>ROCKCODE agrupado en ROCKCODE_NUMEQ=10; sigla sin leyenda</t>
        </is>
      </c>
      <c r="K992" t="inlineStr">
        <is>
          <t>Caliza (hipótesis: siglas C*)</t>
        </is>
      </c>
      <c r="L992" t="inlineStr">
        <is>
          <t>Sedimentario</t>
        </is>
      </c>
      <c r="M992" t="n">
        <v>106</v>
      </c>
      <c r="N992" t="inlineStr"/>
      <c r="O992" t="inlineStr"/>
      <c r="P992" t="n">
        <v>102.45</v>
      </c>
      <c r="Q992" t="n">
        <v>0.604</v>
      </c>
    </row>
    <row r="993">
      <c r="A993" t="inlineStr">
        <is>
          <t>MR24</t>
        </is>
      </c>
      <c r="B993" t="inlineStr">
        <is>
          <t>Merged_Table_Assay_lito</t>
        </is>
      </c>
      <c r="C993" t="inlineStr">
        <is>
          <t>metros de sondaje; pct sobre metros</t>
        </is>
      </c>
      <c r="D993" t="inlineStr">
        <is>
          <t>periodo_GM_LE2WASTE_Output</t>
        </is>
      </c>
      <c r="E993" t="inlineStr">
        <is>
          <t>203637</t>
        </is>
      </c>
      <c r="F993" t="inlineStr">
        <is>
          <t>ROCKCODE</t>
        </is>
      </c>
      <c r="G993" t="inlineStr">
        <is>
          <t>CBMN</t>
        </is>
      </c>
      <c r="H993" t="inlineStr">
        <is>
          <t>sin asignar</t>
        </is>
      </c>
      <c r="I993" t="inlineStr">
        <is>
          <t>CBMN</t>
        </is>
      </c>
      <c r="J993" t="inlineStr">
        <is>
          <t>ROCKCODE agrupado en ROCKCODE_NUMEQ=10; sigla sin leyenda</t>
        </is>
      </c>
      <c r="K993" t="inlineStr">
        <is>
          <t>Caliza (hipótesis: siglas C*)</t>
        </is>
      </c>
      <c r="L993" t="inlineStr">
        <is>
          <t>Sedimentario</t>
        </is>
      </c>
      <c r="M993" t="n">
        <v>9</v>
      </c>
      <c r="N993" t="inlineStr"/>
      <c r="O993" t="inlineStr"/>
      <c r="P993" t="n">
        <v>7.35</v>
      </c>
      <c r="Q993" t="n">
        <v>0.043</v>
      </c>
    </row>
    <row r="994">
      <c r="A994" t="inlineStr">
        <is>
          <t>MR24</t>
        </is>
      </c>
      <c r="B994" t="inlineStr">
        <is>
          <t>Merged_Table_Assay_lito</t>
        </is>
      </c>
      <c r="C994" t="inlineStr">
        <is>
          <t>metros de sondaje; pct sobre metros</t>
        </is>
      </c>
      <c r="D994" t="inlineStr">
        <is>
          <t>periodo_GM_LE2WASTE_Output</t>
        </is>
      </c>
      <c r="E994" t="inlineStr">
        <is>
          <t>203637</t>
        </is>
      </c>
      <c r="F994" t="inlineStr">
        <is>
          <t>ROCKCODE</t>
        </is>
      </c>
      <c r="G994" t="inlineStr">
        <is>
          <t>CG</t>
        </is>
      </c>
      <c r="H994" t="inlineStr">
        <is>
          <t>sin asignar</t>
        </is>
      </c>
      <c r="I994" t="inlineStr">
        <is>
          <t>CG</t>
        </is>
      </c>
      <c r="J994" t="inlineStr">
        <is>
          <t>ROCKCODE agrupado en ROCKCODE_NUMEQ=10; sigla sin leyenda</t>
        </is>
      </c>
      <c r="K994" t="inlineStr">
        <is>
          <t>Caliza (hipótesis: siglas C*)</t>
        </is>
      </c>
      <c r="L994" t="inlineStr">
        <is>
          <t>Sedimentario</t>
        </is>
      </c>
      <c r="M994" t="n">
        <v>890</v>
      </c>
      <c r="N994" t="inlineStr"/>
      <c r="O994" t="inlineStr"/>
      <c r="P994" t="n">
        <v>800.85</v>
      </c>
      <c r="Q994" t="n">
        <v>4.722</v>
      </c>
    </row>
    <row r="995">
      <c r="A995" t="inlineStr">
        <is>
          <t>MR24</t>
        </is>
      </c>
      <c r="B995" t="inlineStr">
        <is>
          <t>Merged_Table_Assay_lito</t>
        </is>
      </c>
      <c r="C995" t="inlineStr">
        <is>
          <t>metros de sondaje; pct sobre metros</t>
        </is>
      </c>
      <c r="D995" t="inlineStr">
        <is>
          <t>periodo_GM_LE2WASTE_Output</t>
        </is>
      </c>
      <c r="E995" t="inlineStr">
        <is>
          <t>203637</t>
        </is>
      </c>
      <c r="F995" t="inlineStr">
        <is>
          <t>ROCKCODE</t>
        </is>
      </c>
      <c r="G995" t="inlineStr">
        <is>
          <t>CGS</t>
        </is>
      </c>
      <c r="H995" t="inlineStr">
        <is>
          <t>sin asignar</t>
        </is>
      </c>
      <c r="I995" t="inlineStr">
        <is>
          <t>CGS</t>
        </is>
      </c>
      <c r="J995" t="inlineStr">
        <is>
          <t>ROCKCODE agrupado en ROCKCODE_NUMEQ=10; sigla sin leyenda</t>
        </is>
      </c>
      <c r="K995" t="inlineStr">
        <is>
          <t>Caliza (hipótesis: siglas C*)</t>
        </is>
      </c>
      <c r="L995" t="inlineStr">
        <is>
          <t>Sedimentario</t>
        </is>
      </c>
      <c r="M995" t="n">
        <v>788</v>
      </c>
      <c r="N995" t="inlineStr"/>
      <c r="O995" t="inlineStr"/>
      <c r="P995" t="n">
        <v>696.75</v>
      </c>
      <c r="Q995" t="n">
        <v>4.108</v>
      </c>
    </row>
    <row r="996">
      <c r="A996" t="inlineStr">
        <is>
          <t>MR24</t>
        </is>
      </c>
      <c r="B996" t="inlineStr">
        <is>
          <t>Merged_Table_Assay_lito</t>
        </is>
      </c>
      <c r="C996" t="inlineStr">
        <is>
          <t>metros de sondaje; pct sobre metros</t>
        </is>
      </c>
      <c r="D996" t="inlineStr">
        <is>
          <t>periodo_GM_LE2WASTE_Output</t>
        </is>
      </c>
      <c r="E996" t="inlineStr">
        <is>
          <t>203637</t>
        </is>
      </c>
      <c r="F996" t="inlineStr">
        <is>
          <t>ROCKCODE</t>
        </is>
      </c>
      <c r="G996" t="inlineStr">
        <is>
          <t>CM</t>
        </is>
      </c>
      <c r="H996" t="inlineStr">
        <is>
          <t>sin asignar</t>
        </is>
      </c>
      <c r="I996" t="inlineStr">
        <is>
          <t>CM</t>
        </is>
      </c>
      <c r="J996" t="inlineStr">
        <is>
          <t>ROCKCODE agrupado en ROCKCODE_NUMEQ=10; sigla sin leyenda</t>
        </is>
      </c>
      <c r="K996" t="inlineStr">
        <is>
          <t>Caliza (hipótesis: siglas C*)</t>
        </is>
      </c>
      <c r="L996" t="inlineStr">
        <is>
          <t>Sedimentario</t>
        </is>
      </c>
      <c r="M996" t="n">
        <v>2</v>
      </c>
      <c r="N996" t="inlineStr"/>
      <c r="O996" t="inlineStr"/>
      <c r="P996" t="n">
        <v>10</v>
      </c>
      <c r="Q996" t="n">
        <v>0.059</v>
      </c>
    </row>
    <row r="997">
      <c r="A997" t="inlineStr">
        <is>
          <t>MR24</t>
        </is>
      </c>
      <c r="B997" t="inlineStr">
        <is>
          <t>Merged_Table_Assay_lito</t>
        </is>
      </c>
      <c r="C997" t="inlineStr">
        <is>
          <t>metros de sondaje; pct sobre metros</t>
        </is>
      </c>
      <c r="D997" t="inlineStr">
        <is>
          <t>periodo_GM_LE2WASTE_Output</t>
        </is>
      </c>
      <c r="E997" t="inlineStr">
        <is>
          <t>203637</t>
        </is>
      </c>
      <c r="F997" t="inlineStr">
        <is>
          <t>ROCKCODE</t>
        </is>
      </c>
      <c r="G997" t="inlineStr">
        <is>
          <t>CN</t>
        </is>
      </c>
      <c r="H997" t="inlineStr">
        <is>
          <t>sin asignar</t>
        </is>
      </c>
      <c r="I997" t="inlineStr">
        <is>
          <t>CN</t>
        </is>
      </c>
      <c r="J997" t="inlineStr">
        <is>
          <t>ROCKCODE agrupado en ROCKCODE_NUMEQ=10; sigla sin leyenda</t>
        </is>
      </c>
      <c r="K997" t="inlineStr">
        <is>
          <t>Caliza (hipótesis: siglas C*)</t>
        </is>
      </c>
      <c r="L997" t="inlineStr">
        <is>
          <t>Sedimentario</t>
        </is>
      </c>
      <c r="M997" t="n">
        <v>190</v>
      </c>
      <c r="N997" t="inlineStr"/>
      <c r="O997" t="inlineStr"/>
      <c r="P997" t="n">
        <v>179.05</v>
      </c>
      <c r="Q997" t="n">
        <v>1.056</v>
      </c>
    </row>
    <row r="998">
      <c r="A998" t="inlineStr">
        <is>
          <t>MR24</t>
        </is>
      </c>
      <c r="B998" t="inlineStr">
        <is>
          <t>Merged_Table_Assay_lito</t>
        </is>
      </c>
      <c r="C998" t="inlineStr">
        <is>
          <t>metros de sondaje; pct sobre metros</t>
        </is>
      </c>
      <c r="D998" t="inlineStr">
        <is>
          <t>periodo_GM_LE2WASTE_Output</t>
        </is>
      </c>
      <c r="E998" t="inlineStr">
        <is>
          <t>203637</t>
        </is>
      </c>
      <c r="F998" t="inlineStr">
        <is>
          <t>ROCKCODE</t>
        </is>
      </c>
      <c r="G998" t="inlineStr">
        <is>
          <t>HBV</t>
        </is>
      </c>
      <c r="H998" t="inlineStr">
        <is>
          <t>sin asignar</t>
        </is>
      </c>
      <c r="I998" t="inlineStr">
        <is>
          <t>HBV</t>
        </is>
      </c>
      <c r="J998" t="inlineStr">
        <is>
          <t>ROCKCODE agrupado en ROCKCODE_NUMEQ=14; sigla sin leyenda</t>
        </is>
      </c>
      <c r="K998" t="inlineStr">
        <is>
          <t>Hornfels (hipótesis: siglas H*)</t>
        </is>
      </c>
      <c r="L998" t="inlineStr">
        <is>
          <t>Metamorfico</t>
        </is>
      </c>
      <c r="M998" t="n">
        <v>304</v>
      </c>
      <c r="N998" t="inlineStr"/>
      <c r="O998" t="inlineStr"/>
      <c r="P998" t="n">
        <v>240.6</v>
      </c>
      <c r="Q998" t="n">
        <v>1.419</v>
      </c>
    </row>
    <row r="999">
      <c r="A999" t="inlineStr">
        <is>
          <t>MR24</t>
        </is>
      </c>
      <c r="B999" t="inlineStr">
        <is>
          <t>Merged_Table_Assay_lito</t>
        </is>
      </c>
      <c r="C999" t="inlineStr">
        <is>
          <t>metros de sondaje; pct sobre metros</t>
        </is>
      </c>
      <c r="D999" t="inlineStr">
        <is>
          <t>periodo_GM_LE2WASTE_Output</t>
        </is>
      </c>
      <c r="E999" t="inlineStr">
        <is>
          <t>203637</t>
        </is>
      </c>
      <c r="F999" t="inlineStr">
        <is>
          <t>ROCKCODE</t>
        </is>
      </c>
      <c r="G999" t="inlineStr">
        <is>
          <t>HC</t>
        </is>
      </c>
      <c r="H999" t="inlineStr">
        <is>
          <t>sin asignar</t>
        </is>
      </c>
      <c r="I999" t="inlineStr">
        <is>
          <t>HC</t>
        </is>
      </c>
      <c r="J999" t="inlineStr">
        <is>
          <t>ROCKCODE agrupado en ROCKCODE_NUMEQ=13; sigla sin leyenda</t>
        </is>
      </c>
      <c r="K999" t="inlineStr">
        <is>
          <t>Hornfels (hipótesis: siglas H*)</t>
        </is>
      </c>
      <c r="L999" t="inlineStr">
        <is>
          <t>Metamorfico</t>
        </is>
      </c>
      <c r="M999" t="n">
        <v>820</v>
      </c>
      <c r="N999" t="inlineStr"/>
      <c r="O999" t="inlineStr"/>
      <c r="P999" t="n">
        <v>692.35</v>
      </c>
      <c r="Q999" t="n">
        <v>4.082</v>
      </c>
    </row>
    <row r="1000">
      <c r="A1000" t="inlineStr">
        <is>
          <t>MR24</t>
        </is>
      </c>
      <c r="B1000" t="inlineStr">
        <is>
          <t>Merged_Table_Assay_lito</t>
        </is>
      </c>
      <c r="C1000" t="inlineStr">
        <is>
          <t>metros de sondaje; pct sobre metros</t>
        </is>
      </c>
      <c r="D1000" t="inlineStr">
        <is>
          <t>periodo_GM_LE2WASTE_Output</t>
        </is>
      </c>
      <c r="E1000" t="inlineStr">
        <is>
          <t>203637</t>
        </is>
      </c>
      <c r="F1000" t="inlineStr">
        <is>
          <t>ROCKCODE</t>
        </is>
      </c>
      <c r="G1000" t="inlineStr">
        <is>
          <t>HCB</t>
        </is>
      </c>
      <c r="H1000" t="inlineStr">
        <is>
          <t>sin asignar</t>
        </is>
      </c>
      <c r="I1000" t="inlineStr">
        <is>
          <t>HCB</t>
        </is>
      </c>
      <c r="J1000" t="inlineStr">
        <is>
          <t>ROCKCODE agrupado en ROCKCODE_NUMEQ=14; sigla sin leyenda</t>
        </is>
      </c>
      <c r="K1000" t="inlineStr">
        <is>
          <t>Hornfels (hipótesis: siglas H*)</t>
        </is>
      </c>
      <c r="L1000" t="inlineStr">
        <is>
          <t>Metamorfico</t>
        </is>
      </c>
      <c r="M1000" t="n">
        <v>117</v>
      </c>
      <c r="N1000" t="inlineStr"/>
      <c r="O1000" t="inlineStr"/>
      <c r="P1000" t="n">
        <v>93.3</v>
      </c>
      <c r="Q1000" t="n">
        <v>0.55</v>
      </c>
    </row>
    <row r="1001">
      <c r="A1001" t="inlineStr">
        <is>
          <t>MR24</t>
        </is>
      </c>
      <c r="B1001" t="inlineStr">
        <is>
          <t>Merged_Table_Assay_lito</t>
        </is>
      </c>
      <c r="C1001" t="inlineStr">
        <is>
          <t>metros de sondaje; pct sobre metros</t>
        </is>
      </c>
      <c r="D1001" t="inlineStr">
        <is>
          <t>periodo_GM_LE2WASTE_Output</t>
        </is>
      </c>
      <c r="E1001" t="inlineStr">
        <is>
          <t>203637</t>
        </is>
      </c>
      <c r="F1001" t="inlineStr">
        <is>
          <t>ROCKCODE</t>
        </is>
      </c>
      <c r="G1001" t="inlineStr">
        <is>
          <t>HDP</t>
        </is>
      </c>
      <c r="H1001" t="inlineStr">
        <is>
          <t>sin asignar</t>
        </is>
      </c>
      <c r="I1001" t="inlineStr">
        <is>
          <t>HDP</t>
        </is>
      </c>
      <c r="J1001" t="inlineStr">
        <is>
          <t>ROCKCODE agrupado en ROCKCODE_NUMEQ=14; sigla sin leyenda</t>
        </is>
      </c>
      <c r="K1001" t="inlineStr">
        <is>
          <t>Hornfels (hipótesis: siglas H*)</t>
        </is>
      </c>
      <c r="L1001" t="inlineStr">
        <is>
          <t>Metamorfico</t>
        </is>
      </c>
      <c r="M1001" t="n">
        <v>36</v>
      </c>
      <c r="N1001" t="inlineStr"/>
      <c r="O1001" t="inlineStr"/>
      <c r="P1001" t="n">
        <v>34.2</v>
      </c>
      <c r="Q1001" t="n">
        <v>0.202</v>
      </c>
    </row>
    <row r="1002">
      <c r="A1002" t="inlineStr">
        <is>
          <t>MR24</t>
        </is>
      </c>
      <c r="B1002" t="inlineStr">
        <is>
          <t>Merged_Table_Assay_lito</t>
        </is>
      </c>
      <c r="C1002" t="inlineStr">
        <is>
          <t>metros de sondaje; pct sobre metros</t>
        </is>
      </c>
      <c r="D1002" t="inlineStr">
        <is>
          <t>periodo_GM_LE2WASTE_Output</t>
        </is>
      </c>
      <c r="E1002" t="inlineStr">
        <is>
          <t>203637</t>
        </is>
      </c>
      <c r="F1002" t="inlineStr">
        <is>
          <t>ROCKCODE</t>
        </is>
      </c>
      <c r="G1002" t="inlineStr">
        <is>
          <t>HG</t>
        </is>
      </c>
      <c r="H1002" t="inlineStr">
        <is>
          <t>sin asignar</t>
        </is>
      </c>
      <c r="I1002" t="inlineStr">
        <is>
          <t>HG</t>
        </is>
      </c>
      <c r="J1002" t="inlineStr">
        <is>
          <t>ROCKCODE agrupado en ROCKCODE_NUMEQ=13; sigla sin leyenda</t>
        </is>
      </c>
      <c r="K1002" t="inlineStr">
        <is>
          <t>Hornfels (hipótesis: siglas H*)</t>
        </is>
      </c>
      <c r="L1002" t="inlineStr">
        <is>
          <t>Metamorfico</t>
        </is>
      </c>
      <c r="M1002" t="n">
        <v>1864</v>
      </c>
      <c r="N1002" t="inlineStr"/>
      <c r="O1002" t="inlineStr"/>
      <c r="P1002" t="n">
        <v>1567.1</v>
      </c>
      <c r="Q1002" t="n">
        <v>9.24</v>
      </c>
    </row>
    <row r="1003">
      <c r="A1003" t="inlineStr">
        <is>
          <t>MR24</t>
        </is>
      </c>
      <c r="B1003" t="inlineStr">
        <is>
          <t>Merged_Table_Assay_lito</t>
        </is>
      </c>
      <c r="C1003" t="inlineStr">
        <is>
          <t>metros de sondaje; pct sobre metros</t>
        </is>
      </c>
      <c r="D1003" t="inlineStr">
        <is>
          <t>periodo_GM_LE2WASTE_Output</t>
        </is>
      </c>
      <c r="E1003" t="inlineStr">
        <is>
          <t>203637</t>
        </is>
      </c>
      <c r="F1003" t="inlineStr">
        <is>
          <t>ROCKCODE</t>
        </is>
      </c>
      <c r="G1003" t="inlineStr">
        <is>
          <t>HGS</t>
        </is>
      </c>
      <c r="H1003" t="inlineStr">
        <is>
          <t>sin asignar</t>
        </is>
      </c>
      <c r="I1003" t="inlineStr">
        <is>
          <t>HGS</t>
        </is>
      </c>
      <c r="J1003" t="inlineStr">
        <is>
          <t>ROCKCODE agrupado en ROCKCODE_NUMEQ=13; sigla sin leyenda</t>
        </is>
      </c>
      <c r="K1003" t="inlineStr">
        <is>
          <t>Hornfels (hipótesis: siglas H*)</t>
        </is>
      </c>
      <c r="L1003" t="inlineStr">
        <is>
          <t>Metamorfico</t>
        </is>
      </c>
      <c r="M1003" t="n">
        <v>483</v>
      </c>
      <c r="N1003" t="inlineStr"/>
      <c r="O1003" t="inlineStr"/>
      <c r="P1003" t="n">
        <v>372.9</v>
      </c>
      <c r="Q1003" t="n">
        <v>2.199</v>
      </c>
    </row>
    <row r="1004">
      <c r="A1004" t="inlineStr">
        <is>
          <t>MR24</t>
        </is>
      </c>
      <c r="B1004" t="inlineStr">
        <is>
          <t>Merged_Table_Assay_lito</t>
        </is>
      </c>
      <c r="C1004" t="inlineStr">
        <is>
          <t>metros de sondaje; pct sobre metros</t>
        </is>
      </c>
      <c r="D1004" t="inlineStr">
        <is>
          <t>periodo_GM_LE2WASTE_Output</t>
        </is>
      </c>
      <c r="E1004" t="inlineStr">
        <is>
          <t>203637</t>
        </is>
      </c>
      <c r="F1004" t="inlineStr">
        <is>
          <t>ROCKCODE</t>
        </is>
      </c>
      <c r="G1004" t="inlineStr">
        <is>
          <t>HGV</t>
        </is>
      </c>
      <c r="H1004" t="inlineStr">
        <is>
          <t>sin asignar</t>
        </is>
      </c>
      <c r="I1004" t="inlineStr">
        <is>
          <t>HGV</t>
        </is>
      </c>
      <c r="J1004" t="inlineStr">
        <is>
          <t>ROCKCODE agrupado en ROCKCODE_NUMEQ=14; sigla sin leyenda</t>
        </is>
      </c>
      <c r="K1004" t="inlineStr">
        <is>
          <t>Hornfels (hipótesis: siglas H*)</t>
        </is>
      </c>
      <c r="L1004" t="inlineStr">
        <is>
          <t>Metamorfico</t>
        </is>
      </c>
      <c r="M1004" t="n">
        <v>480</v>
      </c>
      <c r="N1004" t="inlineStr"/>
      <c r="O1004" t="inlineStr"/>
      <c r="P1004" t="n">
        <v>361.35</v>
      </c>
      <c r="Q1004" t="n">
        <v>2.131</v>
      </c>
    </row>
    <row r="1005">
      <c r="A1005" t="inlineStr">
        <is>
          <t>MR24</t>
        </is>
      </c>
      <c r="B1005" t="inlineStr">
        <is>
          <t>Merged_Table_Assay_lito</t>
        </is>
      </c>
      <c r="C1005" t="inlineStr">
        <is>
          <t>metros de sondaje; pct sobre metros</t>
        </is>
      </c>
      <c r="D1005" t="inlineStr">
        <is>
          <t>periodo_GM_LE2WASTE_Output</t>
        </is>
      </c>
      <c r="E1005" t="inlineStr">
        <is>
          <t>203637</t>
        </is>
      </c>
      <c r="F1005" t="inlineStr">
        <is>
          <t>ROCKCODE</t>
        </is>
      </c>
      <c r="G1005" t="inlineStr">
        <is>
          <t>HMGV</t>
        </is>
      </c>
      <c r="H1005" t="inlineStr">
        <is>
          <t>sin asignar</t>
        </is>
      </c>
      <c r="I1005" t="inlineStr">
        <is>
          <t>HMGV</t>
        </is>
      </c>
      <c r="J1005" t="inlineStr">
        <is>
          <t>ROCKCODE agrupado en ROCKCODE_NUMEQ=14; sigla sin leyenda</t>
        </is>
      </c>
      <c r="K1005" t="inlineStr">
        <is>
          <t>Hornfels (hipótesis: siglas H*)</t>
        </is>
      </c>
      <c r="L1005" t="inlineStr">
        <is>
          <t>Metamorfico</t>
        </is>
      </c>
      <c r="M1005" t="n">
        <v>28</v>
      </c>
      <c r="N1005" t="inlineStr"/>
      <c r="O1005" t="inlineStr"/>
      <c r="P1005" t="n">
        <v>38.3</v>
      </c>
      <c r="Q1005" t="n">
        <v>0.226</v>
      </c>
    </row>
    <row r="1006">
      <c r="A1006" t="inlineStr">
        <is>
          <t>MR24</t>
        </is>
      </c>
      <c r="B1006" t="inlineStr">
        <is>
          <t>Merged_Table_Assay_lito</t>
        </is>
      </c>
      <c r="C1006" t="inlineStr">
        <is>
          <t>metros de sondaje; pct sobre metros</t>
        </is>
      </c>
      <c r="D1006" t="inlineStr">
        <is>
          <t>periodo_GM_LE2WASTE_Output</t>
        </is>
      </c>
      <c r="E1006" t="inlineStr">
        <is>
          <t>203637</t>
        </is>
      </c>
      <c r="F1006" t="inlineStr">
        <is>
          <t>ROCKCODE</t>
        </is>
      </c>
      <c r="G1006" t="inlineStr">
        <is>
          <t>IPPA</t>
        </is>
      </c>
      <c r="H1006" t="inlineStr">
        <is>
          <t>Intrusivo</t>
        </is>
      </c>
      <c r="I1006" t="inlineStr">
        <is>
          <t>IPPA</t>
        </is>
      </c>
      <c r="J1006" t="inlineStr">
        <is>
          <t>ROCKCODE agrupado en ROCKCODE_NUMEQ=1 (Intrusivo_1)</t>
        </is>
      </c>
      <c r="K1006" t="inlineStr">
        <is>
          <t>Intrusivo</t>
        </is>
      </c>
      <c r="L1006" t="inlineStr">
        <is>
          <t>Intrusivo</t>
        </is>
      </c>
      <c r="M1006" t="n">
        <v>1039</v>
      </c>
      <c r="N1006" t="inlineStr"/>
      <c r="O1006" t="inlineStr"/>
      <c r="P1006" t="n">
        <v>1293.88</v>
      </c>
      <c r="Q1006" t="n">
        <v>7.629</v>
      </c>
    </row>
    <row r="1007">
      <c r="A1007" t="inlineStr">
        <is>
          <t>MR24</t>
        </is>
      </c>
      <c r="B1007" t="inlineStr">
        <is>
          <t>Merged_Table_Assay_lito</t>
        </is>
      </c>
      <c r="C1007" t="inlineStr">
        <is>
          <t>metros de sondaje; pct sobre metros</t>
        </is>
      </c>
      <c r="D1007" t="inlineStr">
        <is>
          <t>periodo_GM_LE2WASTE_Output</t>
        </is>
      </c>
      <c r="E1007" t="inlineStr">
        <is>
          <t>203637</t>
        </is>
      </c>
      <c r="F1007" t="inlineStr">
        <is>
          <t>ROCKCODE</t>
        </is>
      </c>
      <c r="G1007" t="inlineStr">
        <is>
          <t>IPPAMO</t>
        </is>
      </c>
      <c r="H1007" t="inlineStr">
        <is>
          <t>Intrusivo</t>
        </is>
      </c>
      <c r="I1007" t="inlineStr">
        <is>
          <t>IPPAMO</t>
        </is>
      </c>
      <c r="J1007" t="inlineStr">
        <is>
          <t>ROCKCODE agrupado en ROCKCODE_NUMEQ=1 (Intrusivo_1)</t>
        </is>
      </c>
      <c r="K1007" t="inlineStr">
        <is>
          <t>Intrusivo</t>
        </is>
      </c>
      <c r="L1007" t="inlineStr">
        <is>
          <t>Intrusivo</t>
        </is>
      </c>
      <c r="M1007" t="n">
        <v>416</v>
      </c>
      <c r="N1007" t="inlineStr"/>
      <c r="O1007" t="inlineStr"/>
      <c r="P1007" t="n">
        <v>490.85</v>
      </c>
      <c r="Q1007" t="n">
        <v>2.894</v>
      </c>
    </row>
    <row r="1008">
      <c r="A1008" t="inlineStr">
        <is>
          <t>MR24</t>
        </is>
      </c>
      <c r="B1008" t="inlineStr">
        <is>
          <t>Merged_Table_Assay_lito</t>
        </is>
      </c>
      <c r="C1008" t="inlineStr">
        <is>
          <t>metros de sondaje; pct sobre metros</t>
        </is>
      </c>
      <c r="D1008" t="inlineStr">
        <is>
          <t>periodo_GM_LE2WASTE_Output</t>
        </is>
      </c>
      <c r="E1008" t="inlineStr">
        <is>
          <t>203637</t>
        </is>
      </c>
      <c r="F1008" t="inlineStr">
        <is>
          <t>ROCKCODE</t>
        </is>
      </c>
      <c r="G1008" t="inlineStr">
        <is>
          <t>IPPAO</t>
        </is>
      </c>
      <c r="H1008" t="inlineStr">
        <is>
          <t>Intrusivo</t>
        </is>
      </c>
      <c r="I1008" t="inlineStr">
        <is>
          <t>IPPAO</t>
        </is>
      </c>
      <c r="J1008" t="inlineStr">
        <is>
          <t>ROCKCODE agrupado en ROCKCODE_NUMEQ=1 (Intrusivo_1)</t>
        </is>
      </c>
      <c r="K1008" t="inlineStr">
        <is>
          <t>Intrusivo</t>
        </is>
      </c>
      <c r="L1008" t="inlineStr">
        <is>
          <t>Intrusivo</t>
        </is>
      </c>
      <c r="M1008" t="n">
        <v>1658</v>
      </c>
      <c r="N1008" t="inlineStr"/>
      <c r="O1008" t="inlineStr"/>
      <c r="P1008" t="n">
        <v>2023.7</v>
      </c>
      <c r="Q1008" t="n">
        <v>11.932</v>
      </c>
    </row>
    <row r="1009">
      <c r="A1009" t="inlineStr">
        <is>
          <t>MR24</t>
        </is>
      </c>
      <c r="B1009" t="inlineStr">
        <is>
          <t>Merged_Table_Assay_lito</t>
        </is>
      </c>
      <c r="C1009" t="inlineStr">
        <is>
          <t>metros de sondaje; pct sobre metros</t>
        </is>
      </c>
      <c r="D1009" t="inlineStr">
        <is>
          <t>periodo_GM_LE2WASTE_Output</t>
        </is>
      </c>
      <c r="E1009" t="inlineStr">
        <is>
          <t>203637</t>
        </is>
      </c>
      <c r="F1009" t="inlineStr">
        <is>
          <t>ROCKCODE</t>
        </is>
      </c>
      <c r="G1009" t="inlineStr">
        <is>
          <t>IPPEO</t>
        </is>
      </c>
      <c r="H1009" t="inlineStr">
        <is>
          <t>Intrusivo</t>
        </is>
      </c>
      <c r="I1009" t="inlineStr">
        <is>
          <t>IPPEO</t>
        </is>
      </c>
      <c r="J1009" t="inlineStr">
        <is>
          <t>ROCKCODE agrupado en ROCKCODE_NUMEQ=1 (Intrusivo_1)</t>
        </is>
      </c>
      <c r="K1009" t="inlineStr">
        <is>
          <t>Intrusivo</t>
        </is>
      </c>
      <c r="L1009" t="inlineStr">
        <is>
          <t>Intrusivo</t>
        </is>
      </c>
      <c r="M1009" t="n">
        <v>74</v>
      </c>
      <c r="N1009" t="inlineStr"/>
      <c r="O1009" t="inlineStr"/>
      <c r="P1009" t="n">
        <v>87.7</v>
      </c>
      <c r="Q1009" t="n">
        <v>0.517</v>
      </c>
    </row>
    <row r="1010">
      <c r="A1010" t="inlineStr">
        <is>
          <t>MR24</t>
        </is>
      </c>
      <c r="B1010" t="inlineStr">
        <is>
          <t>Merged_Table_Assay_lito</t>
        </is>
      </c>
      <c r="C1010" t="inlineStr">
        <is>
          <t>metros de sondaje; pct sobre metros</t>
        </is>
      </c>
      <c r="D1010" t="inlineStr">
        <is>
          <t>periodo_GM_LE2WASTE_Output</t>
        </is>
      </c>
      <c r="E1010" t="inlineStr">
        <is>
          <t>203637</t>
        </is>
      </c>
      <c r="F1010" t="inlineStr">
        <is>
          <t>ROCKCODE</t>
        </is>
      </c>
      <c r="G1010" t="inlineStr">
        <is>
          <t>MC</t>
        </is>
      </c>
      <c r="H1010" t="inlineStr">
        <is>
          <t>sin asignar</t>
        </is>
      </c>
      <c r="I1010" t="inlineStr">
        <is>
          <t>MC</t>
        </is>
      </c>
      <c r="J1010" t="inlineStr">
        <is>
          <t>ROCKCODE agrupado en ROCKCODE_NUMEQ=16; sigla sin leyenda</t>
        </is>
      </c>
      <c r="K1010" t="inlineStr">
        <is>
          <t>Mármol (hipótesis: siglas M*)</t>
        </is>
      </c>
      <c r="L1010" t="inlineStr">
        <is>
          <t>Metamorfico</t>
        </is>
      </c>
      <c r="M1010" t="n">
        <v>1831</v>
      </c>
      <c r="N1010" t="inlineStr"/>
      <c r="O1010" t="inlineStr"/>
      <c r="P1010" t="n">
        <v>2567.57</v>
      </c>
      <c r="Q1010" t="n">
        <v>15.138</v>
      </c>
    </row>
    <row r="1011">
      <c r="A1011" t="inlineStr">
        <is>
          <t>MR24</t>
        </is>
      </c>
      <c r="B1011" t="inlineStr">
        <is>
          <t>Merged_Table_Assay_lito</t>
        </is>
      </c>
      <c r="C1011" t="inlineStr">
        <is>
          <t>metros de sondaje; pct sobre metros</t>
        </is>
      </c>
      <c r="D1011" t="inlineStr">
        <is>
          <t>periodo_GM_LE2WASTE_Output</t>
        </is>
      </c>
      <c r="E1011" t="inlineStr">
        <is>
          <t>203637</t>
        </is>
      </c>
      <c r="F1011" t="inlineStr">
        <is>
          <t>ROCKCODE</t>
        </is>
      </c>
      <c r="G1011" t="inlineStr">
        <is>
          <t>MCB</t>
        </is>
      </c>
      <c r="H1011" t="inlineStr">
        <is>
          <t>sin asignar</t>
        </is>
      </c>
      <c r="I1011" t="inlineStr">
        <is>
          <t>MCB</t>
        </is>
      </c>
      <c r="J1011" t="inlineStr">
        <is>
          <t>ROCKCODE agrupado en ROCKCODE_NUMEQ=16; sigla sin leyenda</t>
        </is>
      </c>
      <c r="K1011" t="inlineStr">
        <is>
          <t>Mármol (hipótesis: siglas M*)</t>
        </is>
      </c>
      <c r="L1011" t="inlineStr">
        <is>
          <t>Metamorfico</t>
        </is>
      </c>
      <c r="M1011" t="n">
        <v>186</v>
      </c>
      <c r="N1011" t="inlineStr"/>
      <c r="O1011" t="inlineStr"/>
      <c r="P1011" t="n">
        <v>225.95</v>
      </c>
      <c r="Q1011" t="n">
        <v>1.332</v>
      </c>
    </row>
    <row r="1012">
      <c r="A1012" t="inlineStr">
        <is>
          <t>MR24</t>
        </is>
      </c>
      <c r="B1012" t="inlineStr">
        <is>
          <t>Merged_Table_Assay_lito</t>
        </is>
      </c>
      <c r="C1012" t="inlineStr">
        <is>
          <t>metros de sondaje; pct sobre metros</t>
        </is>
      </c>
      <c r="D1012" t="inlineStr">
        <is>
          <t>periodo_GM_LE2WASTE_Output</t>
        </is>
      </c>
      <c r="E1012" t="inlineStr">
        <is>
          <t>203637</t>
        </is>
      </c>
      <c r="F1012" t="inlineStr">
        <is>
          <t>ROCKCODE</t>
        </is>
      </c>
      <c r="G1012" t="inlineStr">
        <is>
          <t>MCGB</t>
        </is>
      </c>
      <c r="H1012" t="inlineStr">
        <is>
          <t>sin asignar</t>
        </is>
      </c>
      <c r="I1012" t="inlineStr">
        <is>
          <t>MCGB</t>
        </is>
      </c>
      <c r="J1012" t="inlineStr">
        <is>
          <t>ROCKCODE agrupado en ROCKCODE_NUMEQ=16; sigla sin leyenda</t>
        </is>
      </c>
      <c r="K1012" t="inlineStr">
        <is>
          <t>Mármol (hipótesis: siglas M*)</t>
        </is>
      </c>
      <c r="L1012" t="inlineStr">
        <is>
          <t>Metamorfico</t>
        </is>
      </c>
      <c r="M1012" t="n">
        <v>674</v>
      </c>
      <c r="N1012" t="inlineStr"/>
      <c r="O1012" t="inlineStr"/>
      <c r="P1012" t="n">
        <v>794.2</v>
      </c>
      <c r="Q1012" t="n">
        <v>4.683</v>
      </c>
    </row>
    <row r="1013">
      <c r="A1013" t="inlineStr">
        <is>
          <t>MR24</t>
        </is>
      </c>
      <c r="B1013" t="inlineStr">
        <is>
          <t>Merged_Table_Assay_lito</t>
        </is>
      </c>
      <c r="C1013" t="inlineStr">
        <is>
          <t>metros de sondaje; pct sobre metros</t>
        </is>
      </c>
      <c r="D1013" t="inlineStr">
        <is>
          <t>periodo_GM_LE2WASTE_Output</t>
        </is>
      </c>
      <c r="E1013" t="inlineStr">
        <is>
          <t>203637</t>
        </is>
      </c>
      <c r="F1013" t="inlineStr">
        <is>
          <t>ROCKCODE</t>
        </is>
      </c>
      <c r="G1013" t="inlineStr">
        <is>
          <t>MDP</t>
        </is>
      </c>
      <c r="H1013" t="inlineStr">
        <is>
          <t>sin asignar</t>
        </is>
      </c>
      <c r="I1013" t="inlineStr">
        <is>
          <t>MDP</t>
        </is>
      </c>
      <c r="J1013" t="inlineStr">
        <is>
          <t>ROCKCODE agrupado en ROCKCODE_NUMEQ=19; sigla sin leyenda</t>
        </is>
      </c>
      <c r="K1013" t="inlineStr">
        <is>
          <t>Mármol (hipótesis: sigla MDP)</t>
        </is>
      </c>
      <c r="L1013" t="inlineStr">
        <is>
          <t>Metamorfico</t>
        </is>
      </c>
      <c r="M1013" t="n">
        <v>2215</v>
      </c>
      <c r="N1013" t="inlineStr"/>
      <c r="O1013" t="inlineStr"/>
      <c r="P1013" t="n">
        <v>2310.88</v>
      </c>
      <c r="Q1013" t="n">
        <v>13.625</v>
      </c>
    </row>
    <row r="1014">
      <c r="A1014" t="inlineStr">
        <is>
          <t>MR24</t>
        </is>
      </c>
      <c r="B1014" t="inlineStr">
        <is>
          <t>Merged_Table_Assay_lito</t>
        </is>
      </c>
      <c r="C1014" t="inlineStr">
        <is>
          <t>metros de sondaje; pct sobre metros</t>
        </is>
      </c>
      <c r="D1014" t="inlineStr">
        <is>
          <t>periodo_GM_LE2WASTE_Output</t>
        </is>
      </c>
      <c r="E1014" t="inlineStr">
        <is>
          <t>203637</t>
        </is>
      </c>
      <c r="F1014" t="inlineStr">
        <is>
          <t>ROCKCODE</t>
        </is>
      </c>
      <c r="G1014" t="inlineStr">
        <is>
          <t>MG</t>
        </is>
      </c>
      <c r="H1014" t="inlineStr">
        <is>
          <t>sin asignar</t>
        </is>
      </c>
      <c r="I1014" t="inlineStr">
        <is>
          <t>MG</t>
        </is>
      </c>
      <c r="J1014" t="inlineStr">
        <is>
          <t>ROCKCODE agrupado en ROCKCODE_NUMEQ=16; sigla sin leyenda</t>
        </is>
      </c>
      <c r="K1014" t="inlineStr">
        <is>
          <t>Mármol (hipótesis: siglas M*)</t>
        </is>
      </c>
      <c r="L1014" t="inlineStr">
        <is>
          <t>Metamorfico</t>
        </is>
      </c>
      <c r="M1014" t="n">
        <v>503</v>
      </c>
      <c r="N1014" t="inlineStr"/>
      <c r="O1014" t="inlineStr"/>
      <c r="P1014" t="n">
        <v>488.75</v>
      </c>
      <c r="Q1014" t="n">
        <v>2.882</v>
      </c>
    </row>
    <row r="1015">
      <c r="A1015" t="inlineStr">
        <is>
          <t>MR24</t>
        </is>
      </c>
      <c r="B1015" t="inlineStr">
        <is>
          <t>Merged_Table_Assay_lito</t>
        </is>
      </c>
      <c r="C1015" t="inlineStr">
        <is>
          <t>metros de sondaje; pct sobre metros</t>
        </is>
      </c>
      <c r="D1015" t="inlineStr">
        <is>
          <t>periodo_GM_LE2WASTE_Output</t>
        </is>
      </c>
      <c r="E1015" t="inlineStr">
        <is>
          <t>203637</t>
        </is>
      </c>
      <c r="F1015" t="inlineStr">
        <is>
          <t>ROCKCODE</t>
        </is>
      </c>
      <c r="G1015" t="inlineStr">
        <is>
          <t>MGS</t>
        </is>
      </c>
      <c r="H1015" t="inlineStr">
        <is>
          <t>sin asignar</t>
        </is>
      </c>
      <c r="I1015" t="inlineStr">
        <is>
          <t>MGS</t>
        </is>
      </c>
      <c r="J1015" t="inlineStr">
        <is>
          <t>ROCKCODE agrupado en ROCKCODE_NUMEQ=16; sigla sin leyenda</t>
        </is>
      </c>
      <c r="K1015" t="inlineStr">
        <is>
          <t>Mármol (hipótesis: siglas M*)</t>
        </is>
      </c>
      <c r="L1015" t="inlineStr">
        <is>
          <t>Metamorfico</t>
        </is>
      </c>
      <c r="M1015" t="n">
        <v>656</v>
      </c>
      <c r="N1015" t="inlineStr"/>
      <c r="O1015" t="inlineStr"/>
      <c r="P1015" t="n">
        <v>591.9</v>
      </c>
      <c r="Q1015" t="n">
        <v>3.49</v>
      </c>
    </row>
    <row r="1016">
      <c r="A1016" t="inlineStr">
        <is>
          <t>MR24</t>
        </is>
      </c>
      <c r="B1016" t="inlineStr">
        <is>
          <t>Merged_Table_Assay_lito</t>
        </is>
      </c>
      <c r="C1016" t="inlineStr">
        <is>
          <t>metros de sondaje; pct sobre metros</t>
        </is>
      </c>
      <c r="D1016" t="inlineStr">
        <is>
          <t>periodo_GM_LE2WASTE_Output</t>
        </is>
      </c>
      <c r="E1016" t="inlineStr">
        <is>
          <t>203637</t>
        </is>
      </c>
      <c r="F1016" t="inlineStr">
        <is>
          <t>ROCKCODE</t>
        </is>
      </c>
      <c r="G1016" t="inlineStr">
        <is>
          <t>MPA</t>
        </is>
      </c>
      <c r="H1016" t="inlineStr">
        <is>
          <t>sin asignar</t>
        </is>
      </c>
      <c r="I1016" t="inlineStr">
        <is>
          <t>MPA</t>
        </is>
      </c>
      <c r="J1016" t="inlineStr">
        <is>
          <t>ROCKCODE agrupado en ROCKCODE_NUMEQ=16; sigla sin leyenda</t>
        </is>
      </c>
      <c r="K1016" t="inlineStr">
        <is>
          <t>Mármol (hipótesis: siglas M*)</t>
        </is>
      </c>
      <c r="L1016" t="inlineStr">
        <is>
          <t>Metamorfico</t>
        </is>
      </c>
      <c r="M1016" t="n">
        <v>698</v>
      </c>
      <c r="N1016" t="inlineStr"/>
      <c r="O1016" t="inlineStr"/>
      <c r="P1016" t="n">
        <v>885.35</v>
      </c>
      <c r="Q1016" t="n">
        <v>5.22</v>
      </c>
    </row>
    <row r="1017">
      <c r="A1017" t="inlineStr">
        <is>
          <t>MR24</t>
        </is>
      </c>
      <c r="B1017" t="inlineStr">
        <is>
          <t>Merged_Table_Assay_lito</t>
        </is>
      </c>
      <c r="C1017" t="inlineStr">
        <is>
          <t>metros de sondaje; pct sobre metros</t>
        </is>
      </c>
      <c r="D1017" t="inlineStr">
        <is>
          <t>periodo_GM_LE2WASTE_Output</t>
        </is>
      </c>
      <c r="E1017" t="inlineStr">
        <is>
          <t>203839</t>
        </is>
      </c>
      <c r="F1017" t="inlineStr">
        <is>
          <t>ROCKCODE</t>
        </is>
      </c>
      <c r="G1017" t="inlineStr">
        <is>
          <t>BCIPPA</t>
        </is>
      </c>
      <c r="H1017" t="inlineStr">
        <is>
          <t>Intrusivo</t>
        </is>
      </c>
      <c r="I1017" t="inlineStr">
        <is>
          <t>BCIPPA</t>
        </is>
      </c>
      <c r="J1017" t="inlineStr">
        <is>
          <t>ROCKCODE agrupado en ROCKCODE_NUMEQ=1 (Intrusivo_1)</t>
        </is>
      </c>
      <c r="K1017" t="inlineStr">
        <is>
          <t>Intrusivo</t>
        </is>
      </c>
      <c r="L1017" t="inlineStr">
        <is>
          <t>Intrusivo</t>
        </is>
      </c>
      <c r="M1017" t="n">
        <v>11</v>
      </c>
      <c r="N1017" t="inlineStr"/>
      <c r="O1017" t="inlineStr"/>
      <c r="P1017" t="n">
        <v>19.35</v>
      </c>
      <c r="Q1017" t="n">
        <v>0.123</v>
      </c>
    </row>
    <row r="1018">
      <c r="A1018" t="inlineStr">
        <is>
          <t>MR24</t>
        </is>
      </c>
      <c r="B1018" t="inlineStr">
        <is>
          <t>Merged_Table_Assay_lito</t>
        </is>
      </c>
      <c r="C1018" t="inlineStr">
        <is>
          <t>metros de sondaje; pct sobre metros</t>
        </is>
      </c>
      <c r="D1018" t="inlineStr">
        <is>
          <t>periodo_GM_LE2WASTE_Output</t>
        </is>
      </c>
      <c r="E1018" t="inlineStr">
        <is>
          <t>203839</t>
        </is>
      </c>
      <c r="F1018" t="inlineStr">
        <is>
          <t>ROCKCODE</t>
        </is>
      </c>
      <c r="G1018" t="inlineStr">
        <is>
          <t>C</t>
        </is>
      </c>
      <c r="H1018" t="inlineStr">
        <is>
          <t>sin asignar</t>
        </is>
      </c>
      <c r="I1018" t="inlineStr">
        <is>
          <t>C</t>
        </is>
      </c>
      <c r="J1018" t="inlineStr">
        <is>
          <t>ROCKCODE agrupado en ROCKCODE_NUMEQ=10; sigla sin leyenda</t>
        </is>
      </c>
      <c r="K1018" t="inlineStr">
        <is>
          <t>Caliza (hipótesis: siglas C*)</t>
        </is>
      </c>
      <c r="L1018" t="inlineStr">
        <is>
          <t>Sedimentario</t>
        </is>
      </c>
      <c r="M1018" t="n">
        <v>12</v>
      </c>
      <c r="N1018" t="inlineStr"/>
      <c r="O1018" t="inlineStr"/>
      <c r="P1018" t="n">
        <v>54</v>
      </c>
      <c r="Q1018" t="n">
        <v>0.344</v>
      </c>
    </row>
    <row r="1019">
      <c r="A1019" t="inlineStr">
        <is>
          <t>MR24</t>
        </is>
      </c>
      <c r="B1019" t="inlineStr">
        <is>
          <t>Merged_Table_Assay_lito</t>
        </is>
      </c>
      <c r="C1019" t="inlineStr">
        <is>
          <t>metros de sondaje; pct sobre metros</t>
        </is>
      </c>
      <c r="D1019" t="inlineStr">
        <is>
          <t>periodo_GM_LE2WASTE_Output</t>
        </is>
      </c>
      <c r="E1019" t="inlineStr">
        <is>
          <t>203839</t>
        </is>
      </c>
      <c r="F1019" t="inlineStr">
        <is>
          <t>ROCKCODE</t>
        </is>
      </c>
      <c r="G1019" t="inlineStr">
        <is>
          <t>CA</t>
        </is>
      </c>
      <c r="H1019" t="inlineStr">
        <is>
          <t>sin asignar</t>
        </is>
      </c>
      <c r="I1019" t="inlineStr">
        <is>
          <t>CA</t>
        </is>
      </c>
      <c r="J1019" t="inlineStr">
        <is>
          <t>ROCKCODE agrupado en ROCKCODE_NUMEQ=10; sigla sin leyenda</t>
        </is>
      </c>
      <c r="K1019" t="inlineStr">
        <is>
          <t>Caliza (hipótesis: siglas C*)</t>
        </is>
      </c>
      <c r="L1019" t="inlineStr">
        <is>
          <t>Sedimentario</t>
        </is>
      </c>
      <c r="M1019" t="n">
        <v>310</v>
      </c>
      <c r="N1019" t="inlineStr"/>
      <c r="O1019" t="inlineStr"/>
      <c r="P1019" t="n">
        <v>350.85</v>
      </c>
      <c r="Q1019" t="n">
        <v>2.232</v>
      </c>
    </row>
    <row r="1020">
      <c r="A1020" t="inlineStr">
        <is>
          <t>MR24</t>
        </is>
      </c>
      <c r="B1020" t="inlineStr">
        <is>
          <t>Merged_Table_Assay_lito</t>
        </is>
      </c>
      <c r="C1020" t="inlineStr">
        <is>
          <t>metros de sondaje; pct sobre metros</t>
        </is>
      </c>
      <c r="D1020" t="inlineStr">
        <is>
          <t>periodo_GM_LE2WASTE_Output</t>
        </is>
      </c>
      <c r="E1020" t="inlineStr">
        <is>
          <t>203839</t>
        </is>
      </c>
      <c r="F1020" t="inlineStr">
        <is>
          <t>ROCKCODE</t>
        </is>
      </c>
      <c r="G1020" t="inlineStr">
        <is>
          <t>CBMN</t>
        </is>
      </c>
      <c r="H1020" t="inlineStr">
        <is>
          <t>sin asignar</t>
        </is>
      </c>
      <c r="I1020" t="inlineStr">
        <is>
          <t>CBMN</t>
        </is>
      </c>
      <c r="J1020" t="inlineStr">
        <is>
          <t>ROCKCODE agrupado en ROCKCODE_NUMEQ=10; sigla sin leyenda</t>
        </is>
      </c>
      <c r="K1020" t="inlineStr">
        <is>
          <t>Caliza (hipótesis: siglas C*)</t>
        </is>
      </c>
      <c r="L1020" t="inlineStr">
        <is>
          <t>Sedimentario</t>
        </is>
      </c>
      <c r="M1020" t="n">
        <v>17</v>
      </c>
      <c r="N1020" t="inlineStr"/>
      <c r="O1020" t="inlineStr"/>
      <c r="P1020" t="n">
        <v>12.3</v>
      </c>
      <c r="Q1020" t="n">
        <v>0.078</v>
      </c>
    </row>
    <row r="1021">
      <c r="A1021" t="inlineStr">
        <is>
          <t>MR24</t>
        </is>
      </c>
      <c r="B1021" t="inlineStr">
        <is>
          <t>Merged_Table_Assay_lito</t>
        </is>
      </c>
      <c r="C1021" t="inlineStr">
        <is>
          <t>metros de sondaje; pct sobre metros</t>
        </is>
      </c>
      <c r="D1021" t="inlineStr">
        <is>
          <t>periodo_GM_LE2WASTE_Output</t>
        </is>
      </c>
      <c r="E1021" t="inlineStr">
        <is>
          <t>203839</t>
        </is>
      </c>
      <c r="F1021" t="inlineStr">
        <is>
          <t>ROCKCODE</t>
        </is>
      </c>
      <c r="G1021" t="inlineStr">
        <is>
          <t>CF</t>
        </is>
      </c>
      <c r="H1021" t="inlineStr">
        <is>
          <t>sin asignar</t>
        </is>
      </c>
      <c r="I1021" t="inlineStr">
        <is>
          <t>CF</t>
        </is>
      </c>
      <c r="J1021" t="inlineStr">
        <is>
          <t>ROCKCODE agrupado en ROCKCODE_NUMEQ=10; sigla sin leyenda</t>
        </is>
      </c>
      <c r="K1021" t="inlineStr">
        <is>
          <t>Caliza (hipótesis: siglas C*)</t>
        </is>
      </c>
      <c r="L1021" t="inlineStr">
        <is>
          <t>Sedimentario</t>
        </is>
      </c>
      <c r="M1021" t="n">
        <v>20</v>
      </c>
      <c r="N1021" t="inlineStr"/>
      <c r="O1021" t="inlineStr"/>
      <c r="P1021" t="n">
        <v>10.3</v>
      </c>
      <c r="Q1021" t="n">
        <v>0.066</v>
      </c>
    </row>
    <row r="1022">
      <c r="A1022" t="inlineStr">
        <is>
          <t>MR24</t>
        </is>
      </c>
      <c r="B1022" t="inlineStr">
        <is>
          <t>Merged_Table_Assay_lito</t>
        </is>
      </c>
      <c r="C1022" t="inlineStr">
        <is>
          <t>metros de sondaje; pct sobre metros</t>
        </is>
      </c>
      <c r="D1022" t="inlineStr">
        <is>
          <t>periodo_GM_LE2WASTE_Output</t>
        </is>
      </c>
      <c r="E1022" t="inlineStr">
        <is>
          <t>203839</t>
        </is>
      </c>
      <c r="F1022" t="inlineStr">
        <is>
          <t>ROCKCODE</t>
        </is>
      </c>
      <c r="G1022" t="inlineStr">
        <is>
          <t>CG</t>
        </is>
      </c>
      <c r="H1022" t="inlineStr">
        <is>
          <t>sin asignar</t>
        </is>
      </c>
      <c r="I1022" t="inlineStr">
        <is>
          <t>CG</t>
        </is>
      </c>
      <c r="J1022" t="inlineStr">
        <is>
          <t>ROCKCODE agrupado en ROCKCODE_NUMEQ=10; sigla sin leyenda</t>
        </is>
      </c>
      <c r="K1022" t="inlineStr">
        <is>
          <t>Caliza (hipótesis: siglas C*)</t>
        </is>
      </c>
      <c r="L1022" t="inlineStr">
        <is>
          <t>Sedimentario</t>
        </is>
      </c>
      <c r="M1022" t="n">
        <v>1889</v>
      </c>
      <c r="N1022" t="inlineStr"/>
      <c r="O1022" t="inlineStr"/>
      <c r="P1022" t="n">
        <v>1643.35</v>
      </c>
      <c r="Q1022" t="n">
        <v>10.454</v>
      </c>
    </row>
    <row r="1023">
      <c r="A1023" t="inlineStr">
        <is>
          <t>MR24</t>
        </is>
      </c>
      <c r="B1023" t="inlineStr">
        <is>
          <t>Merged_Table_Assay_lito</t>
        </is>
      </c>
      <c r="C1023" t="inlineStr">
        <is>
          <t>metros de sondaje; pct sobre metros</t>
        </is>
      </c>
      <c r="D1023" t="inlineStr">
        <is>
          <t>periodo_GM_LE2WASTE_Output</t>
        </is>
      </c>
      <c r="E1023" t="inlineStr">
        <is>
          <t>203839</t>
        </is>
      </c>
      <c r="F1023" t="inlineStr">
        <is>
          <t>ROCKCODE</t>
        </is>
      </c>
      <c r="G1023" t="inlineStr">
        <is>
          <t>CGS</t>
        </is>
      </c>
      <c r="H1023" t="inlineStr">
        <is>
          <t>sin asignar</t>
        </is>
      </c>
      <c r="I1023" t="inlineStr">
        <is>
          <t>CGS</t>
        </is>
      </c>
      <c r="J1023" t="inlineStr">
        <is>
          <t>ROCKCODE agrupado en ROCKCODE_NUMEQ=10; sigla sin leyenda</t>
        </is>
      </c>
      <c r="K1023" t="inlineStr">
        <is>
          <t>Caliza (hipótesis: siglas C*)</t>
        </is>
      </c>
      <c r="L1023" t="inlineStr">
        <is>
          <t>Sedimentario</t>
        </is>
      </c>
      <c r="M1023" t="n">
        <v>1628</v>
      </c>
      <c r="N1023" t="inlineStr"/>
      <c r="O1023" t="inlineStr"/>
      <c r="P1023" t="n">
        <v>1257.6</v>
      </c>
      <c r="Q1023" t="n">
        <v>8</v>
      </c>
    </row>
    <row r="1024">
      <c r="A1024" t="inlineStr">
        <is>
          <t>MR24</t>
        </is>
      </c>
      <c r="B1024" t="inlineStr">
        <is>
          <t>Merged_Table_Assay_lito</t>
        </is>
      </c>
      <c r="C1024" t="inlineStr">
        <is>
          <t>metros de sondaje; pct sobre metros</t>
        </is>
      </c>
      <c r="D1024" t="inlineStr">
        <is>
          <t>periodo_GM_LE2WASTE_Output</t>
        </is>
      </c>
      <c r="E1024" t="inlineStr">
        <is>
          <t>203839</t>
        </is>
      </c>
      <c r="F1024" t="inlineStr">
        <is>
          <t>ROCKCODE</t>
        </is>
      </c>
      <c r="G1024" t="inlineStr">
        <is>
          <t>CN</t>
        </is>
      </c>
      <c r="H1024" t="inlineStr">
        <is>
          <t>sin asignar</t>
        </is>
      </c>
      <c r="I1024" t="inlineStr">
        <is>
          <t>CN</t>
        </is>
      </c>
      <c r="J1024" t="inlineStr">
        <is>
          <t>ROCKCODE agrupado en ROCKCODE_NUMEQ=10; sigla sin leyenda</t>
        </is>
      </c>
      <c r="K1024" t="inlineStr">
        <is>
          <t>Caliza (hipótesis: siglas C*)</t>
        </is>
      </c>
      <c r="L1024" t="inlineStr">
        <is>
          <t>Sedimentario</t>
        </is>
      </c>
      <c r="M1024" t="n">
        <v>417</v>
      </c>
      <c r="N1024" t="inlineStr"/>
      <c r="O1024" t="inlineStr"/>
      <c r="P1024" t="n">
        <v>317.7</v>
      </c>
      <c r="Q1024" t="n">
        <v>2.021</v>
      </c>
    </row>
    <row r="1025">
      <c r="A1025" t="inlineStr">
        <is>
          <t>MR24</t>
        </is>
      </c>
      <c r="B1025" t="inlineStr">
        <is>
          <t>Merged_Table_Assay_lito</t>
        </is>
      </c>
      <c r="C1025" t="inlineStr">
        <is>
          <t>metros de sondaje; pct sobre metros</t>
        </is>
      </c>
      <c r="D1025" t="inlineStr">
        <is>
          <t>periodo_GM_LE2WASTE_Output</t>
        </is>
      </c>
      <c r="E1025" t="inlineStr">
        <is>
          <t>203839</t>
        </is>
      </c>
      <c r="F1025" t="inlineStr">
        <is>
          <t>ROCKCODE</t>
        </is>
      </c>
      <c r="G1025" t="inlineStr">
        <is>
          <t>HBV</t>
        </is>
      </c>
      <c r="H1025" t="inlineStr">
        <is>
          <t>sin asignar</t>
        </is>
      </c>
      <c r="I1025" t="inlineStr">
        <is>
          <t>HBV</t>
        </is>
      </c>
      <c r="J1025" t="inlineStr">
        <is>
          <t>ROCKCODE agrupado en ROCKCODE_NUMEQ=14; sigla sin leyenda</t>
        </is>
      </c>
      <c r="K1025" t="inlineStr">
        <is>
          <t>Hornfels (hipótesis: siglas H*)</t>
        </is>
      </c>
      <c r="L1025" t="inlineStr">
        <is>
          <t>Metamorfico</t>
        </is>
      </c>
      <c r="M1025" t="n">
        <v>2</v>
      </c>
      <c r="N1025" t="inlineStr"/>
      <c r="O1025" t="inlineStr"/>
      <c r="P1025" t="n">
        <v>1.5</v>
      </c>
      <c r="Q1025" t="n">
        <v>0.01</v>
      </c>
    </row>
    <row r="1026">
      <c r="A1026" t="inlineStr">
        <is>
          <t>MR24</t>
        </is>
      </c>
      <c r="B1026" t="inlineStr">
        <is>
          <t>Merged_Table_Assay_lito</t>
        </is>
      </c>
      <c r="C1026" t="inlineStr">
        <is>
          <t>metros de sondaje; pct sobre metros</t>
        </is>
      </c>
      <c r="D1026" t="inlineStr">
        <is>
          <t>periodo_GM_LE2WASTE_Output</t>
        </is>
      </c>
      <c r="E1026" t="inlineStr">
        <is>
          <t>203839</t>
        </is>
      </c>
      <c r="F1026" t="inlineStr">
        <is>
          <t>ROCKCODE</t>
        </is>
      </c>
      <c r="G1026" t="inlineStr">
        <is>
          <t>HC</t>
        </is>
      </c>
      <c r="H1026" t="inlineStr">
        <is>
          <t>sin asignar</t>
        </is>
      </c>
      <c r="I1026" t="inlineStr">
        <is>
          <t>HC</t>
        </is>
      </c>
      <c r="J1026" t="inlineStr">
        <is>
          <t>ROCKCODE agrupado en ROCKCODE_NUMEQ=13; sigla sin leyenda</t>
        </is>
      </c>
      <c r="K1026" t="inlineStr">
        <is>
          <t>Hornfels (hipótesis: siglas H*)</t>
        </is>
      </c>
      <c r="L1026" t="inlineStr">
        <is>
          <t>Metamorfico</t>
        </is>
      </c>
      <c r="M1026" t="n">
        <v>19</v>
      </c>
      <c r="N1026" t="inlineStr"/>
      <c r="O1026" t="inlineStr"/>
      <c r="P1026" t="n">
        <v>21.65</v>
      </c>
      <c r="Q1026" t="n">
        <v>0.138</v>
      </c>
    </row>
    <row r="1027">
      <c r="A1027" t="inlineStr">
        <is>
          <t>MR24</t>
        </is>
      </c>
      <c r="B1027" t="inlineStr">
        <is>
          <t>Merged_Table_Assay_lito</t>
        </is>
      </c>
      <c r="C1027" t="inlineStr">
        <is>
          <t>metros de sondaje; pct sobre metros</t>
        </is>
      </c>
      <c r="D1027" t="inlineStr">
        <is>
          <t>periodo_GM_LE2WASTE_Output</t>
        </is>
      </c>
      <c r="E1027" t="inlineStr">
        <is>
          <t>203839</t>
        </is>
      </c>
      <c r="F1027" t="inlineStr">
        <is>
          <t>ROCKCODE</t>
        </is>
      </c>
      <c r="G1027" t="inlineStr">
        <is>
          <t>HDP</t>
        </is>
      </c>
      <c r="H1027" t="inlineStr">
        <is>
          <t>sin asignar</t>
        </is>
      </c>
      <c r="I1027" t="inlineStr">
        <is>
          <t>HDP</t>
        </is>
      </c>
      <c r="J1027" t="inlineStr">
        <is>
          <t>ROCKCODE agrupado en ROCKCODE_NUMEQ=14; sigla sin leyenda</t>
        </is>
      </c>
      <c r="K1027" t="inlineStr">
        <is>
          <t>Hornfels (hipótesis: siglas H*)</t>
        </is>
      </c>
      <c r="L1027" t="inlineStr">
        <is>
          <t>Metamorfico</t>
        </is>
      </c>
      <c r="M1027" t="n">
        <v>20</v>
      </c>
      <c r="N1027" t="inlineStr"/>
      <c r="O1027" t="inlineStr"/>
      <c r="P1027" t="n">
        <v>15.65</v>
      </c>
      <c r="Q1027" t="n">
        <v>0.1</v>
      </c>
    </row>
    <row r="1028">
      <c r="A1028" t="inlineStr">
        <is>
          <t>MR24</t>
        </is>
      </c>
      <c r="B1028" t="inlineStr">
        <is>
          <t>Merged_Table_Assay_lito</t>
        </is>
      </c>
      <c r="C1028" t="inlineStr">
        <is>
          <t>metros de sondaje; pct sobre metros</t>
        </is>
      </c>
      <c r="D1028" t="inlineStr">
        <is>
          <t>periodo_GM_LE2WASTE_Output</t>
        </is>
      </c>
      <c r="E1028" t="inlineStr">
        <is>
          <t>203839</t>
        </is>
      </c>
      <c r="F1028" t="inlineStr">
        <is>
          <t>ROCKCODE</t>
        </is>
      </c>
      <c r="G1028" t="inlineStr">
        <is>
          <t>HG</t>
        </is>
      </c>
      <c r="H1028" t="inlineStr">
        <is>
          <t>sin asignar</t>
        </is>
      </c>
      <c r="I1028" t="inlineStr">
        <is>
          <t>HG</t>
        </is>
      </c>
      <c r="J1028" t="inlineStr">
        <is>
          <t>ROCKCODE agrupado en ROCKCODE_NUMEQ=13; sigla sin leyenda</t>
        </is>
      </c>
      <c r="K1028" t="inlineStr">
        <is>
          <t>Hornfels (hipótesis: siglas H*)</t>
        </is>
      </c>
      <c r="L1028" t="inlineStr">
        <is>
          <t>Metamorfico</t>
        </is>
      </c>
      <c r="M1028" t="n">
        <v>554</v>
      </c>
      <c r="N1028" t="inlineStr"/>
      <c r="O1028" t="inlineStr"/>
      <c r="P1028" t="n">
        <v>492.6</v>
      </c>
      <c r="Q1028" t="n">
        <v>3.134</v>
      </c>
    </row>
    <row r="1029">
      <c r="A1029" t="inlineStr">
        <is>
          <t>MR24</t>
        </is>
      </c>
      <c r="B1029" t="inlineStr">
        <is>
          <t>Merged_Table_Assay_lito</t>
        </is>
      </c>
      <c r="C1029" t="inlineStr">
        <is>
          <t>metros de sondaje; pct sobre metros</t>
        </is>
      </c>
      <c r="D1029" t="inlineStr">
        <is>
          <t>periodo_GM_LE2WASTE_Output</t>
        </is>
      </c>
      <c r="E1029" t="inlineStr">
        <is>
          <t>203839</t>
        </is>
      </c>
      <c r="F1029" t="inlineStr">
        <is>
          <t>ROCKCODE</t>
        </is>
      </c>
      <c r="G1029" t="inlineStr">
        <is>
          <t>HGS</t>
        </is>
      </c>
      <c r="H1029" t="inlineStr">
        <is>
          <t>sin asignar</t>
        </is>
      </c>
      <c r="I1029" t="inlineStr">
        <is>
          <t>HGS</t>
        </is>
      </c>
      <c r="J1029" t="inlineStr">
        <is>
          <t>ROCKCODE agrupado en ROCKCODE_NUMEQ=13; sigla sin leyenda</t>
        </is>
      </c>
      <c r="K1029" t="inlineStr">
        <is>
          <t>Hornfels (hipótesis: siglas H*)</t>
        </is>
      </c>
      <c r="L1029" t="inlineStr">
        <is>
          <t>Metamorfico</t>
        </is>
      </c>
      <c r="M1029" t="n">
        <v>243</v>
      </c>
      <c r="N1029" t="inlineStr"/>
      <c r="O1029" t="inlineStr"/>
      <c r="P1029" t="n">
        <v>208.95</v>
      </c>
      <c r="Q1029" t="n">
        <v>1.329</v>
      </c>
    </row>
    <row r="1030">
      <c r="A1030" t="inlineStr">
        <is>
          <t>MR24</t>
        </is>
      </c>
      <c r="B1030" t="inlineStr">
        <is>
          <t>Merged_Table_Assay_lito</t>
        </is>
      </c>
      <c r="C1030" t="inlineStr">
        <is>
          <t>metros de sondaje; pct sobre metros</t>
        </is>
      </c>
      <c r="D1030" t="inlineStr">
        <is>
          <t>periodo_GM_LE2WASTE_Output</t>
        </is>
      </c>
      <c r="E1030" t="inlineStr">
        <is>
          <t>203839</t>
        </is>
      </c>
      <c r="F1030" t="inlineStr">
        <is>
          <t>ROCKCODE</t>
        </is>
      </c>
      <c r="G1030" t="inlineStr">
        <is>
          <t>HGV</t>
        </is>
      </c>
      <c r="H1030" t="inlineStr">
        <is>
          <t>sin asignar</t>
        </is>
      </c>
      <c r="I1030" t="inlineStr">
        <is>
          <t>HGV</t>
        </is>
      </c>
      <c r="J1030" t="inlineStr">
        <is>
          <t>ROCKCODE agrupado en ROCKCODE_NUMEQ=14; sigla sin leyenda</t>
        </is>
      </c>
      <c r="K1030" t="inlineStr">
        <is>
          <t>Hornfels (hipótesis: siglas H*)</t>
        </is>
      </c>
      <c r="L1030" t="inlineStr">
        <is>
          <t>Metamorfico</t>
        </is>
      </c>
      <c r="M1030" t="n">
        <v>60</v>
      </c>
      <c r="N1030" t="inlineStr"/>
      <c r="O1030" t="inlineStr"/>
      <c r="P1030" t="n">
        <v>43.15</v>
      </c>
      <c r="Q1030" t="n">
        <v>0.274</v>
      </c>
    </row>
    <row r="1031">
      <c r="A1031" t="inlineStr">
        <is>
          <t>MR24</t>
        </is>
      </c>
      <c r="B1031" t="inlineStr">
        <is>
          <t>Merged_Table_Assay_lito</t>
        </is>
      </c>
      <c r="C1031" t="inlineStr">
        <is>
          <t>metros de sondaje; pct sobre metros</t>
        </is>
      </c>
      <c r="D1031" t="inlineStr">
        <is>
          <t>periodo_GM_LE2WASTE_Output</t>
        </is>
      </c>
      <c r="E1031" t="inlineStr">
        <is>
          <t>203839</t>
        </is>
      </c>
      <c r="F1031" t="inlineStr">
        <is>
          <t>ROCKCODE</t>
        </is>
      </c>
      <c r="G1031" t="inlineStr">
        <is>
          <t>IPHPE</t>
        </is>
      </c>
      <c r="H1031" t="inlineStr">
        <is>
          <t>Intrusivo</t>
        </is>
      </c>
      <c r="I1031" t="inlineStr">
        <is>
          <t>IPHPE</t>
        </is>
      </c>
      <c r="J1031" t="inlineStr">
        <is>
          <t>ROCKCODE agrupado en ROCKCODE_NUMEQ=1 (Intrusivo_1)</t>
        </is>
      </c>
      <c r="K1031" t="inlineStr">
        <is>
          <t>Intrusivo</t>
        </is>
      </c>
      <c r="L1031" t="inlineStr">
        <is>
          <t>Intrusivo</t>
        </is>
      </c>
      <c r="M1031" t="n">
        <v>6</v>
      </c>
      <c r="N1031" t="inlineStr"/>
      <c r="O1031" t="inlineStr"/>
      <c r="P1031" t="n">
        <v>14.9</v>
      </c>
      <c r="Q1031" t="n">
        <v>0.095</v>
      </c>
    </row>
    <row r="1032">
      <c r="A1032" t="inlineStr">
        <is>
          <t>MR24</t>
        </is>
      </c>
      <c r="B1032" t="inlineStr">
        <is>
          <t>Merged_Table_Assay_lito</t>
        </is>
      </c>
      <c r="C1032" t="inlineStr">
        <is>
          <t>metros de sondaje; pct sobre metros</t>
        </is>
      </c>
      <c r="D1032" t="inlineStr">
        <is>
          <t>periodo_GM_LE2WASTE_Output</t>
        </is>
      </c>
      <c r="E1032" t="inlineStr">
        <is>
          <t>203839</t>
        </is>
      </c>
      <c r="F1032" t="inlineStr">
        <is>
          <t>ROCKCODE</t>
        </is>
      </c>
      <c r="G1032" t="inlineStr">
        <is>
          <t>IPPA</t>
        </is>
      </c>
      <c r="H1032" t="inlineStr">
        <is>
          <t>Intrusivo</t>
        </is>
      </c>
      <c r="I1032" t="inlineStr">
        <is>
          <t>IPPA</t>
        </is>
      </c>
      <c r="J1032" t="inlineStr">
        <is>
          <t>ROCKCODE agrupado en ROCKCODE_NUMEQ=1 (Intrusivo_1)</t>
        </is>
      </c>
      <c r="K1032" t="inlineStr">
        <is>
          <t>Intrusivo</t>
        </is>
      </c>
      <c r="L1032" t="inlineStr">
        <is>
          <t>Intrusivo</t>
        </is>
      </c>
      <c r="M1032" t="n">
        <v>1943</v>
      </c>
      <c r="N1032" t="inlineStr"/>
      <c r="O1032" t="inlineStr"/>
      <c r="P1032" t="n">
        <v>2072.15</v>
      </c>
      <c r="Q1032" t="n">
        <v>13.182</v>
      </c>
    </row>
    <row r="1033">
      <c r="A1033" t="inlineStr">
        <is>
          <t>MR24</t>
        </is>
      </c>
      <c r="B1033" t="inlineStr">
        <is>
          <t>Merged_Table_Assay_lito</t>
        </is>
      </c>
      <c r="C1033" t="inlineStr">
        <is>
          <t>metros de sondaje; pct sobre metros</t>
        </is>
      </c>
      <c r="D1033" t="inlineStr">
        <is>
          <t>periodo_GM_LE2WASTE_Output</t>
        </is>
      </c>
      <c r="E1033" t="inlineStr">
        <is>
          <t>203839</t>
        </is>
      </c>
      <c r="F1033" t="inlineStr">
        <is>
          <t>ROCKCODE</t>
        </is>
      </c>
      <c r="G1033" t="inlineStr">
        <is>
          <t>IPPAMO</t>
        </is>
      </c>
      <c r="H1033" t="inlineStr">
        <is>
          <t>Intrusivo</t>
        </is>
      </c>
      <c r="I1033" t="inlineStr">
        <is>
          <t>IPPAMO</t>
        </is>
      </c>
      <c r="J1033" t="inlineStr">
        <is>
          <t>ROCKCODE agrupado en ROCKCODE_NUMEQ=1 (Intrusivo_1)</t>
        </is>
      </c>
      <c r="K1033" t="inlineStr">
        <is>
          <t>Intrusivo</t>
        </is>
      </c>
      <c r="L1033" t="inlineStr">
        <is>
          <t>Intrusivo</t>
        </is>
      </c>
      <c r="M1033" t="n">
        <v>497</v>
      </c>
      <c r="N1033" t="inlineStr"/>
      <c r="O1033" t="inlineStr"/>
      <c r="P1033" t="n">
        <v>562.8</v>
      </c>
      <c r="Q1033" t="n">
        <v>3.58</v>
      </c>
    </row>
    <row r="1034">
      <c r="A1034" t="inlineStr">
        <is>
          <t>MR24</t>
        </is>
      </c>
      <c r="B1034" t="inlineStr">
        <is>
          <t>Merged_Table_Assay_lito</t>
        </is>
      </c>
      <c r="C1034" t="inlineStr">
        <is>
          <t>metros de sondaje; pct sobre metros</t>
        </is>
      </c>
      <c r="D1034" t="inlineStr">
        <is>
          <t>periodo_GM_LE2WASTE_Output</t>
        </is>
      </c>
      <c r="E1034" t="inlineStr">
        <is>
          <t>203839</t>
        </is>
      </c>
      <c r="F1034" t="inlineStr">
        <is>
          <t>ROCKCODE</t>
        </is>
      </c>
      <c r="G1034" t="inlineStr">
        <is>
          <t>IPPAO</t>
        </is>
      </c>
      <c r="H1034" t="inlineStr">
        <is>
          <t>Intrusivo</t>
        </is>
      </c>
      <c r="I1034" t="inlineStr">
        <is>
          <t>IPPAO</t>
        </is>
      </c>
      <c r="J1034" t="inlineStr">
        <is>
          <t>ROCKCODE agrupado en ROCKCODE_NUMEQ=1 (Intrusivo_1)</t>
        </is>
      </c>
      <c r="K1034" t="inlineStr">
        <is>
          <t>Intrusivo</t>
        </is>
      </c>
      <c r="L1034" t="inlineStr">
        <is>
          <t>Intrusivo</t>
        </is>
      </c>
      <c r="M1034" t="n">
        <v>1083</v>
      </c>
      <c r="N1034" t="inlineStr"/>
      <c r="O1034" t="inlineStr"/>
      <c r="P1034" t="n">
        <v>1347.7</v>
      </c>
      <c r="Q1034" t="n">
        <v>8.573</v>
      </c>
    </row>
    <row r="1035">
      <c r="A1035" t="inlineStr">
        <is>
          <t>MR24</t>
        </is>
      </c>
      <c r="B1035" t="inlineStr">
        <is>
          <t>Merged_Table_Assay_lito</t>
        </is>
      </c>
      <c r="C1035" t="inlineStr">
        <is>
          <t>metros de sondaje; pct sobre metros</t>
        </is>
      </c>
      <c r="D1035" t="inlineStr">
        <is>
          <t>periodo_GM_LE2WASTE_Output</t>
        </is>
      </c>
      <c r="E1035" t="inlineStr">
        <is>
          <t>203839</t>
        </is>
      </c>
      <c r="F1035" t="inlineStr">
        <is>
          <t>ROCKCODE</t>
        </is>
      </c>
      <c r="G1035" t="inlineStr">
        <is>
          <t>IPPEO</t>
        </is>
      </c>
      <c r="H1035" t="inlineStr">
        <is>
          <t>Intrusivo</t>
        </is>
      </c>
      <c r="I1035" t="inlineStr">
        <is>
          <t>IPPEO</t>
        </is>
      </c>
      <c r="J1035" t="inlineStr">
        <is>
          <t>ROCKCODE agrupado en ROCKCODE_NUMEQ=1 (Intrusivo_1)</t>
        </is>
      </c>
      <c r="K1035" t="inlineStr">
        <is>
          <t>Intrusivo</t>
        </is>
      </c>
      <c r="L1035" t="inlineStr">
        <is>
          <t>Intrusivo</t>
        </is>
      </c>
      <c r="M1035" t="n">
        <v>67</v>
      </c>
      <c r="N1035" t="inlineStr"/>
      <c r="O1035" t="inlineStr"/>
      <c r="P1035" t="n">
        <v>78.15000000000001</v>
      </c>
      <c r="Q1035" t="n">
        <v>0.497</v>
      </c>
    </row>
    <row r="1036">
      <c r="A1036" t="inlineStr">
        <is>
          <t>MR24</t>
        </is>
      </c>
      <c r="B1036" t="inlineStr">
        <is>
          <t>Merged_Table_Assay_lito</t>
        </is>
      </c>
      <c r="C1036" t="inlineStr">
        <is>
          <t>metros de sondaje; pct sobre metros</t>
        </is>
      </c>
      <c r="D1036" t="inlineStr">
        <is>
          <t>periodo_GM_LE2WASTE_Output</t>
        </is>
      </c>
      <c r="E1036" t="inlineStr">
        <is>
          <t>203839</t>
        </is>
      </c>
      <c r="F1036" t="inlineStr">
        <is>
          <t>ROCKCODE</t>
        </is>
      </c>
      <c r="G1036" t="inlineStr">
        <is>
          <t>MC</t>
        </is>
      </c>
      <c r="H1036" t="inlineStr">
        <is>
          <t>sin asignar</t>
        </is>
      </c>
      <c r="I1036" t="inlineStr">
        <is>
          <t>MC</t>
        </is>
      </c>
      <c r="J1036" t="inlineStr">
        <is>
          <t>ROCKCODE agrupado en ROCKCODE_NUMEQ=16; sigla sin leyenda</t>
        </is>
      </c>
      <c r="K1036" t="inlineStr">
        <is>
          <t>Mármol (hipótesis: siglas M*)</t>
        </is>
      </c>
      <c r="L1036" t="inlineStr">
        <is>
          <t>Metamorfico</t>
        </is>
      </c>
      <c r="M1036" t="n">
        <v>2022</v>
      </c>
      <c r="N1036" t="inlineStr"/>
      <c r="O1036" t="inlineStr"/>
      <c r="P1036" t="n">
        <v>2520.95</v>
      </c>
      <c r="Q1036" t="n">
        <v>16.037</v>
      </c>
    </row>
    <row r="1037">
      <c r="A1037" t="inlineStr">
        <is>
          <t>MR24</t>
        </is>
      </c>
      <c r="B1037" t="inlineStr">
        <is>
          <t>Merged_Table_Assay_lito</t>
        </is>
      </c>
      <c r="C1037" t="inlineStr">
        <is>
          <t>metros de sondaje; pct sobre metros</t>
        </is>
      </c>
      <c r="D1037" t="inlineStr">
        <is>
          <t>periodo_GM_LE2WASTE_Output</t>
        </is>
      </c>
      <c r="E1037" t="inlineStr">
        <is>
          <t>203839</t>
        </is>
      </c>
      <c r="F1037" t="inlineStr">
        <is>
          <t>ROCKCODE</t>
        </is>
      </c>
      <c r="G1037" t="inlineStr">
        <is>
          <t>MCB</t>
        </is>
      </c>
      <c r="H1037" t="inlineStr">
        <is>
          <t>sin asignar</t>
        </is>
      </c>
      <c r="I1037" t="inlineStr">
        <is>
          <t>MCB</t>
        </is>
      </c>
      <c r="J1037" t="inlineStr">
        <is>
          <t>ROCKCODE agrupado en ROCKCODE_NUMEQ=16; sigla sin leyenda</t>
        </is>
      </c>
      <c r="K1037" t="inlineStr">
        <is>
          <t>Mármol (hipótesis: siglas M*)</t>
        </is>
      </c>
      <c r="L1037" t="inlineStr">
        <is>
          <t>Metamorfico</t>
        </is>
      </c>
      <c r="M1037" t="n">
        <v>247</v>
      </c>
      <c r="N1037" t="inlineStr"/>
      <c r="O1037" t="inlineStr"/>
      <c r="P1037" t="n">
        <v>278.6</v>
      </c>
      <c r="Q1037" t="n">
        <v>1.772</v>
      </c>
    </row>
    <row r="1038">
      <c r="A1038" t="inlineStr">
        <is>
          <t>MR24</t>
        </is>
      </c>
      <c r="B1038" t="inlineStr">
        <is>
          <t>Merged_Table_Assay_lito</t>
        </is>
      </c>
      <c r="C1038" t="inlineStr">
        <is>
          <t>metros de sondaje; pct sobre metros</t>
        </is>
      </c>
      <c r="D1038" t="inlineStr">
        <is>
          <t>periodo_GM_LE2WASTE_Output</t>
        </is>
      </c>
      <c r="E1038" t="inlineStr">
        <is>
          <t>203839</t>
        </is>
      </c>
      <c r="F1038" t="inlineStr">
        <is>
          <t>ROCKCODE</t>
        </is>
      </c>
      <c r="G1038" t="inlineStr">
        <is>
          <t>MCGB</t>
        </is>
      </c>
      <c r="H1038" t="inlineStr">
        <is>
          <t>sin asignar</t>
        </is>
      </c>
      <c r="I1038" t="inlineStr">
        <is>
          <t>MCGB</t>
        </is>
      </c>
      <c r="J1038" t="inlineStr">
        <is>
          <t>ROCKCODE agrupado en ROCKCODE_NUMEQ=16; sigla sin leyenda</t>
        </is>
      </c>
      <c r="K1038" t="inlineStr">
        <is>
          <t>Mármol (hipótesis: siglas M*)</t>
        </is>
      </c>
      <c r="L1038" t="inlineStr">
        <is>
          <t>Metamorfico</t>
        </is>
      </c>
      <c r="M1038" t="n">
        <v>981</v>
      </c>
      <c r="N1038" t="inlineStr"/>
      <c r="O1038" t="inlineStr"/>
      <c r="P1038" t="n">
        <v>929.8</v>
      </c>
      <c r="Q1038" t="n">
        <v>5.915</v>
      </c>
    </row>
    <row r="1039">
      <c r="A1039" t="inlineStr">
        <is>
          <t>MR24</t>
        </is>
      </c>
      <c r="B1039" t="inlineStr">
        <is>
          <t>Merged_Table_Assay_lito</t>
        </is>
      </c>
      <c r="C1039" t="inlineStr">
        <is>
          <t>metros de sondaje; pct sobre metros</t>
        </is>
      </c>
      <c r="D1039" t="inlineStr">
        <is>
          <t>periodo_GM_LE2WASTE_Output</t>
        </is>
      </c>
      <c r="E1039" t="inlineStr">
        <is>
          <t>203839</t>
        </is>
      </c>
      <c r="F1039" t="inlineStr">
        <is>
          <t>ROCKCODE</t>
        </is>
      </c>
      <c r="G1039" t="inlineStr">
        <is>
          <t>MDP</t>
        </is>
      </c>
      <c r="H1039" t="inlineStr">
        <is>
          <t>sin asignar</t>
        </is>
      </c>
      <c r="I1039" t="inlineStr">
        <is>
          <t>MDP</t>
        </is>
      </c>
      <c r="J1039" t="inlineStr">
        <is>
          <t>ROCKCODE agrupado en ROCKCODE_NUMEQ=19; sigla sin leyenda</t>
        </is>
      </c>
      <c r="K1039" t="inlineStr">
        <is>
          <t>Mármol (hipótesis: sigla MDP)</t>
        </is>
      </c>
      <c r="L1039" t="inlineStr">
        <is>
          <t>Metamorfico</t>
        </is>
      </c>
      <c r="M1039" t="n">
        <v>1025</v>
      </c>
      <c r="N1039" t="inlineStr"/>
      <c r="O1039" t="inlineStr"/>
      <c r="P1039" t="n">
        <v>1012.55</v>
      </c>
      <c r="Q1039" t="n">
        <v>6.441</v>
      </c>
    </row>
    <row r="1040">
      <c r="A1040" t="inlineStr">
        <is>
          <t>MR24</t>
        </is>
      </c>
      <c r="B1040" t="inlineStr">
        <is>
          <t>Merged_Table_Assay_lito</t>
        </is>
      </c>
      <c r="C1040" t="inlineStr">
        <is>
          <t>metros de sondaje; pct sobre metros</t>
        </is>
      </c>
      <c r="D1040" t="inlineStr">
        <is>
          <t>periodo_GM_LE2WASTE_Output</t>
        </is>
      </c>
      <c r="E1040" t="inlineStr">
        <is>
          <t>203839</t>
        </is>
      </c>
      <c r="F1040" t="inlineStr">
        <is>
          <t>ROCKCODE</t>
        </is>
      </c>
      <c r="G1040" t="inlineStr">
        <is>
          <t>MG</t>
        </is>
      </c>
      <c r="H1040" t="inlineStr">
        <is>
          <t>sin asignar</t>
        </is>
      </c>
      <c r="I1040" t="inlineStr">
        <is>
          <t>MG</t>
        </is>
      </c>
      <c r="J1040" t="inlineStr">
        <is>
          <t>ROCKCODE agrupado en ROCKCODE_NUMEQ=16; sigla sin leyenda</t>
        </is>
      </c>
      <c r="K1040" t="inlineStr">
        <is>
          <t>Mármol (hipótesis: siglas M*)</t>
        </is>
      </c>
      <c r="L1040" t="inlineStr">
        <is>
          <t>Metamorfico</t>
        </is>
      </c>
      <c r="M1040" t="n">
        <v>938</v>
      </c>
      <c r="N1040" t="inlineStr"/>
      <c r="O1040" t="inlineStr"/>
      <c r="P1040" t="n">
        <v>1019.7</v>
      </c>
      <c r="Q1040" t="n">
        <v>6.487</v>
      </c>
    </row>
    <row r="1041">
      <c r="A1041" t="inlineStr">
        <is>
          <t>MR24</t>
        </is>
      </c>
      <c r="B1041" t="inlineStr">
        <is>
          <t>Merged_Table_Assay_lito</t>
        </is>
      </c>
      <c r="C1041" t="inlineStr">
        <is>
          <t>metros de sondaje; pct sobre metros</t>
        </is>
      </c>
      <c r="D1041" t="inlineStr">
        <is>
          <t>periodo_GM_LE2WASTE_Output</t>
        </is>
      </c>
      <c r="E1041" t="inlineStr">
        <is>
          <t>203839</t>
        </is>
      </c>
      <c r="F1041" t="inlineStr">
        <is>
          <t>ROCKCODE</t>
        </is>
      </c>
      <c r="G1041" t="inlineStr">
        <is>
          <t>MGS</t>
        </is>
      </c>
      <c r="H1041" t="inlineStr">
        <is>
          <t>sin asignar</t>
        </is>
      </c>
      <c r="I1041" t="inlineStr">
        <is>
          <t>MGS</t>
        </is>
      </c>
      <c r="J1041" t="inlineStr">
        <is>
          <t>ROCKCODE agrupado en ROCKCODE_NUMEQ=16; sigla sin leyenda</t>
        </is>
      </c>
      <c r="K1041" t="inlineStr">
        <is>
          <t>Mármol (hipótesis: siglas M*)</t>
        </is>
      </c>
      <c r="L1041" t="inlineStr">
        <is>
          <t>Metamorfico</t>
        </is>
      </c>
      <c r="M1041" t="n">
        <v>736</v>
      </c>
      <c r="N1041" t="inlineStr"/>
      <c r="O1041" t="inlineStr"/>
      <c r="P1041" t="n">
        <v>744.45</v>
      </c>
      <c r="Q1041" t="n">
        <v>4.736</v>
      </c>
    </row>
    <row r="1042">
      <c r="A1042" t="inlineStr">
        <is>
          <t>MR24</t>
        </is>
      </c>
      <c r="B1042" t="inlineStr">
        <is>
          <t>Merged_Table_Assay_lito</t>
        </is>
      </c>
      <c r="C1042" t="inlineStr">
        <is>
          <t>metros de sondaje; pct sobre metros</t>
        </is>
      </c>
      <c r="D1042" t="inlineStr">
        <is>
          <t>periodo_GM_LE2WASTE_Output</t>
        </is>
      </c>
      <c r="E1042" t="inlineStr">
        <is>
          <t>203839</t>
        </is>
      </c>
      <c r="F1042" t="inlineStr">
        <is>
          <t>ROCKCODE</t>
        </is>
      </c>
      <c r="G1042" t="inlineStr">
        <is>
          <t>MPA</t>
        </is>
      </c>
      <c r="H1042" t="inlineStr">
        <is>
          <t>sin asignar</t>
        </is>
      </c>
      <c r="I1042" t="inlineStr">
        <is>
          <t>MPA</t>
        </is>
      </c>
      <c r="J1042" t="inlineStr">
        <is>
          <t>ROCKCODE agrupado en ROCKCODE_NUMEQ=16; sigla sin leyenda</t>
        </is>
      </c>
      <c r="K1042" t="inlineStr">
        <is>
          <t>Mármol (hipótesis: siglas M*)</t>
        </is>
      </c>
      <c r="L1042" t="inlineStr">
        <is>
          <t>Metamorfico</t>
        </is>
      </c>
      <c r="M1042" t="n">
        <v>578</v>
      </c>
      <c r="N1042" t="inlineStr"/>
      <c r="O1042" t="inlineStr"/>
      <c r="P1042" t="n">
        <v>689.25</v>
      </c>
      <c r="Q1042" t="n">
        <v>4.385</v>
      </c>
    </row>
    <row r="1043">
      <c r="A1043" t="inlineStr">
        <is>
          <t>MR24</t>
        </is>
      </c>
      <c r="B1043" t="inlineStr">
        <is>
          <t>Merged_Table_Assay_lito</t>
        </is>
      </c>
      <c r="C1043" t="inlineStr">
        <is>
          <t>metros de sondaje; pct sobre metros</t>
        </is>
      </c>
      <c r="D1043" t="inlineStr">
        <is>
          <t>periodo_GM_LE2WASTE_Output</t>
        </is>
      </c>
      <c r="E1043" t="inlineStr">
        <is>
          <t>204041</t>
        </is>
      </c>
      <c r="F1043" t="inlineStr">
        <is>
          <t>ROCKCODE</t>
        </is>
      </c>
      <c r="G1043" t="inlineStr">
        <is>
          <t>C</t>
        </is>
      </c>
      <c r="H1043" t="inlineStr">
        <is>
          <t>sin asignar</t>
        </is>
      </c>
      <c r="I1043" t="inlineStr">
        <is>
          <t>C</t>
        </is>
      </c>
      <c r="J1043" t="inlineStr">
        <is>
          <t>ROCKCODE agrupado en ROCKCODE_NUMEQ=10; sigla sin leyenda</t>
        </is>
      </c>
      <c r="K1043" t="inlineStr">
        <is>
          <t>Caliza (hipótesis: siglas C*)</t>
        </is>
      </c>
      <c r="L1043" t="inlineStr">
        <is>
          <t>Sedimentario</t>
        </is>
      </c>
      <c r="M1043" t="n">
        <v>31</v>
      </c>
      <c r="N1043" t="inlineStr"/>
      <c r="O1043" t="inlineStr"/>
      <c r="P1043" t="n">
        <v>153.7</v>
      </c>
      <c r="Q1043" t="n">
        <v>1.27</v>
      </c>
    </row>
    <row r="1044">
      <c r="A1044" t="inlineStr">
        <is>
          <t>MR24</t>
        </is>
      </c>
      <c r="B1044" t="inlineStr">
        <is>
          <t>Merged_Table_Assay_lito</t>
        </is>
      </c>
      <c r="C1044" t="inlineStr">
        <is>
          <t>metros de sondaje; pct sobre metros</t>
        </is>
      </c>
      <c r="D1044" t="inlineStr">
        <is>
          <t>periodo_GM_LE2WASTE_Output</t>
        </is>
      </c>
      <c r="E1044" t="inlineStr">
        <is>
          <t>204041</t>
        </is>
      </c>
      <c r="F1044" t="inlineStr">
        <is>
          <t>ROCKCODE</t>
        </is>
      </c>
      <c r="G1044" t="inlineStr">
        <is>
          <t>CA</t>
        </is>
      </c>
      <c r="H1044" t="inlineStr">
        <is>
          <t>sin asignar</t>
        </is>
      </c>
      <c r="I1044" t="inlineStr">
        <is>
          <t>CA</t>
        </is>
      </c>
      <c r="J1044" t="inlineStr">
        <is>
          <t>ROCKCODE agrupado en ROCKCODE_NUMEQ=10; sigla sin leyenda</t>
        </is>
      </c>
      <c r="K1044" t="inlineStr">
        <is>
          <t>Caliza (hipótesis: siglas C*)</t>
        </is>
      </c>
      <c r="L1044" t="inlineStr">
        <is>
          <t>Sedimentario</t>
        </is>
      </c>
      <c r="M1044" t="n">
        <v>185</v>
      </c>
      <c r="N1044" t="inlineStr"/>
      <c r="O1044" t="inlineStr"/>
      <c r="P1044" t="n">
        <v>276.35</v>
      </c>
      <c r="Q1044" t="n">
        <v>2.284</v>
      </c>
    </row>
    <row r="1045">
      <c r="A1045" t="inlineStr">
        <is>
          <t>MR24</t>
        </is>
      </c>
      <c r="B1045" t="inlineStr">
        <is>
          <t>Merged_Table_Assay_lito</t>
        </is>
      </c>
      <c r="C1045" t="inlineStr">
        <is>
          <t>metros de sondaje; pct sobre metros</t>
        </is>
      </c>
      <c r="D1045" t="inlineStr">
        <is>
          <t>periodo_GM_LE2WASTE_Output</t>
        </is>
      </c>
      <c r="E1045" t="inlineStr">
        <is>
          <t>204041</t>
        </is>
      </c>
      <c r="F1045" t="inlineStr">
        <is>
          <t>ROCKCODE</t>
        </is>
      </c>
      <c r="G1045" t="inlineStr">
        <is>
          <t>CBMN</t>
        </is>
      </c>
      <c r="H1045" t="inlineStr">
        <is>
          <t>sin asignar</t>
        </is>
      </c>
      <c r="I1045" t="inlineStr">
        <is>
          <t>CBMN</t>
        </is>
      </c>
      <c r="J1045" t="inlineStr">
        <is>
          <t>ROCKCODE agrupado en ROCKCODE_NUMEQ=10; sigla sin leyenda</t>
        </is>
      </c>
      <c r="K1045" t="inlineStr">
        <is>
          <t>Caliza (hipótesis: siglas C*)</t>
        </is>
      </c>
      <c r="L1045" t="inlineStr">
        <is>
          <t>Sedimentario</t>
        </is>
      </c>
      <c r="M1045" t="n">
        <v>53</v>
      </c>
      <c r="N1045" t="inlineStr"/>
      <c r="O1045" t="inlineStr"/>
      <c r="P1045" t="n">
        <v>35.45</v>
      </c>
      <c r="Q1045" t="n">
        <v>0.293</v>
      </c>
    </row>
    <row r="1046">
      <c r="A1046" t="inlineStr">
        <is>
          <t>MR24</t>
        </is>
      </c>
      <c r="B1046" t="inlineStr">
        <is>
          <t>Merged_Table_Assay_lito</t>
        </is>
      </c>
      <c r="C1046" t="inlineStr">
        <is>
          <t>metros de sondaje; pct sobre metros</t>
        </is>
      </c>
      <c r="D1046" t="inlineStr">
        <is>
          <t>periodo_GM_LE2WASTE_Output</t>
        </is>
      </c>
      <c r="E1046" t="inlineStr">
        <is>
          <t>204041</t>
        </is>
      </c>
      <c r="F1046" t="inlineStr">
        <is>
          <t>ROCKCODE</t>
        </is>
      </c>
      <c r="G1046" t="inlineStr">
        <is>
          <t>CF</t>
        </is>
      </c>
      <c r="H1046" t="inlineStr">
        <is>
          <t>sin asignar</t>
        </is>
      </c>
      <c r="I1046" t="inlineStr">
        <is>
          <t>CF</t>
        </is>
      </c>
      <c r="J1046" t="inlineStr">
        <is>
          <t>ROCKCODE agrupado en ROCKCODE_NUMEQ=10; sigla sin leyenda</t>
        </is>
      </c>
      <c r="K1046" t="inlineStr">
        <is>
          <t>Caliza (hipótesis: siglas C*)</t>
        </is>
      </c>
      <c r="L1046" t="inlineStr">
        <is>
          <t>Sedimentario</t>
        </is>
      </c>
      <c r="M1046" t="n">
        <v>78</v>
      </c>
      <c r="N1046" t="inlineStr"/>
      <c r="O1046" t="inlineStr"/>
      <c r="P1046" t="n">
        <v>56.45</v>
      </c>
      <c r="Q1046" t="n">
        <v>0.466</v>
      </c>
    </row>
    <row r="1047">
      <c r="A1047" t="inlineStr">
        <is>
          <t>MR24</t>
        </is>
      </c>
      <c r="B1047" t="inlineStr">
        <is>
          <t>Merged_Table_Assay_lito</t>
        </is>
      </c>
      <c r="C1047" t="inlineStr">
        <is>
          <t>metros de sondaje; pct sobre metros</t>
        </is>
      </c>
      <c r="D1047" t="inlineStr">
        <is>
          <t>periodo_GM_LE2WASTE_Output</t>
        </is>
      </c>
      <c r="E1047" t="inlineStr">
        <is>
          <t>204041</t>
        </is>
      </c>
      <c r="F1047" t="inlineStr">
        <is>
          <t>ROCKCODE</t>
        </is>
      </c>
      <c r="G1047" t="inlineStr">
        <is>
          <t>CG</t>
        </is>
      </c>
      <c r="H1047" t="inlineStr">
        <is>
          <t>sin asignar</t>
        </is>
      </c>
      <c r="I1047" t="inlineStr">
        <is>
          <t>CG</t>
        </is>
      </c>
      <c r="J1047" t="inlineStr">
        <is>
          <t>ROCKCODE agrupado en ROCKCODE_NUMEQ=10; sigla sin leyenda</t>
        </is>
      </c>
      <c r="K1047" t="inlineStr">
        <is>
          <t>Caliza (hipótesis: siglas C*)</t>
        </is>
      </c>
      <c r="L1047" t="inlineStr">
        <is>
          <t>Sedimentario</t>
        </is>
      </c>
      <c r="M1047" t="n">
        <v>2170</v>
      </c>
      <c r="N1047" t="inlineStr"/>
      <c r="O1047" t="inlineStr"/>
      <c r="P1047" t="n">
        <v>1832.75</v>
      </c>
      <c r="Q1047" t="n">
        <v>15.146</v>
      </c>
    </row>
    <row r="1048">
      <c r="A1048" t="inlineStr">
        <is>
          <t>MR24</t>
        </is>
      </c>
      <c r="B1048" t="inlineStr">
        <is>
          <t>Merged_Table_Assay_lito</t>
        </is>
      </c>
      <c r="C1048" t="inlineStr">
        <is>
          <t>metros de sondaje; pct sobre metros</t>
        </is>
      </c>
      <c r="D1048" t="inlineStr">
        <is>
          <t>periodo_GM_LE2WASTE_Output</t>
        </is>
      </c>
      <c r="E1048" t="inlineStr">
        <is>
          <t>204041</t>
        </is>
      </c>
      <c r="F1048" t="inlineStr">
        <is>
          <t>ROCKCODE</t>
        </is>
      </c>
      <c r="G1048" t="inlineStr">
        <is>
          <t>CGS</t>
        </is>
      </c>
      <c r="H1048" t="inlineStr">
        <is>
          <t>sin asignar</t>
        </is>
      </c>
      <c r="I1048" t="inlineStr">
        <is>
          <t>CGS</t>
        </is>
      </c>
      <c r="J1048" t="inlineStr">
        <is>
          <t>ROCKCODE agrupado en ROCKCODE_NUMEQ=10; sigla sin leyenda</t>
        </is>
      </c>
      <c r="K1048" t="inlineStr">
        <is>
          <t>Caliza (hipótesis: siglas C*)</t>
        </is>
      </c>
      <c r="L1048" t="inlineStr">
        <is>
          <t>Sedimentario</t>
        </is>
      </c>
      <c r="M1048" t="n">
        <v>2039</v>
      </c>
      <c r="N1048" t="inlineStr"/>
      <c r="O1048" t="inlineStr"/>
      <c r="P1048" t="n">
        <v>1907.95</v>
      </c>
      <c r="Q1048" t="n">
        <v>15.767</v>
      </c>
    </row>
    <row r="1049">
      <c r="A1049" t="inlineStr">
        <is>
          <t>MR24</t>
        </is>
      </c>
      <c r="B1049" t="inlineStr">
        <is>
          <t>Merged_Table_Assay_lito</t>
        </is>
      </c>
      <c r="C1049" t="inlineStr">
        <is>
          <t>metros de sondaje; pct sobre metros</t>
        </is>
      </c>
      <c r="D1049" t="inlineStr">
        <is>
          <t>periodo_GM_LE2WASTE_Output</t>
        </is>
      </c>
      <c r="E1049" t="inlineStr">
        <is>
          <t>204041</t>
        </is>
      </c>
      <c r="F1049" t="inlineStr">
        <is>
          <t>ROCKCODE</t>
        </is>
      </c>
      <c r="G1049" t="inlineStr">
        <is>
          <t>CM</t>
        </is>
      </c>
      <c r="H1049" t="inlineStr">
        <is>
          <t>sin asignar</t>
        </is>
      </c>
      <c r="I1049" t="inlineStr">
        <is>
          <t>CM</t>
        </is>
      </c>
      <c r="J1049" t="inlineStr">
        <is>
          <t>ROCKCODE agrupado en ROCKCODE_NUMEQ=10; sigla sin leyenda</t>
        </is>
      </c>
      <c r="K1049" t="inlineStr">
        <is>
          <t>Caliza (hipótesis: siglas C*)</t>
        </is>
      </c>
      <c r="L1049" t="inlineStr">
        <is>
          <t>Sedimentario</t>
        </is>
      </c>
      <c r="M1049" t="n">
        <v>10</v>
      </c>
      <c r="N1049" t="inlineStr"/>
      <c r="O1049" t="inlineStr"/>
      <c r="P1049" t="n">
        <v>40</v>
      </c>
      <c r="Q1049" t="n">
        <v>0.331</v>
      </c>
    </row>
    <row r="1050">
      <c r="A1050" t="inlineStr">
        <is>
          <t>MR24</t>
        </is>
      </c>
      <c r="B1050" t="inlineStr">
        <is>
          <t>Merged_Table_Assay_lito</t>
        </is>
      </c>
      <c r="C1050" t="inlineStr">
        <is>
          <t>metros de sondaje; pct sobre metros</t>
        </is>
      </c>
      <c r="D1050" t="inlineStr">
        <is>
          <t>periodo_GM_LE2WASTE_Output</t>
        </is>
      </c>
      <c r="E1050" t="inlineStr">
        <is>
          <t>204041</t>
        </is>
      </c>
      <c r="F1050" t="inlineStr">
        <is>
          <t>ROCKCODE</t>
        </is>
      </c>
      <c r="G1050" t="inlineStr">
        <is>
          <t>CN</t>
        </is>
      </c>
      <c r="H1050" t="inlineStr">
        <is>
          <t>sin asignar</t>
        </is>
      </c>
      <c r="I1050" t="inlineStr">
        <is>
          <t>CN</t>
        </is>
      </c>
      <c r="J1050" t="inlineStr">
        <is>
          <t>ROCKCODE agrupado en ROCKCODE_NUMEQ=10; sigla sin leyenda</t>
        </is>
      </c>
      <c r="K1050" t="inlineStr">
        <is>
          <t>Caliza (hipótesis: siglas C*)</t>
        </is>
      </c>
      <c r="L1050" t="inlineStr">
        <is>
          <t>Sedimentario</t>
        </is>
      </c>
      <c r="M1050" t="n">
        <v>352</v>
      </c>
      <c r="N1050" t="inlineStr"/>
      <c r="O1050" t="inlineStr"/>
      <c r="P1050" t="n">
        <v>247.5</v>
      </c>
      <c r="Q1050" t="n">
        <v>2.045</v>
      </c>
    </row>
    <row r="1051">
      <c r="A1051" t="inlineStr">
        <is>
          <t>MR24</t>
        </is>
      </c>
      <c r="B1051" t="inlineStr">
        <is>
          <t>Merged_Table_Assay_lito</t>
        </is>
      </c>
      <c r="C1051" t="inlineStr">
        <is>
          <t>metros de sondaje; pct sobre metros</t>
        </is>
      </c>
      <c r="D1051" t="inlineStr">
        <is>
          <t>periodo_GM_LE2WASTE_Output</t>
        </is>
      </c>
      <c r="E1051" t="inlineStr">
        <is>
          <t>204041</t>
        </is>
      </c>
      <c r="F1051" t="inlineStr">
        <is>
          <t>ROCKCODE</t>
        </is>
      </c>
      <c r="G1051" t="inlineStr">
        <is>
          <t>HBV</t>
        </is>
      </c>
      <c r="H1051" t="inlineStr">
        <is>
          <t>sin asignar</t>
        </is>
      </c>
      <c r="I1051" t="inlineStr">
        <is>
          <t>HBV</t>
        </is>
      </c>
      <c r="J1051" t="inlineStr">
        <is>
          <t>ROCKCODE agrupado en ROCKCODE_NUMEQ=14; sigla sin leyenda</t>
        </is>
      </c>
      <c r="K1051" t="inlineStr">
        <is>
          <t>Hornfels (hipótesis: siglas H*)</t>
        </is>
      </c>
      <c r="L1051" t="inlineStr">
        <is>
          <t>Metamorfico</t>
        </is>
      </c>
      <c r="M1051" t="n">
        <v>13</v>
      </c>
      <c r="N1051" t="inlineStr"/>
      <c r="O1051" t="inlineStr"/>
      <c r="P1051" t="n">
        <v>9.85</v>
      </c>
      <c r="Q1051" t="n">
        <v>0.081</v>
      </c>
    </row>
    <row r="1052">
      <c r="A1052" t="inlineStr">
        <is>
          <t>MR24</t>
        </is>
      </c>
      <c r="B1052" t="inlineStr">
        <is>
          <t>Merged_Table_Assay_lito</t>
        </is>
      </c>
      <c r="C1052" t="inlineStr">
        <is>
          <t>metros de sondaje; pct sobre metros</t>
        </is>
      </c>
      <c r="D1052" t="inlineStr">
        <is>
          <t>periodo_GM_LE2WASTE_Output</t>
        </is>
      </c>
      <c r="E1052" t="inlineStr">
        <is>
          <t>204041</t>
        </is>
      </c>
      <c r="F1052" t="inlineStr">
        <is>
          <t>ROCKCODE</t>
        </is>
      </c>
      <c r="G1052" t="inlineStr">
        <is>
          <t>HC</t>
        </is>
      </c>
      <c r="H1052" t="inlineStr">
        <is>
          <t>sin asignar</t>
        </is>
      </c>
      <c r="I1052" t="inlineStr">
        <is>
          <t>HC</t>
        </is>
      </c>
      <c r="J1052" t="inlineStr">
        <is>
          <t>ROCKCODE agrupado en ROCKCODE_NUMEQ=13; sigla sin leyenda</t>
        </is>
      </c>
      <c r="K1052" t="inlineStr">
        <is>
          <t>Hornfels (hipótesis: siglas H*)</t>
        </is>
      </c>
      <c r="L1052" t="inlineStr">
        <is>
          <t>Metamorfico</t>
        </is>
      </c>
      <c r="M1052" t="n">
        <v>292</v>
      </c>
      <c r="N1052" t="inlineStr"/>
      <c r="O1052" t="inlineStr"/>
      <c r="P1052" t="n">
        <v>336.75</v>
      </c>
      <c r="Q1052" t="n">
        <v>2.783</v>
      </c>
    </row>
    <row r="1053">
      <c r="A1053" t="inlineStr">
        <is>
          <t>MR24</t>
        </is>
      </c>
      <c r="B1053" t="inlineStr">
        <is>
          <t>Merged_Table_Assay_lito</t>
        </is>
      </c>
      <c r="C1053" t="inlineStr">
        <is>
          <t>metros de sondaje; pct sobre metros</t>
        </is>
      </c>
      <c r="D1053" t="inlineStr">
        <is>
          <t>periodo_GM_LE2WASTE_Output</t>
        </is>
      </c>
      <c r="E1053" t="inlineStr">
        <is>
          <t>204041</t>
        </is>
      </c>
      <c r="F1053" t="inlineStr">
        <is>
          <t>ROCKCODE</t>
        </is>
      </c>
      <c r="G1053" t="inlineStr">
        <is>
          <t>HCB</t>
        </is>
      </c>
      <c r="H1053" t="inlineStr">
        <is>
          <t>sin asignar</t>
        </is>
      </c>
      <c r="I1053" t="inlineStr">
        <is>
          <t>HCB</t>
        </is>
      </c>
      <c r="J1053" t="inlineStr">
        <is>
          <t>ROCKCODE agrupado en ROCKCODE_NUMEQ=14; sigla sin leyenda</t>
        </is>
      </c>
      <c r="K1053" t="inlineStr">
        <is>
          <t>Hornfels (hipótesis: siglas H*)</t>
        </is>
      </c>
      <c r="L1053" t="inlineStr">
        <is>
          <t>Metamorfico</t>
        </is>
      </c>
      <c r="M1053" t="n">
        <v>28</v>
      </c>
      <c r="N1053" t="inlineStr"/>
      <c r="O1053" t="inlineStr"/>
      <c r="P1053" t="n">
        <v>24</v>
      </c>
      <c r="Q1053" t="n">
        <v>0.198</v>
      </c>
    </row>
    <row r="1054">
      <c r="A1054" t="inlineStr">
        <is>
          <t>MR24</t>
        </is>
      </c>
      <c r="B1054" t="inlineStr">
        <is>
          <t>Merged_Table_Assay_lito</t>
        </is>
      </c>
      <c r="C1054" t="inlineStr">
        <is>
          <t>metros de sondaje; pct sobre metros</t>
        </is>
      </c>
      <c r="D1054" t="inlineStr">
        <is>
          <t>periodo_GM_LE2WASTE_Output</t>
        </is>
      </c>
      <c r="E1054" t="inlineStr">
        <is>
          <t>204041</t>
        </is>
      </c>
      <c r="F1054" t="inlineStr">
        <is>
          <t>ROCKCODE</t>
        </is>
      </c>
      <c r="G1054" t="inlineStr">
        <is>
          <t>HDP</t>
        </is>
      </c>
      <c r="H1054" t="inlineStr">
        <is>
          <t>sin asignar</t>
        </is>
      </c>
      <c r="I1054" t="inlineStr">
        <is>
          <t>HDP</t>
        </is>
      </c>
      <c r="J1054" t="inlineStr">
        <is>
          <t>ROCKCODE agrupado en ROCKCODE_NUMEQ=14; sigla sin leyenda</t>
        </is>
      </c>
      <c r="K1054" t="inlineStr">
        <is>
          <t>Hornfels (hipótesis: siglas H*)</t>
        </is>
      </c>
      <c r="L1054" t="inlineStr">
        <is>
          <t>Metamorfico</t>
        </is>
      </c>
      <c r="M1054" t="n">
        <v>22</v>
      </c>
      <c r="N1054" t="inlineStr"/>
      <c r="O1054" t="inlineStr"/>
      <c r="P1054" t="n">
        <v>17.3</v>
      </c>
      <c r="Q1054" t="n">
        <v>0.143</v>
      </c>
    </row>
    <row r="1055">
      <c r="A1055" t="inlineStr">
        <is>
          <t>MR24</t>
        </is>
      </c>
      <c r="B1055" t="inlineStr">
        <is>
          <t>Merged_Table_Assay_lito</t>
        </is>
      </c>
      <c r="C1055" t="inlineStr">
        <is>
          <t>metros de sondaje; pct sobre metros</t>
        </is>
      </c>
      <c r="D1055" t="inlineStr">
        <is>
          <t>periodo_GM_LE2WASTE_Output</t>
        </is>
      </c>
      <c r="E1055" t="inlineStr">
        <is>
          <t>204041</t>
        </is>
      </c>
      <c r="F1055" t="inlineStr">
        <is>
          <t>ROCKCODE</t>
        </is>
      </c>
      <c r="G1055" t="inlineStr">
        <is>
          <t>HG</t>
        </is>
      </c>
      <c r="H1055" t="inlineStr">
        <is>
          <t>sin asignar</t>
        </is>
      </c>
      <c r="I1055" t="inlineStr">
        <is>
          <t>HG</t>
        </is>
      </c>
      <c r="J1055" t="inlineStr">
        <is>
          <t>ROCKCODE agrupado en ROCKCODE_NUMEQ=13; sigla sin leyenda</t>
        </is>
      </c>
      <c r="K1055" t="inlineStr">
        <is>
          <t>Hornfels (hipótesis: siglas H*)</t>
        </is>
      </c>
      <c r="L1055" t="inlineStr">
        <is>
          <t>Metamorfico</t>
        </is>
      </c>
      <c r="M1055" t="n">
        <v>738</v>
      </c>
      <c r="N1055" t="inlineStr"/>
      <c r="O1055" t="inlineStr"/>
      <c r="P1055" t="n">
        <v>737.55</v>
      </c>
      <c r="Q1055" t="n">
        <v>6.095</v>
      </c>
    </row>
    <row r="1056">
      <c r="A1056" t="inlineStr">
        <is>
          <t>MR24</t>
        </is>
      </c>
      <c r="B1056" t="inlineStr">
        <is>
          <t>Merged_Table_Assay_lito</t>
        </is>
      </c>
      <c r="C1056" t="inlineStr">
        <is>
          <t>metros de sondaje; pct sobre metros</t>
        </is>
      </c>
      <c r="D1056" t="inlineStr">
        <is>
          <t>periodo_GM_LE2WASTE_Output</t>
        </is>
      </c>
      <c r="E1056" t="inlineStr">
        <is>
          <t>204041</t>
        </is>
      </c>
      <c r="F1056" t="inlineStr">
        <is>
          <t>ROCKCODE</t>
        </is>
      </c>
      <c r="G1056" t="inlineStr">
        <is>
          <t>HGS</t>
        </is>
      </c>
      <c r="H1056" t="inlineStr">
        <is>
          <t>sin asignar</t>
        </is>
      </c>
      <c r="I1056" t="inlineStr">
        <is>
          <t>HGS</t>
        </is>
      </c>
      <c r="J1056" t="inlineStr">
        <is>
          <t>ROCKCODE agrupado en ROCKCODE_NUMEQ=13; sigla sin leyenda</t>
        </is>
      </c>
      <c r="K1056" t="inlineStr">
        <is>
          <t>Hornfels (hipótesis: siglas H*)</t>
        </is>
      </c>
      <c r="L1056" t="inlineStr">
        <is>
          <t>Metamorfico</t>
        </is>
      </c>
      <c r="M1056" t="n">
        <v>295</v>
      </c>
      <c r="N1056" t="inlineStr"/>
      <c r="O1056" t="inlineStr"/>
      <c r="P1056" t="n">
        <v>301.05</v>
      </c>
      <c r="Q1056" t="n">
        <v>2.488</v>
      </c>
    </row>
    <row r="1057">
      <c r="A1057" t="inlineStr">
        <is>
          <t>MR24</t>
        </is>
      </c>
      <c r="B1057" t="inlineStr">
        <is>
          <t>Merged_Table_Assay_lito</t>
        </is>
      </c>
      <c r="C1057" t="inlineStr">
        <is>
          <t>metros de sondaje; pct sobre metros</t>
        </is>
      </c>
      <c r="D1057" t="inlineStr">
        <is>
          <t>periodo_GM_LE2WASTE_Output</t>
        </is>
      </c>
      <c r="E1057" t="inlineStr">
        <is>
          <t>204041</t>
        </is>
      </c>
      <c r="F1057" t="inlineStr">
        <is>
          <t>ROCKCODE</t>
        </is>
      </c>
      <c r="G1057" t="inlineStr">
        <is>
          <t>HGV</t>
        </is>
      </c>
      <c r="H1057" t="inlineStr">
        <is>
          <t>sin asignar</t>
        </is>
      </c>
      <c r="I1057" t="inlineStr">
        <is>
          <t>HGV</t>
        </is>
      </c>
      <c r="J1057" t="inlineStr">
        <is>
          <t>ROCKCODE agrupado en ROCKCODE_NUMEQ=14; sigla sin leyenda</t>
        </is>
      </c>
      <c r="K1057" t="inlineStr">
        <is>
          <t>Hornfels (hipótesis: siglas H*)</t>
        </is>
      </c>
      <c r="L1057" t="inlineStr">
        <is>
          <t>Metamorfico</t>
        </is>
      </c>
      <c r="M1057" t="n">
        <v>75</v>
      </c>
      <c r="N1057" t="inlineStr"/>
      <c r="O1057" t="inlineStr"/>
      <c r="P1057" t="n">
        <v>58.3</v>
      </c>
      <c r="Q1057" t="n">
        <v>0.482</v>
      </c>
    </row>
    <row r="1058">
      <c r="A1058" t="inlineStr">
        <is>
          <t>MR24</t>
        </is>
      </c>
      <c r="B1058" t="inlineStr">
        <is>
          <t>Merged_Table_Assay_lito</t>
        </is>
      </c>
      <c r="C1058" t="inlineStr">
        <is>
          <t>metros de sondaje; pct sobre metros</t>
        </is>
      </c>
      <c r="D1058" t="inlineStr">
        <is>
          <t>periodo_GM_LE2WASTE_Output</t>
        </is>
      </c>
      <c r="E1058" t="inlineStr">
        <is>
          <t>204041</t>
        </is>
      </c>
      <c r="F1058" t="inlineStr">
        <is>
          <t>ROCKCODE</t>
        </is>
      </c>
      <c r="G1058" t="inlineStr">
        <is>
          <t>HMGV</t>
        </is>
      </c>
      <c r="H1058" t="inlineStr">
        <is>
          <t>sin asignar</t>
        </is>
      </c>
      <c r="I1058" t="inlineStr">
        <is>
          <t>HMGV</t>
        </is>
      </c>
      <c r="J1058" t="inlineStr">
        <is>
          <t>ROCKCODE agrupado en ROCKCODE_NUMEQ=14; sigla sin leyenda</t>
        </is>
      </c>
      <c r="K1058" t="inlineStr">
        <is>
          <t>Hornfels (hipótesis: siglas H*)</t>
        </is>
      </c>
      <c r="L1058" t="inlineStr">
        <is>
          <t>Metamorfico</t>
        </is>
      </c>
      <c r="M1058" t="n">
        <v>5</v>
      </c>
      <c r="N1058" t="inlineStr"/>
      <c r="O1058" t="inlineStr"/>
      <c r="P1058" t="n">
        <v>5.6</v>
      </c>
      <c r="Q1058" t="n">
        <v>0.046</v>
      </c>
    </row>
    <row r="1059">
      <c r="A1059" t="inlineStr">
        <is>
          <t>MR24</t>
        </is>
      </c>
      <c r="B1059" t="inlineStr">
        <is>
          <t>Merged_Table_Assay_lito</t>
        </is>
      </c>
      <c r="C1059" t="inlineStr">
        <is>
          <t>metros de sondaje; pct sobre metros</t>
        </is>
      </c>
      <c r="D1059" t="inlineStr">
        <is>
          <t>periodo_GM_LE2WASTE_Output</t>
        </is>
      </c>
      <c r="E1059" t="inlineStr">
        <is>
          <t>204041</t>
        </is>
      </c>
      <c r="F1059" t="inlineStr">
        <is>
          <t>ROCKCODE</t>
        </is>
      </c>
      <c r="G1059" t="inlineStr">
        <is>
          <t>HV</t>
        </is>
      </c>
      <c r="H1059" t="inlineStr">
        <is>
          <t>sin asignar</t>
        </is>
      </c>
      <c r="I1059" t="inlineStr">
        <is>
          <t>HV</t>
        </is>
      </c>
      <c r="J1059" t="inlineStr">
        <is>
          <t>ROCKCODE agrupado en ROCKCODE_NUMEQ=14; sigla sin leyenda</t>
        </is>
      </c>
      <c r="K1059" t="inlineStr">
        <is>
          <t>Hornfels (hipótesis: siglas H*)</t>
        </is>
      </c>
      <c r="L1059" t="inlineStr">
        <is>
          <t>Metamorfico</t>
        </is>
      </c>
      <c r="M1059" t="n">
        <v>2</v>
      </c>
      <c r="N1059" t="inlineStr"/>
      <c r="O1059" t="inlineStr"/>
      <c r="P1059" t="n">
        <v>1.55</v>
      </c>
      <c r="Q1059" t="n">
        <v>0.013</v>
      </c>
    </row>
    <row r="1060">
      <c r="A1060" t="inlineStr">
        <is>
          <t>MR24</t>
        </is>
      </c>
      <c r="B1060" t="inlineStr">
        <is>
          <t>Merged_Table_Assay_lito</t>
        </is>
      </c>
      <c r="C1060" t="inlineStr">
        <is>
          <t>metros de sondaje; pct sobre metros</t>
        </is>
      </c>
      <c r="D1060" t="inlineStr">
        <is>
          <t>periodo_GM_LE2WASTE_Output</t>
        </is>
      </c>
      <c r="E1060" t="inlineStr">
        <is>
          <t>204041</t>
        </is>
      </c>
      <c r="F1060" t="inlineStr">
        <is>
          <t>ROCKCODE</t>
        </is>
      </c>
      <c r="G1060" t="inlineStr">
        <is>
          <t>IPPA</t>
        </is>
      </c>
      <c r="H1060" t="inlineStr">
        <is>
          <t>Intrusivo</t>
        </is>
      </c>
      <c r="I1060" t="inlineStr">
        <is>
          <t>IPPA</t>
        </is>
      </c>
      <c r="J1060" t="inlineStr">
        <is>
          <t>ROCKCODE agrupado en ROCKCODE_NUMEQ=1 (Intrusivo_1)</t>
        </is>
      </c>
      <c r="K1060" t="inlineStr">
        <is>
          <t>Intrusivo</t>
        </is>
      </c>
      <c r="L1060" t="inlineStr">
        <is>
          <t>Intrusivo</t>
        </is>
      </c>
      <c r="M1060" t="n">
        <v>1807</v>
      </c>
      <c r="N1060" t="inlineStr"/>
      <c r="O1060" t="inlineStr"/>
      <c r="P1060" t="n">
        <v>2369.35</v>
      </c>
      <c r="Q1060" t="n">
        <v>19.58</v>
      </c>
    </row>
    <row r="1061">
      <c r="A1061" t="inlineStr">
        <is>
          <t>MR24</t>
        </is>
      </c>
      <c r="B1061" t="inlineStr">
        <is>
          <t>Merged_Table_Assay_lito</t>
        </is>
      </c>
      <c r="C1061" t="inlineStr">
        <is>
          <t>metros de sondaje; pct sobre metros</t>
        </is>
      </c>
      <c r="D1061" t="inlineStr">
        <is>
          <t>periodo_GM_LE2WASTE_Output</t>
        </is>
      </c>
      <c r="E1061" t="inlineStr">
        <is>
          <t>204041</t>
        </is>
      </c>
      <c r="F1061" t="inlineStr">
        <is>
          <t>ROCKCODE</t>
        </is>
      </c>
      <c r="G1061" t="inlineStr">
        <is>
          <t>IPPAMO</t>
        </is>
      </c>
      <c r="H1061" t="inlineStr">
        <is>
          <t>Intrusivo</t>
        </is>
      </c>
      <c r="I1061" t="inlineStr">
        <is>
          <t>IPPAMO</t>
        </is>
      </c>
      <c r="J1061" t="inlineStr">
        <is>
          <t>ROCKCODE agrupado en ROCKCODE_NUMEQ=1 (Intrusivo_1)</t>
        </is>
      </c>
      <c r="K1061" t="inlineStr">
        <is>
          <t>Intrusivo</t>
        </is>
      </c>
      <c r="L1061" t="inlineStr">
        <is>
          <t>Intrusivo</t>
        </is>
      </c>
      <c r="M1061" t="n">
        <v>336</v>
      </c>
      <c r="N1061" t="inlineStr"/>
      <c r="O1061" t="inlineStr"/>
      <c r="P1061" t="n">
        <v>381.7</v>
      </c>
      <c r="Q1061" t="n">
        <v>3.154</v>
      </c>
    </row>
    <row r="1062">
      <c r="A1062" t="inlineStr">
        <is>
          <t>MR24</t>
        </is>
      </c>
      <c r="B1062" t="inlineStr">
        <is>
          <t>Merged_Table_Assay_lito</t>
        </is>
      </c>
      <c r="C1062" t="inlineStr">
        <is>
          <t>metros de sondaje; pct sobre metros</t>
        </is>
      </c>
      <c r="D1062" t="inlineStr">
        <is>
          <t>periodo_GM_LE2WASTE_Output</t>
        </is>
      </c>
      <c r="E1062" t="inlineStr">
        <is>
          <t>204041</t>
        </is>
      </c>
      <c r="F1062" t="inlineStr">
        <is>
          <t>ROCKCODE</t>
        </is>
      </c>
      <c r="G1062" t="inlineStr">
        <is>
          <t>IPPAO</t>
        </is>
      </c>
      <c r="H1062" t="inlineStr">
        <is>
          <t>Intrusivo</t>
        </is>
      </c>
      <c r="I1062" t="inlineStr">
        <is>
          <t>IPPAO</t>
        </is>
      </c>
      <c r="J1062" t="inlineStr">
        <is>
          <t>ROCKCODE agrupado en ROCKCODE_NUMEQ=1 (Intrusivo_1)</t>
        </is>
      </c>
      <c r="K1062" t="inlineStr">
        <is>
          <t>Intrusivo</t>
        </is>
      </c>
      <c r="L1062" t="inlineStr">
        <is>
          <t>Intrusivo</t>
        </is>
      </c>
      <c r="M1062" t="n">
        <v>1010</v>
      </c>
      <c r="N1062" t="inlineStr"/>
      <c r="O1062" t="inlineStr"/>
      <c r="P1062" t="n">
        <v>1164.5</v>
      </c>
      <c r="Q1062" t="n">
        <v>9.622999999999999</v>
      </c>
    </row>
    <row r="1063">
      <c r="A1063" t="inlineStr">
        <is>
          <t>MR24</t>
        </is>
      </c>
      <c r="B1063" t="inlineStr">
        <is>
          <t>Merged_Table_Assay_lito</t>
        </is>
      </c>
      <c r="C1063" t="inlineStr">
        <is>
          <t>metros de sondaje; pct sobre metros</t>
        </is>
      </c>
      <c r="D1063" t="inlineStr">
        <is>
          <t>periodo_GM_LE2WASTE_Output</t>
        </is>
      </c>
      <c r="E1063" t="inlineStr">
        <is>
          <t>204041</t>
        </is>
      </c>
      <c r="F1063" t="inlineStr">
        <is>
          <t>ROCKCODE</t>
        </is>
      </c>
      <c r="G1063" t="inlineStr">
        <is>
          <t>IPPEO</t>
        </is>
      </c>
      <c r="H1063" t="inlineStr">
        <is>
          <t>Intrusivo</t>
        </is>
      </c>
      <c r="I1063" t="inlineStr">
        <is>
          <t>IPPEO</t>
        </is>
      </c>
      <c r="J1063" t="inlineStr">
        <is>
          <t>ROCKCODE agrupado en ROCKCODE_NUMEQ=1 (Intrusivo_1)</t>
        </is>
      </c>
      <c r="K1063" t="inlineStr">
        <is>
          <t>Intrusivo</t>
        </is>
      </c>
      <c r="L1063" t="inlineStr">
        <is>
          <t>Intrusivo</t>
        </is>
      </c>
      <c r="M1063" t="n">
        <v>40</v>
      </c>
      <c r="N1063" t="inlineStr"/>
      <c r="O1063" t="inlineStr"/>
      <c r="P1063" t="n">
        <v>42.05</v>
      </c>
      <c r="Q1063" t="n">
        <v>0.347</v>
      </c>
    </row>
    <row r="1064">
      <c r="A1064" t="inlineStr">
        <is>
          <t>MR24</t>
        </is>
      </c>
      <c r="B1064" t="inlineStr">
        <is>
          <t>Merged_Table_Assay_lito</t>
        </is>
      </c>
      <c r="C1064" t="inlineStr">
        <is>
          <t>metros de sondaje; pct sobre metros</t>
        </is>
      </c>
      <c r="D1064" t="inlineStr">
        <is>
          <t>periodo_GM_LE2WASTE_Output</t>
        </is>
      </c>
      <c r="E1064" t="inlineStr">
        <is>
          <t>204041</t>
        </is>
      </c>
      <c r="F1064" t="inlineStr">
        <is>
          <t>ROCKCODE</t>
        </is>
      </c>
      <c r="G1064" t="inlineStr">
        <is>
          <t>MC</t>
        </is>
      </c>
      <c r="H1064" t="inlineStr">
        <is>
          <t>sin asignar</t>
        </is>
      </c>
      <c r="I1064" t="inlineStr">
        <is>
          <t>MC</t>
        </is>
      </c>
      <c r="J1064" t="inlineStr">
        <is>
          <t>ROCKCODE agrupado en ROCKCODE_NUMEQ=16; sigla sin leyenda</t>
        </is>
      </c>
      <c r="K1064" t="inlineStr">
        <is>
          <t>Mármol (hipótesis: siglas M*)</t>
        </is>
      </c>
      <c r="L1064" t="inlineStr">
        <is>
          <t>Metamorfico</t>
        </is>
      </c>
      <c r="M1064" t="n">
        <v>374</v>
      </c>
      <c r="N1064" t="inlineStr"/>
      <c r="O1064" t="inlineStr"/>
      <c r="P1064" t="n">
        <v>410.9</v>
      </c>
      <c r="Q1064" t="n">
        <v>3.396</v>
      </c>
    </row>
    <row r="1065">
      <c r="A1065" t="inlineStr">
        <is>
          <t>MR24</t>
        </is>
      </c>
      <c r="B1065" t="inlineStr">
        <is>
          <t>Merged_Table_Assay_lito</t>
        </is>
      </c>
      <c r="C1065" t="inlineStr">
        <is>
          <t>metros de sondaje; pct sobre metros</t>
        </is>
      </c>
      <c r="D1065" t="inlineStr">
        <is>
          <t>periodo_GM_LE2WASTE_Output</t>
        </is>
      </c>
      <c r="E1065" t="inlineStr">
        <is>
          <t>204041</t>
        </is>
      </c>
      <c r="F1065" t="inlineStr">
        <is>
          <t>ROCKCODE</t>
        </is>
      </c>
      <c r="G1065" t="inlineStr">
        <is>
          <t>MCB</t>
        </is>
      </c>
      <c r="H1065" t="inlineStr">
        <is>
          <t>sin asignar</t>
        </is>
      </c>
      <c r="I1065" t="inlineStr">
        <is>
          <t>MCB</t>
        </is>
      </c>
      <c r="J1065" t="inlineStr">
        <is>
          <t>ROCKCODE agrupado en ROCKCODE_NUMEQ=16; sigla sin leyenda</t>
        </is>
      </c>
      <c r="K1065" t="inlineStr">
        <is>
          <t>Mármol (hipótesis: siglas M*)</t>
        </is>
      </c>
      <c r="L1065" t="inlineStr">
        <is>
          <t>Metamorfico</t>
        </is>
      </c>
      <c r="M1065" t="n">
        <v>56</v>
      </c>
      <c r="N1065" t="inlineStr"/>
      <c r="O1065" t="inlineStr"/>
      <c r="P1065" t="n">
        <v>85.15000000000001</v>
      </c>
      <c r="Q1065" t="n">
        <v>0.704</v>
      </c>
    </row>
    <row r="1066">
      <c r="A1066" t="inlineStr">
        <is>
          <t>MR24</t>
        </is>
      </c>
      <c r="B1066" t="inlineStr">
        <is>
          <t>Merged_Table_Assay_lito</t>
        </is>
      </c>
      <c r="C1066" t="inlineStr">
        <is>
          <t>metros de sondaje; pct sobre metros</t>
        </is>
      </c>
      <c r="D1066" t="inlineStr">
        <is>
          <t>periodo_GM_LE2WASTE_Output</t>
        </is>
      </c>
      <c r="E1066" t="inlineStr">
        <is>
          <t>204041</t>
        </is>
      </c>
      <c r="F1066" t="inlineStr">
        <is>
          <t>ROCKCODE</t>
        </is>
      </c>
      <c r="G1066" t="inlineStr">
        <is>
          <t>MCGB</t>
        </is>
      </c>
      <c r="H1066" t="inlineStr">
        <is>
          <t>sin asignar</t>
        </is>
      </c>
      <c r="I1066" t="inlineStr">
        <is>
          <t>MCGB</t>
        </is>
      </c>
      <c r="J1066" t="inlineStr">
        <is>
          <t>ROCKCODE agrupado en ROCKCODE_NUMEQ=16; sigla sin leyenda</t>
        </is>
      </c>
      <c r="K1066" t="inlineStr">
        <is>
          <t>Mármol (hipótesis: siglas M*)</t>
        </is>
      </c>
      <c r="L1066" t="inlineStr">
        <is>
          <t>Metamorfico</t>
        </is>
      </c>
      <c r="M1066" t="n">
        <v>230</v>
      </c>
      <c r="N1066" t="inlineStr"/>
      <c r="O1066" t="inlineStr"/>
      <c r="P1066" t="n">
        <v>233.25</v>
      </c>
      <c r="Q1066" t="n">
        <v>1.928</v>
      </c>
    </row>
    <row r="1067">
      <c r="A1067" t="inlineStr">
        <is>
          <t>MR24</t>
        </is>
      </c>
      <c r="B1067" t="inlineStr">
        <is>
          <t>Merged_Table_Assay_lito</t>
        </is>
      </c>
      <c r="C1067" t="inlineStr">
        <is>
          <t>metros de sondaje; pct sobre metros</t>
        </is>
      </c>
      <c r="D1067" t="inlineStr">
        <is>
          <t>periodo_GM_LE2WASTE_Output</t>
        </is>
      </c>
      <c r="E1067" t="inlineStr">
        <is>
          <t>204041</t>
        </is>
      </c>
      <c r="F1067" t="inlineStr">
        <is>
          <t>ROCKCODE</t>
        </is>
      </c>
      <c r="G1067" t="inlineStr">
        <is>
          <t>MDP</t>
        </is>
      </c>
      <c r="H1067" t="inlineStr">
        <is>
          <t>sin asignar</t>
        </is>
      </c>
      <c r="I1067" t="inlineStr">
        <is>
          <t>MDP</t>
        </is>
      </c>
      <c r="J1067" t="inlineStr">
        <is>
          <t>ROCKCODE agrupado en ROCKCODE_NUMEQ=19; sigla sin leyenda</t>
        </is>
      </c>
      <c r="K1067" t="inlineStr">
        <is>
          <t>Mármol (hipótesis: sigla MDP)</t>
        </is>
      </c>
      <c r="L1067" t="inlineStr">
        <is>
          <t>Metamorfico</t>
        </is>
      </c>
      <c r="M1067" t="n">
        <v>107</v>
      </c>
      <c r="N1067" t="inlineStr"/>
      <c r="O1067" t="inlineStr"/>
      <c r="P1067" t="n">
        <v>75.15000000000001</v>
      </c>
      <c r="Q1067" t="n">
        <v>0.621</v>
      </c>
    </row>
    <row r="1068">
      <c r="A1068" t="inlineStr">
        <is>
          <t>MR24</t>
        </is>
      </c>
      <c r="B1068" t="inlineStr">
        <is>
          <t>Merged_Table_Assay_lito</t>
        </is>
      </c>
      <c r="C1068" t="inlineStr">
        <is>
          <t>metros de sondaje; pct sobre metros</t>
        </is>
      </c>
      <c r="D1068" t="inlineStr">
        <is>
          <t>periodo_GM_LE2WASTE_Output</t>
        </is>
      </c>
      <c r="E1068" t="inlineStr">
        <is>
          <t>204041</t>
        </is>
      </c>
      <c r="F1068" t="inlineStr">
        <is>
          <t>ROCKCODE</t>
        </is>
      </c>
      <c r="G1068" t="inlineStr">
        <is>
          <t>MG</t>
        </is>
      </c>
      <c r="H1068" t="inlineStr">
        <is>
          <t>sin asignar</t>
        </is>
      </c>
      <c r="I1068" t="inlineStr">
        <is>
          <t>MG</t>
        </is>
      </c>
      <c r="J1068" t="inlineStr">
        <is>
          <t>ROCKCODE agrupado en ROCKCODE_NUMEQ=16; sigla sin leyenda</t>
        </is>
      </c>
      <c r="K1068" t="inlineStr">
        <is>
          <t>Mármol (hipótesis: siglas M*)</t>
        </is>
      </c>
      <c r="L1068" t="inlineStr">
        <is>
          <t>Metamorfico</t>
        </is>
      </c>
      <c r="M1068" t="n">
        <v>371</v>
      </c>
      <c r="N1068" t="inlineStr"/>
      <c r="O1068" t="inlineStr"/>
      <c r="P1068" t="n">
        <v>505.4</v>
      </c>
      <c r="Q1068" t="n">
        <v>4.177</v>
      </c>
    </row>
    <row r="1069">
      <c r="A1069" t="inlineStr">
        <is>
          <t>MR24</t>
        </is>
      </c>
      <c r="B1069" t="inlineStr">
        <is>
          <t>Merged_Table_Assay_lito</t>
        </is>
      </c>
      <c r="C1069" t="inlineStr">
        <is>
          <t>metros de sondaje; pct sobre metros</t>
        </is>
      </c>
      <c r="D1069" t="inlineStr">
        <is>
          <t>periodo_GM_LE2WASTE_Output</t>
        </is>
      </c>
      <c r="E1069" t="inlineStr">
        <is>
          <t>204041</t>
        </is>
      </c>
      <c r="F1069" t="inlineStr">
        <is>
          <t>ROCKCODE</t>
        </is>
      </c>
      <c r="G1069" t="inlineStr">
        <is>
          <t>MGS</t>
        </is>
      </c>
      <c r="H1069" t="inlineStr">
        <is>
          <t>sin asignar</t>
        </is>
      </c>
      <c r="I1069" t="inlineStr">
        <is>
          <t>MGS</t>
        </is>
      </c>
      <c r="J1069" t="inlineStr">
        <is>
          <t>ROCKCODE agrupado en ROCKCODE_NUMEQ=16; sigla sin leyenda</t>
        </is>
      </c>
      <c r="K1069" t="inlineStr">
        <is>
          <t>Mármol (hipótesis: siglas M*)</t>
        </is>
      </c>
      <c r="L1069" t="inlineStr">
        <is>
          <t>Metamorfico</t>
        </is>
      </c>
      <c r="M1069" t="n">
        <v>375</v>
      </c>
      <c r="N1069" t="inlineStr"/>
      <c r="O1069" t="inlineStr"/>
      <c r="P1069" t="n">
        <v>479.6</v>
      </c>
      <c r="Q1069" t="n">
        <v>3.963</v>
      </c>
    </row>
    <row r="1070">
      <c r="A1070" t="inlineStr">
        <is>
          <t>MR24</t>
        </is>
      </c>
      <c r="B1070" t="inlineStr">
        <is>
          <t>Merged_Table_Assay_lito</t>
        </is>
      </c>
      <c r="C1070" t="inlineStr">
        <is>
          <t>metros de sondaje; pct sobre metros</t>
        </is>
      </c>
      <c r="D1070" t="inlineStr">
        <is>
          <t>periodo_GM_LE2WASTE_Output</t>
        </is>
      </c>
      <c r="E1070" t="inlineStr">
        <is>
          <t>204041</t>
        </is>
      </c>
      <c r="F1070" t="inlineStr">
        <is>
          <t>ROCKCODE</t>
        </is>
      </c>
      <c r="G1070" t="inlineStr">
        <is>
          <t>MPA</t>
        </is>
      </c>
      <c r="H1070" t="inlineStr">
        <is>
          <t>sin asignar</t>
        </is>
      </c>
      <c r="I1070" t="inlineStr">
        <is>
          <t>MPA</t>
        </is>
      </c>
      <c r="J1070" t="inlineStr">
        <is>
          <t>ROCKCODE agrupado en ROCKCODE_NUMEQ=16; sigla sin leyenda</t>
        </is>
      </c>
      <c r="K1070" t="inlineStr">
        <is>
          <t>Mármol (hipótesis: siglas M*)</t>
        </is>
      </c>
      <c r="L1070" t="inlineStr">
        <is>
          <t>Metamorfico</t>
        </is>
      </c>
      <c r="M1070" t="n">
        <v>328</v>
      </c>
      <c r="N1070" t="inlineStr"/>
      <c r="O1070" t="inlineStr"/>
      <c r="P1070" t="n">
        <v>311.7</v>
      </c>
      <c r="Q1070" t="n">
        <v>2.576</v>
      </c>
    </row>
    <row r="1071">
      <c r="A1071" t="inlineStr">
        <is>
          <t>MR24</t>
        </is>
      </c>
      <c r="B1071" t="inlineStr">
        <is>
          <t>Merged_Table_Assay_lito</t>
        </is>
      </c>
      <c r="C1071" t="inlineStr">
        <is>
          <t>metros de sondaje; pct sobre metros</t>
        </is>
      </c>
      <c r="D1071" t="inlineStr">
        <is>
          <t>periodo_GM_LE2WASTE_Output</t>
        </is>
      </c>
      <c r="E1071" t="inlineStr">
        <is>
          <t>204245</t>
        </is>
      </c>
      <c r="F1071" t="inlineStr">
        <is>
          <t>ROCKCODE</t>
        </is>
      </c>
      <c r="G1071" t="inlineStr">
        <is>
          <t>CA</t>
        </is>
      </c>
      <c r="H1071" t="inlineStr">
        <is>
          <t>sin asignar</t>
        </is>
      </c>
      <c r="I1071" t="inlineStr">
        <is>
          <t>CA</t>
        </is>
      </c>
      <c r="J1071" t="inlineStr">
        <is>
          <t>ROCKCODE agrupado en ROCKCODE_NUMEQ=10; sigla sin leyenda</t>
        </is>
      </c>
      <c r="K1071" t="inlineStr">
        <is>
          <t>Caliza (hipótesis: siglas C*)</t>
        </is>
      </c>
      <c r="L1071" t="inlineStr">
        <is>
          <t>Sedimentario</t>
        </is>
      </c>
      <c r="M1071" t="n">
        <v>108</v>
      </c>
      <c r="N1071" t="inlineStr"/>
      <c r="O1071" t="inlineStr"/>
      <c r="P1071" t="n">
        <v>91.3</v>
      </c>
      <c r="Q1071" t="n">
        <v>0.607</v>
      </c>
    </row>
    <row r="1072">
      <c r="A1072" t="inlineStr">
        <is>
          <t>MR24</t>
        </is>
      </c>
      <c r="B1072" t="inlineStr">
        <is>
          <t>Merged_Table_Assay_lito</t>
        </is>
      </c>
      <c r="C1072" t="inlineStr">
        <is>
          <t>metros de sondaje; pct sobre metros</t>
        </is>
      </c>
      <c r="D1072" t="inlineStr">
        <is>
          <t>periodo_GM_LE2WASTE_Output</t>
        </is>
      </c>
      <c r="E1072" t="inlineStr">
        <is>
          <t>204245</t>
        </is>
      </c>
      <c r="F1072" t="inlineStr">
        <is>
          <t>ROCKCODE</t>
        </is>
      </c>
      <c r="G1072" t="inlineStr">
        <is>
          <t>CBMN</t>
        </is>
      </c>
      <c r="H1072" t="inlineStr">
        <is>
          <t>sin asignar</t>
        </is>
      </c>
      <c r="I1072" t="inlineStr">
        <is>
          <t>CBMN</t>
        </is>
      </c>
      <c r="J1072" t="inlineStr">
        <is>
          <t>ROCKCODE agrupado en ROCKCODE_NUMEQ=10; sigla sin leyenda</t>
        </is>
      </c>
      <c r="K1072" t="inlineStr">
        <is>
          <t>Caliza (hipótesis: siglas C*)</t>
        </is>
      </c>
      <c r="L1072" t="inlineStr">
        <is>
          <t>Sedimentario</t>
        </is>
      </c>
      <c r="M1072" t="n">
        <v>55</v>
      </c>
      <c r="N1072" t="inlineStr"/>
      <c r="O1072" t="inlineStr"/>
      <c r="P1072" t="n">
        <v>37.4</v>
      </c>
      <c r="Q1072" t="n">
        <v>0.249</v>
      </c>
    </row>
    <row r="1073">
      <c r="A1073" t="inlineStr">
        <is>
          <t>MR24</t>
        </is>
      </c>
      <c r="B1073" t="inlineStr">
        <is>
          <t>Merged_Table_Assay_lito</t>
        </is>
      </c>
      <c r="C1073" t="inlineStr">
        <is>
          <t>metros de sondaje; pct sobre metros</t>
        </is>
      </c>
      <c r="D1073" t="inlineStr">
        <is>
          <t>periodo_GM_LE2WASTE_Output</t>
        </is>
      </c>
      <c r="E1073" t="inlineStr">
        <is>
          <t>204245</t>
        </is>
      </c>
      <c r="F1073" t="inlineStr">
        <is>
          <t>ROCKCODE</t>
        </is>
      </c>
      <c r="G1073" t="inlineStr">
        <is>
          <t>CF</t>
        </is>
      </c>
      <c r="H1073" t="inlineStr">
        <is>
          <t>sin asignar</t>
        </is>
      </c>
      <c r="I1073" t="inlineStr">
        <is>
          <t>CF</t>
        </is>
      </c>
      <c r="J1073" t="inlineStr">
        <is>
          <t>ROCKCODE agrupado en ROCKCODE_NUMEQ=10; sigla sin leyenda</t>
        </is>
      </c>
      <c r="K1073" t="inlineStr">
        <is>
          <t>Caliza (hipótesis: siglas C*)</t>
        </is>
      </c>
      <c r="L1073" t="inlineStr">
        <is>
          <t>Sedimentario</t>
        </is>
      </c>
      <c r="M1073" t="n">
        <v>31</v>
      </c>
      <c r="N1073" t="inlineStr"/>
      <c r="O1073" t="inlineStr"/>
      <c r="P1073" t="n">
        <v>23.8</v>
      </c>
      <c r="Q1073" t="n">
        <v>0.158</v>
      </c>
    </row>
    <row r="1074">
      <c r="A1074" t="inlineStr">
        <is>
          <t>MR24</t>
        </is>
      </c>
      <c r="B1074" t="inlineStr">
        <is>
          <t>Merged_Table_Assay_lito</t>
        </is>
      </c>
      <c r="C1074" t="inlineStr">
        <is>
          <t>metros de sondaje; pct sobre metros</t>
        </is>
      </c>
      <c r="D1074" t="inlineStr">
        <is>
          <t>periodo_GM_LE2WASTE_Output</t>
        </is>
      </c>
      <c r="E1074" t="inlineStr">
        <is>
          <t>204245</t>
        </is>
      </c>
      <c r="F1074" t="inlineStr">
        <is>
          <t>ROCKCODE</t>
        </is>
      </c>
      <c r="G1074" t="inlineStr">
        <is>
          <t>CG</t>
        </is>
      </c>
      <c r="H1074" t="inlineStr">
        <is>
          <t>sin asignar</t>
        </is>
      </c>
      <c r="I1074" t="inlineStr">
        <is>
          <t>CG</t>
        </is>
      </c>
      <c r="J1074" t="inlineStr">
        <is>
          <t>ROCKCODE agrupado en ROCKCODE_NUMEQ=10; sigla sin leyenda</t>
        </is>
      </c>
      <c r="K1074" t="inlineStr">
        <is>
          <t>Caliza (hipótesis: siglas C*)</t>
        </is>
      </c>
      <c r="L1074" t="inlineStr">
        <is>
          <t>Sedimentario</t>
        </is>
      </c>
      <c r="M1074" t="n">
        <v>314</v>
      </c>
      <c r="N1074" t="inlineStr"/>
      <c r="O1074" t="inlineStr"/>
      <c r="P1074" t="n">
        <v>313.9</v>
      </c>
      <c r="Q1074" t="n">
        <v>2.087</v>
      </c>
    </row>
    <row r="1075">
      <c r="A1075" t="inlineStr">
        <is>
          <t>MR24</t>
        </is>
      </c>
      <c r="B1075" t="inlineStr">
        <is>
          <t>Merged_Table_Assay_lito</t>
        </is>
      </c>
      <c r="C1075" t="inlineStr">
        <is>
          <t>metros de sondaje; pct sobre metros</t>
        </is>
      </c>
      <c r="D1075" t="inlineStr">
        <is>
          <t>periodo_GM_LE2WASTE_Output</t>
        </is>
      </c>
      <c r="E1075" t="inlineStr">
        <is>
          <t>204245</t>
        </is>
      </c>
      <c r="F1075" t="inlineStr">
        <is>
          <t>ROCKCODE</t>
        </is>
      </c>
      <c r="G1075" t="inlineStr">
        <is>
          <t>CGS</t>
        </is>
      </c>
      <c r="H1075" t="inlineStr">
        <is>
          <t>sin asignar</t>
        </is>
      </c>
      <c r="I1075" t="inlineStr">
        <is>
          <t>CGS</t>
        </is>
      </c>
      <c r="J1075" t="inlineStr">
        <is>
          <t>ROCKCODE agrupado en ROCKCODE_NUMEQ=10; sigla sin leyenda</t>
        </is>
      </c>
      <c r="K1075" t="inlineStr">
        <is>
          <t>Caliza (hipótesis: siglas C*)</t>
        </is>
      </c>
      <c r="L1075" t="inlineStr">
        <is>
          <t>Sedimentario</t>
        </is>
      </c>
      <c r="M1075" t="n">
        <v>478</v>
      </c>
      <c r="N1075" t="inlineStr"/>
      <c r="O1075" t="inlineStr"/>
      <c r="P1075" t="n">
        <v>388.75</v>
      </c>
      <c r="Q1075" t="n">
        <v>2.585</v>
      </c>
    </row>
    <row r="1076">
      <c r="A1076" t="inlineStr">
        <is>
          <t>MR24</t>
        </is>
      </c>
      <c r="B1076" t="inlineStr">
        <is>
          <t>Merged_Table_Assay_lito</t>
        </is>
      </c>
      <c r="C1076" t="inlineStr">
        <is>
          <t>metros de sondaje; pct sobre metros</t>
        </is>
      </c>
      <c r="D1076" t="inlineStr">
        <is>
          <t>periodo_GM_LE2WASTE_Output</t>
        </is>
      </c>
      <c r="E1076" t="inlineStr">
        <is>
          <t>204245</t>
        </is>
      </c>
      <c r="F1076" t="inlineStr">
        <is>
          <t>ROCKCODE</t>
        </is>
      </c>
      <c r="G1076" t="inlineStr">
        <is>
          <t>CN</t>
        </is>
      </c>
      <c r="H1076" t="inlineStr">
        <is>
          <t>sin asignar</t>
        </is>
      </c>
      <c r="I1076" t="inlineStr">
        <is>
          <t>CN</t>
        </is>
      </c>
      <c r="J1076" t="inlineStr">
        <is>
          <t>ROCKCODE agrupado en ROCKCODE_NUMEQ=10; sigla sin leyenda</t>
        </is>
      </c>
      <c r="K1076" t="inlineStr">
        <is>
          <t>Caliza (hipótesis: siglas C*)</t>
        </is>
      </c>
      <c r="L1076" t="inlineStr">
        <is>
          <t>Sedimentario</t>
        </is>
      </c>
      <c r="M1076" t="n">
        <v>55</v>
      </c>
      <c r="N1076" t="inlineStr"/>
      <c r="O1076" t="inlineStr"/>
      <c r="P1076" t="n">
        <v>61</v>
      </c>
      <c r="Q1076" t="n">
        <v>0.406</v>
      </c>
    </row>
    <row r="1077">
      <c r="A1077" t="inlineStr">
        <is>
          <t>MR24</t>
        </is>
      </c>
      <c r="B1077" t="inlineStr">
        <is>
          <t>Merged_Table_Assay_lito</t>
        </is>
      </c>
      <c r="C1077" t="inlineStr">
        <is>
          <t>metros de sondaje; pct sobre metros</t>
        </is>
      </c>
      <c r="D1077" t="inlineStr">
        <is>
          <t>periodo_GM_LE2WASTE_Output</t>
        </is>
      </c>
      <c r="E1077" t="inlineStr">
        <is>
          <t>204245</t>
        </is>
      </c>
      <c r="F1077" t="inlineStr">
        <is>
          <t>ROCKCODE</t>
        </is>
      </c>
      <c r="G1077" t="inlineStr">
        <is>
          <t>HBV</t>
        </is>
      </c>
      <c r="H1077" t="inlineStr">
        <is>
          <t>sin asignar</t>
        </is>
      </c>
      <c r="I1077" t="inlineStr">
        <is>
          <t>HBV</t>
        </is>
      </c>
      <c r="J1077" t="inlineStr">
        <is>
          <t>ROCKCODE agrupado en ROCKCODE_NUMEQ=14; sigla sin leyenda</t>
        </is>
      </c>
      <c r="K1077" t="inlineStr">
        <is>
          <t>Hornfels (hipótesis: siglas H*)</t>
        </is>
      </c>
      <c r="L1077" t="inlineStr">
        <is>
          <t>Metamorfico</t>
        </is>
      </c>
      <c r="M1077" t="n">
        <v>18</v>
      </c>
      <c r="N1077" t="inlineStr"/>
      <c r="O1077" t="inlineStr"/>
      <c r="P1077" t="n">
        <v>16.15</v>
      </c>
      <c r="Q1077" t="n">
        <v>0.107</v>
      </c>
    </row>
    <row r="1078">
      <c r="A1078" t="inlineStr">
        <is>
          <t>MR24</t>
        </is>
      </c>
      <c r="B1078" t="inlineStr">
        <is>
          <t>Merged_Table_Assay_lito</t>
        </is>
      </c>
      <c r="C1078" t="inlineStr">
        <is>
          <t>metros de sondaje; pct sobre metros</t>
        </is>
      </c>
      <c r="D1078" t="inlineStr">
        <is>
          <t>periodo_GM_LE2WASTE_Output</t>
        </is>
      </c>
      <c r="E1078" t="inlineStr">
        <is>
          <t>204245</t>
        </is>
      </c>
      <c r="F1078" t="inlineStr">
        <is>
          <t>ROCKCODE</t>
        </is>
      </c>
      <c r="G1078" t="inlineStr">
        <is>
          <t>HC</t>
        </is>
      </c>
      <c r="H1078" t="inlineStr">
        <is>
          <t>sin asignar</t>
        </is>
      </c>
      <c r="I1078" t="inlineStr">
        <is>
          <t>HC</t>
        </is>
      </c>
      <c r="J1078" t="inlineStr">
        <is>
          <t>ROCKCODE agrupado en ROCKCODE_NUMEQ=13; sigla sin leyenda</t>
        </is>
      </c>
      <c r="K1078" t="inlineStr">
        <is>
          <t>Hornfels (hipótesis: siglas H*)</t>
        </is>
      </c>
      <c r="L1078" t="inlineStr">
        <is>
          <t>Metamorfico</t>
        </is>
      </c>
      <c r="M1078" t="n">
        <v>288</v>
      </c>
      <c r="N1078" t="inlineStr"/>
      <c r="O1078" t="inlineStr"/>
      <c r="P1078" t="n">
        <v>306.75</v>
      </c>
      <c r="Q1078" t="n">
        <v>2.039</v>
      </c>
    </row>
    <row r="1079">
      <c r="A1079" t="inlineStr">
        <is>
          <t>MR24</t>
        </is>
      </c>
      <c r="B1079" t="inlineStr">
        <is>
          <t>Merged_Table_Assay_lito</t>
        </is>
      </c>
      <c r="C1079" t="inlineStr">
        <is>
          <t>metros de sondaje; pct sobre metros</t>
        </is>
      </c>
      <c r="D1079" t="inlineStr">
        <is>
          <t>periodo_GM_LE2WASTE_Output</t>
        </is>
      </c>
      <c r="E1079" t="inlineStr">
        <is>
          <t>204245</t>
        </is>
      </c>
      <c r="F1079" t="inlineStr">
        <is>
          <t>ROCKCODE</t>
        </is>
      </c>
      <c r="G1079" t="inlineStr">
        <is>
          <t>HCB</t>
        </is>
      </c>
      <c r="H1079" t="inlineStr">
        <is>
          <t>sin asignar</t>
        </is>
      </c>
      <c r="I1079" t="inlineStr">
        <is>
          <t>HCB</t>
        </is>
      </c>
      <c r="J1079" t="inlineStr">
        <is>
          <t>ROCKCODE agrupado en ROCKCODE_NUMEQ=14; sigla sin leyenda</t>
        </is>
      </c>
      <c r="K1079" t="inlineStr">
        <is>
          <t>Hornfels (hipótesis: siglas H*)</t>
        </is>
      </c>
      <c r="L1079" t="inlineStr">
        <is>
          <t>Metamorfico</t>
        </is>
      </c>
      <c r="M1079" t="n">
        <v>2</v>
      </c>
      <c r="N1079" t="inlineStr"/>
      <c r="O1079" t="inlineStr"/>
      <c r="P1079" t="n">
        <v>4.05</v>
      </c>
      <c r="Q1079" t="n">
        <v>0.027</v>
      </c>
    </row>
    <row r="1080">
      <c r="A1080" t="inlineStr">
        <is>
          <t>MR24</t>
        </is>
      </c>
      <c r="B1080" t="inlineStr">
        <is>
          <t>Merged_Table_Assay_lito</t>
        </is>
      </c>
      <c r="C1080" t="inlineStr">
        <is>
          <t>metros de sondaje; pct sobre metros</t>
        </is>
      </c>
      <c r="D1080" t="inlineStr">
        <is>
          <t>periodo_GM_LE2WASTE_Output</t>
        </is>
      </c>
      <c r="E1080" t="inlineStr">
        <is>
          <t>204245</t>
        </is>
      </c>
      <c r="F1080" t="inlineStr">
        <is>
          <t>ROCKCODE</t>
        </is>
      </c>
      <c r="G1080" t="inlineStr">
        <is>
          <t>HDP</t>
        </is>
      </c>
      <c r="H1080" t="inlineStr">
        <is>
          <t>sin asignar</t>
        </is>
      </c>
      <c r="I1080" t="inlineStr">
        <is>
          <t>HDP</t>
        </is>
      </c>
      <c r="J1080" t="inlineStr">
        <is>
          <t>ROCKCODE agrupado en ROCKCODE_NUMEQ=14; sigla sin leyenda</t>
        </is>
      </c>
      <c r="K1080" t="inlineStr">
        <is>
          <t>Hornfels (hipótesis: siglas H*)</t>
        </is>
      </c>
      <c r="L1080" t="inlineStr">
        <is>
          <t>Metamorfico</t>
        </is>
      </c>
      <c r="M1080" t="n">
        <v>21</v>
      </c>
      <c r="N1080" t="inlineStr"/>
      <c r="O1080" t="inlineStr"/>
      <c r="P1080" t="n">
        <v>17.65</v>
      </c>
      <c r="Q1080" t="n">
        <v>0.117</v>
      </c>
    </row>
    <row r="1081">
      <c r="A1081" t="inlineStr">
        <is>
          <t>MR24</t>
        </is>
      </c>
      <c r="B1081" t="inlineStr">
        <is>
          <t>Merged_Table_Assay_lito</t>
        </is>
      </c>
      <c r="C1081" t="inlineStr">
        <is>
          <t>metros de sondaje; pct sobre metros</t>
        </is>
      </c>
      <c r="D1081" t="inlineStr">
        <is>
          <t>periodo_GM_LE2WASTE_Output</t>
        </is>
      </c>
      <c r="E1081" t="inlineStr">
        <is>
          <t>204245</t>
        </is>
      </c>
      <c r="F1081" t="inlineStr">
        <is>
          <t>ROCKCODE</t>
        </is>
      </c>
      <c r="G1081" t="inlineStr">
        <is>
          <t>HG</t>
        </is>
      </c>
      <c r="H1081" t="inlineStr">
        <is>
          <t>sin asignar</t>
        </is>
      </c>
      <c r="I1081" t="inlineStr">
        <is>
          <t>HG</t>
        </is>
      </c>
      <c r="J1081" t="inlineStr">
        <is>
          <t>ROCKCODE agrupado en ROCKCODE_NUMEQ=13; sigla sin leyenda</t>
        </is>
      </c>
      <c r="K1081" t="inlineStr">
        <is>
          <t>Hornfels (hipótesis: siglas H*)</t>
        </is>
      </c>
      <c r="L1081" t="inlineStr">
        <is>
          <t>Metamorfico</t>
        </is>
      </c>
      <c r="M1081" t="n">
        <v>277</v>
      </c>
      <c r="N1081" t="inlineStr"/>
      <c r="O1081" t="inlineStr"/>
      <c r="P1081" t="n">
        <v>277.5</v>
      </c>
      <c r="Q1081" t="n">
        <v>1.845</v>
      </c>
    </row>
    <row r="1082">
      <c r="A1082" t="inlineStr">
        <is>
          <t>MR24</t>
        </is>
      </c>
      <c r="B1082" t="inlineStr">
        <is>
          <t>Merged_Table_Assay_lito</t>
        </is>
      </c>
      <c r="C1082" t="inlineStr">
        <is>
          <t>metros de sondaje; pct sobre metros</t>
        </is>
      </c>
      <c r="D1082" t="inlineStr">
        <is>
          <t>periodo_GM_LE2WASTE_Output</t>
        </is>
      </c>
      <c r="E1082" t="inlineStr">
        <is>
          <t>204245</t>
        </is>
      </c>
      <c r="F1082" t="inlineStr">
        <is>
          <t>ROCKCODE</t>
        </is>
      </c>
      <c r="G1082" t="inlineStr">
        <is>
          <t>HGS</t>
        </is>
      </c>
      <c r="H1082" t="inlineStr">
        <is>
          <t>sin asignar</t>
        </is>
      </c>
      <c r="I1082" t="inlineStr">
        <is>
          <t>HGS</t>
        </is>
      </c>
      <c r="J1082" t="inlineStr">
        <is>
          <t>ROCKCODE agrupado en ROCKCODE_NUMEQ=13; sigla sin leyenda</t>
        </is>
      </c>
      <c r="K1082" t="inlineStr">
        <is>
          <t>Hornfels (hipótesis: siglas H*)</t>
        </is>
      </c>
      <c r="L1082" t="inlineStr">
        <is>
          <t>Metamorfico</t>
        </is>
      </c>
      <c r="M1082" t="n">
        <v>196</v>
      </c>
      <c r="N1082" t="inlineStr"/>
      <c r="O1082" t="inlineStr"/>
      <c r="P1082" t="n">
        <v>184.35</v>
      </c>
      <c r="Q1082" t="n">
        <v>1.226</v>
      </c>
    </row>
    <row r="1083">
      <c r="A1083" t="inlineStr">
        <is>
          <t>MR24</t>
        </is>
      </c>
      <c r="B1083" t="inlineStr">
        <is>
          <t>Merged_Table_Assay_lito</t>
        </is>
      </c>
      <c r="C1083" t="inlineStr">
        <is>
          <t>metros de sondaje; pct sobre metros</t>
        </is>
      </c>
      <c r="D1083" t="inlineStr">
        <is>
          <t>periodo_GM_LE2WASTE_Output</t>
        </is>
      </c>
      <c r="E1083" t="inlineStr">
        <is>
          <t>204245</t>
        </is>
      </c>
      <c r="F1083" t="inlineStr">
        <is>
          <t>ROCKCODE</t>
        </is>
      </c>
      <c r="G1083" t="inlineStr">
        <is>
          <t>HGV</t>
        </is>
      </c>
      <c r="H1083" t="inlineStr">
        <is>
          <t>sin asignar</t>
        </is>
      </c>
      <c r="I1083" t="inlineStr">
        <is>
          <t>HGV</t>
        </is>
      </c>
      <c r="J1083" t="inlineStr">
        <is>
          <t>ROCKCODE agrupado en ROCKCODE_NUMEQ=14; sigla sin leyenda</t>
        </is>
      </c>
      <c r="K1083" t="inlineStr">
        <is>
          <t>Hornfels (hipótesis: siglas H*)</t>
        </is>
      </c>
      <c r="L1083" t="inlineStr">
        <is>
          <t>Metamorfico</t>
        </is>
      </c>
      <c r="M1083" t="n">
        <v>215</v>
      </c>
      <c r="N1083" t="inlineStr"/>
      <c r="O1083" t="inlineStr"/>
      <c r="P1083" t="n">
        <v>160.9</v>
      </c>
      <c r="Q1083" t="n">
        <v>1.07</v>
      </c>
    </row>
    <row r="1084">
      <c r="A1084" t="inlineStr">
        <is>
          <t>MR24</t>
        </is>
      </c>
      <c r="B1084" t="inlineStr">
        <is>
          <t>Merged_Table_Assay_lito</t>
        </is>
      </c>
      <c r="C1084" t="inlineStr">
        <is>
          <t>metros de sondaje; pct sobre metros</t>
        </is>
      </c>
      <c r="D1084" t="inlineStr">
        <is>
          <t>periodo_GM_LE2WASTE_Output</t>
        </is>
      </c>
      <c r="E1084" t="inlineStr">
        <is>
          <t>204245</t>
        </is>
      </c>
      <c r="F1084" t="inlineStr">
        <is>
          <t>ROCKCODE</t>
        </is>
      </c>
      <c r="G1084" t="inlineStr">
        <is>
          <t>IPPA</t>
        </is>
      </c>
      <c r="H1084" t="inlineStr">
        <is>
          <t>Intrusivo</t>
        </is>
      </c>
      <c r="I1084" t="inlineStr">
        <is>
          <t>IPPA</t>
        </is>
      </c>
      <c r="J1084" t="inlineStr">
        <is>
          <t>ROCKCODE agrupado en ROCKCODE_NUMEQ=1 (Intrusivo_1)</t>
        </is>
      </c>
      <c r="K1084" t="inlineStr">
        <is>
          <t>Intrusivo</t>
        </is>
      </c>
      <c r="L1084" t="inlineStr">
        <is>
          <t>Intrusivo</t>
        </is>
      </c>
      <c r="M1084" t="n">
        <v>2670</v>
      </c>
      <c r="N1084" t="inlineStr"/>
      <c r="O1084" t="inlineStr"/>
      <c r="P1084" t="n">
        <v>2550.1</v>
      </c>
      <c r="Q1084" t="n">
        <v>16.954</v>
      </c>
    </row>
    <row r="1085">
      <c r="A1085" t="inlineStr">
        <is>
          <t>MR24</t>
        </is>
      </c>
      <c r="B1085" t="inlineStr">
        <is>
          <t>Merged_Table_Assay_lito</t>
        </is>
      </c>
      <c r="C1085" t="inlineStr">
        <is>
          <t>metros de sondaje; pct sobre metros</t>
        </is>
      </c>
      <c r="D1085" t="inlineStr">
        <is>
          <t>periodo_GM_LE2WASTE_Output</t>
        </is>
      </c>
      <c r="E1085" t="inlineStr">
        <is>
          <t>204245</t>
        </is>
      </c>
      <c r="F1085" t="inlineStr">
        <is>
          <t>ROCKCODE</t>
        </is>
      </c>
      <c r="G1085" t="inlineStr">
        <is>
          <t>IPPAMO</t>
        </is>
      </c>
      <c r="H1085" t="inlineStr">
        <is>
          <t>Intrusivo</t>
        </is>
      </c>
      <c r="I1085" t="inlineStr">
        <is>
          <t>IPPAMO</t>
        </is>
      </c>
      <c r="J1085" t="inlineStr">
        <is>
          <t>ROCKCODE agrupado en ROCKCODE_NUMEQ=1 (Intrusivo_1)</t>
        </is>
      </c>
      <c r="K1085" t="inlineStr">
        <is>
          <t>Intrusivo</t>
        </is>
      </c>
      <c r="L1085" t="inlineStr">
        <is>
          <t>Intrusivo</t>
        </is>
      </c>
      <c r="M1085" t="n">
        <v>88</v>
      </c>
      <c r="N1085" t="inlineStr"/>
      <c r="O1085" t="inlineStr"/>
      <c r="P1085" t="n">
        <v>81.5</v>
      </c>
      <c r="Q1085" t="n">
        <v>0.542</v>
      </c>
    </row>
    <row r="1086">
      <c r="A1086" t="inlineStr">
        <is>
          <t>MR24</t>
        </is>
      </c>
      <c r="B1086" t="inlineStr">
        <is>
          <t>Merged_Table_Assay_lito</t>
        </is>
      </c>
      <c r="C1086" t="inlineStr">
        <is>
          <t>metros de sondaje; pct sobre metros</t>
        </is>
      </c>
      <c r="D1086" t="inlineStr">
        <is>
          <t>periodo_GM_LE2WASTE_Output</t>
        </is>
      </c>
      <c r="E1086" t="inlineStr">
        <is>
          <t>204245</t>
        </is>
      </c>
      <c r="F1086" t="inlineStr">
        <is>
          <t>ROCKCODE</t>
        </is>
      </c>
      <c r="G1086" t="inlineStr">
        <is>
          <t>IPPAO</t>
        </is>
      </c>
      <c r="H1086" t="inlineStr">
        <is>
          <t>Intrusivo</t>
        </is>
      </c>
      <c r="I1086" t="inlineStr">
        <is>
          <t>IPPAO</t>
        </is>
      </c>
      <c r="J1086" t="inlineStr">
        <is>
          <t>ROCKCODE agrupado en ROCKCODE_NUMEQ=1 (Intrusivo_1)</t>
        </is>
      </c>
      <c r="K1086" t="inlineStr">
        <is>
          <t>Intrusivo</t>
        </is>
      </c>
      <c r="L1086" t="inlineStr">
        <is>
          <t>Intrusivo</t>
        </is>
      </c>
      <c r="M1086" t="n">
        <v>721</v>
      </c>
      <c r="N1086" t="inlineStr"/>
      <c r="O1086" t="inlineStr"/>
      <c r="P1086" t="n">
        <v>697.65</v>
      </c>
      <c r="Q1086" t="n">
        <v>4.638</v>
      </c>
    </row>
    <row r="1087">
      <c r="A1087" t="inlineStr">
        <is>
          <t>MR24</t>
        </is>
      </c>
      <c r="B1087" t="inlineStr">
        <is>
          <t>Merged_Table_Assay_lito</t>
        </is>
      </c>
      <c r="C1087" t="inlineStr">
        <is>
          <t>metros de sondaje; pct sobre metros</t>
        </is>
      </c>
      <c r="D1087" t="inlineStr">
        <is>
          <t>periodo_GM_LE2WASTE_Output</t>
        </is>
      </c>
      <c r="E1087" t="inlineStr">
        <is>
          <t>204245</t>
        </is>
      </c>
      <c r="F1087" t="inlineStr">
        <is>
          <t>ROCKCODE</t>
        </is>
      </c>
      <c r="G1087" t="inlineStr">
        <is>
          <t>IPPEO</t>
        </is>
      </c>
      <c r="H1087" t="inlineStr">
        <is>
          <t>Intrusivo</t>
        </is>
      </c>
      <c r="I1087" t="inlineStr">
        <is>
          <t>IPPEO</t>
        </is>
      </c>
      <c r="J1087" t="inlineStr">
        <is>
          <t>ROCKCODE agrupado en ROCKCODE_NUMEQ=1 (Intrusivo_1)</t>
        </is>
      </c>
      <c r="K1087" t="inlineStr">
        <is>
          <t>Intrusivo</t>
        </is>
      </c>
      <c r="L1087" t="inlineStr">
        <is>
          <t>Intrusivo</t>
        </is>
      </c>
      <c r="M1087" t="n">
        <v>16</v>
      </c>
      <c r="N1087" t="inlineStr"/>
      <c r="O1087" t="inlineStr"/>
      <c r="P1087" t="n">
        <v>12.05</v>
      </c>
      <c r="Q1087" t="n">
        <v>0.08</v>
      </c>
    </row>
    <row r="1088">
      <c r="A1088" t="inlineStr">
        <is>
          <t>MR24</t>
        </is>
      </c>
      <c r="B1088" t="inlineStr">
        <is>
          <t>Merged_Table_Assay_lito</t>
        </is>
      </c>
      <c r="C1088" t="inlineStr">
        <is>
          <t>metros de sondaje; pct sobre metros</t>
        </is>
      </c>
      <c r="D1088" t="inlineStr">
        <is>
          <t>periodo_GM_LE2WASTE_Output</t>
        </is>
      </c>
      <c r="E1088" t="inlineStr">
        <is>
          <t>204245</t>
        </is>
      </c>
      <c r="F1088" t="inlineStr">
        <is>
          <t>ROCKCODE</t>
        </is>
      </c>
      <c r="G1088" t="inlineStr">
        <is>
          <t>MC</t>
        </is>
      </c>
      <c r="H1088" t="inlineStr">
        <is>
          <t>sin asignar</t>
        </is>
      </c>
      <c r="I1088" t="inlineStr">
        <is>
          <t>MC</t>
        </is>
      </c>
      <c r="J1088" t="inlineStr">
        <is>
          <t>ROCKCODE agrupado en ROCKCODE_NUMEQ=16; sigla sin leyenda</t>
        </is>
      </c>
      <c r="K1088" t="inlineStr">
        <is>
          <t>Mármol (hipótesis: siglas M*)</t>
        </is>
      </c>
      <c r="L1088" t="inlineStr">
        <is>
          <t>Metamorfico</t>
        </is>
      </c>
      <c r="M1088" t="n">
        <v>2914</v>
      </c>
      <c r="N1088" t="inlineStr"/>
      <c r="O1088" t="inlineStr"/>
      <c r="P1088" t="n">
        <v>3332.6</v>
      </c>
      <c r="Q1088" t="n">
        <v>22.156</v>
      </c>
    </row>
    <row r="1089">
      <c r="A1089" t="inlineStr">
        <is>
          <t>MR24</t>
        </is>
      </c>
      <c r="B1089" t="inlineStr">
        <is>
          <t>Merged_Table_Assay_lito</t>
        </is>
      </c>
      <c r="C1089" t="inlineStr">
        <is>
          <t>metros de sondaje; pct sobre metros</t>
        </is>
      </c>
      <c r="D1089" t="inlineStr">
        <is>
          <t>periodo_GM_LE2WASTE_Output</t>
        </is>
      </c>
      <c r="E1089" t="inlineStr">
        <is>
          <t>204245</t>
        </is>
      </c>
      <c r="F1089" t="inlineStr">
        <is>
          <t>ROCKCODE</t>
        </is>
      </c>
      <c r="G1089" t="inlineStr">
        <is>
          <t>MCB</t>
        </is>
      </c>
      <c r="H1089" t="inlineStr">
        <is>
          <t>sin asignar</t>
        </is>
      </c>
      <c r="I1089" t="inlineStr">
        <is>
          <t>MCB</t>
        </is>
      </c>
      <c r="J1089" t="inlineStr">
        <is>
          <t>ROCKCODE agrupado en ROCKCODE_NUMEQ=16; sigla sin leyenda</t>
        </is>
      </c>
      <c r="K1089" t="inlineStr">
        <is>
          <t>Mármol (hipótesis: siglas M*)</t>
        </is>
      </c>
      <c r="L1089" t="inlineStr">
        <is>
          <t>Metamorfico</t>
        </is>
      </c>
      <c r="M1089" t="n">
        <v>766</v>
      </c>
      <c r="N1089" t="inlineStr"/>
      <c r="O1089" t="inlineStr"/>
      <c r="P1089" t="n">
        <v>901.85</v>
      </c>
      <c r="Q1089" t="n">
        <v>5.996</v>
      </c>
    </row>
    <row r="1090">
      <c r="A1090" t="inlineStr">
        <is>
          <t>MR24</t>
        </is>
      </c>
      <c r="B1090" t="inlineStr">
        <is>
          <t>Merged_Table_Assay_lito</t>
        </is>
      </c>
      <c r="C1090" t="inlineStr">
        <is>
          <t>metros de sondaje; pct sobre metros</t>
        </is>
      </c>
      <c r="D1090" t="inlineStr">
        <is>
          <t>periodo_GM_LE2WASTE_Output</t>
        </is>
      </c>
      <c r="E1090" t="inlineStr">
        <is>
          <t>204245</t>
        </is>
      </c>
      <c r="F1090" t="inlineStr">
        <is>
          <t>ROCKCODE</t>
        </is>
      </c>
      <c r="G1090" t="inlineStr">
        <is>
          <t>MCGB</t>
        </is>
      </c>
      <c r="H1090" t="inlineStr">
        <is>
          <t>sin asignar</t>
        </is>
      </c>
      <c r="I1090" t="inlineStr">
        <is>
          <t>MCGB</t>
        </is>
      </c>
      <c r="J1090" t="inlineStr">
        <is>
          <t>ROCKCODE agrupado en ROCKCODE_NUMEQ=16; sigla sin leyenda</t>
        </is>
      </c>
      <c r="K1090" t="inlineStr">
        <is>
          <t>Mármol (hipótesis: siglas M*)</t>
        </is>
      </c>
      <c r="L1090" t="inlineStr">
        <is>
          <t>Metamorfico</t>
        </is>
      </c>
      <c r="M1090" t="n">
        <v>728</v>
      </c>
      <c r="N1090" t="inlineStr"/>
      <c r="O1090" t="inlineStr"/>
      <c r="P1090" t="n">
        <v>650.1</v>
      </c>
      <c r="Q1090" t="n">
        <v>4.322</v>
      </c>
    </row>
    <row r="1091">
      <c r="A1091" t="inlineStr">
        <is>
          <t>MR24</t>
        </is>
      </c>
      <c r="B1091" t="inlineStr">
        <is>
          <t>Merged_Table_Assay_lito</t>
        </is>
      </c>
      <c r="C1091" t="inlineStr">
        <is>
          <t>metros de sondaje; pct sobre metros</t>
        </is>
      </c>
      <c r="D1091" t="inlineStr">
        <is>
          <t>periodo_GM_LE2WASTE_Output</t>
        </is>
      </c>
      <c r="E1091" t="inlineStr">
        <is>
          <t>204245</t>
        </is>
      </c>
      <c r="F1091" t="inlineStr">
        <is>
          <t>ROCKCODE</t>
        </is>
      </c>
      <c r="G1091" t="inlineStr">
        <is>
          <t>MDL</t>
        </is>
      </c>
      <c r="H1091" t="inlineStr">
        <is>
          <t>sin asignar</t>
        </is>
      </c>
      <c r="I1091" t="inlineStr">
        <is>
          <t>MDL</t>
        </is>
      </c>
      <c r="J1091" t="inlineStr">
        <is>
          <t>ROCKCODE agrupado en ROCKCODE_NUMEQ=16; sigla sin leyenda</t>
        </is>
      </c>
      <c r="K1091" t="inlineStr">
        <is>
          <t>Mármol (hipótesis: siglas M*)</t>
        </is>
      </c>
      <c r="L1091" t="inlineStr">
        <is>
          <t>Metamorfico</t>
        </is>
      </c>
      <c r="M1091" t="n">
        <v>38</v>
      </c>
      <c r="N1091" t="inlineStr"/>
      <c r="O1091" t="inlineStr"/>
      <c r="P1091" t="n">
        <v>89.15000000000001</v>
      </c>
      <c r="Q1091" t="n">
        <v>0.593</v>
      </c>
    </row>
    <row r="1092">
      <c r="A1092" t="inlineStr">
        <is>
          <t>MR24</t>
        </is>
      </c>
      <c r="B1092" t="inlineStr">
        <is>
          <t>Merged_Table_Assay_lito</t>
        </is>
      </c>
      <c r="C1092" t="inlineStr">
        <is>
          <t>metros de sondaje; pct sobre metros</t>
        </is>
      </c>
      <c r="D1092" t="inlineStr">
        <is>
          <t>periodo_GM_LE2WASTE_Output</t>
        </is>
      </c>
      <c r="E1092" t="inlineStr">
        <is>
          <t>204245</t>
        </is>
      </c>
      <c r="F1092" t="inlineStr">
        <is>
          <t>ROCKCODE</t>
        </is>
      </c>
      <c r="G1092" t="inlineStr">
        <is>
          <t>MDP</t>
        </is>
      </c>
      <c r="H1092" t="inlineStr">
        <is>
          <t>sin asignar</t>
        </is>
      </c>
      <c r="I1092" t="inlineStr">
        <is>
          <t>MDP</t>
        </is>
      </c>
      <c r="J1092" t="inlineStr">
        <is>
          <t>ROCKCODE agrupado en ROCKCODE_NUMEQ=19; sigla sin leyenda</t>
        </is>
      </c>
      <c r="K1092" t="inlineStr">
        <is>
          <t>Mármol (hipótesis: sigla MDP)</t>
        </is>
      </c>
      <c r="L1092" t="inlineStr">
        <is>
          <t>Metamorfico</t>
        </is>
      </c>
      <c r="M1092" t="n">
        <v>909</v>
      </c>
      <c r="N1092" t="inlineStr"/>
      <c r="O1092" t="inlineStr"/>
      <c r="P1092" t="n">
        <v>1016.35</v>
      </c>
      <c r="Q1092" t="n">
        <v>6.757</v>
      </c>
    </row>
    <row r="1093">
      <c r="A1093" t="inlineStr">
        <is>
          <t>MR24</t>
        </is>
      </c>
      <c r="B1093" t="inlineStr">
        <is>
          <t>Merged_Table_Assay_lito</t>
        </is>
      </c>
      <c r="C1093" t="inlineStr">
        <is>
          <t>metros de sondaje; pct sobre metros</t>
        </is>
      </c>
      <c r="D1093" t="inlineStr">
        <is>
          <t>periodo_GM_LE2WASTE_Output</t>
        </is>
      </c>
      <c r="E1093" t="inlineStr">
        <is>
          <t>204245</t>
        </is>
      </c>
      <c r="F1093" t="inlineStr">
        <is>
          <t>ROCKCODE</t>
        </is>
      </c>
      <c r="G1093" t="inlineStr">
        <is>
          <t>MG</t>
        </is>
      </c>
      <c r="H1093" t="inlineStr">
        <is>
          <t>sin asignar</t>
        </is>
      </c>
      <c r="I1093" t="inlineStr">
        <is>
          <t>MG</t>
        </is>
      </c>
      <c r="J1093" t="inlineStr">
        <is>
          <t>ROCKCODE agrupado en ROCKCODE_NUMEQ=16; sigla sin leyenda</t>
        </is>
      </c>
      <c r="K1093" t="inlineStr">
        <is>
          <t>Mármol (hipótesis: siglas M*)</t>
        </is>
      </c>
      <c r="L1093" t="inlineStr">
        <is>
          <t>Metamorfico</t>
        </is>
      </c>
      <c r="M1093" t="n">
        <v>1304</v>
      </c>
      <c r="N1093" t="inlineStr"/>
      <c r="O1093" t="inlineStr"/>
      <c r="P1093" t="n">
        <v>1283.2</v>
      </c>
      <c r="Q1093" t="n">
        <v>8.531000000000001</v>
      </c>
    </row>
    <row r="1094">
      <c r="A1094" t="inlineStr">
        <is>
          <t>MR24</t>
        </is>
      </c>
      <c r="B1094" t="inlineStr">
        <is>
          <t>Merged_Table_Assay_lito</t>
        </is>
      </c>
      <c r="C1094" t="inlineStr">
        <is>
          <t>metros de sondaje; pct sobre metros</t>
        </is>
      </c>
      <c r="D1094" t="inlineStr">
        <is>
          <t>periodo_GM_LE2WASTE_Output</t>
        </is>
      </c>
      <c r="E1094" t="inlineStr">
        <is>
          <t>204245</t>
        </is>
      </c>
      <c r="F1094" t="inlineStr">
        <is>
          <t>ROCKCODE</t>
        </is>
      </c>
      <c r="G1094" t="inlineStr">
        <is>
          <t>MGS</t>
        </is>
      </c>
      <c r="H1094" t="inlineStr">
        <is>
          <t>sin asignar</t>
        </is>
      </c>
      <c r="I1094" t="inlineStr">
        <is>
          <t>MGS</t>
        </is>
      </c>
      <c r="J1094" t="inlineStr">
        <is>
          <t>ROCKCODE agrupado en ROCKCODE_NUMEQ=16; sigla sin leyenda</t>
        </is>
      </c>
      <c r="K1094" t="inlineStr">
        <is>
          <t>Mármol (hipótesis: siglas M*)</t>
        </is>
      </c>
      <c r="L1094" t="inlineStr">
        <is>
          <t>Metamorfico</t>
        </is>
      </c>
      <c r="M1094" t="n">
        <v>674</v>
      </c>
      <c r="N1094" t="inlineStr"/>
      <c r="O1094" t="inlineStr"/>
      <c r="P1094" t="n">
        <v>605.9</v>
      </c>
      <c r="Q1094" t="n">
        <v>4.028</v>
      </c>
    </row>
    <row r="1095">
      <c r="A1095" t="inlineStr">
        <is>
          <t>MR24</t>
        </is>
      </c>
      <c r="B1095" t="inlineStr">
        <is>
          <t>Merged_Table_Assay_lito</t>
        </is>
      </c>
      <c r="C1095" t="inlineStr">
        <is>
          <t>metros de sondaje; pct sobre metros</t>
        </is>
      </c>
      <c r="D1095" t="inlineStr">
        <is>
          <t>periodo_GM_LE2WASTE_Output</t>
        </is>
      </c>
      <c r="E1095" t="inlineStr">
        <is>
          <t>204245</t>
        </is>
      </c>
      <c r="F1095" t="inlineStr">
        <is>
          <t>ROCKCODE</t>
        </is>
      </c>
      <c r="G1095" t="inlineStr">
        <is>
          <t>MPA</t>
        </is>
      </c>
      <c r="H1095" t="inlineStr">
        <is>
          <t>sin asignar</t>
        </is>
      </c>
      <c r="I1095" t="inlineStr">
        <is>
          <t>MPA</t>
        </is>
      </c>
      <c r="J1095" t="inlineStr">
        <is>
          <t>ROCKCODE agrupado en ROCKCODE_NUMEQ=16; sigla sin leyenda</t>
        </is>
      </c>
      <c r="K1095" t="inlineStr">
        <is>
          <t>Mármol (hipótesis: siglas M*)</t>
        </is>
      </c>
      <c r="L1095" t="inlineStr">
        <is>
          <t>Metamorfico</t>
        </is>
      </c>
      <c r="M1095" t="n">
        <v>1746</v>
      </c>
      <c r="N1095" t="inlineStr"/>
      <c r="O1095" t="inlineStr"/>
      <c r="P1095" t="n">
        <v>1937.4</v>
      </c>
      <c r="Q1095" t="n">
        <v>12.88</v>
      </c>
    </row>
    <row r="1096">
      <c r="A1096" t="inlineStr">
        <is>
          <t>MR24</t>
        </is>
      </c>
      <c r="B1096" t="inlineStr">
        <is>
          <t>Merged_Table_Assay_lito</t>
        </is>
      </c>
      <c r="C1096" t="inlineStr">
        <is>
          <t>metros de sondaje; pct sobre metros</t>
        </is>
      </c>
      <c r="D1096" t="inlineStr">
        <is>
          <t>periodo_GM_LE2WASTE_Output</t>
        </is>
      </c>
      <c r="E1096" t="inlineStr">
        <is>
          <t>204649</t>
        </is>
      </c>
      <c r="F1096" t="inlineStr">
        <is>
          <t>ROCKCODE</t>
        </is>
      </c>
      <c r="G1096" t="inlineStr">
        <is>
          <t>IPPA</t>
        </is>
      </c>
      <c r="H1096" t="inlineStr">
        <is>
          <t>Intrusivo</t>
        </is>
      </c>
      <c r="I1096" t="inlineStr">
        <is>
          <t>IPPA</t>
        </is>
      </c>
      <c r="J1096" t="inlineStr">
        <is>
          <t>ROCKCODE agrupado en ROCKCODE_NUMEQ=1 (Intrusivo_1)</t>
        </is>
      </c>
      <c r="K1096" t="inlineStr">
        <is>
          <t>Intrusivo</t>
        </is>
      </c>
      <c r="L1096" t="inlineStr">
        <is>
          <t>Intrusivo</t>
        </is>
      </c>
      <c r="M1096" t="n">
        <v>2085</v>
      </c>
      <c r="N1096" t="inlineStr"/>
      <c r="O1096" t="inlineStr"/>
      <c r="P1096" t="n">
        <v>2319.8</v>
      </c>
      <c r="Q1096" t="n">
        <v>39.693</v>
      </c>
    </row>
    <row r="1097">
      <c r="A1097" t="inlineStr">
        <is>
          <t>MR24</t>
        </is>
      </c>
      <c r="B1097" t="inlineStr">
        <is>
          <t>Merged_Table_Assay_lito</t>
        </is>
      </c>
      <c r="C1097" t="inlineStr">
        <is>
          <t>metros de sondaje; pct sobre metros</t>
        </is>
      </c>
      <c r="D1097" t="inlineStr">
        <is>
          <t>periodo_GM_LE2WASTE_Output</t>
        </is>
      </c>
      <c r="E1097" t="inlineStr">
        <is>
          <t>204649</t>
        </is>
      </c>
      <c r="F1097" t="inlineStr">
        <is>
          <t>ROCKCODE</t>
        </is>
      </c>
      <c r="G1097" t="inlineStr">
        <is>
          <t>IPPAMO</t>
        </is>
      </c>
      <c r="H1097" t="inlineStr">
        <is>
          <t>Intrusivo</t>
        </is>
      </c>
      <c r="I1097" t="inlineStr">
        <is>
          <t>IPPAMO</t>
        </is>
      </c>
      <c r="J1097" t="inlineStr">
        <is>
          <t>ROCKCODE agrupado en ROCKCODE_NUMEQ=1 (Intrusivo_1)</t>
        </is>
      </c>
      <c r="K1097" t="inlineStr">
        <is>
          <t>Intrusivo</t>
        </is>
      </c>
      <c r="L1097" t="inlineStr">
        <is>
          <t>Intrusivo</t>
        </is>
      </c>
      <c r="M1097" t="n">
        <v>495</v>
      </c>
      <c r="N1097" t="inlineStr"/>
      <c r="O1097" t="inlineStr"/>
      <c r="P1097" t="n">
        <v>446.15</v>
      </c>
      <c r="Q1097" t="n">
        <v>7.634</v>
      </c>
    </row>
    <row r="1098">
      <c r="A1098" t="inlineStr">
        <is>
          <t>MR24</t>
        </is>
      </c>
      <c r="B1098" t="inlineStr">
        <is>
          <t>Merged_Table_Assay_lito</t>
        </is>
      </c>
      <c r="C1098" t="inlineStr">
        <is>
          <t>metros de sondaje; pct sobre metros</t>
        </is>
      </c>
      <c r="D1098" t="inlineStr">
        <is>
          <t>periodo_GM_LE2WASTE_Output</t>
        </is>
      </c>
      <c r="E1098" t="inlineStr">
        <is>
          <t>204649</t>
        </is>
      </c>
      <c r="F1098" t="inlineStr">
        <is>
          <t>ROCKCODE</t>
        </is>
      </c>
      <c r="G1098" t="inlineStr">
        <is>
          <t>IPPAO</t>
        </is>
      </c>
      <c r="H1098" t="inlineStr">
        <is>
          <t>Intrusivo</t>
        </is>
      </c>
      <c r="I1098" t="inlineStr">
        <is>
          <t>IPPAO</t>
        </is>
      </c>
      <c r="J1098" t="inlineStr">
        <is>
          <t>ROCKCODE agrupado en ROCKCODE_NUMEQ=1 (Intrusivo_1)</t>
        </is>
      </c>
      <c r="K1098" t="inlineStr">
        <is>
          <t>Intrusivo</t>
        </is>
      </c>
      <c r="L1098" t="inlineStr">
        <is>
          <t>Intrusivo</t>
        </is>
      </c>
      <c r="M1098" t="n">
        <v>1127</v>
      </c>
      <c r="N1098" t="inlineStr"/>
      <c r="O1098" t="inlineStr"/>
      <c r="P1098" t="n">
        <v>1028.05</v>
      </c>
      <c r="Q1098" t="n">
        <v>17.591</v>
      </c>
    </row>
    <row r="1099">
      <c r="A1099" t="inlineStr">
        <is>
          <t>MR24</t>
        </is>
      </c>
      <c r="B1099" t="inlineStr">
        <is>
          <t>Merged_Table_Assay_lito</t>
        </is>
      </c>
      <c r="C1099" t="inlineStr">
        <is>
          <t>metros de sondaje; pct sobre metros</t>
        </is>
      </c>
      <c r="D1099" t="inlineStr">
        <is>
          <t>periodo_GM_LE2WASTE_Output</t>
        </is>
      </c>
      <c r="E1099" t="inlineStr">
        <is>
          <t>204649</t>
        </is>
      </c>
      <c r="F1099" t="inlineStr">
        <is>
          <t>ROCKCODE</t>
        </is>
      </c>
      <c r="G1099" t="inlineStr">
        <is>
          <t>IPPEO</t>
        </is>
      </c>
      <c r="H1099" t="inlineStr">
        <is>
          <t>Intrusivo</t>
        </is>
      </c>
      <c r="I1099" t="inlineStr">
        <is>
          <t>IPPEO</t>
        </is>
      </c>
      <c r="J1099" t="inlineStr">
        <is>
          <t>ROCKCODE agrupado en ROCKCODE_NUMEQ=1 (Intrusivo_1)</t>
        </is>
      </c>
      <c r="K1099" t="inlineStr">
        <is>
          <t>Intrusivo</t>
        </is>
      </c>
      <c r="L1099" t="inlineStr">
        <is>
          <t>Intrusivo</t>
        </is>
      </c>
      <c r="M1099" t="n">
        <v>6</v>
      </c>
      <c r="N1099" t="inlineStr"/>
      <c r="O1099" t="inlineStr"/>
      <c r="P1099" t="n">
        <v>10.25</v>
      </c>
      <c r="Q1099" t="n">
        <v>0.175</v>
      </c>
    </row>
    <row r="1100">
      <c r="A1100" t="inlineStr">
        <is>
          <t>MR24</t>
        </is>
      </c>
      <c r="B1100" t="inlineStr">
        <is>
          <t>Merged_Table_Assay_lito</t>
        </is>
      </c>
      <c r="C1100" t="inlineStr">
        <is>
          <t>metros de sondaje; pct sobre metros</t>
        </is>
      </c>
      <c r="D1100" t="inlineStr">
        <is>
          <t>periodo_GM_LE2WASTE_Output</t>
        </is>
      </c>
      <c r="E1100" t="inlineStr">
        <is>
          <t>204649</t>
        </is>
      </c>
      <c r="F1100" t="inlineStr">
        <is>
          <t>ROCKCODE</t>
        </is>
      </c>
      <c r="G1100" t="inlineStr">
        <is>
          <t>MC</t>
        </is>
      </c>
      <c r="H1100" t="inlineStr">
        <is>
          <t>sin asignar</t>
        </is>
      </c>
      <c r="I1100" t="inlineStr">
        <is>
          <t>MC</t>
        </is>
      </c>
      <c r="J1100" t="inlineStr">
        <is>
          <t>ROCKCODE agrupado en ROCKCODE_NUMEQ=16; sigla sin leyenda</t>
        </is>
      </c>
      <c r="K1100" t="inlineStr">
        <is>
          <t>Mármol (hipótesis: siglas M*)</t>
        </is>
      </c>
      <c r="L1100" t="inlineStr">
        <is>
          <t>Metamorfico</t>
        </is>
      </c>
      <c r="M1100" t="n">
        <v>392</v>
      </c>
      <c r="N1100" t="inlineStr"/>
      <c r="O1100" t="inlineStr"/>
      <c r="P1100" t="n">
        <v>557.15</v>
      </c>
      <c r="Q1100" t="n">
        <v>9.532999999999999</v>
      </c>
    </row>
    <row r="1101">
      <c r="A1101" t="inlineStr">
        <is>
          <t>MR24</t>
        </is>
      </c>
      <c r="B1101" t="inlineStr">
        <is>
          <t>Merged_Table_Assay_lito</t>
        </is>
      </c>
      <c r="C1101" t="inlineStr">
        <is>
          <t>metros de sondaje; pct sobre metros</t>
        </is>
      </c>
      <c r="D1101" t="inlineStr">
        <is>
          <t>periodo_GM_LE2WASTE_Output</t>
        </is>
      </c>
      <c r="E1101" t="inlineStr">
        <is>
          <t>204649</t>
        </is>
      </c>
      <c r="F1101" t="inlineStr">
        <is>
          <t>ROCKCODE</t>
        </is>
      </c>
      <c r="G1101" t="inlineStr">
        <is>
          <t>MCB</t>
        </is>
      </c>
      <c r="H1101" t="inlineStr">
        <is>
          <t>sin asignar</t>
        </is>
      </c>
      <c r="I1101" t="inlineStr">
        <is>
          <t>MCB</t>
        </is>
      </c>
      <c r="J1101" t="inlineStr">
        <is>
          <t>ROCKCODE agrupado en ROCKCODE_NUMEQ=16; sigla sin leyenda</t>
        </is>
      </c>
      <c r="K1101" t="inlineStr">
        <is>
          <t>Mármol (hipótesis: siglas M*)</t>
        </is>
      </c>
      <c r="L1101" t="inlineStr">
        <is>
          <t>Metamorfico</t>
        </is>
      </c>
      <c r="M1101" t="n">
        <v>207</v>
      </c>
      <c r="N1101" t="inlineStr"/>
      <c r="O1101" t="inlineStr"/>
      <c r="P1101" t="n">
        <v>339.8</v>
      </c>
      <c r="Q1101" t="n">
        <v>5.814</v>
      </c>
    </row>
    <row r="1102">
      <c r="A1102" t="inlineStr">
        <is>
          <t>MR24</t>
        </is>
      </c>
      <c r="B1102" t="inlineStr">
        <is>
          <t>Merged_Table_Assay_lito</t>
        </is>
      </c>
      <c r="C1102" t="inlineStr">
        <is>
          <t>metros de sondaje; pct sobre metros</t>
        </is>
      </c>
      <c r="D1102" t="inlineStr">
        <is>
          <t>periodo_GM_LE2WASTE_Output</t>
        </is>
      </c>
      <c r="E1102" t="inlineStr">
        <is>
          <t>204649</t>
        </is>
      </c>
      <c r="F1102" t="inlineStr">
        <is>
          <t>ROCKCODE</t>
        </is>
      </c>
      <c r="G1102" t="inlineStr">
        <is>
          <t>MCGB</t>
        </is>
      </c>
      <c r="H1102" t="inlineStr">
        <is>
          <t>sin asignar</t>
        </is>
      </c>
      <c r="I1102" t="inlineStr">
        <is>
          <t>MCGB</t>
        </is>
      </c>
      <c r="J1102" t="inlineStr">
        <is>
          <t>ROCKCODE agrupado en ROCKCODE_NUMEQ=16; sigla sin leyenda</t>
        </is>
      </c>
      <c r="K1102" t="inlineStr">
        <is>
          <t>Mármol (hipótesis: siglas M*)</t>
        </is>
      </c>
      <c r="L1102" t="inlineStr">
        <is>
          <t>Metamorfico</t>
        </is>
      </c>
      <c r="M1102" t="n">
        <v>813</v>
      </c>
      <c r="N1102" t="inlineStr"/>
      <c r="O1102" t="inlineStr"/>
      <c r="P1102" t="n">
        <v>802.75</v>
      </c>
      <c r="Q1102" t="n">
        <v>13.736</v>
      </c>
    </row>
    <row r="1103">
      <c r="A1103" t="inlineStr">
        <is>
          <t>MR24</t>
        </is>
      </c>
      <c r="B1103" t="inlineStr">
        <is>
          <t>Merged_Table_Assay_lito</t>
        </is>
      </c>
      <c r="C1103" t="inlineStr">
        <is>
          <t>metros de sondaje; pct sobre metros</t>
        </is>
      </c>
      <c r="D1103" t="inlineStr">
        <is>
          <t>periodo_GM_LE2WASTE_Output</t>
        </is>
      </c>
      <c r="E1103" t="inlineStr">
        <is>
          <t>204649</t>
        </is>
      </c>
      <c r="F1103" t="inlineStr">
        <is>
          <t>ROCKCODE</t>
        </is>
      </c>
      <c r="G1103" t="inlineStr">
        <is>
          <t>MDP</t>
        </is>
      </c>
      <c r="H1103" t="inlineStr">
        <is>
          <t>sin asignar</t>
        </is>
      </c>
      <c r="I1103" t="inlineStr">
        <is>
          <t>MDP</t>
        </is>
      </c>
      <c r="J1103" t="inlineStr">
        <is>
          <t>ROCKCODE agrupado en ROCKCODE_NUMEQ=19; sigla sin leyenda</t>
        </is>
      </c>
      <c r="K1103" t="inlineStr">
        <is>
          <t>Mármol (hipótesis: sigla MDP)</t>
        </is>
      </c>
      <c r="L1103" t="inlineStr">
        <is>
          <t>Metamorfico</t>
        </is>
      </c>
      <c r="M1103" t="n">
        <v>136</v>
      </c>
      <c r="N1103" t="inlineStr"/>
      <c r="O1103" t="inlineStr"/>
      <c r="P1103" t="n">
        <v>145.9</v>
      </c>
      <c r="Q1103" t="n">
        <v>2.496</v>
      </c>
    </row>
    <row r="1104">
      <c r="A1104" t="inlineStr">
        <is>
          <t>MR24</t>
        </is>
      </c>
      <c r="B1104" t="inlineStr">
        <is>
          <t>Merged_Table_Assay_lito</t>
        </is>
      </c>
      <c r="C1104" t="inlineStr">
        <is>
          <t>metros de sondaje; pct sobre metros</t>
        </is>
      </c>
      <c r="D1104" t="inlineStr">
        <is>
          <t>periodo_GM_LE2WASTE_Output</t>
        </is>
      </c>
      <c r="E1104" t="inlineStr">
        <is>
          <t>204649</t>
        </is>
      </c>
      <c r="F1104" t="inlineStr">
        <is>
          <t>ROCKCODE</t>
        </is>
      </c>
      <c r="G1104" t="inlineStr">
        <is>
          <t>MG</t>
        </is>
      </c>
      <c r="H1104" t="inlineStr">
        <is>
          <t>sin asignar</t>
        </is>
      </c>
      <c r="I1104" t="inlineStr">
        <is>
          <t>MG</t>
        </is>
      </c>
      <c r="J1104" t="inlineStr">
        <is>
          <t>ROCKCODE agrupado en ROCKCODE_NUMEQ=16; sigla sin leyenda</t>
        </is>
      </c>
      <c r="K1104" t="inlineStr">
        <is>
          <t>Mármol (hipótesis: siglas M*)</t>
        </is>
      </c>
      <c r="L1104" t="inlineStr">
        <is>
          <t>Metamorfico</t>
        </is>
      </c>
      <c r="M1104" t="n">
        <v>163</v>
      </c>
      <c r="N1104" t="inlineStr"/>
      <c r="O1104" t="inlineStr"/>
      <c r="P1104" t="n">
        <v>118.6</v>
      </c>
      <c r="Q1104" t="n">
        <v>2.029</v>
      </c>
    </row>
    <row r="1105">
      <c r="A1105" t="inlineStr">
        <is>
          <t>MR24</t>
        </is>
      </c>
      <c r="B1105" t="inlineStr">
        <is>
          <t>Merged_Table_Assay_lito</t>
        </is>
      </c>
      <c r="C1105" t="inlineStr">
        <is>
          <t>metros de sondaje; pct sobre metros</t>
        </is>
      </c>
      <c r="D1105" t="inlineStr">
        <is>
          <t>periodo_GM_LE2WASTE_Output</t>
        </is>
      </c>
      <c r="E1105" t="inlineStr">
        <is>
          <t>204649</t>
        </is>
      </c>
      <c r="F1105" t="inlineStr">
        <is>
          <t>ROCKCODE</t>
        </is>
      </c>
      <c r="G1105" t="inlineStr">
        <is>
          <t>MGS</t>
        </is>
      </c>
      <c r="H1105" t="inlineStr">
        <is>
          <t>sin asignar</t>
        </is>
      </c>
      <c r="I1105" t="inlineStr">
        <is>
          <t>MGS</t>
        </is>
      </c>
      <c r="J1105" t="inlineStr">
        <is>
          <t>ROCKCODE agrupado en ROCKCODE_NUMEQ=16; sigla sin leyenda</t>
        </is>
      </c>
      <c r="K1105" t="inlineStr">
        <is>
          <t>Mármol (hipótesis: siglas M*)</t>
        </is>
      </c>
      <c r="L1105" t="inlineStr">
        <is>
          <t>Metamorfico</t>
        </is>
      </c>
      <c r="M1105" t="n">
        <v>34</v>
      </c>
      <c r="N1105" t="inlineStr"/>
      <c r="O1105" t="inlineStr"/>
      <c r="P1105" t="n">
        <v>23.5</v>
      </c>
      <c r="Q1105" t="n">
        <v>0.402</v>
      </c>
    </row>
    <row r="1106">
      <c r="A1106" t="inlineStr">
        <is>
          <t>MR24</t>
        </is>
      </c>
      <c r="B1106" t="inlineStr">
        <is>
          <t>Merged_Table_Assay_lito</t>
        </is>
      </c>
      <c r="C1106" t="inlineStr">
        <is>
          <t>metros de sondaje; pct sobre metros</t>
        </is>
      </c>
      <c r="D1106" t="inlineStr">
        <is>
          <t>periodo_GM_LE2WASTE_Output</t>
        </is>
      </c>
      <c r="E1106" t="inlineStr">
        <is>
          <t>204649</t>
        </is>
      </c>
      <c r="F1106" t="inlineStr">
        <is>
          <t>ROCKCODE</t>
        </is>
      </c>
      <c r="G1106" t="inlineStr">
        <is>
          <t>MPA</t>
        </is>
      </c>
      <c r="H1106" t="inlineStr">
        <is>
          <t>sin asignar</t>
        </is>
      </c>
      <c r="I1106" t="inlineStr">
        <is>
          <t>MPA</t>
        </is>
      </c>
      <c r="J1106" t="inlineStr">
        <is>
          <t>ROCKCODE agrupado en ROCKCODE_NUMEQ=16; sigla sin leyenda</t>
        </is>
      </c>
      <c r="K1106" t="inlineStr">
        <is>
          <t>Mármol (hipótesis: siglas M*)</t>
        </is>
      </c>
      <c r="L1106" t="inlineStr">
        <is>
          <t>Metamorfico</t>
        </is>
      </c>
      <c r="M1106" t="n">
        <v>39</v>
      </c>
      <c r="N1106" t="inlineStr"/>
      <c r="O1106" t="inlineStr"/>
      <c r="P1106" t="n">
        <v>52.35</v>
      </c>
      <c r="Q1106" t="n">
        <v>0.896</v>
      </c>
    </row>
    <row r="1107">
      <c r="A1107" t="inlineStr">
        <is>
          <t>MR24</t>
        </is>
      </c>
      <c r="B1107" t="inlineStr">
        <is>
          <t>Merged_Table_Assay_lito</t>
        </is>
      </c>
      <c r="C1107" t="inlineStr">
        <is>
          <t>metros de sondaje; pct sobre metros</t>
        </is>
      </c>
      <c r="D1107" t="inlineStr">
        <is>
          <t>fase_plp_GM_FASES_LE2_Output</t>
        </is>
      </c>
      <c r="E1107" t="inlineStr">
        <is>
          <t>10AN</t>
        </is>
      </c>
      <c r="F1107" t="inlineStr">
        <is>
          <t>ROCKCODE</t>
        </is>
      </c>
      <c r="G1107" t="inlineStr">
        <is>
          <t>BCIPPA</t>
        </is>
      </c>
      <c r="H1107" t="inlineStr">
        <is>
          <t>Intrusivo</t>
        </is>
      </c>
      <c r="I1107" t="inlineStr">
        <is>
          <t>BCIPPA</t>
        </is>
      </c>
      <c r="J1107" t="inlineStr">
        <is>
          <t>ROCKCODE agrupado en ROCKCODE_NUMEQ=1 (Intrusivo_1)</t>
        </is>
      </c>
      <c r="K1107" t="inlineStr">
        <is>
          <t>Intrusivo</t>
        </is>
      </c>
      <c r="L1107" t="inlineStr">
        <is>
          <t>Intrusivo</t>
        </is>
      </c>
      <c r="M1107" t="n">
        <v>2</v>
      </c>
      <c r="N1107" t="inlineStr"/>
      <c r="O1107" t="inlineStr"/>
      <c r="P1107" t="n">
        <v>1</v>
      </c>
      <c r="Q1107" t="n">
        <v>0.002</v>
      </c>
    </row>
    <row r="1108">
      <c r="A1108" t="inlineStr">
        <is>
          <t>MR24</t>
        </is>
      </c>
      <c r="B1108" t="inlineStr">
        <is>
          <t>Merged_Table_Assay_lito</t>
        </is>
      </c>
      <c r="C1108" t="inlineStr">
        <is>
          <t>metros de sondaje; pct sobre metros</t>
        </is>
      </c>
      <c r="D1108" t="inlineStr">
        <is>
          <t>fase_plp_GM_FASES_LE2_Output</t>
        </is>
      </c>
      <c r="E1108" t="inlineStr">
        <is>
          <t>10AN</t>
        </is>
      </c>
      <c r="F1108" t="inlineStr">
        <is>
          <t>ROCKCODE</t>
        </is>
      </c>
      <c r="G1108" t="inlineStr">
        <is>
          <t>BCIPPAO</t>
        </is>
      </c>
      <c r="H1108" t="inlineStr">
        <is>
          <t>Intrusivo</t>
        </is>
      </c>
      <c r="I1108" t="inlineStr">
        <is>
          <t>BCIPPAO</t>
        </is>
      </c>
      <c r="J1108" t="inlineStr">
        <is>
          <t>ROCKCODE agrupado en ROCKCODE_NUMEQ=1 (Intrusivo_1)</t>
        </is>
      </c>
      <c r="K1108" t="inlineStr">
        <is>
          <t>Intrusivo</t>
        </is>
      </c>
      <c r="L1108" t="inlineStr">
        <is>
          <t>Intrusivo</t>
        </is>
      </c>
      <c r="M1108" t="n">
        <v>2</v>
      </c>
      <c r="N1108" t="inlineStr"/>
      <c r="O1108" t="inlineStr"/>
      <c r="P1108" t="n">
        <v>1.9</v>
      </c>
      <c r="Q1108" t="n">
        <v>0.004</v>
      </c>
    </row>
    <row r="1109">
      <c r="A1109" t="inlineStr">
        <is>
          <t>MR24</t>
        </is>
      </c>
      <c r="B1109" t="inlineStr">
        <is>
          <t>Merged_Table_Assay_lito</t>
        </is>
      </c>
      <c r="C1109" t="inlineStr">
        <is>
          <t>metros de sondaje; pct sobre metros</t>
        </is>
      </c>
      <c r="D1109" t="inlineStr">
        <is>
          <t>fase_plp_GM_FASES_LE2_Output</t>
        </is>
      </c>
      <c r="E1109" t="inlineStr">
        <is>
          <t>10AN</t>
        </is>
      </c>
      <c r="F1109" t="inlineStr">
        <is>
          <t>ROCKCODE</t>
        </is>
      </c>
      <c r="G1109" t="inlineStr">
        <is>
          <t>BMIPPA</t>
        </is>
      </c>
      <c r="H1109" t="inlineStr">
        <is>
          <t>Intrusivo</t>
        </is>
      </c>
      <c r="I1109" t="inlineStr">
        <is>
          <t>BMIPPA</t>
        </is>
      </c>
      <c r="J1109" t="inlineStr">
        <is>
          <t>ROCKCODE agrupado en ROCKCODE_NUMEQ=1 (Intrusivo_1)</t>
        </is>
      </c>
      <c r="K1109" t="inlineStr">
        <is>
          <t>Intrusivo</t>
        </is>
      </c>
      <c r="L1109" t="inlineStr">
        <is>
          <t>Intrusivo</t>
        </is>
      </c>
      <c r="M1109" t="n">
        <v>1</v>
      </c>
      <c r="N1109" t="inlineStr"/>
      <c r="O1109" t="inlineStr"/>
      <c r="P1109" t="n">
        <v>1.2</v>
      </c>
      <c r="Q1109" t="n">
        <v>0.003</v>
      </c>
    </row>
    <row r="1110">
      <c r="A1110" t="inlineStr">
        <is>
          <t>MR24</t>
        </is>
      </c>
      <c r="B1110" t="inlineStr">
        <is>
          <t>Merged_Table_Assay_lito</t>
        </is>
      </c>
      <c r="C1110" t="inlineStr">
        <is>
          <t>metros de sondaje; pct sobre metros</t>
        </is>
      </c>
      <c r="D1110" t="inlineStr">
        <is>
          <t>fase_plp_GM_FASES_LE2_Output</t>
        </is>
      </c>
      <c r="E1110" t="inlineStr">
        <is>
          <t>10AN</t>
        </is>
      </c>
      <c r="F1110" t="inlineStr">
        <is>
          <t>ROCKCODE</t>
        </is>
      </c>
      <c r="G1110" t="inlineStr">
        <is>
          <t>CA</t>
        </is>
      </c>
      <c r="H1110" t="inlineStr">
        <is>
          <t>sin asignar</t>
        </is>
      </c>
      <c r="I1110" t="inlineStr">
        <is>
          <t>CA</t>
        </is>
      </c>
      <c r="J1110" t="inlineStr">
        <is>
          <t>ROCKCODE agrupado en ROCKCODE_NUMEQ=10; sigla sin leyenda</t>
        </is>
      </c>
      <c r="K1110" t="inlineStr">
        <is>
          <t>Caliza (hipótesis: siglas C*)</t>
        </is>
      </c>
      <c r="L1110" t="inlineStr">
        <is>
          <t>Sedimentario</t>
        </is>
      </c>
      <c r="M1110" t="n">
        <v>23</v>
      </c>
      <c r="N1110" t="inlineStr"/>
      <c r="O1110" t="inlineStr"/>
      <c r="P1110" t="n">
        <v>45.4</v>
      </c>
      <c r="Q1110" t="n">
        <v>0.103</v>
      </c>
    </row>
    <row r="1111">
      <c r="A1111" t="inlineStr">
        <is>
          <t>MR24</t>
        </is>
      </c>
      <c r="B1111" t="inlineStr">
        <is>
          <t>Merged_Table_Assay_lito</t>
        </is>
      </c>
      <c r="C1111" t="inlineStr">
        <is>
          <t>metros de sondaje; pct sobre metros</t>
        </is>
      </c>
      <c r="D1111" t="inlineStr">
        <is>
          <t>fase_plp_GM_FASES_LE2_Output</t>
        </is>
      </c>
      <c r="E1111" t="inlineStr">
        <is>
          <t>10AN</t>
        </is>
      </c>
      <c r="F1111" t="inlineStr">
        <is>
          <t>ROCKCODE</t>
        </is>
      </c>
      <c r="G1111" t="inlineStr">
        <is>
          <t>CBMN</t>
        </is>
      </c>
      <c r="H1111" t="inlineStr">
        <is>
          <t>sin asignar</t>
        </is>
      </c>
      <c r="I1111" t="inlineStr">
        <is>
          <t>CBMN</t>
        </is>
      </c>
      <c r="J1111" t="inlineStr">
        <is>
          <t>ROCKCODE agrupado en ROCKCODE_NUMEQ=10; sigla sin leyenda</t>
        </is>
      </c>
      <c r="K1111" t="inlineStr">
        <is>
          <t>Caliza (hipótesis: siglas C*)</t>
        </is>
      </c>
      <c r="L1111" t="inlineStr">
        <is>
          <t>Sedimentario</t>
        </is>
      </c>
      <c r="M1111" t="n">
        <v>4</v>
      </c>
      <c r="N1111" t="inlineStr"/>
      <c r="O1111" t="inlineStr"/>
      <c r="P1111" t="n">
        <v>2.7</v>
      </c>
      <c r="Q1111" t="n">
        <v>0.006</v>
      </c>
    </row>
    <row r="1112">
      <c r="A1112" t="inlineStr">
        <is>
          <t>MR24</t>
        </is>
      </c>
      <c r="B1112" t="inlineStr">
        <is>
          <t>Merged_Table_Assay_lito</t>
        </is>
      </c>
      <c r="C1112" t="inlineStr">
        <is>
          <t>metros de sondaje; pct sobre metros</t>
        </is>
      </c>
      <c r="D1112" t="inlineStr">
        <is>
          <t>fase_plp_GM_FASES_LE2_Output</t>
        </is>
      </c>
      <c r="E1112" t="inlineStr">
        <is>
          <t>10AN</t>
        </is>
      </c>
      <c r="F1112" t="inlineStr">
        <is>
          <t>ROCKCODE</t>
        </is>
      </c>
      <c r="G1112" t="inlineStr">
        <is>
          <t>CF</t>
        </is>
      </c>
      <c r="H1112" t="inlineStr">
        <is>
          <t>sin asignar</t>
        </is>
      </c>
      <c r="I1112" t="inlineStr">
        <is>
          <t>CF</t>
        </is>
      </c>
      <c r="J1112" t="inlineStr">
        <is>
          <t>ROCKCODE agrupado en ROCKCODE_NUMEQ=10; sigla sin leyenda</t>
        </is>
      </c>
      <c r="K1112" t="inlineStr">
        <is>
          <t>Caliza (hipótesis: siglas C*)</t>
        </is>
      </c>
      <c r="L1112" t="inlineStr">
        <is>
          <t>Sedimentario</t>
        </is>
      </c>
      <c r="M1112" t="n">
        <v>6</v>
      </c>
      <c r="N1112" t="inlineStr"/>
      <c r="O1112" t="inlineStr"/>
      <c r="P1112" t="n">
        <v>11.2</v>
      </c>
      <c r="Q1112" t="n">
        <v>0.026</v>
      </c>
    </row>
    <row r="1113">
      <c r="A1113" t="inlineStr">
        <is>
          <t>MR24</t>
        </is>
      </c>
      <c r="B1113" t="inlineStr">
        <is>
          <t>Merged_Table_Assay_lito</t>
        </is>
      </c>
      <c r="C1113" t="inlineStr">
        <is>
          <t>metros de sondaje; pct sobre metros</t>
        </is>
      </c>
      <c r="D1113" t="inlineStr">
        <is>
          <t>fase_plp_GM_FASES_LE2_Output</t>
        </is>
      </c>
      <c r="E1113" t="inlineStr">
        <is>
          <t>10AN</t>
        </is>
      </c>
      <c r="F1113" t="inlineStr">
        <is>
          <t>ROCKCODE</t>
        </is>
      </c>
      <c r="G1113" t="inlineStr">
        <is>
          <t>CG</t>
        </is>
      </c>
      <c r="H1113" t="inlineStr">
        <is>
          <t>sin asignar</t>
        </is>
      </c>
      <c r="I1113" t="inlineStr">
        <is>
          <t>CG</t>
        </is>
      </c>
      <c r="J1113" t="inlineStr">
        <is>
          <t>ROCKCODE agrupado en ROCKCODE_NUMEQ=10; sigla sin leyenda</t>
        </is>
      </c>
      <c r="K1113" t="inlineStr">
        <is>
          <t>Caliza (hipótesis: siglas C*)</t>
        </is>
      </c>
      <c r="L1113" t="inlineStr">
        <is>
          <t>Sedimentario</t>
        </is>
      </c>
      <c r="M1113" t="n">
        <v>160</v>
      </c>
      <c r="N1113" t="inlineStr"/>
      <c r="O1113" t="inlineStr"/>
      <c r="P1113" t="n">
        <v>285</v>
      </c>
      <c r="Q1113" t="n">
        <v>0.65</v>
      </c>
    </row>
    <row r="1114">
      <c r="A1114" t="inlineStr">
        <is>
          <t>MR24</t>
        </is>
      </c>
      <c r="B1114" t="inlineStr">
        <is>
          <t>Merged_Table_Assay_lito</t>
        </is>
      </c>
      <c r="C1114" t="inlineStr">
        <is>
          <t>metros de sondaje; pct sobre metros</t>
        </is>
      </c>
      <c r="D1114" t="inlineStr">
        <is>
          <t>fase_plp_GM_FASES_LE2_Output</t>
        </is>
      </c>
      <c r="E1114" t="inlineStr">
        <is>
          <t>10AN</t>
        </is>
      </c>
      <c r="F1114" t="inlineStr">
        <is>
          <t>ROCKCODE</t>
        </is>
      </c>
      <c r="G1114" t="inlineStr">
        <is>
          <t>CGS</t>
        </is>
      </c>
      <c r="H1114" t="inlineStr">
        <is>
          <t>sin asignar</t>
        </is>
      </c>
      <c r="I1114" t="inlineStr">
        <is>
          <t>CGS</t>
        </is>
      </c>
      <c r="J1114" t="inlineStr">
        <is>
          <t>ROCKCODE agrupado en ROCKCODE_NUMEQ=10; sigla sin leyenda</t>
        </is>
      </c>
      <c r="K1114" t="inlineStr">
        <is>
          <t>Caliza (hipótesis: siglas C*)</t>
        </is>
      </c>
      <c r="L1114" t="inlineStr">
        <is>
          <t>Sedimentario</t>
        </is>
      </c>
      <c r="M1114" t="n">
        <v>104</v>
      </c>
      <c r="N1114" t="inlineStr"/>
      <c r="O1114" t="inlineStr"/>
      <c r="P1114" t="n">
        <v>199.8</v>
      </c>
      <c r="Q1114" t="n">
        <v>0.455</v>
      </c>
    </row>
    <row r="1115">
      <c r="A1115" t="inlineStr">
        <is>
          <t>MR24</t>
        </is>
      </c>
      <c r="B1115" t="inlineStr">
        <is>
          <t>Merged_Table_Assay_lito</t>
        </is>
      </c>
      <c r="C1115" t="inlineStr">
        <is>
          <t>metros de sondaje; pct sobre metros</t>
        </is>
      </c>
      <c r="D1115" t="inlineStr">
        <is>
          <t>fase_plp_GM_FASES_LE2_Output</t>
        </is>
      </c>
      <c r="E1115" t="inlineStr">
        <is>
          <t>10AN</t>
        </is>
      </c>
      <c r="F1115" t="inlineStr">
        <is>
          <t>ROCKCODE</t>
        </is>
      </c>
      <c r="G1115" t="inlineStr">
        <is>
          <t>CM</t>
        </is>
      </c>
      <c r="H1115" t="inlineStr">
        <is>
          <t>sin asignar</t>
        </is>
      </c>
      <c r="I1115" t="inlineStr">
        <is>
          <t>CM</t>
        </is>
      </c>
      <c r="J1115" t="inlineStr">
        <is>
          <t>ROCKCODE agrupado en ROCKCODE_NUMEQ=10; sigla sin leyenda</t>
        </is>
      </c>
      <c r="K1115" t="inlineStr">
        <is>
          <t>Caliza (hipótesis: siglas C*)</t>
        </is>
      </c>
      <c r="L1115" t="inlineStr">
        <is>
          <t>Sedimentario</t>
        </is>
      </c>
      <c r="M1115" t="n">
        <v>20</v>
      </c>
      <c r="N1115" t="inlineStr"/>
      <c r="O1115" t="inlineStr"/>
      <c r="P1115" t="n">
        <v>40</v>
      </c>
      <c r="Q1115" t="n">
        <v>0.091</v>
      </c>
    </row>
    <row r="1116">
      <c r="A1116" t="inlineStr">
        <is>
          <t>MR24</t>
        </is>
      </c>
      <c r="B1116" t="inlineStr">
        <is>
          <t>Merged_Table_Assay_lito</t>
        </is>
      </c>
      <c r="C1116" t="inlineStr">
        <is>
          <t>metros de sondaje; pct sobre metros</t>
        </is>
      </c>
      <c r="D1116" t="inlineStr">
        <is>
          <t>fase_plp_GM_FASES_LE2_Output</t>
        </is>
      </c>
      <c r="E1116" t="inlineStr">
        <is>
          <t>10AN</t>
        </is>
      </c>
      <c r="F1116" t="inlineStr">
        <is>
          <t>ROCKCODE</t>
        </is>
      </c>
      <c r="G1116" t="inlineStr">
        <is>
          <t>CN</t>
        </is>
      </c>
      <c r="H1116" t="inlineStr">
        <is>
          <t>sin asignar</t>
        </is>
      </c>
      <c r="I1116" t="inlineStr">
        <is>
          <t>CN</t>
        </is>
      </c>
      <c r="J1116" t="inlineStr">
        <is>
          <t>ROCKCODE agrupado en ROCKCODE_NUMEQ=10; sigla sin leyenda</t>
        </is>
      </c>
      <c r="K1116" t="inlineStr">
        <is>
          <t>Caliza (hipótesis: siglas C*)</t>
        </is>
      </c>
      <c r="L1116" t="inlineStr">
        <is>
          <t>Sedimentario</t>
        </is>
      </c>
      <c r="M1116" t="n">
        <v>239</v>
      </c>
      <c r="N1116" t="inlineStr"/>
      <c r="O1116" t="inlineStr"/>
      <c r="P1116" t="n">
        <v>301.2</v>
      </c>
      <c r="Q1116" t="n">
        <v>0.6860000000000001</v>
      </c>
    </row>
    <row r="1117">
      <c r="A1117" t="inlineStr">
        <is>
          <t>MR24</t>
        </is>
      </c>
      <c r="B1117" t="inlineStr">
        <is>
          <t>Merged_Table_Assay_lito</t>
        </is>
      </c>
      <c r="C1117" t="inlineStr">
        <is>
          <t>metros de sondaje; pct sobre metros</t>
        </is>
      </c>
      <c r="D1117" t="inlineStr">
        <is>
          <t>fase_plp_GM_FASES_LE2_Output</t>
        </is>
      </c>
      <c r="E1117" t="inlineStr">
        <is>
          <t>10AN</t>
        </is>
      </c>
      <c r="F1117" t="inlineStr">
        <is>
          <t>ROCKCODE</t>
        </is>
      </c>
      <c r="G1117" t="inlineStr">
        <is>
          <t>HBV</t>
        </is>
      </c>
      <c r="H1117" t="inlineStr">
        <is>
          <t>sin asignar</t>
        </is>
      </c>
      <c r="I1117" t="inlineStr">
        <is>
          <t>HBV</t>
        </is>
      </c>
      <c r="J1117" t="inlineStr">
        <is>
          <t>ROCKCODE agrupado en ROCKCODE_NUMEQ=14; sigla sin leyenda</t>
        </is>
      </c>
      <c r="K1117" t="inlineStr">
        <is>
          <t>Hornfels (hipótesis: siglas H*)</t>
        </is>
      </c>
      <c r="L1117" t="inlineStr">
        <is>
          <t>Metamorfico</t>
        </is>
      </c>
      <c r="M1117" t="n">
        <v>29</v>
      </c>
      <c r="N1117" t="inlineStr"/>
      <c r="O1117" t="inlineStr"/>
      <c r="P1117" t="n">
        <v>28.88</v>
      </c>
      <c r="Q1117" t="n">
        <v>0.066</v>
      </c>
    </row>
    <row r="1118">
      <c r="A1118" t="inlineStr">
        <is>
          <t>MR24</t>
        </is>
      </c>
      <c r="B1118" t="inlineStr">
        <is>
          <t>Merged_Table_Assay_lito</t>
        </is>
      </c>
      <c r="C1118" t="inlineStr">
        <is>
          <t>metros de sondaje; pct sobre metros</t>
        </is>
      </c>
      <c r="D1118" t="inlineStr">
        <is>
          <t>fase_plp_GM_FASES_LE2_Output</t>
        </is>
      </c>
      <c r="E1118" t="inlineStr">
        <is>
          <t>10AN</t>
        </is>
      </c>
      <c r="F1118" t="inlineStr">
        <is>
          <t>ROCKCODE</t>
        </is>
      </c>
      <c r="G1118" t="inlineStr">
        <is>
          <t>HC</t>
        </is>
      </c>
      <c r="H1118" t="inlineStr">
        <is>
          <t>sin asignar</t>
        </is>
      </c>
      <c r="I1118" t="inlineStr">
        <is>
          <t>HC</t>
        </is>
      </c>
      <c r="J1118" t="inlineStr">
        <is>
          <t>ROCKCODE agrupado en ROCKCODE_NUMEQ=13; sigla sin leyenda</t>
        </is>
      </c>
      <c r="K1118" t="inlineStr">
        <is>
          <t>Hornfels (hipótesis: siglas H*)</t>
        </is>
      </c>
      <c r="L1118" t="inlineStr">
        <is>
          <t>Metamorfico</t>
        </is>
      </c>
      <c r="M1118" t="n">
        <v>30</v>
      </c>
      <c r="N1118" t="inlineStr"/>
      <c r="O1118" t="inlineStr"/>
      <c r="P1118" t="n">
        <v>65.8</v>
      </c>
      <c r="Q1118" t="n">
        <v>0.15</v>
      </c>
    </row>
    <row r="1119">
      <c r="A1119" t="inlineStr">
        <is>
          <t>MR24</t>
        </is>
      </c>
      <c r="B1119" t="inlineStr">
        <is>
          <t>Merged_Table_Assay_lito</t>
        </is>
      </c>
      <c r="C1119" t="inlineStr">
        <is>
          <t>metros de sondaje; pct sobre metros</t>
        </is>
      </c>
      <c r="D1119" t="inlineStr">
        <is>
          <t>fase_plp_GM_FASES_LE2_Output</t>
        </is>
      </c>
      <c r="E1119" t="inlineStr">
        <is>
          <t>10AN</t>
        </is>
      </c>
      <c r="F1119" t="inlineStr">
        <is>
          <t>ROCKCODE</t>
        </is>
      </c>
      <c r="G1119" t="inlineStr">
        <is>
          <t>HDP</t>
        </is>
      </c>
      <c r="H1119" t="inlineStr">
        <is>
          <t>sin asignar</t>
        </is>
      </c>
      <c r="I1119" t="inlineStr">
        <is>
          <t>HDP</t>
        </is>
      </c>
      <c r="J1119" t="inlineStr">
        <is>
          <t>ROCKCODE agrupado en ROCKCODE_NUMEQ=14; sigla sin leyenda</t>
        </is>
      </c>
      <c r="K1119" t="inlineStr">
        <is>
          <t>Hornfels (hipótesis: siglas H*)</t>
        </is>
      </c>
      <c r="L1119" t="inlineStr">
        <is>
          <t>Metamorfico</t>
        </is>
      </c>
      <c r="M1119" t="n">
        <v>1</v>
      </c>
      <c r="N1119" t="inlineStr"/>
      <c r="O1119" t="inlineStr"/>
      <c r="P1119" t="n">
        <v>2.35</v>
      </c>
      <c r="Q1119" t="n">
        <v>0.005</v>
      </c>
    </row>
    <row r="1120">
      <c r="A1120" t="inlineStr">
        <is>
          <t>MR24</t>
        </is>
      </c>
      <c r="B1120" t="inlineStr">
        <is>
          <t>Merged_Table_Assay_lito</t>
        </is>
      </c>
      <c r="C1120" t="inlineStr">
        <is>
          <t>metros de sondaje; pct sobre metros</t>
        </is>
      </c>
      <c r="D1120" t="inlineStr">
        <is>
          <t>fase_plp_GM_FASES_LE2_Output</t>
        </is>
      </c>
      <c r="E1120" t="inlineStr">
        <is>
          <t>10AN</t>
        </is>
      </c>
      <c r="F1120" t="inlineStr">
        <is>
          <t>ROCKCODE</t>
        </is>
      </c>
      <c r="G1120" t="inlineStr">
        <is>
          <t>HG</t>
        </is>
      </c>
      <c r="H1120" t="inlineStr">
        <is>
          <t>sin asignar</t>
        </is>
      </c>
      <c r="I1120" t="inlineStr">
        <is>
          <t>HG</t>
        </is>
      </c>
      <c r="J1120" t="inlineStr">
        <is>
          <t>ROCKCODE agrupado en ROCKCODE_NUMEQ=13; sigla sin leyenda</t>
        </is>
      </c>
      <c r="K1120" t="inlineStr">
        <is>
          <t>Hornfels (hipótesis: siglas H*)</t>
        </is>
      </c>
      <c r="L1120" t="inlineStr">
        <is>
          <t>Metamorfico</t>
        </is>
      </c>
      <c r="M1120" t="n">
        <v>29</v>
      </c>
      <c r="N1120" t="inlineStr"/>
      <c r="O1120" t="inlineStr"/>
      <c r="P1120" t="n">
        <v>41.65</v>
      </c>
      <c r="Q1120" t="n">
        <v>0.095</v>
      </c>
    </row>
    <row r="1121">
      <c r="A1121" t="inlineStr">
        <is>
          <t>MR24</t>
        </is>
      </c>
      <c r="B1121" t="inlineStr">
        <is>
          <t>Merged_Table_Assay_lito</t>
        </is>
      </c>
      <c r="C1121" t="inlineStr">
        <is>
          <t>metros de sondaje; pct sobre metros</t>
        </is>
      </c>
      <c r="D1121" t="inlineStr">
        <is>
          <t>fase_plp_GM_FASES_LE2_Output</t>
        </is>
      </c>
      <c r="E1121" t="inlineStr">
        <is>
          <t>10AN</t>
        </is>
      </c>
      <c r="F1121" t="inlineStr">
        <is>
          <t>ROCKCODE</t>
        </is>
      </c>
      <c r="G1121" t="inlineStr">
        <is>
          <t>HGS</t>
        </is>
      </c>
      <c r="H1121" t="inlineStr">
        <is>
          <t>sin asignar</t>
        </is>
      </c>
      <c r="I1121" t="inlineStr">
        <is>
          <t>HGS</t>
        </is>
      </c>
      <c r="J1121" t="inlineStr">
        <is>
          <t>ROCKCODE agrupado en ROCKCODE_NUMEQ=13; sigla sin leyenda</t>
        </is>
      </c>
      <c r="K1121" t="inlineStr">
        <is>
          <t>Hornfels (hipótesis: siglas H*)</t>
        </is>
      </c>
      <c r="L1121" t="inlineStr">
        <is>
          <t>Metamorfico</t>
        </is>
      </c>
      <c r="M1121" t="n">
        <v>40</v>
      </c>
      <c r="N1121" t="inlineStr"/>
      <c r="O1121" t="inlineStr"/>
      <c r="P1121" t="n">
        <v>82.40000000000001</v>
      </c>
      <c r="Q1121" t="n">
        <v>0.188</v>
      </c>
    </row>
    <row r="1122">
      <c r="A1122" t="inlineStr">
        <is>
          <t>MR24</t>
        </is>
      </c>
      <c r="B1122" t="inlineStr">
        <is>
          <t>Merged_Table_Assay_lito</t>
        </is>
      </c>
      <c r="C1122" t="inlineStr">
        <is>
          <t>metros de sondaje; pct sobre metros</t>
        </is>
      </c>
      <c r="D1122" t="inlineStr">
        <is>
          <t>fase_plp_GM_FASES_LE2_Output</t>
        </is>
      </c>
      <c r="E1122" t="inlineStr">
        <is>
          <t>10AN</t>
        </is>
      </c>
      <c r="F1122" t="inlineStr">
        <is>
          <t>ROCKCODE</t>
        </is>
      </c>
      <c r="G1122" t="inlineStr">
        <is>
          <t>HMGV</t>
        </is>
      </c>
      <c r="H1122" t="inlineStr">
        <is>
          <t>sin asignar</t>
        </is>
      </c>
      <c r="I1122" t="inlineStr">
        <is>
          <t>HMGV</t>
        </is>
      </c>
      <c r="J1122" t="inlineStr">
        <is>
          <t>ROCKCODE agrupado en ROCKCODE_NUMEQ=14; sigla sin leyenda</t>
        </is>
      </c>
      <c r="K1122" t="inlineStr">
        <is>
          <t>Hornfels (hipótesis: siglas H*)</t>
        </is>
      </c>
      <c r="L1122" t="inlineStr">
        <is>
          <t>Metamorfico</t>
        </is>
      </c>
      <c r="M1122" t="n">
        <v>17</v>
      </c>
      <c r="N1122" t="inlineStr"/>
      <c r="O1122" t="inlineStr"/>
      <c r="P1122" t="n">
        <v>51.35</v>
      </c>
      <c r="Q1122" t="n">
        <v>0.117</v>
      </c>
    </row>
    <row r="1123">
      <c r="A1123" t="inlineStr">
        <is>
          <t>MR24</t>
        </is>
      </c>
      <c r="B1123" t="inlineStr">
        <is>
          <t>Merged_Table_Assay_lito</t>
        </is>
      </c>
      <c r="C1123" t="inlineStr">
        <is>
          <t>metros de sondaje; pct sobre metros</t>
        </is>
      </c>
      <c r="D1123" t="inlineStr">
        <is>
          <t>fase_plp_GM_FASES_LE2_Output</t>
        </is>
      </c>
      <c r="E1123" t="inlineStr">
        <is>
          <t>10AN</t>
        </is>
      </c>
      <c r="F1123" t="inlineStr">
        <is>
          <t>ROCKCODE</t>
        </is>
      </c>
      <c r="G1123" t="inlineStr">
        <is>
          <t>IPHPE</t>
        </is>
      </c>
      <c r="H1123" t="inlineStr">
        <is>
          <t>Intrusivo</t>
        </is>
      </c>
      <c r="I1123" t="inlineStr">
        <is>
          <t>IPHPE</t>
        </is>
      </c>
      <c r="J1123" t="inlineStr">
        <is>
          <t>ROCKCODE agrupado en ROCKCODE_NUMEQ=1 (Intrusivo_1)</t>
        </is>
      </c>
      <c r="K1123" t="inlineStr">
        <is>
          <t>Intrusivo</t>
        </is>
      </c>
      <c r="L1123" t="inlineStr">
        <is>
          <t>Intrusivo</t>
        </is>
      </c>
      <c r="M1123" t="n">
        <v>2</v>
      </c>
      <c r="N1123" t="inlineStr"/>
      <c r="O1123" t="inlineStr"/>
      <c r="P1123" t="n">
        <v>3.2</v>
      </c>
      <c r="Q1123" t="n">
        <v>0.007</v>
      </c>
    </row>
    <row r="1124">
      <c r="A1124" t="inlineStr">
        <is>
          <t>MR24</t>
        </is>
      </c>
      <c r="B1124" t="inlineStr">
        <is>
          <t>Merged_Table_Assay_lito</t>
        </is>
      </c>
      <c r="C1124" t="inlineStr">
        <is>
          <t>metros de sondaje; pct sobre metros</t>
        </is>
      </c>
      <c r="D1124" t="inlineStr">
        <is>
          <t>fase_plp_GM_FASES_LE2_Output</t>
        </is>
      </c>
      <c r="E1124" t="inlineStr">
        <is>
          <t>10AN</t>
        </is>
      </c>
      <c r="F1124" t="inlineStr">
        <is>
          <t>ROCKCODE</t>
        </is>
      </c>
      <c r="G1124" t="inlineStr">
        <is>
          <t>IPPA</t>
        </is>
      </c>
      <c r="H1124" t="inlineStr">
        <is>
          <t>Intrusivo</t>
        </is>
      </c>
      <c r="I1124" t="inlineStr">
        <is>
          <t>IPPA</t>
        </is>
      </c>
      <c r="J1124" t="inlineStr">
        <is>
          <t>ROCKCODE agrupado en ROCKCODE_NUMEQ=1 (Intrusivo_1)</t>
        </is>
      </c>
      <c r="K1124" t="inlineStr">
        <is>
          <t>Intrusivo</t>
        </is>
      </c>
      <c r="L1124" t="inlineStr">
        <is>
          <t>Intrusivo</t>
        </is>
      </c>
      <c r="M1124" t="n">
        <v>3566</v>
      </c>
      <c r="N1124" t="inlineStr"/>
      <c r="O1124" t="inlineStr"/>
      <c r="P1124" t="n">
        <v>5964.28</v>
      </c>
      <c r="Q1124" t="n">
        <v>13.593</v>
      </c>
    </row>
    <row r="1125">
      <c r="A1125" t="inlineStr">
        <is>
          <t>MR24</t>
        </is>
      </c>
      <c r="B1125" t="inlineStr">
        <is>
          <t>Merged_Table_Assay_lito</t>
        </is>
      </c>
      <c r="C1125" t="inlineStr">
        <is>
          <t>metros de sondaje; pct sobre metros</t>
        </is>
      </c>
      <c r="D1125" t="inlineStr">
        <is>
          <t>fase_plp_GM_FASES_LE2_Output</t>
        </is>
      </c>
      <c r="E1125" t="inlineStr">
        <is>
          <t>10AN</t>
        </is>
      </c>
      <c r="F1125" t="inlineStr">
        <is>
          <t>ROCKCODE</t>
        </is>
      </c>
      <c r="G1125" t="inlineStr">
        <is>
          <t>IPPAMO</t>
        </is>
      </c>
      <c r="H1125" t="inlineStr">
        <is>
          <t>Intrusivo</t>
        </is>
      </c>
      <c r="I1125" t="inlineStr">
        <is>
          <t>IPPAMO</t>
        </is>
      </c>
      <c r="J1125" t="inlineStr">
        <is>
          <t>ROCKCODE agrupado en ROCKCODE_NUMEQ=1 (Intrusivo_1)</t>
        </is>
      </c>
      <c r="K1125" t="inlineStr">
        <is>
          <t>Intrusivo</t>
        </is>
      </c>
      <c r="L1125" t="inlineStr">
        <is>
          <t>Intrusivo</t>
        </is>
      </c>
      <c r="M1125" t="n">
        <v>960</v>
      </c>
      <c r="N1125" t="inlineStr"/>
      <c r="O1125" t="inlineStr"/>
      <c r="P1125" t="n">
        <v>1293.14</v>
      </c>
      <c r="Q1125" t="n">
        <v>2.947</v>
      </c>
    </row>
    <row r="1126">
      <c r="A1126" t="inlineStr">
        <is>
          <t>MR24</t>
        </is>
      </c>
      <c r="B1126" t="inlineStr">
        <is>
          <t>Merged_Table_Assay_lito</t>
        </is>
      </c>
      <c r="C1126" t="inlineStr">
        <is>
          <t>metros de sondaje; pct sobre metros</t>
        </is>
      </c>
      <c r="D1126" t="inlineStr">
        <is>
          <t>fase_plp_GM_FASES_LE2_Output</t>
        </is>
      </c>
      <c r="E1126" t="inlineStr">
        <is>
          <t>10AN</t>
        </is>
      </c>
      <c r="F1126" t="inlineStr">
        <is>
          <t>ROCKCODE</t>
        </is>
      </c>
      <c r="G1126" t="inlineStr">
        <is>
          <t>IPPAO</t>
        </is>
      </c>
      <c r="H1126" t="inlineStr">
        <is>
          <t>Intrusivo</t>
        </is>
      </c>
      <c r="I1126" t="inlineStr">
        <is>
          <t>IPPAO</t>
        </is>
      </c>
      <c r="J1126" t="inlineStr">
        <is>
          <t>ROCKCODE agrupado en ROCKCODE_NUMEQ=1 (Intrusivo_1)</t>
        </is>
      </c>
      <c r="K1126" t="inlineStr">
        <is>
          <t>Intrusivo</t>
        </is>
      </c>
      <c r="L1126" t="inlineStr">
        <is>
          <t>Intrusivo</t>
        </is>
      </c>
      <c r="M1126" t="n">
        <v>4604</v>
      </c>
      <c r="N1126" t="inlineStr"/>
      <c r="O1126" t="inlineStr"/>
      <c r="P1126" t="n">
        <v>7209.13</v>
      </c>
      <c r="Q1126" t="n">
        <v>16.43</v>
      </c>
    </row>
    <row r="1127">
      <c r="A1127" t="inlineStr">
        <is>
          <t>MR24</t>
        </is>
      </c>
      <c r="B1127" t="inlineStr">
        <is>
          <t>Merged_Table_Assay_lito</t>
        </is>
      </c>
      <c r="C1127" t="inlineStr">
        <is>
          <t>metros de sondaje; pct sobre metros</t>
        </is>
      </c>
      <c r="D1127" t="inlineStr">
        <is>
          <t>fase_plp_GM_FASES_LE2_Output</t>
        </is>
      </c>
      <c r="E1127" t="inlineStr">
        <is>
          <t>10AN</t>
        </is>
      </c>
      <c r="F1127" t="inlineStr">
        <is>
          <t>ROCKCODE</t>
        </is>
      </c>
      <c r="G1127" t="inlineStr">
        <is>
          <t>IPPEO</t>
        </is>
      </c>
      <c r="H1127" t="inlineStr">
        <is>
          <t>Intrusivo</t>
        </is>
      </c>
      <c r="I1127" t="inlineStr">
        <is>
          <t>IPPEO</t>
        </is>
      </c>
      <c r="J1127" t="inlineStr">
        <is>
          <t>ROCKCODE agrupado en ROCKCODE_NUMEQ=1 (Intrusivo_1)</t>
        </is>
      </c>
      <c r="K1127" t="inlineStr">
        <is>
          <t>Intrusivo</t>
        </is>
      </c>
      <c r="L1127" t="inlineStr">
        <is>
          <t>Intrusivo</t>
        </is>
      </c>
      <c r="M1127" t="n">
        <v>33</v>
      </c>
      <c r="N1127" t="inlineStr"/>
      <c r="O1127" t="inlineStr"/>
      <c r="P1127" t="n">
        <v>53.4</v>
      </c>
      <c r="Q1127" t="n">
        <v>0.122</v>
      </c>
    </row>
    <row r="1128">
      <c r="A1128" t="inlineStr">
        <is>
          <t>MR24</t>
        </is>
      </c>
      <c r="B1128" t="inlineStr">
        <is>
          <t>Merged_Table_Assay_lito</t>
        </is>
      </c>
      <c r="C1128" t="inlineStr">
        <is>
          <t>metros de sondaje; pct sobre metros</t>
        </is>
      </c>
      <c r="D1128" t="inlineStr">
        <is>
          <t>fase_plp_GM_FASES_LE2_Output</t>
        </is>
      </c>
      <c r="E1128" t="inlineStr">
        <is>
          <t>10AN</t>
        </is>
      </c>
      <c r="F1128" t="inlineStr">
        <is>
          <t>ROCKCODE</t>
        </is>
      </c>
      <c r="G1128" t="inlineStr">
        <is>
          <t>M</t>
        </is>
      </c>
      <c r="H1128" t="inlineStr">
        <is>
          <t>sin asignar</t>
        </is>
      </c>
      <c r="I1128" t="inlineStr">
        <is>
          <t>M</t>
        </is>
      </c>
      <c r="J1128" t="inlineStr">
        <is>
          <t>ROCKCODE agrupado en ROCKCODE_NUMEQ=16; sigla sin leyenda</t>
        </is>
      </c>
      <c r="K1128" t="inlineStr">
        <is>
          <t>Mármol (hipótesis: siglas M*)</t>
        </is>
      </c>
      <c r="L1128" t="inlineStr">
        <is>
          <t>Metamorfico</t>
        </is>
      </c>
      <c r="M1128" t="n">
        <v>6</v>
      </c>
      <c r="N1128" t="inlineStr"/>
      <c r="O1128" t="inlineStr"/>
      <c r="P1128" t="n">
        <v>7.3</v>
      </c>
      <c r="Q1128" t="n">
        <v>0.017</v>
      </c>
    </row>
    <row r="1129">
      <c r="A1129" t="inlineStr">
        <is>
          <t>MR24</t>
        </is>
      </c>
      <c r="B1129" t="inlineStr">
        <is>
          <t>Merged_Table_Assay_lito</t>
        </is>
      </c>
      <c r="C1129" t="inlineStr">
        <is>
          <t>metros de sondaje; pct sobre metros</t>
        </is>
      </c>
      <c r="D1129" t="inlineStr">
        <is>
          <t>fase_plp_GM_FASES_LE2_Output</t>
        </is>
      </c>
      <c r="E1129" t="inlineStr">
        <is>
          <t>10AN</t>
        </is>
      </c>
      <c r="F1129" t="inlineStr">
        <is>
          <t>ROCKCODE</t>
        </is>
      </c>
      <c r="G1129" t="inlineStr">
        <is>
          <t>MC</t>
        </is>
      </c>
      <c r="H1129" t="inlineStr">
        <is>
          <t>sin asignar</t>
        </is>
      </c>
      <c r="I1129" t="inlineStr">
        <is>
          <t>MC</t>
        </is>
      </c>
      <c r="J1129" t="inlineStr">
        <is>
          <t>ROCKCODE agrupado en ROCKCODE_NUMEQ=16; sigla sin leyenda</t>
        </is>
      </c>
      <c r="K1129" t="inlineStr">
        <is>
          <t>Mármol (hipótesis: siglas M*)</t>
        </is>
      </c>
      <c r="L1129" t="inlineStr">
        <is>
          <t>Metamorfico</t>
        </is>
      </c>
      <c r="M1129" t="n">
        <v>9602</v>
      </c>
      <c r="N1129" t="inlineStr"/>
      <c r="O1129" t="inlineStr"/>
      <c r="P1129" t="n">
        <v>10707.85</v>
      </c>
      <c r="Q1129" t="n">
        <v>24.404</v>
      </c>
    </row>
    <row r="1130">
      <c r="A1130" t="inlineStr">
        <is>
          <t>MR24</t>
        </is>
      </c>
      <c r="B1130" t="inlineStr">
        <is>
          <t>Merged_Table_Assay_lito</t>
        </is>
      </c>
      <c r="C1130" t="inlineStr">
        <is>
          <t>metros de sondaje; pct sobre metros</t>
        </is>
      </c>
      <c r="D1130" t="inlineStr">
        <is>
          <t>fase_plp_GM_FASES_LE2_Output</t>
        </is>
      </c>
      <c r="E1130" t="inlineStr">
        <is>
          <t>10AN</t>
        </is>
      </c>
      <c r="F1130" t="inlineStr">
        <is>
          <t>ROCKCODE</t>
        </is>
      </c>
      <c r="G1130" t="inlineStr">
        <is>
          <t>MCB</t>
        </is>
      </c>
      <c r="H1130" t="inlineStr">
        <is>
          <t>sin asignar</t>
        </is>
      </c>
      <c r="I1130" t="inlineStr">
        <is>
          <t>MCB</t>
        </is>
      </c>
      <c r="J1130" t="inlineStr">
        <is>
          <t>ROCKCODE agrupado en ROCKCODE_NUMEQ=16; sigla sin leyenda</t>
        </is>
      </c>
      <c r="K1130" t="inlineStr">
        <is>
          <t>Mármol (hipótesis: siglas M*)</t>
        </is>
      </c>
      <c r="L1130" t="inlineStr">
        <is>
          <t>Metamorfico</t>
        </is>
      </c>
      <c r="M1130" t="n">
        <v>743</v>
      </c>
      <c r="N1130" t="inlineStr"/>
      <c r="O1130" t="inlineStr"/>
      <c r="P1130" t="n">
        <v>910.65</v>
      </c>
      <c r="Q1130" t="n">
        <v>2.075</v>
      </c>
    </row>
    <row r="1131">
      <c r="A1131" t="inlineStr">
        <is>
          <t>MR24</t>
        </is>
      </c>
      <c r="B1131" t="inlineStr">
        <is>
          <t>Merged_Table_Assay_lito</t>
        </is>
      </c>
      <c r="C1131" t="inlineStr">
        <is>
          <t>metros de sondaje; pct sobre metros</t>
        </is>
      </c>
      <c r="D1131" t="inlineStr">
        <is>
          <t>fase_plp_GM_FASES_LE2_Output</t>
        </is>
      </c>
      <c r="E1131" t="inlineStr">
        <is>
          <t>10AN</t>
        </is>
      </c>
      <c r="F1131" t="inlineStr">
        <is>
          <t>ROCKCODE</t>
        </is>
      </c>
      <c r="G1131" t="inlineStr">
        <is>
          <t>MCGB</t>
        </is>
      </c>
      <c r="H1131" t="inlineStr">
        <is>
          <t>sin asignar</t>
        </is>
      </c>
      <c r="I1131" t="inlineStr">
        <is>
          <t>MCGB</t>
        </is>
      </c>
      <c r="J1131" t="inlineStr">
        <is>
          <t>ROCKCODE agrupado en ROCKCODE_NUMEQ=16; sigla sin leyenda</t>
        </is>
      </c>
      <c r="K1131" t="inlineStr">
        <is>
          <t>Mármol (hipótesis: siglas M*)</t>
        </is>
      </c>
      <c r="L1131" t="inlineStr">
        <is>
          <t>Metamorfico</t>
        </is>
      </c>
      <c r="M1131" t="n">
        <v>2786</v>
      </c>
      <c r="N1131" t="inlineStr"/>
      <c r="O1131" t="inlineStr"/>
      <c r="P1131" t="n">
        <v>3102.1</v>
      </c>
      <c r="Q1131" t="n">
        <v>7.07</v>
      </c>
    </row>
    <row r="1132">
      <c r="A1132" t="inlineStr">
        <is>
          <t>MR24</t>
        </is>
      </c>
      <c r="B1132" t="inlineStr">
        <is>
          <t>Merged_Table_Assay_lito</t>
        </is>
      </c>
      <c r="C1132" t="inlineStr">
        <is>
          <t>metros de sondaje; pct sobre metros</t>
        </is>
      </c>
      <c r="D1132" t="inlineStr">
        <is>
          <t>fase_plp_GM_FASES_LE2_Output</t>
        </is>
      </c>
      <c r="E1132" t="inlineStr">
        <is>
          <t>10AN</t>
        </is>
      </c>
      <c r="F1132" t="inlineStr">
        <is>
          <t>ROCKCODE</t>
        </is>
      </c>
      <c r="G1132" t="inlineStr">
        <is>
          <t>MDL</t>
        </is>
      </c>
      <c r="H1132" t="inlineStr">
        <is>
          <t>sin asignar</t>
        </is>
      </c>
      <c r="I1132" t="inlineStr">
        <is>
          <t>MDL</t>
        </is>
      </c>
      <c r="J1132" t="inlineStr">
        <is>
          <t>ROCKCODE agrupado en ROCKCODE_NUMEQ=16; sigla sin leyenda</t>
        </is>
      </c>
      <c r="K1132" t="inlineStr">
        <is>
          <t>Mármol (hipótesis: siglas M*)</t>
        </is>
      </c>
      <c r="L1132" t="inlineStr">
        <is>
          <t>Metamorfico</t>
        </is>
      </c>
      <c r="M1132" t="n">
        <v>1</v>
      </c>
      <c r="N1132" t="inlineStr"/>
      <c r="O1132" t="inlineStr"/>
      <c r="P1132" t="n">
        <v>1</v>
      </c>
      <c r="Q1132" t="n">
        <v>0.002</v>
      </c>
    </row>
    <row r="1133">
      <c r="A1133" t="inlineStr">
        <is>
          <t>MR24</t>
        </is>
      </c>
      <c r="B1133" t="inlineStr">
        <is>
          <t>Merged_Table_Assay_lito</t>
        </is>
      </c>
      <c r="C1133" t="inlineStr">
        <is>
          <t>metros de sondaje; pct sobre metros</t>
        </is>
      </c>
      <c r="D1133" t="inlineStr">
        <is>
          <t>fase_plp_GM_FASES_LE2_Output</t>
        </is>
      </c>
      <c r="E1133" t="inlineStr">
        <is>
          <t>10AN</t>
        </is>
      </c>
      <c r="F1133" t="inlineStr">
        <is>
          <t>ROCKCODE</t>
        </is>
      </c>
      <c r="G1133" t="inlineStr">
        <is>
          <t>MDP</t>
        </is>
      </c>
      <c r="H1133" t="inlineStr">
        <is>
          <t>sin asignar</t>
        </is>
      </c>
      <c r="I1133" t="inlineStr">
        <is>
          <t>MDP</t>
        </is>
      </c>
      <c r="J1133" t="inlineStr">
        <is>
          <t>ROCKCODE agrupado en ROCKCODE_NUMEQ=19; sigla sin leyenda</t>
        </is>
      </c>
      <c r="K1133" t="inlineStr">
        <is>
          <t>Mármol (hipótesis: sigla MDP)</t>
        </is>
      </c>
      <c r="L1133" t="inlineStr">
        <is>
          <t>Metamorfico</t>
        </is>
      </c>
      <c r="M1133" t="n">
        <v>9978</v>
      </c>
      <c r="N1133" t="inlineStr"/>
      <c r="O1133" t="inlineStr"/>
      <c r="P1133" t="n">
        <v>9221.700000000001</v>
      </c>
      <c r="Q1133" t="n">
        <v>21.017</v>
      </c>
    </row>
    <row r="1134">
      <c r="A1134" t="inlineStr">
        <is>
          <t>MR24</t>
        </is>
      </c>
      <c r="B1134" t="inlineStr">
        <is>
          <t>Merged_Table_Assay_lito</t>
        </is>
      </c>
      <c r="C1134" t="inlineStr">
        <is>
          <t>metros de sondaje; pct sobre metros</t>
        </is>
      </c>
      <c r="D1134" t="inlineStr">
        <is>
          <t>fase_plp_GM_FASES_LE2_Output</t>
        </is>
      </c>
      <c r="E1134" t="inlineStr">
        <is>
          <t>10AN</t>
        </is>
      </c>
      <c r="F1134" t="inlineStr">
        <is>
          <t>ROCKCODE</t>
        </is>
      </c>
      <c r="G1134" t="inlineStr">
        <is>
          <t>MG</t>
        </is>
      </c>
      <c r="H1134" t="inlineStr">
        <is>
          <t>sin asignar</t>
        </is>
      </c>
      <c r="I1134" t="inlineStr">
        <is>
          <t>MG</t>
        </is>
      </c>
      <c r="J1134" t="inlineStr">
        <is>
          <t>ROCKCODE agrupado en ROCKCODE_NUMEQ=16; sigla sin leyenda</t>
        </is>
      </c>
      <c r="K1134" t="inlineStr">
        <is>
          <t>Mármol (hipótesis: siglas M*)</t>
        </is>
      </c>
      <c r="L1134" t="inlineStr">
        <is>
          <t>Metamorfico</t>
        </is>
      </c>
      <c r="M1134" t="n">
        <v>2660</v>
      </c>
      <c r="N1134" t="inlineStr"/>
      <c r="O1134" t="inlineStr"/>
      <c r="P1134" t="n">
        <v>2596.95</v>
      </c>
      <c r="Q1134" t="n">
        <v>5.919</v>
      </c>
    </row>
    <row r="1135">
      <c r="A1135" t="inlineStr">
        <is>
          <t>MR24</t>
        </is>
      </c>
      <c r="B1135" t="inlineStr">
        <is>
          <t>Merged_Table_Assay_lito</t>
        </is>
      </c>
      <c r="C1135" t="inlineStr">
        <is>
          <t>metros de sondaje; pct sobre metros</t>
        </is>
      </c>
      <c r="D1135" t="inlineStr">
        <is>
          <t>fase_plp_GM_FASES_LE2_Output</t>
        </is>
      </c>
      <c r="E1135" t="inlineStr">
        <is>
          <t>10AN</t>
        </is>
      </c>
      <c r="F1135" t="inlineStr">
        <is>
          <t>ROCKCODE</t>
        </is>
      </c>
      <c r="G1135" t="inlineStr">
        <is>
          <t>MGS</t>
        </is>
      </c>
      <c r="H1135" t="inlineStr">
        <is>
          <t>sin asignar</t>
        </is>
      </c>
      <c r="I1135" t="inlineStr">
        <is>
          <t>MGS</t>
        </is>
      </c>
      <c r="J1135" t="inlineStr">
        <is>
          <t>ROCKCODE agrupado en ROCKCODE_NUMEQ=16; sigla sin leyenda</t>
        </is>
      </c>
      <c r="K1135" t="inlineStr">
        <is>
          <t>Mármol (hipótesis: siglas M*)</t>
        </is>
      </c>
      <c r="L1135" t="inlineStr">
        <is>
          <t>Metamorfico</t>
        </is>
      </c>
      <c r="M1135" t="n">
        <v>372</v>
      </c>
      <c r="N1135" t="inlineStr"/>
      <c r="O1135" t="inlineStr"/>
      <c r="P1135" t="n">
        <v>495</v>
      </c>
      <c r="Q1135" t="n">
        <v>1.128</v>
      </c>
    </row>
    <row r="1136">
      <c r="A1136" t="inlineStr">
        <is>
          <t>MR24</t>
        </is>
      </c>
      <c r="B1136" t="inlineStr">
        <is>
          <t>Merged_Table_Assay_lito</t>
        </is>
      </c>
      <c r="C1136" t="inlineStr">
        <is>
          <t>metros de sondaje; pct sobre metros</t>
        </is>
      </c>
      <c r="D1136" t="inlineStr">
        <is>
          <t>fase_plp_GM_FASES_LE2_Output</t>
        </is>
      </c>
      <c r="E1136" t="inlineStr">
        <is>
          <t>10AN</t>
        </is>
      </c>
      <c r="F1136" t="inlineStr">
        <is>
          <t>ROCKCODE</t>
        </is>
      </c>
      <c r="G1136" t="inlineStr">
        <is>
          <t>MPA</t>
        </is>
      </c>
      <c r="H1136" t="inlineStr">
        <is>
          <t>sin asignar</t>
        </is>
      </c>
      <c r="I1136" t="inlineStr">
        <is>
          <t>MPA</t>
        </is>
      </c>
      <c r="J1136" t="inlineStr">
        <is>
          <t>ROCKCODE agrupado en ROCKCODE_NUMEQ=16; sigla sin leyenda</t>
        </is>
      </c>
      <c r="K1136" t="inlineStr">
        <is>
          <t>Mármol (hipótesis: siglas M*)</t>
        </is>
      </c>
      <c r="L1136" t="inlineStr">
        <is>
          <t>Metamorfico</t>
        </is>
      </c>
      <c r="M1136" t="n">
        <v>1173</v>
      </c>
      <c r="N1136" t="inlineStr"/>
      <c r="O1136" t="inlineStr"/>
      <c r="P1136" t="n">
        <v>1149.15</v>
      </c>
      <c r="Q1136" t="n">
        <v>2.619</v>
      </c>
    </row>
    <row r="1137">
      <c r="A1137" t="inlineStr">
        <is>
          <t>MR24</t>
        </is>
      </c>
      <c r="B1137" t="inlineStr">
        <is>
          <t>Merged_Table_Assay_lito</t>
        </is>
      </c>
      <c r="C1137" t="inlineStr">
        <is>
          <t>metros de sondaje; pct sobre metros</t>
        </is>
      </c>
      <c r="D1137" t="inlineStr">
        <is>
          <t>fase_plp_GM_FASES_LE2_Output</t>
        </is>
      </c>
      <c r="E1137" t="inlineStr">
        <is>
          <t>10AS</t>
        </is>
      </c>
      <c r="F1137" t="inlineStr">
        <is>
          <t>ROCKCODE</t>
        </is>
      </c>
      <c r="G1137" t="inlineStr">
        <is>
          <t>HGV</t>
        </is>
      </c>
      <c r="H1137" t="inlineStr">
        <is>
          <t>sin asignar</t>
        </is>
      </c>
      <c r="I1137" t="inlineStr">
        <is>
          <t>HGV</t>
        </is>
      </c>
      <c r="J1137" t="inlineStr">
        <is>
          <t>ROCKCODE agrupado en ROCKCODE_NUMEQ=14; sigla sin leyenda</t>
        </is>
      </c>
      <c r="K1137" t="inlineStr">
        <is>
          <t>Hornfels (hipótesis: siglas H*)</t>
        </is>
      </c>
      <c r="L1137" t="inlineStr">
        <is>
          <t>Metamorfico</t>
        </is>
      </c>
      <c r="M1137" t="n">
        <v>51</v>
      </c>
      <c r="N1137" t="inlineStr"/>
      <c r="O1137" t="inlineStr"/>
      <c r="P1137" t="n">
        <v>127.95</v>
      </c>
      <c r="Q1137" t="n">
        <v>4.674</v>
      </c>
    </row>
    <row r="1138">
      <c r="A1138" t="inlineStr">
        <is>
          <t>MR24</t>
        </is>
      </c>
      <c r="B1138" t="inlineStr">
        <is>
          <t>Merged_Table_Assay_lito</t>
        </is>
      </c>
      <c r="C1138" t="inlineStr">
        <is>
          <t>metros de sondaje; pct sobre metros</t>
        </is>
      </c>
      <c r="D1138" t="inlineStr">
        <is>
          <t>fase_plp_GM_FASES_LE2_Output</t>
        </is>
      </c>
      <c r="E1138" t="inlineStr">
        <is>
          <t>10AS</t>
        </is>
      </c>
      <c r="F1138" t="inlineStr">
        <is>
          <t>ROCKCODE</t>
        </is>
      </c>
      <c r="G1138" t="inlineStr">
        <is>
          <t>HMGV</t>
        </is>
      </c>
      <c r="H1138" t="inlineStr">
        <is>
          <t>sin asignar</t>
        </is>
      </c>
      <c r="I1138" t="inlineStr">
        <is>
          <t>HMGV</t>
        </is>
      </c>
      <c r="J1138" t="inlineStr">
        <is>
          <t>ROCKCODE agrupado en ROCKCODE_NUMEQ=14; sigla sin leyenda</t>
        </is>
      </c>
      <c r="K1138" t="inlineStr">
        <is>
          <t>Hornfels (hipótesis: siglas H*)</t>
        </is>
      </c>
      <c r="L1138" t="inlineStr">
        <is>
          <t>Metamorfico</t>
        </is>
      </c>
      <c r="M1138" t="n">
        <v>10</v>
      </c>
      <c r="N1138" t="inlineStr"/>
      <c r="O1138" t="inlineStr"/>
      <c r="P1138" t="n">
        <v>20.6</v>
      </c>
      <c r="Q1138" t="n">
        <v>0.753</v>
      </c>
    </row>
    <row r="1139">
      <c r="A1139" t="inlineStr">
        <is>
          <t>MR24</t>
        </is>
      </c>
      <c r="B1139" t="inlineStr">
        <is>
          <t>Merged_Table_Assay_lito</t>
        </is>
      </c>
      <c r="C1139" t="inlineStr">
        <is>
          <t>metros de sondaje; pct sobre metros</t>
        </is>
      </c>
      <c r="D1139" t="inlineStr">
        <is>
          <t>fase_plp_GM_FASES_LE2_Output</t>
        </is>
      </c>
      <c r="E1139" t="inlineStr">
        <is>
          <t>10AS</t>
        </is>
      </c>
      <c r="F1139" t="inlineStr">
        <is>
          <t>ROCKCODE</t>
        </is>
      </c>
      <c r="G1139" t="inlineStr">
        <is>
          <t>IPPA</t>
        </is>
      </c>
      <c r="H1139" t="inlineStr">
        <is>
          <t>Intrusivo</t>
        </is>
      </c>
      <c r="I1139" t="inlineStr">
        <is>
          <t>IPPA</t>
        </is>
      </c>
      <c r="J1139" t="inlineStr">
        <is>
          <t>ROCKCODE agrupado en ROCKCODE_NUMEQ=1 (Intrusivo_1)</t>
        </is>
      </c>
      <c r="K1139" t="inlineStr">
        <is>
          <t>Intrusivo</t>
        </is>
      </c>
      <c r="L1139" t="inlineStr">
        <is>
          <t>Intrusivo</t>
        </is>
      </c>
      <c r="M1139" t="n">
        <v>45</v>
      </c>
      <c r="N1139" t="inlineStr"/>
      <c r="O1139" t="inlineStr"/>
      <c r="P1139" t="n">
        <v>91.05</v>
      </c>
      <c r="Q1139" t="n">
        <v>3.326</v>
      </c>
    </row>
    <row r="1140">
      <c r="A1140" t="inlineStr">
        <is>
          <t>MR24</t>
        </is>
      </c>
      <c r="B1140" t="inlineStr">
        <is>
          <t>Merged_Table_Assay_lito</t>
        </is>
      </c>
      <c r="C1140" t="inlineStr">
        <is>
          <t>metros de sondaje; pct sobre metros</t>
        </is>
      </c>
      <c r="D1140" t="inlineStr">
        <is>
          <t>fase_plp_GM_FASES_LE2_Output</t>
        </is>
      </c>
      <c r="E1140" t="inlineStr">
        <is>
          <t>10AS</t>
        </is>
      </c>
      <c r="F1140" t="inlineStr">
        <is>
          <t>ROCKCODE</t>
        </is>
      </c>
      <c r="G1140" t="inlineStr">
        <is>
          <t>IPPAMO</t>
        </is>
      </c>
      <c r="H1140" t="inlineStr">
        <is>
          <t>Intrusivo</t>
        </is>
      </c>
      <c r="I1140" t="inlineStr">
        <is>
          <t>IPPAMO</t>
        </is>
      </c>
      <c r="J1140" t="inlineStr">
        <is>
          <t>ROCKCODE agrupado en ROCKCODE_NUMEQ=1 (Intrusivo_1)</t>
        </is>
      </c>
      <c r="K1140" t="inlineStr">
        <is>
          <t>Intrusivo</t>
        </is>
      </c>
      <c r="L1140" t="inlineStr">
        <is>
          <t>Intrusivo</t>
        </is>
      </c>
      <c r="M1140" t="n">
        <v>135</v>
      </c>
      <c r="N1140" t="inlineStr"/>
      <c r="O1140" t="inlineStr"/>
      <c r="P1140" t="n">
        <v>150.1</v>
      </c>
      <c r="Q1140" t="n">
        <v>5.484</v>
      </c>
    </row>
    <row r="1141">
      <c r="A1141" t="inlineStr">
        <is>
          <t>MR24</t>
        </is>
      </c>
      <c r="B1141" t="inlineStr">
        <is>
          <t>Merged_Table_Assay_lito</t>
        </is>
      </c>
      <c r="C1141" t="inlineStr">
        <is>
          <t>metros de sondaje; pct sobre metros</t>
        </is>
      </c>
      <c r="D1141" t="inlineStr">
        <is>
          <t>fase_plp_GM_FASES_LE2_Output</t>
        </is>
      </c>
      <c r="E1141" t="inlineStr">
        <is>
          <t>10AS</t>
        </is>
      </c>
      <c r="F1141" t="inlineStr">
        <is>
          <t>ROCKCODE</t>
        </is>
      </c>
      <c r="G1141" t="inlineStr">
        <is>
          <t>IPPAO</t>
        </is>
      </c>
      <c r="H1141" t="inlineStr">
        <is>
          <t>Intrusivo</t>
        </is>
      </c>
      <c r="I1141" t="inlineStr">
        <is>
          <t>IPPAO</t>
        </is>
      </c>
      <c r="J1141" t="inlineStr">
        <is>
          <t>ROCKCODE agrupado en ROCKCODE_NUMEQ=1 (Intrusivo_1)</t>
        </is>
      </c>
      <c r="K1141" t="inlineStr">
        <is>
          <t>Intrusivo</t>
        </is>
      </c>
      <c r="L1141" t="inlineStr">
        <is>
          <t>Intrusivo</t>
        </is>
      </c>
      <c r="M1141" t="n">
        <v>523</v>
      </c>
      <c r="N1141" t="inlineStr"/>
      <c r="O1141" t="inlineStr"/>
      <c r="P1141" t="n">
        <v>673.35</v>
      </c>
      <c r="Q1141" t="n">
        <v>24.6</v>
      </c>
    </row>
    <row r="1142">
      <c r="A1142" t="inlineStr">
        <is>
          <t>MR24</t>
        </is>
      </c>
      <c r="B1142" t="inlineStr">
        <is>
          <t>Merged_Table_Assay_lito</t>
        </is>
      </c>
      <c r="C1142" t="inlineStr">
        <is>
          <t>metros de sondaje; pct sobre metros</t>
        </is>
      </c>
      <c r="D1142" t="inlineStr">
        <is>
          <t>fase_plp_GM_FASES_LE2_Output</t>
        </is>
      </c>
      <c r="E1142" t="inlineStr">
        <is>
          <t>10AS</t>
        </is>
      </c>
      <c r="F1142" t="inlineStr">
        <is>
          <t>ROCKCODE</t>
        </is>
      </c>
      <c r="G1142" t="inlineStr">
        <is>
          <t>MC</t>
        </is>
      </c>
      <c r="H1142" t="inlineStr">
        <is>
          <t>sin asignar</t>
        </is>
      </c>
      <c r="I1142" t="inlineStr">
        <is>
          <t>MC</t>
        </is>
      </c>
      <c r="J1142" t="inlineStr">
        <is>
          <t>ROCKCODE agrupado en ROCKCODE_NUMEQ=16; sigla sin leyenda</t>
        </is>
      </c>
      <c r="K1142" t="inlineStr">
        <is>
          <t>Mármol (hipótesis: siglas M*)</t>
        </is>
      </c>
      <c r="L1142" t="inlineStr">
        <is>
          <t>Metamorfico</t>
        </is>
      </c>
      <c r="M1142" t="n">
        <v>182</v>
      </c>
      <c r="N1142" t="inlineStr"/>
      <c r="O1142" t="inlineStr"/>
      <c r="P1142" t="n">
        <v>207.55</v>
      </c>
      <c r="Q1142" t="n">
        <v>7.582</v>
      </c>
    </row>
    <row r="1143">
      <c r="A1143" t="inlineStr">
        <is>
          <t>MR24</t>
        </is>
      </c>
      <c r="B1143" t="inlineStr">
        <is>
          <t>Merged_Table_Assay_lito</t>
        </is>
      </c>
      <c r="C1143" t="inlineStr">
        <is>
          <t>metros de sondaje; pct sobre metros</t>
        </is>
      </c>
      <c r="D1143" t="inlineStr">
        <is>
          <t>fase_plp_GM_FASES_LE2_Output</t>
        </is>
      </c>
      <c r="E1143" t="inlineStr">
        <is>
          <t>10AS</t>
        </is>
      </c>
      <c r="F1143" t="inlineStr">
        <is>
          <t>ROCKCODE</t>
        </is>
      </c>
      <c r="G1143" t="inlineStr">
        <is>
          <t>MCB</t>
        </is>
      </c>
      <c r="H1143" t="inlineStr">
        <is>
          <t>sin asignar</t>
        </is>
      </c>
      <c r="I1143" t="inlineStr">
        <is>
          <t>MCB</t>
        </is>
      </c>
      <c r="J1143" t="inlineStr">
        <is>
          <t>ROCKCODE agrupado en ROCKCODE_NUMEQ=16; sigla sin leyenda</t>
        </is>
      </c>
      <c r="K1143" t="inlineStr">
        <is>
          <t>Mármol (hipótesis: siglas M*)</t>
        </is>
      </c>
      <c r="L1143" t="inlineStr">
        <is>
          <t>Metamorfico</t>
        </is>
      </c>
      <c r="M1143" t="n">
        <v>20</v>
      </c>
      <c r="N1143" t="inlineStr"/>
      <c r="O1143" t="inlineStr"/>
      <c r="P1143" t="n">
        <v>33.8</v>
      </c>
      <c r="Q1143" t="n">
        <v>1.235</v>
      </c>
    </row>
    <row r="1144">
      <c r="A1144" t="inlineStr">
        <is>
          <t>MR24</t>
        </is>
      </c>
      <c r="B1144" t="inlineStr">
        <is>
          <t>Merged_Table_Assay_lito</t>
        </is>
      </c>
      <c r="C1144" t="inlineStr">
        <is>
          <t>metros de sondaje; pct sobre metros</t>
        </is>
      </c>
      <c r="D1144" t="inlineStr">
        <is>
          <t>fase_plp_GM_FASES_LE2_Output</t>
        </is>
      </c>
      <c r="E1144" t="inlineStr">
        <is>
          <t>10AS</t>
        </is>
      </c>
      <c r="F1144" t="inlineStr">
        <is>
          <t>ROCKCODE</t>
        </is>
      </c>
      <c r="G1144" t="inlineStr">
        <is>
          <t>MCGB</t>
        </is>
      </c>
      <c r="H1144" t="inlineStr">
        <is>
          <t>sin asignar</t>
        </is>
      </c>
      <c r="I1144" t="inlineStr">
        <is>
          <t>MCGB</t>
        </is>
      </c>
      <c r="J1144" t="inlineStr">
        <is>
          <t>ROCKCODE agrupado en ROCKCODE_NUMEQ=16; sigla sin leyenda</t>
        </is>
      </c>
      <c r="K1144" t="inlineStr">
        <is>
          <t>Mármol (hipótesis: siglas M*)</t>
        </is>
      </c>
      <c r="L1144" t="inlineStr">
        <is>
          <t>Metamorfico</t>
        </is>
      </c>
      <c r="M1144" t="n">
        <v>28</v>
      </c>
      <c r="N1144" t="inlineStr"/>
      <c r="O1144" t="inlineStr"/>
      <c r="P1144" t="n">
        <v>27</v>
      </c>
      <c r="Q1144" t="n">
        <v>0.986</v>
      </c>
    </row>
    <row r="1145">
      <c r="A1145" t="inlineStr">
        <is>
          <t>MR24</t>
        </is>
      </c>
      <c r="B1145" t="inlineStr">
        <is>
          <t>Merged_Table_Assay_lito</t>
        </is>
      </c>
      <c r="C1145" t="inlineStr">
        <is>
          <t>metros de sondaje; pct sobre metros</t>
        </is>
      </c>
      <c r="D1145" t="inlineStr">
        <is>
          <t>fase_plp_GM_FASES_LE2_Output</t>
        </is>
      </c>
      <c r="E1145" t="inlineStr">
        <is>
          <t>10AS</t>
        </is>
      </c>
      <c r="F1145" t="inlineStr">
        <is>
          <t>ROCKCODE</t>
        </is>
      </c>
      <c r="G1145" t="inlineStr">
        <is>
          <t>MDP</t>
        </is>
      </c>
      <c r="H1145" t="inlineStr">
        <is>
          <t>sin asignar</t>
        </is>
      </c>
      <c r="I1145" t="inlineStr">
        <is>
          <t>MDP</t>
        </is>
      </c>
      <c r="J1145" t="inlineStr">
        <is>
          <t>ROCKCODE agrupado en ROCKCODE_NUMEQ=19; sigla sin leyenda</t>
        </is>
      </c>
      <c r="K1145" t="inlineStr">
        <is>
          <t>Mármol (hipótesis: sigla MDP)</t>
        </is>
      </c>
      <c r="L1145" t="inlineStr">
        <is>
          <t>Metamorfico</t>
        </is>
      </c>
      <c r="M1145" t="n">
        <v>1232</v>
      </c>
      <c r="N1145" t="inlineStr"/>
      <c r="O1145" t="inlineStr"/>
      <c r="P1145" t="n">
        <v>1320.9</v>
      </c>
      <c r="Q1145" t="n">
        <v>48.256</v>
      </c>
    </row>
    <row r="1146">
      <c r="A1146" t="inlineStr">
        <is>
          <t>MR24</t>
        </is>
      </c>
      <c r="B1146" t="inlineStr">
        <is>
          <t>Merged_Table_Assay_lito</t>
        </is>
      </c>
      <c r="C1146" t="inlineStr">
        <is>
          <t>metros de sondaje; pct sobre metros</t>
        </is>
      </c>
      <c r="D1146" t="inlineStr">
        <is>
          <t>fase_plp_GM_FASES_LE2_Output</t>
        </is>
      </c>
      <c r="E1146" t="inlineStr">
        <is>
          <t>10AS</t>
        </is>
      </c>
      <c r="F1146" t="inlineStr">
        <is>
          <t>ROCKCODE</t>
        </is>
      </c>
      <c r="G1146" t="inlineStr">
        <is>
          <t>MG</t>
        </is>
      </c>
      <c r="H1146" t="inlineStr">
        <is>
          <t>sin asignar</t>
        </is>
      </c>
      <c r="I1146" t="inlineStr">
        <is>
          <t>MG</t>
        </is>
      </c>
      <c r="J1146" t="inlineStr">
        <is>
          <t>ROCKCODE agrupado en ROCKCODE_NUMEQ=16; sigla sin leyenda</t>
        </is>
      </c>
      <c r="K1146" t="inlineStr">
        <is>
          <t>Mármol (hipótesis: siglas M*)</t>
        </is>
      </c>
      <c r="L1146" t="inlineStr">
        <is>
          <t>Metamorfico</t>
        </is>
      </c>
      <c r="M1146" t="n">
        <v>7</v>
      </c>
      <c r="N1146" t="inlineStr"/>
      <c r="O1146" t="inlineStr"/>
      <c r="P1146" t="n">
        <v>6.7</v>
      </c>
      <c r="Q1146" t="n">
        <v>0.245</v>
      </c>
    </row>
    <row r="1147">
      <c r="A1147" t="inlineStr">
        <is>
          <t>MR24</t>
        </is>
      </c>
      <c r="B1147" t="inlineStr">
        <is>
          <t>Merged_Table_Assay_lito</t>
        </is>
      </c>
      <c r="C1147" t="inlineStr">
        <is>
          <t>metros de sondaje; pct sobre metros</t>
        </is>
      </c>
      <c r="D1147" t="inlineStr">
        <is>
          <t>fase_plp_GM_FASES_LE2_Output</t>
        </is>
      </c>
      <c r="E1147" t="inlineStr">
        <is>
          <t>10AS</t>
        </is>
      </c>
      <c r="F1147" t="inlineStr">
        <is>
          <t>ROCKCODE</t>
        </is>
      </c>
      <c r="G1147" t="inlineStr">
        <is>
          <t>MPA</t>
        </is>
      </c>
      <c r="H1147" t="inlineStr">
        <is>
          <t>sin asignar</t>
        </is>
      </c>
      <c r="I1147" t="inlineStr">
        <is>
          <t>MPA</t>
        </is>
      </c>
      <c r="J1147" t="inlineStr">
        <is>
          <t>ROCKCODE agrupado en ROCKCODE_NUMEQ=16; sigla sin leyenda</t>
        </is>
      </c>
      <c r="K1147" t="inlineStr">
        <is>
          <t>Mármol (hipótesis: siglas M*)</t>
        </is>
      </c>
      <c r="L1147" t="inlineStr">
        <is>
          <t>Metamorfico</t>
        </is>
      </c>
      <c r="M1147" t="n">
        <v>67</v>
      </c>
      <c r="N1147" t="inlineStr"/>
      <c r="O1147" t="inlineStr"/>
      <c r="P1147" t="n">
        <v>78.25</v>
      </c>
      <c r="Q1147" t="n">
        <v>2.859</v>
      </c>
    </row>
    <row r="1148">
      <c r="A1148" t="inlineStr">
        <is>
          <t>MR24</t>
        </is>
      </c>
      <c r="B1148" t="inlineStr">
        <is>
          <t>Merged_Table_Assay_lito</t>
        </is>
      </c>
      <c r="C1148" t="inlineStr">
        <is>
          <t>metros de sondaje; pct sobre metros</t>
        </is>
      </c>
      <c r="D1148" t="inlineStr">
        <is>
          <t>fase_plp_GM_FASES_LE2_Output</t>
        </is>
      </c>
      <c r="E1148" t="inlineStr">
        <is>
          <t>10B</t>
        </is>
      </c>
      <c r="F1148" t="inlineStr">
        <is>
          <t>ROCKCODE</t>
        </is>
      </c>
      <c r="G1148" t="inlineStr">
        <is>
          <t>BCIPPA</t>
        </is>
      </c>
      <c r="H1148" t="inlineStr">
        <is>
          <t>Intrusivo</t>
        </is>
      </c>
      <c r="I1148" t="inlineStr">
        <is>
          <t>BCIPPA</t>
        </is>
      </c>
      <c r="J1148" t="inlineStr">
        <is>
          <t>ROCKCODE agrupado en ROCKCODE_NUMEQ=1 (Intrusivo_1)</t>
        </is>
      </c>
      <c r="K1148" t="inlineStr">
        <is>
          <t>Intrusivo</t>
        </is>
      </c>
      <c r="L1148" t="inlineStr">
        <is>
          <t>Intrusivo</t>
        </is>
      </c>
      <c r="M1148" t="n">
        <v>5</v>
      </c>
      <c r="N1148" t="inlineStr"/>
      <c r="O1148" t="inlineStr"/>
      <c r="P1148" t="n">
        <v>7.6</v>
      </c>
      <c r="Q1148" t="n">
        <v>0.042</v>
      </c>
    </row>
    <row r="1149">
      <c r="A1149" t="inlineStr">
        <is>
          <t>MR24</t>
        </is>
      </c>
      <c r="B1149" t="inlineStr">
        <is>
          <t>Merged_Table_Assay_lito</t>
        </is>
      </c>
      <c r="C1149" t="inlineStr">
        <is>
          <t>metros de sondaje; pct sobre metros</t>
        </is>
      </c>
      <c r="D1149" t="inlineStr">
        <is>
          <t>fase_plp_GM_FASES_LE2_Output</t>
        </is>
      </c>
      <c r="E1149" t="inlineStr">
        <is>
          <t>10B</t>
        </is>
      </c>
      <c r="F1149" t="inlineStr">
        <is>
          <t>ROCKCODE</t>
        </is>
      </c>
      <c r="G1149" t="inlineStr">
        <is>
          <t>BCIPPAO</t>
        </is>
      </c>
      <c r="H1149" t="inlineStr">
        <is>
          <t>Intrusivo</t>
        </is>
      </c>
      <c r="I1149" t="inlineStr">
        <is>
          <t>BCIPPAO</t>
        </is>
      </c>
      <c r="J1149" t="inlineStr">
        <is>
          <t>ROCKCODE agrupado en ROCKCODE_NUMEQ=1 (Intrusivo_1)</t>
        </is>
      </c>
      <c r="K1149" t="inlineStr">
        <is>
          <t>Intrusivo</t>
        </is>
      </c>
      <c r="L1149" t="inlineStr">
        <is>
          <t>Intrusivo</t>
        </is>
      </c>
      <c r="M1149" t="n">
        <v>1</v>
      </c>
      <c r="N1149" t="inlineStr"/>
      <c r="O1149" t="inlineStr"/>
      <c r="P1149" t="n">
        <v>1</v>
      </c>
      <c r="Q1149" t="n">
        <v>0.005</v>
      </c>
    </row>
    <row r="1150">
      <c r="A1150" t="inlineStr">
        <is>
          <t>MR24</t>
        </is>
      </c>
      <c r="B1150" t="inlineStr">
        <is>
          <t>Merged_Table_Assay_lito</t>
        </is>
      </c>
      <c r="C1150" t="inlineStr">
        <is>
          <t>metros de sondaje; pct sobre metros</t>
        </is>
      </c>
      <c r="D1150" t="inlineStr">
        <is>
          <t>fase_plp_GM_FASES_LE2_Output</t>
        </is>
      </c>
      <c r="E1150" t="inlineStr">
        <is>
          <t>10B</t>
        </is>
      </c>
      <c r="F1150" t="inlineStr">
        <is>
          <t>ROCKCODE</t>
        </is>
      </c>
      <c r="G1150" t="inlineStr">
        <is>
          <t>BMIPPA</t>
        </is>
      </c>
      <c r="H1150" t="inlineStr">
        <is>
          <t>Intrusivo</t>
        </is>
      </c>
      <c r="I1150" t="inlineStr">
        <is>
          <t>BMIPPA</t>
        </is>
      </c>
      <c r="J1150" t="inlineStr">
        <is>
          <t>ROCKCODE agrupado en ROCKCODE_NUMEQ=1 (Intrusivo_1)</t>
        </is>
      </c>
      <c r="K1150" t="inlineStr">
        <is>
          <t>Intrusivo</t>
        </is>
      </c>
      <c r="L1150" t="inlineStr">
        <is>
          <t>Intrusivo</t>
        </is>
      </c>
      <c r="M1150" t="n">
        <v>4</v>
      </c>
      <c r="N1150" t="inlineStr"/>
      <c r="O1150" t="inlineStr"/>
      <c r="P1150" t="n">
        <v>3.45</v>
      </c>
      <c r="Q1150" t="n">
        <v>0.019</v>
      </c>
    </row>
    <row r="1151">
      <c r="A1151" t="inlineStr">
        <is>
          <t>MR24</t>
        </is>
      </c>
      <c r="B1151" t="inlineStr">
        <is>
          <t>Merged_Table_Assay_lito</t>
        </is>
      </c>
      <c r="C1151" t="inlineStr">
        <is>
          <t>metros de sondaje; pct sobre metros</t>
        </is>
      </c>
      <c r="D1151" t="inlineStr">
        <is>
          <t>fase_plp_GM_FASES_LE2_Output</t>
        </is>
      </c>
      <c r="E1151" t="inlineStr">
        <is>
          <t>10B</t>
        </is>
      </c>
      <c r="F1151" t="inlineStr">
        <is>
          <t>ROCKCODE</t>
        </is>
      </c>
      <c r="G1151" t="inlineStr">
        <is>
          <t>CBMN</t>
        </is>
      </c>
      <c r="H1151" t="inlineStr">
        <is>
          <t>sin asignar</t>
        </is>
      </c>
      <c r="I1151" t="inlineStr">
        <is>
          <t>CBMN</t>
        </is>
      </c>
      <c r="J1151" t="inlineStr">
        <is>
          <t>ROCKCODE agrupado en ROCKCODE_NUMEQ=10; sigla sin leyenda</t>
        </is>
      </c>
      <c r="K1151" t="inlineStr">
        <is>
          <t>Caliza (hipótesis: siglas C*)</t>
        </is>
      </c>
      <c r="L1151" t="inlineStr">
        <is>
          <t>Sedimentario</t>
        </is>
      </c>
      <c r="M1151" t="n">
        <v>21</v>
      </c>
      <c r="N1151" t="inlineStr"/>
      <c r="O1151" t="inlineStr"/>
      <c r="P1151" t="n">
        <v>24.7</v>
      </c>
      <c r="Q1151" t="n">
        <v>0.136</v>
      </c>
    </row>
    <row r="1152">
      <c r="A1152" t="inlineStr">
        <is>
          <t>MR24</t>
        </is>
      </c>
      <c r="B1152" t="inlineStr">
        <is>
          <t>Merged_Table_Assay_lito</t>
        </is>
      </c>
      <c r="C1152" t="inlineStr">
        <is>
          <t>metros de sondaje; pct sobre metros</t>
        </is>
      </c>
      <c r="D1152" t="inlineStr">
        <is>
          <t>fase_plp_GM_FASES_LE2_Output</t>
        </is>
      </c>
      <c r="E1152" t="inlineStr">
        <is>
          <t>10B</t>
        </is>
      </c>
      <c r="F1152" t="inlineStr">
        <is>
          <t>ROCKCODE</t>
        </is>
      </c>
      <c r="G1152" t="inlineStr">
        <is>
          <t>CG</t>
        </is>
      </c>
      <c r="H1152" t="inlineStr">
        <is>
          <t>sin asignar</t>
        </is>
      </c>
      <c r="I1152" t="inlineStr">
        <is>
          <t>CG</t>
        </is>
      </c>
      <c r="J1152" t="inlineStr">
        <is>
          <t>ROCKCODE agrupado en ROCKCODE_NUMEQ=10; sigla sin leyenda</t>
        </is>
      </c>
      <c r="K1152" t="inlineStr">
        <is>
          <t>Caliza (hipótesis: siglas C*)</t>
        </is>
      </c>
      <c r="L1152" t="inlineStr">
        <is>
          <t>Sedimentario</t>
        </is>
      </c>
      <c r="M1152" t="n">
        <v>66</v>
      </c>
      <c r="N1152" t="inlineStr"/>
      <c r="O1152" t="inlineStr"/>
      <c r="P1152" t="n">
        <v>52.3</v>
      </c>
      <c r="Q1152" t="n">
        <v>0.287</v>
      </c>
    </row>
    <row r="1153">
      <c r="A1153" t="inlineStr">
        <is>
          <t>MR24</t>
        </is>
      </c>
      <c r="B1153" t="inlineStr">
        <is>
          <t>Merged_Table_Assay_lito</t>
        </is>
      </c>
      <c r="C1153" t="inlineStr">
        <is>
          <t>metros de sondaje; pct sobre metros</t>
        </is>
      </c>
      <c r="D1153" t="inlineStr">
        <is>
          <t>fase_plp_GM_FASES_LE2_Output</t>
        </is>
      </c>
      <c r="E1153" t="inlineStr">
        <is>
          <t>10B</t>
        </is>
      </c>
      <c r="F1153" t="inlineStr">
        <is>
          <t>ROCKCODE</t>
        </is>
      </c>
      <c r="G1153" t="inlineStr">
        <is>
          <t>CGS</t>
        </is>
      </c>
      <c r="H1153" t="inlineStr">
        <is>
          <t>sin asignar</t>
        </is>
      </c>
      <c r="I1153" t="inlineStr">
        <is>
          <t>CGS</t>
        </is>
      </c>
      <c r="J1153" t="inlineStr">
        <is>
          <t>ROCKCODE agrupado en ROCKCODE_NUMEQ=10; sigla sin leyenda</t>
        </is>
      </c>
      <c r="K1153" t="inlineStr">
        <is>
          <t>Caliza (hipótesis: siglas C*)</t>
        </is>
      </c>
      <c r="L1153" t="inlineStr">
        <is>
          <t>Sedimentario</t>
        </is>
      </c>
      <c r="M1153" t="n">
        <v>124</v>
      </c>
      <c r="N1153" t="inlineStr"/>
      <c r="O1153" t="inlineStr"/>
      <c r="P1153" t="n">
        <v>130.5</v>
      </c>
      <c r="Q1153" t="n">
        <v>0.717</v>
      </c>
    </row>
    <row r="1154">
      <c r="A1154" t="inlineStr">
        <is>
          <t>MR24</t>
        </is>
      </c>
      <c r="B1154" t="inlineStr">
        <is>
          <t>Merged_Table_Assay_lito</t>
        </is>
      </c>
      <c r="C1154" t="inlineStr">
        <is>
          <t>metros de sondaje; pct sobre metros</t>
        </is>
      </c>
      <c r="D1154" t="inlineStr">
        <is>
          <t>fase_plp_GM_FASES_LE2_Output</t>
        </is>
      </c>
      <c r="E1154" t="inlineStr">
        <is>
          <t>10B</t>
        </is>
      </c>
      <c r="F1154" t="inlineStr">
        <is>
          <t>ROCKCODE</t>
        </is>
      </c>
      <c r="G1154" t="inlineStr">
        <is>
          <t>CN</t>
        </is>
      </c>
      <c r="H1154" t="inlineStr">
        <is>
          <t>sin asignar</t>
        </is>
      </c>
      <c r="I1154" t="inlineStr">
        <is>
          <t>CN</t>
        </is>
      </c>
      <c r="J1154" t="inlineStr">
        <is>
          <t>ROCKCODE agrupado en ROCKCODE_NUMEQ=10; sigla sin leyenda</t>
        </is>
      </c>
      <c r="K1154" t="inlineStr">
        <is>
          <t>Caliza (hipótesis: siglas C*)</t>
        </is>
      </c>
      <c r="L1154" t="inlineStr">
        <is>
          <t>Sedimentario</t>
        </is>
      </c>
      <c r="M1154" t="n">
        <v>15</v>
      </c>
      <c r="N1154" t="inlineStr"/>
      <c r="O1154" t="inlineStr"/>
      <c r="P1154" t="n">
        <v>19.4</v>
      </c>
      <c r="Q1154" t="n">
        <v>0.107</v>
      </c>
    </row>
    <row r="1155">
      <c r="A1155" t="inlineStr">
        <is>
          <t>MR24</t>
        </is>
      </c>
      <c r="B1155" t="inlineStr">
        <is>
          <t>Merged_Table_Assay_lito</t>
        </is>
      </c>
      <c r="C1155" t="inlineStr">
        <is>
          <t>metros de sondaje; pct sobre metros</t>
        </is>
      </c>
      <c r="D1155" t="inlineStr">
        <is>
          <t>fase_plp_GM_FASES_LE2_Output</t>
        </is>
      </c>
      <c r="E1155" t="inlineStr">
        <is>
          <t>10B</t>
        </is>
      </c>
      <c r="F1155" t="inlineStr">
        <is>
          <t>ROCKCODE</t>
        </is>
      </c>
      <c r="G1155" t="inlineStr">
        <is>
          <t>HBV</t>
        </is>
      </c>
      <c r="H1155" t="inlineStr">
        <is>
          <t>sin asignar</t>
        </is>
      </c>
      <c r="I1155" t="inlineStr">
        <is>
          <t>HBV</t>
        </is>
      </c>
      <c r="J1155" t="inlineStr">
        <is>
          <t>ROCKCODE agrupado en ROCKCODE_NUMEQ=14; sigla sin leyenda</t>
        </is>
      </c>
      <c r="K1155" t="inlineStr">
        <is>
          <t>Hornfels (hipótesis: siglas H*)</t>
        </is>
      </c>
      <c r="L1155" t="inlineStr">
        <is>
          <t>Metamorfico</t>
        </is>
      </c>
      <c r="M1155" t="n">
        <v>1</v>
      </c>
      <c r="N1155" t="inlineStr"/>
      <c r="O1155" t="inlineStr"/>
      <c r="P1155" t="n">
        <v>1.8</v>
      </c>
      <c r="Q1155" t="n">
        <v>0.01</v>
      </c>
    </row>
    <row r="1156">
      <c r="A1156" t="inlineStr">
        <is>
          <t>MR24</t>
        </is>
      </c>
      <c r="B1156" t="inlineStr">
        <is>
          <t>Merged_Table_Assay_lito</t>
        </is>
      </c>
      <c r="C1156" t="inlineStr">
        <is>
          <t>metros de sondaje; pct sobre metros</t>
        </is>
      </c>
      <c r="D1156" t="inlineStr">
        <is>
          <t>fase_plp_GM_FASES_LE2_Output</t>
        </is>
      </c>
      <c r="E1156" t="inlineStr">
        <is>
          <t>10B</t>
        </is>
      </c>
      <c r="F1156" t="inlineStr">
        <is>
          <t>ROCKCODE</t>
        </is>
      </c>
      <c r="G1156" t="inlineStr">
        <is>
          <t>HC</t>
        </is>
      </c>
      <c r="H1156" t="inlineStr">
        <is>
          <t>sin asignar</t>
        </is>
      </c>
      <c r="I1156" t="inlineStr">
        <is>
          <t>HC</t>
        </is>
      </c>
      <c r="J1156" t="inlineStr">
        <is>
          <t>ROCKCODE agrupado en ROCKCODE_NUMEQ=13; sigla sin leyenda</t>
        </is>
      </c>
      <c r="K1156" t="inlineStr">
        <is>
          <t>Hornfels (hipótesis: siglas H*)</t>
        </is>
      </c>
      <c r="L1156" t="inlineStr">
        <is>
          <t>Metamorfico</t>
        </is>
      </c>
      <c r="M1156" t="n">
        <v>283</v>
      </c>
      <c r="N1156" t="inlineStr"/>
      <c r="O1156" t="inlineStr"/>
      <c r="P1156" t="n">
        <v>268.05</v>
      </c>
      <c r="Q1156" t="n">
        <v>1.472</v>
      </c>
    </row>
    <row r="1157">
      <c r="A1157" t="inlineStr">
        <is>
          <t>MR24</t>
        </is>
      </c>
      <c r="B1157" t="inlineStr">
        <is>
          <t>Merged_Table_Assay_lito</t>
        </is>
      </c>
      <c r="C1157" t="inlineStr">
        <is>
          <t>metros de sondaje; pct sobre metros</t>
        </is>
      </c>
      <c r="D1157" t="inlineStr">
        <is>
          <t>fase_plp_GM_FASES_LE2_Output</t>
        </is>
      </c>
      <c r="E1157" t="inlineStr">
        <is>
          <t>10B</t>
        </is>
      </c>
      <c r="F1157" t="inlineStr">
        <is>
          <t>ROCKCODE</t>
        </is>
      </c>
      <c r="G1157" t="inlineStr">
        <is>
          <t>HDP</t>
        </is>
      </c>
      <c r="H1157" t="inlineStr">
        <is>
          <t>sin asignar</t>
        </is>
      </c>
      <c r="I1157" t="inlineStr">
        <is>
          <t>HDP</t>
        </is>
      </c>
      <c r="J1157" t="inlineStr">
        <is>
          <t>ROCKCODE agrupado en ROCKCODE_NUMEQ=14; sigla sin leyenda</t>
        </is>
      </c>
      <c r="K1157" t="inlineStr">
        <is>
          <t>Hornfels (hipótesis: siglas H*)</t>
        </is>
      </c>
      <c r="L1157" t="inlineStr">
        <is>
          <t>Metamorfico</t>
        </is>
      </c>
      <c r="M1157" t="n">
        <v>6</v>
      </c>
      <c r="N1157" t="inlineStr"/>
      <c r="O1157" t="inlineStr"/>
      <c r="P1157" t="n">
        <v>4</v>
      </c>
      <c r="Q1157" t="n">
        <v>0.022</v>
      </c>
    </row>
    <row r="1158">
      <c r="A1158" t="inlineStr">
        <is>
          <t>MR24</t>
        </is>
      </c>
      <c r="B1158" t="inlineStr">
        <is>
          <t>Merged_Table_Assay_lito</t>
        </is>
      </c>
      <c r="C1158" t="inlineStr">
        <is>
          <t>metros de sondaje; pct sobre metros</t>
        </is>
      </c>
      <c r="D1158" t="inlineStr">
        <is>
          <t>fase_plp_GM_FASES_LE2_Output</t>
        </is>
      </c>
      <c r="E1158" t="inlineStr">
        <is>
          <t>10B</t>
        </is>
      </c>
      <c r="F1158" t="inlineStr">
        <is>
          <t>ROCKCODE</t>
        </is>
      </c>
      <c r="G1158" t="inlineStr">
        <is>
          <t>HG</t>
        </is>
      </c>
      <c r="H1158" t="inlineStr">
        <is>
          <t>sin asignar</t>
        </is>
      </c>
      <c r="I1158" t="inlineStr">
        <is>
          <t>HG</t>
        </is>
      </c>
      <c r="J1158" t="inlineStr">
        <is>
          <t>ROCKCODE agrupado en ROCKCODE_NUMEQ=13; sigla sin leyenda</t>
        </is>
      </c>
      <c r="K1158" t="inlineStr">
        <is>
          <t>Hornfels (hipótesis: siglas H*)</t>
        </is>
      </c>
      <c r="L1158" t="inlineStr">
        <is>
          <t>Metamorfico</t>
        </is>
      </c>
      <c r="M1158" t="n">
        <v>103</v>
      </c>
      <c r="N1158" t="inlineStr"/>
      <c r="O1158" t="inlineStr"/>
      <c r="P1158" t="n">
        <v>97.05</v>
      </c>
      <c r="Q1158" t="n">
        <v>0.533</v>
      </c>
    </row>
    <row r="1159">
      <c r="A1159" t="inlineStr">
        <is>
          <t>MR24</t>
        </is>
      </c>
      <c r="B1159" t="inlineStr">
        <is>
          <t>Merged_Table_Assay_lito</t>
        </is>
      </c>
      <c r="C1159" t="inlineStr">
        <is>
          <t>metros de sondaje; pct sobre metros</t>
        </is>
      </c>
      <c r="D1159" t="inlineStr">
        <is>
          <t>fase_plp_GM_FASES_LE2_Output</t>
        </is>
      </c>
      <c r="E1159" t="inlineStr">
        <is>
          <t>10B</t>
        </is>
      </c>
      <c r="F1159" t="inlineStr">
        <is>
          <t>ROCKCODE</t>
        </is>
      </c>
      <c r="G1159" t="inlineStr">
        <is>
          <t>HGS</t>
        </is>
      </c>
      <c r="H1159" t="inlineStr">
        <is>
          <t>sin asignar</t>
        </is>
      </c>
      <c r="I1159" t="inlineStr">
        <is>
          <t>HGS</t>
        </is>
      </c>
      <c r="J1159" t="inlineStr">
        <is>
          <t>ROCKCODE agrupado en ROCKCODE_NUMEQ=13; sigla sin leyenda</t>
        </is>
      </c>
      <c r="K1159" t="inlineStr">
        <is>
          <t>Hornfels (hipótesis: siglas H*)</t>
        </is>
      </c>
      <c r="L1159" t="inlineStr">
        <is>
          <t>Metamorfico</t>
        </is>
      </c>
      <c r="M1159" t="n">
        <v>440</v>
      </c>
      <c r="N1159" t="inlineStr"/>
      <c r="O1159" t="inlineStr"/>
      <c r="P1159" t="n">
        <v>392.85</v>
      </c>
      <c r="Q1159" t="n">
        <v>2.158</v>
      </c>
    </row>
    <row r="1160">
      <c r="A1160" t="inlineStr">
        <is>
          <t>MR24</t>
        </is>
      </c>
      <c r="B1160" t="inlineStr">
        <is>
          <t>Merged_Table_Assay_lito</t>
        </is>
      </c>
      <c r="C1160" t="inlineStr">
        <is>
          <t>metros de sondaje; pct sobre metros</t>
        </is>
      </c>
      <c r="D1160" t="inlineStr">
        <is>
          <t>fase_plp_GM_FASES_LE2_Output</t>
        </is>
      </c>
      <c r="E1160" t="inlineStr">
        <is>
          <t>10B</t>
        </is>
      </c>
      <c r="F1160" t="inlineStr">
        <is>
          <t>ROCKCODE</t>
        </is>
      </c>
      <c r="G1160" t="inlineStr">
        <is>
          <t>HMGV</t>
        </is>
      </c>
      <c r="H1160" t="inlineStr">
        <is>
          <t>sin asignar</t>
        </is>
      </c>
      <c r="I1160" t="inlineStr">
        <is>
          <t>HMGV</t>
        </is>
      </c>
      <c r="J1160" t="inlineStr">
        <is>
          <t>ROCKCODE agrupado en ROCKCODE_NUMEQ=14; sigla sin leyenda</t>
        </is>
      </c>
      <c r="K1160" t="inlineStr">
        <is>
          <t>Hornfels (hipótesis: siglas H*)</t>
        </is>
      </c>
      <c r="L1160" t="inlineStr">
        <is>
          <t>Metamorfico</t>
        </is>
      </c>
      <c r="M1160" t="n">
        <v>28</v>
      </c>
      <c r="N1160" t="inlineStr"/>
      <c r="O1160" t="inlineStr"/>
      <c r="P1160" t="n">
        <v>42.4</v>
      </c>
      <c r="Q1160" t="n">
        <v>0.233</v>
      </c>
    </row>
    <row r="1161">
      <c r="A1161" t="inlineStr">
        <is>
          <t>MR24</t>
        </is>
      </c>
      <c r="B1161" t="inlineStr">
        <is>
          <t>Merged_Table_Assay_lito</t>
        </is>
      </c>
      <c r="C1161" t="inlineStr">
        <is>
          <t>metros de sondaje; pct sobre metros</t>
        </is>
      </c>
      <c r="D1161" t="inlineStr">
        <is>
          <t>fase_plp_GM_FASES_LE2_Output</t>
        </is>
      </c>
      <c r="E1161" t="inlineStr">
        <is>
          <t>10B</t>
        </is>
      </c>
      <c r="F1161" t="inlineStr">
        <is>
          <t>ROCKCODE</t>
        </is>
      </c>
      <c r="G1161" t="inlineStr">
        <is>
          <t>HV</t>
        </is>
      </c>
      <c r="H1161" t="inlineStr">
        <is>
          <t>sin asignar</t>
        </is>
      </c>
      <c r="I1161" t="inlineStr">
        <is>
          <t>HV</t>
        </is>
      </c>
      <c r="J1161" t="inlineStr">
        <is>
          <t>ROCKCODE agrupado en ROCKCODE_NUMEQ=14; sigla sin leyenda</t>
        </is>
      </c>
      <c r="K1161" t="inlineStr">
        <is>
          <t>Hornfels (hipótesis: siglas H*)</t>
        </is>
      </c>
      <c r="L1161" t="inlineStr">
        <is>
          <t>Metamorfico</t>
        </is>
      </c>
      <c r="M1161" t="n">
        <v>5</v>
      </c>
      <c r="N1161" t="inlineStr"/>
      <c r="O1161" t="inlineStr"/>
      <c r="P1161" t="n">
        <v>12.5</v>
      </c>
      <c r="Q1161" t="n">
        <v>0.06900000000000001</v>
      </c>
    </row>
    <row r="1162">
      <c r="A1162" t="inlineStr">
        <is>
          <t>MR24</t>
        </is>
      </c>
      <c r="B1162" t="inlineStr">
        <is>
          <t>Merged_Table_Assay_lito</t>
        </is>
      </c>
      <c r="C1162" t="inlineStr">
        <is>
          <t>metros de sondaje; pct sobre metros</t>
        </is>
      </c>
      <c r="D1162" t="inlineStr">
        <is>
          <t>fase_plp_GM_FASES_LE2_Output</t>
        </is>
      </c>
      <c r="E1162" t="inlineStr">
        <is>
          <t>10B</t>
        </is>
      </c>
      <c r="F1162" t="inlineStr">
        <is>
          <t>ROCKCODE</t>
        </is>
      </c>
      <c r="G1162" t="inlineStr">
        <is>
          <t>IPPA</t>
        </is>
      </c>
      <c r="H1162" t="inlineStr">
        <is>
          <t>Intrusivo</t>
        </is>
      </c>
      <c r="I1162" t="inlineStr">
        <is>
          <t>IPPA</t>
        </is>
      </c>
      <c r="J1162" t="inlineStr">
        <is>
          <t>ROCKCODE agrupado en ROCKCODE_NUMEQ=1 (Intrusivo_1)</t>
        </is>
      </c>
      <c r="K1162" t="inlineStr">
        <is>
          <t>Intrusivo</t>
        </is>
      </c>
      <c r="L1162" t="inlineStr">
        <is>
          <t>Intrusivo</t>
        </is>
      </c>
      <c r="M1162" t="n">
        <v>1245</v>
      </c>
      <c r="N1162" t="inlineStr"/>
      <c r="O1162" t="inlineStr"/>
      <c r="P1162" t="n">
        <v>1734.83</v>
      </c>
      <c r="Q1162" t="n">
        <v>9.529</v>
      </c>
    </row>
    <row r="1163">
      <c r="A1163" t="inlineStr">
        <is>
          <t>MR24</t>
        </is>
      </c>
      <c r="B1163" t="inlineStr">
        <is>
          <t>Merged_Table_Assay_lito</t>
        </is>
      </c>
      <c r="C1163" t="inlineStr">
        <is>
          <t>metros de sondaje; pct sobre metros</t>
        </is>
      </c>
      <c r="D1163" t="inlineStr">
        <is>
          <t>fase_plp_GM_FASES_LE2_Output</t>
        </is>
      </c>
      <c r="E1163" t="inlineStr">
        <is>
          <t>10B</t>
        </is>
      </c>
      <c r="F1163" t="inlineStr">
        <is>
          <t>ROCKCODE</t>
        </is>
      </c>
      <c r="G1163" t="inlineStr">
        <is>
          <t>IPPAMO</t>
        </is>
      </c>
      <c r="H1163" t="inlineStr">
        <is>
          <t>Intrusivo</t>
        </is>
      </c>
      <c r="I1163" t="inlineStr">
        <is>
          <t>IPPAMO</t>
        </is>
      </c>
      <c r="J1163" t="inlineStr">
        <is>
          <t>ROCKCODE agrupado en ROCKCODE_NUMEQ=1 (Intrusivo_1)</t>
        </is>
      </c>
      <c r="K1163" t="inlineStr">
        <is>
          <t>Intrusivo</t>
        </is>
      </c>
      <c r="L1163" t="inlineStr">
        <is>
          <t>Intrusivo</t>
        </is>
      </c>
      <c r="M1163" t="n">
        <v>1424</v>
      </c>
      <c r="N1163" t="inlineStr"/>
      <c r="O1163" t="inlineStr"/>
      <c r="P1163" t="n">
        <v>1432.85</v>
      </c>
      <c r="Q1163" t="n">
        <v>7.871</v>
      </c>
    </row>
    <row r="1164">
      <c r="A1164" t="inlineStr">
        <is>
          <t>MR24</t>
        </is>
      </c>
      <c r="B1164" t="inlineStr">
        <is>
          <t>Merged_Table_Assay_lito</t>
        </is>
      </c>
      <c r="C1164" t="inlineStr">
        <is>
          <t>metros de sondaje; pct sobre metros</t>
        </is>
      </c>
      <c r="D1164" t="inlineStr">
        <is>
          <t>fase_plp_GM_FASES_LE2_Output</t>
        </is>
      </c>
      <c r="E1164" t="inlineStr">
        <is>
          <t>10B</t>
        </is>
      </c>
      <c r="F1164" t="inlineStr">
        <is>
          <t>ROCKCODE</t>
        </is>
      </c>
      <c r="G1164" t="inlineStr">
        <is>
          <t>IPPAO</t>
        </is>
      </c>
      <c r="H1164" t="inlineStr">
        <is>
          <t>Intrusivo</t>
        </is>
      </c>
      <c r="I1164" t="inlineStr">
        <is>
          <t>IPPAO</t>
        </is>
      </c>
      <c r="J1164" t="inlineStr">
        <is>
          <t>ROCKCODE agrupado en ROCKCODE_NUMEQ=1 (Intrusivo_1)</t>
        </is>
      </c>
      <c r="K1164" t="inlineStr">
        <is>
          <t>Intrusivo</t>
        </is>
      </c>
      <c r="L1164" t="inlineStr">
        <is>
          <t>Intrusivo</t>
        </is>
      </c>
      <c r="M1164" t="n">
        <v>3552</v>
      </c>
      <c r="N1164" t="inlineStr"/>
      <c r="O1164" t="inlineStr"/>
      <c r="P1164" t="n">
        <v>4717.77</v>
      </c>
      <c r="Q1164" t="n">
        <v>25.915</v>
      </c>
    </row>
    <row r="1165">
      <c r="A1165" t="inlineStr">
        <is>
          <t>MR24</t>
        </is>
      </c>
      <c r="B1165" t="inlineStr">
        <is>
          <t>Merged_Table_Assay_lito</t>
        </is>
      </c>
      <c r="C1165" t="inlineStr">
        <is>
          <t>metros de sondaje; pct sobre metros</t>
        </is>
      </c>
      <c r="D1165" t="inlineStr">
        <is>
          <t>fase_plp_GM_FASES_LE2_Output</t>
        </is>
      </c>
      <c r="E1165" t="inlineStr">
        <is>
          <t>10B</t>
        </is>
      </c>
      <c r="F1165" t="inlineStr">
        <is>
          <t>ROCKCODE</t>
        </is>
      </c>
      <c r="G1165" t="inlineStr">
        <is>
          <t>IPPEO</t>
        </is>
      </c>
      <c r="H1165" t="inlineStr">
        <is>
          <t>Intrusivo</t>
        </is>
      </c>
      <c r="I1165" t="inlineStr">
        <is>
          <t>IPPEO</t>
        </is>
      </c>
      <c r="J1165" t="inlineStr">
        <is>
          <t>ROCKCODE agrupado en ROCKCODE_NUMEQ=1 (Intrusivo_1)</t>
        </is>
      </c>
      <c r="K1165" t="inlineStr">
        <is>
          <t>Intrusivo</t>
        </is>
      </c>
      <c r="L1165" t="inlineStr">
        <is>
          <t>Intrusivo</t>
        </is>
      </c>
      <c r="M1165" t="n">
        <v>8</v>
      </c>
      <c r="N1165" t="inlineStr"/>
      <c r="O1165" t="inlineStr"/>
      <c r="P1165" t="n">
        <v>13.8</v>
      </c>
      <c r="Q1165" t="n">
        <v>0.076</v>
      </c>
    </row>
    <row r="1166">
      <c r="A1166" t="inlineStr">
        <is>
          <t>MR24</t>
        </is>
      </c>
      <c r="B1166" t="inlineStr">
        <is>
          <t>Merged_Table_Assay_lito</t>
        </is>
      </c>
      <c r="C1166" t="inlineStr">
        <is>
          <t>metros de sondaje; pct sobre metros</t>
        </is>
      </c>
      <c r="D1166" t="inlineStr">
        <is>
          <t>fase_plp_GM_FASES_LE2_Output</t>
        </is>
      </c>
      <c r="E1166" t="inlineStr">
        <is>
          <t>10B</t>
        </is>
      </c>
      <c r="F1166" t="inlineStr">
        <is>
          <t>ROCKCODE</t>
        </is>
      </c>
      <c r="G1166" t="inlineStr">
        <is>
          <t>M</t>
        </is>
      </c>
      <c r="H1166" t="inlineStr">
        <is>
          <t>sin asignar</t>
        </is>
      </c>
      <c r="I1166" t="inlineStr">
        <is>
          <t>M</t>
        </is>
      </c>
      <c r="J1166" t="inlineStr">
        <is>
          <t>ROCKCODE agrupado en ROCKCODE_NUMEQ=16; sigla sin leyenda</t>
        </is>
      </c>
      <c r="K1166" t="inlineStr">
        <is>
          <t>Mármol (hipótesis: siglas M*)</t>
        </is>
      </c>
      <c r="L1166" t="inlineStr">
        <is>
          <t>Metamorfico</t>
        </is>
      </c>
      <c r="M1166" t="n">
        <v>3</v>
      </c>
      <c r="N1166" t="inlineStr"/>
      <c r="O1166" t="inlineStr"/>
      <c r="P1166" t="n">
        <v>6.8</v>
      </c>
      <c r="Q1166" t="n">
        <v>0.037</v>
      </c>
    </row>
    <row r="1167">
      <c r="A1167" t="inlineStr">
        <is>
          <t>MR24</t>
        </is>
      </c>
      <c r="B1167" t="inlineStr">
        <is>
          <t>Merged_Table_Assay_lito</t>
        </is>
      </c>
      <c r="C1167" t="inlineStr">
        <is>
          <t>metros de sondaje; pct sobre metros</t>
        </is>
      </c>
      <c r="D1167" t="inlineStr">
        <is>
          <t>fase_plp_GM_FASES_LE2_Output</t>
        </is>
      </c>
      <c r="E1167" t="inlineStr">
        <is>
          <t>10B</t>
        </is>
      </c>
      <c r="F1167" t="inlineStr">
        <is>
          <t>ROCKCODE</t>
        </is>
      </c>
      <c r="G1167" t="inlineStr">
        <is>
          <t>MC</t>
        </is>
      </c>
      <c r="H1167" t="inlineStr">
        <is>
          <t>sin asignar</t>
        </is>
      </c>
      <c r="I1167" t="inlineStr">
        <is>
          <t>MC</t>
        </is>
      </c>
      <c r="J1167" t="inlineStr">
        <is>
          <t>ROCKCODE agrupado en ROCKCODE_NUMEQ=16; sigla sin leyenda</t>
        </is>
      </c>
      <c r="K1167" t="inlineStr">
        <is>
          <t>Mármol (hipótesis: siglas M*)</t>
        </is>
      </c>
      <c r="L1167" t="inlineStr">
        <is>
          <t>Metamorfico</t>
        </is>
      </c>
      <c r="M1167" t="n">
        <v>1422</v>
      </c>
      <c r="N1167" t="inlineStr"/>
      <c r="O1167" t="inlineStr"/>
      <c r="P1167" t="n">
        <v>1792.5</v>
      </c>
      <c r="Q1167" t="n">
        <v>9.846</v>
      </c>
    </row>
    <row r="1168">
      <c r="A1168" t="inlineStr">
        <is>
          <t>MR24</t>
        </is>
      </c>
      <c r="B1168" t="inlineStr">
        <is>
          <t>Merged_Table_Assay_lito</t>
        </is>
      </c>
      <c r="C1168" t="inlineStr">
        <is>
          <t>metros de sondaje; pct sobre metros</t>
        </is>
      </c>
      <c r="D1168" t="inlineStr">
        <is>
          <t>fase_plp_GM_FASES_LE2_Output</t>
        </is>
      </c>
      <c r="E1168" t="inlineStr">
        <is>
          <t>10B</t>
        </is>
      </c>
      <c r="F1168" t="inlineStr">
        <is>
          <t>ROCKCODE</t>
        </is>
      </c>
      <c r="G1168" t="inlineStr">
        <is>
          <t>MCB</t>
        </is>
      </c>
      <c r="H1168" t="inlineStr">
        <is>
          <t>sin asignar</t>
        </is>
      </c>
      <c r="I1168" t="inlineStr">
        <is>
          <t>MCB</t>
        </is>
      </c>
      <c r="J1168" t="inlineStr">
        <is>
          <t>ROCKCODE agrupado en ROCKCODE_NUMEQ=16; sigla sin leyenda</t>
        </is>
      </c>
      <c r="K1168" t="inlineStr">
        <is>
          <t>Mármol (hipótesis: siglas M*)</t>
        </is>
      </c>
      <c r="L1168" t="inlineStr">
        <is>
          <t>Metamorfico</t>
        </is>
      </c>
      <c r="M1168" t="n">
        <v>446</v>
      </c>
      <c r="N1168" t="inlineStr"/>
      <c r="O1168" t="inlineStr"/>
      <c r="P1168" t="n">
        <v>549.3</v>
      </c>
      <c r="Q1168" t="n">
        <v>3.017</v>
      </c>
    </row>
    <row r="1169">
      <c r="A1169" t="inlineStr">
        <is>
          <t>MR24</t>
        </is>
      </c>
      <c r="B1169" t="inlineStr">
        <is>
          <t>Merged_Table_Assay_lito</t>
        </is>
      </c>
      <c r="C1169" t="inlineStr">
        <is>
          <t>metros de sondaje; pct sobre metros</t>
        </is>
      </c>
      <c r="D1169" t="inlineStr">
        <is>
          <t>fase_plp_GM_FASES_LE2_Output</t>
        </is>
      </c>
      <c r="E1169" t="inlineStr">
        <is>
          <t>10B</t>
        </is>
      </c>
      <c r="F1169" t="inlineStr">
        <is>
          <t>ROCKCODE</t>
        </is>
      </c>
      <c r="G1169" t="inlineStr">
        <is>
          <t>MCGB</t>
        </is>
      </c>
      <c r="H1169" t="inlineStr">
        <is>
          <t>sin asignar</t>
        </is>
      </c>
      <c r="I1169" t="inlineStr">
        <is>
          <t>MCGB</t>
        </is>
      </c>
      <c r="J1169" t="inlineStr">
        <is>
          <t>ROCKCODE agrupado en ROCKCODE_NUMEQ=16; sigla sin leyenda</t>
        </is>
      </c>
      <c r="K1169" t="inlineStr">
        <is>
          <t>Mármol (hipótesis: siglas M*)</t>
        </is>
      </c>
      <c r="L1169" t="inlineStr">
        <is>
          <t>Metamorfico</t>
        </is>
      </c>
      <c r="M1169" t="n">
        <v>1114</v>
      </c>
      <c r="N1169" t="inlineStr"/>
      <c r="O1169" t="inlineStr"/>
      <c r="P1169" t="n">
        <v>948.85</v>
      </c>
      <c r="Q1169" t="n">
        <v>5.212</v>
      </c>
    </row>
    <row r="1170">
      <c r="A1170" t="inlineStr">
        <is>
          <t>MR24</t>
        </is>
      </c>
      <c r="B1170" t="inlineStr">
        <is>
          <t>Merged_Table_Assay_lito</t>
        </is>
      </c>
      <c r="C1170" t="inlineStr">
        <is>
          <t>metros de sondaje; pct sobre metros</t>
        </is>
      </c>
      <c r="D1170" t="inlineStr">
        <is>
          <t>fase_plp_GM_FASES_LE2_Output</t>
        </is>
      </c>
      <c r="E1170" t="inlineStr">
        <is>
          <t>10B</t>
        </is>
      </c>
      <c r="F1170" t="inlineStr">
        <is>
          <t>ROCKCODE</t>
        </is>
      </c>
      <c r="G1170" t="inlineStr">
        <is>
          <t>MDP</t>
        </is>
      </c>
      <c r="H1170" t="inlineStr">
        <is>
          <t>sin asignar</t>
        </is>
      </c>
      <c r="I1170" t="inlineStr">
        <is>
          <t>MDP</t>
        </is>
      </c>
      <c r="J1170" t="inlineStr">
        <is>
          <t>ROCKCODE agrupado en ROCKCODE_NUMEQ=19; sigla sin leyenda</t>
        </is>
      </c>
      <c r="K1170" t="inlineStr">
        <is>
          <t>Mármol (hipótesis: sigla MDP)</t>
        </is>
      </c>
      <c r="L1170" t="inlineStr">
        <is>
          <t>Metamorfico</t>
        </is>
      </c>
      <c r="M1170" t="n">
        <v>3730</v>
      </c>
      <c r="N1170" t="inlineStr"/>
      <c r="O1170" t="inlineStr"/>
      <c r="P1170" t="n">
        <v>3514.55</v>
      </c>
      <c r="Q1170" t="n">
        <v>19.305</v>
      </c>
    </row>
    <row r="1171">
      <c r="A1171" t="inlineStr">
        <is>
          <t>MR24</t>
        </is>
      </c>
      <c r="B1171" t="inlineStr">
        <is>
          <t>Merged_Table_Assay_lito</t>
        </is>
      </c>
      <c r="C1171" t="inlineStr">
        <is>
          <t>metros de sondaje; pct sobre metros</t>
        </is>
      </c>
      <c r="D1171" t="inlineStr">
        <is>
          <t>fase_plp_GM_FASES_LE2_Output</t>
        </is>
      </c>
      <c r="E1171" t="inlineStr">
        <is>
          <t>10B</t>
        </is>
      </c>
      <c r="F1171" t="inlineStr">
        <is>
          <t>ROCKCODE</t>
        </is>
      </c>
      <c r="G1171" t="inlineStr">
        <is>
          <t>MG</t>
        </is>
      </c>
      <c r="H1171" t="inlineStr">
        <is>
          <t>sin asignar</t>
        </is>
      </c>
      <c r="I1171" t="inlineStr">
        <is>
          <t>MG</t>
        </is>
      </c>
      <c r="J1171" t="inlineStr">
        <is>
          <t>ROCKCODE agrupado en ROCKCODE_NUMEQ=16; sigla sin leyenda</t>
        </is>
      </c>
      <c r="K1171" t="inlineStr">
        <is>
          <t>Mármol (hipótesis: siglas M*)</t>
        </is>
      </c>
      <c r="L1171" t="inlineStr">
        <is>
          <t>Metamorfico</t>
        </is>
      </c>
      <c r="M1171" t="n">
        <v>329</v>
      </c>
      <c r="N1171" t="inlineStr"/>
      <c r="O1171" t="inlineStr"/>
      <c r="P1171" t="n">
        <v>316.15</v>
      </c>
      <c r="Q1171" t="n">
        <v>1.737</v>
      </c>
    </row>
    <row r="1172">
      <c r="A1172" t="inlineStr">
        <is>
          <t>MR24</t>
        </is>
      </c>
      <c r="B1172" t="inlineStr">
        <is>
          <t>Merged_Table_Assay_lito</t>
        </is>
      </c>
      <c r="C1172" t="inlineStr">
        <is>
          <t>metros de sondaje; pct sobre metros</t>
        </is>
      </c>
      <c r="D1172" t="inlineStr">
        <is>
          <t>fase_plp_GM_FASES_LE2_Output</t>
        </is>
      </c>
      <c r="E1172" t="inlineStr">
        <is>
          <t>10B</t>
        </is>
      </c>
      <c r="F1172" t="inlineStr">
        <is>
          <t>ROCKCODE</t>
        </is>
      </c>
      <c r="G1172" t="inlineStr">
        <is>
          <t>MGS</t>
        </is>
      </c>
      <c r="H1172" t="inlineStr">
        <is>
          <t>sin asignar</t>
        </is>
      </c>
      <c r="I1172" t="inlineStr">
        <is>
          <t>MGS</t>
        </is>
      </c>
      <c r="J1172" t="inlineStr">
        <is>
          <t>ROCKCODE agrupado en ROCKCODE_NUMEQ=16; sigla sin leyenda</t>
        </is>
      </c>
      <c r="K1172" t="inlineStr">
        <is>
          <t>Mármol (hipótesis: siglas M*)</t>
        </is>
      </c>
      <c r="L1172" t="inlineStr">
        <is>
          <t>Metamorfico</t>
        </is>
      </c>
      <c r="M1172" t="n">
        <v>770</v>
      </c>
      <c r="N1172" t="inlineStr"/>
      <c r="O1172" t="inlineStr"/>
      <c r="P1172" t="n">
        <v>681.75</v>
      </c>
      <c r="Q1172" t="n">
        <v>3.745</v>
      </c>
    </row>
    <row r="1173">
      <c r="A1173" t="inlineStr">
        <is>
          <t>MR24</t>
        </is>
      </c>
      <c r="B1173" t="inlineStr">
        <is>
          <t>Merged_Table_Assay_lito</t>
        </is>
      </c>
      <c r="C1173" t="inlineStr">
        <is>
          <t>metros de sondaje; pct sobre metros</t>
        </is>
      </c>
      <c r="D1173" t="inlineStr">
        <is>
          <t>fase_plp_GM_FASES_LE2_Output</t>
        </is>
      </c>
      <c r="E1173" t="inlineStr">
        <is>
          <t>10B</t>
        </is>
      </c>
      <c r="F1173" t="inlineStr">
        <is>
          <t>ROCKCODE</t>
        </is>
      </c>
      <c r="G1173" t="inlineStr">
        <is>
          <t>MPA</t>
        </is>
      </c>
      <c r="H1173" t="inlineStr">
        <is>
          <t>sin asignar</t>
        </is>
      </c>
      <c r="I1173" t="inlineStr">
        <is>
          <t>MPA</t>
        </is>
      </c>
      <c r="J1173" t="inlineStr">
        <is>
          <t>ROCKCODE agrupado en ROCKCODE_NUMEQ=16; sigla sin leyenda</t>
        </is>
      </c>
      <c r="K1173" t="inlineStr">
        <is>
          <t>Mármol (hipótesis: siglas M*)</t>
        </is>
      </c>
      <c r="L1173" t="inlineStr">
        <is>
          <t>Metamorfico</t>
        </is>
      </c>
      <c r="M1173" t="n">
        <v>1507</v>
      </c>
      <c r="N1173" t="inlineStr"/>
      <c r="O1173" t="inlineStr"/>
      <c r="P1173" t="n">
        <v>1438.35</v>
      </c>
      <c r="Q1173" t="n">
        <v>7.901</v>
      </c>
    </row>
    <row r="1174">
      <c r="A1174" t="inlineStr">
        <is>
          <t>MR24</t>
        </is>
      </c>
      <c r="B1174" t="inlineStr">
        <is>
          <t>Merged_Table_Assay_lito</t>
        </is>
      </c>
      <c r="C1174" t="inlineStr">
        <is>
          <t>metros de sondaje; pct sobre metros</t>
        </is>
      </c>
      <c r="D1174" t="inlineStr">
        <is>
          <t>fase_plp_GM_FASES_LE2_Output</t>
        </is>
      </c>
      <c r="E1174" t="inlineStr">
        <is>
          <t>11A</t>
        </is>
      </c>
      <c r="F1174" t="inlineStr">
        <is>
          <t>ROCKCODE</t>
        </is>
      </c>
      <c r="G1174" t="inlineStr">
        <is>
          <t>C</t>
        </is>
      </c>
      <c r="H1174" t="inlineStr">
        <is>
          <t>sin asignar</t>
        </is>
      </c>
      <c r="I1174" t="inlineStr">
        <is>
          <t>C</t>
        </is>
      </c>
      <c r="J1174" t="inlineStr">
        <is>
          <t>ROCKCODE agrupado en ROCKCODE_NUMEQ=10; sigla sin leyenda</t>
        </is>
      </c>
      <c r="K1174" t="inlineStr">
        <is>
          <t>Caliza (hipótesis: siglas C*)</t>
        </is>
      </c>
      <c r="L1174" t="inlineStr">
        <is>
          <t>Sedimentario</t>
        </is>
      </c>
      <c r="M1174" t="n">
        <v>8</v>
      </c>
      <c r="N1174" t="inlineStr"/>
      <c r="O1174" t="inlineStr"/>
      <c r="P1174" t="n">
        <v>40</v>
      </c>
      <c r="Q1174" t="n">
        <v>1.277</v>
      </c>
    </row>
    <row r="1175">
      <c r="A1175" t="inlineStr">
        <is>
          <t>MR24</t>
        </is>
      </c>
      <c r="B1175" t="inlineStr">
        <is>
          <t>Merged_Table_Assay_lito</t>
        </is>
      </c>
      <c r="C1175" t="inlineStr">
        <is>
          <t>metros de sondaje; pct sobre metros</t>
        </is>
      </c>
      <c r="D1175" t="inlineStr">
        <is>
          <t>fase_plp_GM_FASES_LE2_Output</t>
        </is>
      </c>
      <c r="E1175" t="inlineStr">
        <is>
          <t>11A</t>
        </is>
      </c>
      <c r="F1175" t="inlineStr">
        <is>
          <t>ROCKCODE</t>
        </is>
      </c>
      <c r="G1175" t="inlineStr">
        <is>
          <t>CA</t>
        </is>
      </c>
      <c r="H1175" t="inlineStr">
        <is>
          <t>sin asignar</t>
        </is>
      </c>
      <c r="I1175" t="inlineStr">
        <is>
          <t>CA</t>
        </is>
      </c>
      <c r="J1175" t="inlineStr">
        <is>
          <t>ROCKCODE agrupado en ROCKCODE_NUMEQ=10; sigla sin leyenda</t>
        </is>
      </c>
      <c r="K1175" t="inlineStr">
        <is>
          <t>Caliza (hipótesis: siglas C*)</t>
        </is>
      </c>
      <c r="L1175" t="inlineStr">
        <is>
          <t>Sedimentario</t>
        </is>
      </c>
      <c r="M1175" t="n">
        <v>281</v>
      </c>
      <c r="N1175" t="inlineStr"/>
      <c r="O1175" t="inlineStr"/>
      <c r="P1175" t="n">
        <v>285.25</v>
      </c>
      <c r="Q1175" t="n">
        <v>9.103999999999999</v>
      </c>
    </row>
    <row r="1176">
      <c r="A1176" t="inlineStr">
        <is>
          <t>MR24</t>
        </is>
      </c>
      <c r="B1176" t="inlineStr">
        <is>
          <t>Merged_Table_Assay_lito</t>
        </is>
      </c>
      <c r="C1176" t="inlineStr">
        <is>
          <t>metros de sondaje; pct sobre metros</t>
        </is>
      </c>
      <c r="D1176" t="inlineStr">
        <is>
          <t>fase_plp_GM_FASES_LE2_Output</t>
        </is>
      </c>
      <c r="E1176" t="inlineStr">
        <is>
          <t>11A</t>
        </is>
      </c>
      <c r="F1176" t="inlineStr">
        <is>
          <t>ROCKCODE</t>
        </is>
      </c>
      <c r="G1176" t="inlineStr">
        <is>
          <t>CBMN</t>
        </is>
      </c>
      <c r="H1176" t="inlineStr">
        <is>
          <t>sin asignar</t>
        </is>
      </c>
      <c r="I1176" t="inlineStr">
        <is>
          <t>CBMN</t>
        </is>
      </c>
      <c r="J1176" t="inlineStr">
        <is>
          <t>ROCKCODE agrupado en ROCKCODE_NUMEQ=10; sigla sin leyenda</t>
        </is>
      </c>
      <c r="K1176" t="inlineStr">
        <is>
          <t>Caliza (hipótesis: siglas C*)</t>
        </is>
      </c>
      <c r="L1176" t="inlineStr">
        <is>
          <t>Sedimentario</t>
        </is>
      </c>
      <c r="M1176" t="n">
        <v>3</v>
      </c>
      <c r="N1176" t="inlineStr"/>
      <c r="O1176" t="inlineStr"/>
      <c r="P1176" t="n">
        <v>1.95</v>
      </c>
      <c r="Q1176" t="n">
        <v>0.062</v>
      </c>
    </row>
    <row r="1177">
      <c r="A1177" t="inlineStr">
        <is>
          <t>MR24</t>
        </is>
      </c>
      <c r="B1177" t="inlineStr">
        <is>
          <t>Merged_Table_Assay_lito</t>
        </is>
      </c>
      <c r="C1177" t="inlineStr">
        <is>
          <t>metros de sondaje; pct sobre metros</t>
        </is>
      </c>
      <c r="D1177" t="inlineStr">
        <is>
          <t>fase_plp_GM_FASES_LE2_Output</t>
        </is>
      </c>
      <c r="E1177" t="inlineStr">
        <is>
          <t>11A</t>
        </is>
      </c>
      <c r="F1177" t="inlineStr">
        <is>
          <t>ROCKCODE</t>
        </is>
      </c>
      <c r="G1177" t="inlineStr">
        <is>
          <t>CG</t>
        </is>
      </c>
      <c r="H1177" t="inlineStr">
        <is>
          <t>sin asignar</t>
        </is>
      </c>
      <c r="I1177" t="inlineStr">
        <is>
          <t>CG</t>
        </is>
      </c>
      <c r="J1177" t="inlineStr">
        <is>
          <t>ROCKCODE agrupado en ROCKCODE_NUMEQ=10; sigla sin leyenda</t>
        </is>
      </c>
      <c r="K1177" t="inlineStr">
        <is>
          <t>Caliza (hipótesis: siglas C*)</t>
        </is>
      </c>
      <c r="L1177" t="inlineStr">
        <is>
          <t>Sedimentario</t>
        </is>
      </c>
      <c r="M1177" t="n">
        <v>1092</v>
      </c>
      <c r="N1177" t="inlineStr"/>
      <c r="O1177" t="inlineStr"/>
      <c r="P1177" t="n">
        <v>989.55</v>
      </c>
      <c r="Q1177" t="n">
        <v>31.584</v>
      </c>
    </row>
    <row r="1178">
      <c r="A1178" t="inlineStr">
        <is>
          <t>MR24</t>
        </is>
      </c>
      <c r="B1178" t="inlineStr">
        <is>
          <t>Merged_Table_Assay_lito</t>
        </is>
      </c>
      <c r="C1178" t="inlineStr">
        <is>
          <t>metros de sondaje; pct sobre metros</t>
        </is>
      </c>
      <c r="D1178" t="inlineStr">
        <is>
          <t>fase_plp_GM_FASES_LE2_Output</t>
        </is>
      </c>
      <c r="E1178" t="inlineStr">
        <is>
          <t>11A</t>
        </is>
      </c>
      <c r="F1178" t="inlineStr">
        <is>
          <t>ROCKCODE</t>
        </is>
      </c>
      <c r="G1178" t="inlineStr">
        <is>
          <t>CGS</t>
        </is>
      </c>
      <c r="H1178" t="inlineStr">
        <is>
          <t>sin asignar</t>
        </is>
      </c>
      <c r="I1178" t="inlineStr">
        <is>
          <t>CGS</t>
        </is>
      </c>
      <c r="J1178" t="inlineStr">
        <is>
          <t>ROCKCODE agrupado en ROCKCODE_NUMEQ=10; sigla sin leyenda</t>
        </is>
      </c>
      <c r="K1178" t="inlineStr">
        <is>
          <t>Caliza (hipótesis: siglas C*)</t>
        </is>
      </c>
      <c r="L1178" t="inlineStr">
        <is>
          <t>Sedimentario</t>
        </is>
      </c>
      <c r="M1178" t="n">
        <v>425</v>
      </c>
      <c r="N1178" t="inlineStr"/>
      <c r="O1178" t="inlineStr"/>
      <c r="P1178" t="n">
        <v>353.65</v>
      </c>
      <c r="Q1178" t="n">
        <v>11.288</v>
      </c>
    </row>
    <row r="1179">
      <c r="A1179" t="inlineStr">
        <is>
          <t>MR24</t>
        </is>
      </c>
      <c r="B1179" t="inlineStr">
        <is>
          <t>Merged_Table_Assay_lito</t>
        </is>
      </c>
      <c r="C1179" t="inlineStr">
        <is>
          <t>metros de sondaje; pct sobre metros</t>
        </is>
      </c>
      <c r="D1179" t="inlineStr">
        <is>
          <t>fase_plp_GM_FASES_LE2_Output</t>
        </is>
      </c>
      <c r="E1179" t="inlineStr">
        <is>
          <t>11A</t>
        </is>
      </c>
      <c r="F1179" t="inlineStr">
        <is>
          <t>ROCKCODE</t>
        </is>
      </c>
      <c r="G1179" t="inlineStr">
        <is>
          <t>CN</t>
        </is>
      </c>
      <c r="H1179" t="inlineStr">
        <is>
          <t>sin asignar</t>
        </is>
      </c>
      <c r="I1179" t="inlineStr">
        <is>
          <t>CN</t>
        </is>
      </c>
      <c r="J1179" t="inlineStr">
        <is>
          <t>ROCKCODE agrupado en ROCKCODE_NUMEQ=10; sigla sin leyenda</t>
        </is>
      </c>
      <c r="K1179" t="inlineStr">
        <is>
          <t>Caliza (hipótesis: siglas C*)</t>
        </is>
      </c>
      <c r="L1179" t="inlineStr">
        <is>
          <t>Sedimentario</t>
        </is>
      </c>
      <c r="M1179" t="n">
        <v>4</v>
      </c>
      <c r="N1179" t="inlineStr"/>
      <c r="O1179" t="inlineStr"/>
      <c r="P1179" t="n">
        <v>3.9</v>
      </c>
      <c r="Q1179" t="n">
        <v>0.124</v>
      </c>
    </row>
    <row r="1180">
      <c r="A1180" t="inlineStr">
        <is>
          <t>MR24</t>
        </is>
      </c>
      <c r="B1180" t="inlineStr">
        <is>
          <t>Merged_Table_Assay_lito</t>
        </is>
      </c>
      <c r="C1180" t="inlineStr">
        <is>
          <t>metros de sondaje; pct sobre metros</t>
        </is>
      </c>
      <c r="D1180" t="inlineStr">
        <is>
          <t>fase_plp_GM_FASES_LE2_Output</t>
        </is>
      </c>
      <c r="E1180" t="inlineStr">
        <is>
          <t>11A</t>
        </is>
      </c>
      <c r="F1180" t="inlineStr">
        <is>
          <t>ROCKCODE</t>
        </is>
      </c>
      <c r="G1180" t="inlineStr">
        <is>
          <t>DI</t>
        </is>
      </c>
      <c r="H1180" t="inlineStr">
        <is>
          <t>Intrusivo</t>
        </is>
      </c>
      <c r="I1180" t="inlineStr">
        <is>
          <t>DI</t>
        </is>
      </c>
      <c r="J1180" t="inlineStr">
        <is>
          <t>ROCKCODE agrupado en ROCKCODE_NUMEQ=1 (Intrusivo_1)</t>
        </is>
      </c>
      <c r="K1180" t="inlineStr">
        <is>
          <t>Intrusivo</t>
        </is>
      </c>
      <c r="L1180" t="inlineStr">
        <is>
          <t>Intrusivo</t>
        </is>
      </c>
      <c r="M1180" t="n">
        <v>2</v>
      </c>
      <c r="N1180" t="inlineStr"/>
      <c r="O1180" t="inlineStr"/>
      <c r="P1180" t="n">
        <v>1.25</v>
      </c>
      <c r="Q1180" t="n">
        <v>0.04</v>
      </c>
    </row>
    <row r="1181">
      <c r="A1181" t="inlineStr">
        <is>
          <t>MR24</t>
        </is>
      </c>
      <c r="B1181" t="inlineStr">
        <is>
          <t>Merged_Table_Assay_lito</t>
        </is>
      </c>
      <c r="C1181" t="inlineStr">
        <is>
          <t>metros de sondaje; pct sobre metros</t>
        </is>
      </c>
      <c r="D1181" t="inlineStr">
        <is>
          <t>fase_plp_GM_FASES_LE2_Output</t>
        </is>
      </c>
      <c r="E1181" t="inlineStr">
        <is>
          <t>11A</t>
        </is>
      </c>
      <c r="F1181" t="inlineStr">
        <is>
          <t>ROCKCODE</t>
        </is>
      </c>
      <c r="G1181" t="inlineStr">
        <is>
          <t>HBV</t>
        </is>
      </c>
      <c r="H1181" t="inlineStr">
        <is>
          <t>sin asignar</t>
        </is>
      </c>
      <c r="I1181" t="inlineStr">
        <is>
          <t>HBV</t>
        </is>
      </c>
      <c r="J1181" t="inlineStr">
        <is>
          <t>ROCKCODE agrupado en ROCKCODE_NUMEQ=14; sigla sin leyenda</t>
        </is>
      </c>
      <c r="K1181" t="inlineStr">
        <is>
          <t>Hornfels (hipótesis: siglas H*)</t>
        </is>
      </c>
      <c r="L1181" t="inlineStr">
        <is>
          <t>Metamorfico</t>
        </is>
      </c>
      <c r="M1181" t="n">
        <v>2</v>
      </c>
      <c r="N1181" t="inlineStr"/>
      <c r="O1181" t="inlineStr"/>
      <c r="P1181" t="n">
        <v>1.3</v>
      </c>
      <c r="Q1181" t="n">
        <v>0.041</v>
      </c>
    </row>
    <row r="1182">
      <c r="A1182" t="inlineStr">
        <is>
          <t>MR24</t>
        </is>
      </c>
      <c r="B1182" t="inlineStr">
        <is>
          <t>Merged_Table_Assay_lito</t>
        </is>
      </c>
      <c r="C1182" t="inlineStr">
        <is>
          <t>metros de sondaje; pct sobre metros</t>
        </is>
      </c>
      <c r="D1182" t="inlineStr">
        <is>
          <t>fase_plp_GM_FASES_LE2_Output</t>
        </is>
      </c>
      <c r="E1182" t="inlineStr">
        <is>
          <t>11A</t>
        </is>
      </c>
      <c r="F1182" t="inlineStr">
        <is>
          <t>ROCKCODE</t>
        </is>
      </c>
      <c r="G1182" t="inlineStr">
        <is>
          <t>HC</t>
        </is>
      </c>
      <c r="H1182" t="inlineStr">
        <is>
          <t>sin asignar</t>
        </is>
      </c>
      <c r="I1182" t="inlineStr">
        <is>
          <t>HC</t>
        </is>
      </c>
      <c r="J1182" t="inlineStr">
        <is>
          <t>ROCKCODE agrupado en ROCKCODE_NUMEQ=13; sigla sin leyenda</t>
        </is>
      </c>
      <c r="K1182" t="inlineStr">
        <is>
          <t>Hornfels (hipótesis: siglas H*)</t>
        </is>
      </c>
      <c r="L1182" t="inlineStr">
        <is>
          <t>Metamorfico</t>
        </is>
      </c>
      <c r="M1182" t="n">
        <v>264</v>
      </c>
      <c r="N1182" t="inlineStr"/>
      <c r="O1182" t="inlineStr"/>
      <c r="P1182" t="n">
        <v>226.7</v>
      </c>
      <c r="Q1182" t="n">
        <v>7.236</v>
      </c>
    </row>
    <row r="1183">
      <c r="A1183" t="inlineStr">
        <is>
          <t>MR24</t>
        </is>
      </c>
      <c r="B1183" t="inlineStr">
        <is>
          <t>Merged_Table_Assay_lito</t>
        </is>
      </c>
      <c r="C1183" t="inlineStr">
        <is>
          <t>metros de sondaje; pct sobre metros</t>
        </is>
      </c>
      <c r="D1183" t="inlineStr">
        <is>
          <t>fase_plp_GM_FASES_LE2_Output</t>
        </is>
      </c>
      <c r="E1183" t="inlineStr">
        <is>
          <t>11A</t>
        </is>
      </c>
      <c r="F1183" t="inlineStr">
        <is>
          <t>ROCKCODE</t>
        </is>
      </c>
      <c r="G1183" t="inlineStr">
        <is>
          <t>HDP</t>
        </is>
      </c>
      <c r="H1183" t="inlineStr">
        <is>
          <t>sin asignar</t>
        </is>
      </c>
      <c r="I1183" t="inlineStr">
        <is>
          <t>HDP</t>
        </is>
      </c>
      <c r="J1183" t="inlineStr">
        <is>
          <t>ROCKCODE agrupado en ROCKCODE_NUMEQ=14; sigla sin leyenda</t>
        </is>
      </c>
      <c r="K1183" t="inlineStr">
        <is>
          <t>Hornfels (hipótesis: siglas H*)</t>
        </is>
      </c>
      <c r="L1183" t="inlineStr">
        <is>
          <t>Metamorfico</t>
        </is>
      </c>
      <c r="M1183" t="n">
        <v>2</v>
      </c>
      <c r="N1183" t="inlineStr"/>
      <c r="O1183" t="inlineStr"/>
      <c r="P1183" t="n">
        <v>1</v>
      </c>
      <c r="Q1183" t="n">
        <v>0.032</v>
      </c>
    </row>
    <row r="1184">
      <c r="A1184" t="inlineStr">
        <is>
          <t>MR24</t>
        </is>
      </c>
      <c r="B1184" t="inlineStr">
        <is>
          <t>Merged_Table_Assay_lito</t>
        </is>
      </c>
      <c r="C1184" t="inlineStr">
        <is>
          <t>metros de sondaje; pct sobre metros</t>
        </is>
      </c>
      <c r="D1184" t="inlineStr">
        <is>
          <t>fase_plp_GM_FASES_LE2_Output</t>
        </is>
      </c>
      <c r="E1184" t="inlineStr">
        <is>
          <t>11A</t>
        </is>
      </c>
      <c r="F1184" t="inlineStr">
        <is>
          <t>ROCKCODE</t>
        </is>
      </c>
      <c r="G1184" t="inlineStr">
        <is>
          <t>HG</t>
        </is>
      </c>
      <c r="H1184" t="inlineStr">
        <is>
          <t>sin asignar</t>
        </is>
      </c>
      <c r="I1184" t="inlineStr">
        <is>
          <t>HG</t>
        </is>
      </c>
      <c r="J1184" t="inlineStr">
        <is>
          <t>ROCKCODE agrupado en ROCKCODE_NUMEQ=13; sigla sin leyenda</t>
        </is>
      </c>
      <c r="K1184" t="inlineStr">
        <is>
          <t>Hornfels (hipótesis: siglas H*)</t>
        </is>
      </c>
      <c r="L1184" t="inlineStr">
        <is>
          <t>Metamorfico</t>
        </is>
      </c>
      <c r="M1184" t="n">
        <v>1054</v>
      </c>
      <c r="N1184" t="inlineStr"/>
      <c r="O1184" t="inlineStr"/>
      <c r="P1184" t="n">
        <v>821.3</v>
      </c>
      <c r="Q1184" t="n">
        <v>26.214</v>
      </c>
    </row>
    <row r="1185">
      <c r="A1185" t="inlineStr">
        <is>
          <t>MR24</t>
        </is>
      </c>
      <c r="B1185" t="inlineStr">
        <is>
          <t>Merged_Table_Assay_lito</t>
        </is>
      </c>
      <c r="C1185" t="inlineStr">
        <is>
          <t>metros de sondaje; pct sobre metros</t>
        </is>
      </c>
      <c r="D1185" t="inlineStr">
        <is>
          <t>fase_plp_GM_FASES_LE2_Output</t>
        </is>
      </c>
      <c r="E1185" t="inlineStr">
        <is>
          <t>11A</t>
        </is>
      </c>
      <c r="F1185" t="inlineStr">
        <is>
          <t>ROCKCODE</t>
        </is>
      </c>
      <c r="G1185" t="inlineStr">
        <is>
          <t>HGS</t>
        </is>
      </c>
      <c r="H1185" t="inlineStr">
        <is>
          <t>sin asignar</t>
        </is>
      </c>
      <c r="I1185" t="inlineStr">
        <is>
          <t>HGS</t>
        </is>
      </c>
      <c r="J1185" t="inlineStr">
        <is>
          <t>ROCKCODE agrupado en ROCKCODE_NUMEQ=13; sigla sin leyenda</t>
        </is>
      </c>
      <c r="K1185" t="inlineStr">
        <is>
          <t>Hornfels (hipótesis: siglas H*)</t>
        </is>
      </c>
      <c r="L1185" t="inlineStr">
        <is>
          <t>Metamorfico</t>
        </is>
      </c>
      <c r="M1185" t="n">
        <v>413</v>
      </c>
      <c r="N1185" t="inlineStr"/>
      <c r="O1185" t="inlineStr"/>
      <c r="P1185" t="n">
        <v>319.45</v>
      </c>
      <c r="Q1185" t="n">
        <v>10.196</v>
      </c>
    </row>
    <row r="1186">
      <c r="A1186" t="inlineStr">
        <is>
          <t>MR24</t>
        </is>
      </c>
      <c r="B1186" t="inlineStr">
        <is>
          <t>Merged_Table_Assay_lito</t>
        </is>
      </c>
      <c r="C1186" t="inlineStr">
        <is>
          <t>metros de sondaje; pct sobre metros</t>
        </is>
      </c>
      <c r="D1186" t="inlineStr">
        <is>
          <t>fase_plp_GM_FASES_LE2_Output</t>
        </is>
      </c>
      <c r="E1186" t="inlineStr">
        <is>
          <t>11A</t>
        </is>
      </c>
      <c r="F1186" t="inlineStr">
        <is>
          <t>ROCKCODE</t>
        </is>
      </c>
      <c r="G1186" t="inlineStr">
        <is>
          <t>IPHPE</t>
        </is>
      </c>
      <c r="H1186" t="inlineStr">
        <is>
          <t>Intrusivo</t>
        </is>
      </c>
      <c r="I1186" t="inlineStr">
        <is>
          <t>IPHPE</t>
        </is>
      </c>
      <c r="J1186" t="inlineStr">
        <is>
          <t>ROCKCODE agrupado en ROCKCODE_NUMEQ=1 (Intrusivo_1)</t>
        </is>
      </c>
      <c r="K1186" t="inlineStr">
        <is>
          <t>Intrusivo</t>
        </is>
      </c>
      <c r="L1186" t="inlineStr">
        <is>
          <t>Intrusivo</t>
        </is>
      </c>
      <c r="M1186" t="n">
        <v>9</v>
      </c>
      <c r="N1186" t="inlineStr"/>
      <c r="O1186" t="inlineStr"/>
      <c r="P1186" t="n">
        <v>8.199999999999999</v>
      </c>
      <c r="Q1186" t="n">
        <v>0.262</v>
      </c>
    </row>
    <row r="1187">
      <c r="A1187" t="inlineStr">
        <is>
          <t>MR24</t>
        </is>
      </c>
      <c r="B1187" t="inlineStr">
        <is>
          <t>Merged_Table_Assay_lito</t>
        </is>
      </c>
      <c r="C1187" t="inlineStr">
        <is>
          <t>metros de sondaje; pct sobre metros</t>
        </is>
      </c>
      <c r="D1187" t="inlineStr">
        <is>
          <t>fase_plp_GM_FASES_LE2_Output</t>
        </is>
      </c>
      <c r="E1187" t="inlineStr">
        <is>
          <t>11A</t>
        </is>
      </c>
      <c r="F1187" t="inlineStr">
        <is>
          <t>ROCKCODE</t>
        </is>
      </c>
      <c r="G1187" t="inlineStr">
        <is>
          <t>IPPA</t>
        </is>
      </c>
      <c r="H1187" t="inlineStr">
        <is>
          <t>Intrusivo</t>
        </is>
      </c>
      <c r="I1187" t="inlineStr">
        <is>
          <t>IPPA</t>
        </is>
      </c>
      <c r="J1187" t="inlineStr">
        <is>
          <t>ROCKCODE agrupado en ROCKCODE_NUMEQ=1 (Intrusivo_1)</t>
        </is>
      </c>
      <c r="K1187" t="inlineStr">
        <is>
          <t>Intrusivo</t>
        </is>
      </c>
      <c r="L1187" t="inlineStr">
        <is>
          <t>Intrusivo</t>
        </is>
      </c>
      <c r="M1187" t="n">
        <v>4</v>
      </c>
      <c r="N1187" t="inlineStr"/>
      <c r="O1187" t="inlineStr"/>
      <c r="P1187" t="n">
        <v>3.65</v>
      </c>
      <c r="Q1187" t="n">
        <v>0.116</v>
      </c>
    </row>
    <row r="1188">
      <c r="A1188" t="inlineStr">
        <is>
          <t>MR24</t>
        </is>
      </c>
      <c r="B1188" t="inlineStr">
        <is>
          <t>Merged_Table_Assay_lito</t>
        </is>
      </c>
      <c r="C1188" t="inlineStr">
        <is>
          <t>metros de sondaje; pct sobre metros</t>
        </is>
      </c>
      <c r="D1188" t="inlineStr">
        <is>
          <t>fase_plp_GM_FASES_LE2_Output</t>
        </is>
      </c>
      <c r="E1188" t="inlineStr">
        <is>
          <t>11A</t>
        </is>
      </c>
      <c r="F1188" t="inlineStr">
        <is>
          <t>ROCKCODE</t>
        </is>
      </c>
      <c r="G1188" t="inlineStr">
        <is>
          <t>IPPAO</t>
        </is>
      </c>
      <c r="H1188" t="inlineStr">
        <is>
          <t>Intrusivo</t>
        </is>
      </c>
      <c r="I1188" t="inlineStr">
        <is>
          <t>IPPAO</t>
        </is>
      </c>
      <c r="J1188" t="inlineStr">
        <is>
          <t>ROCKCODE agrupado en ROCKCODE_NUMEQ=1 (Intrusivo_1)</t>
        </is>
      </c>
      <c r="K1188" t="inlineStr">
        <is>
          <t>Intrusivo</t>
        </is>
      </c>
      <c r="L1188" t="inlineStr">
        <is>
          <t>Intrusivo</t>
        </is>
      </c>
      <c r="M1188" t="n">
        <v>12</v>
      </c>
      <c r="N1188" t="inlineStr"/>
      <c r="O1188" t="inlineStr"/>
      <c r="P1188" t="n">
        <v>6.95</v>
      </c>
      <c r="Q1188" t="n">
        <v>0.222</v>
      </c>
    </row>
    <row r="1189">
      <c r="A1189" t="inlineStr">
        <is>
          <t>MR24</t>
        </is>
      </c>
      <c r="B1189" t="inlineStr">
        <is>
          <t>Merged_Table_Assay_lito</t>
        </is>
      </c>
      <c r="C1189" t="inlineStr">
        <is>
          <t>metros de sondaje; pct sobre metros</t>
        </is>
      </c>
      <c r="D1189" t="inlineStr">
        <is>
          <t>fase_plp_GM_FASES_LE2_Output</t>
        </is>
      </c>
      <c r="E1189" t="inlineStr">
        <is>
          <t>11A</t>
        </is>
      </c>
      <c r="F1189" t="inlineStr">
        <is>
          <t>ROCKCODE</t>
        </is>
      </c>
      <c r="G1189" t="inlineStr">
        <is>
          <t>IPPEO</t>
        </is>
      </c>
      <c r="H1189" t="inlineStr">
        <is>
          <t>Intrusivo</t>
        </is>
      </c>
      <c r="I1189" t="inlineStr">
        <is>
          <t>IPPEO</t>
        </is>
      </c>
      <c r="J1189" t="inlineStr">
        <is>
          <t>ROCKCODE agrupado en ROCKCODE_NUMEQ=1 (Intrusivo_1)</t>
        </is>
      </c>
      <c r="K1189" t="inlineStr">
        <is>
          <t>Intrusivo</t>
        </is>
      </c>
      <c r="L1189" t="inlineStr">
        <is>
          <t>Intrusivo</t>
        </is>
      </c>
      <c r="M1189" t="n">
        <v>3</v>
      </c>
      <c r="N1189" t="inlineStr"/>
      <c r="O1189" t="inlineStr"/>
      <c r="P1189" t="n">
        <v>2.05</v>
      </c>
      <c r="Q1189" t="n">
        <v>0.065</v>
      </c>
    </row>
    <row r="1190">
      <c r="A1190" t="inlineStr">
        <is>
          <t>MR24</t>
        </is>
      </c>
      <c r="B1190" t="inlineStr">
        <is>
          <t>Merged_Table_Assay_lito</t>
        </is>
      </c>
      <c r="C1190" t="inlineStr">
        <is>
          <t>metros de sondaje; pct sobre metros</t>
        </is>
      </c>
      <c r="D1190" t="inlineStr">
        <is>
          <t>fase_plp_GM_FASES_LE2_Output</t>
        </is>
      </c>
      <c r="E1190" t="inlineStr">
        <is>
          <t>11A</t>
        </is>
      </c>
      <c r="F1190" t="inlineStr">
        <is>
          <t>ROCKCODE</t>
        </is>
      </c>
      <c r="G1190" t="inlineStr">
        <is>
          <t>MG</t>
        </is>
      </c>
      <c r="H1190" t="inlineStr">
        <is>
          <t>sin asignar</t>
        </is>
      </c>
      <c r="I1190" t="inlineStr">
        <is>
          <t>MG</t>
        </is>
      </c>
      <c r="J1190" t="inlineStr">
        <is>
          <t>ROCKCODE agrupado en ROCKCODE_NUMEQ=16; sigla sin leyenda</t>
        </is>
      </c>
      <c r="K1190" t="inlineStr">
        <is>
          <t>Mármol (hipótesis: siglas M*)</t>
        </is>
      </c>
      <c r="L1190" t="inlineStr">
        <is>
          <t>Metamorfico</t>
        </is>
      </c>
      <c r="M1190" t="n">
        <v>21</v>
      </c>
      <c r="N1190" t="inlineStr"/>
      <c r="O1190" t="inlineStr"/>
      <c r="P1190" t="n">
        <v>19</v>
      </c>
      <c r="Q1190" t="n">
        <v>0.606</v>
      </c>
    </row>
    <row r="1191">
      <c r="A1191" t="inlineStr">
        <is>
          <t>MR24</t>
        </is>
      </c>
      <c r="B1191" t="inlineStr">
        <is>
          <t>Merged_Table_Assay_lito</t>
        </is>
      </c>
      <c r="C1191" t="inlineStr">
        <is>
          <t>metros de sondaje; pct sobre metros</t>
        </is>
      </c>
      <c r="D1191" t="inlineStr">
        <is>
          <t>fase_plp_GM_FASES_LE2_Output</t>
        </is>
      </c>
      <c r="E1191" t="inlineStr">
        <is>
          <t>11A</t>
        </is>
      </c>
      <c r="F1191" t="inlineStr">
        <is>
          <t>ROCKCODE</t>
        </is>
      </c>
      <c r="G1191" t="inlineStr">
        <is>
          <t>MGS</t>
        </is>
      </c>
      <c r="H1191" t="inlineStr">
        <is>
          <t>sin asignar</t>
        </is>
      </c>
      <c r="I1191" t="inlineStr">
        <is>
          <t>MGS</t>
        </is>
      </c>
      <c r="J1191" t="inlineStr">
        <is>
          <t>ROCKCODE agrupado en ROCKCODE_NUMEQ=16; sigla sin leyenda</t>
        </is>
      </c>
      <c r="K1191" t="inlineStr">
        <is>
          <t>Mármol (hipótesis: siglas M*)</t>
        </is>
      </c>
      <c r="L1191" t="inlineStr">
        <is>
          <t>Metamorfico</t>
        </is>
      </c>
      <c r="M1191" t="n">
        <v>54</v>
      </c>
      <c r="N1191" t="inlineStr"/>
      <c r="O1191" t="inlineStr"/>
      <c r="P1191" t="n">
        <v>37.8</v>
      </c>
      <c r="Q1191" t="n">
        <v>1.206</v>
      </c>
    </row>
    <row r="1192">
      <c r="A1192" t="inlineStr">
        <is>
          <t>MR24</t>
        </is>
      </c>
      <c r="B1192" t="inlineStr">
        <is>
          <t>Merged_Table_Assay_lito</t>
        </is>
      </c>
      <c r="C1192" t="inlineStr">
        <is>
          <t>metros de sondaje; pct sobre metros</t>
        </is>
      </c>
      <c r="D1192" t="inlineStr">
        <is>
          <t>fase_plp_GM_FASES_LE2_Output</t>
        </is>
      </c>
      <c r="E1192" t="inlineStr">
        <is>
          <t>11A</t>
        </is>
      </c>
      <c r="F1192" t="inlineStr">
        <is>
          <t>ROCKCODE</t>
        </is>
      </c>
      <c r="G1192" t="inlineStr">
        <is>
          <t>MPA</t>
        </is>
      </c>
      <c r="H1192" t="inlineStr">
        <is>
          <t>sin asignar</t>
        </is>
      </c>
      <c r="I1192" t="inlineStr">
        <is>
          <t>MPA</t>
        </is>
      </c>
      <c r="J1192" t="inlineStr">
        <is>
          <t>ROCKCODE agrupado en ROCKCODE_NUMEQ=16; sigla sin leyenda</t>
        </is>
      </c>
      <c r="K1192" t="inlineStr">
        <is>
          <t>Mármol (hipótesis: siglas M*)</t>
        </is>
      </c>
      <c r="L1192" t="inlineStr">
        <is>
          <t>Metamorfico</t>
        </is>
      </c>
      <c r="M1192" t="n">
        <v>12</v>
      </c>
      <c r="N1192" t="inlineStr"/>
      <c r="O1192" t="inlineStr"/>
      <c r="P1192" t="n">
        <v>10.15</v>
      </c>
      <c r="Q1192" t="n">
        <v>0.324</v>
      </c>
    </row>
    <row r="1193">
      <c r="A1193" t="inlineStr">
        <is>
          <t>MR24</t>
        </is>
      </c>
      <c r="B1193" t="inlineStr">
        <is>
          <t>Merged_Table_Assay_lito</t>
        </is>
      </c>
      <c r="C1193" t="inlineStr">
        <is>
          <t>metros de sondaje; pct sobre metros</t>
        </is>
      </c>
      <c r="D1193" t="inlineStr">
        <is>
          <t>fase_plp_GM_FASES_LE2_Output</t>
        </is>
      </c>
      <c r="E1193" t="inlineStr">
        <is>
          <t>11B</t>
        </is>
      </c>
      <c r="F1193" t="inlineStr">
        <is>
          <t>ROCKCODE</t>
        </is>
      </c>
      <c r="G1193" t="inlineStr">
        <is>
          <t>CA</t>
        </is>
      </c>
      <c r="H1193" t="inlineStr">
        <is>
          <t>sin asignar</t>
        </is>
      </c>
      <c r="I1193" t="inlineStr">
        <is>
          <t>CA</t>
        </is>
      </c>
      <c r="J1193" t="inlineStr">
        <is>
          <t>ROCKCODE agrupado en ROCKCODE_NUMEQ=10; sigla sin leyenda</t>
        </is>
      </c>
      <c r="K1193" t="inlineStr">
        <is>
          <t>Caliza (hipótesis: siglas C*)</t>
        </is>
      </c>
      <c r="L1193" t="inlineStr">
        <is>
          <t>Sedimentario</t>
        </is>
      </c>
      <c r="M1193" t="n">
        <v>157</v>
      </c>
      <c r="N1193" t="inlineStr"/>
      <c r="O1193" t="inlineStr"/>
      <c r="P1193" t="n">
        <v>135.5</v>
      </c>
      <c r="Q1193" t="n">
        <v>8.095000000000001</v>
      </c>
    </row>
    <row r="1194">
      <c r="A1194" t="inlineStr">
        <is>
          <t>MR24</t>
        </is>
      </c>
      <c r="B1194" t="inlineStr">
        <is>
          <t>Merged_Table_Assay_lito</t>
        </is>
      </c>
      <c r="C1194" t="inlineStr">
        <is>
          <t>metros de sondaje; pct sobre metros</t>
        </is>
      </c>
      <c r="D1194" t="inlineStr">
        <is>
          <t>fase_plp_GM_FASES_LE2_Output</t>
        </is>
      </c>
      <c r="E1194" t="inlineStr">
        <is>
          <t>11B</t>
        </is>
      </c>
      <c r="F1194" t="inlineStr">
        <is>
          <t>ROCKCODE</t>
        </is>
      </c>
      <c r="G1194" t="inlineStr">
        <is>
          <t>CG</t>
        </is>
      </c>
      <c r="H1194" t="inlineStr">
        <is>
          <t>sin asignar</t>
        </is>
      </c>
      <c r="I1194" t="inlineStr">
        <is>
          <t>CG</t>
        </is>
      </c>
      <c r="J1194" t="inlineStr">
        <is>
          <t>ROCKCODE agrupado en ROCKCODE_NUMEQ=10; sigla sin leyenda</t>
        </is>
      </c>
      <c r="K1194" t="inlineStr">
        <is>
          <t>Caliza (hipótesis: siglas C*)</t>
        </is>
      </c>
      <c r="L1194" t="inlineStr">
        <is>
          <t>Sedimentario</t>
        </is>
      </c>
      <c r="M1194" t="n">
        <v>962</v>
      </c>
      <c r="N1194" t="inlineStr"/>
      <c r="O1194" t="inlineStr"/>
      <c r="P1194" t="n">
        <v>861.35</v>
      </c>
      <c r="Q1194" t="n">
        <v>51.458</v>
      </c>
    </row>
    <row r="1195">
      <c r="A1195" t="inlineStr">
        <is>
          <t>MR24</t>
        </is>
      </c>
      <c r="B1195" t="inlineStr">
        <is>
          <t>Merged_Table_Assay_lito</t>
        </is>
      </c>
      <c r="C1195" t="inlineStr">
        <is>
          <t>metros de sondaje; pct sobre metros</t>
        </is>
      </c>
      <c r="D1195" t="inlineStr">
        <is>
          <t>fase_plp_GM_FASES_LE2_Output</t>
        </is>
      </c>
      <c r="E1195" t="inlineStr">
        <is>
          <t>11B</t>
        </is>
      </c>
      <c r="F1195" t="inlineStr">
        <is>
          <t>ROCKCODE</t>
        </is>
      </c>
      <c r="G1195" t="inlineStr">
        <is>
          <t>CGS</t>
        </is>
      </c>
      <c r="H1195" t="inlineStr">
        <is>
          <t>sin asignar</t>
        </is>
      </c>
      <c r="I1195" t="inlineStr">
        <is>
          <t>CGS</t>
        </is>
      </c>
      <c r="J1195" t="inlineStr">
        <is>
          <t>ROCKCODE agrupado en ROCKCODE_NUMEQ=10; sigla sin leyenda</t>
        </is>
      </c>
      <c r="K1195" t="inlineStr">
        <is>
          <t>Caliza (hipótesis: siglas C*)</t>
        </is>
      </c>
      <c r="L1195" t="inlineStr">
        <is>
          <t>Sedimentario</t>
        </is>
      </c>
      <c r="M1195" t="n">
        <v>426</v>
      </c>
      <c r="N1195" t="inlineStr"/>
      <c r="O1195" t="inlineStr"/>
      <c r="P1195" t="n">
        <v>366.25</v>
      </c>
      <c r="Q1195" t="n">
        <v>21.88</v>
      </c>
    </row>
    <row r="1196">
      <c r="A1196" t="inlineStr">
        <is>
          <t>MR24</t>
        </is>
      </c>
      <c r="B1196" t="inlineStr">
        <is>
          <t>Merged_Table_Assay_lito</t>
        </is>
      </c>
      <c r="C1196" t="inlineStr">
        <is>
          <t>metros de sondaje; pct sobre metros</t>
        </is>
      </c>
      <c r="D1196" t="inlineStr">
        <is>
          <t>fase_plp_GM_FASES_LE2_Output</t>
        </is>
      </c>
      <c r="E1196" t="inlineStr">
        <is>
          <t>11B</t>
        </is>
      </c>
      <c r="F1196" t="inlineStr">
        <is>
          <t>ROCKCODE</t>
        </is>
      </c>
      <c r="G1196" t="inlineStr">
        <is>
          <t>CN</t>
        </is>
      </c>
      <c r="H1196" t="inlineStr">
        <is>
          <t>sin asignar</t>
        </is>
      </c>
      <c r="I1196" t="inlineStr">
        <is>
          <t>CN</t>
        </is>
      </c>
      <c r="J1196" t="inlineStr">
        <is>
          <t>ROCKCODE agrupado en ROCKCODE_NUMEQ=10; sigla sin leyenda</t>
        </is>
      </c>
      <c r="K1196" t="inlineStr">
        <is>
          <t>Caliza (hipótesis: siglas C*)</t>
        </is>
      </c>
      <c r="L1196" t="inlineStr">
        <is>
          <t>Sedimentario</t>
        </is>
      </c>
      <c r="M1196" t="n">
        <v>2</v>
      </c>
      <c r="N1196" t="inlineStr"/>
      <c r="O1196" t="inlineStr"/>
      <c r="P1196" t="n">
        <v>1.55</v>
      </c>
      <c r="Q1196" t="n">
        <v>0.093</v>
      </c>
    </row>
    <row r="1197">
      <c r="A1197" t="inlineStr">
        <is>
          <t>MR24</t>
        </is>
      </c>
      <c r="B1197" t="inlineStr">
        <is>
          <t>Merged_Table_Assay_lito</t>
        </is>
      </c>
      <c r="C1197" t="inlineStr">
        <is>
          <t>metros de sondaje; pct sobre metros</t>
        </is>
      </c>
      <c r="D1197" t="inlineStr">
        <is>
          <t>fase_plp_GM_FASES_LE2_Output</t>
        </is>
      </c>
      <c r="E1197" t="inlineStr">
        <is>
          <t>11B</t>
        </is>
      </c>
      <c r="F1197" t="inlineStr">
        <is>
          <t>ROCKCODE</t>
        </is>
      </c>
      <c r="G1197" t="inlineStr">
        <is>
          <t>DI</t>
        </is>
      </c>
      <c r="H1197" t="inlineStr">
        <is>
          <t>Intrusivo</t>
        </is>
      </c>
      <c r="I1197" t="inlineStr">
        <is>
          <t>DI</t>
        </is>
      </c>
      <c r="J1197" t="inlineStr">
        <is>
          <t>ROCKCODE agrupado en ROCKCODE_NUMEQ=1 (Intrusivo_1)</t>
        </is>
      </c>
      <c r="K1197" t="inlineStr">
        <is>
          <t>Intrusivo</t>
        </is>
      </c>
      <c r="L1197" t="inlineStr">
        <is>
          <t>Intrusivo</t>
        </is>
      </c>
      <c r="M1197" t="n">
        <v>2</v>
      </c>
      <c r="N1197" t="inlineStr"/>
      <c r="O1197" t="inlineStr"/>
      <c r="P1197" t="n">
        <v>1.5</v>
      </c>
      <c r="Q1197" t="n">
        <v>0.09</v>
      </c>
    </row>
    <row r="1198">
      <c r="A1198" t="inlineStr">
        <is>
          <t>MR24</t>
        </is>
      </c>
      <c r="B1198" t="inlineStr">
        <is>
          <t>Merged_Table_Assay_lito</t>
        </is>
      </c>
      <c r="C1198" t="inlineStr">
        <is>
          <t>metros de sondaje; pct sobre metros</t>
        </is>
      </c>
      <c r="D1198" t="inlineStr">
        <is>
          <t>fase_plp_GM_FASES_LE2_Output</t>
        </is>
      </c>
      <c r="E1198" t="inlineStr">
        <is>
          <t>11B</t>
        </is>
      </c>
      <c r="F1198" t="inlineStr">
        <is>
          <t>ROCKCODE</t>
        </is>
      </c>
      <c r="G1198" t="inlineStr">
        <is>
          <t>HBV</t>
        </is>
      </c>
      <c r="H1198" t="inlineStr">
        <is>
          <t>sin asignar</t>
        </is>
      </c>
      <c r="I1198" t="inlineStr">
        <is>
          <t>HBV</t>
        </is>
      </c>
      <c r="J1198" t="inlineStr">
        <is>
          <t>ROCKCODE agrupado en ROCKCODE_NUMEQ=14; sigla sin leyenda</t>
        </is>
      </c>
      <c r="K1198" t="inlineStr">
        <is>
          <t>Hornfels (hipótesis: siglas H*)</t>
        </is>
      </c>
      <c r="L1198" t="inlineStr">
        <is>
          <t>Metamorfico</t>
        </is>
      </c>
      <c r="M1198" t="n">
        <v>13</v>
      </c>
      <c r="N1198" t="inlineStr"/>
      <c r="O1198" t="inlineStr"/>
      <c r="P1198" t="n">
        <v>11.1</v>
      </c>
      <c r="Q1198" t="n">
        <v>0.663</v>
      </c>
    </row>
    <row r="1199">
      <c r="A1199" t="inlineStr">
        <is>
          <t>MR24</t>
        </is>
      </c>
      <c r="B1199" t="inlineStr">
        <is>
          <t>Merged_Table_Assay_lito</t>
        </is>
      </c>
      <c r="C1199" t="inlineStr">
        <is>
          <t>metros de sondaje; pct sobre metros</t>
        </is>
      </c>
      <c r="D1199" t="inlineStr">
        <is>
          <t>fase_plp_GM_FASES_LE2_Output</t>
        </is>
      </c>
      <c r="E1199" t="inlineStr">
        <is>
          <t>11B</t>
        </is>
      </c>
      <c r="F1199" t="inlineStr">
        <is>
          <t>ROCKCODE</t>
        </is>
      </c>
      <c r="G1199" t="inlineStr">
        <is>
          <t>HC</t>
        </is>
      </c>
      <c r="H1199" t="inlineStr">
        <is>
          <t>sin asignar</t>
        </is>
      </c>
      <c r="I1199" t="inlineStr">
        <is>
          <t>HC</t>
        </is>
      </c>
      <c r="J1199" t="inlineStr">
        <is>
          <t>ROCKCODE agrupado en ROCKCODE_NUMEQ=13; sigla sin leyenda</t>
        </is>
      </c>
      <c r="K1199" t="inlineStr">
        <is>
          <t>Hornfels (hipótesis: siglas H*)</t>
        </is>
      </c>
      <c r="L1199" t="inlineStr">
        <is>
          <t>Metamorfico</t>
        </is>
      </c>
      <c r="M1199" t="n">
        <v>49</v>
      </c>
      <c r="N1199" t="inlineStr"/>
      <c r="O1199" t="inlineStr"/>
      <c r="P1199" t="n">
        <v>44.2</v>
      </c>
      <c r="Q1199" t="n">
        <v>2.641</v>
      </c>
    </row>
    <row r="1200">
      <c r="A1200" t="inlineStr">
        <is>
          <t>MR24</t>
        </is>
      </c>
      <c r="B1200" t="inlineStr">
        <is>
          <t>Merged_Table_Assay_lito</t>
        </is>
      </c>
      <c r="C1200" t="inlineStr">
        <is>
          <t>metros de sondaje; pct sobre metros</t>
        </is>
      </c>
      <c r="D1200" t="inlineStr">
        <is>
          <t>fase_plp_GM_FASES_LE2_Output</t>
        </is>
      </c>
      <c r="E1200" t="inlineStr">
        <is>
          <t>11B</t>
        </is>
      </c>
      <c r="F1200" t="inlineStr">
        <is>
          <t>ROCKCODE</t>
        </is>
      </c>
      <c r="G1200" t="inlineStr">
        <is>
          <t>HDP</t>
        </is>
      </c>
      <c r="H1200" t="inlineStr">
        <is>
          <t>sin asignar</t>
        </is>
      </c>
      <c r="I1200" t="inlineStr">
        <is>
          <t>HDP</t>
        </is>
      </c>
      <c r="J1200" t="inlineStr">
        <is>
          <t>ROCKCODE agrupado en ROCKCODE_NUMEQ=14; sigla sin leyenda</t>
        </is>
      </c>
      <c r="K1200" t="inlineStr">
        <is>
          <t>Hornfels (hipótesis: siglas H*)</t>
        </is>
      </c>
      <c r="L1200" t="inlineStr">
        <is>
          <t>Metamorfico</t>
        </is>
      </c>
      <c r="M1200" t="n">
        <v>3</v>
      </c>
      <c r="N1200" t="inlineStr"/>
      <c r="O1200" t="inlineStr"/>
      <c r="P1200" t="n">
        <v>2.65</v>
      </c>
      <c r="Q1200" t="n">
        <v>0.158</v>
      </c>
    </row>
    <row r="1201">
      <c r="A1201" t="inlineStr">
        <is>
          <t>MR24</t>
        </is>
      </c>
      <c r="B1201" t="inlineStr">
        <is>
          <t>Merged_Table_Assay_lito</t>
        </is>
      </c>
      <c r="C1201" t="inlineStr">
        <is>
          <t>metros de sondaje; pct sobre metros</t>
        </is>
      </c>
      <c r="D1201" t="inlineStr">
        <is>
          <t>fase_plp_GM_FASES_LE2_Output</t>
        </is>
      </c>
      <c r="E1201" t="inlineStr">
        <is>
          <t>11B</t>
        </is>
      </c>
      <c r="F1201" t="inlineStr">
        <is>
          <t>ROCKCODE</t>
        </is>
      </c>
      <c r="G1201" t="inlineStr">
        <is>
          <t>HG</t>
        </is>
      </c>
      <c r="H1201" t="inlineStr">
        <is>
          <t>sin asignar</t>
        </is>
      </c>
      <c r="I1201" t="inlineStr">
        <is>
          <t>HG</t>
        </is>
      </c>
      <c r="J1201" t="inlineStr">
        <is>
          <t>ROCKCODE agrupado en ROCKCODE_NUMEQ=13; sigla sin leyenda</t>
        </is>
      </c>
      <c r="K1201" t="inlineStr">
        <is>
          <t>Hornfels (hipótesis: siglas H*)</t>
        </is>
      </c>
      <c r="L1201" t="inlineStr">
        <is>
          <t>Metamorfico</t>
        </is>
      </c>
      <c r="M1201" t="n">
        <v>214</v>
      </c>
      <c r="N1201" t="inlineStr"/>
      <c r="O1201" t="inlineStr"/>
      <c r="P1201" t="n">
        <v>196.15</v>
      </c>
      <c r="Q1201" t="n">
        <v>11.718</v>
      </c>
    </row>
    <row r="1202">
      <c r="A1202" t="inlineStr">
        <is>
          <t>MR24</t>
        </is>
      </c>
      <c r="B1202" t="inlineStr">
        <is>
          <t>Merged_Table_Assay_lito</t>
        </is>
      </c>
      <c r="C1202" t="inlineStr">
        <is>
          <t>metros de sondaje; pct sobre metros</t>
        </is>
      </c>
      <c r="D1202" t="inlineStr">
        <is>
          <t>fase_plp_GM_FASES_LE2_Output</t>
        </is>
      </c>
      <c r="E1202" t="inlineStr">
        <is>
          <t>11B</t>
        </is>
      </c>
      <c r="F1202" t="inlineStr">
        <is>
          <t>ROCKCODE</t>
        </is>
      </c>
      <c r="G1202" t="inlineStr">
        <is>
          <t>HGS</t>
        </is>
      </c>
      <c r="H1202" t="inlineStr">
        <is>
          <t>sin asignar</t>
        </is>
      </c>
      <c r="I1202" t="inlineStr">
        <is>
          <t>HGS</t>
        </is>
      </c>
      <c r="J1202" t="inlineStr">
        <is>
          <t>ROCKCODE agrupado en ROCKCODE_NUMEQ=13; sigla sin leyenda</t>
        </is>
      </c>
      <c r="K1202" t="inlineStr">
        <is>
          <t>Hornfels (hipótesis: siglas H*)</t>
        </is>
      </c>
      <c r="L1202" t="inlineStr">
        <is>
          <t>Metamorfico</t>
        </is>
      </c>
      <c r="M1202" t="n">
        <v>21</v>
      </c>
      <c r="N1202" t="inlineStr"/>
      <c r="O1202" t="inlineStr"/>
      <c r="P1202" t="n">
        <v>21.1</v>
      </c>
      <c r="Q1202" t="n">
        <v>1.261</v>
      </c>
    </row>
    <row r="1203">
      <c r="A1203" t="inlineStr">
        <is>
          <t>MR24</t>
        </is>
      </c>
      <c r="B1203" t="inlineStr">
        <is>
          <t>Merged_Table_Assay_lito</t>
        </is>
      </c>
      <c r="C1203" t="inlineStr">
        <is>
          <t>metros de sondaje; pct sobre metros</t>
        </is>
      </c>
      <c r="D1203" t="inlineStr">
        <is>
          <t>fase_plp_GM_FASES_LE2_Output</t>
        </is>
      </c>
      <c r="E1203" t="inlineStr">
        <is>
          <t>11B</t>
        </is>
      </c>
      <c r="F1203" t="inlineStr">
        <is>
          <t>ROCKCODE</t>
        </is>
      </c>
      <c r="G1203" t="inlineStr">
        <is>
          <t>HGV</t>
        </is>
      </c>
      <c r="H1203" t="inlineStr">
        <is>
          <t>sin asignar</t>
        </is>
      </c>
      <c r="I1203" t="inlineStr">
        <is>
          <t>HGV</t>
        </is>
      </c>
      <c r="J1203" t="inlineStr">
        <is>
          <t>ROCKCODE agrupado en ROCKCODE_NUMEQ=14; sigla sin leyenda</t>
        </is>
      </c>
      <c r="K1203" t="inlineStr">
        <is>
          <t>Hornfels (hipótesis: siglas H*)</t>
        </is>
      </c>
      <c r="L1203" t="inlineStr">
        <is>
          <t>Metamorfico</t>
        </is>
      </c>
      <c r="M1203" t="n">
        <v>7</v>
      </c>
      <c r="N1203" t="inlineStr"/>
      <c r="O1203" t="inlineStr"/>
      <c r="P1203" t="n">
        <v>7.15</v>
      </c>
      <c r="Q1203" t="n">
        <v>0.427</v>
      </c>
    </row>
    <row r="1204">
      <c r="A1204" t="inlineStr">
        <is>
          <t>MR24</t>
        </is>
      </c>
      <c r="B1204" t="inlineStr">
        <is>
          <t>Merged_Table_Assay_lito</t>
        </is>
      </c>
      <c r="C1204" t="inlineStr">
        <is>
          <t>metros de sondaje; pct sobre metros</t>
        </is>
      </c>
      <c r="D1204" t="inlineStr">
        <is>
          <t>fase_plp_GM_FASES_LE2_Output</t>
        </is>
      </c>
      <c r="E1204" t="inlineStr">
        <is>
          <t>11B</t>
        </is>
      </c>
      <c r="F1204" t="inlineStr">
        <is>
          <t>ROCKCODE</t>
        </is>
      </c>
      <c r="G1204" t="inlineStr">
        <is>
          <t>HV</t>
        </is>
      </c>
      <c r="H1204" t="inlineStr">
        <is>
          <t>sin asignar</t>
        </is>
      </c>
      <c r="I1204" t="inlineStr">
        <is>
          <t>HV</t>
        </is>
      </c>
      <c r="J1204" t="inlineStr">
        <is>
          <t>ROCKCODE agrupado en ROCKCODE_NUMEQ=14; sigla sin leyenda</t>
        </is>
      </c>
      <c r="K1204" t="inlineStr">
        <is>
          <t>Hornfels (hipótesis: siglas H*)</t>
        </is>
      </c>
      <c r="L1204" t="inlineStr">
        <is>
          <t>Metamorfico</t>
        </is>
      </c>
      <c r="M1204" t="n">
        <v>5</v>
      </c>
      <c r="N1204" t="inlineStr"/>
      <c r="O1204" t="inlineStr"/>
      <c r="P1204" t="n">
        <v>3</v>
      </c>
      <c r="Q1204" t="n">
        <v>0.179</v>
      </c>
    </row>
    <row r="1205">
      <c r="A1205" t="inlineStr">
        <is>
          <t>MR24</t>
        </is>
      </c>
      <c r="B1205" t="inlineStr">
        <is>
          <t>Merged_Table_Assay_lito</t>
        </is>
      </c>
      <c r="C1205" t="inlineStr">
        <is>
          <t>metros de sondaje; pct sobre metros</t>
        </is>
      </c>
      <c r="D1205" t="inlineStr">
        <is>
          <t>fase_plp_GM_FASES_LE2_Output</t>
        </is>
      </c>
      <c r="E1205" t="inlineStr">
        <is>
          <t>11B</t>
        </is>
      </c>
      <c r="F1205" t="inlineStr">
        <is>
          <t>ROCKCODE</t>
        </is>
      </c>
      <c r="G1205" t="inlineStr">
        <is>
          <t>IPHPE</t>
        </is>
      </c>
      <c r="H1205" t="inlineStr">
        <is>
          <t>Intrusivo</t>
        </is>
      </c>
      <c r="I1205" t="inlineStr">
        <is>
          <t>IPHPE</t>
        </is>
      </c>
      <c r="J1205" t="inlineStr">
        <is>
          <t>ROCKCODE agrupado en ROCKCODE_NUMEQ=1 (Intrusivo_1)</t>
        </is>
      </c>
      <c r="K1205" t="inlineStr">
        <is>
          <t>Intrusivo</t>
        </is>
      </c>
      <c r="L1205" t="inlineStr">
        <is>
          <t>Intrusivo</t>
        </is>
      </c>
      <c r="M1205" t="n">
        <v>7</v>
      </c>
      <c r="N1205" t="inlineStr"/>
      <c r="O1205" t="inlineStr"/>
      <c r="P1205" t="n">
        <v>6.5</v>
      </c>
      <c r="Q1205" t="n">
        <v>0.388</v>
      </c>
    </row>
    <row r="1206">
      <c r="A1206" t="inlineStr">
        <is>
          <t>MR24</t>
        </is>
      </c>
      <c r="B1206" t="inlineStr">
        <is>
          <t>Merged_Table_Assay_lito</t>
        </is>
      </c>
      <c r="C1206" t="inlineStr">
        <is>
          <t>metros de sondaje; pct sobre metros</t>
        </is>
      </c>
      <c r="D1206" t="inlineStr">
        <is>
          <t>fase_plp_GM_FASES_LE2_Output</t>
        </is>
      </c>
      <c r="E1206" t="inlineStr">
        <is>
          <t>11B</t>
        </is>
      </c>
      <c r="F1206" t="inlineStr">
        <is>
          <t>ROCKCODE</t>
        </is>
      </c>
      <c r="G1206" t="inlineStr">
        <is>
          <t>IPPA</t>
        </is>
      </c>
      <c r="H1206" t="inlineStr">
        <is>
          <t>Intrusivo</t>
        </is>
      </c>
      <c r="I1206" t="inlineStr">
        <is>
          <t>IPPA</t>
        </is>
      </c>
      <c r="J1206" t="inlineStr">
        <is>
          <t>ROCKCODE agrupado en ROCKCODE_NUMEQ=1 (Intrusivo_1)</t>
        </is>
      </c>
      <c r="K1206" t="inlineStr">
        <is>
          <t>Intrusivo</t>
        </is>
      </c>
      <c r="L1206" t="inlineStr">
        <is>
          <t>Intrusivo</t>
        </is>
      </c>
      <c r="M1206" t="n">
        <v>22</v>
      </c>
      <c r="N1206" t="inlineStr"/>
      <c r="O1206" t="inlineStr"/>
      <c r="P1206" t="n">
        <v>15.9</v>
      </c>
      <c r="Q1206" t="n">
        <v>0.95</v>
      </c>
    </row>
    <row r="1207">
      <c r="A1207" t="inlineStr">
        <is>
          <t>MR24</t>
        </is>
      </c>
      <c r="B1207" t="inlineStr">
        <is>
          <t>Merged_Table_Assay_lito</t>
        </is>
      </c>
      <c r="C1207" t="inlineStr">
        <is>
          <t>metros de sondaje; pct sobre metros</t>
        </is>
      </c>
      <c r="D1207" t="inlineStr">
        <is>
          <t>fase_plp_GM_FASES_LE2_Output</t>
        </is>
      </c>
      <c r="E1207" t="inlineStr">
        <is>
          <t>11C</t>
        </is>
      </c>
      <c r="F1207" t="inlineStr">
        <is>
          <t>ROCKCODE</t>
        </is>
      </c>
      <c r="G1207" t="inlineStr">
        <is>
          <t>BMHG</t>
        </is>
      </c>
      <c r="H1207" t="inlineStr">
        <is>
          <t>sin asignar</t>
        </is>
      </c>
      <c r="I1207" t="inlineStr">
        <is>
          <t>BMHG</t>
        </is>
      </c>
      <c r="J1207" t="inlineStr">
        <is>
          <t>ROCKCODE agrupado en ROCKCODE_NUMEQ=13; sigla sin leyenda</t>
        </is>
      </c>
      <c r="K1207" t="inlineStr">
        <is>
          <t>Hornfels (hipótesis: siglas H*)</t>
        </is>
      </c>
      <c r="L1207" t="inlineStr">
        <is>
          <t>Metamorfico</t>
        </is>
      </c>
      <c r="M1207" t="n">
        <v>7</v>
      </c>
      <c r="N1207" t="inlineStr"/>
      <c r="O1207" t="inlineStr"/>
      <c r="P1207" t="n">
        <v>3.85</v>
      </c>
      <c r="Q1207" t="n">
        <v>0.07000000000000001</v>
      </c>
    </row>
    <row r="1208">
      <c r="A1208" t="inlineStr">
        <is>
          <t>MR24</t>
        </is>
      </c>
      <c r="B1208" t="inlineStr">
        <is>
          <t>Merged_Table_Assay_lito</t>
        </is>
      </c>
      <c r="C1208" t="inlineStr">
        <is>
          <t>metros de sondaje; pct sobre metros</t>
        </is>
      </c>
      <c r="D1208" t="inlineStr">
        <is>
          <t>fase_plp_GM_FASES_LE2_Output</t>
        </is>
      </c>
      <c r="E1208" t="inlineStr">
        <is>
          <t>11C</t>
        </is>
      </c>
      <c r="F1208" t="inlineStr">
        <is>
          <t>ROCKCODE</t>
        </is>
      </c>
      <c r="G1208" t="inlineStr">
        <is>
          <t>C</t>
        </is>
      </c>
      <c r="H1208" t="inlineStr">
        <is>
          <t>sin asignar</t>
        </is>
      </c>
      <c r="I1208" t="inlineStr">
        <is>
          <t>C</t>
        </is>
      </c>
      <c r="J1208" t="inlineStr">
        <is>
          <t>ROCKCODE agrupado en ROCKCODE_NUMEQ=10; sigla sin leyenda</t>
        </is>
      </c>
      <c r="K1208" t="inlineStr">
        <is>
          <t>Caliza (hipótesis: siglas C*)</t>
        </is>
      </c>
      <c r="L1208" t="inlineStr">
        <is>
          <t>Sedimentario</t>
        </is>
      </c>
      <c r="M1208" t="n">
        <v>2</v>
      </c>
      <c r="N1208" t="inlineStr"/>
      <c r="O1208" t="inlineStr"/>
      <c r="P1208" t="n">
        <v>10</v>
      </c>
      <c r="Q1208" t="n">
        <v>0.181</v>
      </c>
    </row>
    <row r="1209">
      <c r="A1209" t="inlineStr">
        <is>
          <t>MR24</t>
        </is>
      </c>
      <c r="B1209" t="inlineStr">
        <is>
          <t>Merged_Table_Assay_lito</t>
        </is>
      </c>
      <c r="C1209" t="inlineStr">
        <is>
          <t>metros de sondaje; pct sobre metros</t>
        </is>
      </c>
      <c r="D1209" t="inlineStr">
        <is>
          <t>fase_plp_GM_FASES_LE2_Output</t>
        </is>
      </c>
      <c r="E1209" t="inlineStr">
        <is>
          <t>11C</t>
        </is>
      </c>
      <c r="F1209" t="inlineStr">
        <is>
          <t>ROCKCODE</t>
        </is>
      </c>
      <c r="G1209" t="inlineStr">
        <is>
          <t>CA</t>
        </is>
      </c>
      <c r="H1209" t="inlineStr">
        <is>
          <t>sin asignar</t>
        </is>
      </c>
      <c r="I1209" t="inlineStr">
        <is>
          <t>CA</t>
        </is>
      </c>
      <c r="J1209" t="inlineStr">
        <is>
          <t>ROCKCODE agrupado en ROCKCODE_NUMEQ=10; sigla sin leyenda</t>
        </is>
      </c>
      <c r="K1209" t="inlineStr">
        <is>
          <t>Caliza (hipótesis: siglas C*)</t>
        </is>
      </c>
      <c r="L1209" t="inlineStr">
        <is>
          <t>Sedimentario</t>
        </is>
      </c>
      <c r="M1209" t="n">
        <v>114</v>
      </c>
      <c r="N1209" t="inlineStr"/>
      <c r="O1209" t="inlineStr"/>
      <c r="P1209" t="n">
        <v>153.15</v>
      </c>
      <c r="Q1209" t="n">
        <v>2.775</v>
      </c>
    </row>
    <row r="1210">
      <c r="A1210" t="inlineStr">
        <is>
          <t>MR24</t>
        </is>
      </c>
      <c r="B1210" t="inlineStr">
        <is>
          <t>Merged_Table_Assay_lito</t>
        </is>
      </c>
      <c r="C1210" t="inlineStr">
        <is>
          <t>metros de sondaje; pct sobre metros</t>
        </is>
      </c>
      <c r="D1210" t="inlineStr">
        <is>
          <t>fase_plp_GM_FASES_LE2_Output</t>
        </is>
      </c>
      <c r="E1210" t="inlineStr">
        <is>
          <t>11C</t>
        </is>
      </c>
      <c r="F1210" t="inlineStr">
        <is>
          <t>ROCKCODE</t>
        </is>
      </c>
      <c r="G1210" t="inlineStr">
        <is>
          <t>CG</t>
        </is>
      </c>
      <c r="H1210" t="inlineStr">
        <is>
          <t>sin asignar</t>
        </is>
      </c>
      <c r="I1210" t="inlineStr">
        <is>
          <t>CG</t>
        </is>
      </c>
      <c r="J1210" t="inlineStr">
        <is>
          <t>ROCKCODE agrupado en ROCKCODE_NUMEQ=10; sigla sin leyenda</t>
        </is>
      </c>
      <c r="K1210" t="inlineStr">
        <is>
          <t>Caliza (hipótesis: siglas C*)</t>
        </is>
      </c>
      <c r="L1210" t="inlineStr">
        <is>
          <t>Sedimentario</t>
        </is>
      </c>
      <c r="M1210" t="n">
        <v>1172</v>
      </c>
      <c r="N1210" t="inlineStr"/>
      <c r="O1210" t="inlineStr"/>
      <c r="P1210" t="n">
        <v>1054.3</v>
      </c>
      <c r="Q1210" t="n">
        <v>19.105</v>
      </c>
    </row>
    <row r="1211">
      <c r="A1211" t="inlineStr">
        <is>
          <t>MR24</t>
        </is>
      </c>
      <c r="B1211" t="inlineStr">
        <is>
          <t>Merged_Table_Assay_lito</t>
        </is>
      </c>
      <c r="C1211" t="inlineStr">
        <is>
          <t>metros de sondaje; pct sobre metros</t>
        </is>
      </c>
      <c r="D1211" t="inlineStr">
        <is>
          <t>fase_plp_GM_FASES_LE2_Output</t>
        </is>
      </c>
      <c r="E1211" t="inlineStr">
        <is>
          <t>11C</t>
        </is>
      </c>
      <c r="F1211" t="inlineStr">
        <is>
          <t>ROCKCODE</t>
        </is>
      </c>
      <c r="G1211" t="inlineStr">
        <is>
          <t>CGS</t>
        </is>
      </c>
      <c r="H1211" t="inlineStr">
        <is>
          <t>sin asignar</t>
        </is>
      </c>
      <c r="I1211" t="inlineStr">
        <is>
          <t>CGS</t>
        </is>
      </c>
      <c r="J1211" t="inlineStr">
        <is>
          <t>ROCKCODE agrupado en ROCKCODE_NUMEQ=10; sigla sin leyenda</t>
        </is>
      </c>
      <c r="K1211" t="inlineStr">
        <is>
          <t>Caliza (hipótesis: siglas C*)</t>
        </is>
      </c>
      <c r="L1211" t="inlineStr">
        <is>
          <t>Sedimentario</t>
        </is>
      </c>
      <c r="M1211" t="n">
        <v>443</v>
      </c>
      <c r="N1211" t="inlineStr"/>
      <c r="O1211" t="inlineStr"/>
      <c r="P1211" t="n">
        <v>381.95</v>
      </c>
      <c r="Q1211" t="n">
        <v>6.921</v>
      </c>
    </row>
    <row r="1212">
      <c r="A1212" t="inlineStr">
        <is>
          <t>MR24</t>
        </is>
      </c>
      <c r="B1212" t="inlineStr">
        <is>
          <t>Merged_Table_Assay_lito</t>
        </is>
      </c>
      <c r="C1212" t="inlineStr">
        <is>
          <t>metros de sondaje; pct sobre metros</t>
        </is>
      </c>
      <c r="D1212" t="inlineStr">
        <is>
          <t>fase_plp_GM_FASES_LE2_Output</t>
        </is>
      </c>
      <c r="E1212" t="inlineStr">
        <is>
          <t>11C</t>
        </is>
      </c>
      <c r="F1212" t="inlineStr">
        <is>
          <t>ROCKCODE</t>
        </is>
      </c>
      <c r="G1212" t="inlineStr">
        <is>
          <t>CN</t>
        </is>
      </c>
      <c r="H1212" t="inlineStr">
        <is>
          <t>sin asignar</t>
        </is>
      </c>
      <c r="I1212" t="inlineStr">
        <is>
          <t>CN</t>
        </is>
      </c>
      <c r="J1212" t="inlineStr">
        <is>
          <t>ROCKCODE agrupado en ROCKCODE_NUMEQ=10; sigla sin leyenda</t>
        </is>
      </c>
      <c r="K1212" t="inlineStr">
        <is>
          <t>Caliza (hipótesis: siglas C*)</t>
        </is>
      </c>
      <c r="L1212" t="inlineStr">
        <is>
          <t>Sedimentario</t>
        </is>
      </c>
      <c r="M1212" t="n">
        <v>20</v>
      </c>
      <c r="N1212" t="inlineStr"/>
      <c r="O1212" t="inlineStr"/>
      <c r="P1212" t="n">
        <v>22.6</v>
      </c>
      <c r="Q1212" t="n">
        <v>0.41</v>
      </c>
    </row>
    <row r="1213">
      <c r="A1213" t="inlineStr">
        <is>
          <t>MR24</t>
        </is>
      </c>
      <c r="B1213" t="inlineStr">
        <is>
          <t>Merged_Table_Assay_lito</t>
        </is>
      </c>
      <c r="C1213" t="inlineStr">
        <is>
          <t>metros de sondaje; pct sobre metros</t>
        </is>
      </c>
      <c r="D1213" t="inlineStr">
        <is>
          <t>fase_plp_GM_FASES_LE2_Output</t>
        </is>
      </c>
      <c r="E1213" t="inlineStr">
        <is>
          <t>11C</t>
        </is>
      </c>
      <c r="F1213" t="inlineStr">
        <is>
          <t>ROCKCODE</t>
        </is>
      </c>
      <c r="G1213" t="inlineStr">
        <is>
          <t>HBV</t>
        </is>
      </c>
      <c r="H1213" t="inlineStr">
        <is>
          <t>sin asignar</t>
        </is>
      </c>
      <c r="I1213" t="inlineStr">
        <is>
          <t>HBV</t>
        </is>
      </c>
      <c r="J1213" t="inlineStr">
        <is>
          <t>ROCKCODE agrupado en ROCKCODE_NUMEQ=14; sigla sin leyenda</t>
        </is>
      </c>
      <c r="K1213" t="inlineStr">
        <is>
          <t>Hornfels (hipótesis: siglas H*)</t>
        </is>
      </c>
      <c r="L1213" t="inlineStr">
        <is>
          <t>Metamorfico</t>
        </is>
      </c>
      <c r="M1213" t="n">
        <v>104</v>
      </c>
      <c r="N1213" t="inlineStr"/>
      <c r="O1213" t="inlineStr"/>
      <c r="P1213" t="n">
        <v>72.15000000000001</v>
      </c>
      <c r="Q1213" t="n">
        <v>1.307</v>
      </c>
    </row>
    <row r="1214">
      <c r="A1214" t="inlineStr">
        <is>
          <t>MR24</t>
        </is>
      </c>
      <c r="B1214" t="inlineStr">
        <is>
          <t>Merged_Table_Assay_lito</t>
        </is>
      </c>
      <c r="C1214" t="inlineStr">
        <is>
          <t>metros de sondaje; pct sobre metros</t>
        </is>
      </c>
      <c r="D1214" t="inlineStr">
        <is>
          <t>fase_plp_GM_FASES_LE2_Output</t>
        </is>
      </c>
      <c r="E1214" t="inlineStr">
        <is>
          <t>11C</t>
        </is>
      </c>
      <c r="F1214" t="inlineStr">
        <is>
          <t>ROCKCODE</t>
        </is>
      </c>
      <c r="G1214" t="inlineStr">
        <is>
          <t>HC</t>
        </is>
      </c>
      <c r="H1214" t="inlineStr">
        <is>
          <t>sin asignar</t>
        </is>
      </c>
      <c r="I1214" t="inlineStr">
        <is>
          <t>HC</t>
        </is>
      </c>
      <c r="J1214" t="inlineStr">
        <is>
          <t>ROCKCODE agrupado en ROCKCODE_NUMEQ=13; sigla sin leyenda</t>
        </is>
      </c>
      <c r="K1214" t="inlineStr">
        <is>
          <t>Hornfels (hipótesis: siglas H*)</t>
        </is>
      </c>
      <c r="L1214" t="inlineStr">
        <is>
          <t>Metamorfico</t>
        </is>
      </c>
      <c r="M1214" t="n">
        <v>1026</v>
      </c>
      <c r="N1214" t="inlineStr"/>
      <c r="O1214" t="inlineStr"/>
      <c r="P1214" t="n">
        <v>952.75</v>
      </c>
      <c r="Q1214" t="n">
        <v>17.265</v>
      </c>
    </row>
    <row r="1215">
      <c r="A1215" t="inlineStr">
        <is>
          <t>MR24</t>
        </is>
      </c>
      <c r="B1215" t="inlineStr">
        <is>
          <t>Merged_Table_Assay_lito</t>
        </is>
      </c>
      <c r="C1215" t="inlineStr">
        <is>
          <t>metros de sondaje; pct sobre metros</t>
        </is>
      </c>
      <c r="D1215" t="inlineStr">
        <is>
          <t>fase_plp_GM_FASES_LE2_Output</t>
        </is>
      </c>
      <c r="E1215" t="inlineStr">
        <is>
          <t>11C</t>
        </is>
      </c>
      <c r="F1215" t="inlineStr">
        <is>
          <t>ROCKCODE</t>
        </is>
      </c>
      <c r="G1215" t="inlineStr">
        <is>
          <t>HCB</t>
        </is>
      </c>
      <c r="H1215" t="inlineStr">
        <is>
          <t>sin asignar</t>
        </is>
      </c>
      <c r="I1215" t="inlineStr">
        <is>
          <t>HCB</t>
        </is>
      </c>
      <c r="J1215" t="inlineStr">
        <is>
          <t>ROCKCODE agrupado en ROCKCODE_NUMEQ=14; sigla sin leyenda</t>
        </is>
      </c>
      <c r="K1215" t="inlineStr">
        <is>
          <t>Hornfels (hipótesis: siglas H*)</t>
        </is>
      </c>
      <c r="L1215" t="inlineStr">
        <is>
          <t>Metamorfico</t>
        </is>
      </c>
      <c r="M1215" t="n">
        <v>70</v>
      </c>
      <c r="N1215" t="inlineStr"/>
      <c r="O1215" t="inlineStr"/>
      <c r="P1215" t="n">
        <v>49.6</v>
      </c>
      <c r="Q1215" t="n">
        <v>0.899</v>
      </c>
    </row>
    <row r="1216">
      <c r="A1216" t="inlineStr">
        <is>
          <t>MR24</t>
        </is>
      </c>
      <c r="B1216" t="inlineStr">
        <is>
          <t>Merged_Table_Assay_lito</t>
        </is>
      </c>
      <c r="C1216" t="inlineStr">
        <is>
          <t>metros de sondaje; pct sobre metros</t>
        </is>
      </c>
      <c r="D1216" t="inlineStr">
        <is>
          <t>fase_plp_GM_FASES_LE2_Output</t>
        </is>
      </c>
      <c r="E1216" t="inlineStr">
        <is>
          <t>11C</t>
        </is>
      </c>
      <c r="F1216" t="inlineStr">
        <is>
          <t>ROCKCODE</t>
        </is>
      </c>
      <c r="G1216" t="inlineStr">
        <is>
          <t>HDP</t>
        </is>
      </c>
      <c r="H1216" t="inlineStr">
        <is>
          <t>sin asignar</t>
        </is>
      </c>
      <c r="I1216" t="inlineStr">
        <is>
          <t>HDP</t>
        </is>
      </c>
      <c r="J1216" t="inlineStr">
        <is>
          <t>ROCKCODE agrupado en ROCKCODE_NUMEQ=14; sigla sin leyenda</t>
        </is>
      </c>
      <c r="K1216" t="inlineStr">
        <is>
          <t>Hornfels (hipótesis: siglas H*)</t>
        </is>
      </c>
      <c r="L1216" t="inlineStr">
        <is>
          <t>Metamorfico</t>
        </is>
      </c>
      <c r="M1216" t="n">
        <v>2</v>
      </c>
      <c r="N1216" t="inlineStr"/>
      <c r="O1216" t="inlineStr"/>
      <c r="P1216" t="n">
        <v>1.1</v>
      </c>
      <c r="Q1216" t="n">
        <v>0.02</v>
      </c>
    </row>
    <row r="1217">
      <c r="A1217" t="inlineStr">
        <is>
          <t>MR24</t>
        </is>
      </c>
      <c r="B1217" t="inlineStr">
        <is>
          <t>Merged_Table_Assay_lito</t>
        </is>
      </c>
      <c r="C1217" t="inlineStr">
        <is>
          <t>metros de sondaje; pct sobre metros</t>
        </is>
      </c>
      <c r="D1217" t="inlineStr">
        <is>
          <t>fase_plp_GM_FASES_LE2_Output</t>
        </is>
      </c>
      <c r="E1217" t="inlineStr">
        <is>
          <t>11C</t>
        </is>
      </c>
      <c r="F1217" t="inlineStr">
        <is>
          <t>ROCKCODE</t>
        </is>
      </c>
      <c r="G1217" t="inlineStr">
        <is>
          <t>HG</t>
        </is>
      </c>
      <c r="H1217" t="inlineStr">
        <is>
          <t>sin asignar</t>
        </is>
      </c>
      <c r="I1217" t="inlineStr">
        <is>
          <t>HG</t>
        </is>
      </c>
      <c r="J1217" t="inlineStr">
        <is>
          <t>ROCKCODE agrupado en ROCKCODE_NUMEQ=13; sigla sin leyenda</t>
        </is>
      </c>
      <c r="K1217" t="inlineStr">
        <is>
          <t>Hornfels (hipótesis: siglas H*)</t>
        </is>
      </c>
      <c r="L1217" t="inlineStr">
        <is>
          <t>Metamorfico</t>
        </is>
      </c>
      <c r="M1217" t="n">
        <v>1814</v>
      </c>
      <c r="N1217" t="inlineStr"/>
      <c r="O1217" t="inlineStr"/>
      <c r="P1217" t="n">
        <v>1556.55</v>
      </c>
      <c r="Q1217" t="n">
        <v>28.207</v>
      </c>
    </row>
    <row r="1218">
      <c r="A1218" t="inlineStr">
        <is>
          <t>MR24</t>
        </is>
      </c>
      <c r="B1218" t="inlineStr">
        <is>
          <t>Merged_Table_Assay_lito</t>
        </is>
      </c>
      <c r="C1218" t="inlineStr">
        <is>
          <t>metros de sondaje; pct sobre metros</t>
        </is>
      </c>
      <c r="D1218" t="inlineStr">
        <is>
          <t>fase_plp_GM_FASES_LE2_Output</t>
        </is>
      </c>
      <c r="E1218" t="inlineStr">
        <is>
          <t>11C</t>
        </is>
      </c>
      <c r="F1218" t="inlineStr">
        <is>
          <t>ROCKCODE</t>
        </is>
      </c>
      <c r="G1218" t="inlineStr">
        <is>
          <t>HGS</t>
        </is>
      </c>
      <c r="H1218" t="inlineStr">
        <is>
          <t>sin asignar</t>
        </is>
      </c>
      <c r="I1218" t="inlineStr">
        <is>
          <t>HGS</t>
        </is>
      </c>
      <c r="J1218" t="inlineStr">
        <is>
          <t>ROCKCODE agrupado en ROCKCODE_NUMEQ=13; sigla sin leyenda</t>
        </is>
      </c>
      <c r="K1218" t="inlineStr">
        <is>
          <t>Hornfels (hipótesis: siglas H*)</t>
        </is>
      </c>
      <c r="L1218" t="inlineStr">
        <is>
          <t>Metamorfico</t>
        </is>
      </c>
      <c r="M1218" t="n">
        <v>965</v>
      </c>
      <c r="N1218" t="inlineStr"/>
      <c r="O1218" t="inlineStr"/>
      <c r="P1218" t="n">
        <v>765.2</v>
      </c>
      <c r="Q1218" t="n">
        <v>13.866</v>
      </c>
    </row>
    <row r="1219">
      <c r="A1219" t="inlineStr">
        <is>
          <t>MR24</t>
        </is>
      </c>
      <c r="B1219" t="inlineStr">
        <is>
          <t>Merged_Table_Assay_lito</t>
        </is>
      </c>
      <c r="C1219" t="inlineStr">
        <is>
          <t>metros de sondaje; pct sobre metros</t>
        </is>
      </c>
      <c r="D1219" t="inlineStr">
        <is>
          <t>fase_plp_GM_FASES_LE2_Output</t>
        </is>
      </c>
      <c r="E1219" t="inlineStr">
        <is>
          <t>11C</t>
        </is>
      </c>
      <c r="F1219" t="inlineStr">
        <is>
          <t>ROCKCODE</t>
        </is>
      </c>
      <c r="G1219" t="inlineStr">
        <is>
          <t>HGV</t>
        </is>
      </c>
      <c r="H1219" t="inlineStr">
        <is>
          <t>sin asignar</t>
        </is>
      </c>
      <c r="I1219" t="inlineStr">
        <is>
          <t>HGV</t>
        </is>
      </c>
      <c r="J1219" t="inlineStr">
        <is>
          <t>ROCKCODE agrupado en ROCKCODE_NUMEQ=14; sigla sin leyenda</t>
        </is>
      </c>
      <c r="K1219" t="inlineStr">
        <is>
          <t>Hornfels (hipótesis: siglas H*)</t>
        </is>
      </c>
      <c r="L1219" t="inlineStr">
        <is>
          <t>Metamorfico</t>
        </is>
      </c>
      <c r="M1219" t="n">
        <v>50</v>
      </c>
      <c r="N1219" t="inlineStr"/>
      <c r="O1219" t="inlineStr"/>
      <c r="P1219" t="n">
        <v>36.65</v>
      </c>
      <c r="Q1219" t="n">
        <v>0.664</v>
      </c>
    </row>
    <row r="1220">
      <c r="A1220" t="inlineStr">
        <is>
          <t>MR24</t>
        </is>
      </c>
      <c r="B1220" t="inlineStr">
        <is>
          <t>Merged_Table_Assay_lito</t>
        </is>
      </c>
      <c r="C1220" t="inlineStr">
        <is>
          <t>metros de sondaje; pct sobre metros</t>
        </is>
      </c>
      <c r="D1220" t="inlineStr">
        <is>
          <t>fase_plp_GM_FASES_LE2_Output</t>
        </is>
      </c>
      <c r="E1220" t="inlineStr">
        <is>
          <t>11C</t>
        </is>
      </c>
      <c r="F1220" t="inlineStr">
        <is>
          <t>ROCKCODE</t>
        </is>
      </c>
      <c r="G1220" t="inlineStr">
        <is>
          <t>HMGV</t>
        </is>
      </c>
      <c r="H1220" t="inlineStr">
        <is>
          <t>sin asignar</t>
        </is>
      </c>
      <c r="I1220" t="inlineStr">
        <is>
          <t>HMGV</t>
        </is>
      </c>
      <c r="J1220" t="inlineStr">
        <is>
          <t>ROCKCODE agrupado en ROCKCODE_NUMEQ=14; sigla sin leyenda</t>
        </is>
      </c>
      <c r="K1220" t="inlineStr">
        <is>
          <t>Hornfels (hipótesis: siglas H*)</t>
        </is>
      </c>
      <c r="L1220" t="inlineStr">
        <is>
          <t>Metamorfico</t>
        </is>
      </c>
      <c r="M1220" t="n">
        <v>11</v>
      </c>
      <c r="N1220" t="inlineStr"/>
      <c r="O1220" t="inlineStr"/>
      <c r="P1220" t="n">
        <v>8.949999999999999</v>
      </c>
      <c r="Q1220" t="n">
        <v>0.162</v>
      </c>
    </row>
    <row r="1221">
      <c r="A1221" t="inlineStr">
        <is>
          <t>MR24</t>
        </is>
      </c>
      <c r="B1221" t="inlineStr">
        <is>
          <t>Merged_Table_Assay_lito</t>
        </is>
      </c>
      <c r="C1221" t="inlineStr">
        <is>
          <t>metros de sondaje; pct sobre metros</t>
        </is>
      </c>
      <c r="D1221" t="inlineStr">
        <is>
          <t>fase_plp_GM_FASES_LE2_Output</t>
        </is>
      </c>
      <c r="E1221" t="inlineStr">
        <is>
          <t>11C</t>
        </is>
      </c>
      <c r="F1221" t="inlineStr">
        <is>
          <t>ROCKCODE</t>
        </is>
      </c>
      <c r="G1221" t="inlineStr">
        <is>
          <t>HV</t>
        </is>
      </c>
      <c r="H1221" t="inlineStr">
        <is>
          <t>sin asignar</t>
        </is>
      </c>
      <c r="I1221" t="inlineStr">
        <is>
          <t>HV</t>
        </is>
      </c>
      <c r="J1221" t="inlineStr">
        <is>
          <t>ROCKCODE agrupado en ROCKCODE_NUMEQ=14; sigla sin leyenda</t>
        </is>
      </c>
      <c r="K1221" t="inlineStr">
        <is>
          <t>Hornfels (hipótesis: siglas H*)</t>
        </is>
      </c>
      <c r="L1221" t="inlineStr">
        <is>
          <t>Metamorfico</t>
        </is>
      </c>
      <c r="M1221" t="n">
        <v>28</v>
      </c>
      <c r="N1221" t="inlineStr"/>
      <c r="O1221" t="inlineStr"/>
      <c r="P1221" t="n">
        <v>23.05</v>
      </c>
      <c r="Q1221" t="n">
        <v>0.418</v>
      </c>
    </row>
    <row r="1222">
      <c r="A1222" t="inlineStr">
        <is>
          <t>MR24</t>
        </is>
      </c>
      <c r="B1222" t="inlineStr">
        <is>
          <t>Merged_Table_Assay_lito</t>
        </is>
      </c>
      <c r="C1222" t="inlineStr">
        <is>
          <t>metros de sondaje; pct sobre metros</t>
        </is>
      </c>
      <c r="D1222" t="inlineStr">
        <is>
          <t>fase_plp_GM_FASES_LE2_Output</t>
        </is>
      </c>
      <c r="E1222" t="inlineStr">
        <is>
          <t>11C</t>
        </is>
      </c>
      <c r="F1222" t="inlineStr">
        <is>
          <t>ROCKCODE</t>
        </is>
      </c>
      <c r="G1222" t="inlineStr">
        <is>
          <t>IPPA</t>
        </is>
      </c>
      <c r="H1222" t="inlineStr">
        <is>
          <t>Intrusivo</t>
        </is>
      </c>
      <c r="I1222" t="inlineStr">
        <is>
          <t>IPPA</t>
        </is>
      </c>
      <c r="J1222" t="inlineStr">
        <is>
          <t>ROCKCODE agrupado en ROCKCODE_NUMEQ=1 (Intrusivo_1)</t>
        </is>
      </c>
      <c r="K1222" t="inlineStr">
        <is>
          <t>Intrusivo</t>
        </is>
      </c>
      <c r="L1222" t="inlineStr">
        <is>
          <t>Intrusivo</t>
        </is>
      </c>
      <c r="M1222" t="n">
        <v>21</v>
      </c>
      <c r="N1222" t="inlineStr"/>
      <c r="O1222" t="inlineStr"/>
      <c r="P1222" t="n">
        <v>18.5</v>
      </c>
      <c r="Q1222" t="n">
        <v>0.335</v>
      </c>
    </row>
    <row r="1223">
      <c r="A1223" t="inlineStr">
        <is>
          <t>MR24</t>
        </is>
      </c>
      <c r="B1223" t="inlineStr">
        <is>
          <t>Merged_Table_Assay_lito</t>
        </is>
      </c>
      <c r="C1223" t="inlineStr">
        <is>
          <t>metros de sondaje; pct sobre metros</t>
        </is>
      </c>
      <c r="D1223" t="inlineStr">
        <is>
          <t>fase_plp_GM_FASES_LE2_Output</t>
        </is>
      </c>
      <c r="E1223" t="inlineStr">
        <is>
          <t>11C</t>
        </is>
      </c>
      <c r="F1223" t="inlineStr">
        <is>
          <t>ROCKCODE</t>
        </is>
      </c>
      <c r="G1223" t="inlineStr">
        <is>
          <t>IPPAO</t>
        </is>
      </c>
      <c r="H1223" t="inlineStr">
        <is>
          <t>Intrusivo</t>
        </is>
      </c>
      <c r="I1223" t="inlineStr">
        <is>
          <t>IPPAO</t>
        </is>
      </c>
      <c r="J1223" t="inlineStr">
        <is>
          <t>ROCKCODE agrupado en ROCKCODE_NUMEQ=1 (Intrusivo_1)</t>
        </is>
      </c>
      <c r="K1223" t="inlineStr">
        <is>
          <t>Intrusivo</t>
        </is>
      </c>
      <c r="L1223" t="inlineStr">
        <is>
          <t>Intrusivo</t>
        </is>
      </c>
      <c r="M1223" t="n">
        <v>7</v>
      </c>
      <c r="N1223" t="inlineStr"/>
      <c r="O1223" t="inlineStr"/>
      <c r="P1223" t="n">
        <v>7.4</v>
      </c>
      <c r="Q1223" t="n">
        <v>0.134</v>
      </c>
    </row>
    <row r="1224">
      <c r="A1224" t="inlineStr">
        <is>
          <t>MR24</t>
        </is>
      </c>
      <c r="B1224" t="inlineStr">
        <is>
          <t>Merged_Table_Assay_lito</t>
        </is>
      </c>
      <c r="C1224" t="inlineStr">
        <is>
          <t>metros de sondaje; pct sobre metros</t>
        </is>
      </c>
      <c r="D1224" t="inlineStr">
        <is>
          <t>fase_plp_GM_FASES_LE2_Output</t>
        </is>
      </c>
      <c r="E1224" t="inlineStr">
        <is>
          <t>11C</t>
        </is>
      </c>
      <c r="F1224" t="inlineStr">
        <is>
          <t>ROCKCODE</t>
        </is>
      </c>
      <c r="G1224" t="inlineStr">
        <is>
          <t>IPPEO</t>
        </is>
      </c>
      <c r="H1224" t="inlineStr">
        <is>
          <t>Intrusivo</t>
        </is>
      </c>
      <c r="I1224" t="inlineStr">
        <is>
          <t>IPPEO</t>
        </is>
      </c>
      <c r="J1224" t="inlineStr">
        <is>
          <t>ROCKCODE agrupado en ROCKCODE_NUMEQ=1 (Intrusivo_1)</t>
        </is>
      </c>
      <c r="K1224" t="inlineStr">
        <is>
          <t>Intrusivo</t>
        </is>
      </c>
      <c r="L1224" t="inlineStr">
        <is>
          <t>Intrusivo</t>
        </is>
      </c>
      <c r="M1224" t="n">
        <v>15</v>
      </c>
      <c r="N1224" t="inlineStr"/>
      <c r="O1224" t="inlineStr"/>
      <c r="P1224" t="n">
        <v>26.9</v>
      </c>
      <c r="Q1224" t="n">
        <v>0.487</v>
      </c>
    </row>
    <row r="1225">
      <c r="A1225" t="inlineStr">
        <is>
          <t>MR24</t>
        </is>
      </c>
      <c r="B1225" t="inlineStr">
        <is>
          <t>Merged_Table_Assay_lito</t>
        </is>
      </c>
      <c r="C1225" t="inlineStr">
        <is>
          <t>metros de sondaje; pct sobre metros</t>
        </is>
      </c>
      <c r="D1225" t="inlineStr">
        <is>
          <t>fase_plp_GM_FASES_LE2_Output</t>
        </is>
      </c>
      <c r="E1225" t="inlineStr">
        <is>
          <t>11C</t>
        </is>
      </c>
      <c r="F1225" t="inlineStr">
        <is>
          <t>ROCKCODE</t>
        </is>
      </c>
      <c r="G1225" t="inlineStr">
        <is>
          <t>MC</t>
        </is>
      </c>
      <c r="H1225" t="inlineStr">
        <is>
          <t>sin asignar</t>
        </is>
      </c>
      <c r="I1225" t="inlineStr">
        <is>
          <t>MC</t>
        </is>
      </c>
      <c r="J1225" t="inlineStr">
        <is>
          <t>ROCKCODE agrupado en ROCKCODE_NUMEQ=16; sigla sin leyenda</t>
        </is>
      </c>
      <c r="K1225" t="inlineStr">
        <is>
          <t>Mármol (hipótesis: siglas M*)</t>
        </is>
      </c>
      <c r="L1225" t="inlineStr">
        <is>
          <t>Metamorfico</t>
        </is>
      </c>
      <c r="M1225" t="n">
        <v>58</v>
      </c>
      <c r="N1225" t="inlineStr"/>
      <c r="O1225" t="inlineStr"/>
      <c r="P1225" t="n">
        <v>52.65</v>
      </c>
      <c r="Q1225" t="n">
        <v>0.954</v>
      </c>
    </row>
    <row r="1226">
      <c r="A1226" t="inlineStr">
        <is>
          <t>MR24</t>
        </is>
      </c>
      <c r="B1226" t="inlineStr">
        <is>
          <t>Merged_Table_Assay_lito</t>
        </is>
      </c>
      <c r="C1226" t="inlineStr">
        <is>
          <t>metros de sondaje; pct sobre metros</t>
        </is>
      </c>
      <c r="D1226" t="inlineStr">
        <is>
          <t>fase_plp_GM_FASES_LE2_Output</t>
        </is>
      </c>
      <c r="E1226" t="inlineStr">
        <is>
          <t>11C</t>
        </is>
      </c>
      <c r="F1226" t="inlineStr">
        <is>
          <t>ROCKCODE</t>
        </is>
      </c>
      <c r="G1226" t="inlineStr">
        <is>
          <t>MG</t>
        </is>
      </c>
      <c r="H1226" t="inlineStr">
        <is>
          <t>sin asignar</t>
        </is>
      </c>
      <c r="I1226" t="inlineStr">
        <is>
          <t>MG</t>
        </is>
      </c>
      <c r="J1226" t="inlineStr">
        <is>
          <t>ROCKCODE agrupado en ROCKCODE_NUMEQ=16; sigla sin leyenda</t>
        </is>
      </c>
      <c r="K1226" t="inlineStr">
        <is>
          <t>Mármol (hipótesis: siglas M*)</t>
        </is>
      </c>
      <c r="L1226" t="inlineStr">
        <is>
          <t>Metamorfico</t>
        </is>
      </c>
      <c r="M1226" t="n">
        <v>42</v>
      </c>
      <c r="N1226" t="inlineStr"/>
      <c r="O1226" t="inlineStr"/>
      <c r="P1226" t="n">
        <v>81.75</v>
      </c>
      <c r="Q1226" t="n">
        <v>1.481</v>
      </c>
    </row>
    <row r="1227">
      <c r="A1227" t="inlineStr">
        <is>
          <t>MR24</t>
        </is>
      </c>
      <c r="B1227" t="inlineStr">
        <is>
          <t>Merged_Table_Assay_lito</t>
        </is>
      </c>
      <c r="C1227" t="inlineStr">
        <is>
          <t>metros de sondaje; pct sobre metros</t>
        </is>
      </c>
      <c r="D1227" t="inlineStr">
        <is>
          <t>fase_plp_GM_FASES_LE2_Output</t>
        </is>
      </c>
      <c r="E1227" t="inlineStr">
        <is>
          <t>11C</t>
        </is>
      </c>
      <c r="F1227" t="inlineStr">
        <is>
          <t>ROCKCODE</t>
        </is>
      </c>
      <c r="G1227" t="inlineStr">
        <is>
          <t>MPA</t>
        </is>
      </c>
      <c r="H1227" t="inlineStr">
        <is>
          <t>sin asignar</t>
        </is>
      </c>
      <c r="I1227" t="inlineStr">
        <is>
          <t>MPA</t>
        </is>
      </c>
      <c r="J1227" t="inlineStr">
        <is>
          <t>ROCKCODE agrupado en ROCKCODE_NUMEQ=16; sigla sin leyenda</t>
        </is>
      </c>
      <c r="K1227" t="inlineStr">
        <is>
          <t>Mármol (hipótesis: siglas M*)</t>
        </is>
      </c>
      <c r="L1227" t="inlineStr">
        <is>
          <t>Metamorfico</t>
        </is>
      </c>
      <c r="M1227" t="n">
        <v>268</v>
      </c>
      <c r="N1227" t="inlineStr"/>
      <c r="O1227" t="inlineStr"/>
      <c r="P1227" t="n">
        <v>239.35</v>
      </c>
      <c r="Q1227" t="n">
        <v>4.337</v>
      </c>
    </row>
    <row r="1228">
      <c r="A1228" t="inlineStr">
        <is>
          <t>MR24</t>
        </is>
      </c>
      <c r="B1228" t="inlineStr">
        <is>
          <t>Merged_Table_Assay_lito</t>
        </is>
      </c>
      <c r="C1228" t="inlineStr">
        <is>
          <t>metros de sondaje; pct sobre metros</t>
        </is>
      </c>
      <c r="D1228" t="inlineStr">
        <is>
          <t>fase_plp_GM_FASES_LE2_Output</t>
        </is>
      </c>
      <c r="E1228" t="inlineStr">
        <is>
          <t>11D</t>
        </is>
      </c>
      <c r="F1228" t="inlineStr">
        <is>
          <t>ROCKCODE</t>
        </is>
      </c>
      <c r="G1228" t="inlineStr">
        <is>
          <t>BCHG</t>
        </is>
      </c>
      <c r="H1228" t="inlineStr">
        <is>
          <t>sin asignar</t>
        </is>
      </c>
      <c r="I1228" t="inlineStr">
        <is>
          <t>BCHG</t>
        </is>
      </c>
      <c r="J1228" t="inlineStr">
        <is>
          <t>ROCKCODE agrupado en ROCKCODE_NUMEQ=13; sigla sin leyenda</t>
        </is>
      </c>
      <c r="K1228" t="inlineStr">
        <is>
          <t>Hornfels (hipótesis: siglas H*)</t>
        </is>
      </c>
      <c r="L1228" t="inlineStr">
        <is>
          <t>Metamorfico</t>
        </is>
      </c>
      <c r="M1228" t="n">
        <v>4</v>
      </c>
      <c r="N1228" t="inlineStr"/>
      <c r="O1228" t="inlineStr"/>
      <c r="P1228" t="n">
        <v>3.55</v>
      </c>
      <c r="Q1228" t="n">
        <v>0.005</v>
      </c>
    </row>
    <row r="1229">
      <c r="A1229" t="inlineStr">
        <is>
          <t>MR24</t>
        </is>
      </c>
      <c r="B1229" t="inlineStr">
        <is>
          <t>Merged_Table_Assay_lito</t>
        </is>
      </c>
      <c r="C1229" t="inlineStr">
        <is>
          <t>metros de sondaje; pct sobre metros</t>
        </is>
      </c>
      <c r="D1229" t="inlineStr">
        <is>
          <t>fase_plp_GM_FASES_LE2_Output</t>
        </is>
      </c>
      <c r="E1229" t="inlineStr">
        <is>
          <t>11D</t>
        </is>
      </c>
      <c r="F1229" t="inlineStr">
        <is>
          <t>ROCKCODE</t>
        </is>
      </c>
      <c r="G1229" t="inlineStr">
        <is>
          <t>BCIPPA</t>
        </is>
      </c>
      <c r="H1229" t="inlineStr">
        <is>
          <t>Intrusivo</t>
        </is>
      </c>
      <c r="I1229" t="inlineStr">
        <is>
          <t>BCIPPA</t>
        </is>
      </c>
      <c r="J1229" t="inlineStr">
        <is>
          <t>ROCKCODE agrupado en ROCKCODE_NUMEQ=1 (Intrusivo_1)</t>
        </is>
      </c>
      <c r="K1229" t="inlineStr">
        <is>
          <t>Intrusivo</t>
        </is>
      </c>
      <c r="L1229" t="inlineStr">
        <is>
          <t>Intrusivo</t>
        </is>
      </c>
      <c r="M1229" t="n">
        <v>2</v>
      </c>
      <c r="N1229" t="inlineStr"/>
      <c r="O1229" t="inlineStr"/>
      <c r="P1229" t="n">
        <v>3</v>
      </c>
      <c r="Q1229" t="n">
        <v>0.005</v>
      </c>
    </row>
    <row r="1230">
      <c r="A1230" t="inlineStr">
        <is>
          <t>MR24</t>
        </is>
      </c>
      <c r="B1230" t="inlineStr">
        <is>
          <t>Merged_Table_Assay_lito</t>
        </is>
      </c>
      <c r="C1230" t="inlineStr">
        <is>
          <t>metros de sondaje; pct sobre metros</t>
        </is>
      </c>
      <c r="D1230" t="inlineStr">
        <is>
          <t>fase_plp_GM_FASES_LE2_Output</t>
        </is>
      </c>
      <c r="E1230" t="inlineStr">
        <is>
          <t>11D</t>
        </is>
      </c>
      <c r="F1230" t="inlineStr">
        <is>
          <t>ROCKCODE</t>
        </is>
      </c>
      <c r="G1230" t="inlineStr">
        <is>
          <t>BCM</t>
        </is>
      </c>
      <c r="H1230" t="inlineStr">
        <is>
          <t>sin asignar</t>
        </is>
      </c>
      <c r="I1230" t="inlineStr">
        <is>
          <t>BCM</t>
        </is>
      </c>
      <c r="J1230" t="inlineStr">
        <is>
          <t>ROCKCODE agrupado en ROCKCODE_NUMEQ=16; sigla sin leyenda</t>
        </is>
      </c>
      <c r="K1230" t="inlineStr">
        <is>
          <t>Mármol (hipótesis: siglas M*)</t>
        </is>
      </c>
      <c r="L1230" t="inlineStr">
        <is>
          <t>Metamorfico</t>
        </is>
      </c>
      <c r="M1230" t="n">
        <v>6</v>
      </c>
      <c r="N1230" t="inlineStr"/>
      <c r="O1230" t="inlineStr"/>
      <c r="P1230" t="n">
        <v>3.05</v>
      </c>
      <c r="Q1230" t="n">
        <v>0.005</v>
      </c>
    </row>
    <row r="1231">
      <c r="A1231" t="inlineStr">
        <is>
          <t>MR24</t>
        </is>
      </c>
      <c r="B1231" t="inlineStr">
        <is>
          <t>Merged_Table_Assay_lito</t>
        </is>
      </c>
      <c r="C1231" t="inlineStr">
        <is>
          <t>metros de sondaje; pct sobre metros</t>
        </is>
      </c>
      <c r="D1231" t="inlineStr">
        <is>
          <t>fase_plp_GM_FASES_LE2_Output</t>
        </is>
      </c>
      <c r="E1231" t="inlineStr">
        <is>
          <t>11D</t>
        </is>
      </c>
      <c r="F1231" t="inlineStr">
        <is>
          <t>ROCKCODE</t>
        </is>
      </c>
      <c r="G1231" t="inlineStr">
        <is>
          <t>BMHG</t>
        </is>
      </c>
      <c r="H1231" t="inlineStr">
        <is>
          <t>sin asignar</t>
        </is>
      </c>
      <c r="I1231" t="inlineStr">
        <is>
          <t>BMHG</t>
        </is>
      </c>
      <c r="J1231" t="inlineStr">
        <is>
          <t>ROCKCODE agrupado en ROCKCODE_NUMEQ=13; sigla sin leyenda</t>
        </is>
      </c>
      <c r="K1231" t="inlineStr">
        <is>
          <t>Hornfels (hipótesis: siglas H*)</t>
        </is>
      </c>
      <c r="L1231" t="inlineStr">
        <is>
          <t>Metamorfico</t>
        </is>
      </c>
      <c r="M1231" t="n">
        <v>2</v>
      </c>
      <c r="N1231" t="inlineStr"/>
      <c r="O1231" t="inlineStr"/>
      <c r="P1231" t="n">
        <v>1</v>
      </c>
      <c r="Q1231" t="n">
        <v>0.002</v>
      </c>
    </row>
    <row r="1232">
      <c r="A1232" t="inlineStr">
        <is>
          <t>MR24</t>
        </is>
      </c>
      <c r="B1232" t="inlineStr">
        <is>
          <t>Merged_Table_Assay_lito</t>
        </is>
      </c>
      <c r="C1232" t="inlineStr">
        <is>
          <t>metros de sondaje; pct sobre metros</t>
        </is>
      </c>
      <c r="D1232" t="inlineStr">
        <is>
          <t>fase_plp_GM_FASES_LE2_Output</t>
        </is>
      </c>
      <c r="E1232" t="inlineStr">
        <is>
          <t>11D</t>
        </is>
      </c>
      <c r="F1232" t="inlineStr">
        <is>
          <t>ROCKCODE</t>
        </is>
      </c>
      <c r="G1232" t="inlineStr">
        <is>
          <t>C</t>
        </is>
      </c>
      <c r="H1232" t="inlineStr">
        <is>
          <t>sin asignar</t>
        </is>
      </c>
      <c r="I1232" t="inlineStr">
        <is>
          <t>C</t>
        </is>
      </c>
      <c r="J1232" t="inlineStr">
        <is>
          <t>ROCKCODE agrupado en ROCKCODE_NUMEQ=10; sigla sin leyenda</t>
        </is>
      </c>
      <c r="K1232" t="inlineStr">
        <is>
          <t>Caliza (hipótesis: siglas C*)</t>
        </is>
      </c>
      <c r="L1232" t="inlineStr">
        <is>
          <t>Sedimentario</t>
        </is>
      </c>
      <c r="M1232" t="n">
        <v>10</v>
      </c>
      <c r="N1232" t="inlineStr"/>
      <c r="O1232" t="inlineStr"/>
      <c r="P1232" t="n">
        <v>30</v>
      </c>
      <c r="Q1232" t="n">
        <v>0.046</v>
      </c>
    </row>
    <row r="1233">
      <c r="A1233" t="inlineStr">
        <is>
          <t>MR24</t>
        </is>
      </c>
      <c r="B1233" t="inlineStr">
        <is>
          <t>Merged_Table_Assay_lito</t>
        </is>
      </c>
      <c r="C1233" t="inlineStr">
        <is>
          <t>metros de sondaje; pct sobre metros</t>
        </is>
      </c>
      <c r="D1233" t="inlineStr">
        <is>
          <t>fase_plp_GM_FASES_LE2_Output</t>
        </is>
      </c>
      <c r="E1233" t="inlineStr">
        <is>
          <t>11D</t>
        </is>
      </c>
      <c r="F1233" t="inlineStr">
        <is>
          <t>ROCKCODE</t>
        </is>
      </c>
      <c r="G1233" t="inlineStr">
        <is>
          <t>CA</t>
        </is>
      </c>
      <c r="H1233" t="inlineStr">
        <is>
          <t>sin asignar</t>
        </is>
      </c>
      <c r="I1233" t="inlineStr">
        <is>
          <t>CA</t>
        </is>
      </c>
      <c r="J1233" t="inlineStr">
        <is>
          <t>ROCKCODE agrupado en ROCKCODE_NUMEQ=10; sigla sin leyenda</t>
        </is>
      </c>
      <c r="K1233" t="inlineStr">
        <is>
          <t>Caliza (hipótesis: siglas C*)</t>
        </is>
      </c>
      <c r="L1233" t="inlineStr">
        <is>
          <t>Sedimentario</t>
        </is>
      </c>
      <c r="M1233" t="n">
        <v>76</v>
      </c>
      <c r="N1233" t="inlineStr"/>
      <c r="O1233" t="inlineStr"/>
      <c r="P1233" t="n">
        <v>84.09999999999999</v>
      </c>
      <c r="Q1233" t="n">
        <v>0.129</v>
      </c>
    </row>
    <row r="1234">
      <c r="A1234" t="inlineStr">
        <is>
          <t>MR24</t>
        </is>
      </c>
      <c r="B1234" t="inlineStr">
        <is>
          <t>Merged_Table_Assay_lito</t>
        </is>
      </c>
      <c r="C1234" t="inlineStr">
        <is>
          <t>metros de sondaje; pct sobre metros</t>
        </is>
      </c>
      <c r="D1234" t="inlineStr">
        <is>
          <t>fase_plp_GM_FASES_LE2_Output</t>
        </is>
      </c>
      <c r="E1234" t="inlineStr">
        <is>
          <t>11D</t>
        </is>
      </c>
      <c r="F1234" t="inlineStr">
        <is>
          <t>ROCKCODE</t>
        </is>
      </c>
      <c r="G1234" t="inlineStr">
        <is>
          <t>CF</t>
        </is>
      </c>
      <c r="H1234" t="inlineStr">
        <is>
          <t>sin asignar</t>
        </is>
      </c>
      <c r="I1234" t="inlineStr">
        <is>
          <t>CF</t>
        </is>
      </c>
      <c r="J1234" t="inlineStr">
        <is>
          <t>ROCKCODE agrupado en ROCKCODE_NUMEQ=10; sigla sin leyenda</t>
        </is>
      </c>
      <c r="K1234" t="inlineStr">
        <is>
          <t>Caliza (hipótesis: siglas C*)</t>
        </is>
      </c>
      <c r="L1234" t="inlineStr">
        <is>
          <t>Sedimentario</t>
        </is>
      </c>
      <c r="M1234" t="n">
        <v>8</v>
      </c>
      <c r="N1234" t="inlineStr"/>
      <c r="O1234" t="inlineStr"/>
      <c r="P1234" t="n">
        <v>3.35</v>
      </c>
      <c r="Q1234" t="n">
        <v>0.005</v>
      </c>
    </row>
    <row r="1235">
      <c r="A1235" t="inlineStr">
        <is>
          <t>MR24</t>
        </is>
      </c>
      <c r="B1235" t="inlineStr">
        <is>
          <t>Merged_Table_Assay_lito</t>
        </is>
      </c>
      <c r="C1235" t="inlineStr">
        <is>
          <t>metros de sondaje; pct sobre metros</t>
        </is>
      </c>
      <c r="D1235" t="inlineStr">
        <is>
          <t>fase_plp_GM_FASES_LE2_Output</t>
        </is>
      </c>
      <c r="E1235" t="inlineStr">
        <is>
          <t>11D</t>
        </is>
      </c>
      <c r="F1235" t="inlineStr">
        <is>
          <t>ROCKCODE</t>
        </is>
      </c>
      <c r="G1235" t="inlineStr">
        <is>
          <t>CG</t>
        </is>
      </c>
      <c r="H1235" t="inlineStr">
        <is>
          <t>sin asignar</t>
        </is>
      </c>
      <c r="I1235" t="inlineStr">
        <is>
          <t>CG</t>
        </is>
      </c>
      <c r="J1235" t="inlineStr">
        <is>
          <t>ROCKCODE agrupado en ROCKCODE_NUMEQ=10; sigla sin leyenda</t>
        </is>
      </c>
      <c r="K1235" t="inlineStr">
        <is>
          <t>Caliza (hipótesis: siglas C*)</t>
        </is>
      </c>
      <c r="L1235" t="inlineStr">
        <is>
          <t>Sedimentario</t>
        </is>
      </c>
      <c r="M1235" t="n">
        <v>4721</v>
      </c>
      <c r="N1235" t="inlineStr"/>
      <c r="O1235" t="inlineStr"/>
      <c r="P1235" t="n">
        <v>4326.85</v>
      </c>
      <c r="Q1235" t="n">
        <v>6.629</v>
      </c>
    </row>
    <row r="1236">
      <c r="A1236" t="inlineStr">
        <is>
          <t>MR24</t>
        </is>
      </c>
      <c r="B1236" t="inlineStr">
        <is>
          <t>Merged_Table_Assay_lito</t>
        </is>
      </c>
      <c r="C1236" t="inlineStr">
        <is>
          <t>metros de sondaje; pct sobre metros</t>
        </is>
      </c>
      <c r="D1236" t="inlineStr">
        <is>
          <t>fase_plp_GM_FASES_LE2_Output</t>
        </is>
      </c>
      <c r="E1236" t="inlineStr">
        <is>
          <t>11D</t>
        </is>
      </c>
      <c r="F1236" t="inlineStr">
        <is>
          <t>ROCKCODE</t>
        </is>
      </c>
      <c r="G1236" t="inlineStr">
        <is>
          <t>CGS</t>
        </is>
      </c>
      <c r="H1236" t="inlineStr">
        <is>
          <t>sin asignar</t>
        </is>
      </c>
      <c r="I1236" t="inlineStr">
        <is>
          <t>CGS</t>
        </is>
      </c>
      <c r="J1236" t="inlineStr">
        <is>
          <t>ROCKCODE agrupado en ROCKCODE_NUMEQ=10; sigla sin leyenda</t>
        </is>
      </c>
      <c r="K1236" t="inlineStr">
        <is>
          <t>Caliza (hipótesis: siglas C*)</t>
        </is>
      </c>
      <c r="L1236" t="inlineStr">
        <is>
          <t>Sedimentario</t>
        </is>
      </c>
      <c r="M1236" t="n">
        <v>1527</v>
      </c>
      <c r="N1236" t="inlineStr"/>
      <c r="O1236" t="inlineStr"/>
      <c r="P1236" t="n">
        <v>1254.5</v>
      </c>
      <c r="Q1236" t="n">
        <v>1.922</v>
      </c>
    </row>
    <row r="1237">
      <c r="A1237" t="inlineStr">
        <is>
          <t>MR24</t>
        </is>
      </c>
      <c r="B1237" t="inlineStr">
        <is>
          <t>Merged_Table_Assay_lito</t>
        </is>
      </c>
      <c r="C1237" t="inlineStr">
        <is>
          <t>metros de sondaje; pct sobre metros</t>
        </is>
      </c>
      <c r="D1237" t="inlineStr">
        <is>
          <t>fase_plp_GM_FASES_LE2_Output</t>
        </is>
      </c>
      <c r="E1237" t="inlineStr">
        <is>
          <t>11D</t>
        </is>
      </c>
      <c r="F1237" t="inlineStr">
        <is>
          <t>ROCKCODE</t>
        </is>
      </c>
      <c r="G1237" t="inlineStr">
        <is>
          <t>CM</t>
        </is>
      </c>
      <c r="H1237" t="inlineStr">
        <is>
          <t>sin asignar</t>
        </is>
      </c>
      <c r="I1237" t="inlineStr">
        <is>
          <t>CM</t>
        </is>
      </c>
      <c r="J1237" t="inlineStr">
        <is>
          <t>ROCKCODE agrupado en ROCKCODE_NUMEQ=10; sigla sin leyenda</t>
        </is>
      </c>
      <c r="K1237" t="inlineStr">
        <is>
          <t>Caliza (hipótesis: siglas C*)</t>
        </is>
      </c>
      <c r="L1237" t="inlineStr">
        <is>
          <t>Sedimentario</t>
        </is>
      </c>
      <c r="M1237" t="n">
        <v>4</v>
      </c>
      <c r="N1237" t="inlineStr"/>
      <c r="O1237" t="inlineStr"/>
      <c r="P1237" t="n">
        <v>19.2</v>
      </c>
      <c r="Q1237" t="n">
        <v>0.029</v>
      </c>
    </row>
    <row r="1238">
      <c r="A1238" t="inlineStr">
        <is>
          <t>MR24</t>
        </is>
      </c>
      <c r="B1238" t="inlineStr">
        <is>
          <t>Merged_Table_Assay_lito</t>
        </is>
      </c>
      <c r="C1238" t="inlineStr">
        <is>
          <t>metros de sondaje; pct sobre metros</t>
        </is>
      </c>
      <c r="D1238" t="inlineStr">
        <is>
          <t>fase_plp_GM_FASES_LE2_Output</t>
        </is>
      </c>
      <c r="E1238" t="inlineStr">
        <is>
          <t>11D</t>
        </is>
      </c>
      <c r="F1238" t="inlineStr">
        <is>
          <t>ROCKCODE</t>
        </is>
      </c>
      <c r="G1238" t="inlineStr">
        <is>
          <t>CN</t>
        </is>
      </c>
      <c r="H1238" t="inlineStr">
        <is>
          <t>sin asignar</t>
        </is>
      </c>
      <c r="I1238" t="inlineStr">
        <is>
          <t>CN</t>
        </is>
      </c>
      <c r="J1238" t="inlineStr">
        <is>
          <t>ROCKCODE agrupado en ROCKCODE_NUMEQ=10; sigla sin leyenda</t>
        </is>
      </c>
      <c r="K1238" t="inlineStr">
        <is>
          <t>Caliza (hipótesis: siglas C*)</t>
        </is>
      </c>
      <c r="L1238" t="inlineStr">
        <is>
          <t>Sedimentario</t>
        </is>
      </c>
      <c r="M1238" t="n">
        <v>53</v>
      </c>
      <c r="N1238" t="inlineStr"/>
      <c r="O1238" t="inlineStr"/>
      <c r="P1238" t="n">
        <v>52.6</v>
      </c>
      <c r="Q1238" t="n">
        <v>0.081</v>
      </c>
    </row>
    <row r="1239">
      <c r="A1239" t="inlineStr">
        <is>
          <t>MR24</t>
        </is>
      </c>
      <c r="B1239" t="inlineStr">
        <is>
          <t>Merged_Table_Assay_lito</t>
        </is>
      </c>
      <c r="C1239" t="inlineStr">
        <is>
          <t>metros de sondaje; pct sobre metros</t>
        </is>
      </c>
      <c r="D1239" t="inlineStr">
        <is>
          <t>fase_plp_GM_FASES_LE2_Output</t>
        </is>
      </c>
      <c r="E1239" t="inlineStr">
        <is>
          <t>11D</t>
        </is>
      </c>
      <c r="F1239" t="inlineStr">
        <is>
          <t>ROCKCODE</t>
        </is>
      </c>
      <c r="G1239" t="inlineStr">
        <is>
          <t>DI</t>
        </is>
      </c>
      <c r="H1239" t="inlineStr">
        <is>
          <t>Intrusivo</t>
        </is>
      </c>
      <c r="I1239" t="inlineStr">
        <is>
          <t>DI</t>
        </is>
      </c>
      <c r="J1239" t="inlineStr">
        <is>
          <t>ROCKCODE agrupado en ROCKCODE_NUMEQ=1 (Intrusivo_1)</t>
        </is>
      </c>
      <c r="K1239" t="inlineStr">
        <is>
          <t>Intrusivo</t>
        </is>
      </c>
      <c r="L1239" t="inlineStr">
        <is>
          <t>Intrusivo</t>
        </is>
      </c>
      <c r="M1239" t="n">
        <v>2</v>
      </c>
      <c r="N1239" t="inlineStr"/>
      <c r="O1239" t="inlineStr"/>
      <c r="P1239" t="n">
        <v>1.3</v>
      </c>
      <c r="Q1239" t="n">
        <v>0.002</v>
      </c>
    </row>
    <row r="1240">
      <c r="A1240" t="inlineStr">
        <is>
          <t>MR24</t>
        </is>
      </c>
      <c r="B1240" t="inlineStr">
        <is>
          <t>Merged_Table_Assay_lito</t>
        </is>
      </c>
      <c r="C1240" t="inlineStr">
        <is>
          <t>metros de sondaje; pct sobre metros</t>
        </is>
      </c>
      <c r="D1240" t="inlineStr">
        <is>
          <t>fase_plp_GM_FASES_LE2_Output</t>
        </is>
      </c>
      <c r="E1240" t="inlineStr">
        <is>
          <t>11D</t>
        </is>
      </c>
      <c r="F1240" t="inlineStr">
        <is>
          <t>ROCKCODE</t>
        </is>
      </c>
      <c r="G1240" t="inlineStr">
        <is>
          <t>HBV</t>
        </is>
      </c>
      <c r="H1240" t="inlineStr">
        <is>
          <t>sin asignar</t>
        </is>
      </c>
      <c r="I1240" t="inlineStr">
        <is>
          <t>HBV</t>
        </is>
      </c>
      <c r="J1240" t="inlineStr">
        <is>
          <t>ROCKCODE agrupado en ROCKCODE_NUMEQ=14; sigla sin leyenda</t>
        </is>
      </c>
      <c r="K1240" t="inlineStr">
        <is>
          <t>Hornfels (hipótesis: siglas H*)</t>
        </is>
      </c>
      <c r="L1240" t="inlineStr">
        <is>
          <t>Metamorfico</t>
        </is>
      </c>
      <c r="M1240" t="n">
        <v>1400</v>
      </c>
      <c r="N1240" t="inlineStr"/>
      <c r="O1240" t="inlineStr"/>
      <c r="P1240" t="n">
        <v>1101.5</v>
      </c>
      <c r="Q1240" t="n">
        <v>1.688</v>
      </c>
    </row>
    <row r="1241">
      <c r="A1241" t="inlineStr">
        <is>
          <t>MR24</t>
        </is>
      </c>
      <c r="B1241" t="inlineStr">
        <is>
          <t>Merged_Table_Assay_lito</t>
        </is>
      </c>
      <c r="C1241" t="inlineStr">
        <is>
          <t>metros de sondaje; pct sobre metros</t>
        </is>
      </c>
      <c r="D1241" t="inlineStr">
        <is>
          <t>fase_plp_GM_FASES_LE2_Output</t>
        </is>
      </c>
      <c r="E1241" t="inlineStr">
        <is>
          <t>11D</t>
        </is>
      </c>
      <c r="F1241" t="inlineStr">
        <is>
          <t>ROCKCODE</t>
        </is>
      </c>
      <c r="G1241" t="inlineStr">
        <is>
          <t>HC</t>
        </is>
      </c>
      <c r="H1241" t="inlineStr">
        <is>
          <t>sin asignar</t>
        </is>
      </c>
      <c r="I1241" t="inlineStr">
        <is>
          <t>HC</t>
        </is>
      </c>
      <c r="J1241" t="inlineStr">
        <is>
          <t>ROCKCODE agrupado en ROCKCODE_NUMEQ=13; sigla sin leyenda</t>
        </is>
      </c>
      <c r="K1241" t="inlineStr">
        <is>
          <t>Hornfels (hipótesis: siglas H*)</t>
        </is>
      </c>
      <c r="L1241" t="inlineStr">
        <is>
          <t>Metamorfico</t>
        </is>
      </c>
      <c r="M1241" t="n">
        <v>3984</v>
      </c>
      <c r="N1241" t="inlineStr"/>
      <c r="O1241" t="inlineStr"/>
      <c r="P1241" t="n">
        <v>3197.65</v>
      </c>
      <c r="Q1241" t="n">
        <v>4.899</v>
      </c>
    </row>
    <row r="1242">
      <c r="A1242" t="inlineStr">
        <is>
          <t>MR24</t>
        </is>
      </c>
      <c r="B1242" t="inlineStr">
        <is>
          <t>Merged_Table_Assay_lito</t>
        </is>
      </c>
      <c r="C1242" t="inlineStr">
        <is>
          <t>metros de sondaje; pct sobre metros</t>
        </is>
      </c>
      <c r="D1242" t="inlineStr">
        <is>
          <t>fase_plp_GM_FASES_LE2_Output</t>
        </is>
      </c>
      <c r="E1242" t="inlineStr">
        <is>
          <t>11D</t>
        </is>
      </c>
      <c r="F1242" t="inlineStr">
        <is>
          <t>ROCKCODE</t>
        </is>
      </c>
      <c r="G1242" t="inlineStr">
        <is>
          <t>HCB</t>
        </is>
      </c>
      <c r="H1242" t="inlineStr">
        <is>
          <t>sin asignar</t>
        </is>
      </c>
      <c r="I1242" t="inlineStr">
        <is>
          <t>HCB</t>
        </is>
      </c>
      <c r="J1242" t="inlineStr">
        <is>
          <t>ROCKCODE agrupado en ROCKCODE_NUMEQ=14; sigla sin leyenda</t>
        </is>
      </c>
      <c r="K1242" t="inlineStr">
        <is>
          <t>Hornfels (hipótesis: siglas H*)</t>
        </is>
      </c>
      <c r="L1242" t="inlineStr">
        <is>
          <t>Metamorfico</t>
        </is>
      </c>
      <c r="M1242" t="n">
        <v>595</v>
      </c>
      <c r="N1242" t="inlineStr"/>
      <c r="O1242" t="inlineStr"/>
      <c r="P1242" t="n">
        <v>468.15</v>
      </c>
      <c r="Q1242" t="n">
        <v>0.717</v>
      </c>
    </row>
    <row r="1243">
      <c r="A1243" t="inlineStr">
        <is>
          <t>MR24</t>
        </is>
      </c>
      <c r="B1243" t="inlineStr">
        <is>
          <t>Merged_Table_Assay_lito</t>
        </is>
      </c>
      <c r="C1243" t="inlineStr">
        <is>
          <t>metros de sondaje; pct sobre metros</t>
        </is>
      </c>
      <c r="D1243" t="inlineStr">
        <is>
          <t>fase_plp_GM_FASES_LE2_Output</t>
        </is>
      </c>
      <c r="E1243" t="inlineStr">
        <is>
          <t>11D</t>
        </is>
      </c>
      <c r="F1243" t="inlineStr">
        <is>
          <t>ROCKCODE</t>
        </is>
      </c>
      <c r="G1243" t="inlineStr">
        <is>
          <t>HDP</t>
        </is>
      </c>
      <c r="H1243" t="inlineStr">
        <is>
          <t>sin asignar</t>
        </is>
      </c>
      <c r="I1243" t="inlineStr">
        <is>
          <t>HDP</t>
        </is>
      </c>
      <c r="J1243" t="inlineStr">
        <is>
          <t>ROCKCODE agrupado en ROCKCODE_NUMEQ=14; sigla sin leyenda</t>
        </is>
      </c>
      <c r="K1243" t="inlineStr">
        <is>
          <t>Hornfels (hipótesis: siglas H*)</t>
        </is>
      </c>
      <c r="L1243" t="inlineStr">
        <is>
          <t>Metamorfico</t>
        </is>
      </c>
      <c r="M1243" t="n">
        <v>392</v>
      </c>
      <c r="N1243" t="inlineStr"/>
      <c r="O1243" t="inlineStr"/>
      <c r="P1243" t="n">
        <v>357.35</v>
      </c>
      <c r="Q1243" t="n">
        <v>0.548</v>
      </c>
    </row>
    <row r="1244">
      <c r="A1244" t="inlineStr">
        <is>
          <t>MR24</t>
        </is>
      </c>
      <c r="B1244" t="inlineStr">
        <is>
          <t>Merged_Table_Assay_lito</t>
        </is>
      </c>
      <c r="C1244" t="inlineStr">
        <is>
          <t>metros de sondaje; pct sobre metros</t>
        </is>
      </c>
      <c r="D1244" t="inlineStr">
        <is>
          <t>fase_plp_GM_FASES_LE2_Output</t>
        </is>
      </c>
      <c r="E1244" t="inlineStr">
        <is>
          <t>11D</t>
        </is>
      </c>
      <c r="F1244" t="inlineStr">
        <is>
          <t>ROCKCODE</t>
        </is>
      </c>
      <c r="G1244" t="inlineStr">
        <is>
          <t>HG</t>
        </is>
      </c>
      <c r="H1244" t="inlineStr">
        <is>
          <t>sin asignar</t>
        </is>
      </c>
      <c r="I1244" t="inlineStr">
        <is>
          <t>HG</t>
        </is>
      </c>
      <c r="J1244" t="inlineStr">
        <is>
          <t>ROCKCODE agrupado en ROCKCODE_NUMEQ=13; sigla sin leyenda</t>
        </is>
      </c>
      <c r="K1244" t="inlineStr">
        <is>
          <t>Hornfels (hipótesis: siglas H*)</t>
        </is>
      </c>
      <c r="L1244" t="inlineStr">
        <is>
          <t>Metamorfico</t>
        </is>
      </c>
      <c r="M1244" t="n">
        <v>14079</v>
      </c>
      <c r="N1244" t="inlineStr"/>
      <c r="O1244" t="inlineStr"/>
      <c r="P1244" t="n">
        <v>11941</v>
      </c>
      <c r="Q1244" t="n">
        <v>18.295</v>
      </c>
    </row>
    <row r="1245">
      <c r="A1245" t="inlineStr">
        <is>
          <t>MR24</t>
        </is>
      </c>
      <c r="B1245" t="inlineStr">
        <is>
          <t>Merged_Table_Assay_lito</t>
        </is>
      </c>
      <c r="C1245" t="inlineStr">
        <is>
          <t>metros de sondaje; pct sobre metros</t>
        </is>
      </c>
      <c r="D1245" t="inlineStr">
        <is>
          <t>fase_plp_GM_FASES_LE2_Output</t>
        </is>
      </c>
      <c r="E1245" t="inlineStr">
        <is>
          <t>11D</t>
        </is>
      </c>
      <c r="F1245" t="inlineStr">
        <is>
          <t>ROCKCODE</t>
        </is>
      </c>
      <c r="G1245" t="inlineStr">
        <is>
          <t>HGS</t>
        </is>
      </c>
      <c r="H1245" t="inlineStr">
        <is>
          <t>sin asignar</t>
        </is>
      </c>
      <c r="I1245" t="inlineStr">
        <is>
          <t>HGS</t>
        </is>
      </c>
      <c r="J1245" t="inlineStr">
        <is>
          <t>ROCKCODE agrupado en ROCKCODE_NUMEQ=13; sigla sin leyenda</t>
        </is>
      </c>
      <c r="K1245" t="inlineStr">
        <is>
          <t>Hornfels (hipótesis: siglas H*)</t>
        </is>
      </c>
      <c r="L1245" t="inlineStr">
        <is>
          <t>Metamorfico</t>
        </is>
      </c>
      <c r="M1245" t="n">
        <v>4231</v>
      </c>
      <c r="N1245" t="inlineStr"/>
      <c r="O1245" t="inlineStr"/>
      <c r="P1245" t="n">
        <v>3549.05</v>
      </c>
      <c r="Q1245" t="n">
        <v>5.438</v>
      </c>
    </row>
    <row r="1246">
      <c r="A1246" t="inlineStr">
        <is>
          <t>MR24</t>
        </is>
      </c>
      <c r="B1246" t="inlineStr">
        <is>
          <t>Merged_Table_Assay_lito</t>
        </is>
      </c>
      <c r="C1246" t="inlineStr">
        <is>
          <t>metros de sondaje; pct sobre metros</t>
        </is>
      </c>
      <c r="D1246" t="inlineStr">
        <is>
          <t>fase_plp_GM_FASES_LE2_Output</t>
        </is>
      </c>
      <c r="E1246" t="inlineStr">
        <is>
          <t>11D</t>
        </is>
      </c>
      <c r="F1246" t="inlineStr">
        <is>
          <t>ROCKCODE</t>
        </is>
      </c>
      <c r="G1246" t="inlineStr">
        <is>
          <t>HGV</t>
        </is>
      </c>
      <c r="H1246" t="inlineStr">
        <is>
          <t>sin asignar</t>
        </is>
      </c>
      <c r="I1246" t="inlineStr">
        <is>
          <t>HGV</t>
        </is>
      </c>
      <c r="J1246" t="inlineStr">
        <is>
          <t>ROCKCODE agrupado en ROCKCODE_NUMEQ=14; sigla sin leyenda</t>
        </is>
      </c>
      <c r="K1246" t="inlineStr">
        <is>
          <t>Hornfels (hipótesis: siglas H*)</t>
        </is>
      </c>
      <c r="L1246" t="inlineStr">
        <is>
          <t>Metamorfico</t>
        </is>
      </c>
      <c r="M1246" t="n">
        <v>923</v>
      </c>
      <c r="N1246" t="inlineStr"/>
      <c r="O1246" t="inlineStr"/>
      <c r="P1246" t="n">
        <v>710.8</v>
      </c>
      <c r="Q1246" t="n">
        <v>1.089</v>
      </c>
    </row>
    <row r="1247">
      <c r="A1247" t="inlineStr">
        <is>
          <t>MR24</t>
        </is>
      </c>
      <c r="B1247" t="inlineStr">
        <is>
          <t>Merged_Table_Assay_lito</t>
        </is>
      </c>
      <c r="C1247" t="inlineStr">
        <is>
          <t>metros de sondaje; pct sobre metros</t>
        </is>
      </c>
      <c r="D1247" t="inlineStr">
        <is>
          <t>fase_plp_GM_FASES_LE2_Output</t>
        </is>
      </c>
      <c r="E1247" t="inlineStr">
        <is>
          <t>11D</t>
        </is>
      </c>
      <c r="F1247" t="inlineStr">
        <is>
          <t>ROCKCODE</t>
        </is>
      </c>
      <c r="G1247" t="inlineStr">
        <is>
          <t>HMGV</t>
        </is>
      </c>
      <c r="H1247" t="inlineStr">
        <is>
          <t>sin asignar</t>
        </is>
      </c>
      <c r="I1247" t="inlineStr">
        <is>
          <t>HMGV</t>
        </is>
      </c>
      <c r="J1247" t="inlineStr">
        <is>
          <t>ROCKCODE agrupado en ROCKCODE_NUMEQ=14; sigla sin leyenda</t>
        </is>
      </c>
      <c r="K1247" t="inlineStr">
        <is>
          <t>Hornfels (hipótesis: siglas H*)</t>
        </is>
      </c>
      <c r="L1247" t="inlineStr">
        <is>
          <t>Metamorfico</t>
        </is>
      </c>
      <c r="M1247" t="n">
        <v>168</v>
      </c>
      <c r="N1247" t="inlineStr"/>
      <c r="O1247" t="inlineStr"/>
      <c r="P1247" t="n">
        <v>108.85</v>
      </c>
      <c r="Q1247" t="n">
        <v>0.167</v>
      </c>
    </row>
    <row r="1248">
      <c r="A1248" t="inlineStr">
        <is>
          <t>MR24</t>
        </is>
      </c>
      <c r="B1248" t="inlineStr">
        <is>
          <t>Merged_Table_Assay_lito</t>
        </is>
      </c>
      <c r="C1248" t="inlineStr">
        <is>
          <t>metros de sondaje; pct sobre metros</t>
        </is>
      </c>
      <c r="D1248" t="inlineStr">
        <is>
          <t>fase_plp_GM_FASES_LE2_Output</t>
        </is>
      </c>
      <c r="E1248" t="inlineStr">
        <is>
          <t>11D</t>
        </is>
      </c>
      <c r="F1248" t="inlineStr">
        <is>
          <t>ROCKCODE</t>
        </is>
      </c>
      <c r="G1248" t="inlineStr">
        <is>
          <t>HV</t>
        </is>
      </c>
      <c r="H1248" t="inlineStr">
        <is>
          <t>sin asignar</t>
        </is>
      </c>
      <c r="I1248" t="inlineStr">
        <is>
          <t>HV</t>
        </is>
      </c>
      <c r="J1248" t="inlineStr">
        <is>
          <t>ROCKCODE agrupado en ROCKCODE_NUMEQ=14; sigla sin leyenda</t>
        </is>
      </c>
      <c r="K1248" t="inlineStr">
        <is>
          <t>Hornfels (hipótesis: siglas H*)</t>
        </is>
      </c>
      <c r="L1248" t="inlineStr">
        <is>
          <t>Metamorfico</t>
        </is>
      </c>
      <c r="M1248" t="n">
        <v>27</v>
      </c>
      <c r="N1248" t="inlineStr"/>
      <c r="O1248" t="inlineStr"/>
      <c r="P1248" t="n">
        <v>19.3</v>
      </c>
      <c r="Q1248" t="n">
        <v>0.03</v>
      </c>
    </row>
    <row r="1249">
      <c r="A1249" t="inlineStr">
        <is>
          <t>MR24</t>
        </is>
      </c>
      <c r="B1249" t="inlineStr">
        <is>
          <t>Merged_Table_Assay_lito</t>
        </is>
      </c>
      <c r="C1249" t="inlineStr">
        <is>
          <t>metros de sondaje; pct sobre metros</t>
        </is>
      </c>
      <c r="D1249" t="inlineStr">
        <is>
          <t>fase_plp_GM_FASES_LE2_Output</t>
        </is>
      </c>
      <c r="E1249" t="inlineStr">
        <is>
          <t>11D</t>
        </is>
      </c>
      <c r="F1249" t="inlineStr">
        <is>
          <t>ROCKCODE</t>
        </is>
      </c>
      <c r="G1249" t="inlineStr">
        <is>
          <t>IPHPE</t>
        </is>
      </c>
      <c r="H1249" t="inlineStr">
        <is>
          <t>Intrusivo</t>
        </is>
      </c>
      <c r="I1249" t="inlineStr">
        <is>
          <t>IPHPE</t>
        </is>
      </c>
      <c r="J1249" t="inlineStr">
        <is>
          <t>ROCKCODE agrupado en ROCKCODE_NUMEQ=1 (Intrusivo_1)</t>
        </is>
      </c>
      <c r="K1249" t="inlineStr">
        <is>
          <t>Intrusivo</t>
        </is>
      </c>
      <c r="L1249" t="inlineStr">
        <is>
          <t>Intrusivo</t>
        </is>
      </c>
      <c r="M1249" t="n">
        <v>88</v>
      </c>
      <c r="N1249" t="inlineStr"/>
      <c r="O1249" t="inlineStr"/>
      <c r="P1249" t="n">
        <v>54.55</v>
      </c>
      <c r="Q1249" t="n">
        <v>0.08400000000000001</v>
      </c>
    </row>
    <row r="1250">
      <c r="A1250" t="inlineStr">
        <is>
          <t>MR24</t>
        </is>
      </c>
      <c r="B1250" t="inlineStr">
        <is>
          <t>Merged_Table_Assay_lito</t>
        </is>
      </c>
      <c r="C1250" t="inlineStr">
        <is>
          <t>metros de sondaje; pct sobre metros</t>
        </is>
      </c>
      <c r="D1250" t="inlineStr">
        <is>
          <t>fase_plp_GM_FASES_LE2_Output</t>
        </is>
      </c>
      <c r="E1250" t="inlineStr">
        <is>
          <t>11D</t>
        </is>
      </c>
      <c r="F1250" t="inlineStr">
        <is>
          <t>ROCKCODE</t>
        </is>
      </c>
      <c r="G1250" t="inlineStr">
        <is>
          <t>IPPA</t>
        </is>
      </c>
      <c r="H1250" t="inlineStr">
        <is>
          <t>Intrusivo</t>
        </is>
      </c>
      <c r="I1250" t="inlineStr">
        <is>
          <t>IPPA</t>
        </is>
      </c>
      <c r="J1250" t="inlineStr">
        <is>
          <t>ROCKCODE agrupado en ROCKCODE_NUMEQ=1 (Intrusivo_1)</t>
        </is>
      </c>
      <c r="K1250" t="inlineStr">
        <is>
          <t>Intrusivo</t>
        </is>
      </c>
      <c r="L1250" t="inlineStr">
        <is>
          <t>Intrusivo</t>
        </is>
      </c>
      <c r="M1250" t="n">
        <v>12033</v>
      </c>
      <c r="N1250" t="inlineStr"/>
      <c r="O1250" t="inlineStr"/>
      <c r="P1250" t="n">
        <v>12310.45</v>
      </c>
      <c r="Q1250" t="n">
        <v>18.862</v>
      </c>
    </row>
    <row r="1251">
      <c r="A1251" t="inlineStr">
        <is>
          <t>MR24</t>
        </is>
      </c>
      <c r="B1251" t="inlineStr">
        <is>
          <t>Merged_Table_Assay_lito</t>
        </is>
      </c>
      <c r="C1251" t="inlineStr">
        <is>
          <t>metros de sondaje; pct sobre metros</t>
        </is>
      </c>
      <c r="D1251" t="inlineStr">
        <is>
          <t>fase_plp_GM_FASES_LE2_Output</t>
        </is>
      </c>
      <c r="E1251" t="inlineStr">
        <is>
          <t>11D</t>
        </is>
      </c>
      <c r="F1251" t="inlineStr">
        <is>
          <t>ROCKCODE</t>
        </is>
      </c>
      <c r="G1251" t="inlineStr">
        <is>
          <t>IPPAO</t>
        </is>
      </c>
      <c r="H1251" t="inlineStr">
        <is>
          <t>Intrusivo</t>
        </is>
      </c>
      <c r="I1251" t="inlineStr">
        <is>
          <t>IPPAO</t>
        </is>
      </c>
      <c r="J1251" t="inlineStr">
        <is>
          <t>ROCKCODE agrupado en ROCKCODE_NUMEQ=1 (Intrusivo_1)</t>
        </is>
      </c>
      <c r="K1251" t="inlineStr">
        <is>
          <t>Intrusivo</t>
        </is>
      </c>
      <c r="L1251" t="inlineStr">
        <is>
          <t>Intrusivo</t>
        </is>
      </c>
      <c r="M1251" t="n">
        <v>1432</v>
      </c>
      <c r="N1251" t="inlineStr"/>
      <c r="O1251" t="inlineStr"/>
      <c r="P1251" t="n">
        <v>1328.6</v>
      </c>
      <c r="Q1251" t="n">
        <v>2.036</v>
      </c>
    </row>
    <row r="1252">
      <c r="A1252" t="inlineStr">
        <is>
          <t>MR24</t>
        </is>
      </c>
      <c r="B1252" t="inlineStr">
        <is>
          <t>Merged_Table_Assay_lito</t>
        </is>
      </c>
      <c r="C1252" t="inlineStr">
        <is>
          <t>metros de sondaje; pct sobre metros</t>
        </is>
      </c>
      <c r="D1252" t="inlineStr">
        <is>
          <t>fase_plp_GM_FASES_LE2_Output</t>
        </is>
      </c>
      <c r="E1252" t="inlineStr">
        <is>
          <t>11D</t>
        </is>
      </c>
      <c r="F1252" t="inlineStr">
        <is>
          <t>ROCKCODE</t>
        </is>
      </c>
      <c r="G1252" t="inlineStr">
        <is>
          <t>IPPEO</t>
        </is>
      </c>
      <c r="H1252" t="inlineStr">
        <is>
          <t>Intrusivo</t>
        </is>
      </c>
      <c r="I1252" t="inlineStr">
        <is>
          <t>IPPEO</t>
        </is>
      </c>
      <c r="J1252" t="inlineStr">
        <is>
          <t>ROCKCODE agrupado en ROCKCODE_NUMEQ=1 (Intrusivo_1)</t>
        </is>
      </c>
      <c r="K1252" t="inlineStr">
        <is>
          <t>Intrusivo</t>
        </is>
      </c>
      <c r="L1252" t="inlineStr">
        <is>
          <t>Intrusivo</t>
        </is>
      </c>
      <c r="M1252" t="n">
        <v>824</v>
      </c>
      <c r="N1252" t="inlineStr"/>
      <c r="O1252" t="inlineStr"/>
      <c r="P1252" t="n">
        <v>704.65</v>
      </c>
      <c r="Q1252" t="n">
        <v>1.08</v>
      </c>
    </row>
    <row r="1253">
      <c r="A1253" t="inlineStr">
        <is>
          <t>MR24</t>
        </is>
      </c>
      <c r="B1253" t="inlineStr">
        <is>
          <t>Merged_Table_Assay_lito</t>
        </is>
      </c>
      <c r="C1253" t="inlineStr">
        <is>
          <t>metros de sondaje; pct sobre metros</t>
        </is>
      </c>
      <c r="D1253" t="inlineStr">
        <is>
          <t>fase_plp_GM_FASES_LE2_Output</t>
        </is>
      </c>
      <c r="E1253" t="inlineStr">
        <is>
          <t>11D</t>
        </is>
      </c>
      <c r="F1253" t="inlineStr">
        <is>
          <t>ROCKCODE</t>
        </is>
      </c>
      <c r="G1253" t="inlineStr">
        <is>
          <t>M</t>
        </is>
      </c>
      <c r="H1253" t="inlineStr">
        <is>
          <t>sin asignar</t>
        </is>
      </c>
      <c r="I1253" t="inlineStr">
        <is>
          <t>M</t>
        </is>
      </c>
      <c r="J1253" t="inlineStr">
        <is>
          <t>ROCKCODE agrupado en ROCKCODE_NUMEQ=16; sigla sin leyenda</t>
        </is>
      </c>
      <c r="K1253" t="inlineStr">
        <is>
          <t>Mármol (hipótesis: siglas M*)</t>
        </is>
      </c>
      <c r="L1253" t="inlineStr">
        <is>
          <t>Metamorfico</t>
        </is>
      </c>
      <c r="M1253" t="n">
        <v>41</v>
      </c>
      <c r="N1253" t="inlineStr"/>
      <c r="O1253" t="inlineStr"/>
      <c r="P1253" t="n">
        <v>38.05</v>
      </c>
      <c r="Q1253" t="n">
        <v>0.058</v>
      </c>
    </row>
    <row r="1254">
      <c r="A1254" t="inlineStr">
        <is>
          <t>MR24</t>
        </is>
      </c>
      <c r="B1254" t="inlineStr">
        <is>
          <t>Merged_Table_Assay_lito</t>
        </is>
      </c>
      <c r="C1254" t="inlineStr">
        <is>
          <t>metros de sondaje; pct sobre metros</t>
        </is>
      </c>
      <c r="D1254" t="inlineStr">
        <is>
          <t>fase_plp_GM_FASES_LE2_Output</t>
        </is>
      </c>
      <c r="E1254" t="inlineStr">
        <is>
          <t>11D</t>
        </is>
      </c>
      <c r="F1254" t="inlineStr">
        <is>
          <t>ROCKCODE</t>
        </is>
      </c>
      <c r="G1254" t="inlineStr">
        <is>
          <t>MC</t>
        </is>
      </c>
      <c r="H1254" t="inlineStr">
        <is>
          <t>sin asignar</t>
        </is>
      </c>
      <c r="I1254" t="inlineStr">
        <is>
          <t>MC</t>
        </is>
      </c>
      <c r="J1254" t="inlineStr">
        <is>
          <t>ROCKCODE agrupado en ROCKCODE_NUMEQ=16; sigla sin leyenda</t>
        </is>
      </c>
      <c r="K1254" t="inlineStr">
        <is>
          <t>Mármol (hipótesis: siglas M*)</t>
        </is>
      </c>
      <c r="L1254" t="inlineStr">
        <is>
          <t>Metamorfico</t>
        </is>
      </c>
      <c r="M1254" t="n">
        <v>7325</v>
      </c>
      <c r="N1254" t="inlineStr"/>
      <c r="O1254" t="inlineStr"/>
      <c r="P1254" t="n">
        <v>6496.9</v>
      </c>
      <c r="Q1254" t="n">
        <v>9.954000000000001</v>
      </c>
    </row>
    <row r="1255">
      <c r="A1255" t="inlineStr">
        <is>
          <t>MR24</t>
        </is>
      </c>
      <c r="B1255" t="inlineStr">
        <is>
          <t>Merged_Table_Assay_lito</t>
        </is>
      </c>
      <c r="C1255" t="inlineStr">
        <is>
          <t>metros de sondaje; pct sobre metros</t>
        </is>
      </c>
      <c r="D1255" t="inlineStr">
        <is>
          <t>fase_plp_GM_FASES_LE2_Output</t>
        </is>
      </c>
      <c r="E1255" t="inlineStr">
        <is>
          <t>11D</t>
        </is>
      </c>
      <c r="F1255" t="inlineStr">
        <is>
          <t>ROCKCODE</t>
        </is>
      </c>
      <c r="G1255" t="inlineStr">
        <is>
          <t>MCB</t>
        </is>
      </c>
      <c r="H1255" t="inlineStr">
        <is>
          <t>sin asignar</t>
        </is>
      </c>
      <c r="I1255" t="inlineStr">
        <is>
          <t>MCB</t>
        </is>
      </c>
      <c r="J1255" t="inlineStr">
        <is>
          <t>ROCKCODE agrupado en ROCKCODE_NUMEQ=16; sigla sin leyenda</t>
        </is>
      </c>
      <c r="K1255" t="inlineStr">
        <is>
          <t>Mármol (hipótesis: siglas M*)</t>
        </is>
      </c>
      <c r="L1255" t="inlineStr">
        <is>
          <t>Metamorfico</t>
        </is>
      </c>
      <c r="M1255" t="n">
        <v>693</v>
      </c>
      <c r="N1255" t="inlineStr"/>
      <c r="O1255" t="inlineStr"/>
      <c r="P1255" t="n">
        <v>740.8</v>
      </c>
      <c r="Q1255" t="n">
        <v>1.135</v>
      </c>
    </row>
    <row r="1256">
      <c r="A1256" t="inlineStr">
        <is>
          <t>MR24</t>
        </is>
      </c>
      <c r="B1256" t="inlineStr">
        <is>
          <t>Merged_Table_Assay_lito</t>
        </is>
      </c>
      <c r="C1256" t="inlineStr">
        <is>
          <t>metros de sondaje; pct sobre metros</t>
        </is>
      </c>
      <c r="D1256" t="inlineStr">
        <is>
          <t>fase_plp_GM_FASES_LE2_Output</t>
        </is>
      </c>
      <c r="E1256" t="inlineStr">
        <is>
          <t>11D</t>
        </is>
      </c>
      <c r="F1256" t="inlineStr">
        <is>
          <t>ROCKCODE</t>
        </is>
      </c>
      <c r="G1256" t="inlineStr">
        <is>
          <t>MCGB</t>
        </is>
      </c>
      <c r="H1256" t="inlineStr">
        <is>
          <t>sin asignar</t>
        </is>
      </c>
      <c r="I1256" t="inlineStr">
        <is>
          <t>MCGB</t>
        </is>
      </c>
      <c r="J1256" t="inlineStr">
        <is>
          <t>ROCKCODE agrupado en ROCKCODE_NUMEQ=16; sigla sin leyenda</t>
        </is>
      </c>
      <c r="K1256" t="inlineStr">
        <is>
          <t>Mármol (hipótesis: siglas M*)</t>
        </is>
      </c>
      <c r="L1256" t="inlineStr">
        <is>
          <t>Metamorfico</t>
        </is>
      </c>
      <c r="M1256" t="n">
        <v>1570</v>
      </c>
      <c r="N1256" t="inlineStr"/>
      <c r="O1256" t="inlineStr"/>
      <c r="P1256" t="n">
        <v>1428.7</v>
      </c>
      <c r="Q1256" t="n">
        <v>2.189</v>
      </c>
    </row>
    <row r="1257">
      <c r="A1257" t="inlineStr">
        <is>
          <t>MR24</t>
        </is>
      </c>
      <c r="B1257" t="inlineStr">
        <is>
          <t>Merged_Table_Assay_lito</t>
        </is>
      </c>
      <c r="C1257" t="inlineStr">
        <is>
          <t>metros de sondaje; pct sobre metros</t>
        </is>
      </c>
      <c r="D1257" t="inlineStr">
        <is>
          <t>fase_plp_GM_FASES_LE2_Output</t>
        </is>
      </c>
      <c r="E1257" t="inlineStr">
        <is>
          <t>11D</t>
        </is>
      </c>
      <c r="F1257" t="inlineStr">
        <is>
          <t>ROCKCODE</t>
        </is>
      </c>
      <c r="G1257" t="inlineStr">
        <is>
          <t>MDP</t>
        </is>
      </c>
      <c r="H1257" t="inlineStr">
        <is>
          <t>sin asignar</t>
        </is>
      </c>
      <c r="I1257" t="inlineStr">
        <is>
          <t>MDP</t>
        </is>
      </c>
      <c r="J1257" t="inlineStr">
        <is>
          <t>ROCKCODE agrupado en ROCKCODE_NUMEQ=19; sigla sin leyenda</t>
        </is>
      </c>
      <c r="K1257" t="inlineStr">
        <is>
          <t>Mármol (hipótesis: sigla MDP)</t>
        </is>
      </c>
      <c r="L1257" t="inlineStr">
        <is>
          <t>Metamorfico</t>
        </is>
      </c>
      <c r="M1257" t="n">
        <v>5155</v>
      </c>
      <c r="N1257" t="inlineStr"/>
      <c r="O1257" t="inlineStr"/>
      <c r="P1257" t="n">
        <v>4602.77</v>
      </c>
      <c r="Q1257" t="n">
        <v>7.052</v>
      </c>
    </row>
    <row r="1258">
      <c r="A1258" t="inlineStr">
        <is>
          <t>MR24</t>
        </is>
      </c>
      <c r="B1258" t="inlineStr">
        <is>
          <t>Merged_Table_Assay_lito</t>
        </is>
      </c>
      <c r="C1258" t="inlineStr">
        <is>
          <t>metros de sondaje; pct sobre metros</t>
        </is>
      </c>
      <c r="D1258" t="inlineStr">
        <is>
          <t>fase_plp_GM_FASES_LE2_Output</t>
        </is>
      </c>
      <c r="E1258" t="inlineStr">
        <is>
          <t>11D</t>
        </is>
      </c>
      <c r="F1258" t="inlineStr">
        <is>
          <t>ROCKCODE</t>
        </is>
      </c>
      <c r="G1258" t="inlineStr">
        <is>
          <t>MG</t>
        </is>
      </c>
      <c r="H1258" t="inlineStr">
        <is>
          <t>sin asignar</t>
        </is>
      </c>
      <c r="I1258" t="inlineStr">
        <is>
          <t>MG</t>
        </is>
      </c>
      <c r="J1258" t="inlineStr">
        <is>
          <t>ROCKCODE agrupado en ROCKCODE_NUMEQ=16; sigla sin leyenda</t>
        </is>
      </c>
      <c r="K1258" t="inlineStr">
        <is>
          <t>Mármol (hipótesis: siglas M*)</t>
        </is>
      </c>
      <c r="L1258" t="inlineStr">
        <is>
          <t>Metamorfico</t>
        </is>
      </c>
      <c r="M1258" t="n">
        <v>3591</v>
      </c>
      <c r="N1258" t="inlineStr"/>
      <c r="O1258" t="inlineStr"/>
      <c r="P1258" t="n">
        <v>2964.8</v>
      </c>
      <c r="Q1258" t="n">
        <v>4.543</v>
      </c>
    </row>
    <row r="1259">
      <c r="A1259" t="inlineStr">
        <is>
          <t>MR24</t>
        </is>
      </c>
      <c r="B1259" t="inlineStr">
        <is>
          <t>Merged_Table_Assay_lito</t>
        </is>
      </c>
      <c r="C1259" t="inlineStr">
        <is>
          <t>metros de sondaje; pct sobre metros</t>
        </is>
      </c>
      <c r="D1259" t="inlineStr">
        <is>
          <t>fase_plp_GM_FASES_LE2_Output</t>
        </is>
      </c>
      <c r="E1259" t="inlineStr">
        <is>
          <t>11D</t>
        </is>
      </c>
      <c r="F1259" t="inlineStr">
        <is>
          <t>ROCKCODE</t>
        </is>
      </c>
      <c r="G1259" t="inlineStr">
        <is>
          <t>MGS</t>
        </is>
      </c>
      <c r="H1259" t="inlineStr">
        <is>
          <t>sin asignar</t>
        </is>
      </c>
      <c r="I1259" t="inlineStr">
        <is>
          <t>MGS</t>
        </is>
      </c>
      <c r="J1259" t="inlineStr">
        <is>
          <t>ROCKCODE agrupado en ROCKCODE_NUMEQ=16; sigla sin leyenda</t>
        </is>
      </c>
      <c r="K1259" t="inlineStr">
        <is>
          <t>Mármol (hipótesis: siglas M*)</t>
        </is>
      </c>
      <c r="L1259" t="inlineStr">
        <is>
          <t>Metamorfico</t>
        </is>
      </c>
      <c r="M1259" t="n">
        <v>2734</v>
      </c>
      <c r="N1259" t="inlineStr"/>
      <c r="O1259" t="inlineStr"/>
      <c r="P1259" t="n">
        <v>2167.35</v>
      </c>
      <c r="Q1259" t="n">
        <v>3.321</v>
      </c>
    </row>
    <row r="1260">
      <c r="A1260" t="inlineStr">
        <is>
          <t>MR24</t>
        </is>
      </c>
      <c r="B1260" t="inlineStr">
        <is>
          <t>Merged_Table_Assay_lito</t>
        </is>
      </c>
      <c r="C1260" t="inlineStr">
        <is>
          <t>metros de sondaje; pct sobre metros</t>
        </is>
      </c>
      <c r="D1260" t="inlineStr">
        <is>
          <t>fase_plp_GM_FASES_LE2_Output</t>
        </is>
      </c>
      <c r="E1260" t="inlineStr">
        <is>
          <t>11D</t>
        </is>
      </c>
      <c r="F1260" t="inlineStr">
        <is>
          <t>ROCKCODE</t>
        </is>
      </c>
      <c r="G1260" t="inlineStr">
        <is>
          <t>MPA</t>
        </is>
      </c>
      <c r="H1260" t="inlineStr">
        <is>
          <t>sin asignar</t>
        </is>
      </c>
      <c r="I1260" t="inlineStr">
        <is>
          <t>MPA</t>
        </is>
      </c>
      <c r="J1260" t="inlineStr">
        <is>
          <t>ROCKCODE agrupado en ROCKCODE_NUMEQ=16; sigla sin leyenda</t>
        </is>
      </c>
      <c r="K1260" t="inlineStr">
        <is>
          <t>Mármol (hipótesis: siglas M*)</t>
        </is>
      </c>
      <c r="L1260" t="inlineStr">
        <is>
          <t>Metamorfico</t>
        </is>
      </c>
      <c r="M1260" t="n">
        <v>5530</v>
      </c>
      <c r="N1260" t="inlineStr"/>
      <c r="O1260" t="inlineStr"/>
      <c r="P1260" t="n">
        <v>5193.8</v>
      </c>
      <c r="Q1260" t="n">
        <v>7.958</v>
      </c>
    </row>
    <row r="1261">
      <c r="A1261" t="inlineStr">
        <is>
          <t>MR24</t>
        </is>
      </c>
      <c r="B1261" t="inlineStr">
        <is>
          <t>Merged_Table_Assay_lito</t>
        </is>
      </c>
      <c r="C1261" t="inlineStr">
        <is>
          <t>metros de sondaje; pct sobre metros</t>
        </is>
      </c>
      <c r="D1261" t="inlineStr">
        <is>
          <t>fase_plp_GM_FASES_LE2_Output</t>
        </is>
      </c>
      <c r="E1261" t="inlineStr">
        <is>
          <t>12A1</t>
        </is>
      </c>
      <c r="F1261" t="inlineStr">
        <is>
          <t>ROCKCODE</t>
        </is>
      </c>
      <c r="G1261" t="inlineStr">
        <is>
          <t>CA</t>
        </is>
      </c>
      <c r="H1261" t="inlineStr">
        <is>
          <t>sin asignar</t>
        </is>
      </c>
      <c r="I1261" t="inlineStr">
        <is>
          <t>CA</t>
        </is>
      </c>
      <c r="J1261" t="inlineStr">
        <is>
          <t>ROCKCODE agrupado en ROCKCODE_NUMEQ=10; sigla sin leyenda</t>
        </is>
      </c>
      <c r="K1261" t="inlineStr">
        <is>
          <t>Caliza (hipótesis: siglas C*)</t>
        </is>
      </c>
      <c r="L1261" t="inlineStr">
        <is>
          <t>Sedimentario</t>
        </is>
      </c>
      <c r="M1261" t="n">
        <v>12</v>
      </c>
      <c r="N1261" t="inlineStr"/>
      <c r="O1261" t="inlineStr"/>
      <c r="P1261" t="n">
        <v>10.7</v>
      </c>
      <c r="Q1261" t="n">
        <v>0.987</v>
      </c>
    </row>
    <row r="1262">
      <c r="A1262" t="inlineStr">
        <is>
          <t>MR24</t>
        </is>
      </c>
      <c r="B1262" t="inlineStr">
        <is>
          <t>Merged_Table_Assay_lito</t>
        </is>
      </c>
      <c r="C1262" t="inlineStr">
        <is>
          <t>metros de sondaje; pct sobre metros</t>
        </is>
      </c>
      <c r="D1262" t="inlineStr">
        <is>
          <t>fase_plp_GM_FASES_LE2_Output</t>
        </is>
      </c>
      <c r="E1262" t="inlineStr">
        <is>
          <t>12A1</t>
        </is>
      </c>
      <c r="F1262" t="inlineStr">
        <is>
          <t>ROCKCODE</t>
        </is>
      </c>
      <c r="G1262" t="inlineStr">
        <is>
          <t>CF</t>
        </is>
      </c>
      <c r="H1262" t="inlineStr">
        <is>
          <t>sin asignar</t>
        </is>
      </c>
      <c r="I1262" t="inlineStr">
        <is>
          <t>CF</t>
        </is>
      </c>
      <c r="J1262" t="inlineStr">
        <is>
          <t>ROCKCODE agrupado en ROCKCODE_NUMEQ=10; sigla sin leyenda</t>
        </is>
      </c>
      <c r="K1262" t="inlineStr">
        <is>
          <t>Caliza (hipótesis: siglas C*)</t>
        </is>
      </c>
      <c r="L1262" t="inlineStr">
        <is>
          <t>Sedimentario</t>
        </is>
      </c>
      <c r="M1262" t="n">
        <v>13</v>
      </c>
      <c r="N1262" t="inlineStr"/>
      <c r="O1262" t="inlineStr"/>
      <c r="P1262" t="n">
        <v>9.4</v>
      </c>
      <c r="Q1262" t="n">
        <v>0.867</v>
      </c>
    </row>
    <row r="1263">
      <c r="A1263" t="inlineStr">
        <is>
          <t>MR24</t>
        </is>
      </c>
      <c r="B1263" t="inlineStr">
        <is>
          <t>Merged_Table_Assay_lito</t>
        </is>
      </c>
      <c r="C1263" t="inlineStr">
        <is>
          <t>metros de sondaje; pct sobre metros</t>
        </is>
      </c>
      <c r="D1263" t="inlineStr">
        <is>
          <t>fase_plp_GM_FASES_LE2_Output</t>
        </is>
      </c>
      <c r="E1263" t="inlineStr">
        <is>
          <t>12A1</t>
        </is>
      </c>
      <c r="F1263" t="inlineStr">
        <is>
          <t>ROCKCODE</t>
        </is>
      </c>
      <c r="G1263" t="inlineStr">
        <is>
          <t>CG</t>
        </is>
      </c>
      <c r="H1263" t="inlineStr">
        <is>
          <t>sin asignar</t>
        </is>
      </c>
      <c r="I1263" t="inlineStr">
        <is>
          <t>CG</t>
        </is>
      </c>
      <c r="J1263" t="inlineStr">
        <is>
          <t>ROCKCODE agrupado en ROCKCODE_NUMEQ=10; sigla sin leyenda</t>
        </is>
      </c>
      <c r="K1263" t="inlineStr">
        <is>
          <t>Caliza (hipótesis: siglas C*)</t>
        </is>
      </c>
      <c r="L1263" t="inlineStr">
        <is>
          <t>Sedimentario</t>
        </is>
      </c>
      <c r="M1263" t="n">
        <v>55</v>
      </c>
      <c r="N1263" t="inlineStr"/>
      <c r="O1263" t="inlineStr"/>
      <c r="P1263" t="n">
        <v>110.75</v>
      </c>
      <c r="Q1263" t="n">
        <v>10.215</v>
      </c>
    </row>
    <row r="1264">
      <c r="A1264" t="inlineStr">
        <is>
          <t>MR24</t>
        </is>
      </c>
      <c r="B1264" t="inlineStr">
        <is>
          <t>Merged_Table_Assay_lito</t>
        </is>
      </c>
      <c r="C1264" t="inlineStr">
        <is>
          <t>metros de sondaje; pct sobre metros</t>
        </is>
      </c>
      <c r="D1264" t="inlineStr">
        <is>
          <t>fase_plp_GM_FASES_LE2_Output</t>
        </is>
      </c>
      <c r="E1264" t="inlineStr">
        <is>
          <t>12A1</t>
        </is>
      </c>
      <c r="F1264" t="inlineStr">
        <is>
          <t>ROCKCODE</t>
        </is>
      </c>
      <c r="G1264" t="inlineStr">
        <is>
          <t>CGS</t>
        </is>
      </c>
      <c r="H1264" t="inlineStr">
        <is>
          <t>sin asignar</t>
        </is>
      </c>
      <c r="I1264" t="inlineStr">
        <is>
          <t>CGS</t>
        </is>
      </c>
      <c r="J1264" t="inlineStr">
        <is>
          <t>ROCKCODE agrupado en ROCKCODE_NUMEQ=10; sigla sin leyenda</t>
        </is>
      </c>
      <c r="K1264" t="inlineStr">
        <is>
          <t>Caliza (hipótesis: siglas C*)</t>
        </is>
      </c>
      <c r="L1264" t="inlineStr">
        <is>
          <t>Sedimentario</t>
        </is>
      </c>
      <c r="M1264" t="n">
        <v>131</v>
      </c>
      <c r="N1264" t="inlineStr"/>
      <c r="O1264" t="inlineStr"/>
      <c r="P1264" t="n">
        <v>183.75</v>
      </c>
      <c r="Q1264" t="n">
        <v>16.948</v>
      </c>
    </row>
    <row r="1265">
      <c r="A1265" t="inlineStr">
        <is>
          <t>MR24</t>
        </is>
      </c>
      <c r="B1265" t="inlineStr">
        <is>
          <t>Merged_Table_Assay_lito</t>
        </is>
      </c>
      <c r="C1265" t="inlineStr">
        <is>
          <t>metros de sondaje; pct sobre metros</t>
        </is>
      </c>
      <c r="D1265" t="inlineStr">
        <is>
          <t>fase_plp_GM_FASES_LE2_Output</t>
        </is>
      </c>
      <c r="E1265" t="inlineStr">
        <is>
          <t>12A1</t>
        </is>
      </c>
      <c r="F1265" t="inlineStr">
        <is>
          <t>ROCKCODE</t>
        </is>
      </c>
      <c r="G1265" t="inlineStr">
        <is>
          <t>CN</t>
        </is>
      </c>
      <c r="H1265" t="inlineStr">
        <is>
          <t>sin asignar</t>
        </is>
      </c>
      <c r="I1265" t="inlineStr">
        <is>
          <t>CN</t>
        </is>
      </c>
      <c r="J1265" t="inlineStr">
        <is>
          <t>ROCKCODE agrupado en ROCKCODE_NUMEQ=10; sigla sin leyenda</t>
        </is>
      </c>
      <c r="K1265" t="inlineStr">
        <is>
          <t>Caliza (hipótesis: siglas C*)</t>
        </is>
      </c>
      <c r="L1265" t="inlineStr">
        <is>
          <t>Sedimentario</t>
        </is>
      </c>
      <c r="M1265" t="n">
        <v>157</v>
      </c>
      <c r="N1265" t="inlineStr"/>
      <c r="O1265" t="inlineStr"/>
      <c r="P1265" t="n">
        <v>176.35</v>
      </c>
      <c r="Q1265" t="n">
        <v>16.266</v>
      </c>
    </row>
    <row r="1266">
      <c r="A1266" t="inlineStr">
        <is>
          <t>MR24</t>
        </is>
      </c>
      <c r="B1266" t="inlineStr">
        <is>
          <t>Merged_Table_Assay_lito</t>
        </is>
      </c>
      <c r="C1266" t="inlineStr">
        <is>
          <t>metros de sondaje; pct sobre metros</t>
        </is>
      </c>
      <c r="D1266" t="inlineStr">
        <is>
          <t>fase_plp_GM_FASES_LE2_Output</t>
        </is>
      </c>
      <c r="E1266" t="inlineStr">
        <is>
          <t>12A1</t>
        </is>
      </c>
      <c r="F1266" t="inlineStr">
        <is>
          <t>ROCKCODE</t>
        </is>
      </c>
      <c r="G1266" t="inlineStr">
        <is>
          <t>IPPA</t>
        </is>
      </c>
      <c r="H1266" t="inlineStr">
        <is>
          <t>Intrusivo</t>
        </is>
      </c>
      <c r="I1266" t="inlineStr">
        <is>
          <t>IPPA</t>
        </is>
      </c>
      <c r="J1266" t="inlineStr">
        <is>
          <t>ROCKCODE agrupado en ROCKCODE_NUMEQ=1 (Intrusivo_1)</t>
        </is>
      </c>
      <c r="K1266" t="inlineStr">
        <is>
          <t>Intrusivo</t>
        </is>
      </c>
      <c r="L1266" t="inlineStr">
        <is>
          <t>Intrusivo</t>
        </is>
      </c>
      <c r="M1266" t="n">
        <v>3</v>
      </c>
      <c r="N1266" t="inlineStr"/>
      <c r="O1266" t="inlineStr"/>
      <c r="P1266" t="n">
        <v>6.7</v>
      </c>
      <c r="Q1266" t="n">
        <v>0.618</v>
      </c>
    </row>
    <row r="1267">
      <c r="A1267" t="inlineStr">
        <is>
          <t>MR24</t>
        </is>
      </c>
      <c r="B1267" t="inlineStr">
        <is>
          <t>Merged_Table_Assay_lito</t>
        </is>
      </c>
      <c r="C1267" t="inlineStr">
        <is>
          <t>metros de sondaje; pct sobre metros</t>
        </is>
      </c>
      <c r="D1267" t="inlineStr">
        <is>
          <t>fase_plp_GM_FASES_LE2_Output</t>
        </is>
      </c>
      <c r="E1267" t="inlineStr">
        <is>
          <t>12A1</t>
        </is>
      </c>
      <c r="F1267" t="inlineStr">
        <is>
          <t>ROCKCODE</t>
        </is>
      </c>
      <c r="G1267" t="inlineStr">
        <is>
          <t>IPPAMO</t>
        </is>
      </c>
      <c r="H1267" t="inlineStr">
        <is>
          <t>Intrusivo</t>
        </is>
      </c>
      <c r="I1267" t="inlineStr">
        <is>
          <t>IPPAMO</t>
        </is>
      </c>
      <c r="J1267" t="inlineStr">
        <is>
          <t>ROCKCODE agrupado en ROCKCODE_NUMEQ=1 (Intrusivo_1)</t>
        </is>
      </c>
      <c r="K1267" t="inlineStr">
        <is>
          <t>Intrusivo</t>
        </is>
      </c>
      <c r="L1267" t="inlineStr">
        <is>
          <t>Intrusivo</t>
        </is>
      </c>
      <c r="M1267" t="n">
        <v>18</v>
      </c>
      <c r="N1267" t="inlineStr"/>
      <c r="O1267" t="inlineStr"/>
      <c r="P1267" t="n">
        <v>21.95</v>
      </c>
      <c r="Q1267" t="n">
        <v>2.025</v>
      </c>
    </row>
    <row r="1268">
      <c r="A1268" t="inlineStr">
        <is>
          <t>MR24</t>
        </is>
      </c>
      <c r="B1268" t="inlineStr">
        <is>
          <t>Merged_Table_Assay_lito</t>
        </is>
      </c>
      <c r="C1268" t="inlineStr">
        <is>
          <t>metros de sondaje; pct sobre metros</t>
        </is>
      </c>
      <c r="D1268" t="inlineStr">
        <is>
          <t>fase_plp_GM_FASES_LE2_Output</t>
        </is>
      </c>
      <c r="E1268" t="inlineStr">
        <is>
          <t>12A1</t>
        </is>
      </c>
      <c r="F1268" t="inlineStr">
        <is>
          <t>ROCKCODE</t>
        </is>
      </c>
      <c r="G1268" t="inlineStr">
        <is>
          <t>IPPAO</t>
        </is>
      </c>
      <c r="H1268" t="inlineStr">
        <is>
          <t>Intrusivo</t>
        </is>
      </c>
      <c r="I1268" t="inlineStr">
        <is>
          <t>IPPAO</t>
        </is>
      </c>
      <c r="J1268" t="inlineStr">
        <is>
          <t>ROCKCODE agrupado en ROCKCODE_NUMEQ=1 (Intrusivo_1)</t>
        </is>
      </c>
      <c r="K1268" t="inlineStr">
        <is>
          <t>Intrusivo</t>
        </is>
      </c>
      <c r="L1268" t="inlineStr">
        <is>
          <t>Intrusivo</t>
        </is>
      </c>
      <c r="M1268" t="n">
        <v>21</v>
      </c>
      <c r="N1268" t="inlineStr"/>
      <c r="O1268" t="inlineStr"/>
      <c r="P1268" t="n">
        <v>39.4</v>
      </c>
      <c r="Q1268" t="n">
        <v>3.634</v>
      </c>
    </row>
    <row r="1269">
      <c r="A1269" t="inlineStr">
        <is>
          <t>MR24</t>
        </is>
      </c>
      <c r="B1269" t="inlineStr">
        <is>
          <t>Merged_Table_Assay_lito</t>
        </is>
      </c>
      <c r="C1269" t="inlineStr">
        <is>
          <t>metros de sondaje; pct sobre metros</t>
        </is>
      </c>
      <c r="D1269" t="inlineStr">
        <is>
          <t>fase_plp_GM_FASES_LE2_Output</t>
        </is>
      </c>
      <c r="E1269" t="inlineStr">
        <is>
          <t>12A1</t>
        </is>
      </c>
      <c r="F1269" t="inlineStr">
        <is>
          <t>ROCKCODE</t>
        </is>
      </c>
      <c r="G1269" t="inlineStr">
        <is>
          <t>MC</t>
        </is>
      </c>
      <c r="H1269" t="inlineStr">
        <is>
          <t>sin asignar</t>
        </is>
      </c>
      <c r="I1269" t="inlineStr">
        <is>
          <t>MC</t>
        </is>
      </c>
      <c r="J1269" t="inlineStr">
        <is>
          <t>ROCKCODE agrupado en ROCKCODE_NUMEQ=16; sigla sin leyenda</t>
        </is>
      </c>
      <c r="K1269" t="inlineStr">
        <is>
          <t>Mármol (hipótesis: siglas M*)</t>
        </is>
      </c>
      <c r="L1269" t="inlineStr">
        <is>
          <t>Metamorfico</t>
        </is>
      </c>
      <c r="M1269" t="n">
        <v>19</v>
      </c>
      <c r="N1269" t="inlineStr"/>
      <c r="O1269" t="inlineStr"/>
      <c r="P1269" t="n">
        <v>33.98</v>
      </c>
      <c r="Q1269" t="n">
        <v>3.134</v>
      </c>
    </row>
    <row r="1270">
      <c r="A1270" t="inlineStr">
        <is>
          <t>MR24</t>
        </is>
      </c>
      <c r="B1270" t="inlineStr">
        <is>
          <t>Merged_Table_Assay_lito</t>
        </is>
      </c>
      <c r="C1270" t="inlineStr">
        <is>
          <t>metros de sondaje; pct sobre metros</t>
        </is>
      </c>
      <c r="D1270" t="inlineStr">
        <is>
          <t>fase_plp_GM_FASES_LE2_Output</t>
        </is>
      </c>
      <c r="E1270" t="inlineStr">
        <is>
          <t>12A1</t>
        </is>
      </c>
      <c r="F1270" t="inlineStr">
        <is>
          <t>ROCKCODE</t>
        </is>
      </c>
      <c r="G1270" t="inlineStr">
        <is>
          <t>MCGB</t>
        </is>
      </c>
      <c r="H1270" t="inlineStr">
        <is>
          <t>sin asignar</t>
        </is>
      </c>
      <c r="I1270" t="inlineStr">
        <is>
          <t>MCGB</t>
        </is>
      </c>
      <c r="J1270" t="inlineStr">
        <is>
          <t>ROCKCODE agrupado en ROCKCODE_NUMEQ=16; sigla sin leyenda</t>
        </is>
      </c>
      <c r="K1270" t="inlineStr">
        <is>
          <t>Mármol (hipótesis: siglas M*)</t>
        </is>
      </c>
      <c r="L1270" t="inlineStr">
        <is>
          <t>Metamorfico</t>
        </is>
      </c>
      <c r="M1270" t="n">
        <v>14</v>
      </c>
      <c r="N1270" t="inlineStr"/>
      <c r="O1270" t="inlineStr"/>
      <c r="P1270" t="n">
        <v>28.85</v>
      </c>
      <c r="Q1270" t="n">
        <v>2.661</v>
      </c>
    </row>
    <row r="1271">
      <c r="A1271" t="inlineStr">
        <is>
          <t>MR24</t>
        </is>
      </c>
      <c r="B1271" t="inlineStr">
        <is>
          <t>Merged_Table_Assay_lito</t>
        </is>
      </c>
      <c r="C1271" t="inlineStr">
        <is>
          <t>metros de sondaje; pct sobre metros</t>
        </is>
      </c>
      <c r="D1271" t="inlineStr">
        <is>
          <t>fase_plp_GM_FASES_LE2_Output</t>
        </is>
      </c>
      <c r="E1271" t="inlineStr">
        <is>
          <t>12A1</t>
        </is>
      </c>
      <c r="F1271" t="inlineStr">
        <is>
          <t>ROCKCODE</t>
        </is>
      </c>
      <c r="G1271" t="inlineStr">
        <is>
          <t>MDP</t>
        </is>
      </c>
      <c r="H1271" t="inlineStr">
        <is>
          <t>sin asignar</t>
        </is>
      </c>
      <c r="I1271" t="inlineStr">
        <is>
          <t>MDP</t>
        </is>
      </c>
      <c r="J1271" t="inlineStr">
        <is>
          <t>ROCKCODE agrupado en ROCKCODE_NUMEQ=19; sigla sin leyenda</t>
        </is>
      </c>
      <c r="K1271" t="inlineStr">
        <is>
          <t>Mármol (hipótesis: sigla MDP)</t>
        </is>
      </c>
      <c r="L1271" t="inlineStr">
        <is>
          <t>Metamorfico</t>
        </is>
      </c>
      <c r="M1271" t="n">
        <v>206</v>
      </c>
      <c r="N1271" t="inlineStr"/>
      <c r="O1271" t="inlineStr"/>
      <c r="P1271" t="n">
        <v>201.3</v>
      </c>
      <c r="Q1271" t="n">
        <v>18.567</v>
      </c>
    </row>
    <row r="1272">
      <c r="A1272" t="inlineStr">
        <is>
          <t>MR24</t>
        </is>
      </c>
      <c r="B1272" t="inlineStr">
        <is>
          <t>Merged_Table_Assay_lito</t>
        </is>
      </c>
      <c r="C1272" t="inlineStr">
        <is>
          <t>metros de sondaje; pct sobre metros</t>
        </is>
      </c>
      <c r="D1272" t="inlineStr">
        <is>
          <t>fase_plp_GM_FASES_LE2_Output</t>
        </is>
      </c>
      <c r="E1272" t="inlineStr">
        <is>
          <t>12A1</t>
        </is>
      </c>
      <c r="F1272" t="inlineStr">
        <is>
          <t>ROCKCODE</t>
        </is>
      </c>
      <c r="G1272" t="inlineStr">
        <is>
          <t>MG</t>
        </is>
      </c>
      <c r="H1272" t="inlineStr">
        <is>
          <t>sin asignar</t>
        </is>
      </c>
      <c r="I1272" t="inlineStr">
        <is>
          <t>MG</t>
        </is>
      </c>
      <c r="J1272" t="inlineStr">
        <is>
          <t>ROCKCODE agrupado en ROCKCODE_NUMEQ=16; sigla sin leyenda</t>
        </is>
      </c>
      <c r="K1272" t="inlineStr">
        <is>
          <t>Mármol (hipótesis: siglas M*)</t>
        </is>
      </c>
      <c r="L1272" t="inlineStr">
        <is>
          <t>Metamorfico</t>
        </is>
      </c>
      <c r="M1272" t="n">
        <v>19</v>
      </c>
      <c r="N1272" t="inlineStr"/>
      <c r="O1272" t="inlineStr"/>
      <c r="P1272" t="n">
        <v>37.15</v>
      </c>
      <c r="Q1272" t="n">
        <v>3.427</v>
      </c>
    </row>
    <row r="1273">
      <c r="A1273" t="inlineStr">
        <is>
          <t>MR24</t>
        </is>
      </c>
      <c r="B1273" t="inlineStr">
        <is>
          <t>Merged_Table_Assay_lito</t>
        </is>
      </c>
      <c r="C1273" t="inlineStr">
        <is>
          <t>metros de sondaje; pct sobre metros</t>
        </is>
      </c>
      <c r="D1273" t="inlineStr">
        <is>
          <t>fase_plp_GM_FASES_LE2_Output</t>
        </is>
      </c>
      <c r="E1273" t="inlineStr">
        <is>
          <t>12A1</t>
        </is>
      </c>
      <c r="F1273" t="inlineStr">
        <is>
          <t>ROCKCODE</t>
        </is>
      </c>
      <c r="G1273" t="inlineStr">
        <is>
          <t>MGS</t>
        </is>
      </c>
      <c r="H1273" t="inlineStr">
        <is>
          <t>sin asignar</t>
        </is>
      </c>
      <c r="I1273" t="inlineStr">
        <is>
          <t>MGS</t>
        </is>
      </c>
      <c r="J1273" t="inlineStr">
        <is>
          <t>ROCKCODE agrupado en ROCKCODE_NUMEQ=16; sigla sin leyenda</t>
        </is>
      </c>
      <c r="K1273" t="inlineStr">
        <is>
          <t>Mármol (hipótesis: siglas M*)</t>
        </is>
      </c>
      <c r="L1273" t="inlineStr">
        <is>
          <t>Metamorfico</t>
        </is>
      </c>
      <c r="M1273" t="n">
        <v>73</v>
      </c>
      <c r="N1273" t="inlineStr"/>
      <c r="O1273" t="inlineStr"/>
      <c r="P1273" t="n">
        <v>135.35</v>
      </c>
      <c r="Q1273" t="n">
        <v>12.484</v>
      </c>
    </row>
    <row r="1274">
      <c r="A1274" t="inlineStr">
        <is>
          <t>MR24</t>
        </is>
      </c>
      <c r="B1274" t="inlineStr">
        <is>
          <t>Merged_Table_Assay_lito</t>
        </is>
      </c>
      <c r="C1274" t="inlineStr">
        <is>
          <t>metros de sondaje; pct sobre metros</t>
        </is>
      </c>
      <c r="D1274" t="inlineStr">
        <is>
          <t>fase_plp_GM_FASES_LE2_Output</t>
        </is>
      </c>
      <c r="E1274" t="inlineStr">
        <is>
          <t>12A1</t>
        </is>
      </c>
      <c r="F1274" t="inlineStr">
        <is>
          <t>ROCKCODE</t>
        </is>
      </c>
      <c r="G1274" t="inlineStr">
        <is>
          <t>MPA</t>
        </is>
      </c>
      <c r="H1274" t="inlineStr">
        <is>
          <t>sin asignar</t>
        </is>
      </c>
      <c r="I1274" t="inlineStr">
        <is>
          <t>MPA</t>
        </is>
      </c>
      <c r="J1274" t="inlineStr">
        <is>
          <t>ROCKCODE agrupado en ROCKCODE_NUMEQ=16; sigla sin leyenda</t>
        </is>
      </c>
      <c r="K1274" t="inlineStr">
        <is>
          <t>Mármol (hipótesis: siglas M*)</t>
        </is>
      </c>
      <c r="L1274" t="inlineStr">
        <is>
          <t>Metamorfico</t>
        </is>
      </c>
      <c r="M1274" t="n">
        <v>123</v>
      </c>
      <c r="N1274" t="inlineStr"/>
      <c r="O1274" t="inlineStr"/>
      <c r="P1274" t="n">
        <v>88.55</v>
      </c>
      <c r="Q1274" t="n">
        <v>8.167</v>
      </c>
    </row>
    <row r="1275">
      <c r="A1275" t="inlineStr">
        <is>
          <t>MR24</t>
        </is>
      </c>
      <c r="B1275" t="inlineStr">
        <is>
          <t>Merged_Table_Assay_lito</t>
        </is>
      </c>
      <c r="C1275" t="inlineStr">
        <is>
          <t>metros de sondaje; pct sobre metros</t>
        </is>
      </c>
      <c r="D1275" t="inlineStr">
        <is>
          <t>fase_plp_GM_FASES_LE2_Output</t>
        </is>
      </c>
      <c r="E1275" t="inlineStr">
        <is>
          <t>12A2</t>
        </is>
      </c>
      <c r="F1275" t="inlineStr">
        <is>
          <t>ROCKCODE</t>
        </is>
      </c>
      <c r="G1275" t="inlineStr">
        <is>
          <t>BCIPPA</t>
        </is>
      </c>
      <c r="H1275" t="inlineStr">
        <is>
          <t>Intrusivo</t>
        </is>
      </c>
      <c r="I1275" t="inlineStr">
        <is>
          <t>BCIPPA</t>
        </is>
      </c>
      <c r="J1275" t="inlineStr">
        <is>
          <t>ROCKCODE agrupado en ROCKCODE_NUMEQ=1 (Intrusivo_1)</t>
        </is>
      </c>
      <c r="K1275" t="inlineStr">
        <is>
          <t>Intrusivo</t>
        </is>
      </c>
      <c r="L1275" t="inlineStr">
        <is>
          <t>Intrusivo</t>
        </is>
      </c>
      <c r="M1275" t="n">
        <v>13</v>
      </c>
      <c r="N1275" t="inlineStr"/>
      <c r="O1275" t="inlineStr"/>
      <c r="P1275" t="n">
        <v>23.95</v>
      </c>
      <c r="Q1275" t="n">
        <v>0.129</v>
      </c>
    </row>
    <row r="1276">
      <c r="A1276" t="inlineStr">
        <is>
          <t>MR24</t>
        </is>
      </c>
      <c r="B1276" t="inlineStr">
        <is>
          <t>Merged_Table_Assay_lito</t>
        </is>
      </c>
      <c r="C1276" t="inlineStr">
        <is>
          <t>metros de sondaje; pct sobre metros</t>
        </is>
      </c>
      <c r="D1276" t="inlineStr">
        <is>
          <t>fase_plp_GM_FASES_LE2_Output</t>
        </is>
      </c>
      <c r="E1276" t="inlineStr">
        <is>
          <t>12A2</t>
        </is>
      </c>
      <c r="F1276" t="inlineStr">
        <is>
          <t>ROCKCODE</t>
        </is>
      </c>
      <c r="G1276" t="inlineStr">
        <is>
          <t>BCM</t>
        </is>
      </c>
      <c r="H1276" t="inlineStr">
        <is>
          <t>sin asignar</t>
        </is>
      </c>
      <c r="I1276" t="inlineStr">
        <is>
          <t>BCM</t>
        </is>
      </c>
      <c r="J1276" t="inlineStr">
        <is>
          <t>ROCKCODE agrupado en ROCKCODE_NUMEQ=16; sigla sin leyenda</t>
        </is>
      </c>
      <c r="K1276" t="inlineStr">
        <is>
          <t>Mármol (hipótesis: siglas M*)</t>
        </is>
      </c>
      <c r="L1276" t="inlineStr">
        <is>
          <t>Metamorfico</t>
        </is>
      </c>
      <c r="M1276" t="n">
        <v>9</v>
      </c>
      <c r="N1276" t="inlineStr"/>
      <c r="O1276" t="inlineStr"/>
      <c r="P1276" t="n">
        <v>10.3</v>
      </c>
      <c r="Q1276" t="n">
        <v>0.055</v>
      </c>
    </row>
    <row r="1277">
      <c r="A1277" t="inlineStr">
        <is>
          <t>MR24</t>
        </is>
      </c>
      <c r="B1277" t="inlineStr">
        <is>
          <t>Merged_Table_Assay_lito</t>
        </is>
      </c>
      <c r="C1277" t="inlineStr">
        <is>
          <t>metros de sondaje; pct sobre metros</t>
        </is>
      </c>
      <c r="D1277" t="inlineStr">
        <is>
          <t>fase_plp_GM_FASES_LE2_Output</t>
        </is>
      </c>
      <c r="E1277" t="inlineStr">
        <is>
          <t>12A2</t>
        </is>
      </c>
      <c r="F1277" t="inlineStr">
        <is>
          <t>ROCKCODE</t>
        </is>
      </c>
      <c r="G1277" t="inlineStr">
        <is>
          <t>CA</t>
        </is>
      </c>
      <c r="H1277" t="inlineStr">
        <is>
          <t>sin asignar</t>
        </is>
      </c>
      <c r="I1277" t="inlineStr">
        <is>
          <t>CA</t>
        </is>
      </c>
      <c r="J1277" t="inlineStr">
        <is>
          <t>ROCKCODE agrupado en ROCKCODE_NUMEQ=10; sigla sin leyenda</t>
        </is>
      </c>
      <c r="K1277" t="inlineStr">
        <is>
          <t>Caliza (hipótesis: siglas C*)</t>
        </is>
      </c>
      <c r="L1277" t="inlineStr">
        <is>
          <t>Sedimentario</t>
        </is>
      </c>
      <c r="M1277" t="n">
        <v>7</v>
      </c>
      <c r="N1277" t="inlineStr"/>
      <c r="O1277" t="inlineStr"/>
      <c r="P1277" t="n">
        <v>13.3</v>
      </c>
      <c r="Q1277" t="n">
        <v>0.07199999999999999</v>
      </c>
    </row>
    <row r="1278">
      <c r="A1278" t="inlineStr">
        <is>
          <t>MR24</t>
        </is>
      </c>
      <c r="B1278" t="inlineStr">
        <is>
          <t>Merged_Table_Assay_lito</t>
        </is>
      </c>
      <c r="C1278" t="inlineStr">
        <is>
          <t>metros de sondaje; pct sobre metros</t>
        </is>
      </c>
      <c r="D1278" t="inlineStr">
        <is>
          <t>fase_plp_GM_FASES_LE2_Output</t>
        </is>
      </c>
      <c r="E1278" t="inlineStr">
        <is>
          <t>12A2</t>
        </is>
      </c>
      <c r="F1278" t="inlineStr">
        <is>
          <t>ROCKCODE</t>
        </is>
      </c>
      <c r="G1278" t="inlineStr">
        <is>
          <t>CBMN</t>
        </is>
      </c>
      <c r="H1278" t="inlineStr">
        <is>
          <t>sin asignar</t>
        </is>
      </c>
      <c r="I1278" t="inlineStr">
        <is>
          <t>CBMN</t>
        </is>
      </c>
      <c r="J1278" t="inlineStr">
        <is>
          <t>ROCKCODE agrupado en ROCKCODE_NUMEQ=10; sigla sin leyenda</t>
        </is>
      </c>
      <c r="K1278" t="inlineStr">
        <is>
          <t>Caliza (hipótesis: siglas C*)</t>
        </is>
      </c>
      <c r="L1278" t="inlineStr">
        <is>
          <t>Sedimentario</t>
        </is>
      </c>
      <c r="M1278" t="n">
        <v>5</v>
      </c>
      <c r="N1278" t="inlineStr"/>
      <c r="O1278" t="inlineStr"/>
      <c r="P1278" t="n">
        <v>10.6</v>
      </c>
      <c r="Q1278" t="n">
        <v>0.057</v>
      </c>
    </row>
    <row r="1279">
      <c r="A1279" t="inlineStr">
        <is>
          <t>MR24</t>
        </is>
      </c>
      <c r="B1279" t="inlineStr">
        <is>
          <t>Merged_Table_Assay_lito</t>
        </is>
      </c>
      <c r="C1279" t="inlineStr">
        <is>
          <t>metros de sondaje; pct sobre metros</t>
        </is>
      </c>
      <c r="D1279" t="inlineStr">
        <is>
          <t>fase_plp_GM_FASES_LE2_Output</t>
        </is>
      </c>
      <c r="E1279" t="inlineStr">
        <is>
          <t>12A2</t>
        </is>
      </c>
      <c r="F1279" t="inlineStr">
        <is>
          <t>ROCKCODE</t>
        </is>
      </c>
      <c r="G1279" t="inlineStr">
        <is>
          <t>CF</t>
        </is>
      </c>
      <c r="H1279" t="inlineStr">
        <is>
          <t>sin asignar</t>
        </is>
      </c>
      <c r="I1279" t="inlineStr">
        <is>
          <t>CF</t>
        </is>
      </c>
      <c r="J1279" t="inlineStr">
        <is>
          <t>ROCKCODE agrupado en ROCKCODE_NUMEQ=10; sigla sin leyenda</t>
        </is>
      </c>
      <c r="K1279" t="inlineStr">
        <is>
          <t>Caliza (hipótesis: siglas C*)</t>
        </is>
      </c>
      <c r="L1279" t="inlineStr">
        <is>
          <t>Sedimentario</t>
        </is>
      </c>
      <c r="M1279" t="n">
        <v>3</v>
      </c>
      <c r="N1279" t="inlineStr"/>
      <c r="O1279" t="inlineStr"/>
      <c r="P1279" t="n">
        <v>6.55</v>
      </c>
      <c r="Q1279" t="n">
        <v>0.035</v>
      </c>
    </row>
    <row r="1280">
      <c r="A1280" t="inlineStr">
        <is>
          <t>MR24</t>
        </is>
      </c>
      <c r="B1280" t="inlineStr">
        <is>
          <t>Merged_Table_Assay_lito</t>
        </is>
      </c>
      <c r="C1280" t="inlineStr">
        <is>
          <t>metros de sondaje; pct sobre metros</t>
        </is>
      </c>
      <c r="D1280" t="inlineStr">
        <is>
          <t>fase_plp_GM_FASES_LE2_Output</t>
        </is>
      </c>
      <c r="E1280" t="inlineStr">
        <is>
          <t>12A2</t>
        </is>
      </c>
      <c r="F1280" t="inlineStr">
        <is>
          <t>ROCKCODE</t>
        </is>
      </c>
      <c r="G1280" t="inlineStr">
        <is>
          <t>CG</t>
        </is>
      </c>
      <c r="H1280" t="inlineStr">
        <is>
          <t>sin asignar</t>
        </is>
      </c>
      <c r="I1280" t="inlineStr">
        <is>
          <t>CG</t>
        </is>
      </c>
      <c r="J1280" t="inlineStr">
        <is>
          <t>ROCKCODE agrupado en ROCKCODE_NUMEQ=10; sigla sin leyenda</t>
        </is>
      </c>
      <c r="K1280" t="inlineStr">
        <is>
          <t>Caliza (hipótesis: siglas C*)</t>
        </is>
      </c>
      <c r="L1280" t="inlineStr">
        <is>
          <t>Sedimentario</t>
        </is>
      </c>
      <c r="M1280" t="n">
        <v>80</v>
      </c>
      <c r="N1280" t="inlineStr"/>
      <c r="O1280" t="inlineStr"/>
      <c r="P1280" t="n">
        <v>112.45</v>
      </c>
      <c r="Q1280" t="n">
        <v>0.606</v>
      </c>
    </row>
    <row r="1281">
      <c r="A1281" t="inlineStr">
        <is>
          <t>MR24</t>
        </is>
      </c>
      <c r="B1281" t="inlineStr">
        <is>
          <t>Merged_Table_Assay_lito</t>
        </is>
      </c>
      <c r="C1281" t="inlineStr">
        <is>
          <t>metros de sondaje; pct sobre metros</t>
        </is>
      </c>
      <c r="D1281" t="inlineStr">
        <is>
          <t>fase_plp_GM_FASES_LE2_Output</t>
        </is>
      </c>
      <c r="E1281" t="inlineStr">
        <is>
          <t>12A2</t>
        </is>
      </c>
      <c r="F1281" t="inlineStr">
        <is>
          <t>ROCKCODE</t>
        </is>
      </c>
      <c r="G1281" t="inlineStr">
        <is>
          <t>CGS</t>
        </is>
      </c>
      <c r="H1281" t="inlineStr">
        <is>
          <t>sin asignar</t>
        </is>
      </c>
      <c r="I1281" t="inlineStr">
        <is>
          <t>CGS</t>
        </is>
      </c>
      <c r="J1281" t="inlineStr">
        <is>
          <t>ROCKCODE agrupado en ROCKCODE_NUMEQ=10; sigla sin leyenda</t>
        </is>
      </c>
      <c r="K1281" t="inlineStr">
        <is>
          <t>Caliza (hipótesis: siglas C*)</t>
        </is>
      </c>
      <c r="L1281" t="inlineStr">
        <is>
          <t>Sedimentario</t>
        </is>
      </c>
      <c r="M1281" t="n">
        <v>45</v>
      </c>
      <c r="N1281" t="inlineStr"/>
      <c r="O1281" t="inlineStr"/>
      <c r="P1281" t="n">
        <v>88.34999999999999</v>
      </c>
      <c r="Q1281" t="n">
        <v>0.476</v>
      </c>
    </row>
    <row r="1282">
      <c r="A1282" t="inlineStr">
        <is>
          <t>MR24</t>
        </is>
      </c>
      <c r="B1282" t="inlineStr">
        <is>
          <t>Merged_Table_Assay_lito</t>
        </is>
      </c>
      <c r="C1282" t="inlineStr">
        <is>
          <t>metros de sondaje; pct sobre metros</t>
        </is>
      </c>
      <c r="D1282" t="inlineStr">
        <is>
          <t>fase_plp_GM_FASES_LE2_Output</t>
        </is>
      </c>
      <c r="E1282" t="inlineStr">
        <is>
          <t>12A2</t>
        </is>
      </c>
      <c r="F1282" t="inlineStr">
        <is>
          <t>ROCKCODE</t>
        </is>
      </c>
      <c r="G1282" t="inlineStr">
        <is>
          <t>CN</t>
        </is>
      </c>
      <c r="H1282" t="inlineStr">
        <is>
          <t>sin asignar</t>
        </is>
      </c>
      <c r="I1282" t="inlineStr">
        <is>
          <t>CN</t>
        </is>
      </c>
      <c r="J1282" t="inlineStr">
        <is>
          <t>ROCKCODE agrupado en ROCKCODE_NUMEQ=10; sigla sin leyenda</t>
        </is>
      </c>
      <c r="K1282" t="inlineStr">
        <is>
          <t>Caliza (hipótesis: siglas C*)</t>
        </is>
      </c>
      <c r="L1282" t="inlineStr">
        <is>
          <t>Sedimentario</t>
        </is>
      </c>
      <c r="M1282" t="n">
        <v>57</v>
      </c>
      <c r="N1282" t="inlineStr"/>
      <c r="O1282" t="inlineStr"/>
      <c r="P1282" t="n">
        <v>102.05</v>
      </c>
      <c r="Q1282" t="n">
        <v>0.55</v>
      </c>
    </row>
    <row r="1283">
      <c r="A1283" t="inlineStr">
        <is>
          <t>MR24</t>
        </is>
      </c>
      <c r="B1283" t="inlineStr">
        <is>
          <t>Merged_Table_Assay_lito</t>
        </is>
      </c>
      <c r="C1283" t="inlineStr">
        <is>
          <t>metros de sondaje; pct sobre metros</t>
        </is>
      </c>
      <c r="D1283" t="inlineStr">
        <is>
          <t>fase_plp_GM_FASES_LE2_Output</t>
        </is>
      </c>
      <c r="E1283" t="inlineStr">
        <is>
          <t>12A2</t>
        </is>
      </c>
      <c r="F1283" t="inlineStr">
        <is>
          <t>ROCKCODE</t>
        </is>
      </c>
      <c r="G1283" t="inlineStr">
        <is>
          <t>HBV</t>
        </is>
      </c>
      <c r="H1283" t="inlineStr">
        <is>
          <t>sin asignar</t>
        </is>
      </c>
      <c r="I1283" t="inlineStr">
        <is>
          <t>HBV</t>
        </is>
      </c>
      <c r="J1283" t="inlineStr">
        <is>
          <t>ROCKCODE agrupado en ROCKCODE_NUMEQ=14; sigla sin leyenda</t>
        </is>
      </c>
      <c r="K1283" t="inlineStr">
        <is>
          <t>Hornfels (hipótesis: siglas H*)</t>
        </is>
      </c>
      <c r="L1283" t="inlineStr">
        <is>
          <t>Metamorfico</t>
        </is>
      </c>
      <c r="M1283" t="n">
        <v>5</v>
      </c>
      <c r="N1283" t="inlineStr"/>
      <c r="O1283" t="inlineStr"/>
      <c r="P1283" t="n">
        <v>4.05</v>
      </c>
      <c r="Q1283" t="n">
        <v>0.022</v>
      </c>
    </row>
    <row r="1284">
      <c r="A1284" t="inlineStr">
        <is>
          <t>MR24</t>
        </is>
      </c>
      <c r="B1284" t="inlineStr">
        <is>
          <t>Merged_Table_Assay_lito</t>
        </is>
      </c>
      <c r="C1284" t="inlineStr">
        <is>
          <t>metros de sondaje; pct sobre metros</t>
        </is>
      </c>
      <c r="D1284" t="inlineStr">
        <is>
          <t>fase_plp_GM_FASES_LE2_Output</t>
        </is>
      </c>
      <c r="E1284" t="inlineStr">
        <is>
          <t>12A2</t>
        </is>
      </c>
      <c r="F1284" t="inlineStr">
        <is>
          <t>ROCKCODE</t>
        </is>
      </c>
      <c r="G1284" t="inlineStr">
        <is>
          <t>HG</t>
        </is>
      </c>
      <c r="H1284" t="inlineStr">
        <is>
          <t>sin asignar</t>
        </is>
      </c>
      <c r="I1284" t="inlineStr">
        <is>
          <t>HG</t>
        </is>
      </c>
      <c r="J1284" t="inlineStr">
        <is>
          <t>ROCKCODE agrupado en ROCKCODE_NUMEQ=13; sigla sin leyenda</t>
        </is>
      </c>
      <c r="K1284" t="inlineStr">
        <is>
          <t>Hornfels (hipótesis: siglas H*)</t>
        </is>
      </c>
      <c r="L1284" t="inlineStr">
        <is>
          <t>Metamorfico</t>
        </is>
      </c>
      <c r="M1284" t="n">
        <v>17</v>
      </c>
      <c r="N1284" t="inlineStr"/>
      <c r="O1284" t="inlineStr"/>
      <c r="P1284" t="n">
        <v>34.8</v>
      </c>
      <c r="Q1284" t="n">
        <v>0.188</v>
      </c>
    </row>
    <row r="1285">
      <c r="A1285" t="inlineStr">
        <is>
          <t>MR24</t>
        </is>
      </c>
      <c r="B1285" t="inlineStr">
        <is>
          <t>Merged_Table_Assay_lito</t>
        </is>
      </c>
      <c r="C1285" t="inlineStr">
        <is>
          <t>metros de sondaje; pct sobre metros</t>
        </is>
      </c>
      <c r="D1285" t="inlineStr">
        <is>
          <t>fase_plp_GM_FASES_LE2_Output</t>
        </is>
      </c>
      <c r="E1285" t="inlineStr">
        <is>
          <t>12A2</t>
        </is>
      </c>
      <c r="F1285" t="inlineStr">
        <is>
          <t>ROCKCODE</t>
        </is>
      </c>
      <c r="G1285" t="inlineStr">
        <is>
          <t>HGS</t>
        </is>
      </c>
      <c r="H1285" t="inlineStr">
        <is>
          <t>sin asignar</t>
        </is>
      </c>
      <c r="I1285" t="inlineStr">
        <is>
          <t>HGS</t>
        </is>
      </c>
      <c r="J1285" t="inlineStr">
        <is>
          <t>ROCKCODE agrupado en ROCKCODE_NUMEQ=13; sigla sin leyenda</t>
        </is>
      </c>
      <c r="K1285" t="inlineStr">
        <is>
          <t>Hornfels (hipótesis: siglas H*)</t>
        </is>
      </c>
      <c r="L1285" t="inlineStr">
        <is>
          <t>Metamorfico</t>
        </is>
      </c>
      <c r="M1285" t="n">
        <v>33</v>
      </c>
      <c r="N1285" t="inlineStr"/>
      <c r="O1285" t="inlineStr"/>
      <c r="P1285" t="n">
        <v>67.84999999999999</v>
      </c>
      <c r="Q1285" t="n">
        <v>0.366</v>
      </c>
    </row>
    <row r="1286">
      <c r="A1286" t="inlineStr">
        <is>
          <t>MR24</t>
        </is>
      </c>
      <c r="B1286" t="inlineStr">
        <is>
          <t>Merged_Table_Assay_lito</t>
        </is>
      </c>
      <c r="C1286" t="inlineStr">
        <is>
          <t>metros de sondaje; pct sobre metros</t>
        </is>
      </c>
      <c r="D1286" t="inlineStr">
        <is>
          <t>fase_plp_GM_FASES_LE2_Output</t>
        </is>
      </c>
      <c r="E1286" t="inlineStr">
        <is>
          <t>12A2</t>
        </is>
      </c>
      <c r="F1286" t="inlineStr">
        <is>
          <t>ROCKCODE</t>
        </is>
      </c>
      <c r="G1286" t="inlineStr">
        <is>
          <t>HGV</t>
        </is>
      </c>
      <c r="H1286" t="inlineStr">
        <is>
          <t>sin asignar</t>
        </is>
      </c>
      <c r="I1286" t="inlineStr">
        <is>
          <t>HGV</t>
        </is>
      </c>
      <c r="J1286" t="inlineStr">
        <is>
          <t>ROCKCODE agrupado en ROCKCODE_NUMEQ=14; sigla sin leyenda</t>
        </is>
      </c>
      <c r="K1286" t="inlineStr">
        <is>
          <t>Hornfels (hipótesis: siglas H*)</t>
        </is>
      </c>
      <c r="L1286" t="inlineStr">
        <is>
          <t>Metamorfico</t>
        </is>
      </c>
      <c r="M1286" t="n">
        <v>3</v>
      </c>
      <c r="N1286" t="inlineStr"/>
      <c r="O1286" t="inlineStr"/>
      <c r="P1286" t="n">
        <v>6</v>
      </c>
      <c r="Q1286" t="n">
        <v>0.032</v>
      </c>
    </row>
    <row r="1287">
      <c r="A1287" t="inlineStr">
        <is>
          <t>MR24</t>
        </is>
      </c>
      <c r="B1287" t="inlineStr">
        <is>
          <t>Merged_Table_Assay_lito</t>
        </is>
      </c>
      <c r="C1287" t="inlineStr">
        <is>
          <t>metros de sondaje; pct sobre metros</t>
        </is>
      </c>
      <c r="D1287" t="inlineStr">
        <is>
          <t>fase_plp_GM_FASES_LE2_Output</t>
        </is>
      </c>
      <c r="E1287" t="inlineStr">
        <is>
          <t>12A2</t>
        </is>
      </c>
      <c r="F1287" t="inlineStr">
        <is>
          <t>ROCKCODE</t>
        </is>
      </c>
      <c r="G1287" t="inlineStr">
        <is>
          <t>IPPA</t>
        </is>
      </c>
      <c r="H1287" t="inlineStr">
        <is>
          <t>Intrusivo</t>
        </is>
      </c>
      <c r="I1287" t="inlineStr">
        <is>
          <t>IPPA</t>
        </is>
      </c>
      <c r="J1287" t="inlineStr">
        <is>
          <t>ROCKCODE agrupado en ROCKCODE_NUMEQ=1 (Intrusivo_1)</t>
        </is>
      </c>
      <c r="K1287" t="inlineStr">
        <is>
          <t>Intrusivo</t>
        </is>
      </c>
      <c r="L1287" t="inlineStr">
        <is>
          <t>Intrusivo</t>
        </is>
      </c>
      <c r="M1287" t="n">
        <v>882</v>
      </c>
      <c r="N1287" t="inlineStr"/>
      <c r="O1287" t="inlineStr"/>
      <c r="P1287" t="n">
        <v>1206.65</v>
      </c>
      <c r="Q1287" t="n">
        <v>6.502</v>
      </c>
    </row>
    <row r="1288">
      <c r="A1288" t="inlineStr">
        <is>
          <t>MR24</t>
        </is>
      </c>
      <c r="B1288" t="inlineStr">
        <is>
          <t>Merged_Table_Assay_lito</t>
        </is>
      </c>
      <c r="C1288" t="inlineStr">
        <is>
          <t>metros de sondaje; pct sobre metros</t>
        </is>
      </c>
      <c r="D1288" t="inlineStr">
        <is>
          <t>fase_plp_GM_FASES_LE2_Output</t>
        </is>
      </c>
      <c r="E1288" t="inlineStr">
        <is>
          <t>12A2</t>
        </is>
      </c>
      <c r="F1288" t="inlineStr">
        <is>
          <t>ROCKCODE</t>
        </is>
      </c>
      <c r="G1288" t="inlineStr">
        <is>
          <t>IPPAMO</t>
        </is>
      </c>
      <c r="H1288" t="inlineStr">
        <is>
          <t>Intrusivo</t>
        </is>
      </c>
      <c r="I1288" t="inlineStr">
        <is>
          <t>IPPAMO</t>
        </is>
      </c>
      <c r="J1288" t="inlineStr">
        <is>
          <t>ROCKCODE agrupado en ROCKCODE_NUMEQ=1 (Intrusivo_1)</t>
        </is>
      </c>
      <c r="K1288" t="inlineStr">
        <is>
          <t>Intrusivo</t>
        </is>
      </c>
      <c r="L1288" t="inlineStr">
        <is>
          <t>Intrusivo</t>
        </is>
      </c>
      <c r="M1288" t="n">
        <v>352</v>
      </c>
      <c r="N1288" t="inlineStr"/>
      <c r="O1288" t="inlineStr"/>
      <c r="P1288" t="n">
        <v>403.3</v>
      </c>
      <c r="Q1288" t="n">
        <v>2.173</v>
      </c>
    </row>
    <row r="1289">
      <c r="A1289" t="inlineStr">
        <is>
          <t>MR24</t>
        </is>
      </c>
      <c r="B1289" t="inlineStr">
        <is>
          <t>Merged_Table_Assay_lito</t>
        </is>
      </c>
      <c r="C1289" t="inlineStr">
        <is>
          <t>metros de sondaje; pct sobre metros</t>
        </is>
      </c>
      <c r="D1289" t="inlineStr">
        <is>
          <t>fase_plp_GM_FASES_LE2_Output</t>
        </is>
      </c>
      <c r="E1289" t="inlineStr">
        <is>
          <t>12A2</t>
        </is>
      </c>
      <c r="F1289" t="inlineStr">
        <is>
          <t>ROCKCODE</t>
        </is>
      </c>
      <c r="G1289" t="inlineStr">
        <is>
          <t>IPPAO</t>
        </is>
      </c>
      <c r="H1289" t="inlineStr">
        <is>
          <t>Intrusivo</t>
        </is>
      </c>
      <c r="I1289" t="inlineStr">
        <is>
          <t>IPPAO</t>
        </is>
      </c>
      <c r="J1289" t="inlineStr">
        <is>
          <t>ROCKCODE agrupado en ROCKCODE_NUMEQ=1 (Intrusivo_1)</t>
        </is>
      </c>
      <c r="K1289" t="inlineStr">
        <is>
          <t>Intrusivo</t>
        </is>
      </c>
      <c r="L1289" t="inlineStr">
        <is>
          <t>Intrusivo</t>
        </is>
      </c>
      <c r="M1289" t="n">
        <v>1327</v>
      </c>
      <c r="N1289" t="inlineStr"/>
      <c r="O1289" t="inlineStr"/>
      <c r="P1289" t="n">
        <v>1839.26</v>
      </c>
      <c r="Q1289" t="n">
        <v>9.91</v>
      </c>
    </row>
    <row r="1290">
      <c r="A1290" t="inlineStr">
        <is>
          <t>MR24</t>
        </is>
      </c>
      <c r="B1290" t="inlineStr">
        <is>
          <t>Merged_Table_Assay_lito</t>
        </is>
      </c>
      <c r="C1290" t="inlineStr">
        <is>
          <t>metros de sondaje; pct sobre metros</t>
        </is>
      </c>
      <c r="D1290" t="inlineStr">
        <is>
          <t>fase_plp_GM_FASES_LE2_Output</t>
        </is>
      </c>
      <c r="E1290" t="inlineStr">
        <is>
          <t>12A2</t>
        </is>
      </c>
      <c r="F1290" t="inlineStr">
        <is>
          <t>ROCKCODE</t>
        </is>
      </c>
      <c r="G1290" t="inlineStr">
        <is>
          <t>IPPEO</t>
        </is>
      </c>
      <c r="H1290" t="inlineStr">
        <is>
          <t>Intrusivo</t>
        </is>
      </c>
      <c r="I1290" t="inlineStr">
        <is>
          <t>IPPEO</t>
        </is>
      </c>
      <c r="J1290" t="inlineStr">
        <is>
          <t>ROCKCODE agrupado en ROCKCODE_NUMEQ=1 (Intrusivo_1)</t>
        </is>
      </c>
      <c r="K1290" t="inlineStr">
        <is>
          <t>Intrusivo</t>
        </is>
      </c>
      <c r="L1290" t="inlineStr">
        <is>
          <t>Intrusivo</t>
        </is>
      </c>
      <c r="M1290" t="n">
        <v>15</v>
      </c>
      <c r="N1290" t="inlineStr"/>
      <c r="O1290" t="inlineStr"/>
      <c r="P1290" t="n">
        <v>28.6</v>
      </c>
      <c r="Q1290" t="n">
        <v>0.154</v>
      </c>
    </row>
    <row r="1291">
      <c r="A1291" t="inlineStr">
        <is>
          <t>MR24</t>
        </is>
      </c>
      <c r="B1291" t="inlineStr">
        <is>
          <t>Merged_Table_Assay_lito</t>
        </is>
      </c>
      <c r="C1291" t="inlineStr">
        <is>
          <t>metros de sondaje; pct sobre metros</t>
        </is>
      </c>
      <c r="D1291" t="inlineStr">
        <is>
          <t>fase_plp_GM_FASES_LE2_Output</t>
        </is>
      </c>
      <c r="E1291" t="inlineStr">
        <is>
          <t>12A2</t>
        </is>
      </c>
      <c r="F1291" t="inlineStr">
        <is>
          <t>ROCKCODE</t>
        </is>
      </c>
      <c r="G1291" t="inlineStr">
        <is>
          <t>M</t>
        </is>
      </c>
      <c r="H1291" t="inlineStr">
        <is>
          <t>sin asignar</t>
        </is>
      </c>
      <c r="I1291" t="inlineStr">
        <is>
          <t>M</t>
        </is>
      </c>
      <c r="J1291" t="inlineStr">
        <is>
          <t>ROCKCODE agrupado en ROCKCODE_NUMEQ=16; sigla sin leyenda</t>
        </is>
      </c>
      <c r="K1291" t="inlineStr">
        <is>
          <t>Mármol (hipótesis: siglas M*)</t>
        </is>
      </c>
      <c r="L1291" t="inlineStr">
        <is>
          <t>Metamorfico</t>
        </is>
      </c>
      <c r="M1291" t="n">
        <v>1</v>
      </c>
      <c r="N1291" t="inlineStr"/>
      <c r="O1291" t="inlineStr"/>
      <c r="P1291" t="n">
        <v>2.8</v>
      </c>
      <c r="Q1291" t="n">
        <v>0.015</v>
      </c>
    </row>
    <row r="1292">
      <c r="A1292" t="inlineStr">
        <is>
          <t>MR24</t>
        </is>
      </c>
      <c r="B1292" t="inlineStr">
        <is>
          <t>Merged_Table_Assay_lito</t>
        </is>
      </c>
      <c r="C1292" t="inlineStr">
        <is>
          <t>metros de sondaje; pct sobre metros</t>
        </is>
      </c>
      <c r="D1292" t="inlineStr">
        <is>
          <t>fase_plp_GM_FASES_LE2_Output</t>
        </is>
      </c>
      <c r="E1292" t="inlineStr">
        <is>
          <t>12A2</t>
        </is>
      </c>
      <c r="F1292" t="inlineStr">
        <is>
          <t>ROCKCODE</t>
        </is>
      </c>
      <c r="G1292" t="inlineStr">
        <is>
          <t>MC</t>
        </is>
      </c>
      <c r="H1292" t="inlineStr">
        <is>
          <t>sin asignar</t>
        </is>
      </c>
      <c r="I1292" t="inlineStr">
        <is>
          <t>MC</t>
        </is>
      </c>
      <c r="J1292" t="inlineStr">
        <is>
          <t>ROCKCODE agrupado en ROCKCODE_NUMEQ=16; sigla sin leyenda</t>
        </is>
      </c>
      <c r="K1292" t="inlineStr">
        <is>
          <t>Mármol (hipótesis: siglas M*)</t>
        </is>
      </c>
      <c r="L1292" t="inlineStr">
        <is>
          <t>Metamorfico</t>
        </is>
      </c>
      <c r="M1292" t="n">
        <v>3679</v>
      </c>
      <c r="N1292" t="inlineStr"/>
      <c r="O1292" t="inlineStr"/>
      <c r="P1292" t="n">
        <v>5036.62</v>
      </c>
      <c r="Q1292" t="n">
        <v>27.138</v>
      </c>
    </row>
    <row r="1293">
      <c r="A1293" t="inlineStr">
        <is>
          <t>MR24</t>
        </is>
      </c>
      <c r="B1293" t="inlineStr">
        <is>
          <t>Merged_Table_Assay_lito</t>
        </is>
      </c>
      <c r="C1293" t="inlineStr">
        <is>
          <t>metros de sondaje; pct sobre metros</t>
        </is>
      </c>
      <c r="D1293" t="inlineStr">
        <is>
          <t>fase_plp_GM_FASES_LE2_Output</t>
        </is>
      </c>
      <c r="E1293" t="inlineStr">
        <is>
          <t>12A2</t>
        </is>
      </c>
      <c r="F1293" t="inlineStr">
        <is>
          <t>ROCKCODE</t>
        </is>
      </c>
      <c r="G1293" t="inlineStr">
        <is>
          <t>MCB</t>
        </is>
      </c>
      <c r="H1293" t="inlineStr">
        <is>
          <t>sin asignar</t>
        </is>
      </c>
      <c r="I1293" t="inlineStr">
        <is>
          <t>MCB</t>
        </is>
      </c>
      <c r="J1293" t="inlineStr">
        <is>
          <t>ROCKCODE agrupado en ROCKCODE_NUMEQ=16; sigla sin leyenda</t>
        </is>
      </c>
      <c r="K1293" t="inlineStr">
        <is>
          <t>Mármol (hipótesis: siglas M*)</t>
        </is>
      </c>
      <c r="L1293" t="inlineStr">
        <is>
          <t>Metamorfico</t>
        </is>
      </c>
      <c r="M1293" t="n">
        <v>487</v>
      </c>
      <c r="N1293" t="inlineStr"/>
      <c r="O1293" t="inlineStr"/>
      <c r="P1293" t="n">
        <v>625.65</v>
      </c>
      <c r="Q1293" t="n">
        <v>3.371</v>
      </c>
    </row>
    <row r="1294">
      <c r="A1294" t="inlineStr">
        <is>
          <t>MR24</t>
        </is>
      </c>
      <c r="B1294" t="inlineStr">
        <is>
          <t>Merged_Table_Assay_lito</t>
        </is>
      </c>
      <c r="C1294" t="inlineStr">
        <is>
          <t>metros de sondaje; pct sobre metros</t>
        </is>
      </c>
      <c r="D1294" t="inlineStr">
        <is>
          <t>fase_plp_GM_FASES_LE2_Output</t>
        </is>
      </c>
      <c r="E1294" t="inlineStr">
        <is>
          <t>12A2</t>
        </is>
      </c>
      <c r="F1294" t="inlineStr">
        <is>
          <t>ROCKCODE</t>
        </is>
      </c>
      <c r="G1294" t="inlineStr">
        <is>
          <t>MCGB</t>
        </is>
      </c>
      <c r="H1294" t="inlineStr">
        <is>
          <t>sin asignar</t>
        </is>
      </c>
      <c r="I1294" t="inlineStr">
        <is>
          <t>MCGB</t>
        </is>
      </c>
      <c r="J1294" t="inlineStr">
        <is>
          <t>ROCKCODE agrupado en ROCKCODE_NUMEQ=16; sigla sin leyenda</t>
        </is>
      </c>
      <c r="K1294" t="inlineStr">
        <is>
          <t>Mármol (hipótesis: siglas M*)</t>
        </is>
      </c>
      <c r="L1294" t="inlineStr">
        <is>
          <t>Metamorfico</t>
        </is>
      </c>
      <c r="M1294" t="n">
        <v>927</v>
      </c>
      <c r="N1294" t="inlineStr"/>
      <c r="O1294" t="inlineStr"/>
      <c r="P1294" t="n">
        <v>1095</v>
      </c>
      <c r="Q1294" t="n">
        <v>5.9</v>
      </c>
    </row>
    <row r="1295">
      <c r="A1295" t="inlineStr">
        <is>
          <t>MR24</t>
        </is>
      </c>
      <c r="B1295" t="inlineStr">
        <is>
          <t>Merged_Table_Assay_lito</t>
        </is>
      </c>
      <c r="C1295" t="inlineStr">
        <is>
          <t>metros de sondaje; pct sobre metros</t>
        </is>
      </c>
      <c r="D1295" t="inlineStr">
        <is>
          <t>fase_plp_GM_FASES_LE2_Output</t>
        </is>
      </c>
      <c r="E1295" t="inlineStr">
        <is>
          <t>12A2</t>
        </is>
      </c>
      <c r="F1295" t="inlineStr">
        <is>
          <t>ROCKCODE</t>
        </is>
      </c>
      <c r="G1295" t="inlineStr">
        <is>
          <t>MDP</t>
        </is>
      </c>
      <c r="H1295" t="inlineStr">
        <is>
          <t>sin asignar</t>
        </is>
      </c>
      <c r="I1295" t="inlineStr">
        <is>
          <t>MDP</t>
        </is>
      </c>
      <c r="J1295" t="inlineStr">
        <is>
          <t>ROCKCODE agrupado en ROCKCODE_NUMEQ=19; sigla sin leyenda</t>
        </is>
      </c>
      <c r="K1295" t="inlineStr">
        <is>
          <t>Mármol (hipótesis: sigla MDP)</t>
        </is>
      </c>
      <c r="L1295" t="inlineStr">
        <is>
          <t>Metamorfico</t>
        </is>
      </c>
      <c r="M1295" t="n">
        <v>6205</v>
      </c>
      <c r="N1295" t="inlineStr"/>
      <c r="O1295" t="inlineStr"/>
      <c r="P1295" t="n">
        <v>6243.85</v>
      </c>
      <c r="Q1295" t="n">
        <v>33.643</v>
      </c>
    </row>
    <row r="1296">
      <c r="A1296" t="inlineStr">
        <is>
          <t>MR24</t>
        </is>
      </c>
      <c r="B1296" t="inlineStr">
        <is>
          <t>Merged_Table_Assay_lito</t>
        </is>
      </c>
      <c r="C1296" t="inlineStr">
        <is>
          <t>metros de sondaje; pct sobre metros</t>
        </is>
      </c>
      <c r="D1296" t="inlineStr">
        <is>
          <t>fase_plp_GM_FASES_LE2_Output</t>
        </is>
      </c>
      <c r="E1296" t="inlineStr">
        <is>
          <t>12A2</t>
        </is>
      </c>
      <c r="F1296" t="inlineStr">
        <is>
          <t>ROCKCODE</t>
        </is>
      </c>
      <c r="G1296" t="inlineStr">
        <is>
          <t>MG</t>
        </is>
      </c>
      <c r="H1296" t="inlineStr">
        <is>
          <t>sin asignar</t>
        </is>
      </c>
      <c r="I1296" t="inlineStr">
        <is>
          <t>MG</t>
        </is>
      </c>
      <c r="J1296" t="inlineStr">
        <is>
          <t>ROCKCODE agrupado en ROCKCODE_NUMEQ=16; sigla sin leyenda</t>
        </is>
      </c>
      <c r="K1296" t="inlineStr">
        <is>
          <t>Mármol (hipótesis: siglas M*)</t>
        </is>
      </c>
      <c r="L1296" t="inlineStr">
        <is>
          <t>Metamorfico</t>
        </is>
      </c>
      <c r="M1296" t="n">
        <v>827</v>
      </c>
      <c r="N1296" t="inlineStr"/>
      <c r="O1296" t="inlineStr"/>
      <c r="P1296" t="n">
        <v>808.5</v>
      </c>
      <c r="Q1296" t="n">
        <v>4.356</v>
      </c>
    </row>
    <row r="1297">
      <c r="A1297" t="inlineStr">
        <is>
          <t>MR24</t>
        </is>
      </c>
      <c r="B1297" t="inlineStr">
        <is>
          <t>Merged_Table_Assay_lito</t>
        </is>
      </c>
      <c r="C1297" t="inlineStr">
        <is>
          <t>metros de sondaje; pct sobre metros</t>
        </is>
      </c>
      <c r="D1297" t="inlineStr">
        <is>
          <t>fase_plp_GM_FASES_LE2_Output</t>
        </is>
      </c>
      <c r="E1297" t="inlineStr">
        <is>
          <t>12A2</t>
        </is>
      </c>
      <c r="F1297" t="inlineStr">
        <is>
          <t>ROCKCODE</t>
        </is>
      </c>
      <c r="G1297" t="inlineStr">
        <is>
          <t>MGS</t>
        </is>
      </c>
      <c r="H1297" t="inlineStr">
        <is>
          <t>sin asignar</t>
        </is>
      </c>
      <c r="I1297" t="inlineStr">
        <is>
          <t>MGS</t>
        </is>
      </c>
      <c r="J1297" t="inlineStr">
        <is>
          <t>ROCKCODE agrupado en ROCKCODE_NUMEQ=16; sigla sin leyenda</t>
        </is>
      </c>
      <c r="K1297" t="inlineStr">
        <is>
          <t>Mármol (hipótesis: siglas M*)</t>
        </is>
      </c>
      <c r="L1297" t="inlineStr">
        <is>
          <t>Metamorfico</t>
        </is>
      </c>
      <c r="M1297" t="n">
        <v>158</v>
      </c>
      <c r="N1297" t="inlineStr"/>
      <c r="O1297" t="inlineStr"/>
      <c r="P1297" t="n">
        <v>223.85</v>
      </c>
      <c r="Q1297" t="n">
        <v>1.206</v>
      </c>
    </row>
    <row r="1298">
      <c r="A1298" t="inlineStr">
        <is>
          <t>MR24</t>
        </is>
      </c>
      <c r="B1298" t="inlineStr">
        <is>
          <t>Merged_Table_Assay_lito</t>
        </is>
      </c>
      <c r="C1298" t="inlineStr">
        <is>
          <t>metros de sondaje; pct sobre metros</t>
        </is>
      </c>
      <c r="D1298" t="inlineStr">
        <is>
          <t>fase_plp_GM_FASES_LE2_Output</t>
        </is>
      </c>
      <c r="E1298" t="inlineStr">
        <is>
          <t>12A2</t>
        </is>
      </c>
      <c r="F1298" t="inlineStr">
        <is>
          <t>ROCKCODE</t>
        </is>
      </c>
      <c r="G1298" t="inlineStr">
        <is>
          <t>MPA</t>
        </is>
      </c>
      <c r="H1298" t="inlineStr">
        <is>
          <t>sin asignar</t>
        </is>
      </c>
      <c r="I1298" t="inlineStr">
        <is>
          <t>MPA</t>
        </is>
      </c>
      <c r="J1298" t="inlineStr">
        <is>
          <t>ROCKCODE agrupado en ROCKCODE_NUMEQ=16; sigla sin leyenda</t>
        </is>
      </c>
      <c r="K1298" t="inlineStr">
        <is>
          <t>Mármol (hipótesis: siglas M*)</t>
        </is>
      </c>
      <c r="L1298" t="inlineStr">
        <is>
          <t>Metamorfico</t>
        </is>
      </c>
      <c r="M1298" t="n">
        <v>506</v>
      </c>
      <c r="N1298" t="inlineStr"/>
      <c r="O1298" t="inlineStr"/>
      <c r="P1298" t="n">
        <v>564.95</v>
      </c>
      <c r="Q1298" t="n">
        <v>3.044</v>
      </c>
    </row>
    <row r="1299">
      <c r="A1299" t="inlineStr">
        <is>
          <t>MR24</t>
        </is>
      </c>
      <c r="B1299" t="inlineStr">
        <is>
          <t>Merged_Table_Assay_lito</t>
        </is>
      </c>
      <c r="C1299" t="inlineStr">
        <is>
          <t>metros de sondaje; pct sobre metros</t>
        </is>
      </c>
      <c r="D1299" t="inlineStr">
        <is>
          <t>fase_plp_GM_FASES_LE2_Output</t>
        </is>
      </c>
      <c r="E1299" t="inlineStr">
        <is>
          <t>12B</t>
        </is>
      </c>
      <c r="F1299" t="inlineStr">
        <is>
          <t>ROCKCODE</t>
        </is>
      </c>
      <c r="G1299" t="inlineStr">
        <is>
          <t>BCIPPAO</t>
        </is>
      </c>
      <c r="H1299" t="inlineStr">
        <is>
          <t>Intrusivo</t>
        </is>
      </c>
      <c r="I1299" t="inlineStr">
        <is>
          <t>BCIPPAO</t>
        </is>
      </c>
      <c r="J1299" t="inlineStr">
        <is>
          <t>ROCKCODE agrupado en ROCKCODE_NUMEQ=1 (Intrusivo_1)</t>
        </is>
      </c>
      <c r="K1299" t="inlineStr">
        <is>
          <t>Intrusivo</t>
        </is>
      </c>
      <c r="L1299" t="inlineStr">
        <is>
          <t>Intrusivo</t>
        </is>
      </c>
      <c r="M1299" t="n">
        <v>2</v>
      </c>
      <c r="N1299" t="inlineStr"/>
      <c r="O1299" t="inlineStr"/>
      <c r="P1299" t="n">
        <v>3.3</v>
      </c>
      <c r="Q1299" t="n">
        <v>0.031</v>
      </c>
    </row>
    <row r="1300">
      <c r="A1300" t="inlineStr">
        <is>
          <t>MR24</t>
        </is>
      </c>
      <c r="B1300" t="inlineStr">
        <is>
          <t>Merged_Table_Assay_lito</t>
        </is>
      </c>
      <c r="C1300" t="inlineStr">
        <is>
          <t>metros de sondaje; pct sobre metros</t>
        </is>
      </c>
      <c r="D1300" t="inlineStr">
        <is>
          <t>fase_plp_GM_FASES_LE2_Output</t>
        </is>
      </c>
      <c r="E1300" t="inlineStr">
        <is>
          <t>12B</t>
        </is>
      </c>
      <c r="F1300" t="inlineStr">
        <is>
          <t>ROCKCODE</t>
        </is>
      </c>
      <c r="G1300" t="inlineStr">
        <is>
          <t>BMIPPA</t>
        </is>
      </c>
      <c r="H1300" t="inlineStr">
        <is>
          <t>Intrusivo</t>
        </is>
      </c>
      <c r="I1300" t="inlineStr">
        <is>
          <t>BMIPPA</t>
        </is>
      </c>
      <c r="J1300" t="inlineStr">
        <is>
          <t>ROCKCODE agrupado en ROCKCODE_NUMEQ=1 (Intrusivo_1)</t>
        </is>
      </c>
      <c r="K1300" t="inlineStr">
        <is>
          <t>Intrusivo</t>
        </is>
      </c>
      <c r="L1300" t="inlineStr">
        <is>
          <t>Intrusivo</t>
        </is>
      </c>
      <c r="M1300" t="n">
        <v>1</v>
      </c>
      <c r="N1300" t="inlineStr"/>
      <c r="O1300" t="inlineStr"/>
      <c r="P1300" t="n">
        <v>1.6</v>
      </c>
      <c r="Q1300" t="n">
        <v>0.015</v>
      </c>
    </row>
    <row r="1301">
      <c r="A1301" t="inlineStr">
        <is>
          <t>MR24</t>
        </is>
      </c>
      <c r="B1301" t="inlineStr">
        <is>
          <t>Merged_Table_Assay_lito</t>
        </is>
      </c>
      <c r="C1301" t="inlineStr">
        <is>
          <t>metros de sondaje; pct sobre metros</t>
        </is>
      </c>
      <c r="D1301" t="inlineStr">
        <is>
          <t>fase_plp_GM_FASES_LE2_Output</t>
        </is>
      </c>
      <c r="E1301" t="inlineStr">
        <is>
          <t>12B</t>
        </is>
      </c>
      <c r="F1301" t="inlineStr">
        <is>
          <t>ROCKCODE</t>
        </is>
      </c>
      <c r="G1301" t="inlineStr">
        <is>
          <t>CBMN</t>
        </is>
      </c>
      <c r="H1301" t="inlineStr">
        <is>
          <t>sin asignar</t>
        </is>
      </c>
      <c r="I1301" t="inlineStr">
        <is>
          <t>CBMN</t>
        </is>
      </c>
      <c r="J1301" t="inlineStr">
        <is>
          <t>ROCKCODE agrupado en ROCKCODE_NUMEQ=10; sigla sin leyenda</t>
        </is>
      </c>
      <c r="K1301" t="inlineStr">
        <is>
          <t>Caliza (hipótesis: siglas C*)</t>
        </is>
      </c>
      <c r="L1301" t="inlineStr">
        <is>
          <t>Sedimentario</t>
        </is>
      </c>
      <c r="M1301" t="n">
        <v>2</v>
      </c>
      <c r="N1301" t="inlineStr"/>
      <c r="O1301" t="inlineStr"/>
      <c r="P1301" t="n">
        <v>3.15</v>
      </c>
      <c r="Q1301" t="n">
        <v>0.03</v>
      </c>
    </row>
    <row r="1302">
      <c r="A1302" t="inlineStr">
        <is>
          <t>MR24</t>
        </is>
      </c>
      <c r="B1302" t="inlineStr">
        <is>
          <t>Merged_Table_Assay_lito</t>
        </is>
      </c>
      <c r="C1302" t="inlineStr">
        <is>
          <t>metros de sondaje; pct sobre metros</t>
        </is>
      </c>
      <c r="D1302" t="inlineStr">
        <is>
          <t>fase_plp_GM_FASES_LE2_Output</t>
        </is>
      </c>
      <c r="E1302" t="inlineStr">
        <is>
          <t>12B</t>
        </is>
      </c>
      <c r="F1302" t="inlineStr">
        <is>
          <t>ROCKCODE</t>
        </is>
      </c>
      <c r="G1302" t="inlineStr">
        <is>
          <t>CG</t>
        </is>
      </c>
      <c r="H1302" t="inlineStr">
        <is>
          <t>sin asignar</t>
        </is>
      </c>
      <c r="I1302" t="inlineStr">
        <is>
          <t>CG</t>
        </is>
      </c>
      <c r="J1302" t="inlineStr">
        <is>
          <t>ROCKCODE agrupado en ROCKCODE_NUMEQ=10; sigla sin leyenda</t>
        </is>
      </c>
      <c r="K1302" t="inlineStr">
        <is>
          <t>Caliza (hipótesis: siglas C*)</t>
        </is>
      </c>
      <c r="L1302" t="inlineStr">
        <is>
          <t>Sedimentario</t>
        </is>
      </c>
      <c r="M1302" t="n">
        <v>3</v>
      </c>
      <c r="N1302" t="inlineStr"/>
      <c r="O1302" t="inlineStr"/>
      <c r="P1302" t="n">
        <v>2</v>
      </c>
      <c r="Q1302" t="n">
        <v>0.019</v>
      </c>
    </row>
    <row r="1303">
      <c r="A1303" t="inlineStr">
        <is>
          <t>MR24</t>
        </is>
      </c>
      <c r="B1303" t="inlineStr">
        <is>
          <t>Merged_Table_Assay_lito</t>
        </is>
      </c>
      <c r="C1303" t="inlineStr">
        <is>
          <t>metros de sondaje; pct sobre metros</t>
        </is>
      </c>
      <c r="D1303" t="inlineStr">
        <is>
          <t>fase_plp_GM_FASES_LE2_Output</t>
        </is>
      </c>
      <c r="E1303" t="inlineStr">
        <is>
          <t>12B</t>
        </is>
      </c>
      <c r="F1303" t="inlineStr">
        <is>
          <t>ROCKCODE</t>
        </is>
      </c>
      <c r="G1303" t="inlineStr">
        <is>
          <t>CGS</t>
        </is>
      </c>
      <c r="H1303" t="inlineStr">
        <is>
          <t>sin asignar</t>
        </is>
      </c>
      <c r="I1303" t="inlineStr">
        <is>
          <t>CGS</t>
        </is>
      </c>
      <c r="J1303" t="inlineStr">
        <is>
          <t>ROCKCODE agrupado en ROCKCODE_NUMEQ=10; sigla sin leyenda</t>
        </is>
      </c>
      <c r="K1303" t="inlineStr">
        <is>
          <t>Caliza (hipótesis: siglas C*)</t>
        </is>
      </c>
      <c r="L1303" t="inlineStr">
        <is>
          <t>Sedimentario</t>
        </is>
      </c>
      <c r="M1303" t="n">
        <v>34</v>
      </c>
      <c r="N1303" t="inlineStr"/>
      <c r="O1303" t="inlineStr"/>
      <c r="P1303" t="n">
        <v>41.25</v>
      </c>
      <c r="Q1303" t="n">
        <v>0.393</v>
      </c>
    </row>
    <row r="1304">
      <c r="A1304" t="inlineStr">
        <is>
          <t>MR24</t>
        </is>
      </c>
      <c r="B1304" t="inlineStr">
        <is>
          <t>Merged_Table_Assay_lito</t>
        </is>
      </c>
      <c r="C1304" t="inlineStr">
        <is>
          <t>metros de sondaje; pct sobre metros</t>
        </is>
      </c>
      <c r="D1304" t="inlineStr">
        <is>
          <t>fase_plp_GM_FASES_LE2_Output</t>
        </is>
      </c>
      <c r="E1304" t="inlineStr">
        <is>
          <t>12B</t>
        </is>
      </c>
      <c r="F1304" t="inlineStr">
        <is>
          <t>ROCKCODE</t>
        </is>
      </c>
      <c r="G1304" t="inlineStr">
        <is>
          <t>CN</t>
        </is>
      </c>
      <c r="H1304" t="inlineStr">
        <is>
          <t>sin asignar</t>
        </is>
      </c>
      <c r="I1304" t="inlineStr">
        <is>
          <t>CN</t>
        </is>
      </c>
      <c r="J1304" t="inlineStr">
        <is>
          <t>ROCKCODE agrupado en ROCKCODE_NUMEQ=10; sigla sin leyenda</t>
        </is>
      </c>
      <c r="K1304" t="inlineStr">
        <is>
          <t>Caliza (hipótesis: siglas C*)</t>
        </is>
      </c>
      <c r="L1304" t="inlineStr">
        <is>
          <t>Sedimentario</t>
        </is>
      </c>
      <c r="M1304" t="n">
        <v>21</v>
      </c>
      <c r="N1304" t="inlineStr"/>
      <c r="O1304" t="inlineStr"/>
      <c r="P1304" t="n">
        <v>24.25</v>
      </c>
      <c r="Q1304" t="n">
        <v>0.231</v>
      </c>
    </row>
    <row r="1305">
      <c r="A1305" t="inlineStr">
        <is>
          <t>MR24</t>
        </is>
      </c>
      <c r="B1305" t="inlineStr">
        <is>
          <t>Merged_Table_Assay_lito</t>
        </is>
      </c>
      <c r="C1305" t="inlineStr">
        <is>
          <t>metros de sondaje; pct sobre metros</t>
        </is>
      </c>
      <c r="D1305" t="inlineStr">
        <is>
          <t>fase_plp_GM_FASES_LE2_Output</t>
        </is>
      </c>
      <c r="E1305" t="inlineStr">
        <is>
          <t>12B</t>
        </is>
      </c>
      <c r="F1305" t="inlineStr">
        <is>
          <t>ROCKCODE</t>
        </is>
      </c>
      <c r="G1305" t="inlineStr">
        <is>
          <t>HBV</t>
        </is>
      </c>
      <c r="H1305" t="inlineStr">
        <is>
          <t>sin asignar</t>
        </is>
      </c>
      <c r="I1305" t="inlineStr">
        <is>
          <t>HBV</t>
        </is>
      </c>
      <c r="J1305" t="inlineStr">
        <is>
          <t>ROCKCODE agrupado en ROCKCODE_NUMEQ=14; sigla sin leyenda</t>
        </is>
      </c>
      <c r="K1305" t="inlineStr">
        <is>
          <t>Hornfels (hipótesis: siglas H*)</t>
        </is>
      </c>
      <c r="L1305" t="inlineStr">
        <is>
          <t>Metamorfico</t>
        </is>
      </c>
      <c r="M1305" t="n">
        <v>2</v>
      </c>
      <c r="N1305" t="inlineStr"/>
      <c r="O1305" t="inlineStr"/>
      <c r="P1305" t="n">
        <v>1.5</v>
      </c>
      <c r="Q1305" t="n">
        <v>0.014</v>
      </c>
    </row>
    <row r="1306">
      <c r="A1306" t="inlineStr">
        <is>
          <t>MR24</t>
        </is>
      </c>
      <c r="B1306" t="inlineStr">
        <is>
          <t>Merged_Table_Assay_lito</t>
        </is>
      </c>
      <c r="C1306" t="inlineStr">
        <is>
          <t>metros de sondaje; pct sobre metros</t>
        </is>
      </c>
      <c r="D1306" t="inlineStr">
        <is>
          <t>fase_plp_GM_FASES_LE2_Output</t>
        </is>
      </c>
      <c r="E1306" t="inlineStr">
        <is>
          <t>12B</t>
        </is>
      </c>
      <c r="F1306" t="inlineStr">
        <is>
          <t>ROCKCODE</t>
        </is>
      </c>
      <c r="G1306" t="inlineStr">
        <is>
          <t>HC</t>
        </is>
      </c>
      <c r="H1306" t="inlineStr">
        <is>
          <t>sin asignar</t>
        </is>
      </c>
      <c r="I1306" t="inlineStr">
        <is>
          <t>HC</t>
        </is>
      </c>
      <c r="J1306" t="inlineStr">
        <is>
          <t>ROCKCODE agrupado en ROCKCODE_NUMEQ=13; sigla sin leyenda</t>
        </is>
      </c>
      <c r="K1306" t="inlineStr">
        <is>
          <t>Hornfels (hipótesis: siglas H*)</t>
        </is>
      </c>
      <c r="L1306" t="inlineStr">
        <is>
          <t>Metamorfico</t>
        </is>
      </c>
      <c r="M1306" t="n">
        <v>15</v>
      </c>
      <c r="N1306" t="inlineStr"/>
      <c r="O1306" t="inlineStr"/>
      <c r="P1306" t="n">
        <v>18.5</v>
      </c>
      <c r="Q1306" t="n">
        <v>0.176</v>
      </c>
    </row>
    <row r="1307">
      <c r="A1307" t="inlineStr">
        <is>
          <t>MR24</t>
        </is>
      </c>
      <c r="B1307" t="inlineStr">
        <is>
          <t>Merged_Table_Assay_lito</t>
        </is>
      </c>
      <c r="C1307" t="inlineStr">
        <is>
          <t>metros de sondaje; pct sobre metros</t>
        </is>
      </c>
      <c r="D1307" t="inlineStr">
        <is>
          <t>fase_plp_GM_FASES_LE2_Output</t>
        </is>
      </c>
      <c r="E1307" t="inlineStr">
        <is>
          <t>12B</t>
        </is>
      </c>
      <c r="F1307" t="inlineStr">
        <is>
          <t>ROCKCODE</t>
        </is>
      </c>
      <c r="G1307" t="inlineStr">
        <is>
          <t>HDP</t>
        </is>
      </c>
      <c r="H1307" t="inlineStr">
        <is>
          <t>sin asignar</t>
        </is>
      </c>
      <c r="I1307" t="inlineStr">
        <is>
          <t>HDP</t>
        </is>
      </c>
      <c r="J1307" t="inlineStr">
        <is>
          <t>ROCKCODE agrupado en ROCKCODE_NUMEQ=14; sigla sin leyenda</t>
        </is>
      </c>
      <c r="K1307" t="inlineStr">
        <is>
          <t>Hornfels (hipótesis: siglas H*)</t>
        </is>
      </c>
      <c r="L1307" t="inlineStr">
        <is>
          <t>Metamorfico</t>
        </is>
      </c>
      <c r="M1307" t="n">
        <v>8</v>
      </c>
      <c r="N1307" t="inlineStr"/>
      <c r="O1307" t="inlineStr"/>
      <c r="P1307" t="n">
        <v>13.3</v>
      </c>
      <c r="Q1307" t="n">
        <v>0.127</v>
      </c>
    </row>
    <row r="1308">
      <c r="A1308" t="inlineStr">
        <is>
          <t>MR24</t>
        </is>
      </c>
      <c r="B1308" t="inlineStr">
        <is>
          <t>Merged_Table_Assay_lito</t>
        </is>
      </c>
      <c r="C1308" t="inlineStr">
        <is>
          <t>metros de sondaje; pct sobre metros</t>
        </is>
      </c>
      <c r="D1308" t="inlineStr">
        <is>
          <t>fase_plp_GM_FASES_LE2_Output</t>
        </is>
      </c>
      <c r="E1308" t="inlineStr">
        <is>
          <t>12B</t>
        </is>
      </c>
      <c r="F1308" t="inlineStr">
        <is>
          <t>ROCKCODE</t>
        </is>
      </c>
      <c r="G1308" t="inlineStr">
        <is>
          <t>HG</t>
        </is>
      </c>
      <c r="H1308" t="inlineStr">
        <is>
          <t>sin asignar</t>
        </is>
      </c>
      <c r="I1308" t="inlineStr">
        <is>
          <t>HG</t>
        </is>
      </c>
      <c r="J1308" t="inlineStr">
        <is>
          <t>ROCKCODE agrupado en ROCKCODE_NUMEQ=13; sigla sin leyenda</t>
        </is>
      </c>
      <c r="K1308" t="inlineStr">
        <is>
          <t>Hornfels (hipótesis: siglas H*)</t>
        </is>
      </c>
      <c r="L1308" t="inlineStr">
        <is>
          <t>Metamorfico</t>
        </is>
      </c>
      <c r="M1308" t="n">
        <v>9</v>
      </c>
      <c r="N1308" t="inlineStr"/>
      <c r="O1308" t="inlineStr"/>
      <c r="P1308" t="n">
        <v>8.699999999999999</v>
      </c>
      <c r="Q1308" t="n">
        <v>0.083</v>
      </c>
    </row>
    <row r="1309">
      <c r="A1309" t="inlineStr">
        <is>
          <t>MR24</t>
        </is>
      </c>
      <c r="B1309" t="inlineStr">
        <is>
          <t>Merged_Table_Assay_lito</t>
        </is>
      </c>
      <c r="C1309" t="inlineStr">
        <is>
          <t>metros de sondaje; pct sobre metros</t>
        </is>
      </c>
      <c r="D1309" t="inlineStr">
        <is>
          <t>fase_plp_GM_FASES_LE2_Output</t>
        </is>
      </c>
      <c r="E1309" t="inlineStr">
        <is>
          <t>12B</t>
        </is>
      </c>
      <c r="F1309" t="inlineStr">
        <is>
          <t>ROCKCODE</t>
        </is>
      </c>
      <c r="G1309" t="inlineStr">
        <is>
          <t>HGS</t>
        </is>
      </c>
      <c r="H1309" t="inlineStr">
        <is>
          <t>sin asignar</t>
        </is>
      </c>
      <c r="I1309" t="inlineStr">
        <is>
          <t>HGS</t>
        </is>
      </c>
      <c r="J1309" t="inlineStr">
        <is>
          <t>ROCKCODE agrupado en ROCKCODE_NUMEQ=13; sigla sin leyenda</t>
        </is>
      </c>
      <c r="K1309" t="inlineStr">
        <is>
          <t>Hornfels (hipótesis: siglas H*)</t>
        </is>
      </c>
      <c r="L1309" t="inlineStr">
        <is>
          <t>Metamorfico</t>
        </is>
      </c>
      <c r="M1309" t="n">
        <v>68</v>
      </c>
      <c r="N1309" t="inlineStr"/>
      <c r="O1309" t="inlineStr"/>
      <c r="P1309" t="n">
        <v>51.95</v>
      </c>
      <c r="Q1309" t="n">
        <v>0.495</v>
      </c>
    </row>
    <row r="1310">
      <c r="A1310" t="inlineStr">
        <is>
          <t>MR24</t>
        </is>
      </c>
      <c r="B1310" t="inlineStr">
        <is>
          <t>Merged_Table_Assay_lito</t>
        </is>
      </c>
      <c r="C1310" t="inlineStr">
        <is>
          <t>metros de sondaje; pct sobre metros</t>
        </is>
      </c>
      <c r="D1310" t="inlineStr">
        <is>
          <t>fase_plp_GM_FASES_LE2_Output</t>
        </is>
      </c>
      <c r="E1310" t="inlineStr">
        <is>
          <t>12B</t>
        </is>
      </c>
      <c r="F1310" t="inlineStr">
        <is>
          <t>ROCKCODE</t>
        </is>
      </c>
      <c r="G1310" t="inlineStr">
        <is>
          <t>HGV</t>
        </is>
      </c>
      <c r="H1310" t="inlineStr">
        <is>
          <t>sin asignar</t>
        </is>
      </c>
      <c r="I1310" t="inlineStr">
        <is>
          <t>HGV</t>
        </is>
      </c>
      <c r="J1310" t="inlineStr">
        <is>
          <t>ROCKCODE agrupado en ROCKCODE_NUMEQ=14; sigla sin leyenda</t>
        </is>
      </c>
      <c r="K1310" t="inlineStr">
        <is>
          <t>Hornfels (hipótesis: siglas H*)</t>
        </is>
      </c>
      <c r="L1310" t="inlineStr">
        <is>
          <t>Metamorfico</t>
        </is>
      </c>
      <c r="M1310" t="n">
        <v>13</v>
      </c>
      <c r="N1310" t="inlineStr"/>
      <c r="O1310" t="inlineStr"/>
      <c r="P1310" t="n">
        <v>10.7</v>
      </c>
      <c r="Q1310" t="n">
        <v>0.102</v>
      </c>
    </row>
    <row r="1311">
      <c r="A1311" t="inlineStr">
        <is>
          <t>MR24</t>
        </is>
      </c>
      <c r="B1311" t="inlineStr">
        <is>
          <t>Merged_Table_Assay_lito</t>
        </is>
      </c>
      <c r="C1311" t="inlineStr">
        <is>
          <t>metros de sondaje; pct sobre metros</t>
        </is>
      </c>
      <c r="D1311" t="inlineStr">
        <is>
          <t>fase_plp_GM_FASES_LE2_Output</t>
        </is>
      </c>
      <c r="E1311" t="inlineStr">
        <is>
          <t>12B</t>
        </is>
      </c>
      <c r="F1311" t="inlineStr">
        <is>
          <t>ROCKCODE</t>
        </is>
      </c>
      <c r="G1311" t="inlineStr">
        <is>
          <t>HMGV</t>
        </is>
      </c>
      <c r="H1311" t="inlineStr">
        <is>
          <t>sin asignar</t>
        </is>
      </c>
      <c r="I1311" t="inlineStr">
        <is>
          <t>HMGV</t>
        </is>
      </c>
      <c r="J1311" t="inlineStr">
        <is>
          <t>ROCKCODE agrupado en ROCKCODE_NUMEQ=14; sigla sin leyenda</t>
        </is>
      </c>
      <c r="K1311" t="inlineStr">
        <is>
          <t>Hornfels (hipótesis: siglas H*)</t>
        </is>
      </c>
      <c r="L1311" t="inlineStr">
        <is>
          <t>Metamorfico</t>
        </is>
      </c>
      <c r="M1311" t="n">
        <v>11</v>
      </c>
      <c r="N1311" t="inlineStr"/>
      <c r="O1311" t="inlineStr"/>
      <c r="P1311" t="n">
        <v>25.8</v>
      </c>
      <c r="Q1311" t="n">
        <v>0.246</v>
      </c>
    </row>
    <row r="1312">
      <c r="A1312" t="inlineStr">
        <is>
          <t>MR24</t>
        </is>
      </c>
      <c r="B1312" t="inlineStr">
        <is>
          <t>Merged_Table_Assay_lito</t>
        </is>
      </c>
      <c r="C1312" t="inlineStr">
        <is>
          <t>metros de sondaje; pct sobre metros</t>
        </is>
      </c>
      <c r="D1312" t="inlineStr">
        <is>
          <t>fase_plp_GM_FASES_LE2_Output</t>
        </is>
      </c>
      <c r="E1312" t="inlineStr">
        <is>
          <t>12B</t>
        </is>
      </c>
      <c r="F1312" t="inlineStr">
        <is>
          <t>ROCKCODE</t>
        </is>
      </c>
      <c r="G1312" t="inlineStr">
        <is>
          <t>IPPA</t>
        </is>
      </c>
      <c r="H1312" t="inlineStr">
        <is>
          <t>Intrusivo</t>
        </is>
      </c>
      <c r="I1312" t="inlineStr">
        <is>
          <t>IPPA</t>
        </is>
      </c>
      <c r="J1312" t="inlineStr">
        <is>
          <t>ROCKCODE agrupado en ROCKCODE_NUMEQ=1 (Intrusivo_1)</t>
        </is>
      </c>
      <c r="K1312" t="inlineStr">
        <is>
          <t>Intrusivo</t>
        </is>
      </c>
      <c r="L1312" t="inlineStr">
        <is>
          <t>Intrusivo</t>
        </is>
      </c>
      <c r="M1312" t="n">
        <v>298</v>
      </c>
      <c r="N1312" t="inlineStr"/>
      <c r="O1312" t="inlineStr"/>
      <c r="P1312" t="n">
        <v>409.15</v>
      </c>
      <c r="Q1312" t="n">
        <v>3.899</v>
      </c>
    </row>
    <row r="1313">
      <c r="A1313" t="inlineStr">
        <is>
          <t>MR24</t>
        </is>
      </c>
      <c r="B1313" t="inlineStr">
        <is>
          <t>Merged_Table_Assay_lito</t>
        </is>
      </c>
      <c r="C1313" t="inlineStr">
        <is>
          <t>metros de sondaje; pct sobre metros</t>
        </is>
      </c>
      <c r="D1313" t="inlineStr">
        <is>
          <t>fase_plp_GM_FASES_LE2_Output</t>
        </is>
      </c>
      <c r="E1313" t="inlineStr">
        <is>
          <t>12B</t>
        </is>
      </c>
      <c r="F1313" t="inlineStr">
        <is>
          <t>ROCKCODE</t>
        </is>
      </c>
      <c r="G1313" t="inlineStr">
        <is>
          <t>IPPAMO</t>
        </is>
      </c>
      <c r="H1313" t="inlineStr">
        <is>
          <t>Intrusivo</t>
        </is>
      </c>
      <c r="I1313" t="inlineStr">
        <is>
          <t>IPPAMO</t>
        </is>
      </c>
      <c r="J1313" t="inlineStr">
        <is>
          <t>ROCKCODE agrupado en ROCKCODE_NUMEQ=1 (Intrusivo_1)</t>
        </is>
      </c>
      <c r="K1313" t="inlineStr">
        <is>
          <t>Intrusivo</t>
        </is>
      </c>
      <c r="L1313" t="inlineStr">
        <is>
          <t>Intrusivo</t>
        </is>
      </c>
      <c r="M1313" t="n">
        <v>936</v>
      </c>
      <c r="N1313" t="inlineStr"/>
      <c r="O1313" t="inlineStr"/>
      <c r="P1313" t="n">
        <v>1091.2</v>
      </c>
      <c r="Q1313" t="n">
        <v>10.398</v>
      </c>
    </row>
    <row r="1314">
      <c r="A1314" t="inlineStr">
        <is>
          <t>MR24</t>
        </is>
      </c>
      <c r="B1314" t="inlineStr">
        <is>
          <t>Merged_Table_Assay_lito</t>
        </is>
      </c>
      <c r="C1314" t="inlineStr">
        <is>
          <t>metros de sondaje; pct sobre metros</t>
        </is>
      </c>
      <c r="D1314" t="inlineStr">
        <is>
          <t>fase_plp_GM_FASES_LE2_Output</t>
        </is>
      </c>
      <c r="E1314" t="inlineStr">
        <is>
          <t>12B</t>
        </is>
      </c>
      <c r="F1314" t="inlineStr">
        <is>
          <t>ROCKCODE</t>
        </is>
      </c>
      <c r="G1314" t="inlineStr">
        <is>
          <t>IPPAO</t>
        </is>
      </c>
      <c r="H1314" t="inlineStr">
        <is>
          <t>Intrusivo</t>
        </is>
      </c>
      <c r="I1314" t="inlineStr">
        <is>
          <t>IPPAO</t>
        </is>
      </c>
      <c r="J1314" t="inlineStr">
        <is>
          <t>ROCKCODE agrupado en ROCKCODE_NUMEQ=1 (Intrusivo_1)</t>
        </is>
      </c>
      <c r="K1314" t="inlineStr">
        <is>
          <t>Intrusivo</t>
        </is>
      </c>
      <c r="L1314" t="inlineStr">
        <is>
          <t>Intrusivo</t>
        </is>
      </c>
      <c r="M1314" t="n">
        <v>2696</v>
      </c>
      <c r="N1314" t="inlineStr"/>
      <c r="O1314" t="inlineStr"/>
      <c r="P1314" t="n">
        <v>3215.05</v>
      </c>
      <c r="Q1314" t="n">
        <v>30.635</v>
      </c>
    </row>
    <row r="1315">
      <c r="A1315" t="inlineStr">
        <is>
          <t>MR24</t>
        </is>
      </c>
      <c r="B1315" t="inlineStr">
        <is>
          <t>Merged_Table_Assay_lito</t>
        </is>
      </c>
      <c r="C1315" t="inlineStr">
        <is>
          <t>metros de sondaje; pct sobre metros</t>
        </is>
      </c>
      <c r="D1315" t="inlineStr">
        <is>
          <t>fase_plp_GM_FASES_LE2_Output</t>
        </is>
      </c>
      <c r="E1315" t="inlineStr">
        <is>
          <t>12B</t>
        </is>
      </c>
      <c r="F1315" t="inlineStr">
        <is>
          <t>ROCKCODE</t>
        </is>
      </c>
      <c r="G1315" t="inlineStr">
        <is>
          <t>IPPEO</t>
        </is>
      </c>
      <c r="H1315" t="inlineStr">
        <is>
          <t>Intrusivo</t>
        </is>
      </c>
      <c r="I1315" t="inlineStr">
        <is>
          <t>IPPEO</t>
        </is>
      </c>
      <c r="J1315" t="inlineStr">
        <is>
          <t>ROCKCODE agrupado en ROCKCODE_NUMEQ=1 (Intrusivo_1)</t>
        </is>
      </c>
      <c r="K1315" t="inlineStr">
        <is>
          <t>Intrusivo</t>
        </is>
      </c>
      <c r="L1315" t="inlineStr">
        <is>
          <t>Intrusivo</t>
        </is>
      </c>
      <c r="M1315" t="n">
        <v>5</v>
      </c>
      <c r="N1315" t="inlineStr"/>
      <c r="O1315" t="inlineStr"/>
      <c r="P1315" t="n">
        <v>9.550000000000001</v>
      </c>
      <c r="Q1315" t="n">
        <v>0.091</v>
      </c>
    </row>
    <row r="1316">
      <c r="A1316" t="inlineStr">
        <is>
          <t>MR24</t>
        </is>
      </c>
      <c r="B1316" t="inlineStr">
        <is>
          <t>Merged_Table_Assay_lito</t>
        </is>
      </c>
      <c r="C1316" t="inlineStr">
        <is>
          <t>metros de sondaje; pct sobre metros</t>
        </is>
      </c>
      <c r="D1316" t="inlineStr">
        <is>
          <t>fase_plp_GM_FASES_LE2_Output</t>
        </is>
      </c>
      <c r="E1316" t="inlineStr">
        <is>
          <t>12B</t>
        </is>
      </c>
      <c r="F1316" t="inlineStr">
        <is>
          <t>ROCKCODE</t>
        </is>
      </c>
      <c r="G1316" t="inlineStr">
        <is>
          <t>MC</t>
        </is>
      </c>
      <c r="H1316" t="inlineStr">
        <is>
          <t>sin asignar</t>
        </is>
      </c>
      <c r="I1316" t="inlineStr">
        <is>
          <t>MC</t>
        </is>
      </c>
      <c r="J1316" t="inlineStr">
        <is>
          <t>ROCKCODE agrupado en ROCKCODE_NUMEQ=16; sigla sin leyenda</t>
        </is>
      </c>
      <c r="K1316" t="inlineStr">
        <is>
          <t>Mármol (hipótesis: siglas M*)</t>
        </is>
      </c>
      <c r="L1316" t="inlineStr">
        <is>
          <t>Metamorfico</t>
        </is>
      </c>
      <c r="M1316" t="n">
        <v>1142</v>
      </c>
      <c r="N1316" t="inlineStr"/>
      <c r="O1316" t="inlineStr"/>
      <c r="P1316" t="n">
        <v>1288.62</v>
      </c>
      <c r="Q1316" t="n">
        <v>12.279</v>
      </c>
    </row>
    <row r="1317">
      <c r="A1317" t="inlineStr">
        <is>
          <t>MR24</t>
        </is>
      </c>
      <c r="B1317" t="inlineStr">
        <is>
          <t>Merged_Table_Assay_lito</t>
        </is>
      </c>
      <c r="C1317" t="inlineStr">
        <is>
          <t>metros de sondaje; pct sobre metros</t>
        </is>
      </c>
      <c r="D1317" t="inlineStr">
        <is>
          <t>fase_plp_GM_FASES_LE2_Output</t>
        </is>
      </c>
      <c r="E1317" t="inlineStr">
        <is>
          <t>12B</t>
        </is>
      </c>
      <c r="F1317" t="inlineStr">
        <is>
          <t>ROCKCODE</t>
        </is>
      </c>
      <c r="G1317" t="inlineStr">
        <is>
          <t>MCB</t>
        </is>
      </c>
      <c r="H1317" t="inlineStr">
        <is>
          <t>sin asignar</t>
        </is>
      </c>
      <c r="I1317" t="inlineStr">
        <is>
          <t>MCB</t>
        </is>
      </c>
      <c r="J1317" t="inlineStr">
        <is>
          <t>ROCKCODE agrupado en ROCKCODE_NUMEQ=16; sigla sin leyenda</t>
        </is>
      </c>
      <c r="K1317" t="inlineStr">
        <is>
          <t>Mármol (hipótesis: siglas M*)</t>
        </is>
      </c>
      <c r="L1317" t="inlineStr">
        <is>
          <t>Metamorfico</t>
        </is>
      </c>
      <c r="M1317" t="n">
        <v>116</v>
      </c>
      <c r="N1317" t="inlineStr"/>
      <c r="O1317" t="inlineStr"/>
      <c r="P1317" t="n">
        <v>134</v>
      </c>
      <c r="Q1317" t="n">
        <v>1.277</v>
      </c>
    </row>
    <row r="1318">
      <c r="A1318" t="inlineStr">
        <is>
          <t>MR24</t>
        </is>
      </c>
      <c r="B1318" t="inlineStr">
        <is>
          <t>Merged_Table_Assay_lito</t>
        </is>
      </c>
      <c r="C1318" t="inlineStr">
        <is>
          <t>metros de sondaje; pct sobre metros</t>
        </is>
      </c>
      <c r="D1318" t="inlineStr">
        <is>
          <t>fase_plp_GM_FASES_LE2_Output</t>
        </is>
      </c>
      <c r="E1318" t="inlineStr">
        <is>
          <t>12B</t>
        </is>
      </c>
      <c r="F1318" t="inlineStr">
        <is>
          <t>ROCKCODE</t>
        </is>
      </c>
      <c r="G1318" t="inlineStr">
        <is>
          <t>MCGB</t>
        </is>
      </c>
      <c r="H1318" t="inlineStr">
        <is>
          <t>sin asignar</t>
        </is>
      </c>
      <c r="I1318" t="inlineStr">
        <is>
          <t>MCGB</t>
        </is>
      </c>
      <c r="J1318" t="inlineStr">
        <is>
          <t>ROCKCODE agrupado en ROCKCODE_NUMEQ=16; sigla sin leyenda</t>
        </is>
      </c>
      <c r="K1318" t="inlineStr">
        <is>
          <t>Mármol (hipótesis: siglas M*)</t>
        </is>
      </c>
      <c r="L1318" t="inlineStr">
        <is>
          <t>Metamorfico</t>
        </is>
      </c>
      <c r="M1318" t="n">
        <v>707</v>
      </c>
      <c r="N1318" t="inlineStr"/>
      <c r="O1318" t="inlineStr"/>
      <c r="P1318" t="n">
        <v>645.35</v>
      </c>
      <c r="Q1318" t="n">
        <v>6.149</v>
      </c>
    </row>
    <row r="1319">
      <c r="A1319" t="inlineStr">
        <is>
          <t>MR24</t>
        </is>
      </c>
      <c r="B1319" t="inlineStr">
        <is>
          <t>Merged_Table_Assay_lito</t>
        </is>
      </c>
      <c r="C1319" t="inlineStr">
        <is>
          <t>metros de sondaje; pct sobre metros</t>
        </is>
      </c>
      <c r="D1319" t="inlineStr">
        <is>
          <t>fase_plp_GM_FASES_LE2_Output</t>
        </is>
      </c>
      <c r="E1319" t="inlineStr">
        <is>
          <t>12B</t>
        </is>
      </c>
      <c r="F1319" t="inlineStr">
        <is>
          <t>ROCKCODE</t>
        </is>
      </c>
      <c r="G1319" t="inlineStr">
        <is>
          <t>MDP</t>
        </is>
      </c>
      <c r="H1319" t="inlineStr">
        <is>
          <t>sin asignar</t>
        </is>
      </c>
      <c r="I1319" t="inlineStr">
        <is>
          <t>MDP</t>
        </is>
      </c>
      <c r="J1319" t="inlineStr">
        <is>
          <t>ROCKCODE agrupado en ROCKCODE_NUMEQ=19; sigla sin leyenda</t>
        </is>
      </c>
      <c r="K1319" t="inlineStr">
        <is>
          <t>Mármol (hipótesis: sigla MDP)</t>
        </is>
      </c>
      <c r="L1319" t="inlineStr">
        <is>
          <t>Metamorfico</t>
        </is>
      </c>
      <c r="M1319" t="n">
        <v>2178</v>
      </c>
      <c r="N1319" t="inlineStr"/>
      <c r="O1319" t="inlineStr"/>
      <c r="P1319" t="n">
        <v>2191.03</v>
      </c>
      <c r="Q1319" t="n">
        <v>20.877</v>
      </c>
    </row>
    <row r="1320">
      <c r="A1320" t="inlineStr">
        <is>
          <t>MR24</t>
        </is>
      </c>
      <c r="B1320" t="inlineStr">
        <is>
          <t>Merged_Table_Assay_lito</t>
        </is>
      </c>
      <c r="C1320" t="inlineStr">
        <is>
          <t>metros de sondaje; pct sobre metros</t>
        </is>
      </c>
      <c r="D1320" t="inlineStr">
        <is>
          <t>fase_plp_GM_FASES_LE2_Output</t>
        </is>
      </c>
      <c r="E1320" t="inlineStr">
        <is>
          <t>12B</t>
        </is>
      </c>
      <c r="F1320" t="inlineStr">
        <is>
          <t>ROCKCODE</t>
        </is>
      </c>
      <c r="G1320" t="inlineStr">
        <is>
          <t>MG</t>
        </is>
      </c>
      <c r="H1320" t="inlineStr">
        <is>
          <t>sin asignar</t>
        </is>
      </c>
      <c r="I1320" t="inlineStr">
        <is>
          <t>MG</t>
        </is>
      </c>
      <c r="J1320" t="inlineStr">
        <is>
          <t>ROCKCODE agrupado en ROCKCODE_NUMEQ=16; sigla sin leyenda</t>
        </is>
      </c>
      <c r="K1320" t="inlineStr">
        <is>
          <t>Mármol (hipótesis: siglas M*)</t>
        </is>
      </c>
      <c r="L1320" t="inlineStr">
        <is>
          <t>Metamorfico</t>
        </is>
      </c>
      <c r="M1320" t="n">
        <v>264</v>
      </c>
      <c r="N1320" t="inlineStr"/>
      <c r="O1320" t="inlineStr"/>
      <c r="P1320" t="n">
        <v>271.05</v>
      </c>
      <c r="Q1320" t="n">
        <v>2.583</v>
      </c>
    </row>
    <row r="1321">
      <c r="A1321" t="inlineStr">
        <is>
          <t>MR24</t>
        </is>
      </c>
      <c r="B1321" t="inlineStr">
        <is>
          <t>Merged_Table_Assay_lito</t>
        </is>
      </c>
      <c r="C1321" t="inlineStr">
        <is>
          <t>metros de sondaje; pct sobre metros</t>
        </is>
      </c>
      <c r="D1321" t="inlineStr">
        <is>
          <t>fase_plp_GM_FASES_LE2_Output</t>
        </is>
      </c>
      <c r="E1321" t="inlineStr">
        <is>
          <t>12B</t>
        </is>
      </c>
      <c r="F1321" t="inlineStr">
        <is>
          <t>ROCKCODE</t>
        </is>
      </c>
      <c r="G1321" t="inlineStr">
        <is>
          <t>MGS</t>
        </is>
      </c>
      <c r="H1321" t="inlineStr">
        <is>
          <t>sin asignar</t>
        </is>
      </c>
      <c r="I1321" t="inlineStr">
        <is>
          <t>MGS</t>
        </is>
      </c>
      <c r="J1321" t="inlineStr">
        <is>
          <t>ROCKCODE agrupado en ROCKCODE_NUMEQ=16; sigla sin leyenda</t>
        </is>
      </c>
      <c r="K1321" t="inlineStr">
        <is>
          <t>Mármol (hipótesis: siglas M*)</t>
        </is>
      </c>
      <c r="L1321" t="inlineStr">
        <is>
          <t>Metamorfico</t>
        </is>
      </c>
      <c r="M1321" t="n">
        <v>553</v>
      </c>
      <c r="N1321" t="inlineStr"/>
      <c r="O1321" t="inlineStr"/>
      <c r="P1321" t="n">
        <v>469.4</v>
      </c>
      <c r="Q1321" t="n">
        <v>4.473</v>
      </c>
    </row>
    <row r="1322">
      <c r="A1322" t="inlineStr">
        <is>
          <t>MR24</t>
        </is>
      </c>
      <c r="B1322" t="inlineStr">
        <is>
          <t>Merged_Table_Assay_lito</t>
        </is>
      </c>
      <c r="C1322" t="inlineStr">
        <is>
          <t>metros de sondaje; pct sobre metros</t>
        </is>
      </c>
      <c r="D1322" t="inlineStr">
        <is>
          <t>fase_plp_GM_FASES_LE2_Output</t>
        </is>
      </c>
      <c r="E1322" t="inlineStr">
        <is>
          <t>12B</t>
        </is>
      </c>
      <c r="F1322" t="inlineStr">
        <is>
          <t>ROCKCODE</t>
        </is>
      </c>
      <c r="G1322" t="inlineStr">
        <is>
          <t>MPA</t>
        </is>
      </c>
      <c r="H1322" t="inlineStr">
        <is>
          <t>sin asignar</t>
        </is>
      </c>
      <c r="I1322" t="inlineStr">
        <is>
          <t>MPA</t>
        </is>
      </c>
      <c r="J1322" t="inlineStr">
        <is>
          <t>ROCKCODE agrupado en ROCKCODE_NUMEQ=16; sigla sin leyenda</t>
        </is>
      </c>
      <c r="K1322" t="inlineStr">
        <is>
          <t>Mármol (hipótesis: siglas M*)</t>
        </is>
      </c>
      <c r="L1322" t="inlineStr">
        <is>
          <t>Metamorfico</t>
        </is>
      </c>
      <c r="M1322" t="n">
        <v>477</v>
      </c>
      <c r="N1322" t="inlineStr"/>
      <c r="O1322" t="inlineStr"/>
      <c r="P1322" t="n">
        <v>564.3</v>
      </c>
      <c r="Q1322" t="n">
        <v>5.377</v>
      </c>
    </row>
    <row r="1323">
      <c r="A1323" t="inlineStr">
        <is>
          <t>MR24</t>
        </is>
      </c>
      <c r="B1323" t="inlineStr">
        <is>
          <t>Merged_Table_Assay_lito</t>
        </is>
      </c>
      <c r="C1323" t="inlineStr">
        <is>
          <t>metros de sondaje; pct sobre metros</t>
        </is>
      </c>
      <c r="D1323" t="inlineStr">
        <is>
          <t>fase_plp_GM_FASES_LE2_Output</t>
        </is>
      </c>
      <c r="E1323" t="inlineStr">
        <is>
          <t>13A</t>
        </is>
      </c>
      <c r="F1323" t="inlineStr">
        <is>
          <t>ROCKCODE</t>
        </is>
      </c>
      <c r="G1323" t="inlineStr">
        <is>
          <t>CA</t>
        </is>
      </c>
      <c r="H1323" t="inlineStr">
        <is>
          <t>sin asignar</t>
        </is>
      </c>
      <c r="I1323" t="inlineStr">
        <is>
          <t>CA</t>
        </is>
      </c>
      <c r="J1323" t="inlineStr">
        <is>
          <t>ROCKCODE agrupado en ROCKCODE_NUMEQ=10; sigla sin leyenda</t>
        </is>
      </c>
      <c r="K1323" t="inlineStr">
        <is>
          <t>Caliza (hipótesis: siglas C*)</t>
        </is>
      </c>
      <c r="L1323" t="inlineStr">
        <is>
          <t>Sedimentario</t>
        </is>
      </c>
      <c r="M1323" t="n">
        <v>5</v>
      </c>
      <c r="N1323" t="inlineStr"/>
      <c r="O1323" t="inlineStr"/>
      <c r="P1323" t="n">
        <v>5.15</v>
      </c>
      <c r="Q1323" t="n">
        <v>1.497</v>
      </c>
    </row>
    <row r="1324">
      <c r="A1324" t="inlineStr">
        <is>
          <t>MR24</t>
        </is>
      </c>
      <c r="B1324" t="inlineStr">
        <is>
          <t>Merged_Table_Assay_lito</t>
        </is>
      </c>
      <c r="C1324" t="inlineStr">
        <is>
          <t>metros de sondaje; pct sobre metros</t>
        </is>
      </c>
      <c r="D1324" t="inlineStr">
        <is>
          <t>fase_plp_GM_FASES_LE2_Output</t>
        </is>
      </c>
      <c r="E1324" t="inlineStr">
        <is>
          <t>13A</t>
        </is>
      </c>
      <c r="F1324" t="inlineStr">
        <is>
          <t>ROCKCODE</t>
        </is>
      </c>
      <c r="G1324" t="inlineStr">
        <is>
          <t>CG</t>
        </is>
      </c>
      <c r="H1324" t="inlineStr">
        <is>
          <t>sin asignar</t>
        </is>
      </c>
      <c r="I1324" t="inlineStr">
        <is>
          <t>CG</t>
        </is>
      </c>
      <c r="J1324" t="inlineStr">
        <is>
          <t>ROCKCODE agrupado en ROCKCODE_NUMEQ=10; sigla sin leyenda</t>
        </is>
      </c>
      <c r="K1324" t="inlineStr">
        <is>
          <t>Caliza (hipótesis: siglas C*)</t>
        </is>
      </c>
      <c r="L1324" t="inlineStr">
        <is>
          <t>Sedimentario</t>
        </is>
      </c>
      <c r="M1324" t="n">
        <v>235</v>
      </c>
      <c r="N1324" t="inlineStr"/>
      <c r="O1324" t="inlineStr"/>
      <c r="P1324" t="n">
        <v>206.3</v>
      </c>
      <c r="Q1324" t="n">
        <v>59.98</v>
      </c>
    </row>
    <row r="1325">
      <c r="A1325" t="inlineStr">
        <is>
          <t>MR24</t>
        </is>
      </c>
      <c r="B1325" t="inlineStr">
        <is>
          <t>Merged_Table_Assay_lito</t>
        </is>
      </c>
      <c r="C1325" t="inlineStr">
        <is>
          <t>metros de sondaje; pct sobre metros</t>
        </is>
      </c>
      <c r="D1325" t="inlineStr">
        <is>
          <t>fase_plp_GM_FASES_LE2_Output</t>
        </is>
      </c>
      <c r="E1325" t="inlineStr">
        <is>
          <t>13A</t>
        </is>
      </c>
      <c r="F1325" t="inlineStr">
        <is>
          <t>ROCKCODE</t>
        </is>
      </c>
      <c r="G1325" t="inlineStr">
        <is>
          <t>CGS</t>
        </is>
      </c>
      <c r="H1325" t="inlineStr">
        <is>
          <t>sin asignar</t>
        </is>
      </c>
      <c r="I1325" t="inlineStr">
        <is>
          <t>CGS</t>
        </is>
      </c>
      <c r="J1325" t="inlineStr">
        <is>
          <t>ROCKCODE agrupado en ROCKCODE_NUMEQ=10; sigla sin leyenda</t>
        </is>
      </c>
      <c r="K1325" t="inlineStr">
        <is>
          <t>Caliza (hipótesis: siglas C*)</t>
        </is>
      </c>
      <c r="L1325" t="inlineStr">
        <is>
          <t>Sedimentario</t>
        </is>
      </c>
      <c r="M1325" t="n">
        <v>57</v>
      </c>
      <c r="N1325" t="inlineStr"/>
      <c r="O1325" t="inlineStr"/>
      <c r="P1325" t="n">
        <v>44.75</v>
      </c>
      <c r="Q1325" t="n">
        <v>13.011</v>
      </c>
    </row>
    <row r="1326">
      <c r="A1326" t="inlineStr">
        <is>
          <t>MR24</t>
        </is>
      </c>
      <c r="B1326" t="inlineStr">
        <is>
          <t>Merged_Table_Assay_lito</t>
        </is>
      </c>
      <c r="C1326" t="inlineStr">
        <is>
          <t>metros de sondaje; pct sobre metros</t>
        </is>
      </c>
      <c r="D1326" t="inlineStr">
        <is>
          <t>fase_plp_GM_FASES_LE2_Output</t>
        </is>
      </c>
      <c r="E1326" t="inlineStr">
        <is>
          <t>13A</t>
        </is>
      </c>
      <c r="F1326" t="inlineStr">
        <is>
          <t>ROCKCODE</t>
        </is>
      </c>
      <c r="G1326" t="inlineStr">
        <is>
          <t>CN</t>
        </is>
      </c>
      <c r="H1326" t="inlineStr">
        <is>
          <t>sin asignar</t>
        </is>
      </c>
      <c r="I1326" t="inlineStr">
        <is>
          <t>CN</t>
        </is>
      </c>
      <c r="J1326" t="inlineStr">
        <is>
          <t>ROCKCODE agrupado en ROCKCODE_NUMEQ=10; sigla sin leyenda</t>
        </is>
      </c>
      <c r="K1326" t="inlineStr">
        <is>
          <t>Caliza (hipótesis: siglas C*)</t>
        </is>
      </c>
      <c r="L1326" t="inlineStr">
        <is>
          <t>Sedimentario</t>
        </is>
      </c>
      <c r="M1326" t="n">
        <v>16</v>
      </c>
      <c r="N1326" t="inlineStr"/>
      <c r="O1326" t="inlineStr"/>
      <c r="P1326" t="n">
        <v>20.1</v>
      </c>
      <c r="Q1326" t="n">
        <v>5.844</v>
      </c>
    </row>
    <row r="1327">
      <c r="A1327" t="inlineStr">
        <is>
          <t>MR24</t>
        </is>
      </c>
      <c r="B1327" t="inlineStr">
        <is>
          <t>Merged_Table_Assay_lito</t>
        </is>
      </c>
      <c r="C1327" t="inlineStr">
        <is>
          <t>metros de sondaje; pct sobre metros</t>
        </is>
      </c>
      <c r="D1327" t="inlineStr">
        <is>
          <t>fase_plp_GM_FASES_LE2_Output</t>
        </is>
      </c>
      <c r="E1327" t="inlineStr">
        <is>
          <t>13A</t>
        </is>
      </c>
      <c r="F1327" t="inlineStr">
        <is>
          <t>ROCKCODE</t>
        </is>
      </c>
      <c r="G1327" t="inlineStr">
        <is>
          <t>HG</t>
        </is>
      </c>
      <c r="H1327" t="inlineStr">
        <is>
          <t>sin asignar</t>
        </is>
      </c>
      <c r="I1327" t="inlineStr">
        <is>
          <t>HG</t>
        </is>
      </c>
      <c r="J1327" t="inlineStr">
        <is>
          <t>ROCKCODE agrupado en ROCKCODE_NUMEQ=13; sigla sin leyenda</t>
        </is>
      </c>
      <c r="K1327" t="inlineStr">
        <is>
          <t>Hornfels (hipótesis: siglas H*)</t>
        </is>
      </c>
      <c r="L1327" t="inlineStr">
        <is>
          <t>Metamorfico</t>
        </is>
      </c>
      <c r="M1327" t="n">
        <v>58</v>
      </c>
      <c r="N1327" t="inlineStr"/>
      <c r="O1327" t="inlineStr"/>
      <c r="P1327" t="n">
        <v>48.2</v>
      </c>
      <c r="Q1327" t="n">
        <v>14.014</v>
      </c>
    </row>
    <row r="1328">
      <c r="A1328" t="inlineStr">
        <is>
          <t>MR24</t>
        </is>
      </c>
      <c r="B1328" t="inlineStr">
        <is>
          <t>Merged_Table_Assay_lito</t>
        </is>
      </c>
      <c r="C1328" t="inlineStr">
        <is>
          <t>metros de sondaje; pct sobre metros</t>
        </is>
      </c>
      <c r="D1328" t="inlineStr">
        <is>
          <t>fase_plp_GM_FASES_LE2_Output</t>
        </is>
      </c>
      <c r="E1328" t="inlineStr">
        <is>
          <t>13A</t>
        </is>
      </c>
      <c r="F1328" t="inlineStr">
        <is>
          <t>ROCKCODE</t>
        </is>
      </c>
      <c r="G1328" t="inlineStr">
        <is>
          <t>HGS</t>
        </is>
      </c>
      <c r="H1328" t="inlineStr">
        <is>
          <t>sin asignar</t>
        </is>
      </c>
      <c r="I1328" t="inlineStr">
        <is>
          <t>HGS</t>
        </is>
      </c>
      <c r="J1328" t="inlineStr">
        <is>
          <t>ROCKCODE agrupado en ROCKCODE_NUMEQ=13; sigla sin leyenda</t>
        </is>
      </c>
      <c r="K1328" t="inlineStr">
        <is>
          <t>Hornfels (hipótesis: siglas H*)</t>
        </is>
      </c>
      <c r="L1328" t="inlineStr">
        <is>
          <t>Metamorfico</t>
        </is>
      </c>
      <c r="M1328" t="n">
        <v>3</v>
      </c>
      <c r="N1328" t="inlineStr"/>
      <c r="O1328" t="inlineStr"/>
      <c r="P1328" t="n">
        <v>8.6</v>
      </c>
      <c r="Q1328" t="n">
        <v>2.5</v>
      </c>
    </row>
    <row r="1329">
      <c r="A1329" t="inlineStr">
        <is>
          <t>MR24</t>
        </is>
      </c>
      <c r="B1329" t="inlineStr">
        <is>
          <t>Merged_Table_Assay_lito</t>
        </is>
      </c>
      <c r="C1329" t="inlineStr">
        <is>
          <t>metros de sondaje; pct sobre metros</t>
        </is>
      </c>
      <c r="D1329" t="inlineStr">
        <is>
          <t>fase_plp_GM_FASES_LE2_Output</t>
        </is>
      </c>
      <c r="E1329" t="inlineStr">
        <is>
          <t>13A</t>
        </is>
      </c>
      <c r="F1329" t="inlineStr">
        <is>
          <t>ROCKCODE</t>
        </is>
      </c>
      <c r="G1329" t="inlineStr">
        <is>
          <t>HGV</t>
        </is>
      </c>
      <c r="H1329" t="inlineStr">
        <is>
          <t>sin asignar</t>
        </is>
      </c>
      <c r="I1329" t="inlineStr">
        <is>
          <t>HGV</t>
        </is>
      </c>
      <c r="J1329" t="inlineStr">
        <is>
          <t>ROCKCODE agrupado en ROCKCODE_NUMEQ=14; sigla sin leyenda</t>
        </is>
      </c>
      <c r="K1329" t="inlineStr">
        <is>
          <t>Hornfels (hipótesis: siglas H*)</t>
        </is>
      </c>
      <c r="L1329" t="inlineStr">
        <is>
          <t>Metamorfico</t>
        </is>
      </c>
      <c r="M1329" t="n">
        <v>15</v>
      </c>
      <c r="N1329" t="inlineStr"/>
      <c r="O1329" t="inlineStr"/>
      <c r="P1329" t="n">
        <v>10.85</v>
      </c>
      <c r="Q1329" t="n">
        <v>3.155</v>
      </c>
    </row>
    <row r="1330">
      <c r="A1330" t="inlineStr">
        <is>
          <t>MR24</t>
        </is>
      </c>
      <c r="B1330" t="inlineStr">
        <is>
          <t>Merged_Table_Assay_lito</t>
        </is>
      </c>
      <c r="C1330" t="inlineStr">
        <is>
          <t>metros de sondaje; pct sobre metros</t>
        </is>
      </c>
      <c r="D1330" t="inlineStr">
        <is>
          <t>fase_plp_GM_FASES_LE2_Output</t>
        </is>
      </c>
      <c r="E1330" t="inlineStr">
        <is>
          <t>13B1</t>
        </is>
      </c>
      <c r="F1330" t="inlineStr">
        <is>
          <t>ROCKCODE</t>
        </is>
      </c>
      <c r="G1330" t="inlineStr">
        <is>
          <t>CA</t>
        </is>
      </c>
      <c r="H1330" t="inlineStr">
        <is>
          <t>sin asignar</t>
        </is>
      </c>
      <c r="I1330" t="inlineStr">
        <is>
          <t>CA</t>
        </is>
      </c>
      <c r="J1330" t="inlineStr">
        <is>
          <t>ROCKCODE agrupado en ROCKCODE_NUMEQ=10; sigla sin leyenda</t>
        </is>
      </c>
      <c r="K1330" t="inlineStr">
        <is>
          <t>Caliza (hipótesis: siglas C*)</t>
        </is>
      </c>
      <c r="L1330" t="inlineStr">
        <is>
          <t>Sedimentario</t>
        </is>
      </c>
      <c r="M1330" t="n">
        <v>17</v>
      </c>
      <c r="N1330" t="inlineStr"/>
      <c r="O1330" t="inlineStr"/>
      <c r="P1330" t="n">
        <v>15</v>
      </c>
      <c r="Q1330" t="n">
        <v>76.53100000000001</v>
      </c>
    </row>
    <row r="1331">
      <c r="A1331" t="inlineStr">
        <is>
          <t>MR24</t>
        </is>
      </c>
      <c r="B1331" t="inlineStr">
        <is>
          <t>Merged_Table_Assay_lito</t>
        </is>
      </c>
      <c r="C1331" t="inlineStr">
        <is>
          <t>metros de sondaje; pct sobre metros</t>
        </is>
      </c>
      <c r="D1331" t="inlineStr">
        <is>
          <t>fase_plp_GM_FASES_LE2_Output</t>
        </is>
      </c>
      <c r="E1331" t="inlineStr">
        <is>
          <t>13B1</t>
        </is>
      </c>
      <c r="F1331" t="inlineStr">
        <is>
          <t>ROCKCODE</t>
        </is>
      </c>
      <c r="G1331" t="inlineStr">
        <is>
          <t>CN</t>
        </is>
      </c>
      <c r="H1331" t="inlineStr">
        <is>
          <t>sin asignar</t>
        </is>
      </c>
      <c r="I1331" t="inlineStr">
        <is>
          <t>CN</t>
        </is>
      </c>
      <c r="J1331" t="inlineStr">
        <is>
          <t>ROCKCODE agrupado en ROCKCODE_NUMEQ=10; sigla sin leyenda</t>
        </is>
      </c>
      <c r="K1331" t="inlineStr">
        <is>
          <t>Caliza (hipótesis: siglas C*)</t>
        </is>
      </c>
      <c r="L1331" t="inlineStr">
        <is>
          <t>Sedimentario</t>
        </is>
      </c>
      <c r="M1331" t="n">
        <v>7</v>
      </c>
      <c r="N1331" t="inlineStr"/>
      <c r="O1331" t="inlineStr"/>
      <c r="P1331" t="n">
        <v>4.6</v>
      </c>
      <c r="Q1331" t="n">
        <v>23.469</v>
      </c>
    </row>
    <row r="1332">
      <c r="A1332" t="inlineStr">
        <is>
          <t>MR24</t>
        </is>
      </c>
      <c r="B1332" t="inlineStr">
        <is>
          <t>Merged_Table_Assay_lito</t>
        </is>
      </c>
      <c r="C1332" t="inlineStr">
        <is>
          <t>metros de sondaje; pct sobre metros</t>
        </is>
      </c>
      <c r="D1332" t="inlineStr">
        <is>
          <t>fase_plp_GM_FASES_LE2_Output</t>
        </is>
      </c>
      <c r="E1332" t="inlineStr">
        <is>
          <t>13B2</t>
        </is>
      </c>
      <c r="F1332" t="inlineStr">
        <is>
          <t>ROCKCODE</t>
        </is>
      </c>
      <c r="G1332" t="inlineStr">
        <is>
          <t>CA</t>
        </is>
      </c>
      <c r="H1332" t="inlineStr">
        <is>
          <t>sin asignar</t>
        </is>
      </c>
      <c r="I1332" t="inlineStr">
        <is>
          <t>CA</t>
        </is>
      </c>
      <c r="J1332" t="inlineStr">
        <is>
          <t>ROCKCODE agrupado en ROCKCODE_NUMEQ=10; sigla sin leyenda</t>
        </is>
      </c>
      <c r="K1332" t="inlineStr">
        <is>
          <t>Caliza (hipótesis: siglas C*)</t>
        </is>
      </c>
      <c r="L1332" t="inlineStr">
        <is>
          <t>Sedimentario</t>
        </is>
      </c>
      <c r="M1332" t="n">
        <v>156</v>
      </c>
      <c r="N1332" t="inlineStr"/>
      <c r="O1332" t="inlineStr"/>
      <c r="P1332" t="n">
        <v>138.75</v>
      </c>
      <c r="Q1332" t="n">
        <v>12.479</v>
      </c>
    </row>
    <row r="1333">
      <c r="A1333" t="inlineStr">
        <is>
          <t>MR24</t>
        </is>
      </c>
      <c r="B1333" t="inlineStr">
        <is>
          <t>Merged_Table_Assay_lito</t>
        </is>
      </c>
      <c r="C1333" t="inlineStr">
        <is>
          <t>metros de sondaje; pct sobre metros</t>
        </is>
      </c>
      <c r="D1333" t="inlineStr">
        <is>
          <t>fase_plp_GM_FASES_LE2_Output</t>
        </is>
      </c>
      <c r="E1333" t="inlineStr">
        <is>
          <t>13B2</t>
        </is>
      </c>
      <c r="F1333" t="inlineStr">
        <is>
          <t>ROCKCODE</t>
        </is>
      </c>
      <c r="G1333" t="inlineStr">
        <is>
          <t>CG</t>
        </is>
      </c>
      <c r="H1333" t="inlineStr">
        <is>
          <t>sin asignar</t>
        </is>
      </c>
      <c r="I1333" t="inlineStr">
        <is>
          <t>CG</t>
        </is>
      </c>
      <c r="J1333" t="inlineStr">
        <is>
          <t>ROCKCODE agrupado en ROCKCODE_NUMEQ=10; sigla sin leyenda</t>
        </is>
      </c>
      <c r="K1333" t="inlineStr">
        <is>
          <t>Caliza (hipótesis: siglas C*)</t>
        </is>
      </c>
      <c r="L1333" t="inlineStr">
        <is>
          <t>Sedimentario</t>
        </is>
      </c>
      <c r="M1333" t="n">
        <v>328</v>
      </c>
      <c r="N1333" t="inlineStr"/>
      <c r="O1333" t="inlineStr"/>
      <c r="P1333" t="n">
        <v>308.1</v>
      </c>
      <c r="Q1333" t="n">
        <v>27.709</v>
      </c>
    </row>
    <row r="1334">
      <c r="A1334" t="inlineStr">
        <is>
          <t>MR24</t>
        </is>
      </c>
      <c r="B1334" t="inlineStr">
        <is>
          <t>Merged_Table_Assay_lito</t>
        </is>
      </c>
      <c r="C1334" t="inlineStr">
        <is>
          <t>metros de sondaje; pct sobre metros</t>
        </is>
      </c>
      <c r="D1334" t="inlineStr">
        <is>
          <t>fase_plp_GM_FASES_LE2_Output</t>
        </is>
      </c>
      <c r="E1334" t="inlineStr">
        <is>
          <t>13B2</t>
        </is>
      </c>
      <c r="F1334" t="inlineStr">
        <is>
          <t>ROCKCODE</t>
        </is>
      </c>
      <c r="G1334" t="inlineStr">
        <is>
          <t>CGS</t>
        </is>
      </c>
      <c r="H1334" t="inlineStr">
        <is>
          <t>sin asignar</t>
        </is>
      </c>
      <c r="I1334" t="inlineStr">
        <is>
          <t>CGS</t>
        </is>
      </c>
      <c r="J1334" t="inlineStr">
        <is>
          <t>ROCKCODE agrupado en ROCKCODE_NUMEQ=10; sigla sin leyenda</t>
        </is>
      </c>
      <c r="K1334" t="inlineStr">
        <is>
          <t>Caliza (hipótesis: siglas C*)</t>
        </is>
      </c>
      <c r="L1334" t="inlineStr">
        <is>
          <t>Sedimentario</t>
        </is>
      </c>
      <c r="M1334" t="n">
        <v>219</v>
      </c>
      <c r="N1334" t="inlineStr"/>
      <c r="O1334" t="inlineStr"/>
      <c r="P1334" t="n">
        <v>180.8</v>
      </c>
      <c r="Q1334" t="n">
        <v>16.26</v>
      </c>
    </row>
    <row r="1335">
      <c r="A1335" t="inlineStr">
        <is>
          <t>MR24</t>
        </is>
      </c>
      <c r="B1335" t="inlineStr">
        <is>
          <t>Merged_Table_Assay_lito</t>
        </is>
      </c>
      <c r="C1335" t="inlineStr">
        <is>
          <t>metros de sondaje; pct sobre metros</t>
        </is>
      </c>
      <c r="D1335" t="inlineStr">
        <is>
          <t>fase_plp_GM_FASES_LE2_Output</t>
        </is>
      </c>
      <c r="E1335" t="inlineStr">
        <is>
          <t>13B2</t>
        </is>
      </c>
      <c r="F1335" t="inlineStr">
        <is>
          <t>ROCKCODE</t>
        </is>
      </c>
      <c r="G1335" t="inlineStr">
        <is>
          <t>HC</t>
        </is>
      </c>
      <c r="H1335" t="inlineStr">
        <is>
          <t>sin asignar</t>
        </is>
      </c>
      <c r="I1335" t="inlineStr">
        <is>
          <t>HC</t>
        </is>
      </c>
      <c r="J1335" t="inlineStr">
        <is>
          <t>ROCKCODE agrupado en ROCKCODE_NUMEQ=13; sigla sin leyenda</t>
        </is>
      </c>
      <c r="K1335" t="inlineStr">
        <is>
          <t>Hornfels (hipótesis: siglas H*)</t>
        </is>
      </c>
      <c r="L1335" t="inlineStr">
        <is>
          <t>Metamorfico</t>
        </is>
      </c>
      <c r="M1335" t="n">
        <v>42</v>
      </c>
      <c r="N1335" t="inlineStr"/>
      <c r="O1335" t="inlineStr"/>
      <c r="P1335" t="n">
        <v>25.3</v>
      </c>
      <c r="Q1335" t="n">
        <v>2.275</v>
      </c>
    </row>
    <row r="1336">
      <c r="A1336" t="inlineStr">
        <is>
          <t>MR24</t>
        </is>
      </c>
      <c r="B1336" t="inlineStr">
        <is>
          <t>Merged_Table_Assay_lito</t>
        </is>
      </c>
      <c r="C1336" t="inlineStr">
        <is>
          <t>metros de sondaje; pct sobre metros</t>
        </is>
      </c>
      <c r="D1336" t="inlineStr">
        <is>
          <t>fase_plp_GM_FASES_LE2_Output</t>
        </is>
      </c>
      <c r="E1336" t="inlineStr">
        <is>
          <t>13B2</t>
        </is>
      </c>
      <c r="F1336" t="inlineStr">
        <is>
          <t>ROCKCODE</t>
        </is>
      </c>
      <c r="G1336" t="inlineStr">
        <is>
          <t>HCB</t>
        </is>
      </c>
      <c r="H1336" t="inlineStr">
        <is>
          <t>sin asignar</t>
        </is>
      </c>
      <c r="I1336" t="inlineStr">
        <is>
          <t>HCB</t>
        </is>
      </c>
      <c r="J1336" t="inlineStr">
        <is>
          <t>ROCKCODE agrupado en ROCKCODE_NUMEQ=14; sigla sin leyenda</t>
        </is>
      </c>
      <c r="K1336" t="inlineStr">
        <is>
          <t>Hornfels (hipótesis: siglas H*)</t>
        </is>
      </c>
      <c r="L1336" t="inlineStr">
        <is>
          <t>Metamorfico</t>
        </is>
      </c>
      <c r="M1336" t="n">
        <v>8</v>
      </c>
      <c r="N1336" t="inlineStr"/>
      <c r="O1336" t="inlineStr"/>
      <c r="P1336" t="n">
        <v>4.85</v>
      </c>
      <c r="Q1336" t="n">
        <v>0.436</v>
      </c>
    </row>
    <row r="1337">
      <c r="A1337" t="inlineStr">
        <is>
          <t>MR24</t>
        </is>
      </c>
      <c r="B1337" t="inlineStr">
        <is>
          <t>Merged_Table_Assay_lito</t>
        </is>
      </c>
      <c r="C1337" t="inlineStr">
        <is>
          <t>metros de sondaje; pct sobre metros</t>
        </is>
      </c>
      <c r="D1337" t="inlineStr">
        <is>
          <t>fase_plp_GM_FASES_LE2_Output</t>
        </is>
      </c>
      <c r="E1337" t="inlineStr">
        <is>
          <t>13B2</t>
        </is>
      </c>
      <c r="F1337" t="inlineStr">
        <is>
          <t>ROCKCODE</t>
        </is>
      </c>
      <c r="G1337" t="inlineStr">
        <is>
          <t>HG</t>
        </is>
      </c>
      <c r="H1337" t="inlineStr">
        <is>
          <t>sin asignar</t>
        </is>
      </c>
      <c r="I1337" t="inlineStr">
        <is>
          <t>HG</t>
        </is>
      </c>
      <c r="J1337" t="inlineStr">
        <is>
          <t>ROCKCODE agrupado en ROCKCODE_NUMEQ=13; sigla sin leyenda</t>
        </is>
      </c>
      <c r="K1337" t="inlineStr">
        <is>
          <t>Hornfels (hipótesis: siglas H*)</t>
        </is>
      </c>
      <c r="L1337" t="inlineStr">
        <is>
          <t>Metamorfico</t>
        </is>
      </c>
      <c r="M1337" t="n">
        <v>240</v>
      </c>
      <c r="N1337" t="inlineStr"/>
      <c r="O1337" t="inlineStr"/>
      <c r="P1337" t="n">
        <v>236.1</v>
      </c>
      <c r="Q1337" t="n">
        <v>21.234</v>
      </c>
    </row>
    <row r="1338">
      <c r="A1338" t="inlineStr">
        <is>
          <t>MR24</t>
        </is>
      </c>
      <c r="B1338" t="inlineStr">
        <is>
          <t>Merged_Table_Assay_lito</t>
        </is>
      </c>
      <c r="C1338" t="inlineStr">
        <is>
          <t>metros de sondaje; pct sobre metros</t>
        </is>
      </c>
      <c r="D1338" t="inlineStr">
        <is>
          <t>fase_plp_GM_FASES_LE2_Output</t>
        </is>
      </c>
      <c r="E1338" t="inlineStr">
        <is>
          <t>13B2</t>
        </is>
      </c>
      <c r="F1338" t="inlineStr">
        <is>
          <t>ROCKCODE</t>
        </is>
      </c>
      <c r="G1338" t="inlineStr">
        <is>
          <t>HGS</t>
        </is>
      </c>
      <c r="H1338" t="inlineStr">
        <is>
          <t>sin asignar</t>
        </is>
      </c>
      <c r="I1338" t="inlineStr">
        <is>
          <t>HGS</t>
        </is>
      </c>
      <c r="J1338" t="inlineStr">
        <is>
          <t>ROCKCODE agrupado en ROCKCODE_NUMEQ=13; sigla sin leyenda</t>
        </is>
      </c>
      <c r="K1338" t="inlineStr">
        <is>
          <t>Hornfels (hipótesis: siglas H*)</t>
        </is>
      </c>
      <c r="L1338" t="inlineStr">
        <is>
          <t>Metamorfico</t>
        </is>
      </c>
      <c r="M1338" t="n">
        <v>77</v>
      </c>
      <c r="N1338" t="inlineStr"/>
      <c r="O1338" t="inlineStr"/>
      <c r="P1338" t="n">
        <v>68.84999999999999</v>
      </c>
      <c r="Q1338" t="n">
        <v>6.192</v>
      </c>
    </row>
    <row r="1339">
      <c r="A1339" t="inlineStr">
        <is>
          <t>MR24</t>
        </is>
      </c>
      <c r="B1339" t="inlineStr">
        <is>
          <t>Merged_Table_Assay_lito</t>
        </is>
      </c>
      <c r="C1339" t="inlineStr">
        <is>
          <t>metros de sondaje; pct sobre metros</t>
        </is>
      </c>
      <c r="D1339" t="inlineStr">
        <is>
          <t>fase_plp_GM_FASES_LE2_Output</t>
        </is>
      </c>
      <c r="E1339" t="inlineStr">
        <is>
          <t>13B2</t>
        </is>
      </c>
      <c r="F1339" t="inlineStr">
        <is>
          <t>ROCKCODE</t>
        </is>
      </c>
      <c r="G1339" t="inlineStr">
        <is>
          <t>HGV</t>
        </is>
      </c>
      <c r="H1339" t="inlineStr">
        <is>
          <t>sin asignar</t>
        </is>
      </c>
      <c r="I1339" t="inlineStr">
        <is>
          <t>HGV</t>
        </is>
      </c>
      <c r="J1339" t="inlineStr">
        <is>
          <t>ROCKCODE agrupado en ROCKCODE_NUMEQ=14; sigla sin leyenda</t>
        </is>
      </c>
      <c r="K1339" t="inlineStr">
        <is>
          <t>Hornfels (hipótesis: siglas H*)</t>
        </is>
      </c>
      <c r="L1339" t="inlineStr">
        <is>
          <t>Metamorfico</t>
        </is>
      </c>
      <c r="M1339" t="n">
        <v>2</v>
      </c>
      <c r="N1339" t="inlineStr"/>
      <c r="O1339" t="inlineStr"/>
      <c r="P1339" t="n">
        <v>1.9</v>
      </c>
      <c r="Q1339" t="n">
        <v>0.171</v>
      </c>
    </row>
    <row r="1340">
      <c r="A1340" t="inlineStr">
        <is>
          <t>MR24</t>
        </is>
      </c>
      <c r="B1340" t="inlineStr">
        <is>
          <t>Merged_Table_Assay_lito</t>
        </is>
      </c>
      <c r="C1340" t="inlineStr">
        <is>
          <t>metros de sondaje; pct sobre metros</t>
        </is>
      </c>
      <c r="D1340" t="inlineStr">
        <is>
          <t>fase_plp_GM_FASES_LE2_Output</t>
        </is>
      </c>
      <c r="E1340" t="inlineStr">
        <is>
          <t>13B2</t>
        </is>
      </c>
      <c r="F1340" t="inlineStr">
        <is>
          <t>ROCKCODE</t>
        </is>
      </c>
      <c r="G1340" t="inlineStr">
        <is>
          <t>IPPEO</t>
        </is>
      </c>
      <c r="H1340" t="inlineStr">
        <is>
          <t>Intrusivo</t>
        </is>
      </c>
      <c r="I1340" t="inlineStr">
        <is>
          <t>IPPEO</t>
        </is>
      </c>
      <c r="J1340" t="inlineStr">
        <is>
          <t>ROCKCODE agrupado en ROCKCODE_NUMEQ=1 (Intrusivo_1)</t>
        </is>
      </c>
      <c r="K1340" t="inlineStr">
        <is>
          <t>Intrusivo</t>
        </is>
      </c>
      <c r="L1340" t="inlineStr">
        <is>
          <t>Intrusivo</t>
        </is>
      </c>
      <c r="M1340" t="n">
        <v>1</v>
      </c>
      <c r="N1340" t="inlineStr"/>
      <c r="O1340" t="inlineStr"/>
      <c r="P1340" t="n">
        <v>2.9</v>
      </c>
      <c r="Q1340" t="n">
        <v>0.261</v>
      </c>
    </row>
    <row r="1341">
      <c r="A1341" t="inlineStr">
        <is>
          <t>MR24</t>
        </is>
      </c>
      <c r="B1341" t="inlineStr">
        <is>
          <t>Merged_Table_Assay_lito</t>
        </is>
      </c>
      <c r="C1341" t="inlineStr">
        <is>
          <t>metros de sondaje; pct sobre metros</t>
        </is>
      </c>
      <c r="D1341" t="inlineStr">
        <is>
          <t>fase_plp_GM_FASES_LE2_Output</t>
        </is>
      </c>
      <c r="E1341" t="inlineStr">
        <is>
          <t>13B2</t>
        </is>
      </c>
      <c r="F1341" t="inlineStr">
        <is>
          <t>ROCKCODE</t>
        </is>
      </c>
      <c r="G1341" t="inlineStr">
        <is>
          <t>MG</t>
        </is>
      </c>
      <c r="H1341" t="inlineStr">
        <is>
          <t>sin asignar</t>
        </is>
      </c>
      <c r="I1341" t="inlineStr">
        <is>
          <t>MG</t>
        </is>
      </c>
      <c r="J1341" t="inlineStr">
        <is>
          <t>ROCKCODE agrupado en ROCKCODE_NUMEQ=16; sigla sin leyenda</t>
        </is>
      </c>
      <c r="K1341" t="inlineStr">
        <is>
          <t>Mármol (hipótesis: siglas M*)</t>
        </is>
      </c>
      <c r="L1341" t="inlineStr">
        <is>
          <t>Metamorfico</t>
        </is>
      </c>
      <c r="M1341" t="n">
        <v>49</v>
      </c>
      <c r="N1341" t="inlineStr"/>
      <c r="O1341" t="inlineStr"/>
      <c r="P1341" t="n">
        <v>107.7</v>
      </c>
      <c r="Q1341" t="n">
        <v>9.686</v>
      </c>
    </row>
    <row r="1342">
      <c r="A1342" t="inlineStr">
        <is>
          <t>MR24</t>
        </is>
      </c>
      <c r="B1342" t="inlineStr">
        <is>
          <t>Merged_Table_Assay_lito</t>
        </is>
      </c>
      <c r="C1342" t="inlineStr">
        <is>
          <t>metros de sondaje; pct sobre metros</t>
        </is>
      </c>
      <c r="D1342" t="inlineStr">
        <is>
          <t>fase_plp_GM_FASES_LE2_Output</t>
        </is>
      </c>
      <c r="E1342" t="inlineStr">
        <is>
          <t>13B2</t>
        </is>
      </c>
      <c r="F1342" t="inlineStr">
        <is>
          <t>ROCKCODE</t>
        </is>
      </c>
      <c r="G1342" t="inlineStr">
        <is>
          <t>MGS</t>
        </is>
      </c>
      <c r="H1342" t="inlineStr">
        <is>
          <t>sin asignar</t>
        </is>
      </c>
      <c r="I1342" t="inlineStr">
        <is>
          <t>MGS</t>
        </is>
      </c>
      <c r="J1342" t="inlineStr">
        <is>
          <t>ROCKCODE agrupado en ROCKCODE_NUMEQ=16; sigla sin leyenda</t>
        </is>
      </c>
      <c r="K1342" t="inlineStr">
        <is>
          <t>Mármol (hipótesis: siglas M*)</t>
        </is>
      </c>
      <c r="L1342" t="inlineStr">
        <is>
          <t>Metamorfico</t>
        </is>
      </c>
      <c r="M1342" t="n">
        <v>13</v>
      </c>
      <c r="N1342" t="inlineStr"/>
      <c r="O1342" t="inlineStr"/>
      <c r="P1342" t="n">
        <v>26.4</v>
      </c>
      <c r="Q1342" t="n">
        <v>2.374</v>
      </c>
    </row>
    <row r="1343">
      <c r="A1343" t="inlineStr">
        <is>
          <t>MR24</t>
        </is>
      </c>
      <c r="B1343" t="inlineStr">
        <is>
          <t>Merged_Table_Assay_lito</t>
        </is>
      </c>
      <c r="C1343" t="inlineStr">
        <is>
          <t>metros de sondaje; pct sobre metros</t>
        </is>
      </c>
      <c r="D1343" t="inlineStr">
        <is>
          <t>fase_plp_GM_FASES_LE2_Output</t>
        </is>
      </c>
      <c r="E1343" t="inlineStr">
        <is>
          <t>13B2</t>
        </is>
      </c>
      <c r="F1343" t="inlineStr">
        <is>
          <t>ROCKCODE</t>
        </is>
      </c>
      <c r="G1343" t="inlineStr">
        <is>
          <t>MPA</t>
        </is>
      </c>
      <c r="H1343" t="inlineStr">
        <is>
          <t>sin asignar</t>
        </is>
      </c>
      <c r="I1343" t="inlineStr">
        <is>
          <t>MPA</t>
        </is>
      </c>
      <c r="J1343" t="inlineStr">
        <is>
          <t>ROCKCODE agrupado en ROCKCODE_NUMEQ=16; sigla sin leyenda</t>
        </is>
      </c>
      <c r="K1343" t="inlineStr">
        <is>
          <t>Mármol (hipótesis: siglas M*)</t>
        </is>
      </c>
      <c r="L1343" t="inlineStr">
        <is>
          <t>Metamorfico</t>
        </is>
      </c>
      <c r="M1343" t="n">
        <v>9</v>
      </c>
      <c r="N1343" t="inlineStr"/>
      <c r="O1343" t="inlineStr"/>
      <c r="P1343" t="n">
        <v>10.25</v>
      </c>
      <c r="Q1343" t="n">
        <v>0.922</v>
      </c>
    </row>
    <row r="1344">
      <c r="A1344" t="inlineStr">
        <is>
          <t>MR24</t>
        </is>
      </c>
      <c r="B1344" t="inlineStr">
        <is>
          <t>Merged_Table_Assay_lito</t>
        </is>
      </c>
      <c r="C1344" t="inlineStr">
        <is>
          <t>metros de sondaje; pct sobre metros</t>
        </is>
      </c>
      <c r="D1344" t="inlineStr">
        <is>
          <t>fase_plp_GM_FASES_LE2_Output</t>
        </is>
      </c>
      <c r="E1344" t="inlineStr">
        <is>
          <t>13C</t>
        </is>
      </c>
      <c r="F1344" t="inlineStr">
        <is>
          <t>ROCKCODE</t>
        </is>
      </c>
      <c r="G1344" t="inlineStr">
        <is>
          <t>C</t>
        </is>
      </c>
      <c r="H1344" t="inlineStr">
        <is>
          <t>sin asignar</t>
        </is>
      </c>
      <c r="I1344" t="inlineStr">
        <is>
          <t>C</t>
        </is>
      </c>
      <c r="J1344" t="inlineStr">
        <is>
          <t>ROCKCODE agrupado en ROCKCODE_NUMEQ=10; sigla sin leyenda</t>
        </is>
      </c>
      <c r="K1344" t="inlineStr">
        <is>
          <t>Caliza (hipótesis: siglas C*)</t>
        </is>
      </c>
      <c r="L1344" t="inlineStr">
        <is>
          <t>Sedimentario</t>
        </is>
      </c>
      <c r="M1344" t="n">
        <v>2</v>
      </c>
      <c r="N1344" t="inlineStr"/>
      <c r="O1344" t="inlineStr"/>
      <c r="P1344" t="n">
        <v>4</v>
      </c>
      <c r="Q1344" t="n">
        <v>0.026</v>
      </c>
    </row>
    <row r="1345">
      <c r="A1345" t="inlineStr">
        <is>
          <t>MR24</t>
        </is>
      </c>
      <c r="B1345" t="inlineStr">
        <is>
          <t>Merged_Table_Assay_lito</t>
        </is>
      </c>
      <c r="C1345" t="inlineStr">
        <is>
          <t>metros de sondaje; pct sobre metros</t>
        </is>
      </c>
      <c r="D1345" t="inlineStr">
        <is>
          <t>fase_plp_GM_FASES_LE2_Output</t>
        </is>
      </c>
      <c r="E1345" t="inlineStr">
        <is>
          <t>13C</t>
        </is>
      </c>
      <c r="F1345" t="inlineStr">
        <is>
          <t>ROCKCODE</t>
        </is>
      </c>
      <c r="G1345" t="inlineStr">
        <is>
          <t>CA</t>
        </is>
      </c>
      <c r="H1345" t="inlineStr">
        <is>
          <t>sin asignar</t>
        </is>
      </c>
      <c r="I1345" t="inlineStr">
        <is>
          <t>CA</t>
        </is>
      </c>
      <c r="J1345" t="inlineStr">
        <is>
          <t>ROCKCODE agrupado en ROCKCODE_NUMEQ=10; sigla sin leyenda</t>
        </is>
      </c>
      <c r="K1345" t="inlineStr">
        <is>
          <t>Caliza (hipótesis: siglas C*)</t>
        </is>
      </c>
      <c r="L1345" t="inlineStr">
        <is>
          <t>Sedimentario</t>
        </is>
      </c>
      <c r="M1345" t="n">
        <v>6</v>
      </c>
      <c r="N1345" t="inlineStr"/>
      <c r="O1345" t="inlineStr"/>
      <c r="P1345" t="n">
        <v>5.65</v>
      </c>
      <c r="Q1345" t="n">
        <v>0.036</v>
      </c>
    </row>
    <row r="1346">
      <c r="A1346" t="inlineStr">
        <is>
          <t>MR24</t>
        </is>
      </c>
      <c r="B1346" t="inlineStr">
        <is>
          <t>Merged_Table_Assay_lito</t>
        </is>
      </c>
      <c r="C1346" t="inlineStr">
        <is>
          <t>metros de sondaje; pct sobre metros</t>
        </is>
      </c>
      <c r="D1346" t="inlineStr">
        <is>
          <t>fase_plp_GM_FASES_LE2_Output</t>
        </is>
      </c>
      <c r="E1346" t="inlineStr">
        <is>
          <t>13C</t>
        </is>
      </c>
      <c r="F1346" t="inlineStr">
        <is>
          <t>ROCKCODE</t>
        </is>
      </c>
      <c r="G1346" t="inlineStr">
        <is>
          <t>CF</t>
        </is>
      </c>
      <c r="H1346" t="inlineStr">
        <is>
          <t>sin asignar</t>
        </is>
      </c>
      <c r="I1346" t="inlineStr">
        <is>
          <t>CF</t>
        </is>
      </c>
      <c r="J1346" t="inlineStr">
        <is>
          <t>ROCKCODE agrupado en ROCKCODE_NUMEQ=10; sigla sin leyenda</t>
        </is>
      </c>
      <c r="K1346" t="inlineStr">
        <is>
          <t>Caliza (hipótesis: siglas C*)</t>
        </is>
      </c>
      <c r="L1346" t="inlineStr">
        <is>
          <t>Sedimentario</t>
        </is>
      </c>
      <c r="M1346" t="n">
        <v>10</v>
      </c>
      <c r="N1346" t="inlineStr"/>
      <c r="O1346" t="inlineStr"/>
      <c r="P1346" t="n">
        <v>5.75</v>
      </c>
      <c r="Q1346" t="n">
        <v>0.037</v>
      </c>
    </row>
    <row r="1347">
      <c r="A1347" t="inlineStr">
        <is>
          <t>MR24</t>
        </is>
      </c>
      <c r="B1347" t="inlineStr">
        <is>
          <t>Merged_Table_Assay_lito</t>
        </is>
      </c>
      <c r="C1347" t="inlineStr">
        <is>
          <t>metros de sondaje; pct sobre metros</t>
        </is>
      </c>
      <c r="D1347" t="inlineStr">
        <is>
          <t>fase_plp_GM_FASES_LE2_Output</t>
        </is>
      </c>
      <c r="E1347" t="inlineStr">
        <is>
          <t>13C</t>
        </is>
      </c>
      <c r="F1347" t="inlineStr">
        <is>
          <t>ROCKCODE</t>
        </is>
      </c>
      <c r="G1347" t="inlineStr">
        <is>
          <t>CG</t>
        </is>
      </c>
      <c r="H1347" t="inlineStr">
        <is>
          <t>sin asignar</t>
        </is>
      </c>
      <c r="I1347" t="inlineStr">
        <is>
          <t>CG</t>
        </is>
      </c>
      <c r="J1347" t="inlineStr">
        <is>
          <t>ROCKCODE agrupado en ROCKCODE_NUMEQ=10; sigla sin leyenda</t>
        </is>
      </c>
      <c r="K1347" t="inlineStr">
        <is>
          <t>Caliza (hipótesis: siglas C*)</t>
        </is>
      </c>
      <c r="L1347" t="inlineStr">
        <is>
          <t>Sedimentario</t>
        </is>
      </c>
      <c r="M1347" t="n">
        <v>535</v>
      </c>
      <c r="N1347" t="inlineStr"/>
      <c r="O1347" t="inlineStr"/>
      <c r="P1347" t="n">
        <v>563.15</v>
      </c>
      <c r="Q1347" t="n">
        <v>3.622</v>
      </c>
    </row>
    <row r="1348">
      <c r="A1348" t="inlineStr">
        <is>
          <t>MR24</t>
        </is>
      </c>
      <c r="B1348" t="inlineStr">
        <is>
          <t>Merged_Table_Assay_lito</t>
        </is>
      </c>
      <c r="C1348" t="inlineStr">
        <is>
          <t>metros de sondaje; pct sobre metros</t>
        </is>
      </c>
      <c r="D1348" t="inlineStr">
        <is>
          <t>fase_plp_GM_FASES_LE2_Output</t>
        </is>
      </c>
      <c r="E1348" t="inlineStr">
        <is>
          <t>13C</t>
        </is>
      </c>
      <c r="F1348" t="inlineStr">
        <is>
          <t>ROCKCODE</t>
        </is>
      </c>
      <c r="G1348" t="inlineStr">
        <is>
          <t>CGS</t>
        </is>
      </c>
      <c r="H1348" t="inlineStr">
        <is>
          <t>sin asignar</t>
        </is>
      </c>
      <c r="I1348" t="inlineStr">
        <is>
          <t>CGS</t>
        </is>
      </c>
      <c r="J1348" t="inlineStr">
        <is>
          <t>ROCKCODE agrupado en ROCKCODE_NUMEQ=10; sigla sin leyenda</t>
        </is>
      </c>
      <c r="K1348" t="inlineStr">
        <is>
          <t>Caliza (hipótesis: siglas C*)</t>
        </is>
      </c>
      <c r="L1348" t="inlineStr">
        <is>
          <t>Sedimentario</t>
        </is>
      </c>
      <c r="M1348" t="n">
        <v>502</v>
      </c>
      <c r="N1348" t="inlineStr"/>
      <c r="O1348" t="inlineStr"/>
      <c r="P1348" t="n">
        <v>468.15</v>
      </c>
      <c r="Q1348" t="n">
        <v>3.011</v>
      </c>
    </row>
    <row r="1349">
      <c r="A1349" t="inlineStr">
        <is>
          <t>MR24</t>
        </is>
      </c>
      <c r="B1349" t="inlineStr">
        <is>
          <t>Merged_Table_Assay_lito</t>
        </is>
      </c>
      <c r="C1349" t="inlineStr">
        <is>
          <t>metros de sondaje; pct sobre metros</t>
        </is>
      </c>
      <c r="D1349" t="inlineStr">
        <is>
          <t>fase_plp_GM_FASES_LE2_Output</t>
        </is>
      </c>
      <c r="E1349" t="inlineStr">
        <is>
          <t>13C</t>
        </is>
      </c>
      <c r="F1349" t="inlineStr">
        <is>
          <t>ROCKCODE</t>
        </is>
      </c>
      <c r="G1349" t="inlineStr">
        <is>
          <t>CM</t>
        </is>
      </c>
      <c r="H1349" t="inlineStr">
        <is>
          <t>sin asignar</t>
        </is>
      </c>
      <c r="I1349" t="inlineStr">
        <is>
          <t>CM</t>
        </is>
      </c>
      <c r="J1349" t="inlineStr">
        <is>
          <t>ROCKCODE agrupado en ROCKCODE_NUMEQ=10; sigla sin leyenda</t>
        </is>
      </c>
      <c r="K1349" t="inlineStr">
        <is>
          <t>Caliza (hipótesis: siglas C*)</t>
        </is>
      </c>
      <c r="L1349" t="inlineStr">
        <is>
          <t>Sedimentario</t>
        </is>
      </c>
      <c r="M1349" t="n">
        <v>2</v>
      </c>
      <c r="N1349" t="inlineStr"/>
      <c r="O1349" t="inlineStr"/>
      <c r="P1349" t="n">
        <v>10</v>
      </c>
      <c r="Q1349" t="n">
        <v>0.064</v>
      </c>
    </row>
    <row r="1350">
      <c r="A1350" t="inlineStr">
        <is>
          <t>MR24</t>
        </is>
      </c>
      <c r="B1350" t="inlineStr">
        <is>
          <t>Merged_Table_Assay_lito</t>
        </is>
      </c>
      <c r="C1350" t="inlineStr">
        <is>
          <t>metros de sondaje; pct sobre metros</t>
        </is>
      </c>
      <c r="D1350" t="inlineStr">
        <is>
          <t>fase_plp_GM_FASES_LE2_Output</t>
        </is>
      </c>
      <c r="E1350" t="inlineStr">
        <is>
          <t>13C</t>
        </is>
      </c>
      <c r="F1350" t="inlineStr">
        <is>
          <t>ROCKCODE</t>
        </is>
      </c>
      <c r="G1350" t="inlineStr">
        <is>
          <t>CN</t>
        </is>
      </c>
      <c r="H1350" t="inlineStr">
        <is>
          <t>sin asignar</t>
        </is>
      </c>
      <c r="I1350" t="inlineStr">
        <is>
          <t>CN</t>
        </is>
      </c>
      <c r="J1350" t="inlineStr">
        <is>
          <t>ROCKCODE agrupado en ROCKCODE_NUMEQ=10; sigla sin leyenda</t>
        </is>
      </c>
      <c r="K1350" t="inlineStr">
        <is>
          <t>Caliza (hipótesis: siglas C*)</t>
        </is>
      </c>
      <c r="L1350" t="inlineStr">
        <is>
          <t>Sedimentario</t>
        </is>
      </c>
      <c r="M1350" t="n">
        <v>52</v>
      </c>
      <c r="N1350" t="inlineStr"/>
      <c r="O1350" t="inlineStr"/>
      <c r="P1350" t="n">
        <v>65.34999999999999</v>
      </c>
      <c r="Q1350" t="n">
        <v>0.42</v>
      </c>
    </row>
    <row r="1351">
      <c r="A1351" t="inlineStr">
        <is>
          <t>MR24</t>
        </is>
      </c>
      <c r="B1351" t="inlineStr">
        <is>
          <t>Merged_Table_Assay_lito</t>
        </is>
      </c>
      <c r="C1351" t="inlineStr">
        <is>
          <t>metros de sondaje; pct sobre metros</t>
        </is>
      </c>
      <c r="D1351" t="inlineStr">
        <is>
          <t>fase_plp_GM_FASES_LE2_Output</t>
        </is>
      </c>
      <c r="E1351" t="inlineStr">
        <is>
          <t>13C</t>
        </is>
      </c>
      <c r="F1351" t="inlineStr">
        <is>
          <t>ROCKCODE</t>
        </is>
      </c>
      <c r="G1351" t="inlineStr">
        <is>
          <t>HBV</t>
        </is>
      </c>
      <c r="H1351" t="inlineStr">
        <is>
          <t>sin asignar</t>
        </is>
      </c>
      <c r="I1351" t="inlineStr">
        <is>
          <t>HBV</t>
        </is>
      </c>
      <c r="J1351" t="inlineStr">
        <is>
          <t>ROCKCODE agrupado en ROCKCODE_NUMEQ=14; sigla sin leyenda</t>
        </is>
      </c>
      <c r="K1351" t="inlineStr">
        <is>
          <t>Hornfels (hipótesis: siglas H*)</t>
        </is>
      </c>
      <c r="L1351" t="inlineStr">
        <is>
          <t>Metamorfico</t>
        </is>
      </c>
      <c r="M1351" t="n">
        <v>304</v>
      </c>
      <c r="N1351" t="inlineStr"/>
      <c r="O1351" t="inlineStr"/>
      <c r="P1351" t="n">
        <v>240.6</v>
      </c>
      <c r="Q1351" t="n">
        <v>1.547</v>
      </c>
    </row>
    <row r="1352">
      <c r="A1352" t="inlineStr">
        <is>
          <t>MR24</t>
        </is>
      </c>
      <c r="B1352" t="inlineStr">
        <is>
          <t>Merged_Table_Assay_lito</t>
        </is>
      </c>
      <c r="C1352" t="inlineStr">
        <is>
          <t>metros de sondaje; pct sobre metros</t>
        </is>
      </c>
      <c r="D1352" t="inlineStr">
        <is>
          <t>fase_plp_GM_FASES_LE2_Output</t>
        </is>
      </c>
      <c r="E1352" t="inlineStr">
        <is>
          <t>13C</t>
        </is>
      </c>
      <c r="F1352" t="inlineStr">
        <is>
          <t>ROCKCODE</t>
        </is>
      </c>
      <c r="G1352" t="inlineStr">
        <is>
          <t>HC</t>
        </is>
      </c>
      <c r="H1352" t="inlineStr">
        <is>
          <t>sin asignar</t>
        </is>
      </c>
      <c r="I1352" t="inlineStr">
        <is>
          <t>HC</t>
        </is>
      </c>
      <c r="J1352" t="inlineStr">
        <is>
          <t>ROCKCODE agrupado en ROCKCODE_NUMEQ=13; sigla sin leyenda</t>
        </is>
      </c>
      <c r="K1352" t="inlineStr">
        <is>
          <t>Hornfels (hipótesis: siglas H*)</t>
        </is>
      </c>
      <c r="L1352" t="inlineStr">
        <is>
          <t>Metamorfico</t>
        </is>
      </c>
      <c r="M1352" t="n">
        <v>839</v>
      </c>
      <c r="N1352" t="inlineStr"/>
      <c r="O1352" t="inlineStr"/>
      <c r="P1352" t="n">
        <v>698.95</v>
      </c>
      <c r="Q1352" t="n">
        <v>4.495</v>
      </c>
    </row>
    <row r="1353">
      <c r="A1353" t="inlineStr">
        <is>
          <t>MR24</t>
        </is>
      </c>
      <c r="B1353" t="inlineStr">
        <is>
          <t>Merged_Table_Assay_lito</t>
        </is>
      </c>
      <c r="C1353" t="inlineStr">
        <is>
          <t>metros de sondaje; pct sobre metros</t>
        </is>
      </c>
      <c r="D1353" t="inlineStr">
        <is>
          <t>fase_plp_GM_FASES_LE2_Output</t>
        </is>
      </c>
      <c r="E1353" t="inlineStr">
        <is>
          <t>13C</t>
        </is>
      </c>
      <c r="F1353" t="inlineStr">
        <is>
          <t>ROCKCODE</t>
        </is>
      </c>
      <c r="G1353" t="inlineStr">
        <is>
          <t>HCB</t>
        </is>
      </c>
      <c r="H1353" t="inlineStr">
        <is>
          <t>sin asignar</t>
        </is>
      </c>
      <c r="I1353" t="inlineStr">
        <is>
          <t>HCB</t>
        </is>
      </c>
      <c r="J1353" t="inlineStr">
        <is>
          <t>ROCKCODE agrupado en ROCKCODE_NUMEQ=14; sigla sin leyenda</t>
        </is>
      </c>
      <c r="K1353" t="inlineStr">
        <is>
          <t>Hornfels (hipótesis: siglas H*)</t>
        </is>
      </c>
      <c r="L1353" t="inlineStr">
        <is>
          <t>Metamorfico</t>
        </is>
      </c>
      <c r="M1353" t="n">
        <v>117</v>
      </c>
      <c r="N1353" t="inlineStr"/>
      <c r="O1353" t="inlineStr"/>
      <c r="P1353" t="n">
        <v>93.3</v>
      </c>
      <c r="Q1353" t="n">
        <v>0.6</v>
      </c>
    </row>
    <row r="1354">
      <c r="A1354" t="inlineStr">
        <is>
          <t>MR24</t>
        </is>
      </c>
      <c r="B1354" t="inlineStr">
        <is>
          <t>Merged_Table_Assay_lito</t>
        </is>
      </c>
      <c r="C1354" t="inlineStr">
        <is>
          <t>metros de sondaje; pct sobre metros</t>
        </is>
      </c>
      <c r="D1354" t="inlineStr">
        <is>
          <t>fase_plp_GM_FASES_LE2_Output</t>
        </is>
      </c>
      <c r="E1354" t="inlineStr">
        <is>
          <t>13C</t>
        </is>
      </c>
      <c r="F1354" t="inlineStr">
        <is>
          <t>ROCKCODE</t>
        </is>
      </c>
      <c r="G1354" t="inlineStr">
        <is>
          <t>HDP</t>
        </is>
      </c>
      <c r="H1354" t="inlineStr">
        <is>
          <t>sin asignar</t>
        </is>
      </c>
      <c r="I1354" t="inlineStr">
        <is>
          <t>HDP</t>
        </is>
      </c>
      <c r="J1354" t="inlineStr">
        <is>
          <t>ROCKCODE agrupado en ROCKCODE_NUMEQ=14; sigla sin leyenda</t>
        </is>
      </c>
      <c r="K1354" t="inlineStr">
        <is>
          <t>Hornfels (hipótesis: siglas H*)</t>
        </is>
      </c>
      <c r="L1354" t="inlineStr">
        <is>
          <t>Metamorfico</t>
        </is>
      </c>
      <c r="M1354" t="n">
        <v>48</v>
      </c>
      <c r="N1354" t="inlineStr"/>
      <c r="O1354" t="inlineStr"/>
      <c r="P1354" t="n">
        <v>36.55</v>
      </c>
      <c r="Q1354" t="n">
        <v>0.235</v>
      </c>
    </row>
    <row r="1355">
      <c r="A1355" t="inlineStr">
        <is>
          <t>MR24</t>
        </is>
      </c>
      <c r="B1355" t="inlineStr">
        <is>
          <t>Merged_Table_Assay_lito</t>
        </is>
      </c>
      <c r="C1355" t="inlineStr">
        <is>
          <t>metros de sondaje; pct sobre metros</t>
        </is>
      </c>
      <c r="D1355" t="inlineStr">
        <is>
          <t>fase_plp_GM_FASES_LE2_Output</t>
        </is>
      </c>
      <c r="E1355" t="inlineStr">
        <is>
          <t>13C</t>
        </is>
      </c>
      <c r="F1355" t="inlineStr">
        <is>
          <t>ROCKCODE</t>
        </is>
      </c>
      <c r="G1355" t="inlineStr">
        <is>
          <t>HG</t>
        </is>
      </c>
      <c r="H1355" t="inlineStr">
        <is>
          <t>sin asignar</t>
        </is>
      </c>
      <c r="I1355" t="inlineStr">
        <is>
          <t>HG</t>
        </is>
      </c>
      <c r="J1355" t="inlineStr">
        <is>
          <t>ROCKCODE agrupado en ROCKCODE_NUMEQ=13; sigla sin leyenda</t>
        </is>
      </c>
      <c r="K1355" t="inlineStr">
        <is>
          <t>Hornfels (hipótesis: siglas H*)</t>
        </is>
      </c>
      <c r="L1355" t="inlineStr">
        <is>
          <t>Metamorfico</t>
        </is>
      </c>
      <c r="M1355" t="n">
        <v>1907</v>
      </c>
      <c r="N1355" t="inlineStr"/>
      <c r="O1355" t="inlineStr"/>
      <c r="P1355" t="n">
        <v>1630.75</v>
      </c>
      <c r="Q1355" t="n">
        <v>10.487</v>
      </c>
    </row>
    <row r="1356">
      <c r="A1356" t="inlineStr">
        <is>
          <t>MR24</t>
        </is>
      </c>
      <c r="B1356" t="inlineStr">
        <is>
          <t>Merged_Table_Assay_lito</t>
        </is>
      </c>
      <c r="C1356" t="inlineStr">
        <is>
          <t>metros de sondaje; pct sobre metros</t>
        </is>
      </c>
      <c r="D1356" t="inlineStr">
        <is>
          <t>fase_plp_GM_FASES_LE2_Output</t>
        </is>
      </c>
      <c r="E1356" t="inlineStr">
        <is>
          <t>13C</t>
        </is>
      </c>
      <c r="F1356" t="inlineStr">
        <is>
          <t>ROCKCODE</t>
        </is>
      </c>
      <c r="G1356" t="inlineStr">
        <is>
          <t>HGS</t>
        </is>
      </c>
      <c r="H1356" t="inlineStr">
        <is>
          <t>sin asignar</t>
        </is>
      </c>
      <c r="I1356" t="inlineStr">
        <is>
          <t>HGS</t>
        </is>
      </c>
      <c r="J1356" t="inlineStr">
        <is>
          <t>ROCKCODE agrupado en ROCKCODE_NUMEQ=13; sigla sin leyenda</t>
        </is>
      </c>
      <c r="K1356" t="inlineStr">
        <is>
          <t>Hornfels (hipótesis: siglas H*)</t>
        </is>
      </c>
      <c r="L1356" t="inlineStr">
        <is>
          <t>Metamorfico</t>
        </is>
      </c>
      <c r="M1356" t="n">
        <v>362</v>
      </c>
      <c r="N1356" t="inlineStr"/>
      <c r="O1356" t="inlineStr"/>
      <c r="P1356" t="n">
        <v>298.05</v>
      </c>
      <c r="Q1356" t="n">
        <v>1.917</v>
      </c>
    </row>
    <row r="1357">
      <c r="A1357" t="inlineStr">
        <is>
          <t>MR24</t>
        </is>
      </c>
      <c r="B1357" t="inlineStr">
        <is>
          <t>Merged_Table_Assay_lito</t>
        </is>
      </c>
      <c r="C1357" t="inlineStr">
        <is>
          <t>metros de sondaje; pct sobre metros</t>
        </is>
      </c>
      <c r="D1357" t="inlineStr">
        <is>
          <t>fase_plp_GM_FASES_LE2_Output</t>
        </is>
      </c>
      <c r="E1357" t="inlineStr">
        <is>
          <t>13C</t>
        </is>
      </c>
      <c r="F1357" t="inlineStr">
        <is>
          <t>ROCKCODE</t>
        </is>
      </c>
      <c r="G1357" t="inlineStr">
        <is>
          <t>HGV</t>
        </is>
      </c>
      <c r="H1357" t="inlineStr">
        <is>
          <t>sin asignar</t>
        </is>
      </c>
      <c r="I1357" t="inlineStr">
        <is>
          <t>HGV</t>
        </is>
      </c>
      <c r="J1357" t="inlineStr">
        <is>
          <t>ROCKCODE agrupado en ROCKCODE_NUMEQ=14; sigla sin leyenda</t>
        </is>
      </c>
      <c r="K1357" t="inlineStr">
        <is>
          <t>Hornfels (hipótesis: siglas H*)</t>
        </is>
      </c>
      <c r="L1357" t="inlineStr">
        <is>
          <t>Metamorfico</t>
        </is>
      </c>
      <c r="M1357" t="n">
        <v>525</v>
      </c>
      <c r="N1357" t="inlineStr"/>
      <c r="O1357" t="inlineStr"/>
      <c r="P1357" t="n">
        <v>393.5</v>
      </c>
      <c r="Q1357" t="n">
        <v>2.531</v>
      </c>
    </row>
    <row r="1358">
      <c r="A1358" t="inlineStr">
        <is>
          <t>MR24</t>
        </is>
      </c>
      <c r="B1358" t="inlineStr">
        <is>
          <t>Merged_Table_Assay_lito</t>
        </is>
      </c>
      <c r="C1358" t="inlineStr">
        <is>
          <t>metros de sondaje; pct sobre metros</t>
        </is>
      </c>
      <c r="D1358" t="inlineStr">
        <is>
          <t>fase_plp_GM_FASES_LE2_Output</t>
        </is>
      </c>
      <c r="E1358" t="inlineStr">
        <is>
          <t>13C</t>
        </is>
      </c>
      <c r="F1358" t="inlineStr">
        <is>
          <t>ROCKCODE</t>
        </is>
      </c>
      <c r="G1358" t="inlineStr">
        <is>
          <t>HMGV</t>
        </is>
      </c>
      <c r="H1358" t="inlineStr">
        <is>
          <t>sin asignar</t>
        </is>
      </c>
      <c r="I1358" t="inlineStr">
        <is>
          <t>HMGV</t>
        </is>
      </c>
      <c r="J1358" t="inlineStr">
        <is>
          <t>ROCKCODE agrupado en ROCKCODE_NUMEQ=14; sigla sin leyenda</t>
        </is>
      </c>
      <c r="K1358" t="inlineStr">
        <is>
          <t>Hornfels (hipótesis: siglas H*)</t>
        </is>
      </c>
      <c r="L1358" t="inlineStr">
        <is>
          <t>Metamorfico</t>
        </is>
      </c>
      <c r="M1358" t="n">
        <v>17</v>
      </c>
      <c r="N1358" t="inlineStr"/>
      <c r="O1358" t="inlineStr"/>
      <c r="P1358" t="n">
        <v>12.5</v>
      </c>
      <c r="Q1358" t="n">
        <v>0.08</v>
      </c>
    </row>
    <row r="1359">
      <c r="A1359" t="inlineStr">
        <is>
          <t>MR24</t>
        </is>
      </c>
      <c r="B1359" t="inlineStr">
        <is>
          <t>Merged_Table_Assay_lito</t>
        </is>
      </c>
      <c r="C1359" t="inlineStr">
        <is>
          <t>metros de sondaje; pct sobre metros</t>
        </is>
      </c>
      <c r="D1359" t="inlineStr">
        <is>
          <t>fase_plp_GM_FASES_LE2_Output</t>
        </is>
      </c>
      <c r="E1359" t="inlineStr">
        <is>
          <t>13C</t>
        </is>
      </c>
      <c r="F1359" t="inlineStr">
        <is>
          <t>ROCKCODE</t>
        </is>
      </c>
      <c r="G1359" t="inlineStr">
        <is>
          <t>IPHPE</t>
        </is>
      </c>
      <c r="H1359" t="inlineStr">
        <is>
          <t>Intrusivo</t>
        </is>
      </c>
      <c r="I1359" t="inlineStr">
        <is>
          <t>IPHPE</t>
        </is>
      </c>
      <c r="J1359" t="inlineStr">
        <is>
          <t>ROCKCODE agrupado en ROCKCODE_NUMEQ=1 (Intrusivo_1)</t>
        </is>
      </c>
      <c r="K1359" t="inlineStr">
        <is>
          <t>Intrusivo</t>
        </is>
      </c>
      <c r="L1359" t="inlineStr">
        <is>
          <t>Intrusivo</t>
        </is>
      </c>
      <c r="M1359" t="n">
        <v>6</v>
      </c>
      <c r="N1359" t="inlineStr"/>
      <c r="O1359" t="inlineStr"/>
      <c r="P1359" t="n">
        <v>14.9</v>
      </c>
      <c r="Q1359" t="n">
        <v>0.096</v>
      </c>
    </row>
    <row r="1360">
      <c r="A1360" t="inlineStr">
        <is>
          <t>MR24</t>
        </is>
      </c>
      <c r="B1360" t="inlineStr">
        <is>
          <t>Merged_Table_Assay_lito</t>
        </is>
      </c>
      <c r="C1360" t="inlineStr">
        <is>
          <t>metros de sondaje; pct sobre metros</t>
        </is>
      </c>
      <c r="D1360" t="inlineStr">
        <is>
          <t>fase_plp_GM_FASES_LE2_Output</t>
        </is>
      </c>
      <c r="E1360" t="inlineStr">
        <is>
          <t>13C</t>
        </is>
      </c>
      <c r="F1360" t="inlineStr">
        <is>
          <t>ROCKCODE</t>
        </is>
      </c>
      <c r="G1360" t="inlineStr">
        <is>
          <t>IPPA</t>
        </is>
      </c>
      <c r="H1360" t="inlineStr">
        <is>
          <t>Intrusivo</t>
        </is>
      </c>
      <c r="I1360" t="inlineStr">
        <is>
          <t>IPPA</t>
        </is>
      </c>
      <c r="J1360" t="inlineStr">
        <is>
          <t>ROCKCODE agrupado en ROCKCODE_NUMEQ=1 (Intrusivo_1)</t>
        </is>
      </c>
      <c r="K1360" t="inlineStr">
        <is>
          <t>Intrusivo</t>
        </is>
      </c>
      <c r="L1360" t="inlineStr">
        <is>
          <t>Intrusivo</t>
        </is>
      </c>
      <c r="M1360" t="n">
        <v>3607</v>
      </c>
      <c r="N1360" t="inlineStr"/>
      <c r="O1360" t="inlineStr"/>
      <c r="P1360" t="n">
        <v>4000.15</v>
      </c>
      <c r="Q1360" t="n">
        <v>25.725</v>
      </c>
    </row>
    <row r="1361">
      <c r="A1361" t="inlineStr">
        <is>
          <t>MR24</t>
        </is>
      </c>
      <c r="B1361" t="inlineStr">
        <is>
          <t>Merged_Table_Assay_lito</t>
        </is>
      </c>
      <c r="C1361" t="inlineStr">
        <is>
          <t>metros de sondaje; pct sobre metros</t>
        </is>
      </c>
      <c r="D1361" t="inlineStr">
        <is>
          <t>fase_plp_GM_FASES_LE2_Output</t>
        </is>
      </c>
      <c r="E1361" t="inlineStr">
        <is>
          <t>13C</t>
        </is>
      </c>
      <c r="F1361" t="inlineStr">
        <is>
          <t>ROCKCODE</t>
        </is>
      </c>
      <c r="G1361" t="inlineStr">
        <is>
          <t>IPPAMO</t>
        </is>
      </c>
      <c r="H1361" t="inlineStr">
        <is>
          <t>Intrusivo</t>
        </is>
      </c>
      <c r="I1361" t="inlineStr">
        <is>
          <t>IPPAMO</t>
        </is>
      </c>
      <c r="J1361" t="inlineStr">
        <is>
          <t>ROCKCODE agrupado en ROCKCODE_NUMEQ=1 (Intrusivo_1)</t>
        </is>
      </c>
      <c r="K1361" t="inlineStr">
        <is>
          <t>Intrusivo</t>
        </is>
      </c>
      <c r="L1361" t="inlineStr">
        <is>
          <t>Intrusivo</t>
        </is>
      </c>
      <c r="M1361" t="n">
        <v>80</v>
      </c>
      <c r="N1361" t="inlineStr"/>
      <c r="O1361" t="inlineStr"/>
      <c r="P1361" t="n">
        <v>63.65</v>
      </c>
      <c r="Q1361" t="n">
        <v>0.409</v>
      </c>
    </row>
    <row r="1362">
      <c r="A1362" t="inlineStr">
        <is>
          <t>MR24</t>
        </is>
      </c>
      <c r="B1362" t="inlineStr">
        <is>
          <t>Merged_Table_Assay_lito</t>
        </is>
      </c>
      <c r="C1362" t="inlineStr">
        <is>
          <t>metros de sondaje; pct sobre metros</t>
        </is>
      </c>
      <c r="D1362" t="inlineStr">
        <is>
          <t>fase_plp_GM_FASES_LE2_Output</t>
        </is>
      </c>
      <c r="E1362" t="inlineStr">
        <is>
          <t>13C</t>
        </is>
      </c>
      <c r="F1362" t="inlineStr">
        <is>
          <t>ROCKCODE</t>
        </is>
      </c>
      <c r="G1362" t="inlineStr">
        <is>
          <t>IPPAO</t>
        </is>
      </c>
      <c r="H1362" t="inlineStr">
        <is>
          <t>Intrusivo</t>
        </is>
      </c>
      <c r="I1362" t="inlineStr">
        <is>
          <t>IPPAO</t>
        </is>
      </c>
      <c r="J1362" t="inlineStr">
        <is>
          <t>ROCKCODE agrupado en ROCKCODE_NUMEQ=1 (Intrusivo_1)</t>
        </is>
      </c>
      <c r="K1362" t="inlineStr">
        <is>
          <t>Intrusivo</t>
        </is>
      </c>
      <c r="L1362" t="inlineStr">
        <is>
          <t>Intrusivo</t>
        </is>
      </c>
      <c r="M1362" t="n">
        <v>824</v>
      </c>
      <c r="N1362" t="inlineStr"/>
      <c r="O1362" t="inlineStr"/>
      <c r="P1362" t="n">
        <v>793.15</v>
      </c>
      <c r="Q1362" t="n">
        <v>5.101</v>
      </c>
    </row>
    <row r="1363">
      <c r="A1363" t="inlineStr">
        <is>
          <t>MR24</t>
        </is>
      </c>
      <c r="B1363" t="inlineStr">
        <is>
          <t>Merged_Table_Assay_lito</t>
        </is>
      </c>
      <c r="C1363" t="inlineStr">
        <is>
          <t>metros de sondaje; pct sobre metros</t>
        </is>
      </c>
      <c r="D1363" t="inlineStr">
        <is>
          <t>fase_plp_GM_FASES_LE2_Output</t>
        </is>
      </c>
      <c r="E1363" t="inlineStr">
        <is>
          <t>13C</t>
        </is>
      </c>
      <c r="F1363" t="inlineStr">
        <is>
          <t>ROCKCODE</t>
        </is>
      </c>
      <c r="G1363" t="inlineStr">
        <is>
          <t>IPPEO</t>
        </is>
      </c>
      <c r="H1363" t="inlineStr">
        <is>
          <t>Intrusivo</t>
        </is>
      </c>
      <c r="I1363" t="inlineStr">
        <is>
          <t>IPPEO</t>
        </is>
      </c>
      <c r="J1363" t="inlineStr">
        <is>
          <t>ROCKCODE agrupado en ROCKCODE_NUMEQ=1 (Intrusivo_1)</t>
        </is>
      </c>
      <c r="K1363" t="inlineStr">
        <is>
          <t>Intrusivo</t>
        </is>
      </c>
      <c r="L1363" t="inlineStr">
        <is>
          <t>Intrusivo</t>
        </is>
      </c>
      <c r="M1363" t="n">
        <v>94</v>
      </c>
      <c r="N1363" t="inlineStr"/>
      <c r="O1363" t="inlineStr"/>
      <c r="P1363" t="n">
        <v>129.15</v>
      </c>
      <c r="Q1363" t="n">
        <v>0.831</v>
      </c>
    </row>
    <row r="1364">
      <c r="A1364" t="inlineStr">
        <is>
          <t>MR24</t>
        </is>
      </c>
      <c r="B1364" t="inlineStr">
        <is>
          <t>Merged_Table_Assay_lito</t>
        </is>
      </c>
      <c r="C1364" t="inlineStr">
        <is>
          <t>metros de sondaje; pct sobre metros</t>
        </is>
      </c>
      <c r="D1364" t="inlineStr">
        <is>
          <t>fase_plp_GM_FASES_LE2_Output</t>
        </is>
      </c>
      <c r="E1364" t="inlineStr">
        <is>
          <t>13C</t>
        </is>
      </c>
      <c r="F1364" t="inlineStr">
        <is>
          <t>ROCKCODE</t>
        </is>
      </c>
      <c r="G1364" t="inlineStr">
        <is>
          <t>MC</t>
        </is>
      </c>
      <c r="H1364" t="inlineStr">
        <is>
          <t>sin asignar</t>
        </is>
      </c>
      <c r="I1364" t="inlineStr">
        <is>
          <t>MC</t>
        </is>
      </c>
      <c r="J1364" t="inlineStr">
        <is>
          <t>ROCKCODE agrupado en ROCKCODE_NUMEQ=16; sigla sin leyenda</t>
        </is>
      </c>
      <c r="K1364" t="inlineStr">
        <is>
          <t>Mármol (hipótesis: siglas M*)</t>
        </is>
      </c>
      <c r="L1364" t="inlineStr">
        <is>
          <t>Metamorfico</t>
        </is>
      </c>
      <c r="M1364" t="n">
        <v>1693</v>
      </c>
      <c r="N1364" t="inlineStr"/>
      <c r="O1364" t="inlineStr"/>
      <c r="P1364" t="n">
        <v>2310</v>
      </c>
      <c r="Q1364" t="n">
        <v>14.856</v>
      </c>
    </row>
    <row r="1365">
      <c r="A1365" t="inlineStr">
        <is>
          <t>MR24</t>
        </is>
      </c>
      <c r="B1365" t="inlineStr">
        <is>
          <t>Merged_Table_Assay_lito</t>
        </is>
      </c>
      <c r="C1365" t="inlineStr">
        <is>
          <t>metros de sondaje; pct sobre metros</t>
        </is>
      </c>
      <c r="D1365" t="inlineStr">
        <is>
          <t>fase_plp_GM_FASES_LE2_Output</t>
        </is>
      </c>
      <c r="E1365" t="inlineStr">
        <is>
          <t>13C</t>
        </is>
      </c>
      <c r="F1365" t="inlineStr">
        <is>
          <t>ROCKCODE</t>
        </is>
      </c>
      <c r="G1365" t="inlineStr">
        <is>
          <t>MCB</t>
        </is>
      </c>
      <c r="H1365" t="inlineStr">
        <is>
          <t>sin asignar</t>
        </is>
      </c>
      <c r="I1365" t="inlineStr">
        <is>
          <t>MCB</t>
        </is>
      </c>
      <c r="J1365" t="inlineStr">
        <is>
          <t>ROCKCODE agrupado en ROCKCODE_NUMEQ=16; sigla sin leyenda</t>
        </is>
      </c>
      <c r="K1365" t="inlineStr">
        <is>
          <t>Mármol (hipótesis: siglas M*)</t>
        </is>
      </c>
      <c r="L1365" t="inlineStr">
        <is>
          <t>Metamorfico</t>
        </is>
      </c>
      <c r="M1365" t="n">
        <v>158</v>
      </c>
      <c r="N1365" t="inlineStr"/>
      <c r="O1365" t="inlineStr"/>
      <c r="P1365" t="n">
        <v>187.65</v>
      </c>
      <c r="Q1365" t="n">
        <v>1.207</v>
      </c>
    </row>
    <row r="1366">
      <c r="A1366" t="inlineStr">
        <is>
          <t>MR24</t>
        </is>
      </c>
      <c r="B1366" t="inlineStr">
        <is>
          <t>Merged_Table_Assay_lito</t>
        </is>
      </c>
      <c r="C1366" t="inlineStr">
        <is>
          <t>metros de sondaje; pct sobre metros</t>
        </is>
      </c>
      <c r="D1366" t="inlineStr">
        <is>
          <t>fase_plp_GM_FASES_LE2_Output</t>
        </is>
      </c>
      <c r="E1366" t="inlineStr">
        <is>
          <t>13C</t>
        </is>
      </c>
      <c r="F1366" t="inlineStr">
        <is>
          <t>ROCKCODE</t>
        </is>
      </c>
      <c r="G1366" t="inlineStr">
        <is>
          <t>MCGB</t>
        </is>
      </c>
      <c r="H1366" t="inlineStr">
        <is>
          <t>sin asignar</t>
        </is>
      </c>
      <c r="I1366" t="inlineStr">
        <is>
          <t>MCGB</t>
        </is>
      </c>
      <c r="J1366" t="inlineStr">
        <is>
          <t>ROCKCODE agrupado en ROCKCODE_NUMEQ=16; sigla sin leyenda</t>
        </is>
      </c>
      <c r="K1366" t="inlineStr">
        <is>
          <t>Mármol (hipótesis: siglas M*)</t>
        </is>
      </c>
      <c r="L1366" t="inlineStr">
        <is>
          <t>Metamorfico</t>
        </is>
      </c>
      <c r="M1366" t="n">
        <v>514</v>
      </c>
      <c r="N1366" t="inlineStr"/>
      <c r="O1366" t="inlineStr"/>
      <c r="P1366" t="n">
        <v>452.45</v>
      </c>
      <c r="Q1366" t="n">
        <v>2.91</v>
      </c>
    </row>
    <row r="1367">
      <c r="A1367" t="inlineStr">
        <is>
          <t>MR24</t>
        </is>
      </c>
      <c r="B1367" t="inlineStr">
        <is>
          <t>Merged_Table_Assay_lito</t>
        </is>
      </c>
      <c r="C1367" t="inlineStr">
        <is>
          <t>metros de sondaje; pct sobre metros</t>
        </is>
      </c>
      <c r="D1367" t="inlineStr">
        <is>
          <t>fase_plp_GM_FASES_LE2_Output</t>
        </is>
      </c>
      <c r="E1367" t="inlineStr">
        <is>
          <t>13C</t>
        </is>
      </c>
      <c r="F1367" t="inlineStr">
        <is>
          <t>ROCKCODE</t>
        </is>
      </c>
      <c r="G1367" t="inlineStr">
        <is>
          <t>MDP</t>
        </is>
      </c>
      <c r="H1367" t="inlineStr">
        <is>
          <t>sin asignar</t>
        </is>
      </c>
      <c r="I1367" t="inlineStr">
        <is>
          <t>MDP</t>
        </is>
      </c>
      <c r="J1367" t="inlineStr">
        <is>
          <t>ROCKCODE agrupado en ROCKCODE_NUMEQ=19; sigla sin leyenda</t>
        </is>
      </c>
      <c r="K1367" t="inlineStr">
        <is>
          <t>Mármol (hipótesis: sigla MDP)</t>
        </is>
      </c>
      <c r="L1367" t="inlineStr">
        <is>
          <t>Metamorfico</t>
        </is>
      </c>
      <c r="M1367" t="n">
        <v>669</v>
      </c>
      <c r="N1367" t="inlineStr"/>
      <c r="O1367" t="inlineStr"/>
      <c r="P1367" t="n">
        <v>680.75</v>
      </c>
      <c r="Q1367" t="n">
        <v>4.378</v>
      </c>
    </row>
    <row r="1368">
      <c r="A1368" t="inlineStr">
        <is>
          <t>MR24</t>
        </is>
      </c>
      <c r="B1368" t="inlineStr">
        <is>
          <t>Merged_Table_Assay_lito</t>
        </is>
      </c>
      <c r="C1368" t="inlineStr">
        <is>
          <t>metros de sondaje; pct sobre metros</t>
        </is>
      </c>
      <c r="D1368" t="inlineStr">
        <is>
          <t>fase_plp_GM_FASES_LE2_Output</t>
        </is>
      </c>
      <c r="E1368" t="inlineStr">
        <is>
          <t>13C</t>
        </is>
      </c>
      <c r="F1368" t="inlineStr">
        <is>
          <t>ROCKCODE</t>
        </is>
      </c>
      <c r="G1368" t="inlineStr">
        <is>
          <t>MG</t>
        </is>
      </c>
      <c r="H1368" t="inlineStr">
        <is>
          <t>sin asignar</t>
        </is>
      </c>
      <c r="I1368" t="inlineStr">
        <is>
          <t>MG</t>
        </is>
      </c>
      <c r="J1368" t="inlineStr">
        <is>
          <t>ROCKCODE agrupado en ROCKCODE_NUMEQ=16; sigla sin leyenda</t>
        </is>
      </c>
      <c r="K1368" t="inlineStr">
        <is>
          <t>Mármol (hipótesis: siglas M*)</t>
        </is>
      </c>
      <c r="L1368" t="inlineStr">
        <is>
          <t>Metamorfico</t>
        </is>
      </c>
      <c r="M1368" t="n">
        <v>690</v>
      </c>
      <c r="N1368" t="inlineStr"/>
      <c r="O1368" t="inlineStr"/>
      <c r="P1368" t="n">
        <v>750.75</v>
      </c>
      <c r="Q1368" t="n">
        <v>4.828</v>
      </c>
    </row>
    <row r="1369">
      <c r="A1369" t="inlineStr">
        <is>
          <t>MR24</t>
        </is>
      </c>
      <c r="B1369" t="inlineStr">
        <is>
          <t>Merged_Table_Assay_lito</t>
        </is>
      </c>
      <c r="C1369" t="inlineStr">
        <is>
          <t>metros de sondaje; pct sobre metros</t>
        </is>
      </c>
      <c r="D1369" t="inlineStr">
        <is>
          <t>fase_plp_GM_FASES_LE2_Output</t>
        </is>
      </c>
      <c r="E1369" t="inlineStr">
        <is>
          <t>13C</t>
        </is>
      </c>
      <c r="F1369" t="inlineStr">
        <is>
          <t>ROCKCODE</t>
        </is>
      </c>
      <c r="G1369" t="inlineStr">
        <is>
          <t>MGS</t>
        </is>
      </c>
      <c r="H1369" t="inlineStr">
        <is>
          <t>sin asignar</t>
        </is>
      </c>
      <c r="I1369" t="inlineStr">
        <is>
          <t>MGS</t>
        </is>
      </c>
      <c r="J1369" t="inlineStr">
        <is>
          <t>ROCKCODE agrupado en ROCKCODE_NUMEQ=16; sigla sin leyenda</t>
        </is>
      </c>
      <c r="K1369" t="inlineStr">
        <is>
          <t>Mármol (hipótesis: siglas M*)</t>
        </is>
      </c>
      <c r="L1369" t="inlineStr">
        <is>
          <t>Metamorfico</t>
        </is>
      </c>
      <c r="M1369" t="n">
        <v>758</v>
      </c>
      <c r="N1369" t="inlineStr"/>
      <c r="O1369" t="inlineStr"/>
      <c r="P1369" t="n">
        <v>859.6</v>
      </c>
      <c r="Q1369" t="n">
        <v>5.528</v>
      </c>
    </row>
    <row r="1370">
      <c r="A1370" t="inlineStr">
        <is>
          <t>MR24</t>
        </is>
      </c>
      <c r="B1370" t="inlineStr">
        <is>
          <t>Merged_Table_Assay_lito</t>
        </is>
      </c>
      <c r="C1370" t="inlineStr">
        <is>
          <t>metros de sondaje; pct sobre metros</t>
        </is>
      </c>
      <c r="D1370" t="inlineStr">
        <is>
          <t>fase_plp_GM_FASES_LE2_Output</t>
        </is>
      </c>
      <c r="E1370" t="inlineStr">
        <is>
          <t>13C</t>
        </is>
      </c>
      <c r="F1370" t="inlineStr">
        <is>
          <t>ROCKCODE</t>
        </is>
      </c>
      <c r="G1370" t="inlineStr">
        <is>
          <t>MPA</t>
        </is>
      </c>
      <c r="H1370" t="inlineStr">
        <is>
          <t>sin asignar</t>
        </is>
      </c>
      <c r="I1370" t="inlineStr">
        <is>
          <t>MPA</t>
        </is>
      </c>
      <c r="J1370" t="inlineStr">
        <is>
          <t>ROCKCODE agrupado en ROCKCODE_NUMEQ=16; sigla sin leyenda</t>
        </is>
      </c>
      <c r="K1370" t="inlineStr">
        <is>
          <t>Mármol (hipótesis: siglas M*)</t>
        </is>
      </c>
      <c r="L1370" t="inlineStr">
        <is>
          <t>Metamorfico</t>
        </is>
      </c>
      <c r="M1370" t="n">
        <v>623</v>
      </c>
      <c r="N1370" t="inlineStr"/>
      <c r="O1370" t="inlineStr"/>
      <c r="P1370" t="n">
        <v>781.25</v>
      </c>
      <c r="Q1370" t="n">
        <v>5.024</v>
      </c>
    </row>
    <row r="1371">
      <c r="A1371" t="inlineStr">
        <is>
          <t>MR24</t>
        </is>
      </c>
      <c r="B1371" t="inlineStr">
        <is>
          <t>Merged_Table_Assay_lito</t>
        </is>
      </c>
      <c r="C1371" t="inlineStr">
        <is>
          <t>metros de sondaje; pct sobre metros</t>
        </is>
      </c>
      <c r="D1371" t="inlineStr">
        <is>
          <t>fase_plp_GM_FASES_LE2_Output</t>
        </is>
      </c>
      <c r="E1371" t="inlineStr">
        <is>
          <t>14</t>
        </is>
      </c>
      <c r="F1371" t="inlineStr">
        <is>
          <t>ROCKCODE</t>
        </is>
      </c>
      <c r="G1371" t="inlineStr">
        <is>
          <t>C</t>
        </is>
      </c>
      <c r="H1371" t="inlineStr">
        <is>
          <t>sin asignar</t>
        </is>
      </c>
      <c r="I1371" t="inlineStr">
        <is>
          <t>C</t>
        </is>
      </c>
      <c r="J1371" t="inlineStr">
        <is>
          <t>ROCKCODE agrupado en ROCKCODE_NUMEQ=10; sigla sin leyenda</t>
        </is>
      </c>
      <c r="K1371" t="inlineStr">
        <is>
          <t>Caliza (hipótesis: siglas C*)</t>
        </is>
      </c>
      <c r="L1371" t="inlineStr">
        <is>
          <t>Sedimentario</t>
        </is>
      </c>
      <c r="M1371" t="n">
        <v>41</v>
      </c>
      <c r="N1371" t="inlineStr"/>
      <c r="O1371" t="inlineStr"/>
      <c r="P1371" t="n">
        <v>203.7</v>
      </c>
      <c r="Q1371" t="n">
        <v>0.851</v>
      </c>
    </row>
    <row r="1372">
      <c r="A1372" t="inlineStr">
        <is>
          <t>MR24</t>
        </is>
      </c>
      <c r="B1372" t="inlineStr">
        <is>
          <t>Merged_Table_Assay_lito</t>
        </is>
      </c>
      <c r="C1372" t="inlineStr">
        <is>
          <t>metros de sondaje; pct sobre metros</t>
        </is>
      </c>
      <c r="D1372" t="inlineStr">
        <is>
          <t>fase_plp_GM_FASES_LE2_Output</t>
        </is>
      </c>
      <c r="E1372" t="inlineStr">
        <is>
          <t>14</t>
        </is>
      </c>
      <c r="F1372" t="inlineStr">
        <is>
          <t>ROCKCODE</t>
        </is>
      </c>
      <c r="G1372" t="inlineStr">
        <is>
          <t>CA</t>
        </is>
      </c>
      <c r="H1372" t="inlineStr">
        <is>
          <t>sin asignar</t>
        </is>
      </c>
      <c r="I1372" t="inlineStr">
        <is>
          <t>CA</t>
        </is>
      </c>
      <c r="J1372" t="inlineStr">
        <is>
          <t>ROCKCODE agrupado en ROCKCODE_NUMEQ=10; sigla sin leyenda</t>
        </is>
      </c>
      <c r="K1372" t="inlineStr">
        <is>
          <t>Caliza (hipótesis: siglas C*)</t>
        </is>
      </c>
      <c r="L1372" t="inlineStr">
        <is>
          <t>Sedimentario</t>
        </is>
      </c>
      <c r="M1372" t="n">
        <v>724</v>
      </c>
      <c r="N1372" t="inlineStr"/>
      <c r="O1372" t="inlineStr"/>
      <c r="P1372" t="n">
        <v>776.9</v>
      </c>
      <c r="Q1372" t="n">
        <v>3.247</v>
      </c>
    </row>
    <row r="1373">
      <c r="A1373" t="inlineStr">
        <is>
          <t>MR24</t>
        </is>
      </c>
      <c r="B1373" t="inlineStr">
        <is>
          <t>Merged_Table_Assay_lito</t>
        </is>
      </c>
      <c r="C1373" t="inlineStr">
        <is>
          <t>metros de sondaje; pct sobre metros</t>
        </is>
      </c>
      <c r="D1373" t="inlineStr">
        <is>
          <t>fase_plp_GM_FASES_LE2_Output</t>
        </is>
      </c>
      <c r="E1373" t="inlineStr">
        <is>
          <t>14</t>
        </is>
      </c>
      <c r="F1373" t="inlineStr">
        <is>
          <t>ROCKCODE</t>
        </is>
      </c>
      <c r="G1373" t="inlineStr">
        <is>
          <t>CBMN</t>
        </is>
      </c>
      <c r="H1373" t="inlineStr">
        <is>
          <t>sin asignar</t>
        </is>
      </c>
      <c r="I1373" t="inlineStr">
        <is>
          <t>CBMN</t>
        </is>
      </c>
      <c r="J1373" t="inlineStr">
        <is>
          <t>ROCKCODE agrupado en ROCKCODE_NUMEQ=10; sigla sin leyenda</t>
        </is>
      </c>
      <c r="K1373" t="inlineStr">
        <is>
          <t>Caliza (hipótesis: siglas C*)</t>
        </is>
      </c>
      <c r="L1373" t="inlineStr">
        <is>
          <t>Sedimentario</t>
        </is>
      </c>
      <c r="M1373" t="n">
        <v>126</v>
      </c>
      <c r="N1373" t="inlineStr"/>
      <c r="O1373" t="inlineStr"/>
      <c r="P1373" t="n">
        <v>89.3</v>
      </c>
      <c r="Q1373" t="n">
        <v>0.373</v>
      </c>
    </row>
    <row r="1374">
      <c r="A1374" t="inlineStr">
        <is>
          <t>MR24</t>
        </is>
      </c>
      <c r="B1374" t="inlineStr">
        <is>
          <t>Merged_Table_Assay_lito</t>
        </is>
      </c>
      <c r="C1374" t="inlineStr">
        <is>
          <t>metros de sondaje; pct sobre metros</t>
        </is>
      </c>
      <c r="D1374" t="inlineStr">
        <is>
          <t>fase_plp_GM_FASES_LE2_Output</t>
        </is>
      </c>
      <c r="E1374" t="inlineStr">
        <is>
          <t>14</t>
        </is>
      </c>
      <c r="F1374" t="inlineStr">
        <is>
          <t>ROCKCODE</t>
        </is>
      </c>
      <c r="G1374" t="inlineStr">
        <is>
          <t>CF</t>
        </is>
      </c>
      <c r="H1374" t="inlineStr">
        <is>
          <t>sin asignar</t>
        </is>
      </c>
      <c r="I1374" t="inlineStr">
        <is>
          <t>CF</t>
        </is>
      </c>
      <c r="J1374" t="inlineStr">
        <is>
          <t>ROCKCODE agrupado en ROCKCODE_NUMEQ=10; sigla sin leyenda</t>
        </is>
      </c>
      <c r="K1374" t="inlineStr">
        <is>
          <t>Caliza (hipótesis: siglas C*)</t>
        </is>
      </c>
      <c r="L1374" t="inlineStr">
        <is>
          <t>Sedimentario</t>
        </is>
      </c>
      <c r="M1374" t="n">
        <v>94</v>
      </c>
      <c r="N1374" t="inlineStr"/>
      <c r="O1374" t="inlineStr"/>
      <c r="P1374" t="n">
        <v>66.05</v>
      </c>
      <c r="Q1374" t="n">
        <v>0.276</v>
      </c>
    </row>
    <row r="1375">
      <c r="A1375" t="inlineStr">
        <is>
          <t>MR24</t>
        </is>
      </c>
      <c r="B1375" t="inlineStr">
        <is>
          <t>Merged_Table_Assay_lito</t>
        </is>
      </c>
      <c r="C1375" t="inlineStr">
        <is>
          <t>metros de sondaje; pct sobre metros</t>
        </is>
      </c>
      <c r="D1375" t="inlineStr">
        <is>
          <t>fase_plp_GM_FASES_LE2_Output</t>
        </is>
      </c>
      <c r="E1375" t="inlineStr">
        <is>
          <t>14</t>
        </is>
      </c>
      <c r="F1375" t="inlineStr">
        <is>
          <t>ROCKCODE</t>
        </is>
      </c>
      <c r="G1375" t="inlineStr">
        <is>
          <t>CG</t>
        </is>
      </c>
      <c r="H1375" t="inlineStr">
        <is>
          <t>sin asignar</t>
        </is>
      </c>
      <c r="I1375" t="inlineStr">
        <is>
          <t>CG</t>
        </is>
      </c>
      <c r="J1375" t="inlineStr">
        <is>
          <t>ROCKCODE agrupado en ROCKCODE_NUMEQ=10; sigla sin leyenda</t>
        </is>
      </c>
      <c r="K1375" t="inlineStr">
        <is>
          <t>Caliza (hipótesis: siglas C*)</t>
        </is>
      </c>
      <c r="L1375" t="inlineStr">
        <is>
          <t>Sedimentario</t>
        </is>
      </c>
      <c r="M1375" t="n">
        <v>5238</v>
      </c>
      <c r="N1375" t="inlineStr"/>
      <c r="O1375" t="inlineStr"/>
      <c r="P1375" t="n">
        <v>4390.75</v>
      </c>
      <c r="Q1375" t="n">
        <v>18.349</v>
      </c>
    </row>
    <row r="1376">
      <c r="A1376" t="inlineStr">
        <is>
          <t>MR24</t>
        </is>
      </c>
      <c r="B1376" t="inlineStr">
        <is>
          <t>Merged_Table_Assay_lito</t>
        </is>
      </c>
      <c r="C1376" t="inlineStr">
        <is>
          <t>metros de sondaje; pct sobre metros</t>
        </is>
      </c>
      <c r="D1376" t="inlineStr">
        <is>
          <t>fase_plp_GM_FASES_LE2_Output</t>
        </is>
      </c>
      <c r="E1376" t="inlineStr">
        <is>
          <t>14</t>
        </is>
      </c>
      <c r="F1376" t="inlineStr">
        <is>
          <t>ROCKCODE</t>
        </is>
      </c>
      <c r="G1376" t="inlineStr">
        <is>
          <t>CGS</t>
        </is>
      </c>
      <c r="H1376" t="inlineStr">
        <is>
          <t>sin asignar</t>
        </is>
      </c>
      <c r="I1376" t="inlineStr">
        <is>
          <t>CGS</t>
        </is>
      </c>
      <c r="J1376" t="inlineStr">
        <is>
          <t>ROCKCODE agrupado en ROCKCODE_NUMEQ=10; sigla sin leyenda</t>
        </is>
      </c>
      <c r="K1376" t="inlineStr">
        <is>
          <t>Caliza (hipótesis: siglas C*)</t>
        </is>
      </c>
      <c r="L1376" t="inlineStr">
        <is>
          <t>Sedimentario</t>
        </is>
      </c>
      <c r="M1376" t="n">
        <v>4112</v>
      </c>
      <c r="N1376" t="inlineStr"/>
      <c r="O1376" t="inlineStr"/>
      <c r="P1376" t="n">
        <v>3420.5</v>
      </c>
      <c r="Q1376" t="n">
        <v>14.294</v>
      </c>
    </row>
    <row r="1377">
      <c r="A1377" t="inlineStr">
        <is>
          <t>MR24</t>
        </is>
      </c>
      <c r="B1377" t="inlineStr">
        <is>
          <t>Merged_Table_Assay_lito</t>
        </is>
      </c>
      <c r="C1377" t="inlineStr">
        <is>
          <t>metros de sondaje; pct sobre metros</t>
        </is>
      </c>
      <c r="D1377" t="inlineStr">
        <is>
          <t>fase_plp_GM_FASES_LE2_Output</t>
        </is>
      </c>
      <c r="E1377" t="inlineStr">
        <is>
          <t>14</t>
        </is>
      </c>
      <c r="F1377" t="inlineStr">
        <is>
          <t>ROCKCODE</t>
        </is>
      </c>
      <c r="G1377" t="inlineStr">
        <is>
          <t>CM</t>
        </is>
      </c>
      <c r="H1377" t="inlineStr">
        <is>
          <t>sin asignar</t>
        </is>
      </c>
      <c r="I1377" t="inlineStr">
        <is>
          <t>CM</t>
        </is>
      </c>
      <c r="J1377" t="inlineStr">
        <is>
          <t>ROCKCODE agrupado en ROCKCODE_NUMEQ=10; sigla sin leyenda</t>
        </is>
      </c>
      <c r="K1377" t="inlineStr">
        <is>
          <t>Caliza (hipótesis: siglas C*)</t>
        </is>
      </c>
      <c r="L1377" t="inlineStr">
        <is>
          <t>Sedimentario</t>
        </is>
      </c>
      <c r="M1377" t="n">
        <v>10</v>
      </c>
      <c r="N1377" t="inlineStr"/>
      <c r="O1377" t="inlineStr"/>
      <c r="P1377" t="n">
        <v>40</v>
      </c>
      <c r="Q1377" t="n">
        <v>0.167</v>
      </c>
    </row>
    <row r="1378">
      <c r="A1378" t="inlineStr">
        <is>
          <t>MR24</t>
        </is>
      </c>
      <c r="B1378" t="inlineStr">
        <is>
          <t>Merged_Table_Assay_lito</t>
        </is>
      </c>
      <c r="C1378" t="inlineStr">
        <is>
          <t>metros de sondaje; pct sobre metros</t>
        </is>
      </c>
      <c r="D1378" t="inlineStr">
        <is>
          <t>fase_plp_GM_FASES_LE2_Output</t>
        </is>
      </c>
      <c r="E1378" t="inlineStr">
        <is>
          <t>14</t>
        </is>
      </c>
      <c r="F1378" t="inlineStr">
        <is>
          <t>ROCKCODE</t>
        </is>
      </c>
      <c r="G1378" t="inlineStr">
        <is>
          <t>CN</t>
        </is>
      </c>
      <c r="H1378" t="inlineStr">
        <is>
          <t>sin asignar</t>
        </is>
      </c>
      <c r="I1378" t="inlineStr">
        <is>
          <t>CN</t>
        </is>
      </c>
      <c r="J1378" t="inlineStr">
        <is>
          <t>ROCKCODE agrupado en ROCKCODE_NUMEQ=10; sigla sin leyenda</t>
        </is>
      </c>
      <c r="K1378" t="inlineStr">
        <is>
          <t>Caliza (hipótesis: siglas C*)</t>
        </is>
      </c>
      <c r="L1378" t="inlineStr">
        <is>
          <t>Sedimentario</t>
        </is>
      </c>
      <c r="M1378" t="n">
        <v>1138</v>
      </c>
      <c r="N1378" t="inlineStr"/>
      <c r="O1378" t="inlineStr"/>
      <c r="P1378" t="n">
        <v>888.25</v>
      </c>
      <c r="Q1378" t="n">
        <v>3.712</v>
      </c>
    </row>
    <row r="1379">
      <c r="A1379" t="inlineStr">
        <is>
          <t>MR24</t>
        </is>
      </c>
      <c r="B1379" t="inlineStr">
        <is>
          <t>Merged_Table_Assay_lito</t>
        </is>
      </c>
      <c r="C1379" t="inlineStr">
        <is>
          <t>metros de sondaje; pct sobre metros</t>
        </is>
      </c>
      <c r="D1379" t="inlineStr">
        <is>
          <t>fase_plp_GM_FASES_LE2_Output</t>
        </is>
      </c>
      <c r="E1379" t="inlineStr">
        <is>
          <t>14</t>
        </is>
      </c>
      <c r="F1379" t="inlineStr">
        <is>
          <t>ROCKCODE</t>
        </is>
      </c>
      <c r="G1379" t="inlineStr">
        <is>
          <t>HBV</t>
        </is>
      </c>
      <c r="H1379" t="inlineStr">
        <is>
          <t>sin asignar</t>
        </is>
      </c>
      <c r="I1379" t="inlineStr">
        <is>
          <t>HBV</t>
        </is>
      </c>
      <c r="J1379" t="inlineStr">
        <is>
          <t>ROCKCODE agrupado en ROCKCODE_NUMEQ=14; sigla sin leyenda</t>
        </is>
      </c>
      <c r="K1379" t="inlineStr">
        <is>
          <t>Hornfels (hipótesis: siglas H*)</t>
        </is>
      </c>
      <c r="L1379" t="inlineStr">
        <is>
          <t>Metamorfico</t>
        </is>
      </c>
      <c r="M1379" t="n">
        <v>31</v>
      </c>
      <c r="N1379" t="inlineStr"/>
      <c r="O1379" t="inlineStr"/>
      <c r="P1379" t="n">
        <v>26</v>
      </c>
      <c r="Q1379" t="n">
        <v>0.109</v>
      </c>
    </row>
    <row r="1380">
      <c r="A1380" t="inlineStr">
        <is>
          <t>MR24</t>
        </is>
      </c>
      <c r="B1380" t="inlineStr">
        <is>
          <t>Merged_Table_Assay_lito</t>
        </is>
      </c>
      <c r="C1380" t="inlineStr">
        <is>
          <t>metros de sondaje; pct sobre metros</t>
        </is>
      </c>
      <c r="D1380" t="inlineStr">
        <is>
          <t>fase_plp_GM_FASES_LE2_Output</t>
        </is>
      </c>
      <c r="E1380" t="inlineStr">
        <is>
          <t>14</t>
        </is>
      </c>
      <c r="F1380" t="inlineStr">
        <is>
          <t>ROCKCODE</t>
        </is>
      </c>
      <c r="G1380" t="inlineStr">
        <is>
          <t>HC</t>
        </is>
      </c>
      <c r="H1380" t="inlineStr">
        <is>
          <t>sin asignar</t>
        </is>
      </c>
      <c r="I1380" t="inlineStr">
        <is>
          <t>HC</t>
        </is>
      </c>
      <c r="J1380" t="inlineStr">
        <is>
          <t>ROCKCODE agrupado en ROCKCODE_NUMEQ=13; sigla sin leyenda</t>
        </is>
      </c>
      <c r="K1380" t="inlineStr">
        <is>
          <t>Hornfels (hipótesis: siglas H*)</t>
        </is>
      </c>
      <c r="L1380" t="inlineStr">
        <is>
          <t>Metamorfico</t>
        </is>
      </c>
      <c r="M1380" t="n">
        <v>578</v>
      </c>
      <c r="N1380" t="inlineStr"/>
      <c r="O1380" t="inlineStr"/>
      <c r="P1380" t="n">
        <v>641.9</v>
      </c>
      <c r="Q1380" t="n">
        <v>2.683</v>
      </c>
    </row>
    <row r="1381">
      <c r="A1381" t="inlineStr">
        <is>
          <t>MR24</t>
        </is>
      </c>
      <c r="B1381" t="inlineStr">
        <is>
          <t>Merged_Table_Assay_lito</t>
        </is>
      </c>
      <c r="C1381" t="inlineStr">
        <is>
          <t>metros de sondaje; pct sobre metros</t>
        </is>
      </c>
      <c r="D1381" t="inlineStr">
        <is>
          <t>fase_plp_GM_FASES_LE2_Output</t>
        </is>
      </c>
      <c r="E1381" t="inlineStr">
        <is>
          <t>14</t>
        </is>
      </c>
      <c r="F1381" t="inlineStr">
        <is>
          <t>ROCKCODE</t>
        </is>
      </c>
      <c r="G1381" t="inlineStr">
        <is>
          <t>HCB</t>
        </is>
      </c>
      <c r="H1381" t="inlineStr">
        <is>
          <t>sin asignar</t>
        </is>
      </c>
      <c r="I1381" t="inlineStr">
        <is>
          <t>HCB</t>
        </is>
      </c>
      <c r="J1381" t="inlineStr">
        <is>
          <t>ROCKCODE agrupado en ROCKCODE_NUMEQ=14; sigla sin leyenda</t>
        </is>
      </c>
      <c r="K1381" t="inlineStr">
        <is>
          <t>Hornfels (hipótesis: siglas H*)</t>
        </is>
      </c>
      <c r="L1381" t="inlineStr">
        <is>
          <t>Metamorfico</t>
        </is>
      </c>
      <c r="M1381" t="n">
        <v>30</v>
      </c>
      <c r="N1381" t="inlineStr"/>
      <c r="O1381" t="inlineStr"/>
      <c r="P1381" t="n">
        <v>28.05</v>
      </c>
      <c r="Q1381" t="n">
        <v>0.117</v>
      </c>
    </row>
    <row r="1382">
      <c r="A1382" t="inlineStr">
        <is>
          <t>MR24</t>
        </is>
      </c>
      <c r="B1382" t="inlineStr">
        <is>
          <t>Merged_Table_Assay_lito</t>
        </is>
      </c>
      <c r="C1382" t="inlineStr">
        <is>
          <t>metros de sondaje; pct sobre metros</t>
        </is>
      </c>
      <c r="D1382" t="inlineStr">
        <is>
          <t>fase_plp_GM_FASES_LE2_Output</t>
        </is>
      </c>
      <c r="E1382" t="inlineStr">
        <is>
          <t>14</t>
        </is>
      </c>
      <c r="F1382" t="inlineStr">
        <is>
          <t>ROCKCODE</t>
        </is>
      </c>
      <c r="G1382" t="inlineStr">
        <is>
          <t>HDP</t>
        </is>
      </c>
      <c r="H1382" t="inlineStr">
        <is>
          <t>sin asignar</t>
        </is>
      </c>
      <c r="I1382" t="inlineStr">
        <is>
          <t>HDP</t>
        </is>
      </c>
      <c r="J1382" t="inlineStr">
        <is>
          <t>ROCKCODE agrupado en ROCKCODE_NUMEQ=14; sigla sin leyenda</t>
        </is>
      </c>
      <c r="K1382" t="inlineStr">
        <is>
          <t>Hornfels (hipótesis: siglas H*)</t>
        </is>
      </c>
      <c r="L1382" t="inlineStr">
        <is>
          <t>Metamorfico</t>
        </is>
      </c>
      <c r="M1382" t="n">
        <v>43</v>
      </c>
      <c r="N1382" t="inlineStr"/>
      <c r="O1382" t="inlineStr"/>
      <c r="P1382" t="n">
        <v>34.95</v>
      </c>
      <c r="Q1382" t="n">
        <v>0.146</v>
      </c>
    </row>
    <row r="1383">
      <c r="A1383" t="inlineStr">
        <is>
          <t>MR24</t>
        </is>
      </c>
      <c r="B1383" t="inlineStr">
        <is>
          <t>Merged_Table_Assay_lito</t>
        </is>
      </c>
      <c r="C1383" t="inlineStr">
        <is>
          <t>metros de sondaje; pct sobre metros</t>
        </is>
      </c>
      <c r="D1383" t="inlineStr">
        <is>
          <t>fase_plp_GM_FASES_LE2_Output</t>
        </is>
      </c>
      <c r="E1383" t="inlineStr">
        <is>
          <t>14</t>
        </is>
      </c>
      <c r="F1383" t="inlineStr">
        <is>
          <t>ROCKCODE</t>
        </is>
      </c>
      <c r="G1383" t="inlineStr">
        <is>
          <t>HG</t>
        </is>
      </c>
      <c r="H1383" t="inlineStr">
        <is>
          <t>sin asignar</t>
        </is>
      </c>
      <c r="I1383" t="inlineStr">
        <is>
          <t>HG</t>
        </is>
      </c>
      <c r="J1383" t="inlineStr">
        <is>
          <t>ROCKCODE agrupado en ROCKCODE_NUMEQ=13; sigla sin leyenda</t>
        </is>
      </c>
      <c r="K1383" t="inlineStr">
        <is>
          <t>Hornfels (hipótesis: siglas H*)</t>
        </is>
      </c>
      <c r="L1383" t="inlineStr">
        <is>
          <t>Metamorfico</t>
        </is>
      </c>
      <c r="M1383" t="n">
        <v>1544</v>
      </c>
      <c r="N1383" t="inlineStr"/>
      <c r="O1383" t="inlineStr"/>
      <c r="P1383" t="n">
        <v>1468.85</v>
      </c>
      <c r="Q1383" t="n">
        <v>6.138</v>
      </c>
    </row>
    <row r="1384">
      <c r="A1384" t="inlineStr">
        <is>
          <t>MR24</t>
        </is>
      </c>
      <c r="B1384" t="inlineStr">
        <is>
          <t>Merged_Table_Assay_lito</t>
        </is>
      </c>
      <c r="C1384" t="inlineStr">
        <is>
          <t>metros de sondaje; pct sobre metros</t>
        </is>
      </c>
      <c r="D1384" t="inlineStr">
        <is>
          <t>fase_plp_GM_FASES_LE2_Output</t>
        </is>
      </c>
      <c r="E1384" t="inlineStr">
        <is>
          <t>14</t>
        </is>
      </c>
      <c r="F1384" t="inlineStr">
        <is>
          <t>ROCKCODE</t>
        </is>
      </c>
      <c r="G1384" t="inlineStr">
        <is>
          <t>HGS</t>
        </is>
      </c>
      <c r="H1384" t="inlineStr">
        <is>
          <t>sin asignar</t>
        </is>
      </c>
      <c r="I1384" t="inlineStr">
        <is>
          <t>HGS</t>
        </is>
      </c>
      <c r="J1384" t="inlineStr">
        <is>
          <t>ROCKCODE agrupado en ROCKCODE_NUMEQ=13; sigla sin leyenda</t>
        </is>
      </c>
      <c r="K1384" t="inlineStr">
        <is>
          <t>Hornfels (hipótesis: siglas H*)</t>
        </is>
      </c>
      <c r="L1384" t="inlineStr">
        <is>
          <t>Metamorfico</t>
        </is>
      </c>
      <c r="M1384" t="n">
        <v>808</v>
      </c>
      <c r="N1384" t="inlineStr"/>
      <c r="O1384" t="inlineStr"/>
      <c r="P1384" t="n">
        <v>706.05</v>
      </c>
      <c r="Q1384" t="n">
        <v>2.951</v>
      </c>
    </row>
    <row r="1385">
      <c r="A1385" t="inlineStr">
        <is>
          <t>MR24</t>
        </is>
      </c>
      <c r="B1385" t="inlineStr">
        <is>
          <t>Merged_Table_Assay_lito</t>
        </is>
      </c>
      <c r="C1385" t="inlineStr">
        <is>
          <t>metros de sondaje; pct sobre metros</t>
        </is>
      </c>
      <c r="D1385" t="inlineStr">
        <is>
          <t>fase_plp_GM_FASES_LE2_Output</t>
        </is>
      </c>
      <c r="E1385" t="inlineStr">
        <is>
          <t>14</t>
        </is>
      </c>
      <c r="F1385" t="inlineStr">
        <is>
          <t>ROCKCODE</t>
        </is>
      </c>
      <c r="G1385" t="inlineStr">
        <is>
          <t>HGV</t>
        </is>
      </c>
      <c r="H1385" t="inlineStr">
        <is>
          <t>sin asignar</t>
        </is>
      </c>
      <c r="I1385" t="inlineStr">
        <is>
          <t>HGV</t>
        </is>
      </c>
      <c r="J1385" t="inlineStr">
        <is>
          <t>ROCKCODE agrupado en ROCKCODE_NUMEQ=14; sigla sin leyenda</t>
        </is>
      </c>
      <c r="K1385" t="inlineStr">
        <is>
          <t>Hornfels (hipótesis: siglas H*)</t>
        </is>
      </c>
      <c r="L1385" t="inlineStr">
        <is>
          <t>Metamorfico</t>
        </is>
      </c>
      <c r="M1385" t="n">
        <v>298</v>
      </c>
      <c r="N1385" t="inlineStr"/>
      <c r="O1385" t="inlineStr"/>
      <c r="P1385" t="n">
        <v>223.25</v>
      </c>
      <c r="Q1385" t="n">
        <v>0.9330000000000001</v>
      </c>
    </row>
    <row r="1386">
      <c r="A1386" t="inlineStr">
        <is>
          <t>MR24</t>
        </is>
      </c>
      <c r="B1386" t="inlineStr">
        <is>
          <t>Merged_Table_Assay_lito</t>
        </is>
      </c>
      <c r="C1386" t="inlineStr">
        <is>
          <t>metros de sondaje; pct sobre metros</t>
        </is>
      </c>
      <c r="D1386" t="inlineStr">
        <is>
          <t>fase_plp_GM_FASES_LE2_Output</t>
        </is>
      </c>
      <c r="E1386" t="inlineStr">
        <is>
          <t>14</t>
        </is>
      </c>
      <c r="F1386" t="inlineStr">
        <is>
          <t>ROCKCODE</t>
        </is>
      </c>
      <c r="G1386" t="inlineStr">
        <is>
          <t>HMGV</t>
        </is>
      </c>
      <c r="H1386" t="inlineStr">
        <is>
          <t>sin asignar</t>
        </is>
      </c>
      <c r="I1386" t="inlineStr">
        <is>
          <t>HMGV</t>
        </is>
      </c>
      <c r="J1386" t="inlineStr">
        <is>
          <t>ROCKCODE agrupado en ROCKCODE_NUMEQ=14; sigla sin leyenda</t>
        </is>
      </c>
      <c r="K1386" t="inlineStr">
        <is>
          <t>Hornfels (hipótesis: siglas H*)</t>
        </is>
      </c>
      <c r="L1386" t="inlineStr">
        <is>
          <t>Metamorfico</t>
        </is>
      </c>
      <c r="M1386" t="n">
        <v>5</v>
      </c>
      <c r="N1386" t="inlineStr"/>
      <c r="O1386" t="inlineStr"/>
      <c r="P1386" t="n">
        <v>5.6</v>
      </c>
      <c r="Q1386" t="n">
        <v>0.023</v>
      </c>
    </row>
    <row r="1387">
      <c r="A1387" t="inlineStr">
        <is>
          <t>MR24</t>
        </is>
      </c>
      <c r="B1387" t="inlineStr">
        <is>
          <t>Merged_Table_Assay_lito</t>
        </is>
      </c>
      <c r="C1387" t="inlineStr">
        <is>
          <t>metros de sondaje; pct sobre metros</t>
        </is>
      </c>
      <c r="D1387" t="inlineStr">
        <is>
          <t>fase_plp_GM_FASES_LE2_Output</t>
        </is>
      </c>
      <c r="E1387" t="inlineStr">
        <is>
          <t>14</t>
        </is>
      </c>
      <c r="F1387" t="inlineStr">
        <is>
          <t>ROCKCODE</t>
        </is>
      </c>
      <c r="G1387" t="inlineStr">
        <is>
          <t>HV</t>
        </is>
      </c>
      <c r="H1387" t="inlineStr">
        <is>
          <t>sin asignar</t>
        </is>
      </c>
      <c r="I1387" t="inlineStr">
        <is>
          <t>HV</t>
        </is>
      </c>
      <c r="J1387" t="inlineStr">
        <is>
          <t>ROCKCODE agrupado en ROCKCODE_NUMEQ=14; sigla sin leyenda</t>
        </is>
      </c>
      <c r="K1387" t="inlineStr">
        <is>
          <t>Hornfels (hipótesis: siglas H*)</t>
        </is>
      </c>
      <c r="L1387" t="inlineStr">
        <is>
          <t>Metamorfico</t>
        </is>
      </c>
      <c r="M1387" t="n">
        <v>2</v>
      </c>
      <c r="N1387" t="inlineStr"/>
      <c r="O1387" t="inlineStr"/>
      <c r="P1387" t="n">
        <v>1.55</v>
      </c>
      <c r="Q1387" t="n">
        <v>0.006</v>
      </c>
    </row>
    <row r="1388">
      <c r="A1388" t="inlineStr">
        <is>
          <t>MR24</t>
        </is>
      </c>
      <c r="B1388" t="inlineStr">
        <is>
          <t>Merged_Table_Assay_lito</t>
        </is>
      </c>
      <c r="C1388" t="inlineStr">
        <is>
          <t>metros de sondaje; pct sobre metros</t>
        </is>
      </c>
      <c r="D1388" t="inlineStr">
        <is>
          <t>fase_plp_GM_FASES_LE2_Output</t>
        </is>
      </c>
      <c r="E1388" t="inlineStr">
        <is>
          <t>14</t>
        </is>
      </c>
      <c r="F1388" t="inlineStr">
        <is>
          <t>ROCKCODE</t>
        </is>
      </c>
      <c r="G1388" t="inlineStr">
        <is>
          <t>IPPA</t>
        </is>
      </c>
      <c r="H1388" t="inlineStr">
        <is>
          <t>Intrusivo</t>
        </is>
      </c>
      <c r="I1388" t="inlineStr">
        <is>
          <t>IPPA</t>
        </is>
      </c>
      <c r="J1388" t="inlineStr">
        <is>
          <t>ROCKCODE agrupado en ROCKCODE_NUMEQ=1 (Intrusivo_1)</t>
        </is>
      </c>
      <c r="K1388" t="inlineStr">
        <is>
          <t>Intrusivo</t>
        </is>
      </c>
      <c r="L1388" t="inlineStr">
        <is>
          <t>Intrusivo</t>
        </is>
      </c>
      <c r="M1388" t="n">
        <v>2764</v>
      </c>
      <c r="N1388" t="inlineStr"/>
      <c r="O1388" t="inlineStr"/>
      <c r="P1388" t="n">
        <v>2477.75</v>
      </c>
      <c r="Q1388" t="n">
        <v>10.355</v>
      </c>
    </row>
    <row r="1389">
      <c r="A1389" t="inlineStr">
        <is>
          <t>MR24</t>
        </is>
      </c>
      <c r="B1389" t="inlineStr">
        <is>
          <t>Merged_Table_Assay_lito</t>
        </is>
      </c>
      <c r="C1389" t="inlineStr">
        <is>
          <t>metros de sondaje; pct sobre metros</t>
        </is>
      </c>
      <c r="D1389" t="inlineStr">
        <is>
          <t>fase_plp_GM_FASES_LE2_Output</t>
        </is>
      </c>
      <c r="E1389" t="inlineStr">
        <is>
          <t>14</t>
        </is>
      </c>
      <c r="F1389" t="inlineStr">
        <is>
          <t>ROCKCODE</t>
        </is>
      </c>
      <c r="G1389" t="inlineStr">
        <is>
          <t>IPPAMO</t>
        </is>
      </c>
      <c r="H1389" t="inlineStr">
        <is>
          <t>Intrusivo</t>
        </is>
      </c>
      <c r="I1389" t="inlineStr">
        <is>
          <t>IPPAMO</t>
        </is>
      </c>
      <c r="J1389" t="inlineStr">
        <is>
          <t>ROCKCODE agrupado en ROCKCODE_NUMEQ=1 (Intrusivo_1)</t>
        </is>
      </c>
      <c r="K1389" t="inlineStr">
        <is>
          <t>Intrusivo</t>
        </is>
      </c>
      <c r="L1389" t="inlineStr">
        <is>
          <t>Intrusivo</t>
        </is>
      </c>
      <c r="M1389" t="n">
        <v>10</v>
      </c>
      <c r="N1389" t="inlineStr"/>
      <c r="O1389" t="inlineStr"/>
      <c r="P1389" t="n">
        <v>8</v>
      </c>
      <c r="Q1389" t="n">
        <v>0.033</v>
      </c>
    </row>
    <row r="1390">
      <c r="A1390" t="inlineStr">
        <is>
          <t>MR24</t>
        </is>
      </c>
      <c r="B1390" t="inlineStr">
        <is>
          <t>Merged_Table_Assay_lito</t>
        </is>
      </c>
      <c r="C1390" t="inlineStr">
        <is>
          <t>metros de sondaje; pct sobre metros</t>
        </is>
      </c>
      <c r="D1390" t="inlineStr">
        <is>
          <t>fase_plp_GM_FASES_LE2_Output</t>
        </is>
      </c>
      <c r="E1390" t="inlineStr">
        <is>
          <t>14</t>
        </is>
      </c>
      <c r="F1390" t="inlineStr">
        <is>
          <t>ROCKCODE</t>
        </is>
      </c>
      <c r="G1390" t="inlineStr">
        <is>
          <t>IPPAO</t>
        </is>
      </c>
      <c r="H1390" t="inlineStr">
        <is>
          <t>Intrusivo</t>
        </is>
      </c>
      <c r="I1390" t="inlineStr">
        <is>
          <t>IPPAO</t>
        </is>
      </c>
      <c r="J1390" t="inlineStr">
        <is>
          <t>ROCKCODE agrupado en ROCKCODE_NUMEQ=1 (Intrusivo_1)</t>
        </is>
      </c>
      <c r="K1390" t="inlineStr">
        <is>
          <t>Intrusivo</t>
        </is>
      </c>
      <c r="L1390" t="inlineStr">
        <is>
          <t>Intrusivo</t>
        </is>
      </c>
      <c r="M1390" t="n">
        <v>457</v>
      </c>
      <c r="N1390" t="inlineStr"/>
      <c r="O1390" t="inlineStr"/>
      <c r="P1390" t="n">
        <v>434.8</v>
      </c>
      <c r="Q1390" t="n">
        <v>1.817</v>
      </c>
    </row>
    <row r="1391">
      <c r="A1391" t="inlineStr">
        <is>
          <t>MR24</t>
        </is>
      </c>
      <c r="B1391" t="inlineStr">
        <is>
          <t>Merged_Table_Assay_lito</t>
        </is>
      </c>
      <c r="C1391" t="inlineStr">
        <is>
          <t>metros de sondaje; pct sobre metros</t>
        </is>
      </c>
      <c r="D1391" t="inlineStr">
        <is>
          <t>fase_plp_GM_FASES_LE2_Output</t>
        </is>
      </c>
      <c r="E1391" t="inlineStr">
        <is>
          <t>14</t>
        </is>
      </c>
      <c r="F1391" t="inlineStr">
        <is>
          <t>ROCKCODE</t>
        </is>
      </c>
      <c r="G1391" t="inlineStr">
        <is>
          <t>IPPEO</t>
        </is>
      </c>
      <c r="H1391" t="inlineStr">
        <is>
          <t>Intrusivo</t>
        </is>
      </c>
      <c r="I1391" t="inlineStr">
        <is>
          <t>IPPEO</t>
        </is>
      </c>
      <c r="J1391" t="inlineStr">
        <is>
          <t>ROCKCODE agrupado en ROCKCODE_NUMEQ=1 (Intrusivo_1)</t>
        </is>
      </c>
      <c r="K1391" t="inlineStr">
        <is>
          <t>Intrusivo</t>
        </is>
      </c>
      <c r="L1391" t="inlineStr">
        <is>
          <t>Intrusivo</t>
        </is>
      </c>
      <c r="M1391" t="n">
        <v>111</v>
      </c>
      <c r="N1391" t="inlineStr"/>
      <c r="O1391" t="inlineStr"/>
      <c r="P1391" t="n">
        <v>89.55</v>
      </c>
      <c r="Q1391" t="n">
        <v>0.374</v>
      </c>
    </row>
    <row r="1392">
      <c r="A1392" t="inlineStr">
        <is>
          <t>MR24</t>
        </is>
      </c>
      <c r="B1392" t="inlineStr">
        <is>
          <t>Merged_Table_Assay_lito</t>
        </is>
      </c>
      <c r="C1392" t="inlineStr">
        <is>
          <t>metros de sondaje; pct sobre metros</t>
        </is>
      </c>
      <c r="D1392" t="inlineStr">
        <is>
          <t>fase_plp_GM_FASES_LE2_Output</t>
        </is>
      </c>
      <c r="E1392" t="inlineStr">
        <is>
          <t>14</t>
        </is>
      </c>
      <c r="F1392" t="inlineStr">
        <is>
          <t>ROCKCODE</t>
        </is>
      </c>
      <c r="G1392" t="inlineStr">
        <is>
          <t>MC</t>
        </is>
      </c>
      <c r="H1392" t="inlineStr">
        <is>
          <t>sin asignar</t>
        </is>
      </c>
      <c r="I1392" t="inlineStr">
        <is>
          <t>MC</t>
        </is>
      </c>
      <c r="J1392" t="inlineStr">
        <is>
          <t>ROCKCODE agrupado en ROCKCODE_NUMEQ=16; sigla sin leyenda</t>
        </is>
      </c>
      <c r="K1392" t="inlineStr">
        <is>
          <t>Mármol (hipótesis: siglas M*)</t>
        </is>
      </c>
      <c r="L1392" t="inlineStr">
        <is>
          <t>Metamorfico</t>
        </is>
      </c>
      <c r="M1392" t="n">
        <v>2071</v>
      </c>
      <c r="N1392" t="inlineStr"/>
      <c r="O1392" t="inlineStr"/>
      <c r="P1392" t="n">
        <v>2063.95</v>
      </c>
      <c r="Q1392" t="n">
        <v>8.625</v>
      </c>
    </row>
    <row r="1393">
      <c r="A1393" t="inlineStr">
        <is>
          <t>MR24</t>
        </is>
      </c>
      <c r="B1393" t="inlineStr">
        <is>
          <t>Merged_Table_Assay_lito</t>
        </is>
      </c>
      <c r="C1393" t="inlineStr">
        <is>
          <t>metros de sondaje; pct sobre metros</t>
        </is>
      </c>
      <c r="D1393" t="inlineStr">
        <is>
          <t>fase_plp_GM_FASES_LE2_Output</t>
        </is>
      </c>
      <c r="E1393" t="inlineStr">
        <is>
          <t>14</t>
        </is>
      </c>
      <c r="F1393" t="inlineStr">
        <is>
          <t>ROCKCODE</t>
        </is>
      </c>
      <c r="G1393" t="inlineStr">
        <is>
          <t>MCB</t>
        </is>
      </c>
      <c r="H1393" t="inlineStr">
        <is>
          <t>sin asignar</t>
        </is>
      </c>
      <c r="I1393" t="inlineStr">
        <is>
          <t>MCB</t>
        </is>
      </c>
      <c r="J1393" t="inlineStr">
        <is>
          <t>ROCKCODE agrupado en ROCKCODE_NUMEQ=16; sigla sin leyenda</t>
        </is>
      </c>
      <c r="K1393" t="inlineStr">
        <is>
          <t>Mármol (hipótesis: siglas M*)</t>
        </is>
      </c>
      <c r="L1393" t="inlineStr">
        <is>
          <t>Metamorfico</t>
        </is>
      </c>
      <c r="M1393" t="n">
        <v>669</v>
      </c>
      <c r="N1393" t="inlineStr"/>
      <c r="O1393" t="inlineStr"/>
      <c r="P1393" t="n">
        <v>826.9</v>
      </c>
      <c r="Q1393" t="n">
        <v>3.456</v>
      </c>
    </row>
    <row r="1394">
      <c r="A1394" t="inlineStr">
        <is>
          <t>MR24</t>
        </is>
      </c>
      <c r="B1394" t="inlineStr">
        <is>
          <t>Merged_Table_Assay_lito</t>
        </is>
      </c>
      <c r="C1394" t="inlineStr">
        <is>
          <t>metros de sondaje; pct sobre metros</t>
        </is>
      </c>
      <c r="D1394" t="inlineStr">
        <is>
          <t>fase_plp_GM_FASES_LE2_Output</t>
        </is>
      </c>
      <c r="E1394" t="inlineStr">
        <is>
          <t>14</t>
        </is>
      </c>
      <c r="F1394" t="inlineStr">
        <is>
          <t>ROCKCODE</t>
        </is>
      </c>
      <c r="G1394" t="inlineStr">
        <is>
          <t>MCGB</t>
        </is>
      </c>
      <c r="H1394" t="inlineStr">
        <is>
          <t>sin asignar</t>
        </is>
      </c>
      <c r="I1394" t="inlineStr">
        <is>
          <t>MCGB</t>
        </is>
      </c>
      <c r="J1394" t="inlineStr">
        <is>
          <t>ROCKCODE agrupado en ROCKCODE_NUMEQ=16; sigla sin leyenda</t>
        </is>
      </c>
      <c r="K1394" t="inlineStr">
        <is>
          <t>Mármol (hipótesis: siglas M*)</t>
        </is>
      </c>
      <c r="L1394" t="inlineStr">
        <is>
          <t>Metamorfico</t>
        </is>
      </c>
      <c r="M1394" t="n">
        <v>376</v>
      </c>
      <c r="N1394" t="inlineStr"/>
      <c r="O1394" t="inlineStr"/>
      <c r="P1394" t="n">
        <v>354</v>
      </c>
      <c r="Q1394" t="n">
        <v>1.479</v>
      </c>
    </row>
    <row r="1395">
      <c r="A1395" t="inlineStr">
        <is>
          <t>MR24</t>
        </is>
      </c>
      <c r="B1395" t="inlineStr">
        <is>
          <t>Merged_Table_Assay_lito</t>
        </is>
      </c>
      <c r="C1395" t="inlineStr">
        <is>
          <t>metros de sondaje; pct sobre metros</t>
        </is>
      </c>
      <c r="D1395" t="inlineStr">
        <is>
          <t>fase_plp_GM_FASES_LE2_Output</t>
        </is>
      </c>
      <c r="E1395" t="inlineStr">
        <is>
          <t>14</t>
        </is>
      </c>
      <c r="F1395" t="inlineStr">
        <is>
          <t>ROCKCODE</t>
        </is>
      </c>
      <c r="G1395" t="inlineStr">
        <is>
          <t>MDL</t>
        </is>
      </c>
      <c r="H1395" t="inlineStr">
        <is>
          <t>sin asignar</t>
        </is>
      </c>
      <c r="I1395" t="inlineStr">
        <is>
          <t>MDL</t>
        </is>
      </c>
      <c r="J1395" t="inlineStr">
        <is>
          <t>ROCKCODE agrupado en ROCKCODE_NUMEQ=16; sigla sin leyenda</t>
        </is>
      </c>
      <c r="K1395" t="inlineStr">
        <is>
          <t>Mármol (hipótesis: siglas M*)</t>
        </is>
      </c>
      <c r="L1395" t="inlineStr">
        <is>
          <t>Metamorfico</t>
        </is>
      </c>
      <c r="M1395" t="n">
        <v>38</v>
      </c>
      <c r="N1395" t="inlineStr"/>
      <c r="O1395" t="inlineStr"/>
      <c r="P1395" t="n">
        <v>89.15000000000001</v>
      </c>
      <c r="Q1395" t="n">
        <v>0.373</v>
      </c>
    </row>
    <row r="1396">
      <c r="A1396" t="inlineStr">
        <is>
          <t>MR24</t>
        </is>
      </c>
      <c r="B1396" t="inlineStr">
        <is>
          <t>Merged_Table_Assay_lito</t>
        </is>
      </c>
      <c r="C1396" t="inlineStr">
        <is>
          <t>metros de sondaje; pct sobre metros</t>
        </is>
      </c>
      <c r="D1396" t="inlineStr">
        <is>
          <t>fase_plp_GM_FASES_LE2_Output</t>
        </is>
      </c>
      <c r="E1396" t="inlineStr">
        <is>
          <t>14</t>
        </is>
      </c>
      <c r="F1396" t="inlineStr">
        <is>
          <t>ROCKCODE</t>
        </is>
      </c>
      <c r="G1396" t="inlineStr">
        <is>
          <t>MDP</t>
        </is>
      </c>
      <c r="H1396" t="inlineStr">
        <is>
          <t>sin asignar</t>
        </is>
      </c>
      <c r="I1396" t="inlineStr">
        <is>
          <t>MDP</t>
        </is>
      </c>
      <c r="J1396" t="inlineStr">
        <is>
          <t>ROCKCODE agrupado en ROCKCODE_NUMEQ=19; sigla sin leyenda</t>
        </is>
      </c>
      <c r="K1396" t="inlineStr">
        <is>
          <t>Mármol (hipótesis: sigla MDP)</t>
        </is>
      </c>
      <c r="L1396" t="inlineStr">
        <is>
          <t>Metamorfico</t>
        </is>
      </c>
      <c r="M1396" t="n">
        <v>564</v>
      </c>
      <c r="N1396" t="inlineStr"/>
      <c r="O1396" t="inlineStr"/>
      <c r="P1396" t="n">
        <v>581</v>
      </c>
      <c r="Q1396" t="n">
        <v>2.428</v>
      </c>
    </row>
    <row r="1397">
      <c r="A1397" t="inlineStr">
        <is>
          <t>MR24</t>
        </is>
      </c>
      <c r="B1397" t="inlineStr">
        <is>
          <t>Merged_Table_Assay_lito</t>
        </is>
      </c>
      <c r="C1397" t="inlineStr">
        <is>
          <t>metros de sondaje; pct sobre metros</t>
        </is>
      </c>
      <c r="D1397" t="inlineStr">
        <is>
          <t>fase_plp_GM_FASES_LE2_Output</t>
        </is>
      </c>
      <c r="E1397" t="inlineStr">
        <is>
          <t>14</t>
        </is>
      </c>
      <c r="F1397" t="inlineStr">
        <is>
          <t>ROCKCODE</t>
        </is>
      </c>
      <c r="G1397" t="inlineStr">
        <is>
          <t>MG</t>
        </is>
      </c>
      <c r="H1397" t="inlineStr">
        <is>
          <t>sin asignar</t>
        </is>
      </c>
      <c r="I1397" t="inlineStr">
        <is>
          <t>MG</t>
        </is>
      </c>
      <c r="J1397" t="inlineStr">
        <is>
          <t>ROCKCODE agrupado en ROCKCODE_NUMEQ=16; sigla sin leyenda</t>
        </is>
      </c>
      <c r="K1397" t="inlineStr">
        <is>
          <t>Mármol (hipótesis: siglas M*)</t>
        </is>
      </c>
      <c r="L1397" t="inlineStr">
        <is>
          <t>Metamorfico</t>
        </is>
      </c>
      <c r="M1397" t="n">
        <v>1270</v>
      </c>
      <c r="N1397" t="inlineStr"/>
      <c r="O1397" t="inlineStr"/>
      <c r="P1397" t="n">
        <v>1388.8</v>
      </c>
      <c r="Q1397" t="n">
        <v>5.804</v>
      </c>
    </row>
    <row r="1398">
      <c r="A1398" t="inlineStr">
        <is>
          <t>MR24</t>
        </is>
      </c>
      <c r="B1398" t="inlineStr">
        <is>
          <t>Merged_Table_Assay_lito</t>
        </is>
      </c>
      <c r="C1398" t="inlineStr">
        <is>
          <t>metros de sondaje; pct sobre metros</t>
        </is>
      </c>
      <c r="D1398" t="inlineStr">
        <is>
          <t>fase_plp_GM_FASES_LE2_Output</t>
        </is>
      </c>
      <c r="E1398" t="inlineStr">
        <is>
          <t>14</t>
        </is>
      </c>
      <c r="F1398" t="inlineStr">
        <is>
          <t>ROCKCODE</t>
        </is>
      </c>
      <c r="G1398" t="inlineStr">
        <is>
          <t>MGS</t>
        </is>
      </c>
      <c r="H1398" t="inlineStr">
        <is>
          <t>sin asignar</t>
        </is>
      </c>
      <c r="I1398" t="inlineStr">
        <is>
          <t>MGS</t>
        </is>
      </c>
      <c r="J1398" t="inlineStr">
        <is>
          <t>ROCKCODE agrupado en ROCKCODE_NUMEQ=16; sigla sin leyenda</t>
        </is>
      </c>
      <c r="K1398" t="inlineStr">
        <is>
          <t>Mármol (hipótesis: siglas M*)</t>
        </is>
      </c>
      <c r="L1398" t="inlineStr">
        <is>
          <t>Metamorfico</t>
        </is>
      </c>
      <c r="M1398" t="n">
        <v>691</v>
      </c>
      <c r="N1398" t="inlineStr"/>
      <c r="O1398" t="inlineStr"/>
      <c r="P1398" t="n">
        <v>677.25</v>
      </c>
      <c r="Q1398" t="n">
        <v>2.83</v>
      </c>
    </row>
    <row r="1399">
      <c r="A1399" t="inlineStr">
        <is>
          <t>MR24</t>
        </is>
      </c>
      <c r="B1399" t="inlineStr">
        <is>
          <t>Merged_Table_Assay_lito</t>
        </is>
      </c>
      <c r="C1399" t="inlineStr">
        <is>
          <t>metros de sondaje; pct sobre metros</t>
        </is>
      </c>
      <c r="D1399" t="inlineStr">
        <is>
          <t>fase_plp_GM_FASES_LE2_Output</t>
        </is>
      </c>
      <c r="E1399" t="inlineStr">
        <is>
          <t>14</t>
        </is>
      </c>
      <c r="F1399" t="inlineStr">
        <is>
          <t>ROCKCODE</t>
        </is>
      </c>
      <c r="G1399" t="inlineStr">
        <is>
          <t>MPA</t>
        </is>
      </c>
      <c r="H1399" t="inlineStr">
        <is>
          <t>sin asignar</t>
        </is>
      </c>
      <c r="I1399" t="inlineStr">
        <is>
          <t>MPA</t>
        </is>
      </c>
      <c r="J1399" t="inlineStr">
        <is>
          <t>ROCKCODE agrupado en ROCKCODE_NUMEQ=16; sigla sin leyenda</t>
        </is>
      </c>
      <c r="K1399" t="inlineStr">
        <is>
          <t>Mármol (hipótesis: siglas M*)</t>
        </is>
      </c>
      <c r="L1399" t="inlineStr">
        <is>
          <t>Metamorfico</t>
        </is>
      </c>
      <c r="M1399" t="n">
        <v>1815</v>
      </c>
      <c r="N1399" t="inlineStr"/>
      <c r="O1399" t="inlineStr"/>
      <c r="P1399" t="n">
        <v>1926.2</v>
      </c>
      <c r="Q1399" t="n">
        <v>8.050000000000001</v>
      </c>
    </row>
    <row r="1400">
      <c r="A1400" t="inlineStr">
        <is>
          <t>MR24</t>
        </is>
      </c>
      <c r="B1400" t="inlineStr">
        <is>
          <t>Merged_Table_Assay_lito</t>
        </is>
      </c>
      <c r="C1400" t="inlineStr">
        <is>
          <t>metros de sondaje; pct sobre metros</t>
        </is>
      </c>
      <c r="D1400" t="inlineStr">
        <is>
          <t>fase_plp_GM_FASES_LE2_Output</t>
        </is>
      </c>
      <c r="E1400" t="inlineStr">
        <is>
          <t>15</t>
        </is>
      </c>
      <c r="F1400" t="inlineStr">
        <is>
          <t>ROCKCODE</t>
        </is>
      </c>
      <c r="G1400" t="inlineStr">
        <is>
          <t>CA</t>
        </is>
      </c>
      <c r="H1400" t="inlineStr">
        <is>
          <t>sin asignar</t>
        </is>
      </c>
      <c r="I1400" t="inlineStr">
        <is>
          <t>CA</t>
        </is>
      </c>
      <c r="J1400" t="inlineStr">
        <is>
          <t>ROCKCODE agrupado en ROCKCODE_NUMEQ=10; sigla sin leyenda</t>
        </is>
      </c>
      <c r="K1400" t="inlineStr">
        <is>
          <t>Caliza (hipótesis: siglas C*)</t>
        </is>
      </c>
      <c r="L1400" t="inlineStr">
        <is>
          <t>Sedimentario</t>
        </is>
      </c>
      <c r="M1400" t="n">
        <v>194</v>
      </c>
      <c r="N1400" t="inlineStr"/>
      <c r="O1400" t="inlineStr"/>
      <c r="P1400" t="n">
        <v>220.05</v>
      </c>
      <c r="Q1400" t="n">
        <v>2.091</v>
      </c>
    </row>
    <row r="1401">
      <c r="A1401" t="inlineStr">
        <is>
          <t>MR24</t>
        </is>
      </c>
      <c r="B1401" t="inlineStr">
        <is>
          <t>Merged_Table_Assay_lito</t>
        </is>
      </c>
      <c r="C1401" t="inlineStr">
        <is>
          <t>metros de sondaje; pct sobre metros</t>
        </is>
      </c>
      <c r="D1401" t="inlineStr">
        <is>
          <t>fase_plp_GM_FASES_LE2_Output</t>
        </is>
      </c>
      <c r="E1401" t="inlineStr">
        <is>
          <t>15</t>
        </is>
      </c>
      <c r="F1401" t="inlineStr">
        <is>
          <t>ROCKCODE</t>
        </is>
      </c>
      <c r="G1401" t="inlineStr">
        <is>
          <t>CBMN</t>
        </is>
      </c>
      <c r="H1401" t="inlineStr">
        <is>
          <t>sin asignar</t>
        </is>
      </c>
      <c r="I1401" t="inlineStr">
        <is>
          <t>CBMN</t>
        </is>
      </c>
      <c r="J1401" t="inlineStr">
        <is>
          <t>ROCKCODE agrupado en ROCKCODE_NUMEQ=10; sigla sin leyenda</t>
        </is>
      </c>
      <c r="K1401" t="inlineStr">
        <is>
          <t>Caliza (hipótesis: siglas C*)</t>
        </is>
      </c>
      <c r="L1401" t="inlineStr">
        <is>
          <t>Sedimentario</t>
        </is>
      </c>
      <c r="M1401" t="n">
        <v>87</v>
      </c>
      <c r="N1401" t="inlineStr"/>
      <c r="O1401" t="inlineStr"/>
      <c r="P1401" t="n">
        <v>63.65</v>
      </c>
      <c r="Q1401" t="n">
        <v>0.605</v>
      </c>
    </row>
    <row r="1402">
      <c r="A1402" t="inlineStr">
        <is>
          <t>MR24</t>
        </is>
      </c>
      <c r="B1402" t="inlineStr">
        <is>
          <t>Merged_Table_Assay_lito</t>
        </is>
      </c>
      <c r="C1402" t="inlineStr">
        <is>
          <t>metros de sondaje; pct sobre metros</t>
        </is>
      </c>
      <c r="D1402" t="inlineStr">
        <is>
          <t>fase_plp_GM_FASES_LE2_Output</t>
        </is>
      </c>
      <c r="E1402" t="inlineStr">
        <is>
          <t>15</t>
        </is>
      </c>
      <c r="F1402" t="inlineStr">
        <is>
          <t>ROCKCODE</t>
        </is>
      </c>
      <c r="G1402" t="inlineStr">
        <is>
          <t>CF</t>
        </is>
      </c>
      <c r="H1402" t="inlineStr">
        <is>
          <t>sin asignar</t>
        </is>
      </c>
      <c r="I1402" t="inlineStr">
        <is>
          <t>CF</t>
        </is>
      </c>
      <c r="J1402" t="inlineStr">
        <is>
          <t>ROCKCODE agrupado en ROCKCODE_NUMEQ=10; sigla sin leyenda</t>
        </is>
      </c>
      <c r="K1402" t="inlineStr">
        <is>
          <t>Caliza (hipótesis: siglas C*)</t>
        </is>
      </c>
      <c r="L1402" t="inlineStr">
        <is>
          <t>Sedimentario</t>
        </is>
      </c>
      <c r="M1402" t="n">
        <v>25</v>
      </c>
      <c r="N1402" t="inlineStr"/>
      <c r="O1402" t="inlineStr"/>
      <c r="P1402" t="n">
        <v>18.75</v>
      </c>
      <c r="Q1402" t="n">
        <v>0.178</v>
      </c>
    </row>
    <row r="1403">
      <c r="A1403" t="inlineStr">
        <is>
          <t>MR24</t>
        </is>
      </c>
      <c r="B1403" t="inlineStr">
        <is>
          <t>Merged_Table_Assay_lito</t>
        </is>
      </c>
      <c r="C1403" t="inlineStr">
        <is>
          <t>metros de sondaje; pct sobre metros</t>
        </is>
      </c>
      <c r="D1403" t="inlineStr">
        <is>
          <t>fase_plp_GM_FASES_LE2_Output</t>
        </is>
      </c>
      <c r="E1403" t="inlineStr">
        <is>
          <t>15</t>
        </is>
      </c>
      <c r="F1403" t="inlineStr">
        <is>
          <t>ROCKCODE</t>
        </is>
      </c>
      <c r="G1403" t="inlineStr">
        <is>
          <t>CG</t>
        </is>
      </c>
      <c r="H1403" t="inlineStr">
        <is>
          <t>sin asignar</t>
        </is>
      </c>
      <c r="I1403" t="inlineStr">
        <is>
          <t>CG</t>
        </is>
      </c>
      <c r="J1403" t="inlineStr">
        <is>
          <t>ROCKCODE agrupado en ROCKCODE_NUMEQ=10; sigla sin leyenda</t>
        </is>
      </c>
      <c r="K1403" t="inlineStr">
        <is>
          <t>Caliza (hipótesis: siglas C*)</t>
        </is>
      </c>
      <c r="L1403" t="inlineStr">
        <is>
          <t>Sedimentario</t>
        </is>
      </c>
      <c r="M1403" t="n">
        <v>308</v>
      </c>
      <c r="N1403" t="inlineStr"/>
      <c r="O1403" t="inlineStr"/>
      <c r="P1403" t="n">
        <v>299.15</v>
      </c>
      <c r="Q1403" t="n">
        <v>2.842</v>
      </c>
    </row>
    <row r="1404">
      <c r="A1404" t="inlineStr">
        <is>
          <t>MR24</t>
        </is>
      </c>
      <c r="B1404" t="inlineStr">
        <is>
          <t>Merged_Table_Assay_lito</t>
        </is>
      </c>
      <c r="C1404" t="inlineStr">
        <is>
          <t>metros de sondaje; pct sobre metros</t>
        </is>
      </c>
      <c r="D1404" t="inlineStr">
        <is>
          <t>fase_plp_GM_FASES_LE2_Output</t>
        </is>
      </c>
      <c r="E1404" t="inlineStr">
        <is>
          <t>15</t>
        </is>
      </c>
      <c r="F1404" t="inlineStr">
        <is>
          <t>ROCKCODE</t>
        </is>
      </c>
      <c r="G1404" t="inlineStr">
        <is>
          <t>CGS</t>
        </is>
      </c>
      <c r="H1404" t="inlineStr">
        <is>
          <t>sin asignar</t>
        </is>
      </c>
      <c r="I1404" t="inlineStr">
        <is>
          <t>CGS</t>
        </is>
      </c>
      <c r="J1404" t="inlineStr">
        <is>
          <t>ROCKCODE agrupado en ROCKCODE_NUMEQ=10; sigla sin leyenda</t>
        </is>
      </c>
      <c r="K1404" t="inlineStr">
        <is>
          <t>Caliza (hipótesis: siglas C*)</t>
        </is>
      </c>
      <c r="L1404" t="inlineStr">
        <is>
          <t>Sedimentario</t>
        </is>
      </c>
      <c r="M1404" t="n">
        <v>986</v>
      </c>
      <c r="N1404" t="inlineStr"/>
      <c r="O1404" t="inlineStr"/>
      <c r="P1404" t="n">
        <v>841.1</v>
      </c>
      <c r="Q1404" t="n">
        <v>7.991</v>
      </c>
    </row>
    <row r="1405">
      <c r="A1405" t="inlineStr">
        <is>
          <t>MR24</t>
        </is>
      </c>
      <c r="B1405" t="inlineStr">
        <is>
          <t>Merged_Table_Assay_lito</t>
        </is>
      </c>
      <c r="C1405" t="inlineStr">
        <is>
          <t>metros de sondaje; pct sobre metros</t>
        </is>
      </c>
      <c r="D1405" t="inlineStr">
        <is>
          <t>fase_plp_GM_FASES_LE2_Output</t>
        </is>
      </c>
      <c r="E1405" t="inlineStr">
        <is>
          <t>15</t>
        </is>
      </c>
      <c r="F1405" t="inlineStr">
        <is>
          <t>ROCKCODE</t>
        </is>
      </c>
      <c r="G1405" t="inlineStr">
        <is>
          <t>CN</t>
        </is>
      </c>
      <c r="H1405" t="inlineStr">
        <is>
          <t>sin asignar</t>
        </is>
      </c>
      <c r="I1405" t="inlineStr">
        <is>
          <t>CN</t>
        </is>
      </c>
      <c r="J1405" t="inlineStr">
        <is>
          <t>ROCKCODE agrupado en ROCKCODE_NUMEQ=10; sigla sin leyenda</t>
        </is>
      </c>
      <c r="K1405" t="inlineStr">
        <is>
          <t>Caliza (hipótesis: siglas C*)</t>
        </is>
      </c>
      <c r="L1405" t="inlineStr">
        <is>
          <t>Sedimentario</t>
        </is>
      </c>
      <c r="M1405" t="n">
        <v>101</v>
      </c>
      <c r="N1405" t="inlineStr"/>
      <c r="O1405" t="inlineStr"/>
      <c r="P1405" t="n">
        <v>80.7</v>
      </c>
      <c r="Q1405" t="n">
        <v>0.767</v>
      </c>
    </row>
    <row r="1406">
      <c r="A1406" t="inlineStr">
        <is>
          <t>MR24</t>
        </is>
      </c>
      <c r="B1406" t="inlineStr">
        <is>
          <t>Merged_Table_Assay_lito</t>
        </is>
      </c>
      <c r="C1406" t="inlineStr">
        <is>
          <t>metros de sondaje; pct sobre metros</t>
        </is>
      </c>
      <c r="D1406" t="inlineStr">
        <is>
          <t>fase_plp_GM_FASES_LE2_Output</t>
        </is>
      </c>
      <c r="E1406" t="inlineStr">
        <is>
          <t>15</t>
        </is>
      </c>
      <c r="F1406" t="inlineStr">
        <is>
          <t>ROCKCODE</t>
        </is>
      </c>
      <c r="G1406" t="inlineStr">
        <is>
          <t>HC</t>
        </is>
      </c>
      <c r="H1406" t="inlineStr">
        <is>
          <t>sin asignar</t>
        </is>
      </c>
      <c r="I1406" t="inlineStr">
        <is>
          <t>HC</t>
        </is>
      </c>
      <c r="J1406" t="inlineStr">
        <is>
          <t>ROCKCODE agrupado en ROCKCODE_NUMEQ=13; sigla sin leyenda</t>
        </is>
      </c>
      <c r="K1406" t="inlineStr">
        <is>
          <t>Hornfels (hipótesis: siglas H*)</t>
        </is>
      </c>
      <c r="L1406" t="inlineStr">
        <is>
          <t>Metamorfico</t>
        </is>
      </c>
      <c r="M1406" t="n">
        <v>2</v>
      </c>
      <c r="N1406" t="inlineStr"/>
      <c r="O1406" t="inlineStr"/>
      <c r="P1406" t="n">
        <v>3.6</v>
      </c>
      <c r="Q1406" t="n">
        <v>0.034</v>
      </c>
    </row>
    <row r="1407">
      <c r="A1407" t="inlineStr">
        <is>
          <t>MR24</t>
        </is>
      </c>
      <c r="B1407" t="inlineStr">
        <is>
          <t>Merged_Table_Assay_lito</t>
        </is>
      </c>
      <c r="C1407" t="inlineStr">
        <is>
          <t>metros de sondaje; pct sobre metros</t>
        </is>
      </c>
      <c r="D1407" t="inlineStr">
        <is>
          <t>fase_plp_GM_FASES_LE2_Output</t>
        </is>
      </c>
      <c r="E1407" t="inlineStr">
        <is>
          <t>15</t>
        </is>
      </c>
      <c r="F1407" t="inlineStr">
        <is>
          <t>ROCKCODE</t>
        </is>
      </c>
      <c r="G1407" t="inlineStr">
        <is>
          <t>HG</t>
        </is>
      </c>
      <c r="H1407" t="inlineStr">
        <is>
          <t>sin asignar</t>
        </is>
      </c>
      <c r="I1407" t="inlineStr">
        <is>
          <t>HG</t>
        </is>
      </c>
      <c r="J1407" t="inlineStr">
        <is>
          <t>ROCKCODE agrupado en ROCKCODE_NUMEQ=13; sigla sin leyenda</t>
        </is>
      </c>
      <c r="K1407" t="inlineStr">
        <is>
          <t>Hornfels (hipótesis: siglas H*)</t>
        </is>
      </c>
      <c r="L1407" t="inlineStr">
        <is>
          <t>Metamorfico</t>
        </is>
      </c>
      <c r="M1407" t="n">
        <v>32</v>
      </c>
      <c r="N1407" t="inlineStr"/>
      <c r="O1407" t="inlineStr"/>
      <c r="P1407" t="n">
        <v>28.7</v>
      </c>
      <c r="Q1407" t="n">
        <v>0.273</v>
      </c>
    </row>
    <row r="1408">
      <c r="A1408" t="inlineStr">
        <is>
          <t>MR24</t>
        </is>
      </c>
      <c r="B1408" t="inlineStr">
        <is>
          <t>Merged_Table_Assay_lito</t>
        </is>
      </c>
      <c r="C1408" t="inlineStr">
        <is>
          <t>metros de sondaje; pct sobre metros</t>
        </is>
      </c>
      <c r="D1408" t="inlineStr">
        <is>
          <t>fase_plp_GM_FASES_LE2_Output</t>
        </is>
      </c>
      <c r="E1408" t="inlineStr">
        <is>
          <t>15</t>
        </is>
      </c>
      <c r="F1408" t="inlineStr">
        <is>
          <t>ROCKCODE</t>
        </is>
      </c>
      <c r="G1408" t="inlineStr">
        <is>
          <t>HGS</t>
        </is>
      </c>
      <c r="H1408" t="inlineStr">
        <is>
          <t>sin asignar</t>
        </is>
      </c>
      <c r="I1408" t="inlineStr">
        <is>
          <t>HGS</t>
        </is>
      </c>
      <c r="J1408" t="inlineStr">
        <is>
          <t>ROCKCODE agrupado en ROCKCODE_NUMEQ=13; sigla sin leyenda</t>
        </is>
      </c>
      <c r="K1408" t="inlineStr">
        <is>
          <t>Hornfels (hipótesis: siglas H*)</t>
        </is>
      </c>
      <c r="L1408" t="inlineStr">
        <is>
          <t>Metamorfico</t>
        </is>
      </c>
      <c r="M1408" t="n">
        <v>142</v>
      </c>
      <c r="N1408" t="inlineStr"/>
      <c r="O1408" t="inlineStr"/>
      <c r="P1408" t="n">
        <v>126.7</v>
      </c>
      <c r="Q1408" t="n">
        <v>1.204</v>
      </c>
    </row>
    <row r="1409">
      <c r="A1409" t="inlineStr">
        <is>
          <t>MR24</t>
        </is>
      </c>
      <c r="B1409" t="inlineStr">
        <is>
          <t>Merged_Table_Assay_lito</t>
        </is>
      </c>
      <c r="C1409" t="inlineStr">
        <is>
          <t>metros de sondaje; pct sobre metros</t>
        </is>
      </c>
      <c r="D1409" t="inlineStr">
        <is>
          <t>fase_plp_GM_FASES_LE2_Output</t>
        </is>
      </c>
      <c r="E1409" t="inlineStr">
        <is>
          <t>15</t>
        </is>
      </c>
      <c r="F1409" t="inlineStr">
        <is>
          <t>ROCKCODE</t>
        </is>
      </c>
      <c r="G1409" t="inlineStr">
        <is>
          <t>IPPA</t>
        </is>
      </c>
      <c r="H1409" t="inlineStr">
        <is>
          <t>Intrusivo</t>
        </is>
      </c>
      <c r="I1409" t="inlineStr">
        <is>
          <t>IPPA</t>
        </is>
      </c>
      <c r="J1409" t="inlineStr">
        <is>
          <t>ROCKCODE agrupado en ROCKCODE_NUMEQ=1 (Intrusivo_1)</t>
        </is>
      </c>
      <c r="K1409" t="inlineStr">
        <is>
          <t>Intrusivo</t>
        </is>
      </c>
      <c r="L1409" t="inlineStr">
        <is>
          <t>Intrusivo</t>
        </is>
      </c>
      <c r="M1409" t="n">
        <v>1244</v>
      </c>
      <c r="N1409" t="inlineStr"/>
      <c r="O1409" t="inlineStr"/>
      <c r="P1409" t="n">
        <v>1654.8</v>
      </c>
      <c r="Q1409" t="n">
        <v>15.722</v>
      </c>
    </row>
    <row r="1410">
      <c r="A1410" t="inlineStr">
        <is>
          <t>MR24</t>
        </is>
      </c>
      <c r="B1410" t="inlineStr">
        <is>
          <t>Merged_Table_Assay_lito</t>
        </is>
      </c>
      <c r="C1410" t="inlineStr">
        <is>
          <t>metros de sondaje; pct sobre metros</t>
        </is>
      </c>
      <c r="D1410" t="inlineStr">
        <is>
          <t>fase_plp_GM_FASES_LE2_Output</t>
        </is>
      </c>
      <c r="E1410" t="inlineStr">
        <is>
          <t>15</t>
        </is>
      </c>
      <c r="F1410" t="inlineStr">
        <is>
          <t>ROCKCODE</t>
        </is>
      </c>
      <c r="G1410" t="inlineStr">
        <is>
          <t>IPPAMO</t>
        </is>
      </c>
      <c r="H1410" t="inlineStr">
        <is>
          <t>Intrusivo</t>
        </is>
      </c>
      <c r="I1410" t="inlineStr">
        <is>
          <t>IPPAMO</t>
        </is>
      </c>
      <c r="J1410" t="inlineStr">
        <is>
          <t>ROCKCODE agrupado en ROCKCODE_NUMEQ=1 (Intrusivo_1)</t>
        </is>
      </c>
      <c r="K1410" t="inlineStr">
        <is>
          <t>Intrusivo</t>
        </is>
      </c>
      <c r="L1410" t="inlineStr">
        <is>
          <t>Intrusivo</t>
        </is>
      </c>
      <c r="M1410" t="n">
        <v>483</v>
      </c>
      <c r="N1410" t="inlineStr"/>
      <c r="O1410" t="inlineStr"/>
      <c r="P1410" t="n">
        <v>450</v>
      </c>
      <c r="Q1410" t="n">
        <v>4.275</v>
      </c>
    </row>
    <row r="1411">
      <c r="A1411" t="inlineStr">
        <is>
          <t>MR24</t>
        </is>
      </c>
      <c r="B1411" t="inlineStr">
        <is>
          <t>Merged_Table_Assay_lito</t>
        </is>
      </c>
      <c r="C1411" t="inlineStr">
        <is>
          <t>metros de sondaje; pct sobre metros</t>
        </is>
      </c>
      <c r="D1411" t="inlineStr">
        <is>
          <t>fase_plp_GM_FASES_LE2_Output</t>
        </is>
      </c>
      <c r="E1411" t="inlineStr">
        <is>
          <t>15</t>
        </is>
      </c>
      <c r="F1411" t="inlineStr">
        <is>
          <t>ROCKCODE</t>
        </is>
      </c>
      <c r="G1411" t="inlineStr">
        <is>
          <t>IPPAO</t>
        </is>
      </c>
      <c r="H1411" t="inlineStr">
        <is>
          <t>Intrusivo</t>
        </is>
      </c>
      <c r="I1411" t="inlineStr">
        <is>
          <t>IPPAO</t>
        </is>
      </c>
      <c r="J1411" t="inlineStr">
        <is>
          <t>ROCKCODE agrupado en ROCKCODE_NUMEQ=1 (Intrusivo_1)</t>
        </is>
      </c>
      <c r="K1411" t="inlineStr">
        <is>
          <t>Intrusivo</t>
        </is>
      </c>
      <c r="L1411" t="inlineStr">
        <is>
          <t>Intrusivo</t>
        </is>
      </c>
      <c r="M1411" t="n">
        <v>980</v>
      </c>
      <c r="N1411" t="inlineStr"/>
      <c r="O1411" t="inlineStr"/>
      <c r="P1411" t="n">
        <v>926.3</v>
      </c>
      <c r="Q1411" t="n">
        <v>8.801</v>
      </c>
    </row>
    <row r="1412">
      <c r="A1412" t="inlineStr">
        <is>
          <t>MR24</t>
        </is>
      </c>
      <c r="B1412" t="inlineStr">
        <is>
          <t>Merged_Table_Assay_lito</t>
        </is>
      </c>
      <c r="C1412" t="inlineStr">
        <is>
          <t>metros de sondaje; pct sobre metros</t>
        </is>
      </c>
      <c r="D1412" t="inlineStr">
        <is>
          <t>fase_plp_GM_FASES_LE2_Output</t>
        </is>
      </c>
      <c r="E1412" t="inlineStr">
        <is>
          <t>15</t>
        </is>
      </c>
      <c r="F1412" t="inlineStr">
        <is>
          <t>ROCKCODE</t>
        </is>
      </c>
      <c r="G1412" t="inlineStr">
        <is>
          <t>IPPEO</t>
        </is>
      </c>
      <c r="H1412" t="inlineStr">
        <is>
          <t>Intrusivo</t>
        </is>
      </c>
      <c r="I1412" t="inlineStr">
        <is>
          <t>IPPEO</t>
        </is>
      </c>
      <c r="J1412" t="inlineStr">
        <is>
          <t>ROCKCODE agrupado en ROCKCODE_NUMEQ=1 (Intrusivo_1)</t>
        </is>
      </c>
      <c r="K1412" t="inlineStr">
        <is>
          <t>Intrusivo</t>
        </is>
      </c>
      <c r="L1412" t="inlineStr">
        <is>
          <t>Intrusivo</t>
        </is>
      </c>
      <c r="M1412" t="n">
        <v>6</v>
      </c>
      <c r="N1412" t="inlineStr"/>
      <c r="O1412" t="inlineStr"/>
      <c r="P1412" t="n">
        <v>10.25</v>
      </c>
      <c r="Q1412" t="n">
        <v>0.097</v>
      </c>
    </row>
    <row r="1413">
      <c r="A1413" t="inlineStr">
        <is>
          <t>MR24</t>
        </is>
      </c>
      <c r="B1413" t="inlineStr">
        <is>
          <t>Merged_Table_Assay_lito</t>
        </is>
      </c>
      <c r="C1413" t="inlineStr">
        <is>
          <t>metros de sondaje; pct sobre metros</t>
        </is>
      </c>
      <c r="D1413" t="inlineStr">
        <is>
          <t>fase_plp_GM_FASES_LE2_Output</t>
        </is>
      </c>
      <c r="E1413" t="inlineStr">
        <is>
          <t>15</t>
        </is>
      </c>
      <c r="F1413" t="inlineStr">
        <is>
          <t>ROCKCODE</t>
        </is>
      </c>
      <c r="G1413" t="inlineStr">
        <is>
          <t>MC</t>
        </is>
      </c>
      <c r="H1413" t="inlineStr">
        <is>
          <t>sin asignar</t>
        </is>
      </c>
      <c r="I1413" t="inlineStr">
        <is>
          <t>MC</t>
        </is>
      </c>
      <c r="J1413" t="inlineStr">
        <is>
          <t>ROCKCODE agrupado en ROCKCODE_NUMEQ=16; sigla sin leyenda</t>
        </is>
      </c>
      <c r="K1413" t="inlineStr">
        <is>
          <t>Mármol (hipótesis: siglas M*)</t>
        </is>
      </c>
      <c r="L1413" t="inlineStr">
        <is>
          <t>Metamorfico</t>
        </is>
      </c>
      <c r="M1413" t="n">
        <v>1392</v>
      </c>
      <c r="N1413" t="inlineStr"/>
      <c r="O1413" t="inlineStr"/>
      <c r="P1413" t="n">
        <v>2032.15</v>
      </c>
      <c r="Q1413" t="n">
        <v>19.307</v>
      </c>
    </row>
    <row r="1414">
      <c r="A1414" t="inlineStr">
        <is>
          <t>MR24</t>
        </is>
      </c>
      <c r="B1414" t="inlineStr">
        <is>
          <t>Merged_Table_Assay_lito</t>
        </is>
      </c>
      <c r="C1414" t="inlineStr">
        <is>
          <t>metros de sondaje; pct sobre metros</t>
        </is>
      </c>
      <c r="D1414" t="inlineStr">
        <is>
          <t>fase_plp_GM_FASES_LE2_Output</t>
        </is>
      </c>
      <c r="E1414" t="inlineStr">
        <is>
          <t>15</t>
        </is>
      </c>
      <c r="F1414" t="inlineStr">
        <is>
          <t>ROCKCODE</t>
        </is>
      </c>
      <c r="G1414" t="inlineStr">
        <is>
          <t>MCB</t>
        </is>
      </c>
      <c r="H1414" t="inlineStr">
        <is>
          <t>sin asignar</t>
        </is>
      </c>
      <c r="I1414" t="inlineStr">
        <is>
          <t>MCB</t>
        </is>
      </c>
      <c r="J1414" t="inlineStr">
        <is>
          <t>ROCKCODE agrupado en ROCKCODE_NUMEQ=16; sigla sin leyenda</t>
        </is>
      </c>
      <c r="K1414" t="inlineStr">
        <is>
          <t>Mármol (hipótesis: siglas M*)</t>
        </is>
      </c>
      <c r="L1414" t="inlineStr">
        <is>
          <t>Metamorfico</t>
        </is>
      </c>
      <c r="M1414" t="n">
        <v>288</v>
      </c>
      <c r="N1414" t="inlineStr"/>
      <c r="O1414" t="inlineStr"/>
      <c r="P1414" t="n">
        <v>400.85</v>
      </c>
      <c r="Q1414" t="n">
        <v>3.808</v>
      </c>
    </row>
    <row r="1415">
      <c r="A1415" t="inlineStr">
        <is>
          <t>MR24</t>
        </is>
      </c>
      <c r="B1415" t="inlineStr">
        <is>
          <t>Merged_Table_Assay_lito</t>
        </is>
      </c>
      <c r="C1415" t="inlineStr">
        <is>
          <t>metros de sondaje; pct sobre metros</t>
        </is>
      </c>
      <c r="D1415" t="inlineStr">
        <is>
          <t>fase_plp_GM_FASES_LE2_Output</t>
        </is>
      </c>
      <c r="E1415" t="inlineStr">
        <is>
          <t>15</t>
        </is>
      </c>
      <c r="F1415" t="inlineStr">
        <is>
          <t>ROCKCODE</t>
        </is>
      </c>
      <c r="G1415" t="inlineStr">
        <is>
          <t>MCGB</t>
        </is>
      </c>
      <c r="H1415" t="inlineStr">
        <is>
          <t>sin asignar</t>
        </is>
      </c>
      <c r="I1415" t="inlineStr">
        <is>
          <t>MCGB</t>
        </is>
      </c>
      <c r="J1415" t="inlineStr">
        <is>
          <t>ROCKCODE agrupado en ROCKCODE_NUMEQ=16; sigla sin leyenda</t>
        </is>
      </c>
      <c r="K1415" t="inlineStr">
        <is>
          <t>Mármol (hipótesis: siglas M*)</t>
        </is>
      </c>
      <c r="L1415" t="inlineStr">
        <is>
          <t>Metamorfico</t>
        </is>
      </c>
      <c r="M1415" t="n">
        <v>1138</v>
      </c>
      <c r="N1415" t="inlineStr"/>
      <c r="O1415" t="inlineStr"/>
      <c r="P1415" t="n">
        <v>1082.75</v>
      </c>
      <c r="Q1415" t="n">
        <v>10.287</v>
      </c>
    </row>
    <row r="1416">
      <c r="A1416" t="inlineStr">
        <is>
          <t>MR24</t>
        </is>
      </c>
      <c r="B1416" t="inlineStr">
        <is>
          <t>Merged_Table_Assay_lito</t>
        </is>
      </c>
      <c r="C1416" t="inlineStr">
        <is>
          <t>metros de sondaje; pct sobre metros</t>
        </is>
      </c>
      <c r="D1416" t="inlineStr">
        <is>
          <t>fase_plp_GM_FASES_LE2_Output</t>
        </is>
      </c>
      <c r="E1416" t="inlineStr">
        <is>
          <t>15</t>
        </is>
      </c>
      <c r="F1416" t="inlineStr">
        <is>
          <t>ROCKCODE</t>
        </is>
      </c>
      <c r="G1416" t="inlineStr">
        <is>
          <t>MDP</t>
        </is>
      </c>
      <c r="H1416" t="inlineStr">
        <is>
          <t>sin asignar</t>
        </is>
      </c>
      <c r="I1416" t="inlineStr">
        <is>
          <t>MDP</t>
        </is>
      </c>
      <c r="J1416" t="inlineStr">
        <is>
          <t>ROCKCODE agrupado en ROCKCODE_NUMEQ=19; sigla sin leyenda</t>
        </is>
      </c>
      <c r="K1416" t="inlineStr">
        <is>
          <t>Mármol (hipótesis: sigla MDP)</t>
        </is>
      </c>
      <c r="L1416" t="inlineStr">
        <is>
          <t>Metamorfico</t>
        </is>
      </c>
      <c r="M1416" t="n">
        <v>495</v>
      </c>
      <c r="N1416" t="inlineStr"/>
      <c r="O1416" t="inlineStr"/>
      <c r="P1416" t="n">
        <v>593.9</v>
      </c>
      <c r="Q1416" t="n">
        <v>5.643</v>
      </c>
    </row>
    <row r="1417">
      <c r="A1417" t="inlineStr">
        <is>
          <t>MR24</t>
        </is>
      </c>
      <c r="B1417" t="inlineStr">
        <is>
          <t>Merged_Table_Assay_lito</t>
        </is>
      </c>
      <c r="C1417" t="inlineStr">
        <is>
          <t>metros de sondaje; pct sobre metros</t>
        </is>
      </c>
      <c r="D1417" t="inlineStr">
        <is>
          <t>fase_plp_GM_FASES_LE2_Output</t>
        </is>
      </c>
      <c r="E1417" t="inlineStr">
        <is>
          <t>15</t>
        </is>
      </c>
      <c r="F1417" t="inlineStr">
        <is>
          <t>ROCKCODE</t>
        </is>
      </c>
      <c r="G1417" t="inlineStr">
        <is>
          <t>MG</t>
        </is>
      </c>
      <c r="H1417" t="inlineStr">
        <is>
          <t>sin asignar</t>
        </is>
      </c>
      <c r="I1417" t="inlineStr">
        <is>
          <t>MG</t>
        </is>
      </c>
      <c r="J1417" t="inlineStr">
        <is>
          <t>ROCKCODE agrupado en ROCKCODE_NUMEQ=16; sigla sin leyenda</t>
        </is>
      </c>
      <c r="K1417" t="inlineStr">
        <is>
          <t>Mármol (hipótesis: siglas M*)</t>
        </is>
      </c>
      <c r="L1417" t="inlineStr">
        <is>
          <t>Metamorfico</t>
        </is>
      </c>
      <c r="M1417" t="n">
        <v>923</v>
      </c>
      <c r="N1417" t="inlineStr"/>
      <c r="O1417" t="inlineStr"/>
      <c r="P1417" t="n">
        <v>897.7</v>
      </c>
      <c r="Q1417" t="n">
        <v>8.529</v>
      </c>
    </row>
    <row r="1418">
      <c r="A1418" t="inlineStr">
        <is>
          <t>MR24</t>
        </is>
      </c>
      <c r="B1418" t="inlineStr">
        <is>
          <t>Merged_Table_Assay_lito</t>
        </is>
      </c>
      <c r="C1418" t="inlineStr">
        <is>
          <t>metros de sondaje; pct sobre metros</t>
        </is>
      </c>
      <c r="D1418" t="inlineStr">
        <is>
          <t>fase_plp_GM_FASES_LE2_Output</t>
        </is>
      </c>
      <c r="E1418" t="inlineStr">
        <is>
          <t>15</t>
        </is>
      </c>
      <c r="F1418" t="inlineStr">
        <is>
          <t>ROCKCODE</t>
        </is>
      </c>
      <c r="G1418" t="inlineStr">
        <is>
          <t>MGS</t>
        </is>
      </c>
      <c r="H1418" t="inlineStr">
        <is>
          <t>sin asignar</t>
        </is>
      </c>
      <c r="I1418" t="inlineStr">
        <is>
          <t>MGS</t>
        </is>
      </c>
      <c r="J1418" t="inlineStr">
        <is>
          <t>ROCKCODE agrupado en ROCKCODE_NUMEQ=16; sigla sin leyenda</t>
        </is>
      </c>
      <c r="K1418" t="inlineStr">
        <is>
          <t>Mármol (hipótesis: siglas M*)</t>
        </is>
      </c>
      <c r="L1418" t="inlineStr">
        <is>
          <t>Metamorfico</t>
        </is>
      </c>
      <c r="M1418" t="n">
        <v>475</v>
      </c>
      <c r="N1418" t="inlineStr"/>
      <c r="O1418" t="inlineStr"/>
      <c r="P1418" t="n">
        <v>439.55</v>
      </c>
      <c r="Q1418" t="n">
        <v>4.176</v>
      </c>
    </row>
    <row r="1419">
      <c r="A1419" t="inlineStr">
        <is>
          <t>MR24</t>
        </is>
      </c>
      <c r="B1419" t="inlineStr">
        <is>
          <t>Merged_Table_Assay_lito</t>
        </is>
      </c>
      <c r="C1419" t="inlineStr">
        <is>
          <t>metros de sondaje; pct sobre metros</t>
        </is>
      </c>
      <c r="D1419" t="inlineStr">
        <is>
          <t>fase_plp_GM_FASES_LE2_Output</t>
        </is>
      </c>
      <c r="E1419" t="inlineStr">
        <is>
          <t>15</t>
        </is>
      </c>
      <c r="F1419" t="inlineStr">
        <is>
          <t>ROCKCODE</t>
        </is>
      </c>
      <c r="G1419" t="inlineStr">
        <is>
          <t>MPA</t>
        </is>
      </c>
      <c r="H1419" t="inlineStr">
        <is>
          <t>sin asignar</t>
        </is>
      </c>
      <c r="I1419" t="inlineStr">
        <is>
          <t>MPA</t>
        </is>
      </c>
      <c r="J1419" t="inlineStr">
        <is>
          <t>ROCKCODE agrupado en ROCKCODE_NUMEQ=16; sigla sin leyenda</t>
        </is>
      </c>
      <c r="K1419" t="inlineStr">
        <is>
          <t>Mármol (hipótesis: siglas M*)</t>
        </is>
      </c>
      <c r="L1419" t="inlineStr">
        <is>
          <t>Metamorfico</t>
        </is>
      </c>
      <c r="M1419" t="n">
        <v>266</v>
      </c>
      <c r="N1419" t="inlineStr"/>
      <c r="O1419" t="inlineStr"/>
      <c r="P1419" t="n">
        <v>354.7</v>
      </c>
      <c r="Q1419" t="n">
        <v>3.37</v>
      </c>
    </row>
    <row r="1420">
      <c r="A1420" t="inlineStr">
        <is>
          <t>MR24</t>
        </is>
      </c>
      <c r="B1420" t="inlineStr">
        <is>
          <t>Merged_Table_Assay_lito</t>
        </is>
      </c>
      <c r="C1420" t="inlineStr">
        <is>
          <t>metros de sondaje; pct sobre metros</t>
        </is>
      </c>
      <c r="D1420" t="inlineStr">
        <is>
          <t>fase_plp_GM_FASES_LE2_Output</t>
        </is>
      </c>
      <c r="E1420" t="inlineStr">
        <is>
          <t>8</t>
        </is>
      </c>
      <c r="F1420" t="inlineStr">
        <is>
          <t>ROCKCODE</t>
        </is>
      </c>
      <c r="G1420" t="inlineStr">
        <is>
          <t>IPPA</t>
        </is>
      </c>
      <c r="H1420" t="inlineStr">
        <is>
          <t>Intrusivo</t>
        </is>
      </c>
      <c r="I1420" t="inlineStr">
        <is>
          <t>IPPA</t>
        </is>
      </c>
      <c r="J1420" t="inlineStr">
        <is>
          <t>ROCKCODE agrupado en ROCKCODE_NUMEQ=1 (Intrusivo_1)</t>
        </is>
      </c>
      <c r="K1420" t="inlineStr">
        <is>
          <t>Intrusivo</t>
        </is>
      </c>
      <c r="L1420" t="inlineStr">
        <is>
          <t>Intrusivo</t>
        </is>
      </c>
      <c r="M1420" t="n">
        <v>1425</v>
      </c>
      <c r="N1420" t="inlineStr"/>
      <c r="O1420" t="inlineStr"/>
      <c r="P1420" t="n">
        <v>2165.1</v>
      </c>
      <c r="Q1420" t="n">
        <v>85.55</v>
      </c>
    </row>
    <row r="1421">
      <c r="A1421" t="inlineStr">
        <is>
          <t>MR24</t>
        </is>
      </c>
      <c r="B1421" t="inlineStr">
        <is>
          <t>Merged_Table_Assay_lito</t>
        </is>
      </c>
      <c r="C1421" t="inlineStr">
        <is>
          <t>metros de sondaje; pct sobre metros</t>
        </is>
      </c>
      <c r="D1421" t="inlineStr">
        <is>
          <t>fase_plp_GM_FASES_LE2_Output</t>
        </is>
      </c>
      <c r="E1421" t="inlineStr">
        <is>
          <t>8</t>
        </is>
      </c>
      <c r="F1421" t="inlineStr">
        <is>
          <t>ROCKCODE</t>
        </is>
      </c>
      <c r="G1421" t="inlineStr">
        <is>
          <t>IPPAO</t>
        </is>
      </c>
      <c r="H1421" t="inlineStr">
        <is>
          <t>Intrusivo</t>
        </is>
      </c>
      <c r="I1421" t="inlineStr">
        <is>
          <t>IPPAO</t>
        </is>
      </c>
      <c r="J1421" t="inlineStr">
        <is>
          <t>ROCKCODE agrupado en ROCKCODE_NUMEQ=1 (Intrusivo_1)</t>
        </is>
      </c>
      <c r="K1421" t="inlineStr">
        <is>
          <t>Intrusivo</t>
        </is>
      </c>
      <c r="L1421" t="inlineStr">
        <is>
          <t>Intrusivo</t>
        </is>
      </c>
      <c r="M1421" t="n">
        <v>339</v>
      </c>
      <c r="N1421" t="inlineStr"/>
      <c r="O1421" t="inlineStr"/>
      <c r="P1421" t="n">
        <v>362.4</v>
      </c>
      <c r="Q1421" t="n">
        <v>14.32</v>
      </c>
    </row>
    <row r="1422">
      <c r="A1422" t="inlineStr">
        <is>
          <t>MR24</t>
        </is>
      </c>
      <c r="B1422" t="inlineStr">
        <is>
          <t>Merged_Table_Assay_lito</t>
        </is>
      </c>
      <c r="C1422" t="inlineStr">
        <is>
          <t>metros de sondaje; pct sobre metros</t>
        </is>
      </c>
      <c r="D1422" t="inlineStr">
        <is>
          <t>fase_plp_GM_FASES_LE2_Output</t>
        </is>
      </c>
      <c r="E1422" t="inlineStr">
        <is>
          <t>8</t>
        </is>
      </c>
      <c r="F1422" t="inlineStr">
        <is>
          <t>ROCKCODE</t>
        </is>
      </c>
      <c r="G1422" t="inlineStr">
        <is>
          <t>IPPEO</t>
        </is>
      </c>
      <c r="H1422" t="inlineStr">
        <is>
          <t>Intrusivo</t>
        </is>
      </c>
      <c r="I1422" t="inlineStr">
        <is>
          <t>IPPEO</t>
        </is>
      </c>
      <c r="J1422" t="inlineStr">
        <is>
          <t>ROCKCODE agrupado en ROCKCODE_NUMEQ=1 (Intrusivo_1)</t>
        </is>
      </c>
      <c r="K1422" t="inlineStr">
        <is>
          <t>Intrusivo</t>
        </is>
      </c>
      <c r="L1422" t="inlineStr">
        <is>
          <t>Intrusivo</t>
        </is>
      </c>
      <c r="M1422" t="n">
        <v>2</v>
      </c>
      <c r="N1422" t="inlineStr"/>
      <c r="O1422" t="inlineStr"/>
      <c r="P1422" t="n">
        <v>3.3</v>
      </c>
      <c r="Q1422" t="n">
        <v>0.13</v>
      </c>
    </row>
    <row r="1423">
      <c r="A1423" t="inlineStr">
        <is>
          <t>MR24</t>
        </is>
      </c>
      <c r="B1423" t="inlineStr">
        <is>
          <t>Merged_Table_Assay_lito</t>
        </is>
      </c>
      <c r="C1423" t="inlineStr">
        <is>
          <t>metros de sondaje; pct sobre metros</t>
        </is>
      </c>
      <c r="D1423" t="inlineStr">
        <is>
          <t>fase_plp_GM_FASES_LE2_Output</t>
        </is>
      </c>
      <c r="E1423" t="inlineStr">
        <is>
          <t>9BN</t>
        </is>
      </c>
      <c r="F1423" t="inlineStr">
        <is>
          <t>ROCKCODE</t>
        </is>
      </c>
      <c r="G1423" t="inlineStr">
        <is>
          <t>BCIPPA</t>
        </is>
      </c>
      <c r="H1423" t="inlineStr">
        <is>
          <t>Intrusivo</t>
        </is>
      </c>
      <c r="I1423" t="inlineStr">
        <is>
          <t>BCIPPA</t>
        </is>
      </c>
      <c r="J1423" t="inlineStr">
        <is>
          <t>ROCKCODE agrupado en ROCKCODE_NUMEQ=1 (Intrusivo_1)</t>
        </is>
      </c>
      <c r="K1423" t="inlineStr">
        <is>
          <t>Intrusivo</t>
        </is>
      </c>
      <c r="L1423" t="inlineStr">
        <is>
          <t>Intrusivo</t>
        </is>
      </c>
      <c r="M1423" t="n">
        <v>6</v>
      </c>
      <c r="N1423" t="inlineStr"/>
      <c r="O1423" t="inlineStr"/>
      <c r="P1423" t="n">
        <v>11</v>
      </c>
      <c r="Q1423" t="n">
        <v>0.065</v>
      </c>
    </row>
    <row r="1424">
      <c r="A1424" t="inlineStr">
        <is>
          <t>MR24</t>
        </is>
      </c>
      <c r="B1424" t="inlineStr">
        <is>
          <t>Merged_Table_Assay_lito</t>
        </is>
      </c>
      <c r="C1424" t="inlineStr">
        <is>
          <t>metros de sondaje; pct sobre metros</t>
        </is>
      </c>
      <c r="D1424" t="inlineStr">
        <is>
          <t>fase_plp_GM_FASES_LE2_Output</t>
        </is>
      </c>
      <c r="E1424" t="inlineStr">
        <is>
          <t>9BN</t>
        </is>
      </c>
      <c r="F1424" t="inlineStr">
        <is>
          <t>ROCKCODE</t>
        </is>
      </c>
      <c r="G1424" t="inlineStr">
        <is>
          <t>BCIPPAO</t>
        </is>
      </c>
      <c r="H1424" t="inlineStr">
        <is>
          <t>Intrusivo</t>
        </is>
      </c>
      <c r="I1424" t="inlineStr">
        <is>
          <t>BCIPPAO</t>
        </is>
      </c>
      <c r="J1424" t="inlineStr">
        <is>
          <t>ROCKCODE agrupado en ROCKCODE_NUMEQ=1 (Intrusivo_1)</t>
        </is>
      </c>
      <c r="K1424" t="inlineStr">
        <is>
          <t>Intrusivo</t>
        </is>
      </c>
      <c r="L1424" t="inlineStr">
        <is>
          <t>Intrusivo</t>
        </is>
      </c>
      <c r="M1424" t="n">
        <v>7</v>
      </c>
      <c r="N1424" t="inlineStr"/>
      <c r="O1424" t="inlineStr"/>
      <c r="P1424" t="n">
        <v>6.15</v>
      </c>
      <c r="Q1424" t="n">
        <v>0.036</v>
      </c>
    </row>
    <row r="1425">
      <c r="A1425" t="inlineStr">
        <is>
          <t>MR24</t>
        </is>
      </c>
      <c r="B1425" t="inlineStr">
        <is>
          <t>Merged_Table_Assay_lito</t>
        </is>
      </c>
      <c r="C1425" t="inlineStr">
        <is>
          <t>metros de sondaje; pct sobre metros</t>
        </is>
      </c>
      <c r="D1425" t="inlineStr">
        <is>
          <t>fase_plp_GM_FASES_LE2_Output</t>
        </is>
      </c>
      <c r="E1425" t="inlineStr">
        <is>
          <t>9BN</t>
        </is>
      </c>
      <c r="F1425" t="inlineStr">
        <is>
          <t>ROCKCODE</t>
        </is>
      </c>
      <c r="G1425" t="inlineStr">
        <is>
          <t>C</t>
        </is>
      </c>
      <c r="H1425" t="inlineStr">
        <is>
          <t>sin asignar</t>
        </is>
      </c>
      <c r="I1425" t="inlineStr">
        <is>
          <t>C</t>
        </is>
      </c>
      <c r="J1425" t="inlineStr">
        <is>
          <t>ROCKCODE agrupado en ROCKCODE_NUMEQ=10; sigla sin leyenda</t>
        </is>
      </c>
      <c r="K1425" t="inlineStr">
        <is>
          <t>Caliza (hipótesis: siglas C*)</t>
        </is>
      </c>
      <c r="L1425" t="inlineStr">
        <is>
          <t>Sedimentario</t>
        </is>
      </c>
      <c r="M1425" t="n">
        <v>6</v>
      </c>
      <c r="N1425" t="inlineStr"/>
      <c r="O1425" t="inlineStr"/>
      <c r="P1425" t="n">
        <v>7.75</v>
      </c>
      <c r="Q1425" t="n">
        <v>0.046</v>
      </c>
    </row>
    <row r="1426">
      <c r="A1426" t="inlineStr">
        <is>
          <t>MR24</t>
        </is>
      </c>
      <c r="B1426" t="inlineStr">
        <is>
          <t>Merged_Table_Assay_lito</t>
        </is>
      </c>
      <c r="C1426" t="inlineStr">
        <is>
          <t>metros de sondaje; pct sobre metros</t>
        </is>
      </c>
      <c r="D1426" t="inlineStr">
        <is>
          <t>fase_plp_GM_FASES_LE2_Output</t>
        </is>
      </c>
      <c r="E1426" t="inlineStr">
        <is>
          <t>9BN</t>
        </is>
      </c>
      <c r="F1426" t="inlineStr">
        <is>
          <t>ROCKCODE</t>
        </is>
      </c>
      <c r="G1426" t="inlineStr">
        <is>
          <t>CG</t>
        </is>
      </c>
      <c r="H1426" t="inlineStr">
        <is>
          <t>sin asignar</t>
        </is>
      </c>
      <c r="I1426" t="inlineStr">
        <is>
          <t>CG</t>
        </is>
      </c>
      <c r="J1426" t="inlineStr">
        <is>
          <t>ROCKCODE agrupado en ROCKCODE_NUMEQ=10; sigla sin leyenda</t>
        </is>
      </c>
      <c r="K1426" t="inlineStr">
        <is>
          <t>Caliza (hipótesis: siglas C*)</t>
        </is>
      </c>
      <c r="L1426" t="inlineStr">
        <is>
          <t>Sedimentario</t>
        </is>
      </c>
      <c r="M1426" t="n">
        <v>108</v>
      </c>
      <c r="N1426" t="inlineStr"/>
      <c r="O1426" t="inlineStr"/>
      <c r="P1426" t="n">
        <v>87.5</v>
      </c>
      <c r="Q1426" t="n">
        <v>0.519</v>
      </c>
    </row>
    <row r="1427">
      <c r="A1427" t="inlineStr">
        <is>
          <t>MR24</t>
        </is>
      </c>
      <c r="B1427" t="inlineStr">
        <is>
          <t>Merged_Table_Assay_lito</t>
        </is>
      </c>
      <c r="C1427" t="inlineStr">
        <is>
          <t>metros de sondaje; pct sobre metros</t>
        </is>
      </c>
      <c r="D1427" t="inlineStr">
        <is>
          <t>fase_plp_GM_FASES_LE2_Output</t>
        </is>
      </c>
      <c r="E1427" t="inlineStr">
        <is>
          <t>9BN</t>
        </is>
      </c>
      <c r="F1427" t="inlineStr">
        <is>
          <t>ROCKCODE</t>
        </is>
      </c>
      <c r="G1427" t="inlineStr">
        <is>
          <t>CN</t>
        </is>
      </c>
      <c r="H1427" t="inlineStr">
        <is>
          <t>sin asignar</t>
        </is>
      </c>
      <c r="I1427" t="inlineStr">
        <is>
          <t>CN</t>
        </is>
      </c>
      <c r="J1427" t="inlineStr">
        <is>
          <t>ROCKCODE agrupado en ROCKCODE_NUMEQ=10; sigla sin leyenda</t>
        </is>
      </c>
      <c r="K1427" t="inlineStr">
        <is>
          <t>Caliza (hipótesis: siglas C*)</t>
        </is>
      </c>
      <c r="L1427" t="inlineStr">
        <is>
          <t>Sedimentario</t>
        </is>
      </c>
      <c r="M1427" t="n">
        <v>13</v>
      </c>
      <c r="N1427" t="inlineStr"/>
      <c r="O1427" t="inlineStr"/>
      <c r="P1427" t="n">
        <v>24.1</v>
      </c>
      <c r="Q1427" t="n">
        <v>0.143</v>
      </c>
    </row>
    <row r="1428">
      <c r="A1428" t="inlineStr">
        <is>
          <t>MR24</t>
        </is>
      </c>
      <c r="B1428" t="inlineStr">
        <is>
          <t>Merged_Table_Assay_lito</t>
        </is>
      </c>
      <c r="C1428" t="inlineStr">
        <is>
          <t>metros de sondaje; pct sobre metros</t>
        </is>
      </c>
      <c r="D1428" t="inlineStr">
        <is>
          <t>fase_plp_GM_FASES_LE2_Output</t>
        </is>
      </c>
      <c r="E1428" t="inlineStr">
        <is>
          <t>9BN</t>
        </is>
      </c>
      <c r="F1428" t="inlineStr">
        <is>
          <t>ROCKCODE</t>
        </is>
      </c>
      <c r="G1428" t="inlineStr">
        <is>
          <t>HCB</t>
        </is>
      </c>
      <c r="H1428" t="inlineStr">
        <is>
          <t>sin asignar</t>
        </is>
      </c>
      <c r="I1428" t="inlineStr">
        <is>
          <t>HCB</t>
        </is>
      </c>
      <c r="J1428" t="inlineStr">
        <is>
          <t>ROCKCODE agrupado en ROCKCODE_NUMEQ=14; sigla sin leyenda</t>
        </is>
      </c>
      <c r="K1428" t="inlineStr">
        <is>
          <t>Hornfels (hipótesis: siglas H*)</t>
        </is>
      </c>
      <c r="L1428" t="inlineStr">
        <is>
          <t>Metamorfico</t>
        </is>
      </c>
      <c r="M1428" t="n">
        <v>5</v>
      </c>
      <c r="N1428" t="inlineStr"/>
      <c r="O1428" t="inlineStr"/>
      <c r="P1428" t="n">
        <v>1.5</v>
      </c>
      <c r="Q1428" t="n">
        <v>0.008999999999999999</v>
      </c>
    </row>
    <row r="1429">
      <c r="A1429" t="inlineStr">
        <is>
          <t>MR24</t>
        </is>
      </c>
      <c r="B1429" t="inlineStr">
        <is>
          <t>Merged_Table_Assay_lito</t>
        </is>
      </c>
      <c r="C1429" t="inlineStr">
        <is>
          <t>metros de sondaje; pct sobre metros</t>
        </is>
      </c>
      <c r="D1429" t="inlineStr">
        <is>
          <t>fase_plp_GM_FASES_LE2_Output</t>
        </is>
      </c>
      <c r="E1429" t="inlineStr">
        <is>
          <t>9BN</t>
        </is>
      </c>
      <c r="F1429" t="inlineStr">
        <is>
          <t>ROCKCODE</t>
        </is>
      </c>
      <c r="G1429" t="inlineStr">
        <is>
          <t>HG</t>
        </is>
      </c>
      <c r="H1429" t="inlineStr">
        <is>
          <t>sin asignar</t>
        </is>
      </c>
      <c r="I1429" t="inlineStr">
        <is>
          <t>HG</t>
        </is>
      </c>
      <c r="J1429" t="inlineStr">
        <is>
          <t>ROCKCODE agrupado en ROCKCODE_NUMEQ=13; sigla sin leyenda</t>
        </is>
      </c>
      <c r="K1429" t="inlineStr">
        <is>
          <t>Hornfels (hipótesis: siglas H*)</t>
        </is>
      </c>
      <c r="L1429" t="inlineStr">
        <is>
          <t>Metamorfico</t>
        </is>
      </c>
      <c r="M1429" t="n">
        <v>43</v>
      </c>
      <c r="N1429" t="inlineStr"/>
      <c r="O1429" t="inlineStr"/>
      <c r="P1429" t="n">
        <v>43</v>
      </c>
      <c r="Q1429" t="n">
        <v>0.255</v>
      </c>
    </row>
    <row r="1430">
      <c r="A1430" t="inlineStr">
        <is>
          <t>MR24</t>
        </is>
      </c>
      <c r="B1430" t="inlineStr">
        <is>
          <t>Merged_Table_Assay_lito</t>
        </is>
      </c>
      <c r="C1430" t="inlineStr">
        <is>
          <t>metros de sondaje; pct sobre metros</t>
        </is>
      </c>
      <c r="D1430" t="inlineStr">
        <is>
          <t>fase_plp_GM_FASES_LE2_Output</t>
        </is>
      </c>
      <c r="E1430" t="inlineStr">
        <is>
          <t>9BN</t>
        </is>
      </c>
      <c r="F1430" t="inlineStr">
        <is>
          <t>ROCKCODE</t>
        </is>
      </c>
      <c r="G1430" t="inlineStr">
        <is>
          <t>HGV</t>
        </is>
      </c>
      <c r="H1430" t="inlineStr">
        <is>
          <t>sin asignar</t>
        </is>
      </c>
      <c r="I1430" t="inlineStr">
        <is>
          <t>HGV</t>
        </is>
      </c>
      <c r="J1430" t="inlineStr">
        <is>
          <t>ROCKCODE agrupado en ROCKCODE_NUMEQ=14; sigla sin leyenda</t>
        </is>
      </c>
      <c r="K1430" t="inlineStr">
        <is>
          <t>Hornfels (hipótesis: siglas H*)</t>
        </is>
      </c>
      <c r="L1430" t="inlineStr">
        <is>
          <t>Metamorfico</t>
        </is>
      </c>
      <c r="M1430" t="n">
        <v>6</v>
      </c>
      <c r="N1430" t="inlineStr"/>
      <c r="O1430" t="inlineStr"/>
      <c r="P1430" t="n">
        <v>11</v>
      </c>
      <c r="Q1430" t="n">
        <v>0.065</v>
      </c>
    </row>
    <row r="1431">
      <c r="A1431" t="inlineStr">
        <is>
          <t>MR24</t>
        </is>
      </c>
      <c r="B1431" t="inlineStr">
        <is>
          <t>Merged_Table_Assay_lito</t>
        </is>
      </c>
      <c r="C1431" t="inlineStr">
        <is>
          <t>metros de sondaje; pct sobre metros</t>
        </is>
      </c>
      <c r="D1431" t="inlineStr">
        <is>
          <t>fase_plp_GM_FASES_LE2_Output</t>
        </is>
      </c>
      <c r="E1431" t="inlineStr">
        <is>
          <t>9BN</t>
        </is>
      </c>
      <c r="F1431" t="inlineStr">
        <is>
          <t>ROCKCODE</t>
        </is>
      </c>
      <c r="G1431" t="inlineStr">
        <is>
          <t>HMGV</t>
        </is>
      </c>
      <c r="H1431" t="inlineStr">
        <is>
          <t>sin asignar</t>
        </is>
      </c>
      <c r="I1431" t="inlineStr">
        <is>
          <t>HMGV</t>
        </is>
      </c>
      <c r="J1431" t="inlineStr">
        <is>
          <t>ROCKCODE agrupado en ROCKCODE_NUMEQ=14; sigla sin leyenda</t>
        </is>
      </c>
      <c r="K1431" t="inlineStr">
        <is>
          <t>Hornfels (hipótesis: siglas H*)</t>
        </is>
      </c>
      <c r="L1431" t="inlineStr">
        <is>
          <t>Metamorfico</t>
        </is>
      </c>
      <c r="M1431" t="n">
        <v>9</v>
      </c>
      <c r="N1431" t="inlineStr"/>
      <c r="O1431" t="inlineStr"/>
      <c r="P1431" t="n">
        <v>5.1</v>
      </c>
      <c r="Q1431" t="n">
        <v>0.03</v>
      </c>
    </row>
    <row r="1432">
      <c r="A1432" t="inlineStr">
        <is>
          <t>MR24</t>
        </is>
      </c>
      <c r="B1432" t="inlineStr">
        <is>
          <t>Merged_Table_Assay_lito</t>
        </is>
      </c>
      <c r="C1432" t="inlineStr">
        <is>
          <t>metros de sondaje; pct sobre metros</t>
        </is>
      </c>
      <c r="D1432" t="inlineStr">
        <is>
          <t>fase_plp_GM_FASES_LE2_Output</t>
        </is>
      </c>
      <c r="E1432" t="inlineStr">
        <is>
          <t>9BN</t>
        </is>
      </c>
      <c r="F1432" t="inlineStr">
        <is>
          <t>ROCKCODE</t>
        </is>
      </c>
      <c r="G1432" t="inlineStr">
        <is>
          <t>IPPA</t>
        </is>
      </c>
      <c r="H1432" t="inlineStr">
        <is>
          <t>Intrusivo</t>
        </is>
      </c>
      <c r="I1432" t="inlineStr">
        <is>
          <t>IPPA</t>
        </is>
      </c>
      <c r="J1432" t="inlineStr">
        <is>
          <t>ROCKCODE agrupado en ROCKCODE_NUMEQ=1 (Intrusivo_1)</t>
        </is>
      </c>
      <c r="K1432" t="inlineStr">
        <is>
          <t>Intrusivo</t>
        </is>
      </c>
      <c r="L1432" t="inlineStr">
        <is>
          <t>Intrusivo</t>
        </is>
      </c>
      <c r="M1432" t="n">
        <v>4354</v>
      </c>
      <c r="N1432" t="inlineStr"/>
      <c r="O1432" t="inlineStr"/>
      <c r="P1432" t="n">
        <v>6290.85</v>
      </c>
      <c r="Q1432" t="n">
        <v>37.301</v>
      </c>
    </row>
    <row r="1433">
      <c r="A1433" t="inlineStr">
        <is>
          <t>MR24</t>
        </is>
      </c>
      <c r="B1433" t="inlineStr">
        <is>
          <t>Merged_Table_Assay_lito</t>
        </is>
      </c>
      <c r="C1433" t="inlineStr">
        <is>
          <t>metros de sondaje; pct sobre metros</t>
        </is>
      </c>
      <c r="D1433" t="inlineStr">
        <is>
          <t>fase_plp_GM_FASES_LE2_Output</t>
        </is>
      </c>
      <c r="E1433" t="inlineStr">
        <is>
          <t>9BN</t>
        </is>
      </c>
      <c r="F1433" t="inlineStr">
        <is>
          <t>ROCKCODE</t>
        </is>
      </c>
      <c r="G1433" t="inlineStr">
        <is>
          <t>IPPAO</t>
        </is>
      </c>
      <c r="H1433" t="inlineStr">
        <is>
          <t>Intrusivo</t>
        </is>
      </c>
      <c r="I1433" t="inlineStr">
        <is>
          <t>IPPAO</t>
        </is>
      </c>
      <c r="J1433" t="inlineStr">
        <is>
          <t>ROCKCODE agrupado en ROCKCODE_NUMEQ=1 (Intrusivo_1)</t>
        </is>
      </c>
      <c r="K1433" t="inlineStr">
        <is>
          <t>Intrusivo</t>
        </is>
      </c>
      <c r="L1433" t="inlineStr">
        <is>
          <t>Intrusivo</t>
        </is>
      </c>
      <c r="M1433" t="n">
        <v>1895</v>
      </c>
      <c r="N1433" t="inlineStr"/>
      <c r="O1433" t="inlineStr"/>
      <c r="P1433" t="n">
        <v>2509.98</v>
      </c>
      <c r="Q1433" t="n">
        <v>14.883</v>
      </c>
    </row>
    <row r="1434">
      <c r="A1434" t="inlineStr">
        <is>
          <t>MR24</t>
        </is>
      </c>
      <c r="B1434" t="inlineStr">
        <is>
          <t>Merged_Table_Assay_lito</t>
        </is>
      </c>
      <c r="C1434" t="inlineStr">
        <is>
          <t>metros de sondaje; pct sobre metros</t>
        </is>
      </c>
      <c r="D1434" t="inlineStr">
        <is>
          <t>fase_plp_GM_FASES_LE2_Output</t>
        </is>
      </c>
      <c r="E1434" t="inlineStr">
        <is>
          <t>9BN</t>
        </is>
      </c>
      <c r="F1434" t="inlineStr">
        <is>
          <t>ROCKCODE</t>
        </is>
      </c>
      <c r="G1434" t="inlineStr">
        <is>
          <t>IPPEO</t>
        </is>
      </c>
      <c r="H1434" t="inlineStr">
        <is>
          <t>Intrusivo</t>
        </is>
      </c>
      <c r="I1434" t="inlineStr">
        <is>
          <t>IPPEO</t>
        </is>
      </c>
      <c r="J1434" t="inlineStr">
        <is>
          <t>ROCKCODE agrupado en ROCKCODE_NUMEQ=1 (Intrusivo_1)</t>
        </is>
      </c>
      <c r="K1434" t="inlineStr">
        <is>
          <t>Intrusivo</t>
        </is>
      </c>
      <c r="L1434" t="inlineStr">
        <is>
          <t>Intrusivo</t>
        </is>
      </c>
      <c r="M1434" t="n">
        <v>14</v>
      </c>
      <c r="N1434" t="inlineStr"/>
      <c r="O1434" t="inlineStr"/>
      <c r="P1434" t="n">
        <v>23.8</v>
      </c>
      <c r="Q1434" t="n">
        <v>0.141</v>
      </c>
    </row>
    <row r="1435">
      <c r="A1435" t="inlineStr">
        <is>
          <t>MR24</t>
        </is>
      </c>
      <c r="B1435" t="inlineStr">
        <is>
          <t>Merged_Table_Assay_lito</t>
        </is>
      </c>
      <c r="C1435" t="inlineStr">
        <is>
          <t>metros de sondaje; pct sobre metros</t>
        </is>
      </c>
      <c r="D1435" t="inlineStr">
        <is>
          <t>fase_plp_GM_FASES_LE2_Output</t>
        </is>
      </c>
      <c r="E1435" t="inlineStr">
        <is>
          <t>9BN</t>
        </is>
      </c>
      <c r="F1435" t="inlineStr">
        <is>
          <t>ROCKCODE</t>
        </is>
      </c>
      <c r="G1435" t="inlineStr">
        <is>
          <t>MC</t>
        </is>
      </c>
      <c r="H1435" t="inlineStr">
        <is>
          <t>sin asignar</t>
        </is>
      </c>
      <c r="I1435" t="inlineStr">
        <is>
          <t>MC</t>
        </is>
      </c>
      <c r="J1435" t="inlineStr">
        <is>
          <t>ROCKCODE agrupado en ROCKCODE_NUMEQ=16; sigla sin leyenda</t>
        </is>
      </c>
      <c r="K1435" t="inlineStr">
        <is>
          <t>Mármol (hipótesis: siglas M*)</t>
        </is>
      </c>
      <c r="L1435" t="inlineStr">
        <is>
          <t>Metamorfico</t>
        </is>
      </c>
      <c r="M1435" t="n">
        <v>1626</v>
      </c>
      <c r="N1435" t="inlineStr"/>
      <c r="O1435" t="inlineStr"/>
      <c r="P1435" t="n">
        <v>1993.42</v>
      </c>
      <c r="Q1435" t="n">
        <v>11.82</v>
      </c>
    </row>
    <row r="1436">
      <c r="A1436" t="inlineStr">
        <is>
          <t>MR24</t>
        </is>
      </c>
      <c r="B1436" t="inlineStr">
        <is>
          <t>Merged_Table_Assay_lito</t>
        </is>
      </c>
      <c r="C1436" t="inlineStr">
        <is>
          <t>metros de sondaje; pct sobre metros</t>
        </is>
      </c>
      <c r="D1436" t="inlineStr">
        <is>
          <t>fase_plp_GM_FASES_LE2_Output</t>
        </is>
      </c>
      <c r="E1436" t="inlineStr">
        <is>
          <t>9BN</t>
        </is>
      </c>
      <c r="F1436" t="inlineStr">
        <is>
          <t>ROCKCODE</t>
        </is>
      </c>
      <c r="G1436" t="inlineStr">
        <is>
          <t>MCB</t>
        </is>
      </c>
      <c r="H1436" t="inlineStr">
        <is>
          <t>sin asignar</t>
        </is>
      </c>
      <c r="I1436" t="inlineStr">
        <is>
          <t>MCB</t>
        </is>
      </c>
      <c r="J1436" t="inlineStr">
        <is>
          <t>ROCKCODE agrupado en ROCKCODE_NUMEQ=16; sigla sin leyenda</t>
        </is>
      </c>
      <c r="K1436" t="inlineStr">
        <is>
          <t>Mármol (hipótesis: siglas M*)</t>
        </is>
      </c>
      <c r="L1436" t="inlineStr">
        <is>
          <t>Metamorfico</t>
        </is>
      </c>
      <c r="M1436" t="n">
        <v>518</v>
      </c>
      <c r="N1436" t="inlineStr"/>
      <c r="O1436" t="inlineStr"/>
      <c r="P1436" t="n">
        <v>786.2</v>
      </c>
      <c r="Q1436" t="n">
        <v>4.662</v>
      </c>
    </row>
    <row r="1437">
      <c r="A1437" t="inlineStr">
        <is>
          <t>MR24</t>
        </is>
      </c>
      <c r="B1437" t="inlineStr">
        <is>
          <t>Merged_Table_Assay_lito</t>
        </is>
      </c>
      <c r="C1437" t="inlineStr">
        <is>
          <t>metros de sondaje; pct sobre metros</t>
        </is>
      </c>
      <c r="D1437" t="inlineStr">
        <is>
          <t>fase_plp_GM_FASES_LE2_Output</t>
        </is>
      </c>
      <c r="E1437" t="inlineStr">
        <is>
          <t>9BN</t>
        </is>
      </c>
      <c r="F1437" t="inlineStr">
        <is>
          <t>ROCKCODE</t>
        </is>
      </c>
      <c r="G1437" t="inlineStr">
        <is>
          <t>MCGB</t>
        </is>
      </c>
      <c r="H1437" t="inlineStr">
        <is>
          <t>sin asignar</t>
        </is>
      </c>
      <c r="I1437" t="inlineStr">
        <is>
          <t>MCGB</t>
        </is>
      </c>
      <c r="J1437" t="inlineStr">
        <is>
          <t>ROCKCODE agrupado en ROCKCODE_NUMEQ=16; sigla sin leyenda</t>
        </is>
      </c>
      <c r="K1437" t="inlineStr">
        <is>
          <t>Mármol (hipótesis: siglas M*)</t>
        </is>
      </c>
      <c r="L1437" t="inlineStr">
        <is>
          <t>Metamorfico</t>
        </is>
      </c>
      <c r="M1437" t="n">
        <v>1438</v>
      </c>
      <c r="N1437" t="inlineStr"/>
      <c r="O1437" t="inlineStr"/>
      <c r="P1437" t="n">
        <v>1583.63</v>
      </c>
      <c r="Q1437" t="n">
        <v>9.390000000000001</v>
      </c>
    </row>
    <row r="1438">
      <c r="A1438" t="inlineStr">
        <is>
          <t>MR24</t>
        </is>
      </c>
      <c r="B1438" t="inlineStr">
        <is>
          <t>Merged_Table_Assay_lito</t>
        </is>
      </c>
      <c r="C1438" t="inlineStr">
        <is>
          <t>metros de sondaje; pct sobre metros</t>
        </is>
      </c>
      <c r="D1438" t="inlineStr">
        <is>
          <t>fase_plp_GM_FASES_LE2_Output</t>
        </is>
      </c>
      <c r="E1438" t="inlineStr">
        <is>
          <t>9BN</t>
        </is>
      </c>
      <c r="F1438" t="inlineStr">
        <is>
          <t>ROCKCODE</t>
        </is>
      </c>
      <c r="G1438" t="inlineStr">
        <is>
          <t>MDL</t>
        </is>
      </c>
      <c r="H1438" t="inlineStr">
        <is>
          <t>sin asignar</t>
        </is>
      </c>
      <c r="I1438" t="inlineStr">
        <is>
          <t>MDL</t>
        </is>
      </c>
      <c r="J1438" t="inlineStr">
        <is>
          <t>ROCKCODE agrupado en ROCKCODE_NUMEQ=16; sigla sin leyenda</t>
        </is>
      </c>
      <c r="K1438" t="inlineStr">
        <is>
          <t>Mármol (hipótesis: siglas M*)</t>
        </is>
      </c>
      <c r="L1438" t="inlineStr">
        <is>
          <t>Metamorfico</t>
        </is>
      </c>
      <c r="M1438" t="n">
        <v>22</v>
      </c>
      <c r="N1438" t="inlineStr"/>
      <c r="O1438" t="inlineStr"/>
      <c r="P1438" t="n">
        <v>49.15</v>
      </c>
      <c r="Q1438" t="n">
        <v>0.291</v>
      </c>
    </row>
    <row r="1439">
      <c r="A1439" t="inlineStr">
        <is>
          <t>MR24</t>
        </is>
      </c>
      <c r="B1439" t="inlineStr">
        <is>
          <t>Merged_Table_Assay_lito</t>
        </is>
      </c>
      <c r="C1439" t="inlineStr">
        <is>
          <t>metros de sondaje; pct sobre metros</t>
        </is>
      </c>
      <c r="D1439" t="inlineStr">
        <is>
          <t>fase_plp_GM_FASES_LE2_Output</t>
        </is>
      </c>
      <c r="E1439" t="inlineStr">
        <is>
          <t>9BN</t>
        </is>
      </c>
      <c r="F1439" t="inlineStr">
        <is>
          <t>ROCKCODE</t>
        </is>
      </c>
      <c r="G1439" t="inlineStr">
        <is>
          <t>MDP</t>
        </is>
      </c>
      <c r="H1439" t="inlineStr">
        <is>
          <t>sin asignar</t>
        </is>
      </c>
      <c r="I1439" t="inlineStr">
        <is>
          <t>MDP</t>
        </is>
      </c>
      <c r="J1439" t="inlineStr">
        <is>
          <t>ROCKCODE agrupado en ROCKCODE_NUMEQ=19; sigla sin leyenda</t>
        </is>
      </c>
      <c r="K1439" t="inlineStr">
        <is>
          <t>Mármol (hipótesis: sigla MDP)</t>
        </is>
      </c>
      <c r="L1439" t="inlineStr">
        <is>
          <t>Metamorfico</t>
        </is>
      </c>
      <c r="M1439" t="n">
        <v>581</v>
      </c>
      <c r="N1439" t="inlineStr"/>
      <c r="O1439" t="inlineStr"/>
      <c r="P1439" t="n">
        <v>730.33</v>
      </c>
      <c r="Q1439" t="n">
        <v>4.33</v>
      </c>
    </row>
    <row r="1440">
      <c r="A1440" t="inlineStr">
        <is>
          <t>MR24</t>
        </is>
      </c>
      <c r="B1440" t="inlineStr">
        <is>
          <t>Merged_Table_Assay_lito</t>
        </is>
      </c>
      <c r="C1440" t="inlineStr">
        <is>
          <t>metros de sondaje; pct sobre metros</t>
        </is>
      </c>
      <c r="D1440" t="inlineStr">
        <is>
          <t>fase_plp_GM_FASES_LE2_Output</t>
        </is>
      </c>
      <c r="E1440" t="inlineStr">
        <is>
          <t>9BN</t>
        </is>
      </c>
      <c r="F1440" t="inlineStr">
        <is>
          <t>ROCKCODE</t>
        </is>
      </c>
      <c r="G1440" t="inlineStr">
        <is>
          <t>MG</t>
        </is>
      </c>
      <c r="H1440" t="inlineStr">
        <is>
          <t>sin asignar</t>
        </is>
      </c>
      <c r="I1440" t="inlineStr">
        <is>
          <t>MG</t>
        </is>
      </c>
      <c r="J1440" t="inlineStr">
        <is>
          <t>ROCKCODE agrupado en ROCKCODE_NUMEQ=16; sigla sin leyenda</t>
        </is>
      </c>
      <c r="K1440" t="inlineStr">
        <is>
          <t>Mármol (hipótesis: siglas M*)</t>
        </is>
      </c>
      <c r="L1440" t="inlineStr">
        <is>
          <t>Metamorfico</t>
        </is>
      </c>
      <c r="M1440" t="n">
        <v>1597</v>
      </c>
      <c r="N1440" t="inlineStr"/>
      <c r="O1440" t="inlineStr"/>
      <c r="P1440" t="n">
        <v>1449.65</v>
      </c>
      <c r="Q1440" t="n">
        <v>8.596</v>
      </c>
    </row>
    <row r="1441">
      <c r="A1441" t="inlineStr">
        <is>
          <t>MR24</t>
        </is>
      </c>
      <c r="B1441" t="inlineStr">
        <is>
          <t>Merged_Table_Assay_lito</t>
        </is>
      </c>
      <c r="C1441" t="inlineStr">
        <is>
          <t>metros de sondaje; pct sobre metros</t>
        </is>
      </c>
      <c r="D1441" t="inlineStr">
        <is>
          <t>fase_plp_GM_FASES_LE2_Output</t>
        </is>
      </c>
      <c r="E1441" t="inlineStr">
        <is>
          <t>9BN</t>
        </is>
      </c>
      <c r="F1441" t="inlineStr">
        <is>
          <t>ROCKCODE</t>
        </is>
      </c>
      <c r="G1441" t="inlineStr">
        <is>
          <t>MGS</t>
        </is>
      </c>
      <c r="H1441" t="inlineStr">
        <is>
          <t>sin asignar</t>
        </is>
      </c>
      <c r="I1441" t="inlineStr">
        <is>
          <t>MGS</t>
        </is>
      </c>
      <c r="J1441" t="inlineStr">
        <is>
          <t>ROCKCODE agrupado en ROCKCODE_NUMEQ=16; sigla sin leyenda</t>
        </is>
      </c>
      <c r="K1441" t="inlineStr">
        <is>
          <t>Mármol (hipótesis: siglas M*)</t>
        </is>
      </c>
      <c r="L1441" t="inlineStr">
        <is>
          <t>Metamorfico</t>
        </is>
      </c>
      <c r="M1441" t="n">
        <v>977</v>
      </c>
      <c r="N1441" t="inlineStr"/>
      <c r="O1441" t="inlineStr"/>
      <c r="P1441" t="n">
        <v>789.2</v>
      </c>
      <c r="Q1441" t="n">
        <v>4.679</v>
      </c>
    </row>
    <row r="1442">
      <c r="A1442" t="inlineStr">
        <is>
          <t>MR24</t>
        </is>
      </c>
      <c r="B1442" t="inlineStr">
        <is>
          <t>Merged_Table_Assay_lito</t>
        </is>
      </c>
      <c r="C1442" t="inlineStr">
        <is>
          <t>metros de sondaje; pct sobre metros</t>
        </is>
      </c>
      <c r="D1442" t="inlineStr">
        <is>
          <t>fase_plp_GM_FASES_LE2_Output</t>
        </is>
      </c>
      <c r="E1442" t="inlineStr">
        <is>
          <t>9BN</t>
        </is>
      </c>
      <c r="F1442" t="inlineStr">
        <is>
          <t>ROCKCODE</t>
        </is>
      </c>
      <c r="G1442" t="inlineStr">
        <is>
          <t>MPA</t>
        </is>
      </c>
      <c r="H1442" t="inlineStr">
        <is>
          <t>sin asignar</t>
        </is>
      </c>
      <c r="I1442" t="inlineStr">
        <is>
          <t>MPA</t>
        </is>
      </c>
      <c r="J1442" t="inlineStr">
        <is>
          <t>ROCKCODE agrupado en ROCKCODE_NUMEQ=16; sigla sin leyenda</t>
        </is>
      </c>
      <c r="K1442" t="inlineStr">
        <is>
          <t>Mármol (hipótesis: siglas M*)</t>
        </is>
      </c>
      <c r="L1442" t="inlineStr">
        <is>
          <t>Metamorfico</t>
        </is>
      </c>
      <c r="M1442" t="n">
        <v>371</v>
      </c>
      <c r="N1442" t="inlineStr"/>
      <c r="O1442" t="inlineStr"/>
      <c r="P1442" t="n">
        <v>461.9</v>
      </c>
      <c r="Q1442" t="n">
        <v>2.739</v>
      </c>
    </row>
    <row r="1443">
      <c r="A1443" t="inlineStr">
        <is>
          <t>MR24</t>
        </is>
      </c>
      <c r="B1443" t="inlineStr">
        <is>
          <t>Merged_Table_Assay_lito</t>
        </is>
      </c>
      <c r="C1443" t="inlineStr">
        <is>
          <t>metros de sondaje; pct sobre metros</t>
        </is>
      </c>
      <c r="D1443" t="inlineStr">
        <is>
          <t>fase_plp_GM_FASES_LE2_Output</t>
        </is>
      </c>
      <c r="E1443" t="inlineStr">
        <is>
          <t>9BS</t>
        </is>
      </c>
      <c r="F1443" t="inlineStr">
        <is>
          <t>ROCKCODE</t>
        </is>
      </c>
      <c r="G1443" t="inlineStr">
        <is>
          <t>BCIPPA</t>
        </is>
      </c>
      <c r="H1443" t="inlineStr">
        <is>
          <t>Intrusivo</t>
        </is>
      </c>
      <c r="I1443" t="inlineStr">
        <is>
          <t>BCIPPA</t>
        </is>
      </c>
      <c r="J1443" t="inlineStr">
        <is>
          <t>ROCKCODE agrupado en ROCKCODE_NUMEQ=1 (Intrusivo_1)</t>
        </is>
      </c>
      <c r="K1443" t="inlineStr">
        <is>
          <t>Intrusivo</t>
        </is>
      </c>
      <c r="L1443" t="inlineStr">
        <is>
          <t>Intrusivo</t>
        </is>
      </c>
      <c r="M1443" t="n">
        <v>9</v>
      </c>
      <c r="N1443" t="inlineStr"/>
      <c r="O1443" t="inlineStr"/>
      <c r="P1443" t="n">
        <v>18.5</v>
      </c>
      <c r="Q1443" t="n">
        <v>0.13</v>
      </c>
    </row>
    <row r="1444">
      <c r="A1444" t="inlineStr">
        <is>
          <t>MR24</t>
        </is>
      </c>
      <c r="B1444" t="inlineStr">
        <is>
          <t>Merged_Table_Assay_lito</t>
        </is>
      </c>
      <c r="C1444" t="inlineStr">
        <is>
          <t>metros de sondaje; pct sobre metros</t>
        </is>
      </c>
      <c r="D1444" t="inlineStr">
        <is>
          <t>fase_plp_GM_FASES_LE2_Output</t>
        </is>
      </c>
      <c r="E1444" t="inlineStr">
        <is>
          <t>9BS</t>
        </is>
      </c>
      <c r="F1444" t="inlineStr">
        <is>
          <t>ROCKCODE</t>
        </is>
      </c>
      <c r="G1444" t="inlineStr">
        <is>
          <t>BCIPPAO</t>
        </is>
      </c>
      <c r="H1444" t="inlineStr">
        <is>
          <t>Intrusivo</t>
        </is>
      </c>
      <c r="I1444" t="inlineStr">
        <is>
          <t>BCIPPAO</t>
        </is>
      </c>
      <c r="J1444" t="inlineStr">
        <is>
          <t>ROCKCODE agrupado en ROCKCODE_NUMEQ=1 (Intrusivo_1)</t>
        </is>
      </c>
      <c r="K1444" t="inlineStr">
        <is>
          <t>Intrusivo</t>
        </is>
      </c>
      <c r="L1444" t="inlineStr">
        <is>
          <t>Intrusivo</t>
        </is>
      </c>
      <c r="M1444" t="n">
        <v>1</v>
      </c>
      <c r="N1444" t="inlineStr"/>
      <c r="O1444" t="inlineStr"/>
      <c r="P1444" t="n">
        <v>2</v>
      </c>
      <c r="Q1444" t="n">
        <v>0.014</v>
      </c>
    </row>
    <row r="1445">
      <c r="A1445" t="inlineStr">
        <is>
          <t>MR24</t>
        </is>
      </c>
      <c r="B1445" t="inlineStr">
        <is>
          <t>Merged_Table_Assay_lito</t>
        </is>
      </c>
      <c r="C1445" t="inlineStr">
        <is>
          <t>metros de sondaje; pct sobre metros</t>
        </is>
      </c>
      <c r="D1445" t="inlineStr">
        <is>
          <t>fase_plp_GM_FASES_LE2_Output</t>
        </is>
      </c>
      <c r="E1445" t="inlineStr">
        <is>
          <t>9BS</t>
        </is>
      </c>
      <c r="F1445" t="inlineStr">
        <is>
          <t>ROCKCODE</t>
        </is>
      </c>
      <c r="G1445" t="inlineStr">
        <is>
          <t>BCIPPEO</t>
        </is>
      </c>
      <c r="H1445" t="inlineStr">
        <is>
          <t>Intrusivo</t>
        </is>
      </c>
      <c r="I1445" t="inlineStr">
        <is>
          <t>BCIPPEO</t>
        </is>
      </c>
      <c r="J1445" t="inlineStr">
        <is>
          <t>ROCKCODE agrupado en ROCKCODE_NUMEQ=1 (Intrusivo_1)</t>
        </is>
      </c>
      <c r="K1445" t="inlineStr">
        <is>
          <t>Intrusivo</t>
        </is>
      </c>
      <c r="L1445" t="inlineStr">
        <is>
          <t>Intrusivo</t>
        </is>
      </c>
      <c r="M1445" t="n">
        <v>4</v>
      </c>
      <c r="N1445" t="inlineStr"/>
      <c r="O1445" t="inlineStr"/>
      <c r="P1445" t="n">
        <v>2.4</v>
      </c>
      <c r="Q1445" t="n">
        <v>0.017</v>
      </c>
    </row>
    <row r="1446">
      <c r="A1446" t="inlineStr">
        <is>
          <t>MR24</t>
        </is>
      </c>
      <c r="B1446" t="inlineStr">
        <is>
          <t>Merged_Table_Assay_lito</t>
        </is>
      </c>
      <c r="C1446" t="inlineStr">
        <is>
          <t>metros de sondaje; pct sobre metros</t>
        </is>
      </c>
      <c r="D1446" t="inlineStr">
        <is>
          <t>fase_plp_GM_FASES_LE2_Output</t>
        </is>
      </c>
      <c r="E1446" t="inlineStr">
        <is>
          <t>9BS</t>
        </is>
      </c>
      <c r="F1446" t="inlineStr">
        <is>
          <t>ROCKCODE</t>
        </is>
      </c>
      <c r="G1446" t="inlineStr">
        <is>
          <t>BMIPPA</t>
        </is>
      </c>
      <c r="H1446" t="inlineStr">
        <is>
          <t>Intrusivo</t>
        </is>
      </c>
      <c r="I1446" t="inlineStr">
        <is>
          <t>BMIPPA</t>
        </is>
      </c>
      <c r="J1446" t="inlineStr">
        <is>
          <t>ROCKCODE agrupado en ROCKCODE_NUMEQ=1 (Intrusivo_1)</t>
        </is>
      </c>
      <c r="K1446" t="inlineStr">
        <is>
          <t>Intrusivo</t>
        </is>
      </c>
      <c r="L1446" t="inlineStr">
        <is>
          <t>Intrusivo</t>
        </is>
      </c>
      <c r="M1446" t="n">
        <v>2</v>
      </c>
      <c r="N1446" t="inlineStr"/>
      <c r="O1446" t="inlineStr"/>
      <c r="P1446" t="n">
        <v>3.4</v>
      </c>
      <c r="Q1446" t="n">
        <v>0.024</v>
      </c>
    </row>
    <row r="1447">
      <c r="A1447" t="inlineStr">
        <is>
          <t>MR24</t>
        </is>
      </c>
      <c r="B1447" t="inlineStr">
        <is>
          <t>Merged_Table_Assay_lito</t>
        </is>
      </c>
      <c r="C1447" t="inlineStr">
        <is>
          <t>metros de sondaje; pct sobre metros</t>
        </is>
      </c>
      <c r="D1447" t="inlineStr">
        <is>
          <t>fase_plp_GM_FASES_LE2_Output</t>
        </is>
      </c>
      <c r="E1447" t="inlineStr">
        <is>
          <t>9BS</t>
        </is>
      </c>
      <c r="F1447" t="inlineStr">
        <is>
          <t>ROCKCODE</t>
        </is>
      </c>
      <c r="G1447" t="inlineStr">
        <is>
          <t>CBMN</t>
        </is>
      </c>
      <c r="H1447" t="inlineStr">
        <is>
          <t>sin asignar</t>
        </is>
      </c>
      <c r="I1447" t="inlineStr">
        <is>
          <t>CBMN</t>
        </is>
      </c>
      <c r="J1447" t="inlineStr">
        <is>
          <t>ROCKCODE agrupado en ROCKCODE_NUMEQ=10; sigla sin leyenda</t>
        </is>
      </c>
      <c r="K1447" t="inlineStr">
        <is>
          <t>Caliza (hipótesis: siglas C*)</t>
        </is>
      </c>
      <c r="L1447" t="inlineStr">
        <is>
          <t>Sedimentario</t>
        </is>
      </c>
      <c r="M1447" t="n">
        <v>28</v>
      </c>
      <c r="N1447" t="inlineStr"/>
      <c r="O1447" t="inlineStr"/>
      <c r="P1447" t="n">
        <v>90.84999999999999</v>
      </c>
      <c r="Q1447" t="n">
        <v>0.639</v>
      </c>
    </row>
    <row r="1448">
      <c r="A1448" t="inlineStr">
        <is>
          <t>MR24</t>
        </is>
      </c>
      <c r="B1448" t="inlineStr">
        <is>
          <t>Merged_Table_Assay_lito</t>
        </is>
      </c>
      <c r="C1448" t="inlineStr">
        <is>
          <t>metros de sondaje; pct sobre metros</t>
        </is>
      </c>
      <c r="D1448" t="inlineStr">
        <is>
          <t>fase_plp_GM_FASES_LE2_Output</t>
        </is>
      </c>
      <c r="E1448" t="inlineStr">
        <is>
          <t>9BS</t>
        </is>
      </c>
      <c r="F1448" t="inlineStr">
        <is>
          <t>ROCKCODE</t>
        </is>
      </c>
      <c r="G1448" t="inlineStr">
        <is>
          <t>CG</t>
        </is>
      </c>
      <c r="H1448" t="inlineStr">
        <is>
          <t>sin asignar</t>
        </is>
      </c>
      <c r="I1448" t="inlineStr">
        <is>
          <t>CG</t>
        </is>
      </c>
      <c r="J1448" t="inlineStr">
        <is>
          <t>ROCKCODE agrupado en ROCKCODE_NUMEQ=10; sigla sin leyenda</t>
        </is>
      </c>
      <c r="K1448" t="inlineStr">
        <is>
          <t>Caliza (hipótesis: siglas C*)</t>
        </is>
      </c>
      <c r="L1448" t="inlineStr">
        <is>
          <t>Sedimentario</t>
        </is>
      </c>
      <c r="M1448" t="n">
        <v>232</v>
      </c>
      <c r="N1448" t="inlineStr"/>
      <c r="O1448" t="inlineStr"/>
      <c r="P1448" t="n">
        <v>161.65</v>
      </c>
      <c r="Q1448" t="n">
        <v>1.137</v>
      </c>
    </row>
    <row r="1449">
      <c r="A1449" t="inlineStr">
        <is>
          <t>MR24</t>
        </is>
      </c>
      <c r="B1449" t="inlineStr">
        <is>
          <t>Merged_Table_Assay_lito</t>
        </is>
      </c>
      <c r="C1449" t="inlineStr">
        <is>
          <t>metros de sondaje; pct sobre metros</t>
        </is>
      </c>
      <c r="D1449" t="inlineStr">
        <is>
          <t>fase_plp_GM_FASES_LE2_Output</t>
        </is>
      </c>
      <c r="E1449" t="inlineStr">
        <is>
          <t>9BS</t>
        </is>
      </c>
      <c r="F1449" t="inlineStr">
        <is>
          <t>ROCKCODE</t>
        </is>
      </c>
      <c r="G1449" t="inlineStr">
        <is>
          <t>CGS</t>
        </is>
      </c>
      <c r="H1449" t="inlineStr">
        <is>
          <t>sin asignar</t>
        </is>
      </c>
      <c r="I1449" t="inlineStr">
        <is>
          <t>CGS</t>
        </is>
      </c>
      <c r="J1449" t="inlineStr">
        <is>
          <t>ROCKCODE agrupado en ROCKCODE_NUMEQ=10; sigla sin leyenda</t>
        </is>
      </c>
      <c r="K1449" t="inlineStr">
        <is>
          <t>Caliza (hipótesis: siglas C*)</t>
        </is>
      </c>
      <c r="L1449" t="inlineStr">
        <is>
          <t>Sedimentario</t>
        </is>
      </c>
      <c r="M1449" t="n">
        <v>79</v>
      </c>
      <c r="N1449" t="inlineStr"/>
      <c r="O1449" t="inlineStr"/>
      <c r="P1449" t="n">
        <v>49.7</v>
      </c>
      <c r="Q1449" t="n">
        <v>0.35</v>
      </c>
    </row>
    <row r="1450">
      <c r="A1450" t="inlineStr">
        <is>
          <t>MR24</t>
        </is>
      </c>
      <c r="B1450" t="inlineStr">
        <is>
          <t>Merged_Table_Assay_lito</t>
        </is>
      </c>
      <c r="C1450" t="inlineStr">
        <is>
          <t>metros de sondaje; pct sobre metros</t>
        </is>
      </c>
      <c r="D1450" t="inlineStr">
        <is>
          <t>fase_plp_GM_FASES_LE2_Output</t>
        </is>
      </c>
      <c r="E1450" t="inlineStr">
        <is>
          <t>9BS</t>
        </is>
      </c>
      <c r="F1450" t="inlineStr">
        <is>
          <t>ROCKCODE</t>
        </is>
      </c>
      <c r="G1450" t="inlineStr">
        <is>
          <t>CN</t>
        </is>
      </c>
      <c r="H1450" t="inlineStr">
        <is>
          <t>sin asignar</t>
        </is>
      </c>
      <c r="I1450" t="inlineStr">
        <is>
          <t>CN</t>
        </is>
      </c>
      <c r="J1450" t="inlineStr">
        <is>
          <t>ROCKCODE agrupado en ROCKCODE_NUMEQ=10; sigla sin leyenda</t>
        </is>
      </c>
      <c r="K1450" t="inlineStr">
        <is>
          <t>Caliza (hipótesis: siglas C*)</t>
        </is>
      </c>
      <c r="L1450" t="inlineStr">
        <is>
          <t>Sedimentario</t>
        </is>
      </c>
      <c r="M1450" t="n">
        <v>83</v>
      </c>
      <c r="N1450" t="inlineStr"/>
      <c r="O1450" t="inlineStr"/>
      <c r="P1450" t="n">
        <v>60</v>
      </c>
      <c r="Q1450" t="n">
        <v>0.422</v>
      </c>
    </row>
    <row r="1451">
      <c r="A1451" t="inlineStr">
        <is>
          <t>MR24</t>
        </is>
      </c>
      <c r="B1451" t="inlineStr">
        <is>
          <t>Merged_Table_Assay_lito</t>
        </is>
      </c>
      <c r="C1451" t="inlineStr">
        <is>
          <t>metros de sondaje; pct sobre metros</t>
        </is>
      </c>
      <c r="D1451" t="inlineStr">
        <is>
          <t>fase_plp_GM_FASES_LE2_Output</t>
        </is>
      </c>
      <c r="E1451" t="inlineStr">
        <is>
          <t>9BS</t>
        </is>
      </c>
      <c r="F1451" t="inlineStr">
        <is>
          <t>ROCKCODE</t>
        </is>
      </c>
      <c r="G1451" t="inlineStr">
        <is>
          <t>HBV</t>
        </is>
      </c>
      <c r="H1451" t="inlineStr">
        <is>
          <t>sin asignar</t>
        </is>
      </c>
      <c r="I1451" t="inlineStr">
        <is>
          <t>HBV</t>
        </is>
      </c>
      <c r="J1451" t="inlineStr">
        <is>
          <t>ROCKCODE agrupado en ROCKCODE_NUMEQ=14; sigla sin leyenda</t>
        </is>
      </c>
      <c r="K1451" t="inlineStr">
        <is>
          <t>Hornfels (hipótesis: siglas H*)</t>
        </is>
      </c>
      <c r="L1451" t="inlineStr">
        <is>
          <t>Metamorfico</t>
        </is>
      </c>
      <c r="M1451" t="n">
        <v>35</v>
      </c>
      <c r="N1451" t="inlineStr"/>
      <c r="O1451" t="inlineStr"/>
      <c r="P1451" t="n">
        <v>44.25</v>
      </c>
      <c r="Q1451" t="n">
        <v>0.311</v>
      </c>
    </row>
    <row r="1452">
      <c r="A1452" t="inlineStr">
        <is>
          <t>MR24</t>
        </is>
      </c>
      <c r="B1452" t="inlineStr">
        <is>
          <t>Merged_Table_Assay_lito</t>
        </is>
      </c>
      <c r="C1452" t="inlineStr">
        <is>
          <t>metros de sondaje; pct sobre metros</t>
        </is>
      </c>
      <c r="D1452" t="inlineStr">
        <is>
          <t>fase_plp_GM_FASES_LE2_Output</t>
        </is>
      </c>
      <c r="E1452" t="inlineStr">
        <is>
          <t>9BS</t>
        </is>
      </c>
      <c r="F1452" t="inlineStr">
        <is>
          <t>ROCKCODE</t>
        </is>
      </c>
      <c r="G1452" t="inlineStr">
        <is>
          <t>HC</t>
        </is>
      </c>
      <c r="H1452" t="inlineStr">
        <is>
          <t>sin asignar</t>
        </is>
      </c>
      <c r="I1452" t="inlineStr">
        <is>
          <t>HC</t>
        </is>
      </c>
      <c r="J1452" t="inlineStr">
        <is>
          <t>ROCKCODE agrupado en ROCKCODE_NUMEQ=13; sigla sin leyenda</t>
        </is>
      </c>
      <c r="K1452" t="inlineStr">
        <is>
          <t>Hornfels (hipótesis: siglas H*)</t>
        </is>
      </c>
      <c r="L1452" t="inlineStr">
        <is>
          <t>Metamorfico</t>
        </is>
      </c>
      <c r="M1452" t="n">
        <v>15</v>
      </c>
      <c r="N1452" t="inlineStr"/>
      <c r="O1452" t="inlineStr"/>
      <c r="P1452" t="n">
        <v>11.8</v>
      </c>
      <c r="Q1452" t="n">
        <v>0.083</v>
      </c>
    </row>
    <row r="1453">
      <c r="A1453" t="inlineStr">
        <is>
          <t>MR24</t>
        </is>
      </c>
      <c r="B1453" t="inlineStr">
        <is>
          <t>Merged_Table_Assay_lito</t>
        </is>
      </c>
      <c r="C1453" t="inlineStr">
        <is>
          <t>metros de sondaje; pct sobre metros</t>
        </is>
      </c>
      <c r="D1453" t="inlineStr">
        <is>
          <t>fase_plp_GM_FASES_LE2_Output</t>
        </is>
      </c>
      <c r="E1453" t="inlineStr">
        <is>
          <t>9BS</t>
        </is>
      </c>
      <c r="F1453" t="inlineStr">
        <is>
          <t>ROCKCODE</t>
        </is>
      </c>
      <c r="G1453" t="inlineStr">
        <is>
          <t>HDP</t>
        </is>
      </c>
      <c r="H1453" t="inlineStr">
        <is>
          <t>sin asignar</t>
        </is>
      </c>
      <c r="I1453" t="inlineStr">
        <is>
          <t>HDP</t>
        </is>
      </c>
      <c r="J1453" t="inlineStr">
        <is>
          <t>ROCKCODE agrupado en ROCKCODE_NUMEQ=14; sigla sin leyenda</t>
        </is>
      </c>
      <c r="K1453" t="inlineStr">
        <is>
          <t>Hornfels (hipótesis: siglas H*)</t>
        </is>
      </c>
      <c r="L1453" t="inlineStr">
        <is>
          <t>Metamorfico</t>
        </is>
      </c>
      <c r="M1453" t="n">
        <v>11</v>
      </c>
      <c r="N1453" t="inlineStr"/>
      <c r="O1453" t="inlineStr"/>
      <c r="P1453" t="n">
        <v>22</v>
      </c>
      <c r="Q1453" t="n">
        <v>0.155</v>
      </c>
    </row>
    <row r="1454">
      <c r="A1454" t="inlineStr">
        <is>
          <t>MR24</t>
        </is>
      </c>
      <c r="B1454" t="inlineStr">
        <is>
          <t>Merged_Table_Assay_lito</t>
        </is>
      </c>
      <c r="C1454" t="inlineStr">
        <is>
          <t>metros de sondaje; pct sobre metros</t>
        </is>
      </c>
      <c r="D1454" t="inlineStr">
        <is>
          <t>fase_plp_GM_FASES_LE2_Output</t>
        </is>
      </c>
      <c r="E1454" t="inlineStr">
        <is>
          <t>9BS</t>
        </is>
      </c>
      <c r="F1454" t="inlineStr">
        <is>
          <t>ROCKCODE</t>
        </is>
      </c>
      <c r="G1454" t="inlineStr">
        <is>
          <t>HG</t>
        </is>
      </c>
      <c r="H1454" t="inlineStr">
        <is>
          <t>sin asignar</t>
        </is>
      </c>
      <c r="I1454" t="inlineStr">
        <is>
          <t>HG</t>
        </is>
      </c>
      <c r="J1454" t="inlineStr">
        <is>
          <t>ROCKCODE agrupado en ROCKCODE_NUMEQ=13; sigla sin leyenda</t>
        </is>
      </c>
      <c r="K1454" t="inlineStr">
        <is>
          <t>Hornfels (hipótesis: siglas H*)</t>
        </is>
      </c>
      <c r="L1454" t="inlineStr">
        <is>
          <t>Metamorfico</t>
        </is>
      </c>
      <c r="M1454" t="n">
        <v>50</v>
      </c>
      <c r="N1454" t="inlineStr"/>
      <c r="O1454" t="inlineStr"/>
      <c r="P1454" t="n">
        <v>38.15</v>
      </c>
      <c r="Q1454" t="n">
        <v>0.268</v>
      </c>
    </row>
    <row r="1455">
      <c r="A1455" t="inlineStr">
        <is>
          <t>MR24</t>
        </is>
      </c>
      <c r="B1455" t="inlineStr">
        <is>
          <t>Merged_Table_Assay_lito</t>
        </is>
      </c>
      <c r="C1455" t="inlineStr">
        <is>
          <t>metros de sondaje; pct sobre metros</t>
        </is>
      </c>
      <c r="D1455" t="inlineStr">
        <is>
          <t>fase_plp_GM_FASES_LE2_Output</t>
        </is>
      </c>
      <c r="E1455" t="inlineStr">
        <is>
          <t>9BS</t>
        </is>
      </c>
      <c r="F1455" t="inlineStr">
        <is>
          <t>ROCKCODE</t>
        </is>
      </c>
      <c r="G1455" t="inlineStr">
        <is>
          <t>HMGV</t>
        </is>
      </c>
      <c r="H1455" t="inlineStr">
        <is>
          <t>sin asignar</t>
        </is>
      </c>
      <c r="I1455" t="inlineStr">
        <is>
          <t>HMGV</t>
        </is>
      </c>
      <c r="J1455" t="inlineStr">
        <is>
          <t>ROCKCODE agrupado en ROCKCODE_NUMEQ=14; sigla sin leyenda</t>
        </is>
      </c>
      <c r="K1455" t="inlineStr">
        <is>
          <t>Hornfels (hipótesis: siglas H*)</t>
        </is>
      </c>
      <c r="L1455" t="inlineStr">
        <is>
          <t>Metamorfico</t>
        </is>
      </c>
      <c r="M1455" t="n">
        <v>2</v>
      </c>
      <c r="N1455" t="inlineStr"/>
      <c r="O1455" t="inlineStr"/>
      <c r="P1455" t="n">
        <v>5.55</v>
      </c>
      <c r="Q1455" t="n">
        <v>0.039</v>
      </c>
    </row>
    <row r="1456">
      <c r="A1456" t="inlineStr">
        <is>
          <t>MR24</t>
        </is>
      </c>
      <c r="B1456" t="inlineStr">
        <is>
          <t>Merged_Table_Assay_lito</t>
        </is>
      </c>
      <c r="C1456" t="inlineStr">
        <is>
          <t>metros de sondaje; pct sobre metros</t>
        </is>
      </c>
      <c r="D1456" t="inlineStr">
        <is>
          <t>fase_plp_GM_FASES_LE2_Output</t>
        </is>
      </c>
      <c r="E1456" t="inlineStr">
        <is>
          <t>9BS</t>
        </is>
      </c>
      <c r="F1456" t="inlineStr">
        <is>
          <t>ROCKCODE</t>
        </is>
      </c>
      <c r="G1456" t="inlineStr">
        <is>
          <t>IPPA</t>
        </is>
      </c>
      <c r="H1456" t="inlineStr">
        <is>
          <t>Intrusivo</t>
        </is>
      </c>
      <c r="I1456" t="inlineStr">
        <is>
          <t>IPPA</t>
        </is>
      </c>
      <c r="J1456" t="inlineStr">
        <is>
          <t>ROCKCODE agrupado en ROCKCODE_NUMEQ=1 (Intrusivo_1)</t>
        </is>
      </c>
      <c r="K1456" t="inlineStr">
        <is>
          <t>Intrusivo</t>
        </is>
      </c>
      <c r="L1456" t="inlineStr">
        <is>
          <t>Intrusivo</t>
        </is>
      </c>
      <c r="M1456" t="n">
        <v>2478</v>
      </c>
      <c r="N1456" t="inlineStr"/>
      <c r="O1456" t="inlineStr"/>
      <c r="P1456" t="n">
        <v>3778.75</v>
      </c>
      <c r="Q1456" t="n">
        <v>26.58</v>
      </c>
    </row>
    <row r="1457">
      <c r="A1457" t="inlineStr">
        <is>
          <t>MR24</t>
        </is>
      </c>
      <c r="B1457" t="inlineStr">
        <is>
          <t>Merged_Table_Assay_lito</t>
        </is>
      </c>
      <c r="C1457" t="inlineStr">
        <is>
          <t>metros de sondaje; pct sobre metros</t>
        </is>
      </c>
      <c r="D1457" t="inlineStr">
        <is>
          <t>fase_plp_GM_FASES_LE2_Output</t>
        </is>
      </c>
      <c r="E1457" t="inlineStr">
        <is>
          <t>9BS</t>
        </is>
      </c>
      <c r="F1457" t="inlineStr">
        <is>
          <t>ROCKCODE</t>
        </is>
      </c>
      <c r="G1457" t="inlineStr">
        <is>
          <t>IPPAMO</t>
        </is>
      </c>
      <c r="H1457" t="inlineStr">
        <is>
          <t>Intrusivo</t>
        </is>
      </c>
      <c r="I1457" t="inlineStr">
        <is>
          <t>IPPAMO</t>
        </is>
      </c>
      <c r="J1457" t="inlineStr">
        <is>
          <t>ROCKCODE agrupado en ROCKCODE_NUMEQ=1 (Intrusivo_1)</t>
        </is>
      </c>
      <c r="K1457" t="inlineStr">
        <is>
          <t>Intrusivo</t>
        </is>
      </c>
      <c r="L1457" t="inlineStr">
        <is>
          <t>Intrusivo</t>
        </is>
      </c>
      <c r="M1457" t="n">
        <v>222</v>
      </c>
      <c r="N1457" t="inlineStr"/>
      <c r="O1457" t="inlineStr"/>
      <c r="P1457" t="n">
        <v>289.2</v>
      </c>
      <c r="Q1457" t="n">
        <v>2.034</v>
      </c>
    </row>
    <row r="1458">
      <c r="A1458" t="inlineStr">
        <is>
          <t>MR24</t>
        </is>
      </c>
      <c r="B1458" t="inlineStr">
        <is>
          <t>Merged_Table_Assay_lito</t>
        </is>
      </c>
      <c r="C1458" t="inlineStr">
        <is>
          <t>metros de sondaje; pct sobre metros</t>
        </is>
      </c>
      <c r="D1458" t="inlineStr">
        <is>
          <t>fase_plp_GM_FASES_LE2_Output</t>
        </is>
      </c>
      <c r="E1458" t="inlineStr">
        <is>
          <t>9BS</t>
        </is>
      </c>
      <c r="F1458" t="inlineStr">
        <is>
          <t>ROCKCODE</t>
        </is>
      </c>
      <c r="G1458" t="inlineStr">
        <is>
          <t>IPPAO</t>
        </is>
      </c>
      <c r="H1458" t="inlineStr">
        <is>
          <t>Intrusivo</t>
        </is>
      </c>
      <c r="I1458" t="inlineStr">
        <is>
          <t>IPPAO</t>
        </is>
      </c>
      <c r="J1458" t="inlineStr">
        <is>
          <t>ROCKCODE agrupado en ROCKCODE_NUMEQ=1 (Intrusivo_1)</t>
        </is>
      </c>
      <c r="K1458" t="inlineStr">
        <is>
          <t>Intrusivo</t>
        </is>
      </c>
      <c r="L1458" t="inlineStr">
        <is>
          <t>Intrusivo</t>
        </is>
      </c>
      <c r="M1458" t="n">
        <v>1664</v>
      </c>
      <c r="N1458" t="inlineStr"/>
      <c r="O1458" t="inlineStr"/>
      <c r="P1458" t="n">
        <v>2324.89</v>
      </c>
      <c r="Q1458" t="n">
        <v>16.354</v>
      </c>
    </row>
    <row r="1459">
      <c r="A1459" t="inlineStr">
        <is>
          <t>MR24</t>
        </is>
      </c>
      <c r="B1459" t="inlineStr">
        <is>
          <t>Merged_Table_Assay_lito</t>
        </is>
      </c>
      <c r="C1459" t="inlineStr">
        <is>
          <t>metros de sondaje; pct sobre metros</t>
        </is>
      </c>
      <c r="D1459" t="inlineStr">
        <is>
          <t>fase_plp_GM_FASES_LE2_Output</t>
        </is>
      </c>
      <c r="E1459" t="inlineStr">
        <is>
          <t>9BS</t>
        </is>
      </c>
      <c r="F1459" t="inlineStr">
        <is>
          <t>ROCKCODE</t>
        </is>
      </c>
      <c r="G1459" t="inlineStr">
        <is>
          <t>IPPEO</t>
        </is>
      </c>
      <c r="H1459" t="inlineStr">
        <is>
          <t>Intrusivo</t>
        </is>
      </c>
      <c r="I1459" t="inlineStr">
        <is>
          <t>IPPEO</t>
        </is>
      </c>
      <c r="J1459" t="inlineStr">
        <is>
          <t>ROCKCODE agrupado en ROCKCODE_NUMEQ=1 (Intrusivo_1)</t>
        </is>
      </c>
      <c r="K1459" t="inlineStr">
        <is>
          <t>Intrusivo</t>
        </is>
      </c>
      <c r="L1459" t="inlineStr">
        <is>
          <t>Intrusivo</t>
        </is>
      </c>
      <c r="M1459" t="n">
        <v>7</v>
      </c>
      <c r="N1459" t="inlineStr"/>
      <c r="O1459" t="inlineStr"/>
      <c r="P1459" t="n">
        <v>9.199999999999999</v>
      </c>
      <c r="Q1459" t="n">
        <v>0.065</v>
      </c>
    </row>
    <row r="1460">
      <c r="A1460" t="inlineStr">
        <is>
          <t>MR24</t>
        </is>
      </c>
      <c r="B1460" t="inlineStr">
        <is>
          <t>Merged_Table_Assay_lito</t>
        </is>
      </c>
      <c r="C1460" t="inlineStr">
        <is>
          <t>metros de sondaje; pct sobre metros</t>
        </is>
      </c>
      <c r="D1460" t="inlineStr">
        <is>
          <t>fase_plp_GM_FASES_LE2_Output</t>
        </is>
      </c>
      <c r="E1460" t="inlineStr">
        <is>
          <t>9BS</t>
        </is>
      </c>
      <c r="F1460" t="inlineStr">
        <is>
          <t>ROCKCODE</t>
        </is>
      </c>
      <c r="G1460" t="inlineStr">
        <is>
          <t>M</t>
        </is>
      </c>
      <c r="H1460" t="inlineStr">
        <is>
          <t>sin asignar</t>
        </is>
      </c>
      <c r="I1460" t="inlineStr">
        <is>
          <t>M</t>
        </is>
      </c>
      <c r="J1460" t="inlineStr">
        <is>
          <t>ROCKCODE agrupado en ROCKCODE_NUMEQ=16; sigla sin leyenda</t>
        </is>
      </c>
      <c r="K1460" t="inlineStr">
        <is>
          <t>Mármol (hipótesis: siglas M*)</t>
        </is>
      </c>
      <c r="L1460" t="inlineStr">
        <is>
          <t>Metamorfico</t>
        </is>
      </c>
      <c r="M1460" t="n">
        <v>6</v>
      </c>
      <c r="N1460" t="inlineStr"/>
      <c r="O1460" t="inlineStr"/>
      <c r="P1460" t="n">
        <v>48.6</v>
      </c>
      <c r="Q1460" t="n">
        <v>0.342</v>
      </c>
    </row>
    <row r="1461">
      <c r="A1461" t="inlineStr">
        <is>
          <t>MR24</t>
        </is>
      </c>
      <c r="B1461" t="inlineStr">
        <is>
          <t>Merged_Table_Assay_lito</t>
        </is>
      </c>
      <c r="C1461" t="inlineStr">
        <is>
          <t>metros de sondaje; pct sobre metros</t>
        </is>
      </c>
      <c r="D1461" t="inlineStr">
        <is>
          <t>fase_plp_GM_FASES_LE2_Output</t>
        </is>
      </c>
      <c r="E1461" t="inlineStr">
        <is>
          <t>9BS</t>
        </is>
      </c>
      <c r="F1461" t="inlineStr">
        <is>
          <t>ROCKCODE</t>
        </is>
      </c>
      <c r="G1461" t="inlineStr">
        <is>
          <t>MC</t>
        </is>
      </c>
      <c r="H1461" t="inlineStr">
        <is>
          <t>sin asignar</t>
        </is>
      </c>
      <c r="I1461" t="inlineStr">
        <is>
          <t>MC</t>
        </is>
      </c>
      <c r="J1461" t="inlineStr">
        <is>
          <t>ROCKCODE agrupado en ROCKCODE_NUMEQ=16; sigla sin leyenda</t>
        </is>
      </c>
      <c r="K1461" t="inlineStr">
        <is>
          <t>Mármol (hipótesis: siglas M*)</t>
        </is>
      </c>
      <c r="L1461" t="inlineStr">
        <is>
          <t>Metamorfico</t>
        </is>
      </c>
      <c r="M1461" t="n">
        <v>2062</v>
      </c>
      <c r="N1461" t="inlineStr"/>
      <c r="O1461" t="inlineStr"/>
      <c r="P1461" t="n">
        <v>2368.9</v>
      </c>
      <c r="Q1461" t="n">
        <v>16.663</v>
      </c>
    </row>
    <row r="1462">
      <c r="A1462" t="inlineStr">
        <is>
          <t>MR24</t>
        </is>
      </c>
      <c r="B1462" t="inlineStr">
        <is>
          <t>Merged_Table_Assay_lito</t>
        </is>
      </c>
      <c r="C1462" t="inlineStr">
        <is>
          <t>metros de sondaje; pct sobre metros</t>
        </is>
      </c>
      <c r="D1462" t="inlineStr">
        <is>
          <t>fase_plp_GM_FASES_LE2_Output</t>
        </is>
      </c>
      <c r="E1462" t="inlineStr">
        <is>
          <t>9BS</t>
        </is>
      </c>
      <c r="F1462" t="inlineStr">
        <is>
          <t>ROCKCODE</t>
        </is>
      </c>
      <c r="G1462" t="inlineStr">
        <is>
          <t>MCB</t>
        </is>
      </c>
      <c r="H1462" t="inlineStr">
        <is>
          <t>sin asignar</t>
        </is>
      </c>
      <c r="I1462" t="inlineStr">
        <is>
          <t>MCB</t>
        </is>
      </c>
      <c r="J1462" t="inlineStr">
        <is>
          <t>ROCKCODE agrupado en ROCKCODE_NUMEQ=16; sigla sin leyenda</t>
        </is>
      </c>
      <c r="K1462" t="inlineStr">
        <is>
          <t>Mármol (hipótesis: siglas M*)</t>
        </is>
      </c>
      <c r="L1462" t="inlineStr">
        <is>
          <t>Metamorfico</t>
        </is>
      </c>
      <c r="M1462" t="n">
        <v>324</v>
      </c>
      <c r="N1462" t="inlineStr"/>
      <c r="O1462" t="inlineStr"/>
      <c r="P1462" t="n">
        <v>520</v>
      </c>
      <c r="Q1462" t="n">
        <v>3.658</v>
      </c>
    </row>
    <row r="1463">
      <c r="A1463" t="inlineStr">
        <is>
          <t>MR24</t>
        </is>
      </c>
      <c r="B1463" t="inlineStr">
        <is>
          <t>Merged_Table_Assay_lito</t>
        </is>
      </c>
      <c r="C1463" t="inlineStr">
        <is>
          <t>metros de sondaje; pct sobre metros</t>
        </is>
      </c>
      <c r="D1463" t="inlineStr">
        <is>
          <t>fase_plp_GM_FASES_LE2_Output</t>
        </is>
      </c>
      <c r="E1463" t="inlineStr">
        <is>
          <t>9BS</t>
        </is>
      </c>
      <c r="F1463" t="inlineStr">
        <is>
          <t>ROCKCODE</t>
        </is>
      </c>
      <c r="G1463" t="inlineStr">
        <is>
          <t>MCGB</t>
        </is>
      </c>
      <c r="H1463" t="inlineStr">
        <is>
          <t>sin asignar</t>
        </is>
      </c>
      <c r="I1463" t="inlineStr">
        <is>
          <t>MCGB</t>
        </is>
      </c>
      <c r="J1463" t="inlineStr">
        <is>
          <t>ROCKCODE agrupado en ROCKCODE_NUMEQ=16; sigla sin leyenda</t>
        </is>
      </c>
      <c r="K1463" t="inlineStr">
        <is>
          <t>Mármol (hipótesis: siglas M*)</t>
        </is>
      </c>
      <c r="L1463" t="inlineStr">
        <is>
          <t>Metamorfico</t>
        </is>
      </c>
      <c r="M1463" t="n">
        <v>1035</v>
      </c>
      <c r="N1463" t="inlineStr"/>
      <c r="O1463" t="inlineStr"/>
      <c r="P1463" t="n">
        <v>1099.15</v>
      </c>
      <c r="Q1463" t="n">
        <v>7.732</v>
      </c>
    </row>
    <row r="1464">
      <c r="A1464" t="inlineStr">
        <is>
          <t>MR24</t>
        </is>
      </c>
      <c r="B1464" t="inlineStr">
        <is>
          <t>Merged_Table_Assay_lito</t>
        </is>
      </c>
      <c r="C1464" t="inlineStr">
        <is>
          <t>metros de sondaje; pct sobre metros</t>
        </is>
      </c>
      <c r="D1464" t="inlineStr">
        <is>
          <t>fase_plp_GM_FASES_LE2_Output</t>
        </is>
      </c>
      <c r="E1464" t="inlineStr">
        <is>
          <t>9BS</t>
        </is>
      </c>
      <c r="F1464" t="inlineStr">
        <is>
          <t>ROCKCODE</t>
        </is>
      </c>
      <c r="G1464" t="inlineStr">
        <is>
          <t>MDL</t>
        </is>
      </c>
      <c r="H1464" t="inlineStr">
        <is>
          <t>sin asignar</t>
        </is>
      </c>
      <c r="I1464" t="inlineStr">
        <is>
          <t>MDL</t>
        </is>
      </c>
      <c r="J1464" t="inlineStr">
        <is>
          <t>ROCKCODE agrupado en ROCKCODE_NUMEQ=16; sigla sin leyenda</t>
        </is>
      </c>
      <c r="K1464" t="inlineStr">
        <is>
          <t>Mármol (hipótesis: siglas M*)</t>
        </is>
      </c>
      <c r="L1464" t="inlineStr">
        <is>
          <t>Metamorfico</t>
        </is>
      </c>
      <c r="M1464" t="n">
        <v>18</v>
      </c>
      <c r="N1464" t="inlineStr"/>
      <c r="O1464" t="inlineStr"/>
      <c r="P1464" t="n">
        <v>37.05</v>
      </c>
      <c r="Q1464" t="n">
        <v>0.261</v>
      </c>
    </row>
    <row r="1465">
      <c r="A1465" t="inlineStr">
        <is>
          <t>MR24</t>
        </is>
      </c>
      <c r="B1465" t="inlineStr">
        <is>
          <t>Merged_Table_Assay_lito</t>
        </is>
      </c>
      <c r="C1465" t="inlineStr">
        <is>
          <t>metros de sondaje; pct sobre metros</t>
        </is>
      </c>
      <c r="D1465" t="inlineStr">
        <is>
          <t>fase_plp_GM_FASES_LE2_Output</t>
        </is>
      </c>
      <c r="E1465" t="inlineStr">
        <is>
          <t>9BS</t>
        </is>
      </c>
      <c r="F1465" t="inlineStr">
        <is>
          <t>ROCKCODE</t>
        </is>
      </c>
      <c r="G1465" t="inlineStr">
        <is>
          <t>MDP</t>
        </is>
      </c>
      <c r="H1465" t="inlineStr">
        <is>
          <t>sin asignar</t>
        </is>
      </c>
      <c r="I1465" t="inlineStr">
        <is>
          <t>MDP</t>
        </is>
      </c>
      <c r="J1465" t="inlineStr">
        <is>
          <t>ROCKCODE agrupado en ROCKCODE_NUMEQ=19; sigla sin leyenda</t>
        </is>
      </c>
      <c r="K1465" t="inlineStr">
        <is>
          <t>Mármol (hipótesis: sigla MDP)</t>
        </is>
      </c>
      <c r="L1465" t="inlineStr">
        <is>
          <t>Metamorfico</t>
        </is>
      </c>
      <c r="M1465" t="n">
        <v>1906</v>
      </c>
      <c r="N1465" t="inlineStr"/>
      <c r="O1465" t="inlineStr"/>
      <c r="P1465" t="n">
        <v>2040.17</v>
      </c>
      <c r="Q1465" t="n">
        <v>14.351</v>
      </c>
    </row>
    <row r="1466">
      <c r="A1466" t="inlineStr">
        <is>
          <t>MR24</t>
        </is>
      </c>
      <c r="B1466" t="inlineStr">
        <is>
          <t>Merged_Table_Assay_lito</t>
        </is>
      </c>
      <c r="C1466" t="inlineStr">
        <is>
          <t>metros de sondaje; pct sobre metros</t>
        </is>
      </c>
      <c r="D1466" t="inlineStr">
        <is>
          <t>fase_plp_GM_FASES_LE2_Output</t>
        </is>
      </c>
      <c r="E1466" t="inlineStr">
        <is>
          <t>9BS</t>
        </is>
      </c>
      <c r="F1466" t="inlineStr">
        <is>
          <t>ROCKCODE</t>
        </is>
      </c>
      <c r="G1466" t="inlineStr">
        <is>
          <t>MG</t>
        </is>
      </c>
      <c r="H1466" t="inlineStr">
        <is>
          <t>sin asignar</t>
        </is>
      </c>
      <c r="I1466" t="inlineStr">
        <is>
          <t>MG</t>
        </is>
      </c>
      <c r="J1466" t="inlineStr">
        <is>
          <t>ROCKCODE agrupado en ROCKCODE_NUMEQ=16; sigla sin leyenda</t>
        </is>
      </c>
      <c r="K1466" t="inlineStr">
        <is>
          <t>Mármol (hipótesis: siglas M*)</t>
        </is>
      </c>
      <c r="L1466" t="inlineStr">
        <is>
          <t>Metamorfico</t>
        </is>
      </c>
      <c r="M1466" t="n">
        <v>686</v>
      </c>
      <c r="N1466" t="inlineStr"/>
      <c r="O1466" t="inlineStr"/>
      <c r="P1466" t="n">
        <v>583.1</v>
      </c>
      <c r="Q1466" t="n">
        <v>4.102</v>
      </c>
    </row>
    <row r="1467">
      <c r="A1467" t="inlineStr">
        <is>
          <t>MR24</t>
        </is>
      </c>
      <c r="B1467" t="inlineStr">
        <is>
          <t>Merged_Table_Assay_lito</t>
        </is>
      </c>
      <c r="C1467" t="inlineStr">
        <is>
          <t>metros de sondaje; pct sobre metros</t>
        </is>
      </c>
      <c r="D1467" t="inlineStr">
        <is>
          <t>fase_plp_GM_FASES_LE2_Output</t>
        </is>
      </c>
      <c r="E1467" t="inlineStr">
        <is>
          <t>9BS</t>
        </is>
      </c>
      <c r="F1467" t="inlineStr">
        <is>
          <t>ROCKCODE</t>
        </is>
      </c>
      <c r="G1467" t="inlineStr">
        <is>
          <t>MGS</t>
        </is>
      </c>
      <c r="H1467" t="inlineStr">
        <is>
          <t>sin asignar</t>
        </is>
      </c>
      <c r="I1467" t="inlineStr">
        <is>
          <t>MGS</t>
        </is>
      </c>
      <c r="J1467" t="inlineStr">
        <is>
          <t>ROCKCODE agrupado en ROCKCODE_NUMEQ=16; sigla sin leyenda</t>
        </is>
      </c>
      <c r="K1467" t="inlineStr">
        <is>
          <t>Mármol (hipótesis: siglas M*)</t>
        </is>
      </c>
      <c r="L1467" t="inlineStr">
        <is>
          <t>Metamorfico</t>
        </is>
      </c>
      <c r="M1467" t="n">
        <v>138</v>
      </c>
      <c r="N1467" t="inlineStr"/>
      <c r="O1467" t="inlineStr"/>
      <c r="P1467" t="n">
        <v>94.59999999999999</v>
      </c>
      <c r="Q1467" t="n">
        <v>0.665</v>
      </c>
    </row>
    <row r="1468">
      <c r="A1468" t="inlineStr">
        <is>
          <t>MR24</t>
        </is>
      </c>
      <c r="B1468" t="inlineStr">
        <is>
          <t>Merged_Table_Assay_lito</t>
        </is>
      </c>
      <c r="C1468" t="inlineStr">
        <is>
          <t>metros de sondaje; pct sobre metros</t>
        </is>
      </c>
      <c r="D1468" t="inlineStr">
        <is>
          <t>fase_plp_GM_FASES_LE2_Output</t>
        </is>
      </c>
      <c r="E1468" t="inlineStr">
        <is>
          <t>9BS</t>
        </is>
      </c>
      <c r="F1468" t="inlineStr">
        <is>
          <t>ROCKCODE</t>
        </is>
      </c>
      <c r="G1468" t="inlineStr">
        <is>
          <t>MPA</t>
        </is>
      </c>
      <c r="H1468" t="inlineStr">
        <is>
          <t>sin asignar</t>
        </is>
      </c>
      <c r="I1468" t="inlineStr">
        <is>
          <t>MPA</t>
        </is>
      </c>
      <c r="J1468" t="inlineStr">
        <is>
          <t>ROCKCODE agrupado en ROCKCODE_NUMEQ=16; sigla sin leyenda</t>
        </is>
      </c>
      <c r="K1468" t="inlineStr">
        <is>
          <t>Mármol (hipótesis: siglas M*)</t>
        </is>
      </c>
      <c r="L1468" t="inlineStr">
        <is>
          <t>Metamorfico</t>
        </is>
      </c>
      <c r="M1468" t="n">
        <v>519</v>
      </c>
      <c r="N1468" t="inlineStr"/>
      <c r="O1468" t="inlineStr"/>
      <c r="P1468" t="n">
        <v>512.6</v>
      </c>
      <c r="Q1468" t="n">
        <v>3.606</v>
      </c>
    </row>
    <row r="1469">
      <c r="A1469" t="inlineStr">
        <is>
          <t>MR24</t>
        </is>
      </c>
      <c r="B1469" t="inlineStr">
        <is>
          <t>Merged_Table_Assay_lito</t>
        </is>
      </c>
      <c r="C1469" t="inlineStr">
        <is>
          <t>metros de sondaje; pct sobre metros</t>
        </is>
      </c>
      <c r="D1469" t="inlineStr">
        <is>
          <t>fase_plp_GM_FASES_LE2_Output</t>
        </is>
      </c>
      <c r="E1469" t="inlineStr">
        <is>
          <t>9C</t>
        </is>
      </c>
      <c r="F1469" t="inlineStr">
        <is>
          <t>ROCKCODE</t>
        </is>
      </c>
      <c r="G1469" t="inlineStr">
        <is>
          <t>HBV</t>
        </is>
      </c>
      <c r="H1469" t="inlineStr">
        <is>
          <t>sin asignar</t>
        </is>
      </c>
      <c r="I1469" t="inlineStr">
        <is>
          <t>HBV</t>
        </is>
      </c>
      <c r="J1469" t="inlineStr">
        <is>
          <t>ROCKCODE agrupado en ROCKCODE_NUMEQ=14; sigla sin leyenda</t>
        </is>
      </c>
      <c r="K1469" t="inlineStr">
        <is>
          <t>Hornfels (hipótesis: siglas H*)</t>
        </is>
      </c>
      <c r="L1469" t="inlineStr">
        <is>
          <t>Metamorfico</t>
        </is>
      </c>
      <c r="M1469" t="n">
        <v>6</v>
      </c>
      <c r="N1469" t="inlineStr"/>
      <c r="O1469" t="inlineStr"/>
      <c r="P1469" t="n">
        <v>12.45</v>
      </c>
      <c r="Q1469" t="n">
        <v>0.527</v>
      </c>
    </row>
    <row r="1470">
      <c r="A1470" t="inlineStr">
        <is>
          <t>MR24</t>
        </is>
      </c>
      <c r="B1470" t="inlineStr">
        <is>
          <t>Merged_Table_Assay_lito</t>
        </is>
      </c>
      <c r="C1470" t="inlineStr">
        <is>
          <t>metros de sondaje; pct sobre metros</t>
        </is>
      </c>
      <c r="D1470" t="inlineStr">
        <is>
          <t>fase_plp_GM_FASES_LE2_Output</t>
        </is>
      </c>
      <c r="E1470" t="inlineStr">
        <is>
          <t>9C</t>
        </is>
      </c>
      <c r="F1470" t="inlineStr">
        <is>
          <t>ROCKCODE</t>
        </is>
      </c>
      <c r="G1470" t="inlineStr">
        <is>
          <t>IPPA</t>
        </is>
      </c>
      <c r="H1470" t="inlineStr">
        <is>
          <t>Intrusivo</t>
        </is>
      </c>
      <c r="I1470" t="inlineStr">
        <is>
          <t>IPPA</t>
        </is>
      </c>
      <c r="J1470" t="inlineStr">
        <is>
          <t>ROCKCODE agrupado en ROCKCODE_NUMEQ=1 (Intrusivo_1)</t>
        </is>
      </c>
      <c r="K1470" t="inlineStr">
        <is>
          <t>Intrusivo</t>
        </is>
      </c>
      <c r="L1470" t="inlineStr">
        <is>
          <t>Intrusivo</t>
        </is>
      </c>
      <c r="M1470" t="n">
        <v>16</v>
      </c>
      <c r="N1470" t="inlineStr"/>
      <c r="O1470" t="inlineStr"/>
      <c r="P1470" t="n">
        <v>17.5</v>
      </c>
      <c r="Q1470" t="n">
        <v>0.741</v>
      </c>
    </row>
    <row r="1471">
      <c r="A1471" t="inlineStr">
        <is>
          <t>MR24</t>
        </is>
      </c>
      <c r="B1471" t="inlineStr">
        <is>
          <t>Merged_Table_Assay_lito</t>
        </is>
      </c>
      <c r="C1471" t="inlineStr">
        <is>
          <t>metros de sondaje; pct sobre metros</t>
        </is>
      </c>
      <c r="D1471" t="inlineStr">
        <is>
          <t>fase_plp_GM_FASES_LE2_Output</t>
        </is>
      </c>
      <c r="E1471" t="inlineStr">
        <is>
          <t>9C</t>
        </is>
      </c>
      <c r="F1471" t="inlineStr">
        <is>
          <t>ROCKCODE</t>
        </is>
      </c>
      <c r="G1471" t="inlineStr">
        <is>
          <t>IPPAMO</t>
        </is>
      </c>
      <c r="H1471" t="inlineStr">
        <is>
          <t>Intrusivo</t>
        </is>
      </c>
      <c r="I1471" t="inlineStr">
        <is>
          <t>IPPAMO</t>
        </is>
      </c>
      <c r="J1471" t="inlineStr">
        <is>
          <t>ROCKCODE agrupado en ROCKCODE_NUMEQ=1 (Intrusivo_1)</t>
        </is>
      </c>
      <c r="K1471" t="inlineStr">
        <is>
          <t>Intrusivo</t>
        </is>
      </c>
      <c r="L1471" t="inlineStr">
        <is>
          <t>Intrusivo</t>
        </is>
      </c>
      <c r="M1471" t="n">
        <v>8</v>
      </c>
      <c r="N1471" t="inlineStr"/>
      <c r="O1471" t="inlineStr"/>
      <c r="P1471" t="n">
        <v>19.5</v>
      </c>
      <c r="Q1471" t="n">
        <v>0.826</v>
      </c>
    </row>
    <row r="1472">
      <c r="A1472" t="inlineStr">
        <is>
          <t>MR24</t>
        </is>
      </c>
      <c r="B1472" t="inlineStr">
        <is>
          <t>Merged_Table_Assay_lito</t>
        </is>
      </c>
      <c r="C1472" t="inlineStr">
        <is>
          <t>metros de sondaje; pct sobre metros</t>
        </is>
      </c>
      <c r="D1472" t="inlineStr">
        <is>
          <t>fase_plp_GM_FASES_LE2_Output</t>
        </is>
      </c>
      <c r="E1472" t="inlineStr">
        <is>
          <t>9C</t>
        </is>
      </c>
      <c r="F1472" t="inlineStr">
        <is>
          <t>ROCKCODE</t>
        </is>
      </c>
      <c r="G1472" t="inlineStr">
        <is>
          <t>IPPAO</t>
        </is>
      </c>
      <c r="H1472" t="inlineStr">
        <is>
          <t>Intrusivo</t>
        </is>
      </c>
      <c r="I1472" t="inlineStr">
        <is>
          <t>IPPAO</t>
        </is>
      </c>
      <c r="J1472" t="inlineStr">
        <is>
          <t>ROCKCODE agrupado en ROCKCODE_NUMEQ=1 (Intrusivo_1)</t>
        </is>
      </c>
      <c r="K1472" t="inlineStr">
        <is>
          <t>Intrusivo</t>
        </is>
      </c>
      <c r="L1472" t="inlineStr">
        <is>
          <t>Intrusivo</t>
        </is>
      </c>
      <c r="M1472" t="n">
        <v>577</v>
      </c>
      <c r="N1472" t="inlineStr"/>
      <c r="O1472" t="inlineStr"/>
      <c r="P1472" t="n">
        <v>635.7</v>
      </c>
      <c r="Q1472" t="n">
        <v>26.921</v>
      </c>
    </row>
    <row r="1473">
      <c r="A1473" t="inlineStr">
        <is>
          <t>MR24</t>
        </is>
      </c>
      <c r="B1473" t="inlineStr">
        <is>
          <t>Merged_Table_Assay_lito</t>
        </is>
      </c>
      <c r="C1473" t="inlineStr">
        <is>
          <t>metros de sondaje; pct sobre metros</t>
        </is>
      </c>
      <c r="D1473" t="inlineStr">
        <is>
          <t>fase_plp_GM_FASES_LE2_Output</t>
        </is>
      </c>
      <c r="E1473" t="inlineStr">
        <is>
          <t>9C</t>
        </is>
      </c>
      <c r="F1473" t="inlineStr">
        <is>
          <t>ROCKCODE</t>
        </is>
      </c>
      <c r="G1473" t="inlineStr">
        <is>
          <t>MC</t>
        </is>
      </c>
      <c r="H1473" t="inlineStr">
        <is>
          <t>sin asignar</t>
        </is>
      </c>
      <c r="I1473" t="inlineStr">
        <is>
          <t>MC</t>
        </is>
      </c>
      <c r="J1473" t="inlineStr">
        <is>
          <t>ROCKCODE agrupado en ROCKCODE_NUMEQ=16; sigla sin leyenda</t>
        </is>
      </c>
      <c r="K1473" t="inlineStr">
        <is>
          <t>Mármol (hipótesis: siglas M*)</t>
        </is>
      </c>
      <c r="L1473" t="inlineStr">
        <is>
          <t>Metamorfico</t>
        </is>
      </c>
      <c r="M1473" t="n">
        <v>361</v>
      </c>
      <c r="N1473" t="inlineStr"/>
      <c r="O1473" t="inlineStr"/>
      <c r="P1473" t="n">
        <v>388.85</v>
      </c>
      <c r="Q1473" t="n">
        <v>16.468</v>
      </c>
    </row>
    <row r="1474">
      <c r="A1474" t="inlineStr">
        <is>
          <t>MR24</t>
        </is>
      </c>
      <c r="B1474" t="inlineStr">
        <is>
          <t>Merged_Table_Assay_lito</t>
        </is>
      </c>
      <c r="C1474" t="inlineStr">
        <is>
          <t>metros de sondaje; pct sobre metros</t>
        </is>
      </c>
      <c r="D1474" t="inlineStr">
        <is>
          <t>fase_plp_GM_FASES_LE2_Output</t>
        </is>
      </c>
      <c r="E1474" t="inlineStr">
        <is>
          <t>9C</t>
        </is>
      </c>
      <c r="F1474" t="inlineStr">
        <is>
          <t>ROCKCODE</t>
        </is>
      </c>
      <c r="G1474" t="inlineStr">
        <is>
          <t>MCB</t>
        </is>
      </c>
      <c r="H1474" t="inlineStr">
        <is>
          <t>sin asignar</t>
        </is>
      </c>
      <c r="I1474" t="inlineStr">
        <is>
          <t>MCB</t>
        </is>
      </c>
      <c r="J1474" t="inlineStr">
        <is>
          <t>ROCKCODE agrupado en ROCKCODE_NUMEQ=16; sigla sin leyenda</t>
        </is>
      </c>
      <c r="K1474" t="inlineStr">
        <is>
          <t>Mármol (hipótesis: siglas M*)</t>
        </is>
      </c>
      <c r="L1474" t="inlineStr">
        <is>
          <t>Metamorfico</t>
        </is>
      </c>
      <c r="M1474" t="n">
        <v>23</v>
      </c>
      <c r="N1474" t="inlineStr"/>
      <c r="O1474" t="inlineStr"/>
      <c r="P1474" t="n">
        <v>17.35</v>
      </c>
      <c r="Q1474" t="n">
        <v>0.735</v>
      </c>
    </row>
    <row r="1475">
      <c r="A1475" t="inlineStr">
        <is>
          <t>MR24</t>
        </is>
      </c>
      <c r="B1475" t="inlineStr">
        <is>
          <t>Merged_Table_Assay_lito</t>
        </is>
      </c>
      <c r="C1475" t="inlineStr">
        <is>
          <t>metros de sondaje; pct sobre metros</t>
        </is>
      </c>
      <c r="D1475" t="inlineStr">
        <is>
          <t>fase_plp_GM_FASES_LE2_Output</t>
        </is>
      </c>
      <c r="E1475" t="inlineStr">
        <is>
          <t>9C</t>
        </is>
      </c>
      <c r="F1475" t="inlineStr">
        <is>
          <t>ROCKCODE</t>
        </is>
      </c>
      <c r="G1475" t="inlineStr">
        <is>
          <t>MCGB</t>
        </is>
      </c>
      <c r="H1475" t="inlineStr">
        <is>
          <t>sin asignar</t>
        </is>
      </c>
      <c r="I1475" t="inlineStr">
        <is>
          <t>MCGB</t>
        </is>
      </c>
      <c r="J1475" t="inlineStr">
        <is>
          <t>ROCKCODE agrupado en ROCKCODE_NUMEQ=16; sigla sin leyenda</t>
        </is>
      </c>
      <c r="K1475" t="inlineStr">
        <is>
          <t>Mármol (hipótesis: siglas M*)</t>
        </is>
      </c>
      <c r="L1475" t="inlineStr">
        <is>
          <t>Metamorfico</t>
        </is>
      </c>
      <c r="M1475" t="n">
        <v>108</v>
      </c>
      <c r="N1475" t="inlineStr"/>
      <c r="O1475" t="inlineStr"/>
      <c r="P1475" t="n">
        <v>120.13</v>
      </c>
      <c r="Q1475" t="n">
        <v>5.087</v>
      </c>
    </row>
    <row r="1476">
      <c r="A1476" t="inlineStr">
        <is>
          <t>MR24</t>
        </is>
      </c>
      <c r="B1476" t="inlineStr">
        <is>
          <t>Merged_Table_Assay_lito</t>
        </is>
      </c>
      <c r="C1476" t="inlineStr">
        <is>
          <t>metros de sondaje; pct sobre metros</t>
        </is>
      </c>
      <c r="D1476" t="inlineStr">
        <is>
          <t>fase_plp_GM_FASES_LE2_Output</t>
        </is>
      </c>
      <c r="E1476" t="inlineStr">
        <is>
          <t>9C</t>
        </is>
      </c>
      <c r="F1476" t="inlineStr">
        <is>
          <t>ROCKCODE</t>
        </is>
      </c>
      <c r="G1476" t="inlineStr">
        <is>
          <t>MDP</t>
        </is>
      </c>
      <c r="H1476" t="inlineStr">
        <is>
          <t>sin asignar</t>
        </is>
      </c>
      <c r="I1476" t="inlineStr">
        <is>
          <t>MDP</t>
        </is>
      </c>
      <c r="J1476" t="inlineStr">
        <is>
          <t>ROCKCODE agrupado en ROCKCODE_NUMEQ=19; sigla sin leyenda</t>
        </is>
      </c>
      <c r="K1476" t="inlineStr">
        <is>
          <t>Mármol (hipótesis: sigla MDP)</t>
        </is>
      </c>
      <c r="L1476" t="inlineStr">
        <is>
          <t>Metamorfico</t>
        </is>
      </c>
      <c r="M1476" t="n">
        <v>1119</v>
      </c>
      <c r="N1476" t="inlineStr"/>
      <c r="O1476" t="inlineStr"/>
      <c r="P1476" t="n">
        <v>1103.53</v>
      </c>
      <c r="Q1476" t="n">
        <v>46.734</v>
      </c>
    </row>
    <row r="1477">
      <c r="A1477" t="inlineStr">
        <is>
          <t>MR24</t>
        </is>
      </c>
      <c r="B1477" t="inlineStr">
        <is>
          <t>Merged_Table_Assay_lito</t>
        </is>
      </c>
      <c r="C1477" t="inlineStr">
        <is>
          <t>metros de sondaje; pct sobre metros</t>
        </is>
      </c>
      <c r="D1477" t="inlineStr">
        <is>
          <t>fase_plp_GM_FASES_LE2_Output</t>
        </is>
      </c>
      <c r="E1477" t="inlineStr">
        <is>
          <t>9C</t>
        </is>
      </c>
      <c r="F1477" t="inlineStr">
        <is>
          <t>ROCKCODE</t>
        </is>
      </c>
      <c r="G1477" t="inlineStr">
        <is>
          <t>MG</t>
        </is>
      </c>
      <c r="H1477" t="inlineStr">
        <is>
          <t>sin asignar</t>
        </is>
      </c>
      <c r="I1477" t="inlineStr">
        <is>
          <t>MG</t>
        </is>
      </c>
      <c r="J1477" t="inlineStr">
        <is>
          <t>ROCKCODE agrupado en ROCKCODE_NUMEQ=16; sigla sin leyenda</t>
        </is>
      </c>
      <c r="K1477" t="inlineStr">
        <is>
          <t>Mármol (hipótesis: siglas M*)</t>
        </is>
      </c>
      <c r="L1477" t="inlineStr">
        <is>
          <t>Metamorfico</t>
        </is>
      </c>
      <c r="M1477" t="n">
        <v>18</v>
      </c>
      <c r="N1477" t="inlineStr"/>
      <c r="O1477" t="inlineStr"/>
      <c r="P1477" t="n">
        <v>16.45</v>
      </c>
      <c r="Q1477" t="n">
        <v>0.697</v>
      </c>
    </row>
    <row r="1478">
      <c r="A1478" t="inlineStr">
        <is>
          <t>MR24</t>
        </is>
      </c>
      <c r="B1478" t="inlineStr">
        <is>
          <t>Merged_Table_Assay_lito</t>
        </is>
      </c>
      <c r="C1478" t="inlineStr">
        <is>
          <t>metros de sondaje; pct sobre metros</t>
        </is>
      </c>
      <c r="D1478" t="inlineStr">
        <is>
          <t>fase_plp_GM_FASES_LE2_Output</t>
        </is>
      </c>
      <c r="E1478" t="inlineStr">
        <is>
          <t>9C</t>
        </is>
      </c>
      <c r="F1478" t="inlineStr">
        <is>
          <t>ROCKCODE</t>
        </is>
      </c>
      <c r="G1478" t="inlineStr">
        <is>
          <t>MPA</t>
        </is>
      </c>
      <c r="H1478" t="inlineStr">
        <is>
          <t>sin asignar</t>
        </is>
      </c>
      <c r="I1478" t="inlineStr">
        <is>
          <t>MPA</t>
        </is>
      </c>
      <c r="J1478" t="inlineStr">
        <is>
          <t>ROCKCODE agrupado en ROCKCODE_NUMEQ=16; sigla sin leyenda</t>
        </is>
      </c>
      <c r="K1478" t="inlineStr">
        <is>
          <t>Mármol (hipótesis: siglas M*)</t>
        </is>
      </c>
      <c r="L1478" t="inlineStr">
        <is>
          <t>Metamorfico</t>
        </is>
      </c>
      <c r="M1478" t="n">
        <v>38</v>
      </c>
      <c r="N1478" t="inlineStr"/>
      <c r="O1478" t="inlineStr"/>
      <c r="P1478" t="n">
        <v>29.85</v>
      </c>
      <c r="Q1478" t="n">
        <v>1.264</v>
      </c>
    </row>
    <row r="1479">
      <c r="A1479" t="inlineStr">
        <is>
          <t>MR24</t>
        </is>
      </c>
      <c r="B1479" t="inlineStr">
        <is>
          <t>Merged_Table_Assay_lito</t>
        </is>
      </c>
      <c r="C1479" t="inlineStr">
        <is>
          <t>metros de sondaje; pct sobre metros</t>
        </is>
      </c>
      <c r="D1479" t="inlineStr">
        <is>
          <t>fase_plp_GM_FASES_LE2_Output</t>
        </is>
      </c>
      <c r="E1479" t="inlineStr">
        <is>
          <t>OTROS</t>
        </is>
      </c>
      <c r="F1479" t="inlineStr">
        <is>
          <t>ROCKCODE</t>
        </is>
      </c>
      <c r="G1479" t="inlineStr">
        <is>
          <t>CA</t>
        </is>
      </c>
      <c r="H1479" t="inlineStr">
        <is>
          <t>sin asignar</t>
        </is>
      </c>
      <c r="I1479" t="inlineStr">
        <is>
          <t>CA</t>
        </is>
      </c>
      <c r="J1479" t="inlineStr">
        <is>
          <t>ROCKCODE agrupado en ROCKCODE_NUMEQ=10; sigla sin leyenda</t>
        </is>
      </c>
      <c r="K1479" t="inlineStr">
        <is>
          <t>Caliza (hipótesis: siglas C*)</t>
        </is>
      </c>
      <c r="L1479" t="inlineStr">
        <is>
          <t>Sedimentario</t>
        </is>
      </c>
      <c r="M1479" t="n">
        <v>1</v>
      </c>
      <c r="N1479" t="inlineStr"/>
      <c r="O1479" t="inlineStr"/>
      <c r="P1479" t="n">
        <v>2.35</v>
      </c>
      <c r="Q1479" t="n">
        <v>0.5629999999999999</v>
      </c>
    </row>
    <row r="1480">
      <c r="A1480" t="inlineStr">
        <is>
          <t>MR24</t>
        </is>
      </c>
      <c r="B1480" t="inlineStr">
        <is>
          <t>Merged_Table_Assay_lito</t>
        </is>
      </c>
      <c r="C1480" t="inlineStr">
        <is>
          <t>metros de sondaje; pct sobre metros</t>
        </is>
      </c>
      <c r="D1480" t="inlineStr">
        <is>
          <t>fase_plp_GM_FASES_LE2_Output</t>
        </is>
      </c>
      <c r="E1480" t="inlineStr">
        <is>
          <t>OTROS</t>
        </is>
      </c>
      <c r="F1480" t="inlineStr">
        <is>
          <t>ROCKCODE</t>
        </is>
      </c>
      <c r="G1480" t="inlineStr">
        <is>
          <t>CG</t>
        </is>
      </c>
      <c r="H1480" t="inlineStr">
        <is>
          <t>sin asignar</t>
        </is>
      </c>
      <c r="I1480" t="inlineStr">
        <is>
          <t>CG</t>
        </is>
      </c>
      <c r="J1480" t="inlineStr">
        <is>
          <t>ROCKCODE agrupado en ROCKCODE_NUMEQ=10; sigla sin leyenda</t>
        </is>
      </c>
      <c r="K1480" t="inlineStr">
        <is>
          <t>Caliza (hipótesis: siglas C*)</t>
        </is>
      </c>
      <c r="L1480" t="inlineStr">
        <is>
          <t>Sedimentario</t>
        </is>
      </c>
      <c r="M1480" t="n">
        <v>31</v>
      </c>
      <c r="N1480" t="inlineStr"/>
      <c r="O1480" t="inlineStr"/>
      <c r="P1480" t="n">
        <v>26.4</v>
      </c>
      <c r="Q1480" t="n">
        <v>6.325</v>
      </c>
    </row>
    <row r="1481">
      <c r="A1481" t="inlineStr">
        <is>
          <t>MR24</t>
        </is>
      </c>
      <c r="B1481" t="inlineStr">
        <is>
          <t>Merged_Table_Assay_lito</t>
        </is>
      </c>
      <c r="C1481" t="inlineStr">
        <is>
          <t>metros de sondaje; pct sobre metros</t>
        </is>
      </c>
      <c r="D1481" t="inlineStr">
        <is>
          <t>fase_plp_GM_FASES_LE2_Output</t>
        </is>
      </c>
      <c r="E1481" t="inlineStr">
        <is>
          <t>OTROS</t>
        </is>
      </c>
      <c r="F1481" t="inlineStr">
        <is>
          <t>ROCKCODE</t>
        </is>
      </c>
      <c r="G1481" t="inlineStr">
        <is>
          <t>CGS</t>
        </is>
      </c>
      <c r="H1481" t="inlineStr">
        <is>
          <t>sin asignar</t>
        </is>
      </c>
      <c r="I1481" t="inlineStr">
        <is>
          <t>CGS</t>
        </is>
      </c>
      <c r="J1481" t="inlineStr">
        <is>
          <t>ROCKCODE agrupado en ROCKCODE_NUMEQ=10; sigla sin leyenda</t>
        </is>
      </c>
      <c r="K1481" t="inlineStr">
        <is>
          <t>Caliza (hipótesis: siglas C*)</t>
        </is>
      </c>
      <c r="L1481" t="inlineStr">
        <is>
          <t>Sedimentario</t>
        </is>
      </c>
      <c r="M1481" t="n">
        <v>16</v>
      </c>
      <c r="N1481" t="inlineStr"/>
      <c r="O1481" t="inlineStr"/>
      <c r="P1481" t="n">
        <v>17.15</v>
      </c>
      <c r="Q1481" t="n">
        <v>4.109</v>
      </c>
    </row>
    <row r="1482">
      <c r="A1482" t="inlineStr">
        <is>
          <t>MR24</t>
        </is>
      </c>
      <c r="B1482" t="inlineStr">
        <is>
          <t>Merged_Table_Assay_lito</t>
        </is>
      </c>
      <c r="C1482" t="inlineStr">
        <is>
          <t>metros de sondaje; pct sobre metros</t>
        </is>
      </c>
      <c r="D1482" t="inlineStr">
        <is>
          <t>fase_plp_GM_FASES_LE2_Output</t>
        </is>
      </c>
      <c r="E1482" t="inlineStr">
        <is>
          <t>OTROS</t>
        </is>
      </c>
      <c r="F1482" t="inlineStr">
        <is>
          <t>ROCKCODE</t>
        </is>
      </c>
      <c r="G1482" t="inlineStr">
        <is>
          <t>CN</t>
        </is>
      </c>
      <c r="H1482" t="inlineStr">
        <is>
          <t>sin asignar</t>
        </is>
      </c>
      <c r="I1482" t="inlineStr">
        <is>
          <t>CN</t>
        </is>
      </c>
      <c r="J1482" t="inlineStr">
        <is>
          <t>ROCKCODE agrupado en ROCKCODE_NUMEQ=10; sigla sin leyenda</t>
        </is>
      </c>
      <c r="K1482" t="inlineStr">
        <is>
          <t>Caliza (hipótesis: siglas C*)</t>
        </is>
      </c>
      <c r="L1482" t="inlineStr">
        <is>
          <t>Sedimentario</t>
        </is>
      </c>
      <c r="M1482" t="n">
        <v>3</v>
      </c>
      <c r="N1482" t="inlineStr"/>
      <c r="O1482" t="inlineStr"/>
      <c r="P1482" t="n">
        <v>3.3</v>
      </c>
      <c r="Q1482" t="n">
        <v>0.791</v>
      </c>
    </row>
    <row r="1483">
      <c r="A1483" t="inlineStr">
        <is>
          <t>MR24</t>
        </is>
      </c>
      <c r="B1483" t="inlineStr">
        <is>
          <t>Merged_Table_Assay_lito</t>
        </is>
      </c>
      <c r="C1483" t="inlineStr">
        <is>
          <t>metros de sondaje; pct sobre metros</t>
        </is>
      </c>
      <c r="D1483" t="inlineStr">
        <is>
          <t>fase_plp_GM_FASES_LE2_Output</t>
        </is>
      </c>
      <c r="E1483" t="inlineStr">
        <is>
          <t>OTROS</t>
        </is>
      </c>
      <c r="F1483" t="inlineStr">
        <is>
          <t>ROCKCODE</t>
        </is>
      </c>
      <c r="G1483" t="inlineStr">
        <is>
          <t>HC</t>
        </is>
      </c>
      <c r="H1483" t="inlineStr">
        <is>
          <t>sin asignar</t>
        </is>
      </c>
      <c r="I1483" t="inlineStr">
        <is>
          <t>HC</t>
        </is>
      </c>
      <c r="J1483" t="inlineStr">
        <is>
          <t>ROCKCODE agrupado en ROCKCODE_NUMEQ=13; sigla sin leyenda</t>
        </is>
      </c>
      <c r="K1483" t="inlineStr">
        <is>
          <t>Hornfels (hipótesis: siglas H*)</t>
        </is>
      </c>
      <c r="L1483" t="inlineStr">
        <is>
          <t>Metamorfico</t>
        </is>
      </c>
      <c r="M1483" t="n">
        <v>9</v>
      </c>
      <c r="N1483" t="inlineStr"/>
      <c r="O1483" t="inlineStr"/>
      <c r="P1483" t="n">
        <v>13.85</v>
      </c>
      <c r="Q1483" t="n">
        <v>3.318</v>
      </c>
    </row>
    <row r="1484">
      <c r="A1484" t="inlineStr">
        <is>
          <t>MR24</t>
        </is>
      </c>
      <c r="B1484" t="inlineStr">
        <is>
          <t>Merged_Table_Assay_lito</t>
        </is>
      </c>
      <c r="C1484" t="inlineStr">
        <is>
          <t>metros de sondaje; pct sobre metros</t>
        </is>
      </c>
      <c r="D1484" t="inlineStr">
        <is>
          <t>fase_plp_GM_FASES_LE2_Output</t>
        </is>
      </c>
      <c r="E1484" t="inlineStr">
        <is>
          <t>OTROS</t>
        </is>
      </c>
      <c r="F1484" t="inlineStr">
        <is>
          <t>ROCKCODE</t>
        </is>
      </c>
      <c r="G1484" t="inlineStr">
        <is>
          <t>HG</t>
        </is>
      </c>
      <c r="H1484" t="inlineStr">
        <is>
          <t>sin asignar</t>
        </is>
      </c>
      <c r="I1484" t="inlineStr">
        <is>
          <t>HG</t>
        </is>
      </c>
      <c r="J1484" t="inlineStr">
        <is>
          <t>ROCKCODE agrupado en ROCKCODE_NUMEQ=13; sigla sin leyenda</t>
        </is>
      </c>
      <c r="K1484" t="inlineStr">
        <is>
          <t>Hornfels (hipótesis: siglas H*)</t>
        </is>
      </c>
      <c r="L1484" t="inlineStr">
        <is>
          <t>Metamorfico</t>
        </is>
      </c>
      <c r="M1484" t="n">
        <v>16</v>
      </c>
      <c r="N1484" t="inlineStr"/>
      <c r="O1484" t="inlineStr"/>
      <c r="P1484" t="n">
        <v>16.8</v>
      </c>
      <c r="Q1484" t="n">
        <v>4.025</v>
      </c>
    </row>
    <row r="1485">
      <c r="A1485" t="inlineStr">
        <is>
          <t>MR24</t>
        </is>
      </c>
      <c r="B1485" t="inlineStr">
        <is>
          <t>Merged_Table_Assay_lito</t>
        </is>
      </c>
      <c r="C1485" t="inlineStr">
        <is>
          <t>metros de sondaje; pct sobre metros</t>
        </is>
      </c>
      <c r="D1485" t="inlineStr">
        <is>
          <t>fase_plp_GM_FASES_LE2_Output</t>
        </is>
      </c>
      <c r="E1485" t="inlineStr">
        <is>
          <t>OTROS</t>
        </is>
      </c>
      <c r="F1485" t="inlineStr">
        <is>
          <t>ROCKCODE</t>
        </is>
      </c>
      <c r="G1485" t="inlineStr">
        <is>
          <t>HGS</t>
        </is>
      </c>
      <c r="H1485" t="inlineStr">
        <is>
          <t>sin asignar</t>
        </is>
      </c>
      <c r="I1485" t="inlineStr">
        <is>
          <t>HGS</t>
        </is>
      </c>
      <c r="J1485" t="inlineStr">
        <is>
          <t>ROCKCODE agrupado en ROCKCODE_NUMEQ=13; sigla sin leyenda</t>
        </is>
      </c>
      <c r="K1485" t="inlineStr">
        <is>
          <t>Hornfels (hipótesis: siglas H*)</t>
        </is>
      </c>
      <c r="L1485" t="inlineStr">
        <is>
          <t>Metamorfico</t>
        </is>
      </c>
      <c r="M1485" t="n">
        <v>18</v>
      </c>
      <c r="N1485" t="inlineStr"/>
      <c r="O1485" t="inlineStr"/>
      <c r="P1485" t="n">
        <v>15.4</v>
      </c>
      <c r="Q1485" t="n">
        <v>3.69</v>
      </c>
    </row>
    <row r="1486">
      <c r="A1486" t="inlineStr">
        <is>
          <t>MR24</t>
        </is>
      </c>
      <c r="B1486" t="inlineStr">
        <is>
          <t>Merged_Table_Assay_lito</t>
        </is>
      </c>
      <c r="C1486" t="inlineStr">
        <is>
          <t>metros de sondaje; pct sobre metros</t>
        </is>
      </c>
      <c r="D1486" t="inlineStr">
        <is>
          <t>fase_plp_GM_FASES_LE2_Output</t>
        </is>
      </c>
      <c r="E1486" t="inlineStr">
        <is>
          <t>OTROS</t>
        </is>
      </c>
      <c r="F1486" t="inlineStr">
        <is>
          <t>ROCKCODE</t>
        </is>
      </c>
      <c r="G1486" t="inlineStr">
        <is>
          <t>HGV</t>
        </is>
      </c>
      <c r="H1486" t="inlineStr">
        <is>
          <t>sin asignar</t>
        </is>
      </c>
      <c r="I1486" t="inlineStr">
        <is>
          <t>HGV</t>
        </is>
      </c>
      <c r="J1486" t="inlineStr">
        <is>
          <t>ROCKCODE agrupado en ROCKCODE_NUMEQ=14; sigla sin leyenda</t>
        </is>
      </c>
      <c r="K1486" t="inlineStr">
        <is>
          <t>Hornfels (hipótesis: siglas H*)</t>
        </is>
      </c>
      <c r="L1486" t="inlineStr">
        <is>
          <t>Metamorfico</t>
        </is>
      </c>
      <c r="M1486" t="n">
        <v>3</v>
      </c>
      <c r="N1486" t="inlineStr"/>
      <c r="O1486" t="inlineStr"/>
      <c r="P1486" t="n">
        <v>1.25</v>
      </c>
      <c r="Q1486" t="n">
        <v>0.299</v>
      </c>
    </row>
    <row r="1487">
      <c r="A1487" t="inlineStr">
        <is>
          <t>MR24</t>
        </is>
      </c>
      <c r="B1487" t="inlineStr">
        <is>
          <t>Merged_Table_Assay_lito</t>
        </is>
      </c>
      <c r="C1487" t="inlineStr">
        <is>
          <t>metros de sondaje; pct sobre metros</t>
        </is>
      </c>
      <c r="D1487" t="inlineStr">
        <is>
          <t>fase_plp_GM_FASES_LE2_Output</t>
        </is>
      </c>
      <c r="E1487" t="inlineStr">
        <is>
          <t>OTROS</t>
        </is>
      </c>
      <c r="F1487" t="inlineStr">
        <is>
          <t>ROCKCODE</t>
        </is>
      </c>
      <c r="G1487" t="inlineStr">
        <is>
          <t>IPPA</t>
        </is>
      </c>
      <c r="H1487" t="inlineStr">
        <is>
          <t>Intrusivo</t>
        </is>
      </c>
      <c r="I1487" t="inlineStr">
        <is>
          <t>IPPA</t>
        </is>
      </c>
      <c r="J1487" t="inlineStr">
        <is>
          <t>ROCKCODE agrupado en ROCKCODE_NUMEQ=1 (Intrusivo_1)</t>
        </is>
      </c>
      <c r="K1487" t="inlineStr">
        <is>
          <t>Intrusivo</t>
        </is>
      </c>
      <c r="L1487" t="inlineStr">
        <is>
          <t>Intrusivo</t>
        </is>
      </c>
      <c r="M1487" t="n">
        <v>77</v>
      </c>
      <c r="N1487" t="inlineStr"/>
      <c r="O1487" t="inlineStr"/>
      <c r="P1487" t="n">
        <v>87.90000000000001</v>
      </c>
      <c r="Q1487" t="n">
        <v>21.059</v>
      </c>
    </row>
    <row r="1488">
      <c r="A1488" t="inlineStr">
        <is>
          <t>MR24</t>
        </is>
      </c>
      <c r="B1488" t="inlineStr">
        <is>
          <t>Merged_Table_Assay_lito</t>
        </is>
      </c>
      <c r="C1488" t="inlineStr">
        <is>
          <t>metros de sondaje; pct sobre metros</t>
        </is>
      </c>
      <c r="D1488" t="inlineStr">
        <is>
          <t>fase_plp_GM_FASES_LE2_Output</t>
        </is>
      </c>
      <c r="E1488" t="inlineStr">
        <is>
          <t>OTROS</t>
        </is>
      </c>
      <c r="F1488" t="inlineStr">
        <is>
          <t>ROCKCODE</t>
        </is>
      </c>
      <c r="G1488" t="inlineStr">
        <is>
          <t>IPPAMO</t>
        </is>
      </c>
      <c r="H1488" t="inlineStr">
        <is>
          <t>Intrusivo</t>
        </is>
      </c>
      <c r="I1488" t="inlineStr">
        <is>
          <t>IPPAMO</t>
        </is>
      </c>
      <c r="J1488" t="inlineStr">
        <is>
          <t>ROCKCODE agrupado en ROCKCODE_NUMEQ=1 (Intrusivo_1)</t>
        </is>
      </c>
      <c r="K1488" t="inlineStr">
        <is>
          <t>Intrusivo</t>
        </is>
      </c>
      <c r="L1488" t="inlineStr">
        <is>
          <t>Intrusivo</t>
        </is>
      </c>
      <c r="M1488" t="n">
        <v>13</v>
      </c>
      <c r="N1488" t="inlineStr"/>
      <c r="O1488" t="inlineStr"/>
      <c r="P1488" t="n">
        <v>13</v>
      </c>
      <c r="Q1488" t="n">
        <v>3.115</v>
      </c>
    </row>
    <row r="1489">
      <c r="A1489" t="inlineStr">
        <is>
          <t>MR24</t>
        </is>
      </c>
      <c r="B1489" t="inlineStr">
        <is>
          <t>Merged_Table_Assay_lito</t>
        </is>
      </c>
      <c r="C1489" t="inlineStr">
        <is>
          <t>metros de sondaje; pct sobre metros</t>
        </is>
      </c>
      <c r="D1489" t="inlineStr">
        <is>
          <t>fase_plp_GM_FASES_LE2_Output</t>
        </is>
      </c>
      <c r="E1489" t="inlineStr">
        <is>
          <t>OTROS</t>
        </is>
      </c>
      <c r="F1489" t="inlineStr">
        <is>
          <t>ROCKCODE</t>
        </is>
      </c>
      <c r="G1489" t="inlineStr">
        <is>
          <t>IPPAO</t>
        </is>
      </c>
      <c r="H1489" t="inlineStr">
        <is>
          <t>Intrusivo</t>
        </is>
      </c>
      <c r="I1489" t="inlineStr">
        <is>
          <t>IPPAO</t>
        </is>
      </c>
      <c r="J1489" t="inlineStr">
        <is>
          <t>ROCKCODE agrupado en ROCKCODE_NUMEQ=1 (Intrusivo_1)</t>
        </is>
      </c>
      <c r="K1489" t="inlineStr">
        <is>
          <t>Intrusivo</t>
        </is>
      </c>
      <c r="L1489" t="inlineStr">
        <is>
          <t>Intrusivo</t>
        </is>
      </c>
      <c r="M1489" t="n">
        <v>44</v>
      </c>
      <c r="N1489" t="inlineStr"/>
      <c r="O1489" t="inlineStr"/>
      <c r="P1489" t="n">
        <v>43.8</v>
      </c>
      <c r="Q1489" t="n">
        <v>10.494</v>
      </c>
    </row>
    <row r="1490">
      <c r="A1490" t="inlineStr">
        <is>
          <t>MR24</t>
        </is>
      </c>
      <c r="B1490" t="inlineStr">
        <is>
          <t>Merged_Table_Assay_lito</t>
        </is>
      </c>
      <c r="C1490" t="inlineStr">
        <is>
          <t>metros de sondaje; pct sobre metros</t>
        </is>
      </c>
      <c r="D1490" t="inlineStr">
        <is>
          <t>fase_plp_GM_FASES_LE2_Output</t>
        </is>
      </c>
      <c r="E1490" t="inlineStr">
        <is>
          <t>OTROS</t>
        </is>
      </c>
      <c r="F1490" t="inlineStr">
        <is>
          <t>ROCKCODE</t>
        </is>
      </c>
      <c r="G1490" t="inlineStr">
        <is>
          <t>MC</t>
        </is>
      </c>
      <c r="H1490" t="inlineStr">
        <is>
          <t>sin asignar</t>
        </is>
      </c>
      <c r="I1490" t="inlineStr">
        <is>
          <t>MC</t>
        </is>
      </c>
      <c r="J1490" t="inlineStr">
        <is>
          <t>ROCKCODE agrupado en ROCKCODE_NUMEQ=16; sigla sin leyenda</t>
        </is>
      </c>
      <c r="K1490" t="inlineStr">
        <is>
          <t>Mármol (hipótesis: siglas M*)</t>
        </is>
      </c>
      <c r="L1490" t="inlineStr">
        <is>
          <t>Metamorfico</t>
        </is>
      </c>
      <c r="M1490" t="n">
        <v>60</v>
      </c>
      <c r="N1490" t="inlineStr"/>
      <c r="O1490" t="inlineStr"/>
      <c r="P1490" t="n">
        <v>63.35</v>
      </c>
      <c r="Q1490" t="n">
        <v>15.177</v>
      </c>
    </row>
    <row r="1491">
      <c r="A1491" t="inlineStr">
        <is>
          <t>MR24</t>
        </is>
      </c>
      <c r="B1491" t="inlineStr">
        <is>
          <t>Merged_Table_Assay_lito</t>
        </is>
      </c>
      <c r="C1491" t="inlineStr">
        <is>
          <t>metros de sondaje; pct sobre metros</t>
        </is>
      </c>
      <c r="D1491" t="inlineStr">
        <is>
          <t>fase_plp_GM_FASES_LE2_Output</t>
        </is>
      </c>
      <c r="E1491" t="inlineStr">
        <is>
          <t>OTROS</t>
        </is>
      </c>
      <c r="F1491" t="inlineStr">
        <is>
          <t>ROCKCODE</t>
        </is>
      </c>
      <c r="G1491" t="inlineStr">
        <is>
          <t>MCB</t>
        </is>
      </c>
      <c r="H1491" t="inlineStr">
        <is>
          <t>sin asignar</t>
        </is>
      </c>
      <c r="I1491" t="inlineStr">
        <is>
          <t>MCB</t>
        </is>
      </c>
      <c r="J1491" t="inlineStr">
        <is>
          <t>ROCKCODE agrupado en ROCKCODE_NUMEQ=16; sigla sin leyenda</t>
        </is>
      </c>
      <c r="K1491" t="inlineStr">
        <is>
          <t>Mármol (hipótesis: siglas M*)</t>
        </is>
      </c>
      <c r="L1491" t="inlineStr">
        <is>
          <t>Metamorfico</t>
        </is>
      </c>
      <c r="M1491" t="n">
        <v>6</v>
      </c>
      <c r="N1491" t="inlineStr"/>
      <c r="O1491" t="inlineStr"/>
      <c r="P1491" t="n">
        <v>6.6</v>
      </c>
      <c r="Q1491" t="n">
        <v>1.581</v>
      </c>
    </row>
    <row r="1492">
      <c r="A1492" t="inlineStr">
        <is>
          <t>MR24</t>
        </is>
      </c>
      <c r="B1492" t="inlineStr">
        <is>
          <t>Merged_Table_Assay_lito</t>
        </is>
      </c>
      <c r="C1492" t="inlineStr">
        <is>
          <t>metros de sondaje; pct sobre metros</t>
        </is>
      </c>
      <c r="D1492" t="inlineStr">
        <is>
          <t>fase_plp_GM_FASES_LE2_Output</t>
        </is>
      </c>
      <c r="E1492" t="inlineStr">
        <is>
          <t>OTROS</t>
        </is>
      </c>
      <c r="F1492" t="inlineStr">
        <is>
          <t>ROCKCODE</t>
        </is>
      </c>
      <c r="G1492" t="inlineStr">
        <is>
          <t>MCGB</t>
        </is>
      </c>
      <c r="H1492" t="inlineStr">
        <is>
          <t>sin asignar</t>
        </is>
      </c>
      <c r="I1492" t="inlineStr">
        <is>
          <t>MCGB</t>
        </is>
      </c>
      <c r="J1492" t="inlineStr">
        <is>
          <t>ROCKCODE agrupado en ROCKCODE_NUMEQ=16; sigla sin leyenda</t>
        </is>
      </c>
      <c r="K1492" t="inlineStr">
        <is>
          <t>Mármol (hipótesis: siglas M*)</t>
        </is>
      </c>
      <c r="L1492" t="inlineStr">
        <is>
          <t>Metamorfico</t>
        </is>
      </c>
      <c r="M1492" t="n">
        <v>12</v>
      </c>
      <c r="N1492" t="inlineStr"/>
      <c r="O1492" t="inlineStr"/>
      <c r="P1492" t="n">
        <v>15.75</v>
      </c>
      <c r="Q1492" t="n">
        <v>3.773</v>
      </c>
    </row>
    <row r="1493">
      <c r="A1493" t="inlineStr">
        <is>
          <t>MR24</t>
        </is>
      </c>
      <c r="B1493" t="inlineStr">
        <is>
          <t>Merged_Table_Assay_lito</t>
        </is>
      </c>
      <c r="C1493" t="inlineStr">
        <is>
          <t>metros de sondaje; pct sobre metros</t>
        </is>
      </c>
      <c r="D1493" t="inlineStr">
        <is>
          <t>fase_plp_GM_FASES_LE2_Output</t>
        </is>
      </c>
      <c r="E1493" t="inlineStr">
        <is>
          <t>OTROS</t>
        </is>
      </c>
      <c r="F1493" t="inlineStr">
        <is>
          <t>ROCKCODE</t>
        </is>
      </c>
      <c r="G1493" t="inlineStr">
        <is>
          <t>MDP</t>
        </is>
      </c>
      <c r="H1493" t="inlineStr">
        <is>
          <t>sin asignar</t>
        </is>
      </c>
      <c r="I1493" t="inlineStr">
        <is>
          <t>MDP</t>
        </is>
      </c>
      <c r="J1493" t="inlineStr">
        <is>
          <t>ROCKCODE agrupado en ROCKCODE_NUMEQ=19; sigla sin leyenda</t>
        </is>
      </c>
      <c r="K1493" t="inlineStr">
        <is>
          <t>Mármol (hipótesis: sigla MDP)</t>
        </is>
      </c>
      <c r="L1493" t="inlineStr">
        <is>
          <t>Metamorfico</t>
        </is>
      </c>
      <c r="M1493" t="n">
        <v>48</v>
      </c>
      <c r="N1493" t="inlineStr"/>
      <c r="O1493" t="inlineStr"/>
      <c r="P1493" t="n">
        <v>49.85</v>
      </c>
      <c r="Q1493" t="n">
        <v>11.943</v>
      </c>
    </row>
    <row r="1494">
      <c r="A1494" t="inlineStr">
        <is>
          <t>MR24</t>
        </is>
      </c>
      <c r="B1494" t="inlineStr">
        <is>
          <t>Merged_Table_Assay_lito</t>
        </is>
      </c>
      <c r="C1494" t="inlineStr">
        <is>
          <t>metros de sondaje; pct sobre metros</t>
        </is>
      </c>
      <c r="D1494" t="inlineStr">
        <is>
          <t>fase_plp_GM_FASES_LE2_Output</t>
        </is>
      </c>
      <c r="E1494" t="inlineStr">
        <is>
          <t>OTROS</t>
        </is>
      </c>
      <c r="F1494" t="inlineStr">
        <is>
          <t>ROCKCODE</t>
        </is>
      </c>
      <c r="G1494" t="inlineStr">
        <is>
          <t>MG</t>
        </is>
      </c>
      <c r="H1494" t="inlineStr">
        <is>
          <t>sin asignar</t>
        </is>
      </c>
      <c r="I1494" t="inlineStr">
        <is>
          <t>MG</t>
        </is>
      </c>
      <c r="J1494" t="inlineStr">
        <is>
          <t>ROCKCODE agrupado en ROCKCODE_NUMEQ=16; sigla sin leyenda</t>
        </is>
      </c>
      <c r="K1494" t="inlineStr">
        <is>
          <t>Mármol (hipótesis: siglas M*)</t>
        </is>
      </c>
      <c r="L1494" t="inlineStr">
        <is>
          <t>Metamorfico</t>
        </is>
      </c>
      <c r="M1494" t="n">
        <v>23</v>
      </c>
      <c r="N1494" t="inlineStr"/>
      <c r="O1494" t="inlineStr"/>
      <c r="P1494" t="n">
        <v>22.05</v>
      </c>
      <c r="Q1494" t="n">
        <v>5.283</v>
      </c>
    </row>
    <row r="1495">
      <c r="A1495" t="inlineStr">
        <is>
          <t>MR24</t>
        </is>
      </c>
      <c r="B1495" t="inlineStr">
        <is>
          <t>Merged_Table_Assay_lito</t>
        </is>
      </c>
      <c r="C1495" t="inlineStr">
        <is>
          <t>metros de sondaje; pct sobre metros</t>
        </is>
      </c>
      <c r="D1495" t="inlineStr">
        <is>
          <t>fase_plp_GM_FASES_LE2_Output</t>
        </is>
      </c>
      <c r="E1495" t="inlineStr">
        <is>
          <t>OTROS</t>
        </is>
      </c>
      <c r="F1495" t="inlineStr">
        <is>
          <t>ROCKCODE</t>
        </is>
      </c>
      <c r="G1495" t="inlineStr">
        <is>
          <t>MPA</t>
        </is>
      </c>
      <c r="H1495" t="inlineStr">
        <is>
          <t>sin asignar</t>
        </is>
      </c>
      <c r="I1495" t="inlineStr">
        <is>
          <t>MPA</t>
        </is>
      </c>
      <c r="J1495" t="inlineStr">
        <is>
          <t>ROCKCODE agrupado en ROCKCODE_NUMEQ=16; sigla sin leyenda</t>
        </is>
      </c>
      <c r="K1495" t="inlineStr">
        <is>
          <t>Mármol (hipótesis: siglas M*)</t>
        </is>
      </c>
      <c r="L1495" t="inlineStr">
        <is>
          <t>Metamorfico</t>
        </is>
      </c>
      <c r="M1495" t="n">
        <v>25</v>
      </c>
      <c r="N1495" t="inlineStr"/>
      <c r="O1495" t="inlineStr"/>
      <c r="P1495" t="n">
        <v>18.6</v>
      </c>
      <c r="Q1495" t="n">
        <v>4.456</v>
      </c>
    </row>
    <row r="1496">
      <c r="A1496" t="inlineStr">
        <is>
          <t>MR24</t>
        </is>
      </c>
      <c r="B1496" t="inlineStr">
        <is>
          <t>Merged_Table_Assay_lito</t>
        </is>
      </c>
      <c r="C1496" t="inlineStr">
        <is>
          <t>metros de sondaje; pct sobre metros</t>
        </is>
      </c>
      <c r="D1496" t="inlineStr">
        <is>
          <t>fase_plp_GM_FASES_LE2_Output</t>
        </is>
      </c>
      <c r="E1496" t="inlineStr">
        <is>
          <t>10AN</t>
        </is>
      </c>
      <c r="F1496" t="inlineStr">
        <is>
          <t>litologia_normalizada</t>
        </is>
      </c>
      <c r="G1496" t="inlineStr">
        <is>
          <t>Intrusivo</t>
        </is>
      </c>
      <c r="H1496" t="inlineStr">
        <is>
          <t>Intrusivo</t>
        </is>
      </c>
      <c r="I1496" t="inlineStr"/>
      <c r="J1496" t="inlineStr">
        <is>
          <t>suma de filas por código</t>
        </is>
      </c>
      <c r="K1496" t="inlineStr"/>
      <c r="L1496" t="inlineStr"/>
      <c r="M1496" t="n">
        <v>9170</v>
      </c>
      <c r="N1496" t="inlineStr"/>
      <c r="O1496" t="inlineStr"/>
      <c r="P1496" t="n">
        <v>14527.25</v>
      </c>
      <c r="Q1496" t="n">
        <v>33.108</v>
      </c>
    </row>
    <row r="1497">
      <c r="A1497" t="inlineStr">
        <is>
          <t>MR24</t>
        </is>
      </c>
      <c r="B1497" t="inlineStr">
        <is>
          <t>Merged_Table_Assay_lito</t>
        </is>
      </c>
      <c r="C1497" t="inlineStr">
        <is>
          <t>metros de sondaje; pct sobre metros</t>
        </is>
      </c>
      <c r="D1497" t="inlineStr">
        <is>
          <t>fase_plp_GM_FASES_LE2_Output</t>
        </is>
      </c>
      <c r="E1497" t="inlineStr">
        <is>
          <t>10AN</t>
        </is>
      </c>
      <c r="F1497" t="inlineStr">
        <is>
          <t>litologia_normalizada</t>
        </is>
      </c>
      <c r="G1497" t="inlineStr">
        <is>
          <t>sin asignar</t>
        </is>
      </c>
      <c r="H1497" t="inlineStr">
        <is>
          <t>sin asignar</t>
        </is>
      </c>
      <c r="I1497" t="inlineStr"/>
      <c r="J1497" t="inlineStr">
        <is>
          <t>suma de filas por código</t>
        </is>
      </c>
      <c r="K1497" t="inlineStr"/>
      <c r="L1497" t="inlineStr"/>
      <c r="M1497" t="n">
        <v>28023</v>
      </c>
      <c r="N1497" t="inlineStr"/>
      <c r="O1497" t="inlineStr"/>
      <c r="P1497" t="n">
        <v>29349.43</v>
      </c>
      <c r="Q1497" t="n">
        <v>66.889</v>
      </c>
    </row>
    <row r="1498">
      <c r="A1498" t="inlineStr">
        <is>
          <t>MR24</t>
        </is>
      </c>
      <c r="B1498" t="inlineStr">
        <is>
          <t>Merged_Table_Assay_lito</t>
        </is>
      </c>
      <c r="C1498" t="inlineStr">
        <is>
          <t>metros de sondaje; pct sobre metros</t>
        </is>
      </c>
      <c r="D1498" t="inlineStr">
        <is>
          <t>fase_plp_GM_FASES_LE2_Output</t>
        </is>
      </c>
      <c r="E1498" t="inlineStr">
        <is>
          <t>10AS</t>
        </is>
      </c>
      <c r="F1498" t="inlineStr">
        <is>
          <t>litologia_normalizada</t>
        </is>
      </c>
      <c r="G1498" t="inlineStr">
        <is>
          <t>Intrusivo</t>
        </is>
      </c>
      <c r="H1498" t="inlineStr">
        <is>
          <t>Intrusivo</t>
        </is>
      </c>
      <c r="I1498" t="inlineStr"/>
      <c r="J1498" t="inlineStr">
        <is>
          <t>suma de filas por código</t>
        </is>
      </c>
      <c r="K1498" t="inlineStr"/>
      <c r="L1498" t="inlineStr"/>
      <c r="M1498" t="n">
        <v>703</v>
      </c>
      <c r="N1498" t="inlineStr"/>
      <c r="O1498" t="inlineStr"/>
      <c r="P1498" t="n">
        <v>914.5</v>
      </c>
      <c r="Q1498" t="n">
        <v>33.41</v>
      </c>
    </row>
    <row r="1499">
      <c r="A1499" t="inlineStr">
        <is>
          <t>MR24</t>
        </is>
      </c>
      <c r="B1499" t="inlineStr">
        <is>
          <t>Merged_Table_Assay_lito</t>
        </is>
      </c>
      <c r="C1499" t="inlineStr">
        <is>
          <t>metros de sondaje; pct sobre metros</t>
        </is>
      </c>
      <c r="D1499" t="inlineStr">
        <is>
          <t>fase_plp_GM_FASES_LE2_Output</t>
        </is>
      </c>
      <c r="E1499" t="inlineStr">
        <is>
          <t>10AS</t>
        </is>
      </c>
      <c r="F1499" t="inlineStr">
        <is>
          <t>litologia_normalizada</t>
        </is>
      </c>
      <c r="G1499" t="inlineStr">
        <is>
          <t>sin asignar</t>
        </is>
      </c>
      <c r="H1499" t="inlineStr">
        <is>
          <t>sin asignar</t>
        </is>
      </c>
      <c r="I1499" t="inlineStr"/>
      <c r="J1499" t="inlineStr">
        <is>
          <t>suma de filas por código</t>
        </is>
      </c>
      <c r="K1499" t="inlineStr"/>
      <c r="L1499" t="inlineStr"/>
      <c r="M1499" t="n">
        <v>1597</v>
      </c>
      <c r="N1499" t="inlineStr"/>
      <c r="O1499" t="inlineStr"/>
      <c r="P1499" t="n">
        <v>1822.75</v>
      </c>
      <c r="Q1499" t="n">
        <v>66.59</v>
      </c>
    </row>
    <row r="1500">
      <c r="A1500" t="inlineStr">
        <is>
          <t>MR24</t>
        </is>
      </c>
      <c r="B1500" t="inlineStr">
        <is>
          <t>Merged_Table_Assay_lito</t>
        </is>
      </c>
      <c r="C1500" t="inlineStr">
        <is>
          <t>metros de sondaje; pct sobre metros</t>
        </is>
      </c>
      <c r="D1500" t="inlineStr">
        <is>
          <t>fase_plp_GM_FASES_LE2_Output</t>
        </is>
      </c>
      <c r="E1500" t="inlineStr">
        <is>
          <t>10B</t>
        </is>
      </c>
      <c r="F1500" t="inlineStr">
        <is>
          <t>litologia_normalizada</t>
        </is>
      </c>
      <c r="G1500" t="inlineStr">
        <is>
          <t>Intrusivo</t>
        </is>
      </c>
      <c r="H1500" t="inlineStr">
        <is>
          <t>Intrusivo</t>
        </is>
      </c>
      <c r="I1500" t="inlineStr"/>
      <c r="J1500" t="inlineStr">
        <is>
          <t>suma de filas por código</t>
        </is>
      </c>
      <c r="K1500" t="inlineStr"/>
      <c r="L1500" t="inlineStr"/>
      <c r="M1500" t="n">
        <v>6239</v>
      </c>
      <c r="N1500" t="inlineStr"/>
      <c r="O1500" t="inlineStr"/>
      <c r="P1500" t="n">
        <v>7911.3</v>
      </c>
      <c r="Q1500" t="n">
        <v>43.457</v>
      </c>
    </row>
    <row r="1501">
      <c r="A1501" t="inlineStr">
        <is>
          <t>MR24</t>
        </is>
      </c>
      <c r="B1501" t="inlineStr">
        <is>
          <t>Merged_Table_Assay_lito</t>
        </is>
      </c>
      <c r="C1501" t="inlineStr">
        <is>
          <t>metros de sondaje; pct sobre metros</t>
        </is>
      </c>
      <c r="D1501" t="inlineStr">
        <is>
          <t>fase_plp_GM_FASES_LE2_Output</t>
        </is>
      </c>
      <c r="E1501" t="inlineStr">
        <is>
          <t>10B</t>
        </is>
      </c>
      <c r="F1501" t="inlineStr">
        <is>
          <t>litologia_normalizada</t>
        </is>
      </c>
      <c r="G1501" t="inlineStr">
        <is>
          <t>sin asignar</t>
        </is>
      </c>
      <c r="H1501" t="inlineStr">
        <is>
          <t>sin asignar</t>
        </is>
      </c>
      <c r="I1501" t="inlineStr"/>
      <c r="J1501" t="inlineStr">
        <is>
          <t>suma de filas por código</t>
        </is>
      </c>
      <c r="K1501" t="inlineStr"/>
      <c r="L1501" t="inlineStr"/>
      <c r="M1501" t="n">
        <v>10413</v>
      </c>
      <c r="N1501" t="inlineStr"/>
      <c r="O1501" t="inlineStr"/>
      <c r="P1501" t="n">
        <v>10293.8</v>
      </c>
      <c r="Q1501" t="n">
        <v>56.544</v>
      </c>
    </row>
    <row r="1502">
      <c r="A1502" t="inlineStr">
        <is>
          <t>MR24</t>
        </is>
      </c>
      <c r="B1502" t="inlineStr">
        <is>
          <t>Merged_Table_Assay_lito</t>
        </is>
      </c>
      <c r="C1502" t="inlineStr">
        <is>
          <t>metros de sondaje; pct sobre metros</t>
        </is>
      </c>
      <c r="D1502" t="inlineStr">
        <is>
          <t>fase_plp_GM_FASES_LE2_Output</t>
        </is>
      </c>
      <c r="E1502" t="inlineStr">
        <is>
          <t>11A</t>
        </is>
      </c>
      <c r="F1502" t="inlineStr">
        <is>
          <t>litologia_normalizada</t>
        </is>
      </c>
      <c r="G1502" t="inlineStr">
        <is>
          <t>Intrusivo</t>
        </is>
      </c>
      <c r="H1502" t="inlineStr">
        <is>
          <t>Intrusivo</t>
        </is>
      </c>
      <c r="I1502" t="inlineStr"/>
      <c r="J1502" t="inlineStr">
        <is>
          <t>suma de filas por código</t>
        </is>
      </c>
      <c r="K1502" t="inlineStr"/>
      <c r="L1502" t="inlineStr"/>
      <c r="M1502" t="n">
        <v>30</v>
      </c>
      <c r="N1502" t="inlineStr"/>
      <c r="O1502" t="inlineStr"/>
      <c r="P1502" t="n">
        <v>22.1</v>
      </c>
      <c r="Q1502" t="n">
        <v>0.705</v>
      </c>
    </row>
    <row r="1503">
      <c r="A1503" t="inlineStr">
        <is>
          <t>MR24</t>
        </is>
      </c>
      <c r="B1503" t="inlineStr">
        <is>
          <t>Merged_Table_Assay_lito</t>
        </is>
      </c>
      <c r="C1503" t="inlineStr">
        <is>
          <t>metros de sondaje; pct sobre metros</t>
        </is>
      </c>
      <c r="D1503" t="inlineStr">
        <is>
          <t>fase_plp_GM_FASES_LE2_Output</t>
        </is>
      </c>
      <c r="E1503" t="inlineStr">
        <is>
          <t>11A</t>
        </is>
      </c>
      <c r="F1503" t="inlineStr">
        <is>
          <t>litologia_normalizada</t>
        </is>
      </c>
      <c r="G1503" t="inlineStr">
        <is>
          <t>sin asignar</t>
        </is>
      </c>
      <c r="H1503" t="inlineStr">
        <is>
          <t>sin asignar</t>
        </is>
      </c>
      <c r="I1503" t="inlineStr"/>
      <c r="J1503" t="inlineStr">
        <is>
          <t>suma de filas por código</t>
        </is>
      </c>
      <c r="K1503" t="inlineStr"/>
      <c r="L1503" t="inlineStr"/>
      <c r="M1503" t="n">
        <v>3635</v>
      </c>
      <c r="N1503" t="inlineStr"/>
      <c r="O1503" t="inlineStr"/>
      <c r="P1503" t="n">
        <v>3111</v>
      </c>
      <c r="Q1503" t="n">
        <v>99.294</v>
      </c>
    </row>
    <row r="1504">
      <c r="A1504" t="inlineStr">
        <is>
          <t>MR24</t>
        </is>
      </c>
      <c r="B1504" t="inlineStr">
        <is>
          <t>Merged_Table_Assay_lito</t>
        </is>
      </c>
      <c r="C1504" t="inlineStr">
        <is>
          <t>metros de sondaje; pct sobre metros</t>
        </is>
      </c>
      <c r="D1504" t="inlineStr">
        <is>
          <t>fase_plp_GM_FASES_LE2_Output</t>
        </is>
      </c>
      <c r="E1504" t="inlineStr">
        <is>
          <t>11B</t>
        </is>
      </c>
      <c r="F1504" t="inlineStr">
        <is>
          <t>litologia_normalizada</t>
        </is>
      </c>
      <c r="G1504" t="inlineStr">
        <is>
          <t>Intrusivo</t>
        </is>
      </c>
      <c r="H1504" t="inlineStr">
        <is>
          <t>Intrusivo</t>
        </is>
      </c>
      <c r="I1504" t="inlineStr"/>
      <c r="J1504" t="inlineStr">
        <is>
          <t>suma de filas por código</t>
        </is>
      </c>
      <c r="K1504" t="inlineStr"/>
      <c r="L1504" t="inlineStr"/>
      <c r="M1504" t="n">
        <v>31</v>
      </c>
      <c r="N1504" t="inlineStr"/>
      <c r="O1504" t="inlineStr"/>
      <c r="P1504" t="n">
        <v>23.9</v>
      </c>
      <c r="Q1504" t="n">
        <v>1.428</v>
      </c>
    </row>
    <row r="1505">
      <c r="A1505" t="inlineStr">
        <is>
          <t>MR24</t>
        </is>
      </c>
      <c r="B1505" t="inlineStr">
        <is>
          <t>Merged_Table_Assay_lito</t>
        </is>
      </c>
      <c r="C1505" t="inlineStr">
        <is>
          <t>metros de sondaje; pct sobre metros</t>
        </is>
      </c>
      <c r="D1505" t="inlineStr">
        <is>
          <t>fase_plp_GM_FASES_LE2_Output</t>
        </is>
      </c>
      <c r="E1505" t="inlineStr">
        <is>
          <t>11B</t>
        </is>
      </c>
      <c r="F1505" t="inlineStr">
        <is>
          <t>litologia_normalizada</t>
        </is>
      </c>
      <c r="G1505" t="inlineStr">
        <is>
          <t>sin asignar</t>
        </is>
      </c>
      <c r="H1505" t="inlineStr">
        <is>
          <t>sin asignar</t>
        </is>
      </c>
      <c r="I1505" t="inlineStr"/>
      <c r="J1505" t="inlineStr">
        <is>
          <t>suma de filas por código</t>
        </is>
      </c>
      <c r="K1505" t="inlineStr"/>
      <c r="L1505" t="inlineStr"/>
      <c r="M1505" t="n">
        <v>1859</v>
      </c>
      <c r="N1505" t="inlineStr"/>
      <c r="O1505" t="inlineStr"/>
      <c r="P1505" t="n">
        <v>1650</v>
      </c>
      <c r="Q1505" t="n">
        <v>98.57299999999999</v>
      </c>
    </row>
    <row r="1506">
      <c r="A1506" t="inlineStr">
        <is>
          <t>MR24</t>
        </is>
      </c>
      <c r="B1506" t="inlineStr">
        <is>
          <t>Merged_Table_Assay_lito</t>
        </is>
      </c>
      <c r="C1506" t="inlineStr">
        <is>
          <t>metros de sondaje; pct sobre metros</t>
        </is>
      </c>
      <c r="D1506" t="inlineStr">
        <is>
          <t>fase_plp_GM_FASES_LE2_Output</t>
        </is>
      </c>
      <c r="E1506" t="inlineStr">
        <is>
          <t>11C</t>
        </is>
      </c>
      <c r="F1506" t="inlineStr">
        <is>
          <t>litologia_normalizada</t>
        </is>
      </c>
      <c r="G1506" t="inlineStr">
        <is>
          <t>Intrusivo</t>
        </is>
      </c>
      <c r="H1506" t="inlineStr">
        <is>
          <t>Intrusivo</t>
        </is>
      </c>
      <c r="I1506" t="inlineStr"/>
      <c r="J1506" t="inlineStr">
        <is>
          <t>suma de filas por código</t>
        </is>
      </c>
      <c r="K1506" t="inlineStr"/>
      <c r="L1506" t="inlineStr"/>
      <c r="M1506" t="n">
        <v>43</v>
      </c>
      <c r="N1506" t="inlineStr"/>
      <c r="O1506" t="inlineStr"/>
      <c r="P1506" t="n">
        <v>52.8</v>
      </c>
      <c r="Q1506" t="n">
        <v>0.956</v>
      </c>
    </row>
    <row r="1507">
      <c r="A1507" t="inlineStr">
        <is>
          <t>MR24</t>
        </is>
      </c>
      <c r="B1507" t="inlineStr">
        <is>
          <t>Merged_Table_Assay_lito</t>
        </is>
      </c>
      <c r="C1507" t="inlineStr">
        <is>
          <t>metros de sondaje; pct sobre metros</t>
        </is>
      </c>
      <c r="D1507" t="inlineStr">
        <is>
          <t>fase_plp_GM_FASES_LE2_Output</t>
        </is>
      </c>
      <c r="E1507" t="inlineStr">
        <is>
          <t>11C</t>
        </is>
      </c>
      <c r="F1507" t="inlineStr">
        <is>
          <t>litologia_normalizada</t>
        </is>
      </c>
      <c r="G1507" t="inlineStr">
        <is>
          <t>sin asignar</t>
        </is>
      </c>
      <c r="H1507" t="inlineStr">
        <is>
          <t>sin asignar</t>
        </is>
      </c>
      <c r="I1507" t="inlineStr"/>
      <c r="J1507" t="inlineStr">
        <is>
          <t>suma de filas por código</t>
        </is>
      </c>
      <c r="K1507" t="inlineStr"/>
      <c r="L1507" t="inlineStr"/>
      <c r="M1507" t="n">
        <v>6196</v>
      </c>
      <c r="N1507" t="inlineStr"/>
      <c r="O1507" t="inlineStr"/>
      <c r="P1507" t="n">
        <v>5465.6</v>
      </c>
      <c r="Q1507" t="n">
        <v>99.042</v>
      </c>
    </row>
    <row r="1508">
      <c r="A1508" t="inlineStr">
        <is>
          <t>MR24</t>
        </is>
      </c>
      <c r="B1508" t="inlineStr">
        <is>
          <t>Merged_Table_Assay_lito</t>
        </is>
      </c>
      <c r="C1508" t="inlineStr">
        <is>
          <t>metros de sondaje; pct sobre metros</t>
        </is>
      </c>
      <c r="D1508" t="inlineStr">
        <is>
          <t>fase_plp_GM_FASES_LE2_Output</t>
        </is>
      </c>
      <c r="E1508" t="inlineStr">
        <is>
          <t>11D</t>
        </is>
      </c>
      <c r="F1508" t="inlineStr">
        <is>
          <t>litologia_normalizada</t>
        </is>
      </c>
      <c r="G1508" t="inlineStr">
        <is>
          <t>Intrusivo</t>
        </is>
      </c>
      <c r="H1508" t="inlineStr">
        <is>
          <t>Intrusivo</t>
        </is>
      </c>
      <c r="I1508" t="inlineStr"/>
      <c r="J1508" t="inlineStr">
        <is>
          <t>suma de filas por código</t>
        </is>
      </c>
      <c r="K1508" t="inlineStr"/>
      <c r="L1508" t="inlineStr"/>
      <c r="M1508" t="n">
        <v>14381</v>
      </c>
      <c r="N1508" t="inlineStr"/>
      <c r="O1508" t="inlineStr"/>
      <c r="P1508" t="n">
        <v>14402.55</v>
      </c>
      <c r="Q1508" t="n">
        <v>22.069</v>
      </c>
    </row>
    <row r="1509">
      <c r="A1509" t="inlineStr">
        <is>
          <t>MR24</t>
        </is>
      </c>
      <c r="B1509" t="inlineStr">
        <is>
          <t>Merged_Table_Assay_lito</t>
        </is>
      </c>
      <c r="C1509" t="inlineStr">
        <is>
          <t>metros de sondaje; pct sobre metros</t>
        </is>
      </c>
      <c r="D1509" t="inlineStr">
        <is>
          <t>fase_plp_GM_FASES_LE2_Output</t>
        </is>
      </c>
      <c r="E1509" t="inlineStr">
        <is>
          <t>11D</t>
        </is>
      </c>
      <c r="F1509" t="inlineStr">
        <is>
          <t>litologia_normalizada</t>
        </is>
      </c>
      <c r="G1509" t="inlineStr">
        <is>
          <t>sin asignar</t>
        </is>
      </c>
      <c r="H1509" t="inlineStr">
        <is>
          <t>sin asignar</t>
        </is>
      </c>
      <c r="I1509" t="inlineStr"/>
      <c r="J1509" t="inlineStr">
        <is>
          <t>suma de filas por código</t>
        </is>
      </c>
      <c r="K1509" t="inlineStr"/>
      <c r="L1509" t="inlineStr"/>
      <c r="M1509" t="n">
        <v>58849</v>
      </c>
      <c r="N1509" t="inlineStr"/>
      <c r="O1509" t="inlineStr"/>
      <c r="P1509" t="n">
        <v>50865.02</v>
      </c>
      <c r="Q1509" t="n">
        <v>77.934</v>
      </c>
    </row>
    <row r="1510">
      <c r="A1510" t="inlineStr">
        <is>
          <t>MR24</t>
        </is>
      </c>
      <c r="B1510" t="inlineStr">
        <is>
          <t>Merged_Table_Assay_lito</t>
        </is>
      </c>
      <c r="C1510" t="inlineStr">
        <is>
          <t>metros de sondaje; pct sobre metros</t>
        </is>
      </c>
      <c r="D1510" t="inlineStr">
        <is>
          <t>fase_plp_GM_FASES_LE2_Output</t>
        </is>
      </c>
      <c r="E1510" t="inlineStr">
        <is>
          <t>12A1</t>
        </is>
      </c>
      <c r="F1510" t="inlineStr">
        <is>
          <t>litologia_normalizada</t>
        </is>
      </c>
      <c r="G1510" t="inlineStr">
        <is>
          <t>Intrusivo</t>
        </is>
      </c>
      <c r="H1510" t="inlineStr">
        <is>
          <t>Intrusivo</t>
        </is>
      </c>
      <c r="I1510" t="inlineStr"/>
      <c r="J1510" t="inlineStr">
        <is>
          <t>suma de filas por código</t>
        </is>
      </c>
      <c r="K1510" t="inlineStr"/>
      <c r="L1510" t="inlineStr"/>
      <c r="M1510" t="n">
        <v>42</v>
      </c>
      <c r="N1510" t="inlineStr"/>
      <c r="O1510" t="inlineStr"/>
      <c r="P1510" t="n">
        <v>68.05</v>
      </c>
      <c r="Q1510" t="n">
        <v>6.277</v>
      </c>
    </row>
    <row r="1511">
      <c r="A1511" t="inlineStr">
        <is>
          <t>MR24</t>
        </is>
      </c>
      <c r="B1511" t="inlineStr">
        <is>
          <t>Merged_Table_Assay_lito</t>
        </is>
      </c>
      <c r="C1511" t="inlineStr">
        <is>
          <t>metros de sondaje; pct sobre metros</t>
        </is>
      </c>
      <c r="D1511" t="inlineStr">
        <is>
          <t>fase_plp_GM_FASES_LE2_Output</t>
        </is>
      </c>
      <c r="E1511" t="inlineStr">
        <is>
          <t>12A1</t>
        </is>
      </c>
      <c r="F1511" t="inlineStr">
        <is>
          <t>litologia_normalizada</t>
        </is>
      </c>
      <c r="G1511" t="inlineStr">
        <is>
          <t>sin asignar</t>
        </is>
      </c>
      <c r="H1511" t="inlineStr">
        <is>
          <t>sin asignar</t>
        </is>
      </c>
      <c r="I1511" t="inlineStr"/>
      <c r="J1511" t="inlineStr">
        <is>
          <t>suma de filas por código</t>
        </is>
      </c>
      <c r="K1511" t="inlineStr"/>
      <c r="L1511" t="inlineStr"/>
      <c r="M1511" t="n">
        <v>822</v>
      </c>
      <c r="N1511" t="inlineStr"/>
      <c r="O1511" t="inlineStr"/>
      <c r="P1511" t="n">
        <v>1016.13</v>
      </c>
      <c r="Q1511" t="n">
        <v>93.723</v>
      </c>
    </row>
    <row r="1512">
      <c r="A1512" t="inlineStr">
        <is>
          <t>MR24</t>
        </is>
      </c>
      <c r="B1512" t="inlineStr">
        <is>
          <t>Merged_Table_Assay_lito</t>
        </is>
      </c>
      <c r="C1512" t="inlineStr">
        <is>
          <t>metros de sondaje; pct sobre metros</t>
        </is>
      </c>
      <c r="D1512" t="inlineStr">
        <is>
          <t>fase_plp_GM_FASES_LE2_Output</t>
        </is>
      </c>
      <c r="E1512" t="inlineStr">
        <is>
          <t>12A2</t>
        </is>
      </c>
      <c r="F1512" t="inlineStr">
        <is>
          <t>litologia_normalizada</t>
        </is>
      </c>
      <c r="G1512" t="inlineStr">
        <is>
          <t>Intrusivo</t>
        </is>
      </c>
      <c r="H1512" t="inlineStr">
        <is>
          <t>Intrusivo</t>
        </is>
      </c>
      <c r="I1512" t="inlineStr"/>
      <c r="J1512" t="inlineStr">
        <is>
          <t>suma de filas por código</t>
        </is>
      </c>
      <c r="K1512" t="inlineStr"/>
      <c r="L1512" t="inlineStr"/>
      <c r="M1512" t="n">
        <v>2589</v>
      </c>
      <c r="N1512" t="inlineStr"/>
      <c r="O1512" t="inlineStr"/>
      <c r="P1512" t="n">
        <v>3501.76</v>
      </c>
      <c r="Q1512" t="n">
        <v>18.868</v>
      </c>
    </row>
    <row r="1513">
      <c r="A1513" t="inlineStr">
        <is>
          <t>MR24</t>
        </is>
      </c>
      <c r="B1513" t="inlineStr">
        <is>
          <t>Merged_Table_Assay_lito</t>
        </is>
      </c>
      <c r="C1513" t="inlineStr">
        <is>
          <t>metros de sondaje; pct sobre metros</t>
        </is>
      </c>
      <c r="D1513" t="inlineStr">
        <is>
          <t>fase_plp_GM_FASES_LE2_Output</t>
        </is>
      </c>
      <c r="E1513" t="inlineStr">
        <is>
          <t>12A2</t>
        </is>
      </c>
      <c r="F1513" t="inlineStr">
        <is>
          <t>litologia_normalizada</t>
        </is>
      </c>
      <c r="G1513" t="inlineStr">
        <is>
          <t>sin asignar</t>
        </is>
      </c>
      <c r="H1513" t="inlineStr">
        <is>
          <t>sin asignar</t>
        </is>
      </c>
      <c r="I1513" t="inlineStr"/>
      <c r="J1513" t="inlineStr">
        <is>
          <t>suma de filas por código</t>
        </is>
      </c>
      <c r="K1513" t="inlineStr"/>
      <c r="L1513" t="inlineStr"/>
      <c r="M1513" t="n">
        <v>13054</v>
      </c>
      <c r="N1513" t="inlineStr"/>
      <c r="O1513" t="inlineStr"/>
      <c r="P1513" t="n">
        <v>15057.52</v>
      </c>
      <c r="Q1513" t="n">
        <v>81.13200000000001</v>
      </c>
    </row>
    <row r="1514">
      <c r="A1514" t="inlineStr">
        <is>
          <t>MR24</t>
        </is>
      </c>
      <c r="B1514" t="inlineStr">
        <is>
          <t>Merged_Table_Assay_lito</t>
        </is>
      </c>
      <c r="C1514" t="inlineStr">
        <is>
          <t>metros de sondaje; pct sobre metros</t>
        </is>
      </c>
      <c r="D1514" t="inlineStr">
        <is>
          <t>fase_plp_GM_FASES_LE2_Output</t>
        </is>
      </c>
      <c r="E1514" t="inlineStr">
        <is>
          <t>12B</t>
        </is>
      </c>
      <c r="F1514" t="inlineStr">
        <is>
          <t>litologia_normalizada</t>
        </is>
      </c>
      <c r="G1514" t="inlineStr">
        <is>
          <t>Intrusivo</t>
        </is>
      </c>
      <c r="H1514" t="inlineStr">
        <is>
          <t>Intrusivo</t>
        </is>
      </c>
      <c r="I1514" t="inlineStr"/>
      <c r="J1514" t="inlineStr">
        <is>
          <t>suma de filas por código</t>
        </is>
      </c>
      <c r="K1514" t="inlineStr"/>
      <c r="L1514" t="inlineStr"/>
      <c r="M1514" t="n">
        <v>3938</v>
      </c>
      <c r="N1514" t="inlineStr"/>
      <c r="O1514" t="inlineStr"/>
      <c r="P1514" t="n">
        <v>4729.85</v>
      </c>
      <c r="Q1514" t="n">
        <v>45.069</v>
      </c>
    </row>
    <row r="1515">
      <c r="A1515" t="inlineStr">
        <is>
          <t>MR24</t>
        </is>
      </c>
      <c r="B1515" t="inlineStr">
        <is>
          <t>Merged_Table_Assay_lito</t>
        </is>
      </c>
      <c r="C1515" t="inlineStr">
        <is>
          <t>metros de sondaje; pct sobre metros</t>
        </is>
      </c>
      <c r="D1515" t="inlineStr">
        <is>
          <t>fase_plp_GM_FASES_LE2_Output</t>
        </is>
      </c>
      <c r="E1515" t="inlineStr">
        <is>
          <t>12B</t>
        </is>
      </c>
      <c r="F1515" t="inlineStr">
        <is>
          <t>litologia_normalizada</t>
        </is>
      </c>
      <c r="G1515" t="inlineStr">
        <is>
          <t>sin asignar</t>
        </is>
      </c>
      <c r="H1515" t="inlineStr">
        <is>
          <t>sin asignar</t>
        </is>
      </c>
      <c r="I1515" t="inlineStr"/>
      <c r="J1515" t="inlineStr">
        <is>
          <t>suma de filas por código</t>
        </is>
      </c>
      <c r="K1515" t="inlineStr"/>
      <c r="L1515" t="inlineStr"/>
      <c r="M1515" t="n">
        <v>5623</v>
      </c>
      <c r="N1515" t="inlineStr"/>
      <c r="O1515" t="inlineStr"/>
      <c r="P1515" t="n">
        <v>5764.85</v>
      </c>
      <c r="Q1515" t="n">
        <v>54.931</v>
      </c>
    </row>
    <row r="1516">
      <c r="A1516" t="inlineStr">
        <is>
          <t>MR24</t>
        </is>
      </c>
      <c r="B1516" t="inlineStr">
        <is>
          <t>Merged_Table_Assay_lito</t>
        </is>
      </c>
      <c r="C1516" t="inlineStr">
        <is>
          <t>metros de sondaje; pct sobre metros</t>
        </is>
      </c>
      <c r="D1516" t="inlineStr">
        <is>
          <t>fase_plp_GM_FASES_LE2_Output</t>
        </is>
      </c>
      <c r="E1516" t="inlineStr">
        <is>
          <t>13A</t>
        </is>
      </c>
      <c r="F1516" t="inlineStr">
        <is>
          <t>litologia_normalizada</t>
        </is>
      </c>
      <c r="G1516" t="inlineStr">
        <is>
          <t>sin asignar</t>
        </is>
      </c>
      <c r="H1516" t="inlineStr">
        <is>
          <t>sin asignar</t>
        </is>
      </c>
      <c r="I1516" t="inlineStr"/>
      <c r="J1516" t="inlineStr">
        <is>
          <t>suma de filas por código</t>
        </is>
      </c>
      <c r="K1516" t="inlineStr"/>
      <c r="L1516" t="inlineStr"/>
      <c r="M1516" t="n">
        <v>389</v>
      </c>
      <c r="N1516" t="inlineStr"/>
      <c r="O1516" t="inlineStr"/>
      <c r="P1516" t="n">
        <v>343.95</v>
      </c>
      <c r="Q1516" t="n">
        <v>100.001</v>
      </c>
    </row>
    <row r="1517">
      <c r="A1517" t="inlineStr">
        <is>
          <t>MR24</t>
        </is>
      </c>
      <c r="B1517" t="inlineStr">
        <is>
          <t>Merged_Table_Assay_lito</t>
        </is>
      </c>
      <c r="C1517" t="inlineStr">
        <is>
          <t>metros de sondaje; pct sobre metros</t>
        </is>
      </c>
      <c r="D1517" t="inlineStr">
        <is>
          <t>fase_plp_GM_FASES_LE2_Output</t>
        </is>
      </c>
      <c r="E1517" t="inlineStr">
        <is>
          <t>13B1</t>
        </is>
      </c>
      <c r="F1517" t="inlineStr">
        <is>
          <t>litologia_normalizada</t>
        </is>
      </c>
      <c r="G1517" t="inlineStr">
        <is>
          <t>sin asignar</t>
        </is>
      </c>
      <c r="H1517" t="inlineStr">
        <is>
          <t>sin asignar</t>
        </is>
      </c>
      <c r="I1517" t="inlineStr"/>
      <c r="J1517" t="inlineStr">
        <is>
          <t>suma de filas por código</t>
        </is>
      </c>
      <c r="K1517" t="inlineStr"/>
      <c r="L1517" t="inlineStr"/>
      <c r="M1517" t="n">
        <v>24</v>
      </c>
      <c r="N1517" t="inlineStr"/>
      <c r="O1517" t="inlineStr"/>
      <c r="P1517" t="n">
        <v>19.6</v>
      </c>
      <c r="Q1517" t="n">
        <v>100</v>
      </c>
    </row>
    <row r="1518">
      <c r="A1518" t="inlineStr">
        <is>
          <t>MR24</t>
        </is>
      </c>
      <c r="B1518" t="inlineStr">
        <is>
          <t>Merged_Table_Assay_lito</t>
        </is>
      </c>
      <c r="C1518" t="inlineStr">
        <is>
          <t>metros de sondaje; pct sobre metros</t>
        </is>
      </c>
      <c r="D1518" t="inlineStr">
        <is>
          <t>fase_plp_GM_FASES_LE2_Output</t>
        </is>
      </c>
      <c r="E1518" t="inlineStr">
        <is>
          <t>13B2</t>
        </is>
      </c>
      <c r="F1518" t="inlineStr">
        <is>
          <t>litologia_normalizada</t>
        </is>
      </c>
      <c r="G1518" t="inlineStr">
        <is>
          <t>Intrusivo</t>
        </is>
      </c>
      <c r="H1518" t="inlineStr">
        <is>
          <t>Intrusivo</t>
        </is>
      </c>
      <c r="I1518" t="inlineStr"/>
      <c r="J1518" t="inlineStr">
        <is>
          <t>suma de filas por código</t>
        </is>
      </c>
      <c r="K1518" t="inlineStr"/>
      <c r="L1518" t="inlineStr"/>
      <c r="M1518" t="n">
        <v>1</v>
      </c>
      <c r="N1518" t="inlineStr"/>
      <c r="O1518" t="inlineStr"/>
      <c r="P1518" t="n">
        <v>2.9</v>
      </c>
      <c r="Q1518" t="n">
        <v>0.261</v>
      </c>
    </row>
    <row r="1519">
      <c r="A1519" t="inlineStr">
        <is>
          <t>MR24</t>
        </is>
      </c>
      <c r="B1519" t="inlineStr">
        <is>
          <t>Merged_Table_Assay_lito</t>
        </is>
      </c>
      <c r="C1519" t="inlineStr">
        <is>
          <t>metros de sondaje; pct sobre metros</t>
        </is>
      </c>
      <c r="D1519" t="inlineStr">
        <is>
          <t>fase_plp_GM_FASES_LE2_Output</t>
        </is>
      </c>
      <c r="E1519" t="inlineStr">
        <is>
          <t>13B2</t>
        </is>
      </c>
      <c r="F1519" t="inlineStr">
        <is>
          <t>litologia_normalizada</t>
        </is>
      </c>
      <c r="G1519" t="inlineStr">
        <is>
          <t>sin asignar</t>
        </is>
      </c>
      <c r="H1519" t="inlineStr">
        <is>
          <t>sin asignar</t>
        </is>
      </c>
      <c r="I1519" t="inlineStr"/>
      <c r="J1519" t="inlineStr">
        <is>
          <t>suma de filas por código</t>
        </is>
      </c>
      <c r="K1519" t="inlineStr"/>
      <c r="L1519" t="inlineStr"/>
      <c r="M1519" t="n">
        <v>1143</v>
      </c>
      <c r="N1519" t="inlineStr"/>
      <c r="O1519" t="inlineStr"/>
      <c r="P1519" t="n">
        <v>1109</v>
      </c>
      <c r="Q1519" t="n">
        <v>99.738</v>
      </c>
    </row>
    <row r="1520">
      <c r="A1520" t="inlineStr">
        <is>
          <t>MR24</t>
        </is>
      </c>
      <c r="B1520" t="inlineStr">
        <is>
          <t>Merged_Table_Assay_lito</t>
        </is>
      </c>
      <c r="C1520" t="inlineStr">
        <is>
          <t>metros de sondaje; pct sobre metros</t>
        </is>
      </c>
      <c r="D1520" t="inlineStr">
        <is>
          <t>fase_plp_GM_FASES_LE2_Output</t>
        </is>
      </c>
      <c r="E1520" t="inlineStr">
        <is>
          <t>13C</t>
        </is>
      </c>
      <c r="F1520" t="inlineStr">
        <is>
          <t>litologia_normalizada</t>
        </is>
      </c>
      <c r="G1520" t="inlineStr">
        <is>
          <t>Intrusivo</t>
        </is>
      </c>
      <c r="H1520" t="inlineStr">
        <is>
          <t>Intrusivo</t>
        </is>
      </c>
      <c r="I1520" t="inlineStr"/>
      <c r="J1520" t="inlineStr">
        <is>
          <t>suma de filas por código</t>
        </is>
      </c>
      <c r="K1520" t="inlineStr"/>
      <c r="L1520" t="inlineStr"/>
      <c r="M1520" t="n">
        <v>4611</v>
      </c>
      <c r="N1520" t="inlineStr"/>
      <c r="O1520" t="inlineStr"/>
      <c r="P1520" t="n">
        <v>5001</v>
      </c>
      <c r="Q1520" t="n">
        <v>32.162</v>
      </c>
    </row>
    <row r="1521">
      <c r="A1521" t="inlineStr">
        <is>
          <t>MR24</t>
        </is>
      </c>
      <c r="B1521" t="inlineStr">
        <is>
          <t>Merged_Table_Assay_lito</t>
        </is>
      </c>
      <c r="C1521" t="inlineStr">
        <is>
          <t>metros de sondaje; pct sobre metros</t>
        </is>
      </c>
      <c r="D1521" t="inlineStr">
        <is>
          <t>fase_plp_GM_FASES_LE2_Output</t>
        </is>
      </c>
      <c r="E1521" t="inlineStr">
        <is>
          <t>13C</t>
        </is>
      </c>
      <c r="F1521" t="inlineStr">
        <is>
          <t>litologia_normalizada</t>
        </is>
      </c>
      <c r="G1521" t="inlineStr">
        <is>
          <t>sin asignar</t>
        </is>
      </c>
      <c r="H1521" t="inlineStr">
        <is>
          <t>sin asignar</t>
        </is>
      </c>
      <c r="I1521" t="inlineStr"/>
      <c r="J1521" t="inlineStr">
        <is>
          <t>suma de filas por código</t>
        </is>
      </c>
      <c r="K1521" t="inlineStr"/>
      <c r="L1521" t="inlineStr"/>
      <c r="M1521" t="n">
        <v>10333</v>
      </c>
      <c r="N1521" t="inlineStr"/>
      <c r="O1521" t="inlineStr"/>
      <c r="P1521" t="n">
        <v>10548.7</v>
      </c>
      <c r="Q1521" t="n">
        <v>67.839</v>
      </c>
    </row>
    <row r="1522">
      <c r="A1522" t="inlineStr">
        <is>
          <t>MR24</t>
        </is>
      </c>
      <c r="B1522" t="inlineStr">
        <is>
          <t>Merged_Table_Assay_lito</t>
        </is>
      </c>
      <c r="C1522" t="inlineStr">
        <is>
          <t>metros de sondaje; pct sobre metros</t>
        </is>
      </c>
      <c r="D1522" t="inlineStr">
        <is>
          <t>fase_plp_GM_FASES_LE2_Output</t>
        </is>
      </c>
      <c r="E1522" t="inlineStr">
        <is>
          <t>14</t>
        </is>
      </c>
      <c r="F1522" t="inlineStr">
        <is>
          <t>litologia_normalizada</t>
        </is>
      </c>
      <c r="G1522" t="inlineStr">
        <is>
          <t>Intrusivo</t>
        </is>
      </c>
      <c r="H1522" t="inlineStr">
        <is>
          <t>Intrusivo</t>
        </is>
      </c>
      <c r="I1522" t="inlineStr"/>
      <c r="J1522" t="inlineStr">
        <is>
          <t>suma de filas por código</t>
        </is>
      </c>
      <c r="K1522" t="inlineStr"/>
      <c r="L1522" t="inlineStr"/>
      <c r="M1522" t="n">
        <v>3342</v>
      </c>
      <c r="N1522" t="inlineStr"/>
      <c r="O1522" t="inlineStr"/>
      <c r="P1522" t="n">
        <v>3010.1</v>
      </c>
      <c r="Q1522" t="n">
        <v>12.579</v>
      </c>
    </row>
    <row r="1523">
      <c r="A1523" t="inlineStr">
        <is>
          <t>MR24</t>
        </is>
      </c>
      <c r="B1523" t="inlineStr">
        <is>
          <t>Merged_Table_Assay_lito</t>
        </is>
      </c>
      <c r="C1523" t="inlineStr">
        <is>
          <t>metros de sondaje; pct sobre metros</t>
        </is>
      </c>
      <c r="D1523" t="inlineStr">
        <is>
          <t>fase_plp_GM_FASES_LE2_Output</t>
        </is>
      </c>
      <c r="E1523" t="inlineStr">
        <is>
          <t>14</t>
        </is>
      </c>
      <c r="F1523" t="inlineStr">
        <is>
          <t>litologia_normalizada</t>
        </is>
      </c>
      <c r="G1523" t="inlineStr">
        <is>
          <t>sin asignar</t>
        </is>
      </c>
      <c r="H1523" t="inlineStr">
        <is>
          <t>sin asignar</t>
        </is>
      </c>
      <c r="I1523" t="inlineStr"/>
      <c r="J1523" t="inlineStr">
        <is>
          <t>suma de filas por código</t>
        </is>
      </c>
      <c r="K1523" t="inlineStr"/>
      <c r="L1523" t="inlineStr"/>
      <c r="M1523" t="n">
        <v>22316</v>
      </c>
      <c r="N1523" t="inlineStr"/>
      <c r="O1523" t="inlineStr"/>
      <c r="P1523" t="n">
        <v>20918.9</v>
      </c>
      <c r="Q1523" t="n">
        <v>87.42</v>
      </c>
    </row>
    <row r="1524">
      <c r="A1524" t="inlineStr">
        <is>
          <t>MR24</t>
        </is>
      </c>
      <c r="B1524" t="inlineStr">
        <is>
          <t>Merged_Table_Assay_lito</t>
        </is>
      </c>
      <c r="C1524" t="inlineStr">
        <is>
          <t>metros de sondaje; pct sobre metros</t>
        </is>
      </c>
      <c r="D1524" t="inlineStr">
        <is>
          <t>fase_plp_GM_FASES_LE2_Output</t>
        </is>
      </c>
      <c r="E1524" t="inlineStr">
        <is>
          <t>15</t>
        </is>
      </c>
      <c r="F1524" t="inlineStr">
        <is>
          <t>litologia_normalizada</t>
        </is>
      </c>
      <c r="G1524" t="inlineStr">
        <is>
          <t>Intrusivo</t>
        </is>
      </c>
      <c r="H1524" t="inlineStr">
        <is>
          <t>Intrusivo</t>
        </is>
      </c>
      <c r="I1524" t="inlineStr"/>
      <c r="J1524" t="inlineStr">
        <is>
          <t>suma de filas por código</t>
        </is>
      </c>
      <c r="K1524" t="inlineStr"/>
      <c r="L1524" t="inlineStr"/>
      <c r="M1524" t="n">
        <v>2713</v>
      </c>
      <c r="N1524" t="inlineStr"/>
      <c r="O1524" t="inlineStr"/>
      <c r="P1524" t="n">
        <v>3041.35</v>
      </c>
      <c r="Q1524" t="n">
        <v>28.895</v>
      </c>
    </row>
    <row r="1525">
      <c r="A1525" t="inlineStr">
        <is>
          <t>MR24</t>
        </is>
      </c>
      <c r="B1525" t="inlineStr">
        <is>
          <t>Merged_Table_Assay_lito</t>
        </is>
      </c>
      <c r="C1525" t="inlineStr">
        <is>
          <t>metros de sondaje; pct sobre metros</t>
        </is>
      </c>
      <c r="D1525" t="inlineStr">
        <is>
          <t>fase_plp_GM_FASES_LE2_Output</t>
        </is>
      </c>
      <c r="E1525" t="inlineStr">
        <is>
          <t>15</t>
        </is>
      </c>
      <c r="F1525" t="inlineStr">
        <is>
          <t>litologia_normalizada</t>
        </is>
      </c>
      <c r="G1525" t="inlineStr">
        <is>
          <t>sin asignar</t>
        </is>
      </c>
      <c r="H1525" t="inlineStr">
        <is>
          <t>sin asignar</t>
        </is>
      </c>
      <c r="I1525" t="inlineStr"/>
      <c r="J1525" t="inlineStr">
        <is>
          <t>suma de filas por código</t>
        </is>
      </c>
      <c r="K1525" t="inlineStr"/>
      <c r="L1525" t="inlineStr"/>
      <c r="M1525" t="n">
        <v>6854</v>
      </c>
      <c r="N1525" t="inlineStr"/>
      <c r="O1525" t="inlineStr"/>
      <c r="P1525" t="n">
        <v>7484</v>
      </c>
      <c r="Q1525" t="n">
        <v>71.105</v>
      </c>
    </row>
    <row r="1526">
      <c r="A1526" t="inlineStr">
        <is>
          <t>MR24</t>
        </is>
      </c>
      <c r="B1526" t="inlineStr">
        <is>
          <t>Merged_Table_Assay_lito</t>
        </is>
      </c>
      <c r="C1526" t="inlineStr">
        <is>
          <t>metros de sondaje; pct sobre metros</t>
        </is>
      </c>
      <c r="D1526" t="inlineStr">
        <is>
          <t>fase_plp_GM_FASES_LE2_Output</t>
        </is>
      </c>
      <c r="E1526" t="inlineStr">
        <is>
          <t>8</t>
        </is>
      </c>
      <c r="F1526" t="inlineStr">
        <is>
          <t>litologia_normalizada</t>
        </is>
      </c>
      <c r="G1526" t="inlineStr">
        <is>
          <t>Intrusivo</t>
        </is>
      </c>
      <c r="H1526" t="inlineStr">
        <is>
          <t>Intrusivo</t>
        </is>
      </c>
      <c r="I1526" t="inlineStr"/>
      <c r="J1526" t="inlineStr">
        <is>
          <t>suma de filas por código</t>
        </is>
      </c>
      <c r="K1526" t="inlineStr"/>
      <c r="L1526" t="inlineStr"/>
      <c r="M1526" t="n">
        <v>1766</v>
      </c>
      <c r="N1526" t="inlineStr"/>
      <c r="O1526" t="inlineStr"/>
      <c r="P1526" t="n">
        <v>2530.8</v>
      </c>
      <c r="Q1526" t="n">
        <v>100</v>
      </c>
    </row>
    <row r="1527">
      <c r="A1527" t="inlineStr">
        <is>
          <t>MR24</t>
        </is>
      </c>
      <c r="B1527" t="inlineStr">
        <is>
          <t>Merged_Table_Assay_lito</t>
        </is>
      </c>
      <c r="C1527" t="inlineStr">
        <is>
          <t>metros de sondaje; pct sobre metros</t>
        </is>
      </c>
      <c r="D1527" t="inlineStr">
        <is>
          <t>fase_plp_GM_FASES_LE2_Output</t>
        </is>
      </c>
      <c r="E1527" t="inlineStr">
        <is>
          <t>9BN</t>
        </is>
      </c>
      <c r="F1527" t="inlineStr">
        <is>
          <t>litologia_normalizada</t>
        </is>
      </c>
      <c r="G1527" t="inlineStr">
        <is>
          <t>Intrusivo</t>
        </is>
      </c>
      <c r="H1527" t="inlineStr">
        <is>
          <t>Intrusivo</t>
        </is>
      </c>
      <c r="I1527" t="inlineStr"/>
      <c r="J1527" t="inlineStr">
        <is>
          <t>suma de filas por código</t>
        </is>
      </c>
      <c r="K1527" t="inlineStr"/>
      <c r="L1527" t="inlineStr"/>
      <c r="M1527" t="n">
        <v>6276</v>
      </c>
      <c r="N1527" t="inlineStr"/>
      <c r="O1527" t="inlineStr"/>
      <c r="P1527" t="n">
        <v>8841.780000000001</v>
      </c>
      <c r="Q1527" t="n">
        <v>52.426</v>
      </c>
    </row>
    <row r="1528">
      <c r="A1528" t="inlineStr">
        <is>
          <t>MR24</t>
        </is>
      </c>
      <c r="B1528" t="inlineStr">
        <is>
          <t>Merged_Table_Assay_lito</t>
        </is>
      </c>
      <c r="C1528" t="inlineStr">
        <is>
          <t>metros de sondaje; pct sobre metros</t>
        </is>
      </c>
      <c r="D1528" t="inlineStr">
        <is>
          <t>fase_plp_GM_FASES_LE2_Output</t>
        </is>
      </c>
      <c r="E1528" t="inlineStr">
        <is>
          <t>9BN</t>
        </is>
      </c>
      <c r="F1528" t="inlineStr">
        <is>
          <t>litologia_normalizada</t>
        </is>
      </c>
      <c r="G1528" t="inlineStr">
        <is>
          <t>sin asignar</t>
        </is>
      </c>
      <c r="H1528" t="inlineStr">
        <is>
          <t>sin asignar</t>
        </is>
      </c>
      <c r="I1528" t="inlineStr"/>
      <c r="J1528" t="inlineStr">
        <is>
          <t>suma de filas por código</t>
        </is>
      </c>
      <c r="K1528" t="inlineStr"/>
      <c r="L1528" t="inlineStr"/>
      <c r="M1528" t="n">
        <v>7320</v>
      </c>
      <c r="N1528" t="inlineStr"/>
      <c r="O1528" t="inlineStr"/>
      <c r="P1528" t="n">
        <v>8023.43</v>
      </c>
      <c r="Q1528" t="n">
        <v>47.574</v>
      </c>
    </row>
    <row r="1529">
      <c r="A1529" t="inlineStr">
        <is>
          <t>MR24</t>
        </is>
      </c>
      <c r="B1529" t="inlineStr">
        <is>
          <t>Merged_Table_Assay_lito</t>
        </is>
      </c>
      <c r="C1529" t="inlineStr">
        <is>
          <t>metros de sondaje; pct sobre metros</t>
        </is>
      </c>
      <c r="D1529" t="inlineStr">
        <is>
          <t>fase_plp_GM_FASES_LE2_Output</t>
        </is>
      </c>
      <c r="E1529" t="inlineStr">
        <is>
          <t>9BS</t>
        </is>
      </c>
      <c r="F1529" t="inlineStr">
        <is>
          <t>litologia_normalizada</t>
        </is>
      </c>
      <c r="G1529" t="inlineStr">
        <is>
          <t>Intrusivo</t>
        </is>
      </c>
      <c r="H1529" t="inlineStr">
        <is>
          <t>Intrusivo</t>
        </is>
      </c>
      <c r="I1529" t="inlineStr"/>
      <c r="J1529" t="inlineStr">
        <is>
          <t>suma de filas por código</t>
        </is>
      </c>
      <c r="K1529" t="inlineStr"/>
      <c r="L1529" t="inlineStr"/>
      <c r="M1529" t="n">
        <v>4387</v>
      </c>
      <c r="N1529" t="inlineStr"/>
      <c r="O1529" t="inlineStr"/>
      <c r="P1529" t="n">
        <v>6428.34</v>
      </c>
      <c r="Q1529" t="n">
        <v>45.218</v>
      </c>
    </row>
    <row r="1530">
      <c r="A1530" t="inlineStr">
        <is>
          <t>MR24</t>
        </is>
      </c>
      <c r="B1530" t="inlineStr">
        <is>
          <t>Merged_Table_Assay_lito</t>
        </is>
      </c>
      <c r="C1530" t="inlineStr">
        <is>
          <t>metros de sondaje; pct sobre metros</t>
        </is>
      </c>
      <c r="D1530" t="inlineStr">
        <is>
          <t>fase_plp_GM_FASES_LE2_Output</t>
        </is>
      </c>
      <c r="E1530" t="inlineStr">
        <is>
          <t>9BS</t>
        </is>
      </c>
      <c r="F1530" t="inlineStr">
        <is>
          <t>litologia_normalizada</t>
        </is>
      </c>
      <c r="G1530" t="inlineStr">
        <is>
          <t>sin asignar</t>
        </is>
      </c>
      <c r="H1530" t="inlineStr">
        <is>
          <t>sin asignar</t>
        </is>
      </c>
      <c r="I1530" t="inlineStr"/>
      <c r="J1530" t="inlineStr">
        <is>
          <t>suma de filas por código</t>
        </is>
      </c>
      <c r="K1530" t="inlineStr"/>
      <c r="L1530" t="inlineStr"/>
      <c r="M1530" t="n">
        <v>7229</v>
      </c>
      <c r="N1530" t="inlineStr"/>
      <c r="O1530" t="inlineStr"/>
      <c r="P1530" t="n">
        <v>7788.120000000001</v>
      </c>
      <c r="Q1530" t="n">
        <v>54.784</v>
      </c>
    </row>
    <row r="1531">
      <c r="A1531" t="inlineStr">
        <is>
          <t>MR24</t>
        </is>
      </c>
      <c r="B1531" t="inlineStr">
        <is>
          <t>Merged_Table_Assay_lito</t>
        </is>
      </c>
      <c r="C1531" t="inlineStr">
        <is>
          <t>metros de sondaje; pct sobre metros</t>
        </is>
      </c>
      <c r="D1531" t="inlineStr">
        <is>
          <t>fase_plp_GM_FASES_LE2_Output</t>
        </is>
      </c>
      <c r="E1531" t="inlineStr">
        <is>
          <t>9C</t>
        </is>
      </c>
      <c r="F1531" t="inlineStr">
        <is>
          <t>litologia_normalizada</t>
        </is>
      </c>
      <c r="G1531" t="inlineStr">
        <is>
          <t>Intrusivo</t>
        </is>
      </c>
      <c r="H1531" t="inlineStr">
        <is>
          <t>Intrusivo</t>
        </is>
      </c>
      <c r="I1531" t="inlineStr"/>
      <c r="J1531" t="inlineStr">
        <is>
          <t>suma de filas por código</t>
        </is>
      </c>
      <c r="K1531" t="inlineStr"/>
      <c r="L1531" t="inlineStr"/>
      <c r="M1531" t="n">
        <v>601</v>
      </c>
      <c r="N1531" t="inlineStr"/>
      <c r="O1531" t="inlineStr"/>
      <c r="P1531" t="n">
        <v>672.7</v>
      </c>
      <c r="Q1531" t="n">
        <v>28.488</v>
      </c>
    </row>
    <row r="1532">
      <c r="A1532" t="inlineStr">
        <is>
          <t>MR24</t>
        </is>
      </c>
      <c r="B1532" t="inlineStr">
        <is>
          <t>Merged_Table_Assay_lito</t>
        </is>
      </c>
      <c r="C1532" t="inlineStr">
        <is>
          <t>metros de sondaje; pct sobre metros</t>
        </is>
      </c>
      <c r="D1532" t="inlineStr">
        <is>
          <t>fase_plp_GM_FASES_LE2_Output</t>
        </is>
      </c>
      <c r="E1532" t="inlineStr">
        <is>
          <t>9C</t>
        </is>
      </c>
      <c r="F1532" t="inlineStr">
        <is>
          <t>litologia_normalizada</t>
        </is>
      </c>
      <c r="G1532" t="inlineStr">
        <is>
          <t>sin asignar</t>
        </is>
      </c>
      <c r="H1532" t="inlineStr">
        <is>
          <t>sin asignar</t>
        </is>
      </c>
      <c r="I1532" t="inlineStr"/>
      <c r="J1532" t="inlineStr">
        <is>
          <t>suma de filas por código</t>
        </is>
      </c>
      <c r="K1532" t="inlineStr"/>
      <c r="L1532" t="inlineStr"/>
      <c r="M1532" t="n">
        <v>1673</v>
      </c>
      <c r="N1532" t="inlineStr"/>
      <c r="O1532" t="inlineStr"/>
      <c r="P1532" t="n">
        <v>1688.61</v>
      </c>
      <c r="Q1532" t="n">
        <v>71.512</v>
      </c>
    </row>
    <row r="1533">
      <c r="A1533" t="inlineStr">
        <is>
          <t>MR24</t>
        </is>
      </c>
      <c r="B1533" t="inlineStr">
        <is>
          <t>Merged_Table_Assay_lito</t>
        </is>
      </c>
      <c r="C1533" t="inlineStr">
        <is>
          <t>metros de sondaje; pct sobre metros</t>
        </is>
      </c>
      <c r="D1533" t="inlineStr">
        <is>
          <t>fase_plp_GM_FASES_LE2_Output</t>
        </is>
      </c>
      <c r="E1533" t="inlineStr">
        <is>
          <t>OTROS</t>
        </is>
      </c>
      <c r="F1533" t="inlineStr">
        <is>
          <t>litologia_normalizada</t>
        </is>
      </c>
      <c r="G1533" t="inlineStr">
        <is>
          <t>Intrusivo</t>
        </is>
      </c>
      <c r="H1533" t="inlineStr">
        <is>
          <t>Intrusivo</t>
        </is>
      </c>
      <c r="I1533" t="inlineStr"/>
      <c r="J1533" t="inlineStr">
        <is>
          <t>suma de filas por código</t>
        </is>
      </c>
      <c r="K1533" t="inlineStr"/>
      <c r="L1533" t="inlineStr"/>
      <c r="M1533" t="n">
        <v>134</v>
      </c>
      <c r="N1533" t="inlineStr"/>
      <c r="O1533" t="inlineStr"/>
      <c r="P1533" t="n">
        <v>144.7</v>
      </c>
      <c r="Q1533" t="n">
        <v>34.668</v>
      </c>
    </row>
    <row r="1534">
      <c r="A1534" t="inlineStr">
        <is>
          <t>MR24</t>
        </is>
      </c>
      <c r="B1534" t="inlineStr">
        <is>
          <t>Merged_Table_Assay_lito</t>
        </is>
      </c>
      <c r="C1534" t="inlineStr">
        <is>
          <t>metros de sondaje; pct sobre metros</t>
        </is>
      </c>
      <c r="D1534" t="inlineStr">
        <is>
          <t>fase_plp_GM_FASES_LE2_Output</t>
        </is>
      </c>
      <c r="E1534" t="inlineStr">
        <is>
          <t>OTROS</t>
        </is>
      </c>
      <c r="F1534" t="inlineStr">
        <is>
          <t>litologia_normalizada</t>
        </is>
      </c>
      <c r="G1534" t="inlineStr">
        <is>
          <t>sin asignar</t>
        </is>
      </c>
      <c r="H1534" t="inlineStr">
        <is>
          <t>sin asignar</t>
        </is>
      </c>
      <c r="I1534" t="inlineStr"/>
      <c r="J1534" t="inlineStr">
        <is>
          <t>suma de filas por código</t>
        </is>
      </c>
      <c r="K1534" t="inlineStr"/>
      <c r="L1534" t="inlineStr"/>
      <c r="M1534" t="n">
        <v>271</v>
      </c>
      <c r="N1534" t="inlineStr"/>
      <c r="O1534" t="inlineStr"/>
      <c r="P1534" t="n">
        <v>272.7</v>
      </c>
      <c r="Q1534" t="n">
        <v>65.333</v>
      </c>
    </row>
    <row r="1535">
      <c r="A1535" t="inlineStr">
        <is>
          <t>MR24</t>
        </is>
      </c>
      <c r="B1535" t="inlineStr">
        <is>
          <t>Merged_Table_Assay_lito</t>
        </is>
      </c>
      <c r="C1535" t="inlineStr">
        <is>
          <t>metros de sondaje; pct sobre metros</t>
        </is>
      </c>
      <c r="D1535" t="inlineStr">
        <is>
          <t>periodo_GM_LE2WASTE_Output</t>
        </is>
      </c>
      <c r="E1535" t="inlineStr">
        <is>
          <t>2025</t>
        </is>
      </c>
      <c r="F1535" t="inlineStr">
        <is>
          <t>litologia_normalizada</t>
        </is>
      </c>
      <c r="G1535" t="inlineStr">
        <is>
          <t>Intrusivo</t>
        </is>
      </c>
      <c r="H1535" t="inlineStr">
        <is>
          <t>Intrusivo</t>
        </is>
      </c>
      <c r="I1535" t="inlineStr"/>
      <c r="J1535" t="inlineStr">
        <is>
          <t>suma de filas por código</t>
        </is>
      </c>
      <c r="K1535" t="inlineStr"/>
      <c r="L1535" t="inlineStr"/>
      <c r="M1535" t="n">
        <v>3006</v>
      </c>
      <c r="N1535" t="inlineStr"/>
      <c r="O1535" t="inlineStr"/>
      <c r="P1535" t="n">
        <v>4062.35</v>
      </c>
      <c r="Q1535" t="n">
        <v>22.875</v>
      </c>
    </row>
    <row r="1536">
      <c r="A1536" t="inlineStr">
        <is>
          <t>MR24</t>
        </is>
      </c>
      <c r="B1536" t="inlineStr">
        <is>
          <t>Merged_Table_Assay_lito</t>
        </is>
      </c>
      <c r="C1536" t="inlineStr">
        <is>
          <t>metros de sondaje; pct sobre metros</t>
        </is>
      </c>
      <c r="D1536" t="inlineStr">
        <is>
          <t>periodo_GM_LE2WASTE_Output</t>
        </is>
      </c>
      <c r="E1536" t="inlineStr">
        <is>
          <t>2025</t>
        </is>
      </c>
      <c r="F1536" t="inlineStr">
        <is>
          <t>litologia_normalizada</t>
        </is>
      </c>
      <c r="G1536" t="inlineStr">
        <is>
          <t>sin asignar</t>
        </is>
      </c>
      <c r="H1536" t="inlineStr">
        <is>
          <t>sin asignar</t>
        </is>
      </c>
      <c r="I1536" t="inlineStr"/>
      <c r="J1536" t="inlineStr">
        <is>
          <t>suma de filas por código</t>
        </is>
      </c>
      <c r="K1536" t="inlineStr"/>
      <c r="L1536" t="inlineStr"/>
      <c r="M1536" t="n">
        <v>13078</v>
      </c>
      <c r="N1536" t="inlineStr"/>
      <c r="O1536" t="inlineStr"/>
      <c r="P1536" t="n">
        <v>13695.96</v>
      </c>
      <c r="Q1536" t="n">
        <v>77.125</v>
      </c>
    </row>
    <row r="1537">
      <c r="A1537" t="inlineStr">
        <is>
          <t>MR24</t>
        </is>
      </c>
      <c r="B1537" t="inlineStr">
        <is>
          <t>Merged_Table_Assay_lito</t>
        </is>
      </c>
      <c r="C1537" t="inlineStr">
        <is>
          <t>metros de sondaje; pct sobre metros</t>
        </is>
      </c>
      <c r="D1537" t="inlineStr">
        <is>
          <t>periodo_GM_LE2WASTE_Output</t>
        </is>
      </c>
      <c r="E1537" t="inlineStr">
        <is>
          <t>2026</t>
        </is>
      </c>
      <c r="F1537" t="inlineStr">
        <is>
          <t>litologia_normalizada</t>
        </is>
      </c>
      <c r="G1537" t="inlineStr">
        <is>
          <t>Intrusivo</t>
        </is>
      </c>
      <c r="H1537" t="inlineStr">
        <is>
          <t>Intrusivo</t>
        </is>
      </c>
      <c r="I1537" t="inlineStr"/>
      <c r="J1537" t="inlineStr">
        <is>
          <t>suma de filas por código</t>
        </is>
      </c>
      <c r="K1537" t="inlineStr"/>
      <c r="L1537" t="inlineStr"/>
      <c r="M1537" t="n">
        <v>3635</v>
      </c>
      <c r="N1537" t="inlineStr"/>
      <c r="O1537" t="inlineStr"/>
      <c r="P1537" t="n">
        <v>5233.8</v>
      </c>
      <c r="Q1537" t="n">
        <v>29.898</v>
      </c>
    </row>
    <row r="1538">
      <c r="A1538" t="inlineStr">
        <is>
          <t>MR24</t>
        </is>
      </c>
      <c r="B1538" t="inlineStr">
        <is>
          <t>Merged_Table_Assay_lito</t>
        </is>
      </c>
      <c r="C1538" t="inlineStr">
        <is>
          <t>metros de sondaje; pct sobre metros</t>
        </is>
      </c>
      <c r="D1538" t="inlineStr">
        <is>
          <t>periodo_GM_LE2WASTE_Output</t>
        </is>
      </c>
      <c r="E1538" t="inlineStr">
        <is>
          <t>2026</t>
        </is>
      </c>
      <c r="F1538" t="inlineStr">
        <is>
          <t>litologia_normalizada</t>
        </is>
      </c>
      <c r="G1538" t="inlineStr">
        <is>
          <t>sin asignar</t>
        </is>
      </c>
      <c r="H1538" t="inlineStr">
        <is>
          <t>sin asignar</t>
        </is>
      </c>
      <c r="I1538" t="inlineStr"/>
      <c r="J1538" t="inlineStr">
        <is>
          <t>suma de filas por código</t>
        </is>
      </c>
      <c r="K1538" t="inlineStr"/>
      <c r="L1538" t="inlineStr"/>
      <c r="M1538" t="n">
        <v>11687</v>
      </c>
      <c r="N1538" t="inlineStr"/>
      <c r="O1538" t="inlineStr"/>
      <c r="P1538" t="n">
        <v>12271.88</v>
      </c>
      <c r="Q1538" t="n">
        <v>70.102</v>
      </c>
    </row>
    <row r="1539">
      <c r="A1539" t="inlineStr">
        <is>
          <t>MR24</t>
        </is>
      </c>
      <c r="B1539" t="inlineStr">
        <is>
          <t>Merged_Table_Assay_lito</t>
        </is>
      </c>
      <c r="C1539" t="inlineStr">
        <is>
          <t>metros de sondaje; pct sobre metros</t>
        </is>
      </c>
      <c r="D1539" t="inlineStr">
        <is>
          <t>periodo_GM_LE2WASTE_Output</t>
        </is>
      </c>
      <c r="E1539" t="inlineStr">
        <is>
          <t>2027</t>
        </is>
      </c>
      <c r="F1539" t="inlineStr">
        <is>
          <t>litologia_normalizada</t>
        </is>
      </c>
      <c r="G1539" t="inlineStr">
        <is>
          <t>Intrusivo</t>
        </is>
      </c>
      <c r="H1539" t="inlineStr">
        <is>
          <t>Intrusivo</t>
        </is>
      </c>
      <c r="I1539" t="inlineStr"/>
      <c r="J1539" t="inlineStr">
        <is>
          <t>suma de filas por código</t>
        </is>
      </c>
      <c r="K1539" t="inlineStr"/>
      <c r="L1539" t="inlineStr"/>
      <c r="M1539" t="n">
        <v>3786</v>
      </c>
      <c r="N1539" t="inlineStr"/>
      <c r="O1539" t="inlineStr"/>
      <c r="P1539" t="n">
        <v>5383.05</v>
      </c>
      <c r="Q1539" t="n">
        <v>33.514</v>
      </c>
    </row>
    <row r="1540">
      <c r="A1540" t="inlineStr">
        <is>
          <t>MR24</t>
        </is>
      </c>
      <c r="B1540" t="inlineStr">
        <is>
          <t>Merged_Table_Assay_lito</t>
        </is>
      </c>
      <c r="C1540" t="inlineStr">
        <is>
          <t>metros de sondaje; pct sobre metros</t>
        </is>
      </c>
      <c r="D1540" t="inlineStr">
        <is>
          <t>periodo_GM_LE2WASTE_Output</t>
        </is>
      </c>
      <c r="E1540" t="inlineStr">
        <is>
          <t>2027</t>
        </is>
      </c>
      <c r="F1540" t="inlineStr">
        <is>
          <t>litologia_normalizada</t>
        </is>
      </c>
      <c r="G1540" t="inlineStr">
        <is>
          <t>sin asignar</t>
        </is>
      </c>
      <c r="H1540" t="inlineStr">
        <is>
          <t>sin asignar</t>
        </is>
      </c>
      <c r="I1540" t="inlineStr"/>
      <c r="J1540" t="inlineStr">
        <is>
          <t>suma de filas por código</t>
        </is>
      </c>
      <c r="K1540" t="inlineStr"/>
      <c r="L1540" t="inlineStr"/>
      <c r="M1540" t="n">
        <v>10295</v>
      </c>
      <c r="N1540" t="inlineStr"/>
      <c r="O1540" t="inlineStr"/>
      <c r="P1540" t="n">
        <v>10678.68</v>
      </c>
      <c r="Q1540" t="n">
        <v>66.486</v>
      </c>
    </row>
    <row r="1541">
      <c r="A1541" t="inlineStr">
        <is>
          <t>MR24</t>
        </is>
      </c>
      <c r="B1541" t="inlineStr">
        <is>
          <t>Merged_Table_Assay_lito</t>
        </is>
      </c>
      <c r="C1541" t="inlineStr">
        <is>
          <t>metros de sondaje; pct sobre metros</t>
        </is>
      </c>
      <c r="D1541" t="inlineStr">
        <is>
          <t>periodo_GM_LE2WASTE_Output</t>
        </is>
      </c>
      <c r="E1541" t="inlineStr">
        <is>
          <t>2028</t>
        </is>
      </c>
      <c r="F1541" t="inlineStr">
        <is>
          <t>litologia_normalizada</t>
        </is>
      </c>
      <c r="G1541" t="inlineStr">
        <is>
          <t>Intrusivo</t>
        </is>
      </c>
      <c r="H1541" t="inlineStr">
        <is>
          <t>Intrusivo</t>
        </is>
      </c>
      <c r="I1541" t="inlineStr"/>
      <c r="J1541" t="inlineStr">
        <is>
          <t>suma de filas por código</t>
        </is>
      </c>
      <c r="K1541" t="inlineStr"/>
      <c r="L1541" t="inlineStr"/>
      <c r="M1541" t="n">
        <v>3622</v>
      </c>
      <c r="N1541" t="inlineStr"/>
      <c r="O1541" t="inlineStr"/>
      <c r="P1541" t="n">
        <v>5268.48</v>
      </c>
      <c r="Q1541" t="n">
        <v>25.437</v>
      </c>
    </row>
    <row r="1542">
      <c r="A1542" t="inlineStr">
        <is>
          <t>MR24</t>
        </is>
      </c>
      <c r="B1542" t="inlineStr">
        <is>
          <t>Merged_Table_Assay_lito</t>
        </is>
      </c>
      <c r="C1542" t="inlineStr">
        <is>
          <t>metros de sondaje; pct sobre metros</t>
        </is>
      </c>
      <c r="D1542" t="inlineStr">
        <is>
          <t>periodo_GM_LE2WASTE_Output</t>
        </is>
      </c>
      <c r="E1542" t="inlineStr">
        <is>
          <t>2028</t>
        </is>
      </c>
      <c r="F1542" t="inlineStr">
        <is>
          <t>litologia_normalizada</t>
        </is>
      </c>
      <c r="G1542" t="inlineStr">
        <is>
          <t>sin asignar</t>
        </is>
      </c>
      <c r="H1542" t="inlineStr">
        <is>
          <t>sin asignar</t>
        </is>
      </c>
      <c r="I1542" t="inlineStr"/>
      <c r="J1542" t="inlineStr">
        <is>
          <t>suma de filas por código</t>
        </is>
      </c>
      <c r="K1542" t="inlineStr"/>
      <c r="L1542" t="inlineStr"/>
      <c r="M1542" t="n">
        <v>15930</v>
      </c>
      <c r="N1542" t="inlineStr"/>
      <c r="O1542" t="inlineStr"/>
      <c r="P1542" t="n">
        <v>15443.73</v>
      </c>
      <c r="Q1542" t="n">
        <v>74.562</v>
      </c>
    </row>
    <row r="1543">
      <c r="A1543" t="inlineStr">
        <is>
          <t>MR24</t>
        </is>
      </c>
      <c r="B1543" t="inlineStr">
        <is>
          <t>Merged_Table_Assay_lito</t>
        </is>
      </c>
      <c r="C1543" t="inlineStr">
        <is>
          <t>metros de sondaje; pct sobre metros</t>
        </is>
      </c>
      <c r="D1543" t="inlineStr">
        <is>
          <t>periodo_GM_LE2WASTE_Output</t>
        </is>
      </c>
      <c r="E1543" t="inlineStr">
        <is>
          <t>2029</t>
        </is>
      </c>
      <c r="F1543" t="inlineStr">
        <is>
          <t>litologia_normalizada</t>
        </is>
      </c>
      <c r="G1543" t="inlineStr">
        <is>
          <t>Intrusivo</t>
        </is>
      </c>
      <c r="H1543" t="inlineStr">
        <is>
          <t>Intrusivo</t>
        </is>
      </c>
      <c r="I1543" t="inlineStr"/>
      <c r="J1543" t="inlineStr">
        <is>
          <t>suma de filas por código</t>
        </is>
      </c>
      <c r="K1543" t="inlineStr"/>
      <c r="L1543" t="inlineStr"/>
      <c r="M1543" t="n">
        <v>5339</v>
      </c>
      <c r="N1543" t="inlineStr"/>
      <c r="O1543" t="inlineStr"/>
      <c r="P1543" t="n">
        <v>7639.06</v>
      </c>
      <c r="Q1543" t="n">
        <v>35.829</v>
      </c>
    </row>
    <row r="1544">
      <c r="A1544" t="inlineStr">
        <is>
          <t>MR24</t>
        </is>
      </c>
      <c r="B1544" t="inlineStr">
        <is>
          <t>Merged_Table_Assay_lito</t>
        </is>
      </c>
      <c r="C1544" t="inlineStr">
        <is>
          <t>metros de sondaje; pct sobre metros</t>
        </is>
      </c>
      <c r="D1544" t="inlineStr">
        <is>
          <t>periodo_GM_LE2WASTE_Output</t>
        </is>
      </c>
      <c r="E1544" t="inlineStr">
        <is>
          <t>2029</t>
        </is>
      </c>
      <c r="F1544" t="inlineStr">
        <is>
          <t>litologia_normalizada</t>
        </is>
      </c>
      <c r="G1544" t="inlineStr">
        <is>
          <t>sin asignar</t>
        </is>
      </c>
      <c r="H1544" t="inlineStr">
        <is>
          <t>sin asignar</t>
        </is>
      </c>
      <c r="I1544" t="inlineStr"/>
      <c r="J1544" t="inlineStr">
        <is>
          <t>suma de filas por código</t>
        </is>
      </c>
      <c r="K1544" t="inlineStr"/>
      <c r="L1544" t="inlineStr"/>
      <c r="M1544" t="n">
        <v>13933</v>
      </c>
      <c r="N1544" t="inlineStr"/>
      <c r="O1544" t="inlineStr"/>
      <c r="P1544" t="n">
        <v>13681.95</v>
      </c>
      <c r="Q1544" t="n">
        <v>64.17</v>
      </c>
    </row>
    <row r="1545">
      <c r="A1545" t="inlineStr">
        <is>
          <t>MR24</t>
        </is>
      </c>
      <c r="B1545" t="inlineStr">
        <is>
          <t>Merged_Table_Assay_lito</t>
        </is>
      </c>
      <c r="C1545" t="inlineStr">
        <is>
          <t>metros de sondaje; pct sobre metros</t>
        </is>
      </c>
      <c r="D1545" t="inlineStr">
        <is>
          <t>periodo_GM_LE2WASTE_Output</t>
        </is>
      </c>
      <c r="E1545" t="inlineStr">
        <is>
          <t>2030</t>
        </is>
      </c>
      <c r="F1545" t="inlineStr">
        <is>
          <t>litologia_normalizada</t>
        </is>
      </c>
      <c r="G1545" t="inlineStr">
        <is>
          <t>Intrusivo</t>
        </is>
      </c>
      <c r="H1545" t="inlineStr">
        <is>
          <t>Intrusivo</t>
        </is>
      </c>
      <c r="I1545" t="inlineStr"/>
      <c r="J1545" t="inlineStr">
        <is>
          <t>suma de filas por código</t>
        </is>
      </c>
      <c r="K1545" t="inlineStr"/>
      <c r="L1545" t="inlineStr"/>
      <c r="M1545" t="n">
        <v>4439</v>
      </c>
      <c r="N1545" t="inlineStr"/>
      <c r="O1545" t="inlineStr"/>
      <c r="P1545" t="n">
        <v>6205.79</v>
      </c>
      <c r="Q1545" t="n">
        <v>20.158</v>
      </c>
    </row>
    <row r="1546">
      <c r="A1546" t="inlineStr">
        <is>
          <t>MR24</t>
        </is>
      </c>
      <c r="B1546" t="inlineStr">
        <is>
          <t>Merged_Table_Assay_lito</t>
        </is>
      </c>
      <c r="C1546" t="inlineStr">
        <is>
          <t>metros de sondaje; pct sobre metros</t>
        </is>
      </c>
      <c r="D1546" t="inlineStr">
        <is>
          <t>periodo_GM_LE2WASTE_Output</t>
        </is>
      </c>
      <c r="E1546" t="inlineStr">
        <is>
          <t>2030</t>
        </is>
      </c>
      <c r="F1546" t="inlineStr">
        <is>
          <t>litologia_normalizada</t>
        </is>
      </c>
      <c r="G1546" t="inlineStr">
        <is>
          <t>sin asignar</t>
        </is>
      </c>
      <c r="H1546" t="inlineStr">
        <is>
          <t>sin asignar</t>
        </is>
      </c>
      <c r="I1546" t="inlineStr"/>
      <c r="J1546" t="inlineStr">
        <is>
          <t>suma de filas por código</t>
        </is>
      </c>
      <c r="K1546" t="inlineStr"/>
      <c r="L1546" t="inlineStr"/>
      <c r="M1546" t="n">
        <v>27909</v>
      </c>
      <c r="N1546" t="inlineStr"/>
      <c r="O1546" t="inlineStr"/>
      <c r="P1546" t="n">
        <v>24579.45</v>
      </c>
      <c r="Q1546" t="n">
        <v>79.84099999999999</v>
      </c>
    </row>
    <row r="1547">
      <c r="A1547" t="inlineStr">
        <is>
          <t>MR24</t>
        </is>
      </c>
      <c r="B1547" t="inlineStr">
        <is>
          <t>Merged_Table_Assay_lito</t>
        </is>
      </c>
      <c r="C1547" t="inlineStr">
        <is>
          <t>metros de sondaje; pct sobre metros</t>
        </is>
      </c>
      <c r="D1547" t="inlineStr">
        <is>
          <t>periodo_GM_LE2WASTE_Output</t>
        </is>
      </c>
      <c r="E1547" t="inlineStr">
        <is>
          <t>2031</t>
        </is>
      </c>
      <c r="F1547" t="inlineStr">
        <is>
          <t>litologia_normalizada</t>
        </is>
      </c>
      <c r="G1547" t="inlineStr">
        <is>
          <t>Intrusivo</t>
        </is>
      </c>
      <c r="H1547" t="inlineStr">
        <is>
          <t>Intrusivo</t>
        </is>
      </c>
      <c r="I1547" t="inlineStr"/>
      <c r="J1547" t="inlineStr">
        <is>
          <t>suma de filas por código</t>
        </is>
      </c>
      <c r="K1547" t="inlineStr"/>
      <c r="L1547" t="inlineStr"/>
      <c r="M1547" t="n">
        <v>4646</v>
      </c>
      <c r="N1547" t="inlineStr"/>
      <c r="O1547" t="inlineStr"/>
      <c r="P1547" t="n">
        <v>5526.81</v>
      </c>
      <c r="Q1547" t="n">
        <v>24.786</v>
      </c>
    </row>
    <row r="1548">
      <c r="A1548" t="inlineStr">
        <is>
          <t>MR24</t>
        </is>
      </c>
      <c r="B1548" t="inlineStr">
        <is>
          <t>Merged_Table_Assay_lito</t>
        </is>
      </c>
      <c r="C1548" t="inlineStr">
        <is>
          <t>metros de sondaje; pct sobre metros</t>
        </is>
      </c>
      <c r="D1548" t="inlineStr">
        <is>
          <t>periodo_GM_LE2WASTE_Output</t>
        </is>
      </c>
      <c r="E1548" t="inlineStr">
        <is>
          <t>2031</t>
        </is>
      </c>
      <c r="F1548" t="inlineStr">
        <is>
          <t>litologia_normalizada</t>
        </is>
      </c>
      <c r="G1548" t="inlineStr">
        <is>
          <t>sin asignar</t>
        </is>
      </c>
      <c r="H1548" t="inlineStr">
        <is>
          <t>sin asignar</t>
        </is>
      </c>
      <c r="I1548" t="inlineStr"/>
      <c r="J1548" t="inlineStr">
        <is>
          <t>suma de filas por código</t>
        </is>
      </c>
      <c r="K1548" t="inlineStr"/>
      <c r="L1548" t="inlineStr"/>
      <c r="M1548" t="n">
        <v>19590</v>
      </c>
      <c r="N1548" t="inlineStr"/>
      <c r="O1548" t="inlineStr"/>
      <c r="P1548" t="n">
        <v>16772.85</v>
      </c>
      <c r="Q1548" t="n">
        <v>75.21599999999999</v>
      </c>
    </row>
    <row r="1549">
      <c r="A1549" t="inlineStr">
        <is>
          <t>MR24</t>
        </is>
      </c>
      <c r="B1549" t="inlineStr">
        <is>
          <t>Merged_Table_Assay_lito</t>
        </is>
      </c>
      <c r="C1549" t="inlineStr">
        <is>
          <t>metros de sondaje; pct sobre metros</t>
        </is>
      </c>
      <c r="D1549" t="inlineStr">
        <is>
          <t>periodo_GM_LE2WASTE_Output</t>
        </is>
      </c>
      <c r="E1549" t="inlineStr">
        <is>
          <t>2032</t>
        </is>
      </c>
      <c r="F1549" t="inlineStr">
        <is>
          <t>litologia_normalizada</t>
        </is>
      </c>
      <c r="G1549" t="inlineStr">
        <is>
          <t>Intrusivo</t>
        </is>
      </c>
      <c r="H1549" t="inlineStr">
        <is>
          <t>Intrusivo</t>
        </is>
      </c>
      <c r="I1549" t="inlineStr"/>
      <c r="J1549" t="inlineStr">
        <is>
          <t>suma de filas por código</t>
        </is>
      </c>
      <c r="K1549" t="inlineStr"/>
      <c r="L1549" t="inlineStr"/>
      <c r="M1549" t="n">
        <v>7914</v>
      </c>
      <c r="N1549" t="inlineStr"/>
      <c r="O1549" t="inlineStr"/>
      <c r="P1549" t="n">
        <v>8511.93</v>
      </c>
      <c r="Q1549" t="n">
        <v>44.547</v>
      </c>
    </row>
    <row r="1550">
      <c r="A1550" t="inlineStr">
        <is>
          <t>MR24</t>
        </is>
      </c>
      <c r="B1550" t="inlineStr">
        <is>
          <t>Merged_Table_Assay_lito</t>
        </is>
      </c>
      <c r="C1550" t="inlineStr">
        <is>
          <t>metros de sondaje; pct sobre metros</t>
        </is>
      </c>
      <c r="D1550" t="inlineStr">
        <is>
          <t>periodo_GM_LE2WASTE_Output</t>
        </is>
      </c>
      <c r="E1550" t="inlineStr">
        <is>
          <t>2032</t>
        </is>
      </c>
      <c r="F1550" t="inlineStr">
        <is>
          <t>litologia_normalizada</t>
        </is>
      </c>
      <c r="G1550" t="inlineStr">
        <is>
          <t>sin asignar</t>
        </is>
      </c>
      <c r="H1550" t="inlineStr">
        <is>
          <t>sin asignar</t>
        </is>
      </c>
      <c r="I1550" t="inlineStr"/>
      <c r="J1550" t="inlineStr">
        <is>
          <t>suma de filas por código</t>
        </is>
      </c>
      <c r="K1550" t="inlineStr"/>
      <c r="L1550" t="inlineStr"/>
      <c r="M1550" t="n">
        <v>11962</v>
      </c>
      <c r="N1550" t="inlineStr"/>
      <c r="O1550" t="inlineStr"/>
      <c r="P1550" t="n">
        <v>10595.83</v>
      </c>
      <c r="Q1550" t="n">
        <v>55.454</v>
      </c>
    </row>
    <row r="1551">
      <c r="A1551" t="inlineStr">
        <is>
          <t>MR24</t>
        </is>
      </c>
      <c r="B1551" t="inlineStr">
        <is>
          <t>Merged_Table_Assay_lito</t>
        </is>
      </c>
      <c r="C1551" t="inlineStr">
        <is>
          <t>metros de sondaje; pct sobre metros</t>
        </is>
      </c>
      <c r="D1551" t="inlineStr">
        <is>
          <t>periodo_GM_LE2WASTE_Output</t>
        </is>
      </c>
      <c r="E1551" t="inlineStr">
        <is>
          <t>2033</t>
        </is>
      </c>
      <c r="F1551" t="inlineStr">
        <is>
          <t>litologia_normalizada</t>
        </is>
      </c>
      <c r="G1551" t="inlineStr">
        <is>
          <t>Intrusivo</t>
        </is>
      </c>
      <c r="H1551" t="inlineStr">
        <is>
          <t>Intrusivo</t>
        </is>
      </c>
      <c r="I1551" t="inlineStr"/>
      <c r="J1551" t="inlineStr">
        <is>
          <t>suma de filas por código</t>
        </is>
      </c>
      <c r="K1551" t="inlineStr"/>
      <c r="L1551" t="inlineStr"/>
      <c r="M1551" t="n">
        <v>2785</v>
      </c>
      <c r="N1551" t="inlineStr"/>
      <c r="O1551" t="inlineStr"/>
      <c r="P1551" t="n">
        <v>3408.5</v>
      </c>
      <c r="Q1551" t="n">
        <v>28.443</v>
      </c>
    </row>
    <row r="1552">
      <c r="A1552" t="inlineStr">
        <is>
          <t>MR24</t>
        </is>
      </c>
      <c r="B1552" t="inlineStr">
        <is>
          <t>Merged_Table_Assay_lito</t>
        </is>
      </c>
      <c r="C1552" t="inlineStr">
        <is>
          <t>metros de sondaje; pct sobre metros</t>
        </is>
      </c>
      <c r="D1552" t="inlineStr">
        <is>
          <t>periodo_GM_LE2WASTE_Output</t>
        </is>
      </c>
      <c r="E1552" t="inlineStr">
        <is>
          <t>2033</t>
        </is>
      </c>
      <c r="F1552" t="inlineStr">
        <is>
          <t>litologia_normalizada</t>
        </is>
      </c>
      <c r="G1552" t="inlineStr">
        <is>
          <t>sin asignar</t>
        </is>
      </c>
      <c r="H1552" t="inlineStr">
        <is>
          <t>sin asignar</t>
        </is>
      </c>
      <c r="I1552" t="inlineStr"/>
      <c r="J1552" t="inlineStr">
        <is>
          <t>suma de filas por código</t>
        </is>
      </c>
      <c r="K1552" t="inlineStr"/>
      <c r="L1552" t="inlineStr"/>
      <c r="M1552" t="n">
        <v>8067</v>
      </c>
      <c r="N1552" t="inlineStr"/>
      <c r="O1552" t="inlineStr"/>
      <c r="P1552" t="n">
        <v>8575.09</v>
      </c>
      <c r="Q1552" t="n">
        <v>71.55500000000001</v>
      </c>
    </row>
    <row r="1553">
      <c r="A1553" t="inlineStr">
        <is>
          <t>MR24</t>
        </is>
      </c>
      <c r="B1553" t="inlineStr">
        <is>
          <t>Merged_Table_Assay_lito</t>
        </is>
      </c>
      <c r="C1553" t="inlineStr">
        <is>
          <t>metros de sondaje; pct sobre metros</t>
        </is>
      </c>
      <c r="D1553" t="inlineStr">
        <is>
          <t>periodo_GM_LE2WASTE_Output</t>
        </is>
      </c>
      <c r="E1553" t="inlineStr">
        <is>
          <t>2034</t>
        </is>
      </c>
      <c r="F1553" t="inlineStr">
        <is>
          <t>litologia_normalizada</t>
        </is>
      </c>
      <c r="G1553" t="inlineStr">
        <is>
          <t>Intrusivo</t>
        </is>
      </c>
      <c r="H1553" t="inlineStr">
        <is>
          <t>Intrusivo</t>
        </is>
      </c>
      <c r="I1553" t="inlineStr"/>
      <c r="J1553" t="inlineStr">
        <is>
          <t>suma de filas por código</t>
        </is>
      </c>
      <c r="K1553" t="inlineStr"/>
      <c r="L1553" t="inlineStr"/>
      <c r="M1553" t="n">
        <v>1416</v>
      </c>
      <c r="N1553" t="inlineStr"/>
      <c r="O1553" t="inlineStr"/>
      <c r="P1553" t="n">
        <v>1782.2</v>
      </c>
      <c r="Q1553" t="n">
        <v>21.778</v>
      </c>
    </row>
    <row r="1554">
      <c r="A1554" t="inlineStr">
        <is>
          <t>MR24</t>
        </is>
      </c>
      <c r="B1554" t="inlineStr">
        <is>
          <t>Merged_Table_Assay_lito</t>
        </is>
      </c>
      <c r="C1554" t="inlineStr">
        <is>
          <t>metros de sondaje; pct sobre metros</t>
        </is>
      </c>
      <c r="D1554" t="inlineStr">
        <is>
          <t>periodo_GM_LE2WASTE_Output</t>
        </is>
      </c>
      <c r="E1554" t="inlineStr">
        <is>
          <t>2034</t>
        </is>
      </c>
      <c r="F1554" t="inlineStr">
        <is>
          <t>litologia_normalizada</t>
        </is>
      </c>
      <c r="G1554" t="inlineStr">
        <is>
          <t>sin asignar</t>
        </is>
      </c>
      <c r="H1554" t="inlineStr">
        <is>
          <t>sin asignar</t>
        </is>
      </c>
      <c r="I1554" t="inlineStr"/>
      <c r="J1554" t="inlineStr">
        <is>
          <t>suma de filas por código</t>
        </is>
      </c>
      <c r="K1554" t="inlineStr"/>
      <c r="L1554" t="inlineStr"/>
      <c r="M1554" t="n">
        <v>6407</v>
      </c>
      <c r="N1554" t="inlineStr"/>
      <c r="O1554" t="inlineStr"/>
      <c r="P1554" t="n">
        <v>6401.139999999999</v>
      </c>
      <c r="Q1554" t="n">
        <v>78.221</v>
      </c>
    </row>
    <row r="1555">
      <c r="A1555" t="inlineStr">
        <is>
          <t>MR24</t>
        </is>
      </c>
      <c r="B1555" t="inlineStr">
        <is>
          <t>Merged_Table_Assay_lito</t>
        </is>
      </c>
      <c r="C1555" t="inlineStr">
        <is>
          <t>metros de sondaje; pct sobre metros</t>
        </is>
      </c>
      <c r="D1555" t="inlineStr">
        <is>
          <t>periodo_GM_LE2WASTE_Output</t>
        </is>
      </c>
      <c r="E1555" t="inlineStr">
        <is>
          <t>2035</t>
        </is>
      </c>
      <c r="F1555" t="inlineStr">
        <is>
          <t>litologia_normalizada</t>
        </is>
      </c>
      <c r="G1555" t="inlineStr">
        <is>
          <t>Intrusivo</t>
        </is>
      </c>
      <c r="H1555" t="inlineStr">
        <is>
          <t>Intrusivo</t>
        </is>
      </c>
      <c r="I1555" t="inlineStr"/>
      <c r="J1555" t="inlineStr">
        <is>
          <t>suma de filas por código</t>
        </is>
      </c>
      <c r="K1555" t="inlineStr"/>
      <c r="L1555" t="inlineStr"/>
      <c r="M1555" t="n">
        <v>3212</v>
      </c>
      <c r="N1555" t="inlineStr"/>
      <c r="O1555" t="inlineStr"/>
      <c r="P1555" t="n">
        <v>3708.13</v>
      </c>
      <c r="Q1555" t="n">
        <v>52.708</v>
      </c>
    </row>
    <row r="1556">
      <c r="A1556" t="inlineStr">
        <is>
          <t>MR24</t>
        </is>
      </c>
      <c r="B1556" t="inlineStr">
        <is>
          <t>Merged_Table_Assay_lito</t>
        </is>
      </c>
      <c r="C1556" t="inlineStr">
        <is>
          <t>metros de sondaje; pct sobre metros</t>
        </is>
      </c>
      <c r="D1556" t="inlineStr">
        <is>
          <t>periodo_GM_LE2WASTE_Output</t>
        </is>
      </c>
      <c r="E1556" t="inlineStr">
        <is>
          <t>2035</t>
        </is>
      </c>
      <c r="F1556" t="inlineStr">
        <is>
          <t>litologia_normalizada</t>
        </is>
      </c>
      <c r="G1556" t="inlineStr">
        <is>
          <t>sin asignar</t>
        </is>
      </c>
      <c r="H1556" t="inlineStr">
        <is>
          <t>sin asignar</t>
        </is>
      </c>
      <c r="I1556" t="inlineStr"/>
      <c r="J1556" t="inlineStr">
        <is>
          <t>suma de filas por código</t>
        </is>
      </c>
      <c r="K1556" t="inlineStr"/>
      <c r="L1556" t="inlineStr"/>
      <c r="M1556" t="n">
        <v>3017</v>
      </c>
      <c r="N1556" t="inlineStr"/>
      <c r="O1556" t="inlineStr"/>
      <c r="P1556" t="n">
        <v>3327.15</v>
      </c>
      <c r="Q1556" t="n">
        <v>47.293</v>
      </c>
    </row>
    <row r="1557">
      <c r="A1557" t="inlineStr">
        <is>
          <t>MR24</t>
        </is>
      </c>
      <c r="B1557" t="inlineStr">
        <is>
          <t>Merged_Table_Assay_lito</t>
        </is>
      </c>
      <c r="C1557" t="inlineStr">
        <is>
          <t>metros de sondaje; pct sobre metros</t>
        </is>
      </c>
      <c r="D1557" t="inlineStr">
        <is>
          <t>periodo_GM_LE2WASTE_Output</t>
        </is>
      </c>
      <c r="E1557" t="inlineStr">
        <is>
          <t>203637</t>
        </is>
      </c>
      <c r="F1557" t="inlineStr">
        <is>
          <t>litologia_normalizada</t>
        </is>
      </c>
      <c r="G1557" t="inlineStr">
        <is>
          <t>Intrusivo</t>
        </is>
      </c>
      <c r="H1557" t="inlineStr">
        <is>
          <t>Intrusivo</t>
        </is>
      </c>
      <c r="I1557" t="inlineStr"/>
      <c r="J1557" t="inlineStr">
        <is>
          <t>suma de filas por código</t>
        </is>
      </c>
      <c r="K1557" t="inlineStr"/>
      <c r="L1557" t="inlineStr"/>
      <c r="M1557" t="n">
        <v>3189</v>
      </c>
      <c r="N1557" t="inlineStr"/>
      <c r="O1557" t="inlineStr"/>
      <c r="P1557" t="n">
        <v>3899.43</v>
      </c>
      <c r="Q1557" t="n">
        <v>22.991</v>
      </c>
    </row>
    <row r="1558">
      <c r="A1558" t="inlineStr">
        <is>
          <t>MR24</t>
        </is>
      </c>
      <c r="B1558" t="inlineStr">
        <is>
          <t>Merged_Table_Assay_lito</t>
        </is>
      </c>
      <c r="C1558" t="inlineStr">
        <is>
          <t>metros de sondaje; pct sobre metros</t>
        </is>
      </c>
      <c r="D1558" t="inlineStr">
        <is>
          <t>periodo_GM_LE2WASTE_Output</t>
        </is>
      </c>
      <c r="E1558" t="inlineStr">
        <is>
          <t>203637</t>
        </is>
      </c>
      <c r="F1558" t="inlineStr">
        <is>
          <t>litologia_normalizada</t>
        </is>
      </c>
      <c r="G1558" t="inlineStr">
        <is>
          <t>sin asignar</t>
        </is>
      </c>
      <c r="H1558" t="inlineStr">
        <is>
          <t>sin asignar</t>
        </is>
      </c>
      <c r="I1558" t="inlineStr"/>
      <c r="J1558" t="inlineStr">
        <is>
          <t>suma de filas por código</t>
        </is>
      </c>
      <c r="K1558" t="inlineStr"/>
      <c r="L1558" t="inlineStr"/>
      <c r="M1558" t="n">
        <v>12880</v>
      </c>
      <c r="N1558" t="inlineStr"/>
      <c r="O1558" t="inlineStr"/>
      <c r="P1558" t="n">
        <v>13061.15</v>
      </c>
      <c r="Q1558" t="n">
        <v>77.011</v>
      </c>
    </row>
    <row r="1559">
      <c r="A1559" t="inlineStr">
        <is>
          <t>MR24</t>
        </is>
      </c>
      <c r="B1559" t="inlineStr">
        <is>
          <t>Merged_Table_Assay_lito</t>
        </is>
      </c>
      <c r="C1559" t="inlineStr">
        <is>
          <t>metros de sondaje; pct sobre metros</t>
        </is>
      </c>
      <c r="D1559" t="inlineStr">
        <is>
          <t>periodo_GM_LE2WASTE_Output</t>
        </is>
      </c>
      <c r="E1559" t="inlineStr">
        <is>
          <t>203839</t>
        </is>
      </c>
      <c r="F1559" t="inlineStr">
        <is>
          <t>litologia_normalizada</t>
        </is>
      </c>
      <c r="G1559" t="inlineStr">
        <is>
          <t>Intrusivo</t>
        </is>
      </c>
      <c r="H1559" t="inlineStr">
        <is>
          <t>Intrusivo</t>
        </is>
      </c>
      <c r="I1559" t="inlineStr"/>
      <c r="J1559" t="inlineStr">
        <is>
          <t>suma de filas por código</t>
        </is>
      </c>
      <c r="K1559" t="inlineStr"/>
      <c r="L1559" t="inlineStr"/>
      <c r="M1559" t="n">
        <v>3607</v>
      </c>
      <c r="N1559" t="inlineStr"/>
      <c r="O1559" t="inlineStr"/>
      <c r="P1559" t="n">
        <v>4095.05</v>
      </c>
      <c r="Q1559" t="n">
        <v>26.05</v>
      </c>
    </row>
    <row r="1560">
      <c r="A1560" t="inlineStr">
        <is>
          <t>MR24</t>
        </is>
      </c>
      <c r="B1560" t="inlineStr">
        <is>
          <t>Merged_Table_Assay_lito</t>
        </is>
      </c>
      <c r="C1560" t="inlineStr">
        <is>
          <t>metros de sondaje; pct sobre metros</t>
        </is>
      </c>
      <c r="D1560" t="inlineStr">
        <is>
          <t>periodo_GM_LE2WASTE_Output</t>
        </is>
      </c>
      <c r="E1560" t="inlineStr">
        <is>
          <t>203839</t>
        </is>
      </c>
      <c r="F1560" t="inlineStr">
        <is>
          <t>litologia_normalizada</t>
        </is>
      </c>
      <c r="G1560" t="inlineStr">
        <is>
          <t>sin asignar</t>
        </is>
      </c>
      <c r="H1560" t="inlineStr">
        <is>
          <t>sin asignar</t>
        </is>
      </c>
      <c r="I1560" t="inlineStr"/>
      <c r="J1560" t="inlineStr">
        <is>
          <t>suma de filas por código</t>
        </is>
      </c>
      <c r="K1560" t="inlineStr"/>
      <c r="L1560" t="inlineStr"/>
      <c r="M1560" t="n">
        <v>11718</v>
      </c>
      <c r="N1560" t="inlineStr"/>
      <c r="O1560" t="inlineStr"/>
      <c r="P1560" t="n">
        <v>11624.9</v>
      </c>
      <c r="Q1560" t="n">
        <v>73.953</v>
      </c>
    </row>
    <row r="1561">
      <c r="A1561" t="inlineStr">
        <is>
          <t>MR24</t>
        </is>
      </c>
      <c r="B1561" t="inlineStr">
        <is>
          <t>Merged_Table_Assay_lito</t>
        </is>
      </c>
      <c r="C1561" t="inlineStr">
        <is>
          <t>metros de sondaje; pct sobre metros</t>
        </is>
      </c>
      <c r="D1561" t="inlineStr">
        <is>
          <t>periodo_GM_LE2WASTE_Output</t>
        </is>
      </c>
      <c r="E1561" t="inlineStr">
        <is>
          <t>204041</t>
        </is>
      </c>
      <c r="F1561" t="inlineStr">
        <is>
          <t>litologia_normalizada</t>
        </is>
      </c>
      <c r="G1561" t="inlineStr">
        <is>
          <t>Intrusivo</t>
        </is>
      </c>
      <c r="H1561" t="inlineStr">
        <is>
          <t>Intrusivo</t>
        </is>
      </c>
      <c r="I1561" t="inlineStr"/>
      <c r="J1561" t="inlineStr">
        <is>
          <t>suma de filas por código</t>
        </is>
      </c>
      <c r="K1561" t="inlineStr"/>
      <c r="L1561" t="inlineStr"/>
      <c r="M1561" t="n">
        <v>3193</v>
      </c>
      <c r="N1561" t="inlineStr"/>
      <c r="O1561" t="inlineStr"/>
      <c r="P1561" t="n">
        <v>3957.6</v>
      </c>
      <c r="Q1561" t="n">
        <v>32.704</v>
      </c>
    </row>
    <row r="1562">
      <c r="A1562" t="inlineStr">
        <is>
          <t>MR24</t>
        </is>
      </c>
      <c r="B1562" t="inlineStr">
        <is>
          <t>Merged_Table_Assay_lito</t>
        </is>
      </c>
      <c r="C1562" t="inlineStr">
        <is>
          <t>metros de sondaje; pct sobre metros</t>
        </is>
      </c>
      <c r="D1562" t="inlineStr">
        <is>
          <t>periodo_GM_LE2WASTE_Output</t>
        </is>
      </c>
      <c r="E1562" t="inlineStr">
        <is>
          <t>204041</t>
        </is>
      </c>
      <c r="F1562" t="inlineStr">
        <is>
          <t>litologia_normalizada</t>
        </is>
      </c>
      <c r="G1562" t="inlineStr">
        <is>
          <t>sin asignar</t>
        </is>
      </c>
      <c r="H1562" t="inlineStr">
        <is>
          <t>sin asignar</t>
        </is>
      </c>
      <c r="I1562" t="inlineStr"/>
      <c r="J1562" t="inlineStr">
        <is>
          <t>suma de filas por código</t>
        </is>
      </c>
      <c r="K1562" t="inlineStr"/>
      <c r="L1562" t="inlineStr"/>
      <c r="M1562" t="n">
        <v>8229</v>
      </c>
      <c r="N1562" t="inlineStr"/>
      <c r="O1562" t="inlineStr"/>
      <c r="P1562" t="n">
        <v>8143.25</v>
      </c>
      <c r="Q1562" t="n">
        <v>67.29600000000001</v>
      </c>
    </row>
    <row r="1563">
      <c r="A1563" t="inlineStr">
        <is>
          <t>MR24</t>
        </is>
      </c>
      <c r="B1563" t="inlineStr">
        <is>
          <t>Merged_Table_Assay_lito</t>
        </is>
      </c>
      <c r="C1563" t="inlineStr">
        <is>
          <t>metros de sondaje; pct sobre metros</t>
        </is>
      </c>
      <c r="D1563" t="inlineStr">
        <is>
          <t>periodo_GM_LE2WASTE_Output</t>
        </is>
      </c>
      <c r="E1563" t="inlineStr">
        <is>
          <t>204245</t>
        </is>
      </c>
      <c r="F1563" t="inlineStr">
        <is>
          <t>litologia_normalizada</t>
        </is>
      </c>
      <c r="G1563" t="inlineStr">
        <is>
          <t>Intrusivo</t>
        </is>
      </c>
      <c r="H1563" t="inlineStr">
        <is>
          <t>Intrusivo</t>
        </is>
      </c>
      <c r="I1563" t="inlineStr"/>
      <c r="J1563" t="inlineStr">
        <is>
          <t>suma de filas por código</t>
        </is>
      </c>
      <c r="K1563" t="inlineStr"/>
      <c r="L1563" t="inlineStr"/>
      <c r="M1563" t="n">
        <v>3495</v>
      </c>
      <c r="N1563" t="inlineStr"/>
      <c r="O1563" t="inlineStr"/>
      <c r="P1563" t="n">
        <v>3341.3</v>
      </c>
      <c r="Q1563" t="n">
        <v>22.214</v>
      </c>
    </row>
    <row r="1564">
      <c r="A1564" t="inlineStr">
        <is>
          <t>MR24</t>
        </is>
      </c>
      <c r="B1564" t="inlineStr">
        <is>
          <t>Merged_Table_Assay_lito</t>
        </is>
      </c>
      <c r="C1564" t="inlineStr">
        <is>
          <t>metros de sondaje; pct sobre metros</t>
        </is>
      </c>
      <c r="D1564" t="inlineStr">
        <is>
          <t>periodo_GM_LE2WASTE_Output</t>
        </is>
      </c>
      <c r="E1564" t="inlineStr">
        <is>
          <t>204245</t>
        </is>
      </c>
      <c r="F1564" t="inlineStr">
        <is>
          <t>litologia_normalizada</t>
        </is>
      </c>
      <c r="G1564" t="inlineStr">
        <is>
          <t>sin asignar</t>
        </is>
      </c>
      <c r="H1564" t="inlineStr">
        <is>
          <t>sin asignar</t>
        </is>
      </c>
      <c r="I1564" t="inlineStr"/>
      <c r="J1564" t="inlineStr">
        <is>
          <t>suma de filas por código</t>
        </is>
      </c>
      <c r="K1564" t="inlineStr"/>
      <c r="L1564" t="inlineStr"/>
      <c r="M1564" t="n">
        <v>11137</v>
      </c>
      <c r="N1564" t="inlineStr"/>
      <c r="O1564" t="inlineStr"/>
      <c r="P1564" t="n">
        <v>11700.05</v>
      </c>
      <c r="Q1564" t="n">
        <v>77.786</v>
      </c>
    </row>
    <row r="1565">
      <c r="A1565" t="inlineStr">
        <is>
          <t>MR24</t>
        </is>
      </c>
      <c r="B1565" t="inlineStr">
        <is>
          <t>Merged_Table_Assay_lito</t>
        </is>
      </c>
      <c r="C1565" t="inlineStr">
        <is>
          <t>metros de sondaje; pct sobre metros</t>
        </is>
      </c>
      <c r="D1565" t="inlineStr">
        <is>
          <t>periodo_GM_LE2WASTE_Output</t>
        </is>
      </c>
      <c r="E1565" t="inlineStr">
        <is>
          <t>204649</t>
        </is>
      </c>
      <c r="F1565" t="inlineStr">
        <is>
          <t>litologia_normalizada</t>
        </is>
      </c>
      <c r="G1565" t="inlineStr">
        <is>
          <t>Intrusivo</t>
        </is>
      </c>
      <c r="H1565" t="inlineStr">
        <is>
          <t>Intrusivo</t>
        </is>
      </c>
      <c r="I1565" t="inlineStr"/>
      <c r="J1565" t="inlineStr">
        <is>
          <t>suma de filas por código</t>
        </is>
      </c>
      <c r="K1565" t="inlineStr"/>
      <c r="L1565" t="inlineStr"/>
      <c r="M1565" t="n">
        <v>3713</v>
      </c>
      <c r="N1565" t="inlineStr"/>
      <c r="O1565" t="inlineStr"/>
      <c r="P1565" t="n">
        <v>3804.25</v>
      </c>
      <c r="Q1565" t="n">
        <v>65.093</v>
      </c>
    </row>
    <row r="1566">
      <c r="A1566" t="inlineStr">
        <is>
          <t>MR24</t>
        </is>
      </c>
      <c r="B1566" t="inlineStr">
        <is>
          <t>Merged_Table_Assay_lito</t>
        </is>
      </c>
      <c r="C1566" t="inlineStr">
        <is>
          <t>metros de sondaje; pct sobre metros</t>
        </is>
      </c>
      <c r="D1566" t="inlineStr">
        <is>
          <t>periodo_GM_LE2WASTE_Output</t>
        </is>
      </c>
      <c r="E1566" t="inlineStr">
        <is>
          <t>204649</t>
        </is>
      </c>
      <c r="F1566" t="inlineStr">
        <is>
          <t>litologia_normalizada</t>
        </is>
      </c>
      <c r="G1566" t="inlineStr">
        <is>
          <t>sin asignar</t>
        </is>
      </c>
      <c r="H1566" t="inlineStr">
        <is>
          <t>sin asignar</t>
        </is>
      </c>
      <c r="I1566" t="inlineStr"/>
      <c r="J1566" t="inlineStr">
        <is>
          <t>suma de filas por código</t>
        </is>
      </c>
      <c r="K1566" t="inlineStr"/>
      <c r="L1566" t="inlineStr"/>
      <c r="M1566" t="n">
        <v>1784</v>
      </c>
      <c r="N1566" t="inlineStr"/>
      <c r="O1566" t="inlineStr"/>
      <c r="P1566" t="n">
        <v>2040.05</v>
      </c>
      <c r="Q1566" t="n">
        <v>34.906</v>
      </c>
    </row>
    <row r="1567">
      <c r="A1567" t="inlineStr">
        <is>
          <t>MR24</t>
        </is>
      </c>
      <c r="B1567" t="inlineStr">
        <is>
          <t>Merged_Table_Assay_lito</t>
        </is>
      </c>
      <c r="C1567" t="inlineStr">
        <is>
          <t>metros de sondaje; pct sobre metros</t>
        </is>
      </c>
      <c r="D1567" t="inlineStr">
        <is>
          <t>total</t>
        </is>
      </c>
      <c r="E1567" t="inlineStr">
        <is>
          <t>total</t>
        </is>
      </c>
      <c r="F1567" t="inlineStr">
        <is>
          <t>litologia_normalizada</t>
        </is>
      </c>
      <c r="G1567" t="inlineStr">
        <is>
          <t>Intrusivo</t>
        </is>
      </c>
      <c r="H1567" t="inlineStr">
        <is>
          <t>Intrusivo</t>
        </is>
      </c>
      <c r="I1567" t="inlineStr"/>
      <c r="J1567" t="inlineStr">
        <is>
          <t>suma de filas por código</t>
        </is>
      </c>
      <c r="K1567" t="inlineStr"/>
      <c r="L1567" t="inlineStr"/>
      <c r="M1567" t="n">
        <v>60997</v>
      </c>
      <c r="N1567" t="inlineStr"/>
      <c r="O1567" t="inlineStr"/>
      <c r="P1567" t="n">
        <v>75827.73</v>
      </c>
      <c r="Q1567" t="n">
        <v>29.343</v>
      </c>
    </row>
    <row r="1568">
      <c r="A1568" t="inlineStr">
        <is>
          <t>MR24</t>
        </is>
      </c>
      <c r="B1568" t="inlineStr">
        <is>
          <t>Merged_Table_Assay_lito</t>
        </is>
      </c>
      <c r="C1568" t="inlineStr">
        <is>
          <t>metros de sondaje; pct sobre metros</t>
        </is>
      </c>
      <c r="D1568" t="inlineStr">
        <is>
          <t>total</t>
        </is>
      </c>
      <c r="E1568" t="inlineStr">
        <is>
          <t>total</t>
        </is>
      </c>
      <c r="F1568" t="inlineStr">
        <is>
          <t>litologia_normalizada</t>
        </is>
      </c>
      <c r="G1568" t="inlineStr">
        <is>
          <t>sin asignar</t>
        </is>
      </c>
      <c r="H1568" t="inlineStr">
        <is>
          <t>sin asignar</t>
        </is>
      </c>
      <c r="I1568" t="inlineStr"/>
      <c r="J1568" t="inlineStr">
        <is>
          <t>suma de filas por código</t>
        </is>
      </c>
      <c r="K1568" t="inlineStr"/>
      <c r="L1568" t="inlineStr"/>
      <c r="M1568" t="n">
        <v>187623</v>
      </c>
      <c r="N1568" t="inlineStr"/>
      <c r="O1568" t="inlineStr"/>
      <c r="P1568" t="n">
        <v>182593.11</v>
      </c>
      <c r="Q1568" t="n">
        <v>70.65600000000001</v>
      </c>
    </row>
    <row r="1569">
      <c r="A1569" t="inlineStr">
        <is>
          <t>MR24</t>
        </is>
      </c>
      <c r="B1569" t="inlineStr">
        <is>
          <t>SIMULACIONES_MR2024_V3</t>
        </is>
      </c>
      <c r="C1569" t="inlineStr">
        <is>
          <t>toneladas (6000 m3 x MR24_BD); pct sobre toneladas</t>
        </is>
      </c>
      <c r="D1569" t="inlineStr">
        <is>
          <t>anio_LOM25_AMIN_LE2</t>
        </is>
      </c>
      <c r="E1569" t="inlineStr">
        <is>
          <t>2025</t>
        </is>
      </c>
      <c r="F1569" t="inlineStr">
        <is>
          <t>litologia_normalizada</t>
        </is>
      </c>
      <c r="G1569" t="inlineStr">
        <is>
          <t>Intrusivo</t>
        </is>
      </c>
      <c r="H1569" t="inlineStr">
        <is>
          <t>Intrusivo</t>
        </is>
      </c>
      <c r="I1569" t="inlineStr"/>
      <c r="J1569" t="inlineStr">
        <is>
          <t>suma de filas por código</t>
        </is>
      </c>
      <c r="K1569" t="inlineStr"/>
      <c r="L1569" t="inlineStr"/>
      <c r="M1569" t="n">
        <v>970</v>
      </c>
      <c r="N1569" t="n">
        <v>5820000</v>
      </c>
      <c r="O1569" t="n">
        <v>14276856</v>
      </c>
      <c r="P1569" t="inlineStr"/>
      <c r="Q1569" t="n">
        <v>7.857</v>
      </c>
    </row>
    <row r="1570">
      <c r="A1570" t="inlineStr">
        <is>
          <t>MR24</t>
        </is>
      </c>
      <c r="B1570" t="inlineStr">
        <is>
          <t>SIMULACIONES_MR2024_V3</t>
        </is>
      </c>
      <c r="C1570" t="inlineStr">
        <is>
          <t>toneladas (6000 m3 x MR24_BD); pct sobre toneladas</t>
        </is>
      </c>
      <c r="D1570" t="inlineStr">
        <is>
          <t>anio_LOM25_AMIN_LE2</t>
        </is>
      </c>
      <c r="E1570" t="inlineStr">
        <is>
          <t>2025</t>
        </is>
      </c>
      <c r="F1570" t="inlineStr">
        <is>
          <t>litologia_normalizada</t>
        </is>
      </c>
      <c r="G1570" t="inlineStr">
        <is>
          <t>sin asignar</t>
        </is>
      </c>
      <c r="H1570" t="inlineStr">
        <is>
          <t>sin asignar</t>
        </is>
      </c>
      <c r="I1570" t="inlineStr"/>
      <c r="J1570" t="inlineStr">
        <is>
          <t>suma de filas por código</t>
        </is>
      </c>
      <c r="K1570" t="inlineStr"/>
      <c r="L1570" t="inlineStr"/>
      <c r="M1570" t="n">
        <v>10293</v>
      </c>
      <c r="N1570" t="n">
        <v>61758000</v>
      </c>
      <c r="O1570" t="n">
        <v>167421888</v>
      </c>
      <c r="P1570" t="inlineStr"/>
      <c r="Q1570" t="n">
        <v>92.142</v>
      </c>
    </row>
    <row r="1571">
      <c r="A1571" t="inlineStr">
        <is>
          <t>MR24</t>
        </is>
      </c>
      <c r="B1571" t="inlineStr">
        <is>
          <t>SIMULACIONES_MR2024_V3</t>
        </is>
      </c>
      <c r="C1571" t="inlineStr">
        <is>
          <t>toneladas (6000 m3 x MR24_BD); pct sobre toneladas</t>
        </is>
      </c>
      <c r="D1571" t="inlineStr">
        <is>
          <t>anio_LOM25_AMIN_LE2</t>
        </is>
      </c>
      <c r="E1571" t="inlineStr">
        <is>
          <t>2026</t>
        </is>
      </c>
      <c r="F1571" t="inlineStr">
        <is>
          <t>litologia_normalizada</t>
        </is>
      </c>
      <c r="G1571" t="inlineStr">
        <is>
          <t>Intrusivo</t>
        </is>
      </c>
      <c r="H1571" t="inlineStr">
        <is>
          <t>Intrusivo</t>
        </is>
      </c>
      <c r="I1571" t="inlineStr"/>
      <c r="J1571" t="inlineStr">
        <is>
          <t>suma de filas por código</t>
        </is>
      </c>
      <c r="K1571" t="inlineStr"/>
      <c r="L1571" t="inlineStr"/>
      <c r="M1571" t="n">
        <v>1199</v>
      </c>
      <c r="N1571" t="n">
        <v>7194000</v>
      </c>
      <c r="O1571" t="n">
        <v>17740476</v>
      </c>
      <c r="P1571" t="inlineStr"/>
      <c r="Q1571" t="n">
        <v>9.34</v>
      </c>
    </row>
    <row r="1572">
      <c r="A1572" t="inlineStr">
        <is>
          <t>MR24</t>
        </is>
      </c>
      <c r="B1572" t="inlineStr">
        <is>
          <t>SIMULACIONES_MR2024_V3</t>
        </is>
      </c>
      <c r="C1572" t="inlineStr">
        <is>
          <t>toneladas (6000 m3 x MR24_BD); pct sobre toneladas</t>
        </is>
      </c>
      <c r="D1572" t="inlineStr">
        <is>
          <t>anio_LOM25_AMIN_LE2</t>
        </is>
      </c>
      <c r="E1572" t="inlineStr">
        <is>
          <t>2026</t>
        </is>
      </c>
      <c r="F1572" t="inlineStr">
        <is>
          <t>litologia_normalizada</t>
        </is>
      </c>
      <c r="G1572" t="inlineStr">
        <is>
          <t>sin asignar</t>
        </is>
      </c>
      <c r="H1572" t="inlineStr">
        <is>
          <t>sin asignar</t>
        </is>
      </c>
      <c r="I1572" t="inlineStr"/>
      <c r="J1572" t="inlineStr">
        <is>
          <t>suma de filas por código</t>
        </is>
      </c>
      <c r="K1572" t="inlineStr"/>
      <c r="L1572" t="inlineStr"/>
      <c r="M1572" t="n">
        <v>10562</v>
      </c>
      <c r="N1572" t="n">
        <v>63372000</v>
      </c>
      <c r="O1572" t="n">
        <v>172203780</v>
      </c>
      <c r="P1572" t="inlineStr"/>
      <c r="Q1572" t="n">
        <v>90.661</v>
      </c>
    </row>
    <row r="1573">
      <c r="A1573" t="inlineStr">
        <is>
          <t>MR24</t>
        </is>
      </c>
      <c r="B1573" t="inlineStr">
        <is>
          <t>SIMULACIONES_MR2024_V3</t>
        </is>
      </c>
      <c r="C1573" t="inlineStr">
        <is>
          <t>toneladas (6000 m3 x MR24_BD); pct sobre toneladas</t>
        </is>
      </c>
      <c r="D1573" t="inlineStr">
        <is>
          <t>anio_LOM25_AMIN_LE2</t>
        </is>
      </c>
      <c r="E1573" t="inlineStr">
        <is>
          <t>2027</t>
        </is>
      </c>
      <c r="F1573" t="inlineStr">
        <is>
          <t>litologia_normalizada</t>
        </is>
      </c>
      <c r="G1573" t="inlineStr">
        <is>
          <t>Intrusivo</t>
        </is>
      </c>
      <c r="H1573" t="inlineStr">
        <is>
          <t>Intrusivo</t>
        </is>
      </c>
      <c r="I1573" t="inlineStr"/>
      <c r="J1573" t="inlineStr">
        <is>
          <t>suma de filas por código</t>
        </is>
      </c>
      <c r="K1573" t="inlineStr"/>
      <c r="L1573" t="inlineStr"/>
      <c r="M1573" t="n">
        <v>1539</v>
      </c>
      <c r="N1573" t="n">
        <v>9234000</v>
      </c>
      <c r="O1573" t="n">
        <v>22552056</v>
      </c>
      <c r="P1573" t="inlineStr"/>
      <c r="Q1573" t="n">
        <v>12.435</v>
      </c>
    </row>
    <row r="1574">
      <c r="A1574" t="inlineStr">
        <is>
          <t>MR24</t>
        </is>
      </c>
      <c r="B1574" t="inlineStr">
        <is>
          <t>SIMULACIONES_MR2024_V3</t>
        </is>
      </c>
      <c r="C1574" t="inlineStr">
        <is>
          <t>toneladas (6000 m3 x MR24_BD); pct sobre toneladas</t>
        </is>
      </c>
      <c r="D1574" t="inlineStr">
        <is>
          <t>anio_LOM25_AMIN_LE2</t>
        </is>
      </c>
      <c r="E1574" t="inlineStr">
        <is>
          <t>2027</t>
        </is>
      </c>
      <c r="F1574" t="inlineStr">
        <is>
          <t>litologia_normalizada</t>
        </is>
      </c>
      <c r="G1574" t="inlineStr">
        <is>
          <t>sin asignar</t>
        </is>
      </c>
      <c r="H1574" t="inlineStr">
        <is>
          <t>sin asignar</t>
        </is>
      </c>
      <c r="I1574" t="inlineStr"/>
      <c r="J1574" t="inlineStr">
        <is>
          <t>suma de filas por código</t>
        </is>
      </c>
      <c r="K1574" t="inlineStr"/>
      <c r="L1574" t="inlineStr"/>
      <c r="M1574" t="n">
        <v>9747</v>
      </c>
      <c r="N1574" t="n">
        <v>58482000</v>
      </c>
      <c r="O1574" t="n">
        <v>158812362</v>
      </c>
      <c r="P1574" t="inlineStr"/>
      <c r="Q1574" t="n">
        <v>87.565</v>
      </c>
    </row>
    <row r="1575">
      <c r="A1575" t="inlineStr">
        <is>
          <t>MR24</t>
        </is>
      </c>
      <c r="B1575" t="inlineStr">
        <is>
          <t>SIMULACIONES_MR2024_V3</t>
        </is>
      </c>
      <c r="C1575" t="inlineStr">
        <is>
          <t>toneladas (6000 m3 x MR24_BD); pct sobre toneladas</t>
        </is>
      </c>
      <c r="D1575" t="inlineStr">
        <is>
          <t>anio_LOM25_AMIN_LE2</t>
        </is>
      </c>
      <c r="E1575" t="inlineStr">
        <is>
          <t>2028</t>
        </is>
      </c>
      <c r="F1575" t="inlineStr">
        <is>
          <t>litologia_normalizada</t>
        </is>
      </c>
      <c r="G1575" t="inlineStr">
        <is>
          <t>Intrusivo</t>
        </is>
      </c>
      <c r="H1575" t="inlineStr">
        <is>
          <t>Intrusivo</t>
        </is>
      </c>
      <c r="I1575" t="inlineStr"/>
      <c r="J1575" t="inlineStr">
        <is>
          <t>suma de filas por código</t>
        </is>
      </c>
      <c r="K1575" t="inlineStr"/>
      <c r="L1575" t="inlineStr"/>
      <c r="M1575" t="n">
        <v>1494</v>
      </c>
      <c r="N1575" t="n">
        <v>8964000</v>
      </c>
      <c r="O1575" t="n">
        <v>21904770</v>
      </c>
      <c r="P1575" t="inlineStr"/>
      <c r="Q1575" t="n">
        <v>12.718</v>
      </c>
    </row>
    <row r="1576">
      <c r="A1576" t="inlineStr">
        <is>
          <t>MR24</t>
        </is>
      </c>
      <c r="B1576" t="inlineStr">
        <is>
          <t>SIMULACIONES_MR2024_V3</t>
        </is>
      </c>
      <c r="C1576" t="inlineStr">
        <is>
          <t>toneladas (6000 m3 x MR24_BD); pct sobre toneladas</t>
        </is>
      </c>
      <c r="D1576" t="inlineStr">
        <is>
          <t>anio_LOM25_AMIN_LE2</t>
        </is>
      </c>
      <c r="E1576" t="inlineStr">
        <is>
          <t>2028</t>
        </is>
      </c>
      <c r="F1576" t="inlineStr">
        <is>
          <t>litologia_normalizada</t>
        </is>
      </c>
      <c r="G1576" t="inlineStr">
        <is>
          <t>sin asignar</t>
        </is>
      </c>
      <c r="H1576" t="inlineStr">
        <is>
          <t>sin asignar</t>
        </is>
      </c>
      <c r="I1576" t="inlineStr"/>
      <c r="J1576" t="inlineStr">
        <is>
          <t>suma de filas por código</t>
        </is>
      </c>
      <c r="K1576" t="inlineStr"/>
      <c r="L1576" t="inlineStr"/>
      <c r="M1576" t="n">
        <v>9232</v>
      </c>
      <c r="N1576" t="n">
        <v>55392000</v>
      </c>
      <c r="O1576" t="n">
        <v>150336324</v>
      </c>
      <c r="P1576" t="inlineStr"/>
      <c r="Q1576" t="n">
        <v>87.28100000000001</v>
      </c>
    </row>
    <row r="1577">
      <c r="A1577" t="inlineStr">
        <is>
          <t>MR24</t>
        </is>
      </c>
      <c r="B1577" t="inlineStr">
        <is>
          <t>SIMULACIONES_MR2024_V3</t>
        </is>
      </c>
      <c r="C1577" t="inlineStr">
        <is>
          <t>toneladas (6000 m3 x MR24_BD); pct sobre toneladas</t>
        </is>
      </c>
      <c r="D1577" t="inlineStr">
        <is>
          <t>anio_LOM25_AMIN_LE2</t>
        </is>
      </c>
      <c r="E1577" t="inlineStr">
        <is>
          <t>2029</t>
        </is>
      </c>
      <c r="F1577" t="inlineStr">
        <is>
          <t>litologia_normalizada</t>
        </is>
      </c>
      <c r="G1577" t="inlineStr">
        <is>
          <t>Intrusivo</t>
        </is>
      </c>
      <c r="H1577" t="inlineStr">
        <is>
          <t>Intrusivo</t>
        </is>
      </c>
      <c r="I1577" t="inlineStr"/>
      <c r="J1577" t="inlineStr">
        <is>
          <t>suma de filas por código</t>
        </is>
      </c>
      <c r="K1577" t="inlineStr"/>
      <c r="L1577" t="inlineStr"/>
      <c r="M1577" t="n">
        <v>2357</v>
      </c>
      <c r="N1577" t="n">
        <v>14142000</v>
      </c>
      <c r="O1577" t="n">
        <v>34700526</v>
      </c>
      <c r="P1577" t="inlineStr"/>
      <c r="Q1577" t="n">
        <v>16.022</v>
      </c>
    </row>
    <row r="1578">
      <c r="A1578" t="inlineStr">
        <is>
          <t>MR24</t>
        </is>
      </c>
      <c r="B1578" t="inlineStr">
        <is>
          <t>SIMULACIONES_MR2024_V3</t>
        </is>
      </c>
      <c r="C1578" t="inlineStr">
        <is>
          <t>toneladas (6000 m3 x MR24_BD); pct sobre toneladas</t>
        </is>
      </c>
      <c r="D1578" t="inlineStr">
        <is>
          <t>anio_LOM25_AMIN_LE2</t>
        </is>
      </c>
      <c r="E1578" t="inlineStr">
        <is>
          <t>2029</t>
        </is>
      </c>
      <c r="F1578" t="inlineStr">
        <is>
          <t>litologia_normalizada</t>
        </is>
      </c>
      <c r="G1578" t="inlineStr">
        <is>
          <t>sin asignar</t>
        </is>
      </c>
      <c r="H1578" t="inlineStr">
        <is>
          <t>sin asignar</t>
        </is>
      </c>
      <c r="I1578" t="inlineStr"/>
      <c r="J1578" t="inlineStr">
        <is>
          <t>suma de filas por código</t>
        </is>
      </c>
      <c r="K1578" t="inlineStr"/>
      <c r="L1578" t="inlineStr"/>
      <c r="M1578" t="n">
        <v>11108</v>
      </c>
      <c r="N1578" t="n">
        <v>66648000</v>
      </c>
      <c r="O1578" t="n">
        <v>181879980</v>
      </c>
      <c r="P1578" t="inlineStr"/>
      <c r="Q1578" t="n">
        <v>83.97799999999999</v>
      </c>
    </row>
    <row r="1579">
      <c r="A1579" t="inlineStr">
        <is>
          <t>MR24</t>
        </is>
      </c>
      <c r="B1579" t="inlineStr">
        <is>
          <t>SIMULACIONES_MR2024_V3</t>
        </is>
      </c>
      <c r="C1579" t="inlineStr">
        <is>
          <t>toneladas (6000 m3 x MR24_BD); pct sobre toneladas</t>
        </is>
      </c>
      <c r="D1579" t="inlineStr">
        <is>
          <t>anio_LOM25_AMIN_LE2</t>
        </is>
      </c>
      <c r="E1579" t="inlineStr">
        <is>
          <t>2030</t>
        </is>
      </c>
      <c r="F1579" t="inlineStr">
        <is>
          <t>litologia_normalizada</t>
        </is>
      </c>
      <c r="G1579" t="inlineStr">
        <is>
          <t>Intrusivo</t>
        </is>
      </c>
      <c r="H1579" t="inlineStr">
        <is>
          <t>Intrusivo</t>
        </is>
      </c>
      <c r="I1579" t="inlineStr"/>
      <c r="J1579" t="inlineStr">
        <is>
          <t>suma de filas por código</t>
        </is>
      </c>
      <c r="K1579" t="inlineStr"/>
      <c r="L1579" t="inlineStr"/>
      <c r="M1579" t="n">
        <v>2106</v>
      </c>
      <c r="N1579" t="n">
        <v>12636000</v>
      </c>
      <c r="O1579" t="n">
        <v>31188870</v>
      </c>
      <c r="P1579" t="inlineStr"/>
      <c r="Q1579" t="n">
        <v>13.312</v>
      </c>
    </row>
    <row r="1580">
      <c r="A1580" t="inlineStr">
        <is>
          <t>MR24</t>
        </is>
      </c>
      <c r="B1580" t="inlineStr">
        <is>
          <t>SIMULACIONES_MR2024_V3</t>
        </is>
      </c>
      <c r="C1580" t="inlineStr">
        <is>
          <t>toneladas (6000 m3 x MR24_BD); pct sobre toneladas</t>
        </is>
      </c>
      <c r="D1580" t="inlineStr">
        <is>
          <t>anio_LOM25_AMIN_LE2</t>
        </is>
      </c>
      <c r="E1580" t="inlineStr">
        <is>
          <t>2030</t>
        </is>
      </c>
      <c r="F1580" t="inlineStr">
        <is>
          <t>litologia_normalizada</t>
        </is>
      </c>
      <c r="G1580" t="inlineStr">
        <is>
          <t>sin asignar</t>
        </is>
      </c>
      <c r="H1580" t="inlineStr">
        <is>
          <t>sin asignar</t>
        </is>
      </c>
      <c r="I1580" t="inlineStr"/>
      <c r="J1580" t="inlineStr">
        <is>
          <t>suma de filas por código</t>
        </is>
      </c>
      <c r="K1580" t="inlineStr"/>
      <c r="L1580" t="inlineStr"/>
      <c r="M1580" t="n">
        <v>12399</v>
      </c>
      <c r="N1580" t="n">
        <v>74394000</v>
      </c>
      <c r="O1580" t="n">
        <v>203099988</v>
      </c>
      <c r="P1580" t="inlineStr"/>
      <c r="Q1580" t="n">
        <v>86.688</v>
      </c>
    </row>
    <row r="1581">
      <c r="A1581" t="inlineStr">
        <is>
          <t>MR24</t>
        </is>
      </c>
      <c r="B1581" t="inlineStr">
        <is>
          <t>SIMULACIONES_MR2024_V3</t>
        </is>
      </c>
      <c r="C1581" t="inlineStr">
        <is>
          <t>toneladas (6000 m3 x MR24_BD); pct sobre toneladas</t>
        </is>
      </c>
      <c r="D1581" t="inlineStr">
        <is>
          <t>anio_LOM25_AMIN_LE2</t>
        </is>
      </c>
      <c r="E1581" t="inlineStr">
        <is>
          <t>2031</t>
        </is>
      </c>
      <c r="F1581" t="inlineStr">
        <is>
          <t>litologia_normalizada</t>
        </is>
      </c>
      <c r="G1581" t="inlineStr">
        <is>
          <t>Intrusivo</t>
        </is>
      </c>
      <c r="H1581" t="inlineStr">
        <is>
          <t>Intrusivo</t>
        </is>
      </c>
      <c r="I1581" t="inlineStr"/>
      <c r="J1581" t="inlineStr">
        <is>
          <t>suma de filas por código</t>
        </is>
      </c>
      <c r="K1581" t="inlineStr"/>
      <c r="L1581" t="inlineStr"/>
      <c r="M1581" t="n">
        <v>1925</v>
      </c>
      <c r="N1581" t="n">
        <v>11550000</v>
      </c>
      <c r="O1581" t="n">
        <v>28859658</v>
      </c>
      <c r="P1581" t="inlineStr"/>
      <c r="Q1581" t="n">
        <v>12.603</v>
      </c>
    </row>
    <row r="1582">
      <c r="A1582" t="inlineStr">
        <is>
          <t>MR24</t>
        </is>
      </c>
      <c r="B1582" t="inlineStr">
        <is>
          <t>SIMULACIONES_MR2024_V3</t>
        </is>
      </c>
      <c r="C1582" t="inlineStr">
        <is>
          <t>toneladas (6000 m3 x MR24_BD); pct sobre toneladas</t>
        </is>
      </c>
      <c r="D1582" t="inlineStr">
        <is>
          <t>anio_LOM25_AMIN_LE2</t>
        </is>
      </c>
      <c r="E1582" t="inlineStr">
        <is>
          <t>2031</t>
        </is>
      </c>
      <c r="F1582" t="inlineStr">
        <is>
          <t>litologia_normalizada</t>
        </is>
      </c>
      <c r="G1582" t="inlineStr">
        <is>
          <t>sin asignar</t>
        </is>
      </c>
      <c r="H1582" t="inlineStr">
        <is>
          <t>sin asignar</t>
        </is>
      </c>
      <c r="I1582" t="inlineStr"/>
      <c r="J1582" t="inlineStr">
        <is>
          <t>suma de filas por código</t>
        </is>
      </c>
      <c r="K1582" t="inlineStr"/>
      <c r="L1582" t="inlineStr"/>
      <c r="M1582" t="n">
        <v>12254</v>
      </c>
      <c r="N1582" t="n">
        <v>73524000</v>
      </c>
      <c r="O1582" t="n">
        <v>200132364</v>
      </c>
      <c r="P1582" t="inlineStr"/>
      <c r="Q1582" t="n">
        <v>87.399</v>
      </c>
    </row>
    <row r="1583">
      <c r="A1583" t="inlineStr">
        <is>
          <t>MR24</t>
        </is>
      </c>
      <c r="B1583" t="inlineStr">
        <is>
          <t>SIMULACIONES_MR2024_V3</t>
        </is>
      </c>
      <c r="C1583" t="inlineStr">
        <is>
          <t>toneladas (6000 m3 x MR24_BD); pct sobre toneladas</t>
        </is>
      </c>
      <c r="D1583" t="inlineStr">
        <is>
          <t>anio_LOM25_AMIN_LE2</t>
        </is>
      </c>
      <c r="E1583" t="inlineStr">
        <is>
          <t>2032</t>
        </is>
      </c>
      <c r="F1583" t="inlineStr">
        <is>
          <t>litologia_normalizada</t>
        </is>
      </c>
      <c r="G1583" t="inlineStr">
        <is>
          <t>Intrusivo</t>
        </is>
      </c>
      <c r="H1583" t="inlineStr">
        <is>
          <t>Intrusivo</t>
        </is>
      </c>
      <c r="I1583" t="inlineStr"/>
      <c r="J1583" t="inlineStr">
        <is>
          <t>suma de filas por código</t>
        </is>
      </c>
      <c r="K1583" t="inlineStr"/>
      <c r="L1583" t="inlineStr"/>
      <c r="M1583" t="n">
        <v>3514</v>
      </c>
      <c r="N1583" t="n">
        <v>21084000</v>
      </c>
      <c r="O1583" t="n">
        <v>52461186</v>
      </c>
      <c r="P1583" t="inlineStr"/>
      <c r="Q1583" t="n">
        <v>19.884</v>
      </c>
    </row>
    <row r="1584">
      <c r="A1584" t="inlineStr">
        <is>
          <t>MR24</t>
        </is>
      </c>
      <c r="B1584" t="inlineStr">
        <is>
          <t>SIMULACIONES_MR2024_V3</t>
        </is>
      </c>
      <c r="C1584" t="inlineStr">
        <is>
          <t>toneladas (6000 m3 x MR24_BD); pct sobre toneladas</t>
        </is>
      </c>
      <c r="D1584" t="inlineStr">
        <is>
          <t>anio_LOM25_AMIN_LE2</t>
        </is>
      </c>
      <c r="E1584" t="inlineStr">
        <is>
          <t>2032</t>
        </is>
      </c>
      <c r="F1584" t="inlineStr">
        <is>
          <t>litologia_normalizada</t>
        </is>
      </c>
      <c r="G1584" t="inlineStr">
        <is>
          <t>sin asignar</t>
        </is>
      </c>
      <c r="H1584" t="inlineStr">
        <is>
          <t>sin asignar</t>
        </is>
      </c>
      <c r="I1584" t="inlineStr"/>
      <c r="J1584" t="inlineStr">
        <is>
          <t>suma de filas por código</t>
        </is>
      </c>
      <c r="K1584" t="inlineStr"/>
      <c r="L1584" t="inlineStr"/>
      <c r="M1584" t="n">
        <v>12927</v>
      </c>
      <c r="N1584" t="n">
        <v>77562000</v>
      </c>
      <c r="O1584" t="n">
        <v>211383078</v>
      </c>
      <c r="P1584" t="inlineStr"/>
      <c r="Q1584" t="n">
        <v>80.116</v>
      </c>
    </row>
    <row r="1585">
      <c r="A1585" t="inlineStr">
        <is>
          <t>MR24</t>
        </is>
      </c>
      <c r="B1585" t="inlineStr">
        <is>
          <t>SIMULACIONES_MR2024_V3</t>
        </is>
      </c>
      <c r="C1585" t="inlineStr">
        <is>
          <t>toneladas (6000 m3 x MR24_BD); pct sobre toneladas</t>
        </is>
      </c>
      <c r="D1585" t="inlineStr">
        <is>
          <t>anio_LOM25_AMIN_LE2</t>
        </is>
      </c>
      <c r="E1585" t="inlineStr">
        <is>
          <t>2033</t>
        </is>
      </c>
      <c r="F1585" t="inlineStr">
        <is>
          <t>litologia_normalizada</t>
        </is>
      </c>
      <c r="G1585" t="inlineStr">
        <is>
          <t>Intrusivo</t>
        </is>
      </c>
      <c r="H1585" t="inlineStr">
        <is>
          <t>Intrusivo</t>
        </is>
      </c>
      <c r="I1585" t="inlineStr"/>
      <c r="J1585" t="inlineStr">
        <is>
          <t>suma de filas por código</t>
        </is>
      </c>
      <c r="K1585" t="inlineStr"/>
      <c r="L1585" t="inlineStr"/>
      <c r="M1585" t="n">
        <v>1777</v>
      </c>
      <c r="N1585" t="n">
        <v>10662000</v>
      </c>
      <c r="O1585" t="n">
        <v>26860626</v>
      </c>
      <c r="P1585" t="inlineStr"/>
      <c r="Q1585" t="n">
        <v>9.234999999999999</v>
      </c>
    </row>
    <row r="1586">
      <c r="A1586" t="inlineStr">
        <is>
          <t>MR24</t>
        </is>
      </c>
      <c r="B1586" t="inlineStr">
        <is>
          <t>SIMULACIONES_MR2024_V3</t>
        </is>
      </c>
      <c r="C1586" t="inlineStr">
        <is>
          <t>toneladas (6000 m3 x MR24_BD); pct sobre toneladas</t>
        </is>
      </c>
      <c r="D1586" t="inlineStr">
        <is>
          <t>anio_LOM25_AMIN_LE2</t>
        </is>
      </c>
      <c r="E1586" t="inlineStr">
        <is>
          <t>2033</t>
        </is>
      </c>
      <c r="F1586" t="inlineStr">
        <is>
          <t>litologia_normalizada</t>
        </is>
      </c>
      <c r="G1586" t="inlineStr">
        <is>
          <t>sin asignar</t>
        </is>
      </c>
      <c r="H1586" t="inlineStr">
        <is>
          <t>sin asignar</t>
        </is>
      </c>
      <c r="I1586" t="inlineStr"/>
      <c r="J1586" t="inlineStr">
        <is>
          <t>suma de filas por código</t>
        </is>
      </c>
      <c r="K1586" t="inlineStr"/>
      <c r="L1586" t="inlineStr"/>
      <c r="M1586" t="n">
        <v>16145</v>
      </c>
      <c r="N1586" t="n">
        <v>96870000</v>
      </c>
      <c r="O1586" t="n">
        <v>263997702</v>
      </c>
      <c r="P1586" t="inlineStr"/>
      <c r="Q1586" t="n">
        <v>90.76300000000001</v>
      </c>
    </row>
    <row r="1587">
      <c r="A1587" t="inlineStr">
        <is>
          <t>MR24</t>
        </is>
      </c>
      <c r="B1587" t="inlineStr">
        <is>
          <t>SIMULACIONES_MR2024_V3</t>
        </is>
      </c>
      <c r="C1587" t="inlineStr">
        <is>
          <t>toneladas (6000 m3 x MR24_BD); pct sobre toneladas</t>
        </is>
      </c>
      <c r="D1587" t="inlineStr">
        <is>
          <t>anio_LOM25_AMIN_LE2</t>
        </is>
      </c>
      <c r="E1587" t="inlineStr">
        <is>
          <t>2034</t>
        </is>
      </c>
      <c r="F1587" t="inlineStr">
        <is>
          <t>litologia_normalizada</t>
        </is>
      </c>
      <c r="G1587" t="inlineStr">
        <is>
          <t>Intrusivo</t>
        </is>
      </c>
      <c r="H1587" t="inlineStr">
        <is>
          <t>Intrusivo</t>
        </is>
      </c>
      <c r="I1587" t="inlineStr"/>
      <c r="J1587" t="inlineStr">
        <is>
          <t>suma de filas por código</t>
        </is>
      </c>
      <c r="K1587" t="inlineStr"/>
      <c r="L1587" t="inlineStr"/>
      <c r="M1587" t="n">
        <v>967</v>
      </c>
      <c r="N1587" t="n">
        <v>5802000</v>
      </c>
      <c r="O1587" t="n">
        <v>14657250</v>
      </c>
      <c r="P1587" t="inlineStr"/>
      <c r="Q1587" t="n">
        <v>6.057</v>
      </c>
    </row>
    <row r="1588">
      <c r="A1588" t="inlineStr">
        <is>
          <t>MR24</t>
        </is>
      </c>
      <c r="B1588" t="inlineStr">
        <is>
          <t>SIMULACIONES_MR2024_V3</t>
        </is>
      </c>
      <c r="C1588" t="inlineStr">
        <is>
          <t>toneladas (6000 m3 x MR24_BD); pct sobre toneladas</t>
        </is>
      </c>
      <c r="D1588" t="inlineStr">
        <is>
          <t>anio_LOM25_AMIN_LE2</t>
        </is>
      </c>
      <c r="E1588" t="inlineStr">
        <is>
          <t>2034</t>
        </is>
      </c>
      <c r="F1588" t="inlineStr">
        <is>
          <t>litologia_normalizada</t>
        </is>
      </c>
      <c r="G1588" t="inlineStr">
        <is>
          <t>sin asignar</t>
        </is>
      </c>
      <c r="H1588" t="inlineStr">
        <is>
          <t>sin asignar</t>
        </is>
      </c>
      <c r="I1588" t="inlineStr"/>
      <c r="J1588" t="inlineStr">
        <is>
          <t>suma de filas por código</t>
        </is>
      </c>
      <c r="K1588" t="inlineStr"/>
      <c r="L1588" t="inlineStr"/>
      <c r="M1588" t="n">
        <v>13908</v>
      </c>
      <c r="N1588" t="n">
        <v>83448000</v>
      </c>
      <c r="O1588" t="n">
        <v>227302434</v>
      </c>
      <c r="P1588" t="inlineStr"/>
      <c r="Q1588" t="n">
        <v>93.941</v>
      </c>
    </row>
    <row r="1589">
      <c r="A1589" t="inlineStr">
        <is>
          <t>MR24</t>
        </is>
      </c>
      <c r="B1589" t="inlineStr">
        <is>
          <t>SIMULACIONES_MR2024_V3</t>
        </is>
      </c>
      <c r="C1589" t="inlineStr">
        <is>
          <t>toneladas (6000 m3 x MR24_BD); pct sobre toneladas</t>
        </is>
      </c>
      <c r="D1589" t="inlineStr">
        <is>
          <t>anio_LOM25_AMIN_LE2</t>
        </is>
      </c>
      <c r="E1589" t="inlineStr">
        <is>
          <t>2035</t>
        </is>
      </c>
      <c r="F1589" t="inlineStr">
        <is>
          <t>litologia_normalizada</t>
        </is>
      </c>
      <c r="G1589" t="inlineStr">
        <is>
          <t>Intrusivo</t>
        </is>
      </c>
      <c r="H1589" t="inlineStr">
        <is>
          <t>Intrusivo</t>
        </is>
      </c>
      <c r="I1589" t="inlineStr"/>
      <c r="J1589" t="inlineStr">
        <is>
          <t>suma de filas por código</t>
        </is>
      </c>
      <c r="K1589" t="inlineStr"/>
      <c r="L1589" t="inlineStr"/>
      <c r="M1589" t="n">
        <v>2201</v>
      </c>
      <c r="N1589" t="n">
        <v>13206000</v>
      </c>
      <c r="O1589" t="n">
        <v>33019500</v>
      </c>
      <c r="P1589" t="inlineStr"/>
      <c r="Q1589" t="n">
        <v>14.115</v>
      </c>
    </row>
    <row r="1590">
      <c r="A1590" t="inlineStr">
        <is>
          <t>MR24</t>
        </is>
      </c>
      <c r="B1590" t="inlineStr">
        <is>
          <t>SIMULACIONES_MR2024_V3</t>
        </is>
      </c>
      <c r="C1590" t="inlineStr">
        <is>
          <t>toneladas (6000 m3 x MR24_BD); pct sobre toneladas</t>
        </is>
      </c>
      <c r="D1590" t="inlineStr">
        <is>
          <t>anio_LOM25_AMIN_LE2</t>
        </is>
      </c>
      <c r="E1590" t="inlineStr">
        <is>
          <t>2035</t>
        </is>
      </c>
      <c r="F1590" t="inlineStr">
        <is>
          <t>litologia_normalizada</t>
        </is>
      </c>
      <c r="G1590" t="inlineStr">
        <is>
          <t>sin asignar</t>
        </is>
      </c>
      <c r="H1590" t="inlineStr">
        <is>
          <t>sin asignar</t>
        </is>
      </c>
      <c r="I1590" t="inlineStr"/>
      <c r="J1590" t="inlineStr">
        <is>
          <t>suma de filas por código</t>
        </is>
      </c>
      <c r="K1590" t="inlineStr"/>
      <c r="L1590" t="inlineStr"/>
      <c r="M1590" t="n">
        <v>12278</v>
      </c>
      <c r="N1590" t="n">
        <v>73668000</v>
      </c>
      <c r="O1590" t="n">
        <v>200903742</v>
      </c>
      <c r="P1590" t="inlineStr"/>
      <c r="Q1590" t="n">
        <v>85.88500000000001</v>
      </c>
    </row>
    <row r="1591">
      <c r="A1591" t="inlineStr">
        <is>
          <t>MR24</t>
        </is>
      </c>
      <c r="B1591" t="inlineStr">
        <is>
          <t>SIMULACIONES_MR2024_V3</t>
        </is>
      </c>
      <c r="C1591" t="inlineStr">
        <is>
          <t>toneladas (6000 m3 x MR24_BD); pct sobre toneladas</t>
        </is>
      </c>
      <c r="D1591" t="inlineStr">
        <is>
          <t>anio_LOM25_AMIN_LE2</t>
        </is>
      </c>
      <c r="E1591" t="inlineStr">
        <is>
          <t>2036</t>
        </is>
      </c>
      <c r="F1591" t="inlineStr">
        <is>
          <t>litologia_normalizada</t>
        </is>
      </c>
      <c r="G1591" t="inlineStr">
        <is>
          <t>Intrusivo</t>
        </is>
      </c>
      <c r="H1591" t="inlineStr">
        <is>
          <t>Intrusivo</t>
        </is>
      </c>
      <c r="I1591" t="inlineStr"/>
      <c r="J1591" t="inlineStr">
        <is>
          <t>suma de filas por código</t>
        </is>
      </c>
      <c r="K1591" t="inlineStr"/>
      <c r="L1591" t="inlineStr"/>
      <c r="M1591" t="n">
        <v>2067</v>
      </c>
      <c r="N1591" t="n">
        <v>12402000</v>
      </c>
      <c r="O1591" t="n">
        <v>30925236</v>
      </c>
      <c r="P1591" t="inlineStr"/>
      <c r="Q1591" t="n">
        <v>12.744</v>
      </c>
    </row>
    <row r="1592">
      <c r="A1592" t="inlineStr">
        <is>
          <t>MR24</t>
        </is>
      </c>
      <c r="B1592" t="inlineStr">
        <is>
          <t>SIMULACIONES_MR2024_V3</t>
        </is>
      </c>
      <c r="C1592" t="inlineStr">
        <is>
          <t>toneladas (6000 m3 x MR24_BD); pct sobre toneladas</t>
        </is>
      </c>
      <c r="D1592" t="inlineStr">
        <is>
          <t>anio_LOM25_AMIN_LE2</t>
        </is>
      </c>
      <c r="E1592" t="inlineStr">
        <is>
          <t>2036</t>
        </is>
      </c>
      <c r="F1592" t="inlineStr">
        <is>
          <t>litologia_normalizada</t>
        </is>
      </c>
      <c r="G1592" t="inlineStr">
        <is>
          <t>sin asignar</t>
        </is>
      </c>
      <c r="H1592" t="inlineStr">
        <is>
          <t>sin asignar</t>
        </is>
      </c>
      <c r="I1592" t="inlineStr"/>
      <c r="J1592" t="inlineStr">
        <is>
          <t>suma de filas por código</t>
        </is>
      </c>
      <c r="K1592" t="inlineStr"/>
      <c r="L1592" t="inlineStr"/>
      <c r="M1592" t="n">
        <v>12975</v>
      </c>
      <c r="N1592" t="n">
        <v>77850000</v>
      </c>
      <c r="O1592" t="n">
        <v>211751214</v>
      </c>
      <c r="P1592" t="inlineStr"/>
      <c r="Q1592" t="n">
        <v>87.256</v>
      </c>
    </row>
    <row r="1593">
      <c r="A1593" t="inlineStr">
        <is>
          <t>MR24</t>
        </is>
      </c>
      <c r="B1593" t="inlineStr">
        <is>
          <t>SIMULACIONES_MR2024_V3</t>
        </is>
      </c>
      <c r="C1593" t="inlineStr">
        <is>
          <t>toneladas (6000 m3 x MR24_BD); pct sobre toneladas</t>
        </is>
      </c>
      <c r="D1593" t="inlineStr">
        <is>
          <t>anio_LOM25_AMIN_LE2</t>
        </is>
      </c>
      <c r="E1593" t="inlineStr">
        <is>
          <t>2037</t>
        </is>
      </c>
      <c r="F1593" t="inlineStr">
        <is>
          <t>litologia_normalizada</t>
        </is>
      </c>
      <c r="G1593" t="inlineStr">
        <is>
          <t>Intrusivo</t>
        </is>
      </c>
      <c r="H1593" t="inlineStr">
        <is>
          <t>Intrusivo</t>
        </is>
      </c>
      <c r="I1593" t="inlineStr"/>
      <c r="J1593" t="inlineStr">
        <is>
          <t>suma de filas por código</t>
        </is>
      </c>
      <c r="K1593" t="inlineStr"/>
      <c r="L1593" t="inlineStr"/>
      <c r="M1593" t="n">
        <v>1567</v>
      </c>
      <c r="N1593" t="n">
        <v>9402000</v>
      </c>
      <c r="O1593" t="n">
        <v>23527428</v>
      </c>
      <c r="P1593" t="inlineStr"/>
      <c r="Q1593" t="n">
        <v>8.606999999999999</v>
      </c>
    </row>
    <row r="1594">
      <c r="A1594" t="inlineStr">
        <is>
          <t>MR24</t>
        </is>
      </c>
      <c r="B1594" t="inlineStr">
        <is>
          <t>SIMULACIONES_MR2024_V3</t>
        </is>
      </c>
      <c r="C1594" t="inlineStr">
        <is>
          <t>toneladas (6000 m3 x MR24_BD); pct sobre toneladas</t>
        </is>
      </c>
      <c r="D1594" t="inlineStr">
        <is>
          <t>anio_LOM25_AMIN_LE2</t>
        </is>
      </c>
      <c r="E1594" t="inlineStr">
        <is>
          <t>2037</t>
        </is>
      </c>
      <c r="F1594" t="inlineStr">
        <is>
          <t>litologia_normalizada</t>
        </is>
      </c>
      <c r="G1594" t="inlineStr">
        <is>
          <t>sin asignar</t>
        </is>
      </c>
      <c r="H1594" t="inlineStr">
        <is>
          <t>sin asignar</t>
        </is>
      </c>
      <c r="I1594" t="inlineStr"/>
      <c r="J1594" t="inlineStr">
        <is>
          <t>suma de filas por código</t>
        </is>
      </c>
      <c r="K1594" t="inlineStr"/>
      <c r="L1594" t="inlineStr"/>
      <c r="M1594" t="n">
        <v>15307</v>
      </c>
      <c r="N1594" t="n">
        <v>91842000</v>
      </c>
      <c r="O1594" t="n">
        <v>249806196</v>
      </c>
      <c r="P1594" t="inlineStr"/>
      <c r="Q1594" t="n">
        <v>91.393</v>
      </c>
    </row>
    <row r="1595">
      <c r="A1595" t="inlineStr">
        <is>
          <t>MR24</t>
        </is>
      </c>
      <c r="B1595" t="inlineStr">
        <is>
          <t>SIMULACIONES_MR2024_V3</t>
        </is>
      </c>
      <c r="C1595" t="inlineStr">
        <is>
          <t>toneladas (6000 m3 x MR24_BD); pct sobre toneladas</t>
        </is>
      </c>
      <c r="D1595" t="inlineStr">
        <is>
          <t>anio_LOM25_AMIN_LE2</t>
        </is>
      </c>
      <c r="E1595" t="inlineStr">
        <is>
          <t>2038</t>
        </is>
      </c>
      <c r="F1595" t="inlineStr">
        <is>
          <t>litologia_normalizada</t>
        </is>
      </c>
      <c r="G1595" t="inlineStr">
        <is>
          <t>Intrusivo</t>
        </is>
      </c>
      <c r="H1595" t="inlineStr">
        <is>
          <t>Intrusivo</t>
        </is>
      </c>
      <c r="I1595" t="inlineStr"/>
      <c r="J1595" t="inlineStr">
        <is>
          <t>suma de filas por código</t>
        </is>
      </c>
      <c r="K1595" t="inlineStr"/>
      <c r="L1595" t="inlineStr"/>
      <c r="M1595" t="n">
        <v>1560</v>
      </c>
      <c r="N1595" t="n">
        <v>9360000</v>
      </c>
      <c r="O1595" t="n">
        <v>23446962</v>
      </c>
      <c r="P1595" t="inlineStr"/>
      <c r="Q1595" t="n">
        <v>8.989000000000001</v>
      </c>
    </row>
    <row r="1596">
      <c r="A1596" t="inlineStr">
        <is>
          <t>MR24</t>
        </is>
      </c>
      <c r="B1596" t="inlineStr">
        <is>
          <t>SIMULACIONES_MR2024_V3</t>
        </is>
      </c>
      <c r="C1596" t="inlineStr">
        <is>
          <t>toneladas (6000 m3 x MR24_BD); pct sobre toneladas</t>
        </is>
      </c>
      <c r="D1596" t="inlineStr">
        <is>
          <t>anio_LOM25_AMIN_LE2</t>
        </is>
      </c>
      <c r="E1596" t="inlineStr">
        <is>
          <t>2038</t>
        </is>
      </c>
      <c r="F1596" t="inlineStr">
        <is>
          <t>litologia_normalizada</t>
        </is>
      </c>
      <c r="G1596" t="inlineStr">
        <is>
          <t>sin asignar</t>
        </is>
      </c>
      <c r="H1596" t="inlineStr">
        <is>
          <t>sin asignar</t>
        </is>
      </c>
      <c r="I1596" t="inlineStr"/>
      <c r="J1596" t="inlineStr">
        <is>
          <t>suma de filas por código</t>
        </is>
      </c>
      <c r="K1596" t="inlineStr"/>
      <c r="L1596" t="inlineStr"/>
      <c r="M1596" t="n">
        <v>14545</v>
      </c>
      <c r="N1596" t="n">
        <v>87270000</v>
      </c>
      <c r="O1596" t="n">
        <v>237393960</v>
      </c>
      <c r="P1596" t="inlineStr"/>
      <c r="Q1596" t="n">
        <v>91.011</v>
      </c>
    </row>
    <row r="1597">
      <c r="A1597" t="inlineStr">
        <is>
          <t>MR24</t>
        </is>
      </c>
      <c r="B1597" t="inlineStr">
        <is>
          <t>SIMULACIONES_MR2024_V3</t>
        </is>
      </c>
      <c r="C1597" t="inlineStr">
        <is>
          <t>toneladas (6000 m3 x MR24_BD); pct sobre toneladas</t>
        </is>
      </c>
      <c r="D1597" t="inlineStr">
        <is>
          <t>anio_LOM25_AMIN_LE2</t>
        </is>
      </c>
      <c r="E1597" t="inlineStr">
        <is>
          <t>2039</t>
        </is>
      </c>
      <c r="F1597" t="inlineStr">
        <is>
          <t>litologia_normalizada</t>
        </is>
      </c>
      <c r="G1597" t="inlineStr">
        <is>
          <t>Intrusivo</t>
        </is>
      </c>
      <c r="H1597" t="inlineStr">
        <is>
          <t>Intrusivo</t>
        </is>
      </c>
      <c r="I1597" t="inlineStr"/>
      <c r="J1597" t="inlineStr">
        <is>
          <t>suma de filas por código</t>
        </is>
      </c>
      <c r="K1597" t="inlineStr"/>
      <c r="L1597" t="inlineStr"/>
      <c r="M1597" t="n">
        <v>1406</v>
      </c>
      <c r="N1597" t="n">
        <v>8436000</v>
      </c>
      <c r="O1597" t="n">
        <v>20880540</v>
      </c>
      <c r="P1597" t="inlineStr"/>
      <c r="Q1597" t="n">
        <v>7.172</v>
      </c>
    </row>
    <row r="1598">
      <c r="A1598" t="inlineStr">
        <is>
          <t>MR24</t>
        </is>
      </c>
      <c r="B1598" t="inlineStr">
        <is>
          <t>SIMULACIONES_MR2024_V3</t>
        </is>
      </c>
      <c r="C1598" t="inlineStr">
        <is>
          <t>toneladas (6000 m3 x MR24_BD); pct sobre toneladas</t>
        </is>
      </c>
      <c r="D1598" t="inlineStr">
        <is>
          <t>anio_LOM25_AMIN_LE2</t>
        </is>
      </c>
      <c r="E1598" t="inlineStr">
        <is>
          <t>2039</t>
        </is>
      </c>
      <c r="F1598" t="inlineStr">
        <is>
          <t>litologia_normalizada</t>
        </is>
      </c>
      <c r="G1598" t="inlineStr">
        <is>
          <t>sin asignar</t>
        </is>
      </c>
      <c r="H1598" t="inlineStr">
        <is>
          <t>sin asignar</t>
        </is>
      </c>
      <c r="I1598" t="inlineStr"/>
      <c r="J1598" t="inlineStr">
        <is>
          <t>suma de filas por código</t>
        </is>
      </c>
      <c r="K1598" t="inlineStr"/>
      <c r="L1598" t="inlineStr"/>
      <c r="M1598" t="n">
        <v>16596</v>
      </c>
      <c r="N1598" t="n">
        <v>99576000</v>
      </c>
      <c r="O1598" t="n">
        <v>270265902</v>
      </c>
      <c r="P1598" t="inlineStr"/>
      <c r="Q1598" t="n">
        <v>92.827</v>
      </c>
    </row>
    <row r="1599">
      <c r="A1599" t="inlineStr">
        <is>
          <t>MR24</t>
        </is>
      </c>
      <c r="B1599" t="inlineStr">
        <is>
          <t>SIMULACIONES_MR2024_V3</t>
        </is>
      </c>
      <c r="C1599" t="inlineStr">
        <is>
          <t>toneladas (6000 m3 x MR24_BD); pct sobre toneladas</t>
        </is>
      </c>
      <c r="D1599" t="inlineStr">
        <is>
          <t>anio_LOM25_AMIN_LE2</t>
        </is>
      </c>
      <c r="E1599" t="inlineStr">
        <is>
          <t>2040</t>
        </is>
      </c>
      <c r="F1599" t="inlineStr">
        <is>
          <t>litologia_normalizada</t>
        </is>
      </c>
      <c r="G1599" t="inlineStr">
        <is>
          <t>Intrusivo</t>
        </is>
      </c>
      <c r="H1599" t="inlineStr">
        <is>
          <t>Intrusivo</t>
        </is>
      </c>
      <c r="I1599" t="inlineStr"/>
      <c r="J1599" t="inlineStr">
        <is>
          <t>suma de filas por código</t>
        </is>
      </c>
      <c r="K1599" t="inlineStr"/>
      <c r="L1599" t="inlineStr"/>
      <c r="M1599" t="n">
        <v>1433</v>
      </c>
      <c r="N1599" t="n">
        <v>8598000</v>
      </c>
      <c r="O1599" t="n">
        <v>21586206</v>
      </c>
      <c r="P1599" t="inlineStr"/>
      <c r="Q1599" t="n">
        <v>8.605</v>
      </c>
    </row>
    <row r="1600">
      <c r="A1600" t="inlineStr">
        <is>
          <t>MR24</t>
        </is>
      </c>
      <c r="B1600" t="inlineStr">
        <is>
          <t>SIMULACIONES_MR2024_V3</t>
        </is>
      </c>
      <c r="C1600" t="inlineStr">
        <is>
          <t>toneladas (6000 m3 x MR24_BD); pct sobre toneladas</t>
        </is>
      </c>
      <c r="D1600" t="inlineStr">
        <is>
          <t>anio_LOM25_AMIN_LE2</t>
        </is>
      </c>
      <c r="E1600" t="inlineStr">
        <is>
          <t>2040</t>
        </is>
      </c>
      <c r="F1600" t="inlineStr">
        <is>
          <t>litologia_normalizada</t>
        </is>
      </c>
      <c r="G1600" t="inlineStr">
        <is>
          <t>sin asignar</t>
        </is>
      </c>
      <c r="H1600" t="inlineStr">
        <is>
          <t>sin asignar</t>
        </is>
      </c>
      <c r="I1600" t="inlineStr"/>
      <c r="J1600" t="inlineStr">
        <is>
          <t>suma de filas por código</t>
        </is>
      </c>
      <c r="K1600" t="inlineStr"/>
      <c r="L1600" t="inlineStr"/>
      <c r="M1600" t="n">
        <v>14103</v>
      </c>
      <c r="N1600" t="n">
        <v>84618000</v>
      </c>
      <c r="O1600" t="n">
        <v>229259376</v>
      </c>
      <c r="P1600" t="inlineStr"/>
      <c r="Q1600" t="n">
        <v>91.39400000000001</v>
      </c>
    </row>
    <row r="1601">
      <c r="A1601" t="inlineStr">
        <is>
          <t>MR24</t>
        </is>
      </c>
      <c r="B1601" t="inlineStr">
        <is>
          <t>SIMULACIONES_MR2024_V3</t>
        </is>
      </c>
      <c r="C1601" t="inlineStr">
        <is>
          <t>toneladas (6000 m3 x MR24_BD); pct sobre toneladas</t>
        </is>
      </c>
      <c r="D1601" t="inlineStr">
        <is>
          <t>anio_LOM25_AMIN_LE2</t>
        </is>
      </c>
      <c r="E1601" t="inlineStr">
        <is>
          <t>2041</t>
        </is>
      </c>
      <c r="F1601" t="inlineStr">
        <is>
          <t>litologia_normalizada</t>
        </is>
      </c>
      <c r="G1601" t="inlineStr">
        <is>
          <t>Intrusivo</t>
        </is>
      </c>
      <c r="H1601" t="inlineStr">
        <is>
          <t>Intrusivo</t>
        </is>
      </c>
      <c r="I1601" t="inlineStr"/>
      <c r="J1601" t="inlineStr">
        <is>
          <t>suma de filas por código</t>
        </is>
      </c>
      <c r="K1601" t="inlineStr"/>
      <c r="L1601" t="inlineStr"/>
      <c r="M1601" t="n">
        <v>3702</v>
      </c>
      <c r="N1601" t="n">
        <v>22212000</v>
      </c>
      <c r="O1601" t="n">
        <v>55163658</v>
      </c>
      <c r="P1601" t="inlineStr"/>
      <c r="Q1601" t="n">
        <v>18.793</v>
      </c>
    </row>
    <row r="1602">
      <c r="A1602" t="inlineStr">
        <is>
          <t>MR24</t>
        </is>
      </c>
      <c r="B1602" t="inlineStr">
        <is>
          <t>SIMULACIONES_MR2024_V3</t>
        </is>
      </c>
      <c r="C1602" t="inlineStr">
        <is>
          <t>toneladas (6000 m3 x MR24_BD); pct sobre toneladas</t>
        </is>
      </c>
      <c r="D1602" t="inlineStr">
        <is>
          <t>anio_LOM25_AMIN_LE2</t>
        </is>
      </c>
      <c r="E1602" t="inlineStr">
        <is>
          <t>2041</t>
        </is>
      </c>
      <c r="F1602" t="inlineStr">
        <is>
          <t>litologia_normalizada</t>
        </is>
      </c>
      <c r="G1602" t="inlineStr">
        <is>
          <t>sin asignar</t>
        </is>
      </c>
      <c r="H1602" t="inlineStr">
        <is>
          <t>sin asignar</t>
        </is>
      </c>
      <c r="I1602" t="inlineStr"/>
      <c r="J1602" t="inlineStr">
        <is>
          <t>suma de filas por código</t>
        </is>
      </c>
      <c r="K1602" t="inlineStr"/>
      <c r="L1602" t="inlineStr"/>
      <c r="M1602" t="n">
        <v>14629</v>
      </c>
      <c r="N1602" t="n">
        <v>87774000</v>
      </c>
      <c r="O1602" t="n">
        <v>238372680</v>
      </c>
      <c r="P1602" t="inlineStr"/>
      <c r="Q1602" t="n">
        <v>81.20699999999999</v>
      </c>
    </row>
    <row r="1603">
      <c r="A1603" t="inlineStr">
        <is>
          <t>MR24</t>
        </is>
      </c>
      <c r="B1603" t="inlineStr">
        <is>
          <t>SIMULACIONES_MR2024_V3</t>
        </is>
      </c>
      <c r="C1603" t="inlineStr">
        <is>
          <t>toneladas (6000 m3 x MR24_BD); pct sobre toneladas</t>
        </is>
      </c>
      <c r="D1603" t="inlineStr">
        <is>
          <t>anio_LOM25_AMIN_LE2</t>
        </is>
      </c>
      <c r="E1603" t="inlineStr">
        <is>
          <t>2042</t>
        </is>
      </c>
      <c r="F1603" t="inlineStr">
        <is>
          <t>litologia_normalizada</t>
        </is>
      </c>
      <c r="G1603" t="inlineStr">
        <is>
          <t>Intrusivo</t>
        </is>
      </c>
      <c r="H1603" t="inlineStr">
        <is>
          <t>Intrusivo</t>
        </is>
      </c>
      <c r="I1603" t="inlineStr"/>
      <c r="J1603" t="inlineStr">
        <is>
          <t>suma de filas por código</t>
        </is>
      </c>
      <c r="K1603" t="inlineStr"/>
      <c r="L1603" t="inlineStr"/>
      <c r="M1603" t="n">
        <v>1856</v>
      </c>
      <c r="N1603" t="n">
        <v>11136000</v>
      </c>
      <c r="O1603" t="n">
        <v>27284886</v>
      </c>
      <c r="P1603" t="inlineStr"/>
      <c r="Q1603" t="n">
        <v>13.943</v>
      </c>
    </row>
    <row r="1604">
      <c r="A1604" t="inlineStr">
        <is>
          <t>MR24</t>
        </is>
      </c>
      <c r="B1604" t="inlineStr">
        <is>
          <t>SIMULACIONES_MR2024_V3</t>
        </is>
      </c>
      <c r="C1604" t="inlineStr">
        <is>
          <t>toneladas (6000 m3 x MR24_BD); pct sobre toneladas</t>
        </is>
      </c>
      <c r="D1604" t="inlineStr">
        <is>
          <t>anio_LOM25_AMIN_LE2</t>
        </is>
      </c>
      <c r="E1604" t="inlineStr">
        <is>
          <t>2042</t>
        </is>
      </c>
      <c r="F1604" t="inlineStr">
        <is>
          <t>litologia_normalizada</t>
        </is>
      </c>
      <c r="G1604" t="inlineStr">
        <is>
          <t>sin asignar</t>
        </is>
      </c>
      <c r="H1604" t="inlineStr">
        <is>
          <t>sin asignar</t>
        </is>
      </c>
      <c r="I1604" t="inlineStr"/>
      <c r="J1604" t="inlineStr">
        <is>
          <t>suma de filas por código</t>
        </is>
      </c>
      <c r="K1604" t="inlineStr"/>
      <c r="L1604" t="inlineStr"/>
      <c r="M1604" t="n">
        <v>10327</v>
      </c>
      <c r="N1604" t="n">
        <v>61962000</v>
      </c>
      <c r="O1604" t="n">
        <v>168396114</v>
      </c>
      <c r="P1604" t="inlineStr"/>
      <c r="Q1604" t="n">
        <v>86.056</v>
      </c>
    </row>
    <row r="1605">
      <c r="A1605" t="inlineStr">
        <is>
          <t>MR24</t>
        </is>
      </c>
      <c r="B1605" t="inlineStr">
        <is>
          <t>SIMULACIONES_MR2024_V3</t>
        </is>
      </c>
      <c r="C1605" t="inlineStr">
        <is>
          <t>toneladas (6000 m3 x MR24_BD); pct sobre toneladas</t>
        </is>
      </c>
      <c r="D1605" t="inlineStr">
        <is>
          <t>anio_LOM25_AMIN_LE2</t>
        </is>
      </c>
      <c r="E1605" t="inlineStr">
        <is>
          <t>2043</t>
        </is>
      </c>
      <c r="F1605" t="inlineStr">
        <is>
          <t>litologia_normalizada</t>
        </is>
      </c>
      <c r="G1605" t="inlineStr">
        <is>
          <t>Intrusivo</t>
        </is>
      </c>
      <c r="H1605" t="inlineStr">
        <is>
          <t>Intrusivo</t>
        </is>
      </c>
      <c r="I1605" t="inlineStr"/>
      <c r="J1605" t="inlineStr">
        <is>
          <t>suma de filas por código</t>
        </is>
      </c>
      <c r="K1605" t="inlineStr"/>
      <c r="L1605" t="inlineStr"/>
      <c r="M1605" t="n">
        <v>910</v>
      </c>
      <c r="N1605" t="n">
        <v>5460000</v>
      </c>
      <c r="O1605" t="n">
        <v>13499658</v>
      </c>
      <c r="P1605" t="inlineStr"/>
      <c r="Q1605" t="n">
        <v>8.529</v>
      </c>
    </row>
    <row r="1606">
      <c r="A1606" t="inlineStr">
        <is>
          <t>MR24</t>
        </is>
      </c>
      <c r="B1606" t="inlineStr">
        <is>
          <t>SIMULACIONES_MR2024_V3</t>
        </is>
      </c>
      <c r="C1606" t="inlineStr">
        <is>
          <t>toneladas (6000 m3 x MR24_BD); pct sobre toneladas</t>
        </is>
      </c>
      <c r="D1606" t="inlineStr">
        <is>
          <t>anio_LOM25_AMIN_LE2</t>
        </is>
      </c>
      <c r="E1606" t="inlineStr">
        <is>
          <t>2043</t>
        </is>
      </c>
      <c r="F1606" t="inlineStr">
        <is>
          <t>litologia_normalizada</t>
        </is>
      </c>
      <c r="G1606" t="inlineStr">
        <is>
          <t>sin asignar</t>
        </is>
      </c>
      <c r="H1606" t="inlineStr">
        <is>
          <t>sin asignar</t>
        </is>
      </c>
      <c r="I1606" t="inlineStr"/>
      <c r="J1606" t="inlineStr">
        <is>
          <t>suma de filas por código</t>
        </is>
      </c>
      <c r="K1606" t="inlineStr"/>
      <c r="L1606" t="inlineStr"/>
      <c r="M1606" t="n">
        <v>8878</v>
      </c>
      <c r="N1606" t="n">
        <v>53268000</v>
      </c>
      <c r="O1606" t="n">
        <v>144777822</v>
      </c>
      <c r="P1606" t="inlineStr"/>
      <c r="Q1606" t="n">
        <v>91.471</v>
      </c>
    </row>
    <row r="1607">
      <c r="A1607" t="inlineStr">
        <is>
          <t>MR24</t>
        </is>
      </c>
      <c r="B1607" t="inlineStr">
        <is>
          <t>SIMULACIONES_MR2024_V3</t>
        </is>
      </c>
      <c r="C1607" t="inlineStr">
        <is>
          <t>toneladas (6000 m3 x MR24_BD); pct sobre toneladas</t>
        </is>
      </c>
      <c r="D1607" t="inlineStr">
        <is>
          <t>anio_LOM25_AMIN_LE2</t>
        </is>
      </c>
      <c r="E1607" t="inlineStr">
        <is>
          <t>2044</t>
        </is>
      </c>
      <c r="F1607" t="inlineStr">
        <is>
          <t>litologia_normalizada</t>
        </is>
      </c>
      <c r="G1607" t="inlineStr">
        <is>
          <t>Intrusivo</t>
        </is>
      </c>
      <c r="H1607" t="inlineStr">
        <is>
          <t>Intrusivo</t>
        </is>
      </c>
      <c r="I1607" t="inlineStr"/>
      <c r="J1607" t="inlineStr">
        <is>
          <t>suma de filas por código</t>
        </is>
      </c>
      <c r="K1607" t="inlineStr"/>
      <c r="L1607" t="inlineStr"/>
      <c r="M1607" t="n">
        <v>1434</v>
      </c>
      <c r="N1607" t="n">
        <v>8604000</v>
      </c>
      <c r="O1607" t="n">
        <v>21376332</v>
      </c>
      <c r="P1607" t="inlineStr"/>
      <c r="Q1607" t="n">
        <v>14.967</v>
      </c>
    </row>
    <row r="1608">
      <c r="A1608" t="inlineStr">
        <is>
          <t>MR24</t>
        </is>
      </c>
      <c r="B1608" t="inlineStr">
        <is>
          <t>SIMULACIONES_MR2024_V3</t>
        </is>
      </c>
      <c r="C1608" t="inlineStr">
        <is>
          <t>toneladas (6000 m3 x MR24_BD); pct sobre toneladas</t>
        </is>
      </c>
      <c r="D1608" t="inlineStr">
        <is>
          <t>anio_LOM25_AMIN_LE2</t>
        </is>
      </c>
      <c r="E1608" t="inlineStr">
        <is>
          <t>2044</t>
        </is>
      </c>
      <c r="F1608" t="inlineStr">
        <is>
          <t>litologia_normalizada</t>
        </is>
      </c>
      <c r="G1608" t="inlineStr">
        <is>
          <t>sin asignar</t>
        </is>
      </c>
      <c r="H1608" t="inlineStr">
        <is>
          <t>sin asignar</t>
        </is>
      </c>
      <c r="I1608" t="inlineStr"/>
      <c r="J1608" t="inlineStr">
        <is>
          <t>suma de filas por código</t>
        </is>
      </c>
      <c r="K1608" t="inlineStr"/>
      <c r="L1608" t="inlineStr"/>
      <c r="M1608" t="n">
        <v>7399</v>
      </c>
      <c r="N1608" t="n">
        <v>44394000</v>
      </c>
      <c r="O1608" t="n">
        <v>121443216</v>
      </c>
      <c r="P1608" t="inlineStr"/>
      <c r="Q1608" t="n">
        <v>85.032</v>
      </c>
    </row>
    <row r="1609">
      <c r="A1609" t="inlineStr">
        <is>
          <t>MR24</t>
        </is>
      </c>
      <c r="B1609" t="inlineStr">
        <is>
          <t>SIMULACIONES_MR2024_V3</t>
        </is>
      </c>
      <c r="C1609" t="inlineStr">
        <is>
          <t>toneladas (6000 m3 x MR24_BD); pct sobre toneladas</t>
        </is>
      </c>
      <c r="D1609" t="inlineStr">
        <is>
          <t>anio_LOM25_AMIN_LE2</t>
        </is>
      </c>
      <c r="E1609" t="inlineStr">
        <is>
          <t>2045</t>
        </is>
      </c>
      <c r="F1609" t="inlineStr">
        <is>
          <t>litologia_normalizada</t>
        </is>
      </c>
      <c r="G1609" t="inlineStr">
        <is>
          <t>Intrusivo</t>
        </is>
      </c>
      <c r="H1609" t="inlineStr">
        <is>
          <t>Intrusivo</t>
        </is>
      </c>
      <c r="I1609" t="inlineStr"/>
      <c r="J1609" t="inlineStr">
        <is>
          <t>suma de filas por código</t>
        </is>
      </c>
      <c r="K1609" t="inlineStr"/>
      <c r="L1609" t="inlineStr"/>
      <c r="M1609" t="n">
        <v>3251</v>
      </c>
      <c r="N1609" t="n">
        <v>19506000</v>
      </c>
      <c r="O1609" t="n">
        <v>48194358</v>
      </c>
      <c r="P1609" t="inlineStr"/>
      <c r="Q1609" t="n">
        <v>38.42</v>
      </c>
    </row>
    <row r="1610">
      <c r="A1610" t="inlineStr">
        <is>
          <t>MR24</t>
        </is>
      </c>
      <c r="B1610" t="inlineStr">
        <is>
          <t>SIMULACIONES_MR2024_V3</t>
        </is>
      </c>
      <c r="C1610" t="inlineStr">
        <is>
          <t>toneladas (6000 m3 x MR24_BD); pct sobre toneladas</t>
        </is>
      </c>
      <c r="D1610" t="inlineStr">
        <is>
          <t>anio_LOM25_AMIN_LE2</t>
        </is>
      </c>
      <c r="E1610" t="inlineStr">
        <is>
          <t>2045</t>
        </is>
      </c>
      <c r="F1610" t="inlineStr">
        <is>
          <t>litologia_normalizada</t>
        </is>
      </c>
      <c r="G1610" t="inlineStr">
        <is>
          <t>sin asignar</t>
        </is>
      </c>
      <c r="H1610" t="inlineStr">
        <is>
          <t>sin asignar</t>
        </is>
      </c>
      <c r="I1610" t="inlineStr"/>
      <c r="J1610" t="inlineStr">
        <is>
          <t>suma de filas por código</t>
        </is>
      </c>
      <c r="K1610" t="inlineStr"/>
      <c r="L1610" t="inlineStr"/>
      <c r="M1610" t="n">
        <v>4719</v>
      </c>
      <c r="N1610" t="n">
        <v>28314000</v>
      </c>
      <c r="O1610" t="n">
        <v>77246802</v>
      </c>
      <c r="P1610" t="inlineStr"/>
      <c r="Q1610" t="n">
        <v>61.581</v>
      </c>
    </row>
    <row r="1611">
      <c r="A1611" t="inlineStr">
        <is>
          <t>MR24</t>
        </is>
      </c>
      <c r="B1611" t="inlineStr">
        <is>
          <t>SIMULACIONES_MR2024_V3</t>
        </is>
      </c>
      <c r="C1611" t="inlineStr">
        <is>
          <t>toneladas (6000 m3 x MR24_BD); pct sobre toneladas</t>
        </is>
      </c>
      <c r="D1611" t="inlineStr">
        <is>
          <t>anio_LOM25_AMIN_LE2</t>
        </is>
      </c>
      <c r="E1611" t="inlineStr">
        <is>
          <t>2046</t>
        </is>
      </c>
      <c r="F1611" t="inlineStr">
        <is>
          <t>litologia_normalizada</t>
        </is>
      </c>
      <c r="G1611" t="inlineStr">
        <is>
          <t>Intrusivo</t>
        </is>
      </c>
      <c r="H1611" t="inlineStr">
        <is>
          <t>Intrusivo</t>
        </is>
      </c>
      <c r="I1611" t="inlineStr"/>
      <c r="J1611" t="inlineStr">
        <is>
          <t>suma de filas por código</t>
        </is>
      </c>
      <c r="K1611" t="inlineStr"/>
      <c r="L1611" t="inlineStr"/>
      <c r="M1611" t="n">
        <v>3481</v>
      </c>
      <c r="N1611" t="n">
        <v>20886000</v>
      </c>
      <c r="O1611" t="n">
        <v>51431058</v>
      </c>
      <c r="P1611" t="inlineStr"/>
      <c r="Q1611" t="n">
        <v>63.573</v>
      </c>
    </row>
    <row r="1612">
      <c r="A1612" t="inlineStr">
        <is>
          <t>MR24</t>
        </is>
      </c>
      <c r="B1612" t="inlineStr">
        <is>
          <t>SIMULACIONES_MR2024_V3</t>
        </is>
      </c>
      <c r="C1612" t="inlineStr">
        <is>
          <t>toneladas (6000 m3 x MR24_BD); pct sobre toneladas</t>
        </is>
      </c>
      <c r="D1612" t="inlineStr">
        <is>
          <t>anio_LOM25_AMIN_LE2</t>
        </is>
      </c>
      <c r="E1612" t="inlineStr">
        <is>
          <t>2046</t>
        </is>
      </c>
      <c r="F1612" t="inlineStr">
        <is>
          <t>litologia_normalizada</t>
        </is>
      </c>
      <c r="G1612" t="inlineStr">
        <is>
          <t>sin asignar</t>
        </is>
      </c>
      <c r="H1612" t="inlineStr">
        <is>
          <t>sin asignar</t>
        </is>
      </c>
      <c r="I1612" t="inlineStr"/>
      <c r="J1612" t="inlineStr">
        <is>
          <t>suma de filas por código</t>
        </is>
      </c>
      <c r="K1612" t="inlineStr"/>
      <c r="L1612" t="inlineStr"/>
      <c r="M1612" t="n">
        <v>1807</v>
      </c>
      <c r="N1612" t="n">
        <v>10842000</v>
      </c>
      <c r="O1612" t="n">
        <v>29469786</v>
      </c>
      <c r="P1612" t="inlineStr"/>
      <c r="Q1612" t="n">
        <v>36.427</v>
      </c>
    </row>
    <row r="1613">
      <c r="A1613" t="inlineStr">
        <is>
          <t>MR24</t>
        </is>
      </c>
      <c r="B1613" t="inlineStr">
        <is>
          <t>SIMULACIONES_MR2024_V3</t>
        </is>
      </c>
      <c r="C1613" t="inlineStr">
        <is>
          <t>toneladas (6000 m3 x MR24_BD); pct sobre toneladas</t>
        </is>
      </c>
      <c r="D1613" t="inlineStr">
        <is>
          <t>anio_LOM25_AMIN_LE2</t>
        </is>
      </c>
      <c r="E1613" t="inlineStr">
        <is>
          <t>2047</t>
        </is>
      </c>
      <c r="F1613" t="inlineStr">
        <is>
          <t>litologia_normalizada</t>
        </is>
      </c>
      <c r="G1613" t="inlineStr">
        <is>
          <t>Intrusivo</t>
        </is>
      </c>
      <c r="H1613" t="inlineStr">
        <is>
          <t>Intrusivo</t>
        </is>
      </c>
      <c r="I1613" t="inlineStr"/>
      <c r="J1613" t="inlineStr">
        <is>
          <t>suma de filas por código</t>
        </is>
      </c>
      <c r="K1613" t="inlineStr"/>
      <c r="L1613" t="inlineStr"/>
      <c r="M1613" t="n">
        <v>3128</v>
      </c>
      <c r="N1613" t="n">
        <v>18768000</v>
      </c>
      <c r="O1613" t="n">
        <v>45708876</v>
      </c>
      <c r="P1613" t="inlineStr"/>
      <c r="Q1613" t="n">
        <v>78.81999999999999</v>
      </c>
    </row>
    <row r="1614">
      <c r="A1614" t="inlineStr">
        <is>
          <t>MR24</t>
        </is>
      </c>
      <c r="B1614" t="inlineStr">
        <is>
          <t>SIMULACIONES_MR2024_V3</t>
        </is>
      </c>
      <c r="C1614" t="inlineStr">
        <is>
          <t>toneladas (6000 m3 x MR24_BD); pct sobre toneladas</t>
        </is>
      </c>
      <c r="D1614" t="inlineStr">
        <is>
          <t>anio_LOM25_AMIN_LE2</t>
        </is>
      </c>
      <c r="E1614" t="inlineStr">
        <is>
          <t>2047</t>
        </is>
      </c>
      <c r="F1614" t="inlineStr">
        <is>
          <t>litologia_normalizada</t>
        </is>
      </c>
      <c r="G1614" t="inlineStr">
        <is>
          <t>sin asignar</t>
        </is>
      </c>
      <c r="H1614" t="inlineStr">
        <is>
          <t>sin asignar</t>
        </is>
      </c>
      <c r="I1614" t="inlineStr"/>
      <c r="J1614" t="inlineStr">
        <is>
          <t>suma de filas por código</t>
        </is>
      </c>
      <c r="K1614" t="inlineStr"/>
      <c r="L1614" t="inlineStr"/>
      <c r="M1614" t="n">
        <v>752</v>
      </c>
      <c r="N1614" t="n">
        <v>4512000</v>
      </c>
      <c r="O1614" t="n">
        <v>12282504</v>
      </c>
      <c r="P1614" t="inlineStr"/>
      <c r="Q1614" t="n">
        <v>21.18</v>
      </c>
    </row>
    <row r="1615">
      <c r="A1615" t="inlineStr">
        <is>
          <t>MR24</t>
        </is>
      </c>
      <c r="B1615" t="inlineStr">
        <is>
          <t>SIMULACIONES_MR2024_V3</t>
        </is>
      </c>
      <c r="C1615" t="inlineStr">
        <is>
          <t>toneladas (6000 m3 x MR24_BD); pct sobre toneladas</t>
        </is>
      </c>
      <c r="D1615" t="inlineStr">
        <is>
          <t>anio_LOM25_AMIN_LE2</t>
        </is>
      </c>
      <c r="E1615" t="inlineStr">
        <is>
          <t>2048</t>
        </is>
      </c>
      <c r="F1615" t="inlineStr">
        <is>
          <t>litologia_normalizada</t>
        </is>
      </c>
      <c r="G1615" t="inlineStr">
        <is>
          <t>Intrusivo</t>
        </is>
      </c>
      <c r="H1615" t="inlineStr">
        <is>
          <t>Intrusivo</t>
        </is>
      </c>
      <c r="I1615" t="inlineStr"/>
      <c r="J1615" t="inlineStr">
        <is>
          <t>suma de filas por código</t>
        </is>
      </c>
      <c r="K1615" t="inlineStr"/>
      <c r="L1615" t="inlineStr"/>
      <c r="M1615" t="n">
        <v>1651</v>
      </c>
      <c r="N1615" t="n">
        <v>9906000</v>
      </c>
      <c r="O1615" t="n">
        <v>24391542</v>
      </c>
      <c r="P1615" t="inlineStr"/>
      <c r="Q1615" t="n">
        <v>88.979</v>
      </c>
    </row>
    <row r="1616">
      <c r="A1616" t="inlineStr">
        <is>
          <t>MR24</t>
        </is>
      </c>
      <c r="B1616" t="inlineStr">
        <is>
          <t>SIMULACIONES_MR2024_V3</t>
        </is>
      </c>
      <c r="C1616" t="inlineStr">
        <is>
          <t>toneladas (6000 m3 x MR24_BD); pct sobre toneladas</t>
        </is>
      </c>
      <c r="D1616" t="inlineStr">
        <is>
          <t>anio_LOM25_AMIN_LE2</t>
        </is>
      </c>
      <c r="E1616" t="inlineStr">
        <is>
          <t>2048</t>
        </is>
      </c>
      <c r="F1616" t="inlineStr">
        <is>
          <t>litologia_normalizada</t>
        </is>
      </c>
      <c r="G1616" t="inlineStr">
        <is>
          <t>sin asignar</t>
        </is>
      </c>
      <c r="H1616" t="inlineStr">
        <is>
          <t>sin asignar</t>
        </is>
      </c>
      <c r="I1616" t="inlineStr"/>
      <c r="J1616" t="inlineStr">
        <is>
          <t>suma de filas por código</t>
        </is>
      </c>
      <c r="K1616" t="inlineStr"/>
      <c r="L1616" t="inlineStr"/>
      <c r="M1616" t="n">
        <v>184</v>
      </c>
      <c r="N1616" t="n">
        <v>1104000</v>
      </c>
      <c r="O1616" t="n">
        <v>3021078</v>
      </c>
      <c r="P1616" t="inlineStr"/>
      <c r="Q1616" t="n">
        <v>11.021</v>
      </c>
    </row>
    <row r="1617">
      <c r="A1617" t="inlineStr">
        <is>
          <t>MR24</t>
        </is>
      </c>
      <c r="B1617" t="inlineStr">
        <is>
          <t>SIMULACIONES_MR2024_V3</t>
        </is>
      </c>
      <c r="C1617" t="inlineStr">
        <is>
          <t>toneladas (6000 m3 x MR24_BD); pct sobre toneladas</t>
        </is>
      </c>
      <c r="D1617" t="inlineStr">
        <is>
          <t>anio_LOM25_AMIN_LE2</t>
        </is>
      </c>
      <c r="E1617" t="inlineStr">
        <is>
          <t>2049</t>
        </is>
      </c>
      <c r="F1617" t="inlineStr">
        <is>
          <t>litologia_normalizada</t>
        </is>
      </c>
      <c r="G1617" t="inlineStr">
        <is>
          <t>Intrusivo</t>
        </is>
      </c>
      <c r="H1617" t="inlineStr">
        <is>
          <t>Intrusivo</t>
        </is>
      </c>
      <c r="I1617" t="inlineStr"/>
      <c r="J1617" t="inlineStr">
        <is>
          <t>suma de filas por código</t>
        </is>
      </c>
      <c r="K1617" t="inlineStr"/>
      <c r="L1617" t="inlineStr"/>
      <c r="M1617" t="n">
        <v>178</v>
      </c>
      <c r="N1617" t="n">
        <v>1068000</v>
      </c>
      <c r="O1617" t="n">
        <v>2627172</v>
      </c>
      <c r="P1617" t="inlineStr"/>
      <c r="Q1617" t="n">
        <v>100</v>
      </c>
    </row>
    <row r="1618">
      <c r="A1618" t="inlineStr">
        <is>
          <t>MR24</t>
        </is>
      </c>
      <c r="B1618" t="inlineStr">
        <is>
          <t>SIMULACIONES_MR2024_V3</t>
        </is>
      </c>
      <c r="C1618" t="inlineStr">
        <is>
          <t>toneladas (6000 m3 x MR24_BD); pct sobre toneladas</t>
        </is>
      </c>
      <c r="D1618" t="inlineStr">
        <is>
          <t>anio_LOM25_AMIN_LE2</t>
        </is>
      </c>
      <c r="E1618" t="inlineStr">
        <is>
          <t>sin dato</t>
        </is>
      </c>
      <c r="F1618" t="inlineStr">
        <is>
          <t>litologia_normalizada</t>
        </is>
      </c>
      <c r="G1618" t="inlineStr">
        <is>
          <t>Intrusivo</t>
        </is>
      </c>
      <c r="H1618" t="inlineStr">
        <is>
          <t>Intrusivo</t>
        </is>
      </c>
      <c r="I1618" t="inlineStr"/>
      <c r="J1618" t="inlineStr">
        <is>
          <t>suma de filas por código</t>
        </is>
      </c>
      <c r="K1618" t="inlineStr"/>
      <c r="L1618" t="inlineStr"/>
      <c r="M1618" t="n">
        <v>2277</v>
      </c>
      <c r="N1618" t="n">
        <v>13662000</v>
      </c>
      <c r="O1618" t="n">
        <v>33585342</v>
      </c>
      <c r="P1618" t="inlineStr"/>
      <c r="Q1618" t="n">
        <v>22.645</v>
      </c>
    </row>
    <row r="1619">
      <c r="A1619" t="inlineStr">
        <is>
          <t>MR24</t>
        </is>
      </c>
      <c r="B1619" t="inlineStr">
        <is>
          <t>SIMULACIONES_MR2024_V3</t>
        </is>
      </c>
      <c r="C1619" t="inlineStr">
        <is>
          <t>toneladas (6000 m3 x MR24_BD); pct sobre toneladas</t>
        </is>
      </c>
      <c r="D1619" t="inlineStr">
        <is>
          <t>anio_LOM25_AMIN_LE2</t>
        </is>
      </c>
      <c r="E1619" t="inlineStr">
        <is>
          <t>sin dato</t>
        </is>
      </c>
      <c r="F1619" t="inlineStr">
        <is>
          <t>litologia_normalizada</t>
        </is>
      </c>
      <c r="G1619" t="inlineStr">
        <is>
          <t>sin asignar</t>
        </is>
      </c>
      <c r="H1619" t="inlineStr">
        <is>
          <t>sin asignar</t>
        </is>
      </c>
      <c r="I1619" t="inlineStr"/>
      <c r="J1619" t="inlineStr">
        <is>
          <t>suma de filas por código</t>
        </is>
      </c>
      <c r="K1619" t="inlineStr"/>
      <c r="L1619" t="inlineStr"/>
      <c r="M1619" t="n">
        <v>7078</v>
      </c>
      <c r="N1619" t="n">
        <v>42468000</v>
      </c>
      <c r="O1619" t="n">
        <v>114726162</v>
      </c>
      <c r="P1619" t="inlineStr"/>
      <c r="Q1619" t="n">
        <v>77.35599999999999</v>
      </c>
    </row>
    <row r="1620">
      <c r="A1620" t="inlineStr">
        <is>
          <t>MR24</t>
        </is>
      </c>
      <c r="B1620" t="inlineStr">
        <is>
          <t>SIMULACIONES_MR2024_V3</t>
        </is>
      </c>
      <c r="C1620" t="inlineStr">
        <is>
          <t>toneladas (6000 m3 x MR24_BD); pct sobre toneladas</t>
        </is>
      </c>
      <c r="D1620" t="inlineStr">
        <is>
          <t>fase_LOM25_FASES_LE2</t>
        </is>
      </c>
      <c r="E1620" t="inlineStr">
        <is>
          <t>10A</t>
        </is>
      </c>
      <c r="F1620" t="inlineStr">
        <is>
          <t>litologia_normalizada</t>
        </is>
      </c>
      <c r="G1620" t="inlineStr">
        <is>
          <t>Intrusivo</t>
        </is>
      </c>
      <c r="H1620" t="inlineStr">
        <is>
          <t>Intrusivo</t>
        </is>
      </c>
      <c r="I1620" t="inlineStr"/>
      <c r="J1620" t="inlineStr">
        <is>
          <t>suma de filas por código</t>
        </is>
      </c>
      <c r="K1620" t="inlineStr"/>
      <c r="L1620" t="inlineStr"/>
      <c r="M1620" t="n">
        <v>4813</v>
      </c>
      <c r="N1620" t="n">
        <v>28878000</v>
      </c>
      <c r="O1620" t="n">
        <v>70865808</v>
      </c>
      <c r="P1620" t="inlineStr"/>
      <c r="Q1620" t="n">
        <v>12.762</v>
      </c>
    </row>
    <row r="1621">
      <c r="A1621" t="inlineStr">
        <is>
          <t>MR24</t>
        </is>
      </c>
      <c r="B1621" t="inlineStr">
        <is>
          <t>SIMULACIONES_MR2024_V3</t>
        </is>
      </c>
      <c r="C1621" t="inlineStr">
        <is>
          <t>toneladas (6000 m3 x MR24_BD); pct sobre toneladas</t>
        </is>
      </c>
      <c r="D1621" t="inlineStr">
        <is>
          <t>fase_LOM25_FASES_LE2</t>
        </is>
      </c>
      <c r="E1621" t="inlineStr">
        <is>
          <t>10A</t>
        </is>
      </c>
      <c r="F1621" t="inlineStr">
        <is>
          <t>litologia_normalizada</t>
        </is>
      </c>
      <c r="G1621" t="inlineStr">
        <is>
          <t>sin asignar</t>
        </is>
      </c>
      <c r="H1621" t="inlineStr">
        <is>
          <t>sin asignar</t>
        </is>
      </c>
      <c r="I1621" t="inlineStr"/>
      <c r="J1621" t="inlineStr">
        <is>
          <t>suma de filas por código</t>
        </is>
      </c>
      <c r="K1621" t="inlineStr"/>
      <c r="L1621" t="inlineStr"/>
      <c r="M1621" t="n">
        <v>29778</v>
      </c>
      <c r="N1621" t="n">
        <v>178668000</v>
      </c>
      <c r="O1621" t="n">
        <v>484422096</v>
      </c>
      <c r="P1621" t="inlineStr"/>
      <c r="Q1621" t="n">
        <v>87.238</v>
      </c>
    </row>
    <row r="1622">
      <c r="A1622" t="inlineStr">
        <is>
          <t>MR24</t>
        </is>
      </c>
      <c r="B1622" t="inlineStr">
        <is>
          <t>SIMULACIONES_MR2024_V3</t>
        </is>
      </c>
      <c r="C1622" t="inlineStr">
        <is>
          <t>toneladas (6000 m3 x MR24_BD); pct sobre toneladas</t>
        </is>
      </c>
      <c r="D1622" t="inlineStr">
        <is>
          <t>fase_LOM25_FASES_LE2</t>
        </is>
      </c>
      <c r="E1622" t="inlineStr">
        <is>
          <t>10B</t>
        </is>
      </c>
      <c r="F1622" t="inlineStr">
        <is>
          <t>litologia_normalizada</t>
        </is>
      </c>
      <c r="G1622" t="inlineStr">
        <is>
          <t>Intrusivo</t>
        </is>
      </c>
      <c r="H1622" t="inlineStr">
        <is>
          <t>Intrusivo</t>
        </is>
      </c>
      <c r="I1622" t="inlineStr"/>
      <c r="J1622" t="inlineStr">
        <is>
          <t>suma de filas por código</t>
        </is>
      </c>
      <c r="K1622" t="inlineStr"/>
      <c r="L1622" t="inlineStr"/>
      <c r="M1622" t="n">
        <v>4404</v>
      </c>
      <c r="N1622" t="n">
        <v>26424000</v>
      </c>
      <c r="O1622" t="n">
        <v>64936272</v>
      </c>
      <c r="P1622" t="inlineStr"/>
      <c r="Q1622" t="n">
        <v>31.138</v>
      </c>
    </row>
    <row r="1623">
      <c r="A1623" t="inlineStr">
        <is>
          <t>MR24</t>
        </is>
      </c>
      <c r="B1623" t="inlineStr">
        <is>
          <t>SIMULACIONES_MR2024_V3</t>
        </is>
      </c>
      <c r="C1623" t="inlineStr">
        <is>
          <t>toneladas (6000 m3 x MR24_BD); pct sobre toneladas</t>
        </is>
      </c>
      <c r="D1623" t="inlineStr">
        <is>
          <t>fase_LOM25_FASES_LE2</t>
        </is>
      </c>
      <c r="E1623" t="inlineStr">
        <is>
          <t>10B</t>
        </is>
      </c>
      <c r="F1623" t="inlineStr">
        <is>
          <t>litologia_normalizada</t>
        </is>
      </c>
      <c r="G1623" t="inlineStr">
        <is>
          <t>sin asignar</t>
        </is>
      </c>
      <c r="H1623" t="inlineStr">
        <is>
          <t>sin asignar</t>
        </is>
      </c>
      <c r="I1623" t="inlineStr"/>
      <c r="J1623" t="inlineStr">
        <is>
          <t>suma de filas por código</t>
        </is>
      </c>
      <c r="K1623" t="inlineStr"/>
      <c r="L1623" t="inlineStr"/>
      <c r="M1623" t="n">
        <v>8675</v>
      </c>
      <c r="N1623" t="n">
        <v>52050000</v>
      </c>
      <c r="O1623" t="n">
        <v>143602278</v>
      </c>
      <c r="P1623" t="inlineStr"/>
      <c r="Q1623" t="n">
        <v>68.861</v>
      </c>
    </row>
    <row r="1624">
      <c r="A1624" t="inlineStr">
        <is>
          <t>MR24</t>
        </is>
      </c>
      <c r="B1624" t="inlineStr">
        <is>
          <t>SIMULACIONES_MR2024_V3</t>
        </is>
      </c>
      <c r="C1624" t="inlineStr">
        <is>
          <t>toneladas (6000 m3 x MR24_BD); pct sobre toneladas</t>
        </is>
      </c>
      <c r="D1624" t="inlineStr">
        <is>
          <t>fase_LOM25_FASES_LE2</t>
        </is>
      </c>
      <c r="E1624" t="inlineStr">
        <is>
          <t>11</t>
        </is>
      </c>
      <c r="F1624" t="inlineStr">
        <is>
          <t>litologia_normalizada</t>
        </is>
      </c>
      <c r="G1624" t="inlineStr">
        <is>
          <t>Intrusivo</t>
        </is>
      </c>
      <c r="H1624" t="inlineStr">
        <is>
          <t>Intrusivo</t>
        </is>
      </c>
      <c r="I1624" t="inlineStr"/>
      <c r="J1624" t="inlineStr">
        <is>
          <t>suma de filas por código</t>
        </is>
      </c>
      <c r="K1624" t="inlineStr"/>
      <c r="L1624" t="inlineStr"/>
      <c r="M1624" t="n">
        <v>5406</v>
      </c>
      <c r="N1624" t="n">
        <v>32436000</v>
      </c>
      <c r="O1624" t="n">
        <v>81609780</v>
      </c>
      <c r="P1624" t="inlineStr"/>
      <c r="Q1624" t="n">
        <v>16.73</v>
      </c>
    </row>
    <row r="1625">
      <c r="A1625" t="inlineStr">
        <is>
          <t>MR24</t>
        </is>
      </c>
      <c r="B1625" t="inlineStr">
        <is>
          <t>SIMULACIONES_MR2024_V3</t>
        </is>
      </c>
      <c r="C1625" t="inlineStr">
        <is>
          <t>toneladas (6000 m3 x MR24_BD); pct sobre toneladas</t>
        </is>
      </c>
      <c r="D1625" t="inlineStr">
        <is>
          <t>fase_LOM25_FASES_LE2</t>
        </is>
      </c>
      <c r="E1625" t="inlineStr">
        <is>
          <t>11</t>
        </is>
      </c>
      <c r="F1625" t="inlineStr">
        <is>
          <t>litologia_normalizada</t>
        </is>
      </c>
      <c r="G1625" t="inlineStr">
        <is>
          <t>sin asignar</t>
        </is>
      </c>
      <c r="H1625" t="inlineStr">
        <is>
          <t>sin asignar</t>
        </is>
      </c>
      <c r="I1625" t="inlineStr"/>
      <c r="J1625" t="inlineStr">
        <is>
          <t>suma de filas por código</t>
        </is>
      </c>
      <c r="K1625" t="inlineStr"/>
      <c r="L1625" t="inlineStr"/>
      <c r="M1625" t="n">
        <v>24804</v>
      </c>
      <c r="N1625" t="n">
        <v>148824000</v>
      </c>
      <c r="O1625" t="n">
        <v>406216554</v>
      </c>
      <c r="P1625" t="inlineStr"/>
      <c r="Q1625" t="n">
        <v>83.271</v>
      </c>
    </row>
    <row r="1626">
      <c r="A1626" t="inlineStr">
        <is>
          <t>MR24</t>
        </is>
      </c>
      <c r="B1626" t="inlineStr">
        <is>
          <t>SIMULACIONES_MR2024_V3</t>
        </is>
      </c>
      <c r="C1626" t="inlineStr">
        <is>
          <t>toneladas (6000 m3 x MR24_BD); pct sobre toneladas</t>
        </is>
      </c>
      <c r="D1626" t="inlineStr">
        <is>
          <t>fase_LOM25_FASES_LE2</t>
        </is>
      </c>
      <c r="E1626" t="inlineStr">
        <is>
          <t>1201</t>
        </is>
      </c>
      <c r="F1626" t="inlineStr">
        <is>
          <t>litologia_normalizada</t>
        </is>
      </c>
      <c r="G1626" t="inlineStr">
        <is>
          <t>Intrusivo</t>
        </is>
      </c>
      <c r="H1626" t="inlineStr">
        <is>
          <t>Intrusivo</t>
        </is>
      </c>
      <c r="I1626" t="inlineStr"/>
      <c r="J1626" t="inlineStr">
        <is>
          <t>suma de filas por código</t>
        </is>
      </c>
      <c r="K1626" t="inlineStr"/>
      <c r="L1626" t="inlineStr"/>
      <c r="M1626" t="n">
        <v>4279</v>
      </c>
      <c r="N1626" t="n">
        <v>25674000</v>
      </c>
      <c r="O1626" t="n">
        <v>64979508</v>
      </c>
      <c r="P1626" t="inlineStr"/>
      <c r="Q1626" t="n">
        <v>10.635</v>
      </c>
    </row>
    <row r="1627">
      <c r="A1627" t="inlineStr">
        <is>
          <t>MR24</t>
        </is>
      </c>
      <c r="B1627" t="inlineStr">
        <is>
          <t>SIMULACIONES_MR2024_V3</t>
        </is>
      </c>
      <c r="C1627" t="inlineStr">
        <is>
          <t>toneladas (6000 m3 x MR24_BD); pct sobre toneladas</t>
        </is>
      </c>
      <c r="D1627" t="inlineStr">
        <is>
          <t>fase_LOM25_FASES_LE2</t>
        </is>
      </c>
      <c r="E1627" t="inlineStr">
        <is>
          <t>1201</t>
        </is>
      </c>
      <c r="F1627" t="inlineStr">
        <is>
          <t>litologia_normalizada</t>
        </is>
      </c>
      <c r="G1627" t="inlineStr">
        <is>
          <t>sin asignar</t>
        </is>
      </c>
      <c r="H1627" t="inlineStr">
        <is>
          <t>sin asignar</t>
        </is>
      </c>
      <c r="I1627" t="inlineStr"/>
      <c r="J1627" t="inlineStr">
        <is>
          <t>suma de filas por código</t>
        </is>
      </c>
      <c r="K1627" t="inlineStr"/>
      <c r="L1627" t="inlineStr"/>
      <c r="M1627" t="n">
        <v>33539</v>
      </c>
      <c r="N1627" t="n">
        <v>201234000</v>
      </c>
      <c r="O1627" t="n">
        <v>545992128</v>
      </c>
      <c r="P1627" t="inlineStr"/>
      <c r="Q1627" t="n">
        <v>89.36499999999999</v>
      </c>
    </row>
    <row r="1628">
      <c r="A1628" t="inlineStr">
        <is>
          <t>MR24</t>
        </is>
      </c>
      <c r="B1628" t="inlineStr">
        <is>
          <t>SIMULACIONES_MR2024_V3</t>
        </is>
      </c>
      <c r="C1628" t="inlineStr">
        <is>
          <t>toneladas (6000 m3 x MR24_BD); pct sobre toneladas</t>
        </is>
      </c>
      <c r="D1628" t="inlineStr">
        <is>
          <t>fase_LOM25_FASES_LE2</t>
        </is>
      </c>
      <c r="E1628" t="inlineStr">
        <is>
          <t>1202</t>
        </is>
      </c>
      <c r="F1628" t="inlineStr">
        <is>
          <t>litologia_normalizada</t>
        </is>
      </c>
      <c r="G1628" t="inlineStr">
        <is>
          <t>Intrusivo</t>
        </is>
      </c>
      <c r="H1628" t="inlineStr">
        <is>
          <t>Intrusivo</t>
        </is>
      </c>
      <c r="I1628" t="inlineStr"/>
      <c r="J1628" t="inlineStr">
        <is>
          <t>suma de filas por código</t>
        </is>
      </c>
      <c r="K1628" t="inlineStr"/>
      <c r="L1628" t="inlineStr"/>
      <c r="M1628" t="n">
        <v>8219</v>
      </c>
      <c r="N1628" t="n">
        <v>49314000</v>
      </c>
      <c r="O1628" t="n">
        <v>121056186</v>
      </c>
      <c r="P1628" t="inlineStr"/>
      <c r="Q1628" t="n">
        <v>12.429</v>
      </c>
    </row>
    <row r="1629">
      <c r="A1629" t="inlineStr">
        <is>
          <t>MR24</t>
        </is>
      </c>
      <c r="B1629" t="inlineStr">
        <is>
          <t>SIMULACIONES_MR2024_V3</t>
        </is>
      </c>
      <c r="C1629" t="inlineStr">
        <is>
          <t>toneladas (6000 m3 x MR24_BD); pct sobre toneladas</t>
        </is>
      </c>
      <c r="D1629" t="inlineStr">
        <is>
          <t>fase_LOM25_FASES_LE2</t>
        </is>
      </c>
      <c r="E1629" t="inlineStr">
        <is>
          <t>1202</t>
        </is>
      </c>
      <c r="F1629" t="inlineStr">
        <is>
          <t>litologia_normalizada</t>
        </is>
      </c>
      <c r="G1629" t="inlineStr">
        <is>
          <t>sin asignar</t>
        </is>
      </c>
      <c r="H1629" t="inlineStr">
        <is>
          <t>sin asignar</t>
        </is>
      </c>
      <c r="I1629" t="inlineStr"/>
      <c r="J1629" t="inlineStr">
        <is>
          <t>suma de filas por código</t>
        </is>
      </c>
      <c r="K1629" t="inlineStr"/>
      <c r="L1629" t="inlineStr"/>
      <c r="M1629" t="n">
        <v>52064</v>
      </c>
      <c r="N1629" t="n">
        <v>312384000</v>
      </c>
      <c r="O1629" t="n">
        <v>852958464</v>
      </c>
      <c r="P1629" t="inlineStr"/>
      <c r="Q1629" t="n">
        <v>87.572</v>
      </c>
    </row>
    <row r="1630">
      <c r="A1630" t="inlineStr">
        <is>
          <t>MR24</t>
        </is>
      </c>
      <c r="B1630" t="inlineStr">
        <is>
          <t>SIMULACIONES_MR2024_V3</t>
        </is>
      </c>
      <c r="C1630" t="inlineStr">
        <is>
          <t>toneladas (6000 m3 x MR24_BD); pct sobre toneladas</t>
        </is>
      </c>
      <c r="D1630" t="inlineStr">
        <is>
          <t>fase_LOM25_FASES_LE2</t>
        </is>
      </c>
      <c r="E1630" t="inlineStr">
        <is>
          <t>13</t>
        </is>
      </c>
      <c r="F1630" t="inlineStr">
        <is>
          <t>litologia_normalizada</t>
        </is>
      </c>
      <c r="G1630" t="inlineStr">
        <is>
          <t>Intrusivo</t>
        </is>
      </c>
      <c r="H1630" t="inlineStr">
        <is>
          <t>Intrusivo</t>
        </is>
      </c>
      <c r="I1630" t="inlineStr"/>
      <c r="J1630" t="inlineStr">
        <is>
          <t>suma de filas por código</t>
        </is>
      </c>
      <c r="K1630" t="inlineStr"/>
      <c r="L1630" t="inlineStr"/>
      <c r="M1630" t="n">
        <v>9453</v>
      </c>
      <c r="N1630" t="n">
        <v>56718000</v>
      </c>
      <c r="O1630" t="n">
        <v>141136500</v>
      </c>
      <c r="P1630" t="inlineStr"/>
      <c r="Q1630" t="n">
        <v>13.271</v>
      </c>
    </row>
    <row r="1631">
      <c r="A1631" t="inlineStr">
        <is>
          <t>MR24</t>
        </is>
      </c>
      <c r="B1631" t="inlineStr">
        <is>
          <t>SIMULACIONES_MR2024_V3</t>
        </is>
      </c>
      <c r="C1631" t="inlineStr">
        <is>
          <t>toneladas (6000 m3 x MR24_BD); pct sobre toneladas</t>
        </is>
      </c>
      <c r="D1631" t="inlineStr">
        <is>
          <t>fase_LOM25_FASES_LE2</t>
        </is>
      </c>
      <c r="E1631" t="inlineStr">
        <is>
          <t>13</t>
        </is>
      </c>
      <c r="F1631" t="inlineStr">
        <is>
          <t>litologia_normalizada</t>
        </is>
      </c>
      <c r="G1631" t="inlineStr">
        <is>
          <t>sin asignar</t>
        </is>
      </c>
      <c r="H1631" t="inlineStr">
        <is>
          <t>sin asignar</t>
        </is>
      </c>
      <c r="I1631" t="inlineStr"/>
      <c r="J1631" t="inlineStr">
        <is>
          <t>suma de filas por código</t>
        </is>
      </c>
      <c r="K1631" t="inlineStr"/>
      <c r="L1631" t="inlineStr"/>
      <c r="M1631" t="n">
        <v>56670</v>
      </c>
      <c r="N1631" t="n">
        <v>340020000</v>
      </c>
      <c r="O1631" t="n">
        <v>922367076</v>
      </c>
      <c r="P1631" t="inlineStr"/>
      <c r="Q1631" t="n">
        <v>86.729</v>
      </c>
    </row>
    <row r="1632">
      <c r="A1632" t="inlineStr">
        <is>
          <t>MR24</t>
        </is>
      </c>
      <c r="B1632" t="inlineStr">
        <is>
          <t>SIMULACIONES_MR2024_V3</t>
        </is>
      </c>
      <c r="C1632" t="inlineStr">
        <is>
          <t>toneladas (6000 m3 x MR24_BD); pct sobre toneladas</t>
        </is>
      </c>
      <c r="D1632" t="inlineStr">
        <is>
          <t>fase_LOM25_FASES_LE2</t>
        </is>
      </c>
      <c r="E1632" t="inlineStr">
        <is>
          <t>14</t>
        </is>
      </c>
      <c r="F1632" t="inlineStr">
        <is>
          <t>litologia_normalizada</t>
        </is>
      </c>
      <c r="G1632" t="inlineStr">
        <is>
          <t>Intrusivo</t>
        </is>
      </c>
      <c r="H1632" t="inlineStr">
        <is>
          <t>Intrusivo</t>
        </is>
      </c>
      <c r="I1632" t="inlineStr"/>
      <c r="J1632" t="inlineStr">
        <is>
          <t>suma de filas por código</t>
        </is>
      </c>
      <c r="K1632" t="inlineStr"/>
      <c r="L1632" t="inlineStr"/>
      <c r="M1632" t="n">
        <v>5483</v>
      </c>
      <c r="N1632" t="n">
        <v>32898000</v>
      </c>
      <c r="O1632" t="n">
        <v>81515568</v>
      </c>
      <c r="P1632" t="inlineStr"/>
      <c r="Q1632" t="n">
        <v>11.278</v>
      </c>
    </row>
    <row r="1633">
      <c r="A1633" t="inlineStr">
        <is>
          <t>MR24</t>
        </is>
      </c>
      <c r="B1633" t="inlineStr">
        <is>
          <t>SIMULACIONES_MR2024_V3</t>
        </is>
      </c>
      <c r="C1633" t="inlineStr">
        <is>
          <t>toneladas (6000 m3 x MR24_BD); pct sobre toneladas</t>
        </is>
      </c>
      <c r="D1633" t="inlineStr">
        <is>
          <t>fase_LOM25_FASES_LE2</t>
        </is>
      </c>
      <c r="E1633" t="inlineStr">
        <is>
          <t>14</t>
        </is>
      </c>
      <c r="F1633" t="inlineStr">
        <is>
          <t>litologia_normalizada</t>
        </is>
      </c>
      <c r="G1633" t="inlineStr">
        <is>
          <t>sin asignar</t>
        </is>
      </c>
      <c r="H1633" t="inlineStr">
        <is>
          <t>sin asignar</t>
        </is>
      </c>
      <c r="I1633" t="inlineStr"/>
      <c r="J1633" t="inlineStr">
        <is>
          <t>suma de filas por código</t>
        </is>
      </c>
      <c r="K1633" t="inlineStr"/>
      <c r="L1633" t="inlineStr"/>
      <c r="M1633" t="n">
        <v>39369</v>
      </c>
      <c r="N1633" t="n">
        <v>236214000</v>
      </c>
      <c r="O1633" t="n">
        <v>641299146</v>
      </c>
      <c r="P1633" t="inlineStr"/>
      <c r="Q1633" t="n">
        <v>88.72199999999999</v>
      </c>
    </row>
    <row r="1634">
      <c r="A1634" t="inlineStr">
        <is>
          <t>MR24</t>
        </is>
      </c>
      <c r="B1634" t="inlineStr">
        <is>
          <t>SIMULACIONES_MR2024_V3</t>
        </is>
      </c>
      <c r="C1634" t="inlineStr">
        <is>
          <t>toneladas (6000 m3 x MR24_BD); pct sobre toneladas</t>
        </is>
      </c>
      <c r="D1634" t="inlineStr">
        <is>
          <t>fase_LOM25_FASES_LE2</t>
        </is>
      </c>
      <c r="E1634" t="inlineStr">
        <is>
          <t>8</t>
        </is>
      </c>
      <c r="F1634" t="inlineStr">
        <is>
          <t>litologia_normalizada</t>
        </is>
      </c>
      <c r="G1634" t="inlineStr">
        <is>
          <t>Intrusivo</t>
        </is>
      </c>
      <c r="H1634" t="inlineStr">
        <is>
          <t>Intrusivo</t>
        </is>
      </c>
      <c r="I1634" t="inlineStr"/>
      <c r="J1634" t="inlineStr">
        <is>
          <t>suma de filas por código</t>
        </is>
      </c>
      <c r="K1634" t="inlineStr"/>
      <c r="L1634" t="inlineStr"/>
      <c r="M1634" t="n">
        <v>675</v>
      </c>
      <c r="N1634" t="n">
        <v>4050000</v>
      </c>
      <c r="O1634" t="n">
        <v>9851040</v>
      </c>
      <c r="P1634" t="inlineStr"/>
      <c r="Q1634" t="n">
        <v>97.58799999999999</v>
      </c>
    </row>
    <row r="1635">
      <c r="A1635" t="inlineStr">
        <is>
          <t>MR24</t>
        </is>
      </c>
      <c r="B1635" t="inlineStr">
        <is>
          <t>SIMULACIONES_MR2024_V3</t>
        </is>
      </c>
      <c r="C1635" t="inlineStr">
        <is>
          <t>toneladas (6000 m3 x MR24_BD); pct sobre toneladas</t>
        </is>
      </c>
      <c r="D1635" t="inlineStr">
        <is>
          <t>fase_LOM25_FASES_LE2</t>
        </is>
      </c>
      <c r="E1635" t="inlineStr">
        <is>
          <t>8</t>
        </is>
      </c>
      <c r="F1635" t="inlineStr">
        <is>
          <t>litologia_normalizada</t>
        </is>
      </c>
      <c r="G1635" t="inlineStr">
        <is>
          <t>sin asignar</t>
        </is>
      </c>
      <c r="H1635" t="inlineStr">
        <is>
          <t>sin asignar</t>
        </is>
      </c>
      <c r="I1635" t="inlineStr"/>
      <c r="J1635" t="inlineStr">
        <is>
          <t>suma de filas por código</t>
        </is>
      </c>
      <c r="K1635" t="inlineStr"/>
      <c r="L1635" t="inlineStr"/>
      <c r="M1635" t="n">
        <v>16</v>
      </c>
      <c r="N1635" t="n">
        <v>96000</v>
      </c>
      <c r="O1635" t="n">
        <v>243480</v>
      </c>
      <c r="P1635" t="inlineStr"/>
      <c r="Q1635" t="n">
        <v>2.412</v>
      </c>
    </row>
    <row r="1636">
      <c r="A1636" t="inlineStr">
        <is>
          <t>MR24</t>
        </is>
      </c>
      <c r="B1636" t="inlineStr">
        <is>
          <t>SIMULACIONES_MR2024_V3</t>
        </is>
      </c>
      <c r="C1636" t="inlineStr">
        <is>
          <t>toneladas (6000 m3 x MR24_BD); pct sobre toneladas</t>
        </is>
      </c>
      <c r="D1636" t="inlineStr">
        <is>
          <t>fase_LOM25_FASES_LE2</t>
        </is>
      </c>
      <c r="E1636" t="inlineStr">
        <is>
          <t>9A</t>
        </is>
      </c>
      <c r="F1636" t="inlineStr">
        <is>
          <t>litologia_normalizada</t>
        </is>
      </c>
      <c r="G1636" t="inlineStr">
        <is>
          <t>sin asignar</t>
        </is>
      </c>
      <c r="H1636" t="inlineStr">
        <is>
          <t>sin asignar</t>
        </is>
      </c>
      <c r="I1636" t="inlineStr"/>
      <c r="J1636" t="inlineStr">
        <is>
          <t>suma de filas por código</t>
        </is>
      </c>
      <c r="K1636" t="inlineStr"/>
      <c r="L1636" t="inlineStr"/>
      <c r="M1636" t="n">
        <v>6</v>
      </c>
      <c r="N1636" t="n">
        <v>36000</v>
      </c>
      <c r="O1636" t="n">
        <v>97554</v>
      </c>
      <c r="P1636" t="inlineStr"/>
      <c r="Q1636" t="n">
        <v>100</v>
      </c>
    </row>
    <row r="1637">
      <c r="A1637" t="inlineStr">
        <is>
          <t>MR24</t>
        </is>
      </c>
      <c r="B1637" t="inlineStr">
        <is>
          <t>SIMULACIONES_MR2024_V3</t>
        </is>
      </c>
      <c r="C1637" t="inlineStr">
        <is>
          <t>toneladas (6000 m3 x MR24_BD); pct sobre toneladas</t>
        </is>
      </c>
      <c r="D1637" t="inlineStr">
        <is>
          <t>fase_LOM25_FASES_LE2</t>
        </is>
      </c>
      <c r="E1637" t="inlineStr">
        <is>
          <t>9B</t>
        </is>
      </c>
      <c r="F1637" t="inlineStr">
        <is>
          <t>litologia_normalizada</t>
        </is>
      </c>
      <c r="G1637" t="inlineStr">
        <is>
          <t>Intrusivo</t>
        </is>
      </c>
      <c r="H1637" t="inlineStr">
        <is>
          <t>Intrusivo</t>
        </is>
      </c>
      <c r="I1637" t="inlineStr"/>
      <c r="J1637" t="inlineStr">
        <is>
          <t>suma de filas por código</t>
        </is>
      </c>
      <c r="K1637" t="inlineStr"/>
      <c r="L1637" t="inlineStr"/>
      <c r="M1637" t="n">
        <v>2004</v>
      </c>
      <c r="N1637" t="n">
        <v>12024000</v>
      </c>
      <c r="O1637" t="n">
        <v>29276904</v>
      </c>
      <c r="P1637" t="inlineStr"/>
      <c r="Q1637" t="n">
        <v>31.653</v>
      </c>
    </row>
    <row r="1638">
      <c r="A1638" t="inlineStr">
        <is>
          <t>MR24</t>
        </is>
      </c>
      <c r="B1638" t="inlineStr">
        <is>
          <t>SIMULACIONES_MR2024_V3</t>
        </is>
      </c>
      <c r="C1638" t="inlineStr">
        <is>
          <t>toneladas (6000 m3 x MR24_BD); pct sobre toneladas</t>
        </is>
      </c>
      <c r="D1638" t="inlineStr">
        <is>
          <t>fase_LOM25_FASES_LE2</t>
        </is>
      </c>
      <c r="E1638" t="inlineStr">
        <is>
          <t>9B</t>
        </is>
      </c>
      <c r="F1638" t="inlineStr">
        <is>
          <t>litologia_normalizada</t>
        </is>
      </c>
      <c r="G1638" t="inlineStr">
        <is>
          <t>sin asignar</t>
        </is>
      </c>
      <c r="H1638" t="inlineStr">
        <is>
          <t>sin asignar</t>
        </is>
      </c>
      <c r="I1638" t="inlineStr"/>
      <c r="J1638" t="inlineStr">
        <is>
          <t>suma de filas por código</t>
        </is>
      </c>
      <c r="K1638" t="inlineStr"/>
      <c r="L1638" t="inlineStr"/>
      <c r="M1638" t="n">
        <v>3869</v>
      </c>
      <c r="N1638" t="n">
        <v>23214000</v>
      </c>
      <c r="O1638" t="n">
        <v>63215688</v>
      </c>
      <c r="P1638" t="inlineStr"/>
      <c r="Q1638" t="n">
        <v>68.346</v>
      </c>
    </row>
    <row r="1639">
      <c r="A1639" t="inlineStr">
        <is>
          <t>MR24</t>
        </is>
      </c>
      <c r="B1639" t="inlineStr">
        <is>
          <t>SIMULACIONES_MR2024_V3</t>
        </is>
      </c>
      <c r="C1639" t="inlineStr">
        <is>
          <t>toneladas (6000 m3 x MR24_BD); pct sobre toneladas</t>
        </is>
      </c>
      <c r="D1639" t="inlineStr">
        <is>
          <t>fase_LOM25_FASES_LE2</t>
        </is>
      </c>
      <c r="E1639" t="inlineStr">
        <is>
          <t>9C</t>
        </is>
      </c>
      <c r="F1639" t="inlineStr">
        <is>
          <t>litologia_normalizada</t>
        </is>
      </c>
      <c r="G1639" t="inlineStr">
        <is>
          <t>Intrusivo</t>
        </is>
      </c>
      <c r="H1639" t="inlineStr">
        <is>
          <t>Intrusivo</t>
        </is>
      </c>
      <c r="I1639" t="inlineStr"/>
      <c r="J1639" t="inlineStr">
        <is>
          <t>suma de filas por código</t>
        </is>
      </c>
      <c r="K1639" t="inlineStr"/>
      <c r="L1639" t="inlineStr"/>
      <c r="M1639" t="n">
        <v>2113</v>
      </c>
      <c r="N1639" t="n">
        <v>12678000</v>
      </c>
      <c r="O1639" t="n">
        <v>30837846</v>
      </c>
      <c r="P1639" t="inlineStr"/>
      <c r="Q1639" t="n">
        <v>38.831</v>
      </c>
    </row>
    <row r="1640">
      <c r="A1640" t="inlineStr">
        <is>
          <t>MR24</t>
        </is>
      </c>
      <c r="B1640" t="inlineStr">
        <is>
          <t>SIMULACIONES_MR2024_V3</t>
        </is>
      </c>
      <c r="C1640" t="inlineStr">
        <is>
          <t>toneladas (6000 m3 x MR24_BD); pct sobre toneladas</t>
        </is>
      </c>
      <c r="D1640" t="inlineStr">
        <is>
          <t>fase_LOM25_FASES_LE2</t>
        </is>
      </c>
      <c r="E1640" t="inlineStr">
        <is>
          <t>9C</t>
        </is>
      </c>
      <c r="F1640" t="inlineStr">
        <is>
          <t>litologia_normalizada</t>
        </is>
      </c>
      <c r="G1640" t="inlineStr">
        <is>
          <t>sin asignar</t>
        </is>
      </c>
      <c r="H1640" t="inlineStr">
        <is>
          <t>sin asignar</t>
        </is>
      </c>
      <c r="I1640" t="inlineStr"/>
      <c r="J1640" t="inlineStr">
        <is>
          <t>suma de filas por código</t>
        </is>
      </c>
      <c r="K1640" t="inlineStr"/>
      <c r="L1640" t="inlineStr"/>
      <c r="M1640" t="n">
        <v>2980</v>
      </c>
      <c r="N1640" t="n">
        <v>17880000</v>
      </c>
      <c r="O1640" t="n">
        <v>48577848</v>
      </c>
      <c r="P1640" t="inlineStr"/>
      <c r="Q1640" t="n">
        <v>61.169</v>
      </c>
    </row>
    <row r="1641">
      <c r="A1641" t="inlineStr">
        <is>
          <t>MR24</t>
        </is>
      </c>
      <c r="B1641" t="inlineStr">
        <is>
          <t>SIMULACIONES_MR2024_V3</t>
        </is>
      </c>
      <c r="C1641" t="inlineStr">
        <is>
          <t>toneladas (6000 m3 x MR24_BD); pct sobre toneladas</t>
        </is>
      </c>
      <c r="D1641" t="inlineStr">
        <is>
          <t>fase_LOM25_FASES_LE2</t>
        </is>
      </c>
      <c r="E1641" t="inlineStr">
        <is>
          <t>9D</t>
        </is>
      </c>
      <c r="F1641" t="inlineStr">
        <is>
          <t>litologia_normalizada</t>
        </is>
      </c>
      <c r="G1641" t="inlineStr">
        <is>
          <t>Intrusivo</t>
        </is>
      </c>
      <c r="H1641" t="inlineStr">
        <is>
          <t>Intrusivo</t>
        </is>
      </c>
      <c r="I1641" t="inlineStr"/>
      <c r="J1641" t="inlineStr">
        <is>
          <t>suma de filas por código</t>
        </is>
      </c>
      <c r="K1641" t="inlineStr"/>
      <c r="L1641" t="inlineStr"/>
      <c r="M1641" t="n">
        <v>824</v>
      </c>
      <c r="N1641" t="n">
        <v>4944000</v>
      </c>
      <c r="O1641" t="n">
        <v>12200274</v>
      </c>
      <c r="P1641" t="inlineStr"/>
      <c r="Q1641" t="n">
        <v>35.706</v>
      </c>
    </row>
    <row r="1642">
      <c r="A1642" t="inlineStr">
        <is>
          <t>MR24</t>
        </is>
      </c>
      <c r="B1642" t="inlineStr">
        <is>
          <t>SIMULACIONES_MR2024_V3</t>
        </is>
      </c>
      <c r="C1642" t="inlineStr">
        <is>
          <t>toneladas (6000 m3 x MR24_BD); pct sobre toneladas</t>
        </is>
      </c>
      <c r="D1642" t="inlineStr">
        <is>
          <t>fase_LOM25_FASES_LE2</t>
        </is>
      </c>
      <c r="E1642" t="inlineStr">
        <is>
          <t>9D</t>
        </is>
      </c>
      <c r="F1642" t="inlineStr">
        <is>
          <t>litologia_normalizada</t>
        </is>
      </c>
      <c r="G1642" t="inlineStr">
        <is>
          <t>sin asignar</t>
        </is>
      </c>
      <c r="H1642" t="inlineStr">
        <is>
          <t>sin asignar</t>
        </is>
      </c>
      <c r="I1642" t="inlineStr"/>
      <c r="J1642" t="inlineStr">
        <is>
          <t>suma de filas por código</t>
        </is>
      </c>
      <c r="K1642" t="inlineStr"/>
      <c r="L1642" t="inlineStr"/>
      <c r="M1642" t="n">
        <v>1304</v>
      </c>
      <c r="N1642" t="n">
        <v>7824000</v>
      </c>
      <c r="O1642" t="n">
        <v>21967980</v>
      </c>
      <c r="P1642" t="inlineStr"/>
      <c r="Q1642" t="n">
        <v>64.294</v>
      </c>
    </row>
    <row r="1643">
      <c r="A1643" t="inlineStr">
        <is>
          <t>MR24</t>
        </is>
      </c>
      <c r="B1643" t="inlineStr">
        <is>
          <t>SIMULACIONES_MR2024_V3</t>
        </is>
      </c>
      <c r="C1643" t="inlineStr">
        <is>
          <t>toneladas (6000 m3 x MR24_BD); pct sobre toneladas</t>
        </is>
      </c>
      <c r="D1643" t="inlineStr">
        <is>
          <t>fase_LOM25_FASES_LE2</t>
        </is>
      </c>
      <c r="E1643" t="inlineStr">
        <is>
          <t>sin dato</t>
        </is>
      </c>
      <c r="F1643" t="inlineStr">
        <is>
          <t>litologia_normalizada</t>
        </is>
      </c>
      <c r="G1643" t="inlineStr">
        <is>
          <t>Intrusivo</t>
        </is>
      </c>
      <c r="H1643" t="inlineStr">
        <is>
          <t>Intrusivo</t>
        </is>
      </c>
      <c r="I1643" t="inlineStr"/>
      <c r="J1643" t="inlineStr">
        <is>
          <t>suma de filas por código</t>
        </is>
      </c>
      <c r="K1643" t="inlineStr"/>
      <c r="L1643" t="inlineStr"/>
      <c r="M1643" t="n">
        <v>2277</v>
      </c>
      <c r="N1643" t="n">
        <v>13662000</v>
      </c>
      <c r="O1643" t="n">
        <v>33585342</v>
      </c>
      <c r="P1643" t="inlineStr"/>
      <c r="Q1643" t="n">
        <v>22.645</v>
      </c>
    </row>
    <row r="1644">
      <c r="A1644" t="inlineStr">
        <is>
          <t>MR24</t>
        </is>
      </c>
      <c r="B1644" t="inlineStr">
        <is>
          <t>SIMULACIONES_MR2024_V3</t>
        </is>
      </c>
      <c r="C1644" t="inlineStr">
        <is>
          <t>toneladas (6000 m3 x MR24_BD); pct sobre toneladas</t>
        </is>
      </c>
      <c r="D1644" t="inlineStr">
        <is>
          <t>fase_LOM25_FASES_LE2</t>
        </is>
      </c>
      <c r="E1644" t="inlineStr">
        <is>
          <t>sin dato</t>
        </is>
      </c>
      <c r="F1644" t="inlineStr">
        <is>
          <t>litologia_normalizada</t>
        </is>
      </c>
      <c r="G1644" t="inlineStr">
        <is>
          <t>sin asignar</t>
        </is>
      </c>
      <c r="H1644" t="inlineStr">
        <is>
          <t>sin asignar</t>
        </is>
      </c>
      <c r="I1644" t="inlineStr"/>
      <c r="J1644" t="inlineStr">
        <is>
          <t>suma de filas por código</t>
        </is>
      </c>
      <c r="K1644" t="inlineStr"/>
      <c r="L1644" t="inlineStr"/>
      <c r="M1644" t="n">
        <v>7078</v>
      </c>
      <c r="N1644" t="n">
        <v>42468000</v>
      </c>
      <c r="O1644" t="n">
        <v>114726162</v>
      </c>
      <c r="P1644" t="inlineStr"/>
      <c r="Q1644" t="n">
        <v>77.35599999999999</v>
      </c>
    </row>
    <row r="1645">
      <c r="A1645" t="inlineStr">
        <is>
          <t>MR24</t>
        </is>
      </c>
      <c r="B1645" t="inlineStr">
        <is>
          <t>SIMULACIONES_MR2024_V3</t>
        </is>
      </c>
      <c r="C1645" t="inlineStr">
        <is>
          <t>toneladas (6000 m3 x MR24_BD); pct sobre toneladas</t>
        </is>
      </c>
      <c r="D1645" t="inlineStr">
        <is>
          <t>periodo_XLE2WST_AMIN</t>
        </is>
      </c>
      <c r="E1645" t="inlineStr">
        <is>
          <t>2025</t>
        </is>
      </c>
      <c r="F1645" t="inlineStr">
        <is>
          <t>litologia_normalizada</t>
        </is>
      </c>
      <c r="G1645" t="inlineStr">
        <is>
          <t>Intrusivo</t>
        </is>
      </c>
      <c r="H1645" t="inlineStr">
        <is>
          <t>Intrusivo</t>
        </is>
      </c>
      <c r="I1645" t="inlineStr"/>
      <c r="J1645" t="inlineStr">
        <is>
          <t>suma de filas por código</t>
        </is>
      </c>
      <c r="K1645" t="inlineStr"/>
      <c r="L1645" t="inlineStr"/>
      <c r="M1645" t="n">
        <v>852</v>
      </c>
      <c r="N1645" t="n">
        <v>5112000</v>
      </c>
      <c r="O1645" t="n">
        <v>12553908</v>
      </c>
      <c r="P1645" t="inlineStr"/>
      <c r="Q1645" t="n">
        <v>6.581</v>
      </c>
    </row>
    <row r="1646">
      <c r="A1646" t="inlineStr">
        <is>
          <t>MR24</t>
        </is>
      </c>
      <c r="B1646" t="inlineStr">
        <is>
          <t>SIMULACIONES_MR2024_V3</t>
        </is>
      </c>
      <c r="C1646" t="inlineStr">
        <is>
          <t>toneladas (6000 m3 x MR24_BD); pct sobre toneladas</t>
        </is>
      </c>
      <c r="D1646" t="inlineStr">
        <is>
          <t>periodo_XLE2WST_AMIN</t>
        </is>
      </c>
      <c r="E1646" t="inlineStr">
        <is>
          <t>2025</t>
        </is>
      </c>
      <c r="F1646" t="inlineStr">
        <is>
          <t>litologia_normalizada</t>
        </is>
      </c>
      <c r="G1646" t="inlineStr">
        <is>
          <t>sin asignar</t>
        </is>
      </c>
      <c r="H1646" t="inlineStr">
        <is>
          <t>sin asignar</t>
        </is>
      </c>
      <c r="I1646" t="inlineStr"/>
      <c r="J1646" t="inlineStr">
        <is>
          <t>suma de filas por código</t>
        </is>
      </c>
      <c r="K1646" t="inlineStr"/>
      <c r="L1646" t="inlineStr"/>
      <c r="M1646" t="n">
        <v>10958</v>
      </c>
      <c r="N1646" t="n">
        <v>65748000</v>
      </c>
      <c r="O1646" t="n">
        <v>178220592</v>
      </c>
      <c r="P1646" t="inlineStr"/>
      <c r="Q1646" t="n">
        <v>93.419</v>
      </c>
    </row>
    <row r="1647">
      <c r="A1647" t="inlineStr">
        <is>
          <t>MR24</t>
        </is>
      </c>
      <c r="B1647" t="inlineStr">
        <is>
          <t>SIMULACIONES_MR2024_V3</t>
        </is>
      </c>
      <c r="C1647" t="inlineStr">
        <is>
          <t>toneladas (6000 m3 x MR24_BD); pct sobre toneladas</t>
        </is>
      </c>
      <c r="D1647" t="inlineStr">
        <is>
          <t>periodo_XLE2WST_AMIN</t>
        </is>
      </c>
      <c r="E1647" t="inlineStr">
        <is>
          <t>2026</t>
        </is>
      </c>
      <c r="F1647" t="inlineStr">
        <is>
          <t>litologia_normalizada</t>
        </is>
      </c>
      <c r="G1647" t="inlineStr">
        <is>
          <t>Intrusivo</t>
        </is>
      </c>
      <c r="H1647" t="inlineStr">
        <is>
          <t>Intrusivo</t>
        </is>
      </c>
      <c r="I1647" t="inlineStr"/>
      <c r="J1647" t="inlineStr">
        <is>
          <t>suma de filas por código</t>
        </is>
      </c>
      <c r="K1647" t="inlineStr"/>
      <c r="L1647" t="inlineStr"/>
      <c r="M1647" t="n">
        <v>1161</v>
      </c>
      <c r="N1647" t="n">
        <v>6966000</v>
      </c>
      <c r="O1647" t="n">
        <v>17100696</v>
      </c>
      <c r="P1647" t="inlineStr"/>
      <c r="Q1647" t="n">
        <v>8.839</v>
      </c>
    </row>
    <row r="1648">
      <c r="A1648" t="inlineStr">
        <is>
          <t>MR24</t>
        </is>
      </c>
      <c r="B1648" t="inlineStr">
        <is>
          <t>SIMULACIONES_MR2024_V3</t>
        </is>
      </c>
      <c r="C1648" t="inlineStr">
        <is>
          <t>toneladas (6000 m3 x MR24_BD); pct sobre toneladas</t>
        </is>
      </c>
      <c r="D1648" t="inlineStr">
        <is>
          <t>periodo_XLE2WST_AMIN</t>
        </is>
      </c>
      <c r="E1648" t="inlineStr">
        <is>
          <t>2026</t>
        </is>
      </c>
      <c r="F1648" t="inlineStr">
        <is>
          <t>litologia_normalizada</t>
        </is>
      </c>
      <c r="G1648" t="inlineStr">
        <is>
          <t>sin asignar</t>
        </is>
      </c>
      <c r="H1648" t="inlineStr">
        <is>
          <t>sin asignar</t>
        </is>
      </c>
      <c r="I1648" t="inlineStr"/>
      <c r="J1648" t="inlineStr">
        <is>
          <t>suma de filas por código</t>
        </is>
      </c>
      <c r="K1648" t="inlineStr"/>
      <c r="L1648" t="inlineStr"/>
      <c r="M1648" t="n">
        <v>10826</v>
      </c>
      <c r="N1648" t="n">
        <v>64956000</v>
      </c>
      <c r="O1648" t="n">
        <v>176358018</v>
      </c>
      <c r="P1648" t="inlineStr"/>
      <c r="Q1648" t="n">
        <v>91.161</v>
      </c>
    </row>
    <row r="1649">
      <c r="A1649" t="inlineStr">
        <is>
          <t>MR24</t>
        </is>
      </c>
      <c r="B1649" t="inlineStr">
        <is>
          <t>SIMULACIONES_MR2024_V3</t>
        </is>
      </c>
      <c r="C1649" t="inlineStr">
        <is>
          <t>toneladas (6000 m3 x MR24_BD); pct sobre toneladas</t>
        </is>
      </c>
      <c r="D1649" t="inlineStr">
        <is>
          <t>periodo_XLE2WST_AMIN</t>
        </is>
      </c>
      <c r="E1649" t="inlineStr">
        <is>
          <t>2027</t>
        </is>
      </c>
      <c r="F1649" t="inlineStr">
        <is>
          <t>litologia_normalizada</t>
        </is>
      </c>
      <c r="G1649" t="inlineStr">
        <is>
          <t>Intrusivo</t>
        </is>
      </c>
      <c r="H1649" t="inlineStr">
        <is>
          <t>Intrusivo</t>
        </is>
      </c>
      <c r="I1649" t="inlineStr"/>
      <c r="J1649" t="inlineStr">
        <is>
          <t>suma de filas por código</t>
        </is>
      </c>
      <c r="K1649" t="inlineStr"/>
      <c r="L1649" t="inlineStr"/>
      <c r="M1649" t="n">
        <v>1814</v>
      </c>
      <c r="N1649" t="n">
        <v>10884000</v>
      </c>
      <c r="O1649" t="n">
        <v>26616000</v>
      </c>
      <c r="P1649" t="inlineStr"/>
      <c r="Q1649" t="n">
        <v>15.965</v>
      </c>
    </row>
    <row r="1650">
      <c r="A1650" t="inlineStr">
        <is>
          <t>MR24</t>
        </is>
      </c>
      <c r="B1650" t="inlineStr">
        <is>
          <t>SIMULACIONES_MR2024_V3</t>
        </is>
      </c>
      <c r="C1650" t="inlineStr">
        <is>
          <t>toneladas (6000 m3 x MR24_BD); pct sobre toneladas</t>
        </is>
      </c>
      <c r="D1650" t="inlineStr">
        <is>
          <t>periodo_XLE2WST_AMIN</t>
        </is>
      </c>
      <c r="E1650" t="inlineStr">
        <is>
          <t>2027</t>
        </is>
      </c>
      <c r="F1650" t="inlineStr">
        <is>
          <t>litologia_normalizada</t>
        </is>
      </c>
      <c r="G1650" t="inlineStr">
        <is>
          <t>sin asignar</t>
        </is>
      </c>
      <c r="H1650" t="inlineStr">
        <is>
          <t>sin asignar</t>
        </is>
      </c>
      <c r="I1650" t="inlineStr"/>
      <c r="J1650" t="inlineStr">
        <is>
          <t>suma de filas por código</t>
        </is>
      </c>
      <c r="K1650" t="inlineStr"/>
      <c r="L1650" t="inlineStr"/>
      <c r="M1650" t="n">
        <v>8602</v>
      </c>
      <c r="N1650" t="n">
        <v>51612000</v>
      </c>
      <c r="O1650" t="n">
        <v>140093178</v>
      </c>
      <c r="P1650" t="inlineStr"/>
      <c r="Q1650" t="n">
        <v>84.03400000000001</v>
      </c>
    </row>
    <row r="1651">
      <c r="A1651" t="inlineStr">
        <is>
          <t>MR24</t>
        </is>
      </c>
      <c r="B1651" t="inlineStr">
        <is>
          <t>SIMULACIONES_MR2024_V3</t>
        </is>
      </c>
      <c r="C1651" t="inlineStr">
        <is>
          <t>toneladas (6000 m3 x MR24_BD); pct sobre toneladas</t>
        </is>
      </c>
      <c r="D1651" t="inlineStr">
        <is>
          <t>periodo_XLE2WST_AMIN</t>
        </is>
      </c>
      <c r="E1651" t="inlineStr">
        <is>
          <t>2028</t>
        </is>
      </c>
      <c r="F1651" t="inlineStr">
        <is>
          <t>litologia_normalizada</t>
        </is>
      </c>
      <c r="G1651" t="inlineStr">
        <is>
          <t>Intrusivo</t>
        </is>
      </c>
      <c r="H1651" t="inlineStr">
        <is>
          <t>Intrusivo</t>
        </is>
      </c>
      <c r="I1651" t="inlineStr"/>
      <c r="J1651" t="inlineStr">
        <is>
          <t>suma de filas por código</t>
        </is>
      </c>
      <c r="K1651" t="inlineStr"/>
      <c r="L1651" t="inlineStr"/>
      <c r="M1651" t="n">
        <v>1476</v>
      </c>
      <c r="N1651" t="n">
        <v>8856000</v>
      </c>
      <c r="O1651" t="n">
        <v>21660054</v>
      </c>
      <c r="P1651" t="inlineStr"/>
      <c r="Q1651" t="n">
        <v>11.893</v>
      </c>
    </row>
    <row r="1652">
      <c r="A1652" t="inlineStr">
        <is>
          <t>MR24</t>
        </is>
      </c>
      <c r="B1652" t="inlineStr">
        <is>
          <t>SIMULACIONES_MR2024_V3</t>
        </is>
      </c>
      <c r="C1652" t="inlineStr">
        <is>
          <t>toneladas (6000 m3 x MR24_BD); pct sobre toneladas</t>
        </is>
      </c>
      <c r="D1652" t="inlineStr">
        <is>
          <t>periodo_XLE2WST_AMIN</t>
        </is>
      </c>
      <c r="E1652" t="inlineStr">
        <is>
          <t>2028</t>
        </is>
      </c>
      <c r="F1652" t="inlineStr">
        <is>
          <t>litologia_normalizada</t>
        </is>
      </c>
      <c r="G1652" t="inlineStr">
        <is>
          <t>sin asignar</t>
        </is>
      </c>
      <c r="H1652" t="inlineStr">
        <is>
          <t>sin asignar</t>
        </is>
      </c>
      <c r="I1652" t="inlineStr"/>
      <c r="J1652" t="inlineStr">
        <is>
          <t>suma de filas por código</t>
        </is>
      </c>
      <c r="K1652" t="inlineStr"/>
      <c r="L1652" t="inlineStr"/>
      <c r="M1652" t="n">
        <v>9836</v>
      </c>
      <c r="N1652" t="n">
        <v>59016000</v>
      </c>
      <c r="O1652" t="n">
        <v>160463862</v>
      </c>
      <c r="P1652" t="inlineStr"/>
      <c r="Q1652" t="n">
        <v>88.10599999999999</v>
      </c>
    </row>
    <row r="1653">
      <c r="A1653" t="inlineStr">
        <is>
          <t>MR24</t>
        </is>
      </c>
      <c r="B1653" t="inlineStr">
        <is>
          <t>SIMULACIONES_MR2024_V3</t>
        </is>
      </c>
      <c r="C1653" t="inlineStr">
        <is>
          <t>toneladas (6000 m3 x MR24_BD); pct sobre toneladas</t>
        </is>
      </c>
      <c r="D1653" t="inlineStr">
        <is>
          <t>periodo_XLE2WST_AMIN</t>
        </is>
      </c>
      <c r="E1653" t="inlineStr">
        <is>
          <t>2029</t>
        </is>
      </c>
      <c r="F1653" t="inlineStr">
        <is>
          <t>litologia_normalizada</t>
        </is>
      </c>
      <c r="G1653" t="inlineStr">
        <is>
          <t>Intrusivo</t>
        </is>
      </c>
      <c r="H1653" t="inlineStr">
        <is>
          <t>Intrusivo</t>
        </is>
      </c>
      <c r="I1653" t="inlineStr"/>
      <c r="J1653" t="inlineStr">
        <is>
          <t>suma de filas por código</t>
        </is>
      </c>
      <c r="K1653" t="inlineStr"/>
      <c r="L1653" t="inlineStr"/>
      <c r="M1653" t="n">
        <v>2309</v>
      </c>
      <c r="N1653" t="n">
        <v>13854000</v>
      </c>
      <c r="O1653" t="n">
        <v>34037160</v>
      </c>
      <c r="P1653" t="inlineStr"/>
      <c r="Q1653" t="n">
        <v>15.203</v>
      </c>
    </row>
    <row r="1654">
      <c r="A1654" t="inlineStr">
        <is>
          <t>MR24</t>
        </is>
      </c>
      <c r="B1654" t="inlineStr">
        <is>
          <t>SIMULACIONES_MR2024_V3</t>
        </is>
      </c>
      <c r="C1654" t="inlineStr">
        <is>
          <t>toneladas (6000 m3 x MR24_BD); pct sobre toneladas</t>
        </is>
      </c>
      <c r="D1654" t="inlineStr">
        <is>
          <t>periodo_XLE2WST_AMIN</t>
        </is>
      </c>
      <c r="E1654" t="inlineStr">
        <is>
          <t>2029</t>
        </is>
      </c>
      <c r="F1654" t="inlineStr">
        <is>
          <t>litologia_normalizada</t>
        </is>
      </c>
      <c r="G1654" t="inlineStr">
        <is>
          <t>sin asignar</t>
        </is>
      </c>
      <c r="H1654" t="inlineStr">
        <is>
          <t>sin asignar</t>
        </is>
      </c>
      <c r="I1654" t="inlineStr"/>
      <c r="J1654" t="inlineStr">
        <is>
          <t>suma de filas por código</t>
        </is>
      </c>
      <c r="K1654" t="inlineStr"/>
      <c r="L1654" t="inlineStr"/>
      <c r="M1654" t="n">
        <v>11606</v>
      </c>
      <c r="N1654" t="n">
        <v>69636000</v>
      </c>
      <c r="O1654" t="n">
        <v>189842208</v>
      </c>
      <c r="P1654" t="inlineStr"/>
      <c r="Q1654" t="n">
        <v>84.797</v>
      </c>
    </row>
    <row r="1655">
      <c r="A1655" t="inlineStr">
        <is>
          <t>MR24</t>
        </is>
      </c>
      <c r="B1655" t="inlineStr">
        <is>
          <t>SIMULACIONES_MR2024_V3</t>
        </is>
      </c>
      <c r="C1655" t="inlineStr">
        <is>
          <t>toneladas (6000 m3 x MR24_BD); pct sobre toneladas</t>
        </is>
      </c>
      <c r="D1655" t="inlineStr">
        <is>
          <t>periodo_XLE2WST_AMIN</t>
        </is>
      </c>
      <c r="E1655" t="inlineStr">
        <is>
          <t>2030</t>
        </is>
      </c>
      <c r="F1655" t="inlineStr">
        <is>
          <t>litologia_normalizada</t>
        </is>
      </c>
      <c r="G1655" t="inlineStr">
        <is>
          <t>Intrusivo</t>
        </is>
      </c>
      <c r="H1655" t="inlineStr">
        <is>
          <t>Intrusivo</t>
        </is>
      </c>
      <c r="I1655" t="inlineStr"/>
      <c r="J1655" t="inlineStr">
        <is>
          <t>suma de filas por código</t>
        </is>
      </c>
      <c r="K1655" t="inlineStr"/>
      <c r="L1655" t="inlineStr"/>
      <c r="M1655" t="n">
        <v>2118</v>
      </c>
      <c r="N1655" t="n">
        <v>12708000</v>
      </c>
      <c r="O1655" t="n">
        <v>31323918</v>
      </c>
      <c r="P1655" t="inlineStr"/>
      <c r="Q1655" t="n">
        <v>13.541</v>
      </c>
    </row>
    <row r="1656">
      <c r="A1656" t="inlineStr">
        <is>
          <t>MR24</t>
        </is>
      </c>
      <c r="B1656" t="inlineStr">
        <is>
          <t>SIMULACIONES_MR2024_V3</t>
        </is>
      </c>
      <c r="C1656" t="inlineStr">
        <is>
          <t>toneladas (6000 m3 x MR24_BD); pct sobre toneladas</t>
        </is>
      </c>
      <c r="D1656" t="inlineStr">
        <is>
          <t>periodo_XLE2WST_AMIN</t>
        </is>
      </c>
      <c r="E1656" t="inlineStr">
        <is>
          <t>2030</t>
        </is>
      </c>
      <c r="F1656" t="inlineStr">
        <is>
          <t>litologia_normalizada</t>
        </is>
      </c>
      <c r="G1656" t="inlineStr">
        <is>
          <t>sin asignar</t>
        </is>
      </c>
      <c r="H1656" t="inlineStr">
        <is>
          <t>sin asignar</t>
        </is>
      </c>
      <c r="I1656" t="inlineStr"/>
      <c r="J1656" t="inlineStr">
        <is>
          <t>suma de filas por código</t>
        </is>
      </c>
      <c r="K1656" t="inlineStr"/>
      <c r="L1656" t="inlineStr"/>
      <c r="M1656" t="n">
        <v>12222</v>
      </c>
      <c r="N1656" t="n">
        <v>73332000</v>
      </c>
      <c r="O1656" t="n">
        <v>200004552</v>
      </c>
      <c r="P1656" t="inlineStr"/>
      <c r="Q1656" t="n">
        <v>86.459</v>
      </c>
    </row>
    <row r="1657">
      <c r="A1657" t="inlineStr">
        <is>
          <t>MR24</t>
        </is>
      </c>
      <c r="B1657" t="inlineStr">
        <is>
          <t>SIMULACIONES_MR2024_V3</t>
        </is>
      </c>
      <c r="C1657" t="inlineStr">
        <is>
          <t>toneladas (6000 m3 x MR24_BD); pct sobre toneladas</t>
        </is>
      </c>
      <c r="D1657" t="inlineStr">
        <is>
          <t>periodo_XLE2WST_AMIN</t>
        </is>
      </c>
      <c r="E1657" t="inlineStr">
        <is>
          <t>2031</t>
        </is>
      </c>
      <c r="F1657" t="inlineStr">
        <is>
          <t>litologia_normalizada</t>
        </is>
      </c>
      <c r="G1657" t="inlineStr">
        <is>
          <t>Intrusivo</t>
        </is>
      </c>
      <c r="H1657" t="inlineStr">
        <is>
          <t>Intrusivo</t>
        </is>
      </c>
      <c r="I1657" t="inlineStr"/>
      <c r="J1657" t="inlineStr">
        <is>
          <t>suma de filas por código</t>
        </is>
      </c>
      <c r="K1657" t="inlineStr"/>
      <c r="L1657" t="inlineStr"/>
      <c r="M1657" t="n">
        <v>2054</v>
      </c>
      <c r="N1657" t="n">
        <v>12324000</v>
      </c>
      <c r="O1657" t="n">
        <v>30599484</v>
      </c>
      <c r="P1657" t="inlineStr"/>
      <c r="Q1657" t="n">
        <v>14.483</v>
      </c>
    </row>
    <row r="1658">
      <c r="A1658" t="inlineStr">
        <is>
          <t>MR24</t>
        </is>
      </c>
      <c r="B1658" t="inlineStr">
        <is>
          <t>SIMULACIONES_MR2024_V3</t>
        </is>
      </c>
      <c r="C1658" t="inlineStr">
        <is>
          <t>toneladas (6000 m3 x MR24_BD); pct sobre toneladas</t>
        </is>
      </c>
      <c r="D1658" t="inlineStr">
        <is>
          <t>periodo_XLE2WST_AMIN</t>
        </is>
      </c>
      <c r="E1658" t="inlineStr">
        <is>
          <t>2031</t>
        </is>
      </c>
      <c r="F1658" t="inlineStr">
        <is>
          <t>litologia_normalizada</t>
        </is>
      </c>
      <c r="G1658" t="inlineStr">
        <is>
          <t>sin asignar</t>
        </is>
      </c>
      <c r="H1658" t="inlineStr">
        <is>
          <t>sin asignar</t>
        </is>
      </c>
      <c r="I1658" t="inlineStr"/>
      <c r="J1658" t="inlineStr">
        <is>
          <t>suma de filas por código</t>
        </is>
      </c>
      <c r="K1658" t="inlineStr"/>
      <c r="L1658" t="inlineStr"/>
      <c r="M1658" t="n">
        <v>11019</v>
      </c>
      <c r="N1658" t="n">
        <v>66114000</v>
      </c>
      <c r="O1658" t="n">
        <v>180665994</v>
      </c>
      <c r="P1658" t="inlineStr"/>
      <c r="Q1658" t="n">
        <v>85.51600000000001</v>
      </c>
    </row>
    <row r="1659">
      <c r="A1659" t="inlineStr">
        <is>
          <t>MR24</t>
        </is>
      </c>
      <c r="B1659" t="inlineStr">
        <is>
          <t>SIMULACIONES_MR2024_V3</t>
        </is>
      </c>
      <c r="C1659" t="inlineStr">
        <is>
          <t>toneladas (6000 m3 x MR24_BD); pct sobre toneladas</t>
        </is>
      </c>
      <c r="D1659" t="inlineStr">
        <is>
          <t>periodo_XLE2WST_AMIN</t>
        </is>
      </c>
      <c r="E1659" t="inlineStr">
        <is>
          <t>2032</t>
        </is>
      </c>
      <c r="F1659" t="inlineStr">
        <is>
          <t>litologia_normalizada</t>
        </is>
      </c>
      <c r="G1659" t="inlineStr">
        <is>
          <t>Intrusivo</t>
        </is>
      </c>
      <c r="H1659" t="inlineStr">
        <is>
          <t>Intrusivo</t>
        </is>
      </c>
      <c r="I1659" t="inlineStr"/>
      <c r="J1659" t="inlineStr">
        <is>
          <t>suma de filas por código</t>
        </is>
      </c>
      <c r="K1659" t="inlineStr"/>
      <c r="L1659" t="inlineStr"/>
      <c r="M1659" t="n">
        <v>3634</v>
      </c>
      <c r="N1659" t="n">
        <v>21804000</v>
      </c>
      <c r="O1659" t="n">
        <v>54236736</v>
      </c>
      <c r="P1659" t="inlineStr"/>
      <c r="Q1659" t="n">
        <v>20.169</v>
      </c>
    </row>
    <row r="1660">
      <c r="A1660" t="inlineStr">
        <is>
          <t>MR24</t>
        </is>
      </c>
      <c r="B1660" t="inlineStr">
        <is>
          <t>SIMULACIONES_MR2024_V3</t>
        </is>
      </c>
      <c r="C1660" t="inlineStr">
        <is>
          <t>toneladas (6000 m3 x MR24_BD); pct sobre toneladas</t>
        </is>
      </c>
      <c r="D1660" t="inlineStr">
        <is>
          <t>periodo_XLE2WST_AMIN</t>
        </is>
      </c>
      <c r="E1660" t="inlineStr">
        <is>
          <t>2032</t>
        </is>
      </c>
      <c r="F1660" t="inlineStr">
        <is>
          <t>litologia_normalizada</t>
        </is>
      </c>
      <c r="G1660" t="inlineStr">
        <is>
          <t>sin asignar</t>
        </is>
      </c>
      <c r="H1660" t="inlineStr">
        <is>
          <t>sin asignar</t>
        </is>
      </c>
      <c r="I1660" t="inlineStr"/>
      <c r="J1660" t="inlineStr">
        <is>
          <t>suma de filas por código</t>
        </is>
      </c>
      <c r="K1660" t="inlineStr"/>
      <c r="L1660" t="inlineStr"/>
      <c r="M1660" t="n">
        <v>13086</v>
      </c>
      <c r="N1660" t="n">
        <v>78516000</v>
      </c>
      <c r="O1660" t="n">
        <v>214672920</v>
      </c>
      <c r="P1660" t="inlineStr"/>
      <c r="Q1660" t="n">
        <v>79.83199999999999</v>
      </c>
    </row>
    <row r="1661">
      <c r="A1661" t="inlineStr">
        <is>
          <t>MR24</t>
        </is>
      </c>
      <c r="B1661" t="inlineStr">
        <is>
          <t>SIMULACIONES_MR2024_V3</t>
        </is>
      </c>
      <c r="C1661" t="inlineStr">
        <is>
          <t>toneladas (6000 m3 x MR24_BD); pct sobre toneladas</t>
        </is>
      </c>
      <c r="D1661" t="inlineStr">
        <is>
          <t>periodo_XLE2WST_AMIN</t>
        </is>
      </c>
      <c r="E1661" t="inlineStr">
        <is>
          <t>2033</t>
        </is>
      </c>
      <c r="F1661" t="inlineStr">
        <is>
          <t>litologia_normalizada</t>
        </is>
      </c>
      <c r="G1661" t="inlineStr">
        <is>
          <t>Intrusivo</t>
        </is>
      </c>
      <c r="H1661" t="inlineStr">
        <is>
          <t>Intrusivo</t>
        </is>
      </c>
      <c r="I1661" t="inlineStr"/>
      <c r="J1661" t="inlineStr">
        <is>
          <t>suma de filas por código</t>
        </is>
      </c>
      <c r="K1661" t="inlineStr"/>
      <c r="L1661" t="inlineStr"/>
      <c r="M1661" t="n">
        <v>1599</v>
      </c>
      <c r="N1661" t="n">
        <v>9594000</v>
      </c>
      <c r="O1661" t="n">
        <v>24220992</v>
      </c>
      <c r="P1661" t="inlineStr"/>
      <c r="Q1661" t="n">
        <v>9.898999999999999</v>
      </c>
    </row>
    <row r="1662">
      <c r="A1662" t="inlineStr">
        <is>
          <t>MR24</t>
        </is>
      </c>
      <c r="B1662" t="inlineStr">
        <is>
          <t>SIMULACIONES_MR2024_V3</t>
        </is>
      </c>
      <c r="C1662" t="inlineStr">
        <is>
          <t>toneladas (6000 m3 x MR24_BD); pct sobre toneladas</t>
        </is>
      </c>
      <c r="D1662" t="inlineStr">
        <is>
          <t>periodo_XLE2WST_AMIN</t>
        </is>
      </c>
      <c r="E1662" t="inlineStr">
        <is>
          <t>2033</t>
        </is>
      </c>
      <c r="F1662" t="inlineStr">
        <is>
          <t>litologia_normalizada</t>
        </is>
      </c>
      <c r="G1662" t="inlineStr">
        <is>
          <t>sin asignar</t>
        </is>
      </c>
      <c r="H1662" t="inlineStr">
        <is>
          <t>sin asignar</t>
        </is>
      </c>
      <c r="I1662" t="inlineStr"/>
      <c r="J1662" t="inlineStr">
        <is>
          <t>suma de filas por código</t>
        </is>
      </c>
      <c r="K1662" t="inlineStr"/>
      <c r="L1662" t="inlineStr"/>
      <c r="M1662" t="n">
        <v>13454</v>
      </c>
      <c r="N1662" t="n">
        <v>80724000</v>
      </c>
      <c r="O1662" t="n">
        <v>220455936</v>
      </c>
      <c r="P1662" t="inlineStr"/>
      <c r="Q1662" t="n">
        <v>90.09999999999999</v>
      </c>
    </row>
    <row r="1663">
      <c r="A1663" t="inlineStr">
        <is>
          <t>MR24</t>
        </is>
      </c>
      <c r="B1663" t="inlineStr">
        <is>
          <t>SIMULACIONES_MR2024_V3</t>
        </is>
      </c>
      <c r="C1663" t="inlineStr">
        <is>
          <t>toneladas (6000 m3 x MR24_BD); pct sobre toneladas</t>
        </is>
      </c>
      <c r="D1663" t="inlineStr">
        <is>
          <t>periodo_XLE2WST_AMIN</t>
        </is>
      </c>
      <c r="E1663" t="inlineStr">
        <is>
          <t>2034</t>
        </is>
      </c>
      <c r="F1663" t="inlineStr">
        <is>
          <t>litologia_normalizada</t>
        </is>
      </c>
      <c r="G1663" t="inlineStr">
        <is>
          <t>Intrusivo</t>
        </is>
      </c>
      <c r="H1663" t="inlineStr">
        <is>
          <t>Intrusivo</t>
        </is>
      </c>
      <c r="I1663" t="inlineStr"/>
      <c r="J1663" t="inlineStr">
        <is>
          <t>suma de filas por código</t>
        </is>
      </c>
      <c r="K1663" t="inlineStr"/>
      <c r="L1663" t="inlineStr"/>
      <c r="M1663" t="n">
        <v>817</v>
      </c>
      <c r="N1663" t="n">
        <v>4902000</v>
      </c>
      <c r="O1663" t="n">
        <v>12496002</v>
      </c>
      <c r="P1663" t="inlineStr"/>
      <c r="Q1663" t="n">
        <v>4.793</v>
      </c>
    </row>
    <row r="1664">
      <c r="A1664" t="inlineStr">
        <is>
          <t>MR24</t>
        </is>
      </c>
      <c r="B1664" t="inlineStr">
        <is>
          <t>SIMULACIONES_MR2024_V3</t>
        </is>
      </c>
      <c r="C1664" t="inlineStr">
        <is>
          <t>toneladas (6000 m3 x MR24_BD); pct sobre toneladas</t>
        </is>
      </c>
      <c r="D1664" t="inlineStr">
        <is>
          <t>periodo_XLE2WST_AMIN</t>
        </is>
      </c>
      <c r="E1664" t="inlineStr">
        <is>
          <t>2034</t>
        </is>
      </c>
      <c r="F1664" t="inlineStr">
        <is>
          <t>litologia_normalizada</t>
        </is>
      </c>
      <c r="G1664" t="inlineStr">
        <is>
          <t>sin asignar</t>
        </is>
      </c>
      <c r="H1664" t="inlineStr">
        <is>
          <t>sin asignar</t>
        </is>
      </c>
      <c r="I1664" t="inlineStr"/>
      <c r="J1664" t="inlineStr">
        <is>
          <t>suma de filas por código</t>
        </is>
      </c>
      <c r="K1664" t="inlineStr"/>
      <c r="L1664" t="inlineStr"/>
      <c r="M1664" t="n">
        <v>15222</v>
      </c>
      <c r="N1664" t="n">
        <v>91332000</v>
      </c>
      <c r="O1664" t="n">
        <v>248202240</v>
      </c>
      <c r="P1664" t="inlineStr"/>
      <c r="Q1664" t="n">
        <v>95.208</v>
      </c>
    </row>
    <row r="1665">
      <c r="A1665" t="inlineStr">
        <is>
          <t>MR24</t>
        </is>
      </c>
      <c r="B1665" t="inlineStr">
        <is>
          <t>SIMULACIONES_MR2024_V3</t>
        </is>
      </c>
      <c r="C1665" t="inlineStr">
        <is>
          <t>toneladas (6000 m3 x MR24_BD); pct sobre toneladas</t>
        </is>
      </c>
      <c r="D1665" t="inlineStr">
        <is>
          <t>periodo_XLE2WST_AMIN</t>
        </is>
      </c>
      <c r="E1665" t="inlineStr">
        <is>
          <t>2035</t>
        </is>
      </c>
      <c r="F1665" t="inlineStr">
        <is>
          <t>litologia_normalizada</t>
        </is>
      </c>
      <c r="G1665" t="inlineStr">
        <is>
          <t>Intrusivo</t>
        </is>
      </c>
      <c r="H1665" t="inlineStr">
        <is>
          <t>Intrusivo</t>
        </is>
      </c>
      <c r="I1665" t="inlineStr"/>
      <c r="J1665" t="inlineStr">
        <is>
          <t>suma de filas por código</t>
        </is>
      </c>
      <c r="K1665" t="inlineStr"/>
      <c r="L1665" t="inlineStr"/>
      <c r="M1665" t="n">
        <v>2584</v>
      </c>
      <c r="N1665" t="n">
        <v>15504000</v>
      </c>
      <c r="O1665" t="n">
        <v>38322198</v>
      </c>
      <c r="P1665" t="inlineStr"/>
      <c r="Q1665" t="n">
        <v>15.409</v>
      </c>
    </row>
    <row r="1666">
      <c r="A1666" t="inlineStr">
        <is>
          <t>MR24</t>
        </is>
      </c>
      <c r="B1666" t="inlineStr">
        <is>
          <t>SIMULACIONES_MR2024_V3</t>
        </is>
      </c>
      <c r="C1666" t="inlineStr">
        <is>
          <t>toneladas (6000 m3 x MR24_BD); pct sobre toneladas</t>
        </is>
      </c>
      <c r="D1666" t="inlineStr">
        <is>
          <t>periodo_XLE2WST_AMIN</t>
        </is>
      </c>
      <c r="E1666" t="inlineStr">
        <is>
          <t>2035</t>
        </is>
      </c>
      <c r="F1666" t="inlineStr">
        <is>
          <t>litologia_normalizada</t>
        </is>
      </c>
      <c r="G1666" t="inlineStr">
        <is>
          <t>sin asignar</t>
        </is>
      </c>
      <c r="H1666" t="inlineStr">
        <is>
          <t>sin asignar</t>
        </is>
      </c>
      <c r="I1666" t="inlineStr"/>
      <c r="J1666" t="inlineStr">
        <is>
          <t>suma de filas por código</t>
        </is>
      </c>
      <c r="K1666" t="inlineStr"/>
      <c r="L1666" t="inlineStr"/>
      <c r="M1666" t="n">
        <v>12902</v>
      </c>
      <c r="N1666" t="n">
        <v>77412000</v>
      </c>
      <c r="O1666" t="n">
        <v>210373692</v>
      </c>
      <c r="P1666" t="inlineStr"/>
      <c r="Q1666" t="n">
        <v>84.59</v>
      </c>
    </row>
    <row r="1667">
      <c r="A1667" t="inlineStr">
        <is>
          <t>MR24</t>
        </is>
      </c>
      <c r="B1667" t="inlineStr">
        <is>
          <t>SIMULACIONES_MR2024_V3</t>
        </is>
      </c>
      <c r="C1667" t="inlineStr">
        <is>
          <t>toneladas (6000 m3 x MR24_BD); pct sobre toneladas</t>
        </is>
      </c>
      <c r="D1667" t="inlineStr">
        <is>
          <t>periodo_XLE2WST_AMIN</t>
        </is>
      </c>
      <c r="E1667" t="inlineStr">
        <is>
          <t>203637</t>
        </is>
      </c>
      <c r="F1667" t="inlineStr">
        <is>
          <t>litologia_normalizada</t>
        </is>
      </c>
      <c r="G1667" t="inlineStr">
        <is>
          <t>Intrusivo</t>
        </is>
      </c>
      <c r="H1667" t="inlineStr">
        <is>
          <t>Intrusivo</t>
        </is>
      </c>
      <c r="I1667" t="inlineStr"/>
      <c r="J1667" t="inlineStr">
        <is>
          <t>suma de filas por código</t>
        </is>
      </c>
      <c r="K1667" t="inlineStr"/>
      <c r="L1667" t="inlineStr"/>
      <c r="M1667" t="n">
        <v>3134</v>
      </c>
      <c r="N1667" t="n">
        <v>18804000</v>
      </c>
      <c r="O1667" t="n">
        <v>46401144</v>
      </c>
      <c r="P1667" t="inlineStr"/>
      <c r="Q1667" t="n">
        <v>8.305999999999999</v>
      </c>
    </row>
    <row r="1668">
      <c r="A1668" t="inlineStr">
        <is>
          <t>MR24</t>
        </is>
      </c>
      <c r="B1668" t="inlineStr">
        <is>
          <t>SIMULACIONES_MR2024_V3</t>
        </is>
      </c>
      <c r="C1668" t="inlineStr">
        <is>
          <t>toneladas (6000 m3 x MR24_BD); pct sobre toneladas</t>
        </is>
      </c>
      <c r="D1668" t="inlineStr">
        <is>
          <t>periodo_XLE2WST_AMIN</t>
        </is>
      </c>
      <c r="E1668" t="inlineStr">
        <is>
          <t>203637</t>
        </is>
      </c>
      <c r="F1668" t="inlineStr">
        <is>
          <t>litologia_normalizada</t>
        </is>
      </c>
      <c r="G1668" t="inlineStr">
        <is>
          <t>sin asignar</t>
        </is>
      </c>
      <c r="H1668" t="inlineStr">
        <is>
          <t>sin asignar</t>
        </is>
      </c>
      <c r="I1668" t="inlineStr"/>
      <c r="J1668" t="inlineStr">
        <is>
          <t>suma de filas por código</t>
        </is>
      </c>
      <c r="K1668" t="inlineStr"/>
      <c r="L1668" t="inlineStr"/>
      <c r="M1668" t="n">
        <v>31355</v>
      </c>
      <c r="N1668" t="n">
        <v>188130000</v>
      </c>
      <c r="O1668" t="n">
        <v>512224152</v>
      </c>
      <c r="P1668" t="inlineStr"/>
      <c r="Q1668" t="n">
        <v>91.693</v>
      </c>
    </row>
    <row r="1669">
      <c r="A1669" t="inlineStr">
        <is>
          <t>MR24</t>
        </is>
      </c>
      <c r="B1669" t="inlineStr">
        <is>
          <t>SIMULACIONES_MR2024_V3</t>
        </is>
      </c>
      <c r="C1669" t="inlineStr">
        <is>
          <t>toneladas (6000 m3 x MR24_BD); pct sobre toneladas</t>
        </is>
      </c>
      <c r="D1669" t="inlineStr">
        <is>
          <t>periodo_XLE2WST_AMIN</t>
        </is>
      </c>
      <c r="E1669" t="inlineStr">
        <is>
          <t>203839</t>
        </is>
      </c>
      <c r="F1669" t="inlineStr">
        <is>
          <t>litologia_normalizada</t>
        </is>
      </c>
      <c r="G1669" t="inlineStr">
        <is>
          <t>Intrusivo</t>
        </is>
      </c>
      <c r="H1669" t="inlineStr">
        <is>
          <t>Intrusivo</t>
        </is>
      </c>
      <c r="I1669" t="inlineStr"/>
      <c r="J1669" t="inlineStr">
        <is>
          <t>suma de filas por código</t>
        </is>
      </c>
      <c r="K1669" t="inlineStr"/>
      <c r="L1669" t="inlineStr"/>
      <c r="M1669" t="n">
        <v>5275</v>
      </c>
      <c r="N1669" t="n">
        <v>31650000</v>
      </c>
      <c r="O1669" t="n">
        <v>78765900</v>
      </c>
      <c r="P1669" t="inlineStr"/>
      <c r="Q1669" t="n">
        <v>13.735</v>
      </c>
    </row>
    <row r="1670">
      <c r="A1670" t="inlineStr">
        <is>
          <t>MR24</t>
        </is>
      </c>
      <c r="B1670" t="inlineStr">
        <is>
          <t>SIMULACIONES_MR2024_V3</t>
        </is>
      </c>
      <c r="C1670" t="inlineStr">
        <is>
          <t>toneladas (6000 m3 x MR24_BD); pct sobre toneladas</t>
        </is>
      </c>
      <c r="D1670" t="inlineStr">
        <is>
          <t>periodo_XLE2WST_AMIN</t>
        </is>
      </c>
      <c r="E1670" t="inlineStr">
        <is>
          <t>203839</t>
        </is>
      </c>
      <c r="F1670" t="inlineStr">
        <is>
          <t>litologia_normalizada</t>
        </is>
      </c>
      <c r="G1670" t="inlineStr">
        <is>
          <t>sin asignar</t>
        </is>
      </c>
      <c r="H1670" t="inlineStr">
        <is>
          <t>sin asignar</t>
        </is>
      </c>
      <c r="I1670" t="inlineStr"/>
      <c r="J1670" t="inlineStr">
        <is>
          <t>suma de filas por código</t>
        </is>
      </c>
      <c r="K1670" t="inlineStr"/>
      <c r="L1670" t="inlineStr"/>
      <c r="M1670" t="n">
        <v>30337</v>
      </c>
      <c r="N1670" t="n">
        <v>182022000</v>
      </c>
      <c r="O1670" t="n">
        <v>494667684</v>
      </c>
      <c r="P1670" t="inlineStr"/>
      <c r="Q1670" t="n">
        <v>86.264</v>
      </c>
    </row>
    <row r="1671">
      <c r="A1671" t="inlineStr">
        <is>
          <t>MR24</t>
        </is>
      </c>
      <c r="B1671" t="inlineStr">
        <is>
          <t>SIMULACIONES_MR2024_V3</t>
        </is>
      </c>
      <c r="C1671" t="inlineStr">
        <is>
          <t>toneladas (6000 m3 x MR24_BD); pct sobre toneladas</t>
        </is>
      </c>
      <c r="D1671" t="inlineStr">
        <is>
          <t>periodo_XLE2WST_AMIN</t>
        </is>
      </c>
      <c r="E1671" t="inlineStr">
        <is>
          <t>204041</t>
        </is>
      </c>
      <c r="F1671" t="inlineStr">
        <is>
          <t>litologia_normalizada</t>
        </is>
      </c>
      <c r="G1671" t="inlineStr">
        <is>
          <t>Intrusivo</t>
        </is>
      </c>
      <c r="H1671" t="inlineStr">
        <is>
          <t>Intrusivo</t>
        </is>
      </c>
      <c r="I1671" t="inlineStr"/>
      <c r="J1671" t="inlineStr">
        <is>
          <t>suma de filas por código</t>
        </is>
      </c>
      <c r="K1671" t="inlineStr"/>
      <c r="L1671" t="inlineStr"/>
      <c r="M1671" t="n">
        <v>7437</v>
      </c>
      <c r="N1671" t="n">
        <v>44622000</v>
      </c>
      <c r="O1671" t="n">
        <v>111334950</v>
      </c>
      <c r="P1671" t="inlineStr"/>
      <c r="Q1671" t="n">
        <v>20.966</v>
      </c>
    </row>
    <row r="1672">
      <c r="A1672" t="inlineStr">
        <is>
          <t>MR24</t>
        </is>
      </c>
      <c r="B1672" t="inlineStr">
        <is>
          <t>SIMULACIONES_MR2024_V3</t>
        </is>
      </c>
      <c r="C1672" t="inlineStr">
        <is>
          <t>toneladas (6000 m3 x MR24_BD); pct sobre toneladas</t>
        </is>
      </c>
      <c r="D1672" t="inlineStr">
        <is>
          <t>periodo_XLE2WST_AMIN</t>
        </is>
      </c>
      <c r="E1672" t="inlineStr">
        <is>
          <t>204041</t>
        </is>
      </c>
      <c r="F1672" t="inlineStr">
        <is>
          <t>litologia_normalizada</t>
        </is>
      </c>
      <c r="G1672" t="inlineStr">
        <is>
          <t>sin asignar</t>
        </is>
      </c>
      <c r="H1672" t="inlineStr">
        <is>
          <t>sin asignar</t>
        </is>
      </c>
      <c r="I1672" t="inlineStr"/>
      <c r="J1672" t="inlineStr">
        <is>
          <t>suma de filas por código</t>
        </is>
      </c>
      <c r="K1672" t="inlineStr"/>
      <c r="L1672" t="inlineStr"/>
      <c r="M1672" t="n">
        <v>25822</v>
      </c>
      <c r="N1672" t="n">
        <v>154932000</v>
      </c>
      <c r="O1672" t="n">
        <v>419693334</v>
      </c>
      <c r="P1672" t="inlineStr"/>
      <c r="Q1672" t="n">
        <v>79.035</v>
      </c>
    </row>
    <row r="1673">
      <c r="A1673" t="inlineStr">
        <is>
          <t>MR24</t>
        </is>
      </c>
      <c r="B1673" t="inlineStr">
        <is>
          <t>SIMULACIONES_MR2024_V3</t>
        </is>
      </c>
      <c r="C1673" t="inlineStr">
        <is>
          <t>toneladas (6000 m3 x MR24_BD); pct sobre toneladas</t>
        </is>
      </c>
      <c r="D1673" t="inlineStr">
        <is>
          <t>periodo_XLE2WST_AMIN</t>
        </is>
      </c>
      <c r="E1673" t="inlineStr">
        <is>
          <t>204245</t>
        </is>
      </c>
      <c r="F1673" t="inlineStr">
        <is>
          <t>litologia_normalizada</t>
        </is>
      </c>
      <c r="G1673" t="inlineStr">
        <is>
          <t>Intrusivo</t>
        </is>
      </c>
      <c r="H1673" t="inlineStr">
        <is>
          <t>Intrusivo</t>
        </is>
      </c>
      <c r="I1673" t="inlineStr"/>
      <c r="J1673" t="inlineStr">
        <is>
          <t>suma de filas por código</t>
        </is>
      </c>
      <c r="K1673" t="inlineStr"/>
      <c r="L1673" t="inlineStr"/>
      <c r="M1673" t="n">
        <v>6334</v>
      </c>
      <c r="N1673" t="n">
        <v>38004000</v>
      </c>
      <c r="O1673" t="n">
        <v>93787296</v>
      </c>
      <c r="P1673" t="inlineStr"/>
      <c r="Q1673" t="n">
        <v>13.045</v>
      </c>
    </row>
    <row r="1674">
      <c r="A1674" t="inlineStr">
        <is>
          <t>MR24</t>
        </is>
      </c>
      <c r="B1674" t="inlineStr">
        <is>
          <t>SIMULACIONES_MR2024_V3</t>
        </is>
      </c>
      <c r="C1674" t="inlineStr">
        <is>
          <t>toneladas (6000 m3 x MR24_BD); pct sobre toneladas</t>
        </is>
      </c>
      <c r="D1674" t="inlineStr">
        <is>
          <t>periodo_XLE2WST_AMIN</t>
        </is>
      </c>
      <c r="E1674" t="inlineStr">
        <is>
          <t>204245</t>
        </is>
      </c>
      <c r="F1674" t="inlineStr">
        <is>
          <t>litologia_normalizada</t>
        </is>
      </c>
      <c r="G1674" t="inlineStr">
        <is>
          <t>sin asignar</t>
        </is>
      </c>
      <c r="H1674" t="inlineStr">
        <is>
          <t>sin asignar</t>
        </is>
      </c>
      <c r="I1674" t="inlineStr"/>
      <c r="J1674" t="inlineStr">
        <is>
          <t>suma de filas por código</t>
        </is>
      </c>
      <c r="K1674" t="inlineStr"/>
      <c r="L1674" t="inlineStr"/>
      <c r="M1674" t="n">
        <v>38329</v>
      </c>
      <c r="N1674" t="n">
        <v>229974000</v>
      </c>
      <c r="O1674" t="n">
        <v>625134480</v>
      </c>
      <c r="P1674" t="inlineStr"/>
      <c r="Q1674" t="n">
        <v>86.955</v>
      </c>
    </row>
    <row r="1675">
      <c r="A1675" t="inlineStr">
        <is>
          <t>MR24</t>
        </is>
      </c>
      <c r="B1675" t="inlineStr">
        <is>
          <t>SIMULACIONES_MR2024_V3</t>
        </is>
      </c>
      <c r="C1675" t="inlineStr">
        <is>
          <t>toneladas (6000 m3 x MR24_BD); pct sobre toneladas</t>
        </is>
      </c>
      <c r="D1675" t="inlineStr">
        <is>
          <t>periodo_XLE2WST_AMIN</t>
        </is>
      </c>
      <c r="E1675" t="inlineStr">
        <is>
          <t>204649</t>
        </is>
      </c>
      <c r="F1675" t="inlineStr">
        <is>
          <t>litologia_normalizada</t>
        </is>
      </c>
      <c r="G1675" t="inlineStr">
        <is>
          <t>Intrusivo</t>
        </is>
      </c>
      <c r="H1675" t="inlineStr">
        <is>
          <t>Intrusivo</t>
        </is>
      </c>
      <c r="I1675" t="inlineStr"/>
      <c r="J1675" t="inlineStr">
        <is>
          <t>suma de filas por código</t>
        </is>
      </c>
      <c r="K1675" t="inlineStr"/>
      <c r="L1675" t="inlineStr"/>
      <c r="M1675" t="n">
        <v>7352</v>
      </c>
      <c r="N1675" t="n">
        <v>44112000</v>
      </c>
      <c r="O1675" t="n">
        <v>108394590</v>
      </c>
      <c r="P1675" t="inlineStr"/>
      <c r="Q1675" t="n">
        <v>59.229</v>
      </c>
    </row>
    <row r="1676">
      <c r="A1676" t="inlineStr">
        <is>
          <t>MR24</t>
        </is>
      </c>
      <c r="B1676" t="inlineStr">
        <is>
          <t>SIMULACIONES_MR2024_V3</t>
        </is>
      </c>
      <c r="C1676" t="inlineStr">
        <is>
          <t>toneladas (6000 m3 x MR24_BD); pct sobre toneladas</t>
        </is>
      </c>
      <c r="D1676" t="inlineStr">
        <is>
          <t>periodo_XLE2WST_AMIN</t>
        </is>
      </c>
      <c r="E1676" t="inlineStr">
        <is>
          <t>204649</t>
        </is>
      </c>
      <c r="F1676" t="inlineStr">
        <is>
          <t>litologia_normalizada</t>
        </is>
      </c>
      <c r="G1676" t="inlineStr">
        <is>
          <t>sin asignar</t>
        </is>
      </c>
      <c r="H1676" t="inlineStr">
        <is>
          <t>sin asignar</t>
        </is>
      </c>
      <c r="I1676" t="inlineStr"/>
      <c r="J1676" t="inlineStr">
        <is>
          <t>suma de filas por código</t>
        </is>
      </c>
      <c r="K1676" t="inlineStr"/>
      <c r="L1676" t="inlineStr"/>
      <c r="M1676" t="n">
        <v>4576</v>
      </c>
      <c r="N1676" t="n">
        <v>27456000</v>
      </c>
      <c r="O1676" t="n">
        <v>74613612</v>
      </c>
      <c r="P1676" t="inlineStr"/>
      <c r="Q1676" t="n">
        <v>40.771</v>
      </c>
    </row>
    <row r="1677">
      <c r="A1677" t="inlineStr">
        <is>
          <t>MR24</t>
        </is>
      </c>
      <c r="B1677" t="inlineStr">
        <is>
          <t>SIMULACIONES_MR2024_V3</t>
        </is>
      </c>
      <c r="C1677" t="inlineStr">
        <is>
          <t>toneladas (6000 m3 x MR24_BD); pct sobre toneladas</t>
        </is>
      </c>
      <c r="D1677" t="inlineStr">
        <is>
          <t>total</t>
        </is>
      </c>
      <c r="E1677" t="inlineStr">
        <is>
          <t>total</t>
        </is>
      </c>
      <c r="F1677" t="inlineStr">
        <is>
          <t>litologia_normalizada</t>
        </is>
      </c>
      <c r="G1677" t="inlineStr">
        <is>
          <t>Intrusivo</t>
        </is>
      </c>
      <c r="H1677" t="inlineStr">
        <is>
          <t>Intrusivo</t>
        </is>
      </c>
      <c r="I1677" t="inlineStr"/>
      <c r="J1677" t="inlineStr">
        <is>
          <t>suma de filas por código</t>
        </is>
      </c>
      <c r="K1677" t="inlineStr"/>
      <c r="L1677" t="inlineStr"/>
      <c r="M1677" t="n">
        <v>49950</v>
      </c>
      <c r="N1677" t="n">
        <v>299700000</v>
      </c>
      <c r="O1677" t="n">
        <v>741851028</v>
      </c>
      <c r="P1677" t="inlineStr"/>
      <c r="Q1677" t="n">
        <v>14.874</v>
      </c>
    </row>
    <row r="1678">
      <c r="A1678" t="inlineStr">
        <is>
          <t>MR24</t>
        </is>
      </c>
      <c r="B1678" t="inlineStr">
        <is>
          <t>SIMULACIONES_MR2024_V3</t>
        </is>
      </c>
      <c r="C1678" t="inlineStr">
        <is>
          <t>toneladas (6000 m3 x MR24_BD); pct sobre toneladas</t>
        </is>
      </c>
      <c r="D1678" t="inlineStr">
        <is>
          <t>total</t>
        </is>
      </c>
      <c r="E1678" t="inlineStr">
        <is>
          <t>total</t>
        </is>
      </c>
      <c r="F1678" t="inlineStr">
        <is>
          <t>litologia_normalizada</t>
        </is>
      </c>
      <c r="G1678" t="inlineStr">
        <is>
          <t>sin asignar</t>
        </is>
      </c>
      <c r="H1678" t="inlineStr">
        <is>
          <t>sin asignar</t>
        </is>
      </c>
      <c r="I1678" t="inlineStr"/>
      <c r="J1678" t="inlineStr">
        <is>
          <t>suma de filas por código</t>
        </is>
      </c>
      <c r="K1678" t="inlineStr"/>
      <c r="L1678" t="inlineStr"/>
      <c r="M1678" t="n">
        <v>260152</v>
      </c>
      <c r="N1678" t="n">
        <v>1560912000</v>
      </c>
      <c r="O1678" t="n">
        <v>4245686454</v>
      </c>
      <c r="P1678" t="inlineStr"/>
      <c r="Q1678" t="n">
        <v>85.125</v>
      </c>
    </row>
    <row r="1679">
      <c r="A1679" t="inlineStr">
        <is>
          <t>MR24</t>
        </is>
      </c>
      <c r="B1679" t="inlineStr">
        <is>
          <t>Merged_Table_Assay_lito</t>
        </is>
      </c>
      <c r="C1679" t="inlineStr">
        <is>
          <t>metros de sondaje; pct sobre metros</t>
        </is>
      </c>
      <c r="D1679" t="inlineStr">
        <is>
          <t>fase_plp_GM_FASES_LE2_Output</t>
        </is>
      </c>
      <c r="E1679" t="inlineStr">
        <is>
          <t>10AN</t>
        </is>
      </c>
      <c r="F1679" t="inlineStr">
        <is>
          <t>litologia_tentativa</t>
        </is>
      </c>
      <c r="G1679" t="inlineStr">
        <is>
          <t>Caliza (hipótesis: siglas C*)</t>
        </is>
      </c>
      <c r="H1679" t="inlineStr"/>
      <c r="I1679" t="inlineStr"/>
      <c r="J1679" t="inlineStr">
        <is>
          <t>suma de filas por código</t>
        </is>
      </c>
      <c r="K1679" t="inlineStr">
        <is>
          <t>Caliza (hipótesis: siglas C*)</t>
        </is>
      </c>
      <c r="L1679" t="inlineStr"/>
      <c r="M1679" t="n">
        <v>556</v>
      </c>
      <c r="N1679" t="inlineStr"/>
      <c r="O1679" t="inlineStr"/>
      <c r="P1679" t="n">
        <v>885.3</v>
      </c>
      <c r="Q1679" t="n">
        <v>2.017</v>
      </c>
    </row>
    <row r="1680">
      <c r="A1680" t="inlineStr">
        <is>
          <t>MR24</t>
        </is>
      </c>
      <c r="B1680" t="inlineStr">
        <is>
          <t>Merged_Table_Assay_lito</t>
        </is>
      </c>
      <c r="C1680" t="inlineStr">
        <is>
          <t>metros de sondaje; pct sobre metros</t>
        </is>
      </c>
      <c r="D1680" t="inlineStr">
        <is>
          <t>fase_plp_GM_FASES_LE2_Output</t>
        </is>
      </c>
      <c r="E1680" t="inlineStr">
        <is>
          <t>10AN</t>
        </is>
      </c>
      <c r="F1680" t="inlineStr">
        <is>
          <t>litologia_tentativa</t>
        </is>
      </c>
      <c r="G1680" t="inlineStr">
        <is>
          <t>Hornfels (hipótesis: siglas H*)</t>
        </is>
      </c>
      <c r="H1680" t="inlineStr"/>
      <c r="I1680" t="inlineStr"/>
      <c r="J1680" t="inlineStr">
        <is>
          <t>suma de filas por código</t>
        </is>
      </c>
      <c r="K1680" t="inlineStr">
        <is>
          <t>Hornfels (hipótesis: siglas H*)</t>
        </is>
      </c>
      <c r="L1680" t="inlineStr"/>
      <c r="M1680" t="n">
        <v>146</v>
      </c>
      <c r="N1680" t="inlineStr"/>
      <c r="O1680" t="inlineStr"/>
      <c r="P1680" t="n">
        <v>272.43</v>
      </c>
      <c r="Q1680" t="n">
        <v>0.621</v>
      </c>
    </row>
    <row r="1681">
      <c r="A1681" t="inlineStr">
        <is>
          <t>MR24</t>
        </is>
      </c>
      <c r="B1681" t="inlineStr">
        <is>
          <t>Merged_Table_Assay_lito</t>
        </is>
      </c>
      <c r="C1681" t="inlineStr">
        <is>
          <t>metros de sondaje; pct sobre metros</t>
        </is>
      </c>
      <c r="D1681" t="inlineStr">
        <is>
          <t>fase_plp_GM_FASES_LE2_Output</t>
        </is>
      </c>
      <c r="E1681" t="inlineStr">
        <is>
          <t>10AN</t>
        </is>
      </c>
      <c r="F1681" t="inlineStr">
        <is>
          <t>litologia_tentativa</t>
        </is>
      </c>
      <c r="G1681" t="inlineStr">
        <is>
          <t>Intrusivo</t>
        </is>
      </c>
      <c r="H1681" t="inlineStr"/>
      <c r="I1681" t="inlineStr"/>
      <c r="J1681" t="inlineStr">
        <is>
          <t>suma de filas por código</t>
        </is>
      </c>
      <c r="K1681" t="inlineStr">
        <is>
          <t>Intrusivo</t>
        </is>
      </c>
      <c r="L1681" t="inlineStr"/>
      <c r="M1681" t="n">
        <v>9170</v>
      </c>
      <c r="N1681" t="inlineStr"/>
      <c r="O1681" t="inlineStr"/>
      <c r="P1681" t="n">
        <v>14527.25</v>
      </c>
      <c r="Q1681" t="n">
        <v>33.108</v>
      </c>
    </row>
    <row r="1682">
      <c r="A1682" t="inlineStr">
        <is>
          <t>MR24</t>
        </is>
      </c>
      <c r="B1682" t="inlineStr">
        <is>
          <t>Merged_Table_Assay_lito</t>
        </is>
      </c>
      <c r="C1682" t="inlineStr">
        <is>
          <t>metros de sondaje; pct sobre metros</t>
        </is>
      </c>
      <c r="D1682" t="inlineStr">
        <is>
          <t>fase_plp_GM_FASES_LE2_Output</t>
        </is>
      </c>
      <c r="E1682" t="inlineStr">
        <is>
          <t>10AN</t>
        </is>
      </c>
      <c r="F1682" t="inlineStr">
        <is>
          <t>litologia_tentativa</t>
        </is>
      </c>
      <c r="G1682" t="inlineStr">
        <is>
          <t>Mármol (hipótesis: sigla MDP)</t>
        </is>
      </c>
      <c r="H1682" t="inlineStr"/>
      <c r="I1682" t="inlineStr"/>
      <c r="J1682" t="inlineStr">
        <is>
          <t>suma de filas por código</t>
        </is>
      </c>
      <c r="K1682" t="inlineStr">
        <is>
          <t>Mármol (hipótesis: sigla MDP)</t>
        </is>
      </c>
      <c r="L1682" t="inlineStr"/>
      <c r="M1682" t="n">
        <v>9978</v>
      </c>
      <c r="N1682" t="inlineStr"/>
      <c r="O1682" t="inlineStr"/>
      <c r="P1682" t="n">
        <v>9221.700000000001</v>
      </c>
      <c r="Q1682" t="n">
        <v>21.017</v>
      </c>
    </row>
    <row r="1683">
      <c r="A1683" t="inlineStr">
        <is>
          <t>MR24</t>
        </is>
      </c>
      <c r="B1683" t="inlineStr">
        <is>
          <t>Merged_Table_Assay_lito</t>
        </is>
      </c>
      <c r="C1683" t="inlineStr">
        <is>
          <t>metros de sondaje; pct sobre metros</t>
        </is>
      </c>
      <c r="D1683" t="inlineStr">
        <is>
          <t>fase_plp_GM_FASES_LE2_Output</t>
        </is>
      </c>
      <c r="E1683" t="inlineStr">
        <is>
          <t>10AN</t>
        </is>
      </c>
      <c r="F1683" t="inlineStr">
        <is>
          <t>litologia_tentativa</t>
        </is>
      </c>
      <c r="G1683" t="inlineStr">
        <is>
          <t>Mármol (hipótesis: siglas M*)</t>
        </is>
      </c>
      <c r="H1683" t="inlineStr"/>
      <c r="I1683" t="inlineStr"/>
      <c r="J1683" t="inlineStr">
        <is>
          <t>suma de filas por código</t>
        </is>
      </c>
      <c r="K1683" t="inlineStr">
        <is>
          <t>Mármol (hipótesis: siglas M*)</t>
        </is>
      </c>
      <c r="L1683" t="inlineStr"/>
      <c r="M1683" t="n">
        <v>17343</v>
      </c>
      <c r="N1683" t="inlineStr"/>
      <c r="O1683" t="inlineStr"/>
      <c r="P1683" t="n">
        <v>18970</v>
      </c>
      <c r="Q1683" t="n">
        <v>43.234</v>
      </c>
    </row>
    <row r="1684">
      <c r="A1684" t="inlineStr">
        <is>
          <t>MR24</t>
        </is>
      </c>
      <c r="B1684" t="inlineStr">
        <is>
          <t>Merged_Table_Assay_lito</t>
        </is>
      </c>
      <c r="C1684" t="inlineStr">
        <is>
          <t>metros de sondaje; pct sobre metros</t>
        </is>
      </c>
      <c r="D1684" t="inlineStr">
        <is>
          <t>fase_plp_GM_FASES_LE2_Output</t>
        </is>
      </c>
      <c r="E1684" t="inlineStr">
        <is>
          <t>10AS</t>
        </is>
      </c>
      <c r="F1684" t="inlineStr">
        <is>
          <t>litologia_tentativa</t>
        </is>
      </c>
      <c r="G1684" t="inlineStr">
        <is>
          <t>Hornfels (hipótesis: siglas H*)</t>
        </is>
      </c>
      <c r="H1684" t="inlineStr"/>
      <c r="I1684" t="inlineStr"/>
      <c r="J1684" t="inlineStr">
        <is>
          <t>suma de filas por código</t>
        </is>
      </c>
      <c r="K1684" t="inlineStr">
        <is>
          <t>Hornfels (hipótesis: siglas H*)</t>
        </is>
      </c>
      <c r="L1684" t="inlineStr"/>
      <c r="M1684" t="n">
        <v>61</v>
      </c>
      <c r="N1684" t="inlineStr"/>
      <c r="O1684" t="inlineStr"/>
      <c r="P1684" t="n">
        <v>148.55</v>
      </c>
      <c r="Q1684" t="n">
        <v>5.427</v>
      </c>
    </row>
    <row r="1685">
      <c r="A1685" t="inlineStr">
        <is>
          <t>MR24</t>
        </is>
      </c>
      <c r="B1685" t="inlineStr">
        <is>
          <t>Merged_Table_Assay_lito</t>
        </is>
      </c>
      <c r="C1685" t="inlineStr">
        <is>
          <t>metros de sondaje; pct sobre metros</t>
        </is>
      </c>
      <c r="D1685" t="inlineStr">
        <is>
          <t>fase_plp_GM_FASES_LE2_Output</t>
        </is>
      </c>
      <c r="E1685" t="inlineStr">
        <is>
          <t>10AS</t>
        </is>
      </c>
      <c r="F1685" t="inlineStr">
        <is>
          <t>litologia_tentativa</t>
        </is>
      </c>
      <c r="G1685" t="inlineStr">
        <is>
          <t>Intrusivo</t>
        </is>
      </c>
      <c r="H1685" t="inlineStr"/>
      <c r="I1685" t="inlineStr"/>
      <c r="J1685" t="inlineStr">
        <is>
          <t>suma de filas por código</t>
        </is>
      </c>
      <c r="K1685" t="inlineStr">
        <is>
          <t>Intrusivo</t>
        </is>
      </c>
      <c r="L1685" t="inlineStr"/>
      <c r="M1685" t="n">
        <v>703</v>
      </c>
      <c r="N1685" t="inlineStr"/>
      <c r="O1685" t="inlineStr"/>
      <c r="P1685" t="n">
        <v>914.5</v>
      </c>
      <c r="Q1685" t="n">
        <v>33.41</v>
      </c>
    </row>
    <row r="1686">
      <c r="A1686" t="inlineStr">
        <is>
          <t>MR24</t>
        </is>
      </c>
      <c r="B1686" t="inlineStr">
        <is>
          <t>Merged_Table_Assay_lito</t>
        </is>
      </c>
      <c r="C1686" t="inlineStr">
        <is>
          <t>metros de sondaje; pct sobre metros</t>
        </is>
      </c>
      <c r="D1686" t="inlineStr">
        <is>
          <t>fase_plp_GM_FASES_LE2_Output</t>
        </is>
      </c>
      <c r="E1686" t="inlineStr">
        <is>
          <t>10AS</t>
        </is>
      </c>
      <c r="F1686" t="inlineStr">
        <is>
          <t>litologia_tentativa</t>
        </is>
      </c>
      <c r="G1686" t="inlineStr">
        <is>
          <t>Mármol (hipótesis: sigla MDP)</t>
        </is>
      </c>
      <c r="H1686" t="inlineStr"/>
      <c r="I1686" t="inlineStr"/>
      <c r="J1686" t="inlineStr">
        <is>
          <t>suma de filas por código</t>
        </is>
      </c>
      <c r="K1686" t="inlineStr">
        <is>
          <t>Mármol (hipótesis: sigla MDP)</t>
        </is>
      </c>
      <c r="L1686" t="inlineStr"/>
      <c r="M1686" t="n">
        <v>1232</v>
      </c>
      <c r="N1686" t="inlineStr"/>
      <c r="O1686" t="inlineStr"/>
      <c r="P1686" t="n">
        <v>1320.9</v>
      </c>
      <c r="Q1686" t="n">
        <v>48.256</v>
      </c>
    </row>
    <row r="1687">
      <c r="A1687" t="inlineStr">
        <is>
          <t>MR24</t>
        </is>
      </c>
      <c r="B1687" t="inlineStr">
        <is>
          <t>Merged_Table_Assay_lito</t>
        </is>
      </c>
      <c r="C1687" t="inlineStr">
        <is>
          <t>metros de sondaje; pct sobre metros</t>
        </is>
      </c>
      <c r="D1687" t="inlineStr">
        <is>
          <t>fase_plp_GM_FASES_LE2_Output</t>
        </is>
      </c>
      <c r="E1687" t="inlineStr">
        <is>
          <t>10AS</t>
        </is>
      </c>
      <c r="F1687" t="inlineStr">
        <is>
          <t>litologia_tentativa</t>
        </is>
      </c>
      <c r="G1687" t="inlineStr">
        <is>
          <t>Mármol (hipótesis: siglas M*)</t>
        </is>
      </c>
      <c r="H1687" t="inlineStr"/>
      <c r="I1687" t="inlineStr"/>
      <c r="J1687" t="inlineStr">
        <is>
          <t>suma de filas por código</t>
        </is>
      </c>
      <c r="K1687" t="inlineStr">
        <is>
          <t>Mármol (hipótesis: siglas M*)</t>
        </is>
      </c>
      <c r="L1687" t="inlineStr"/>
      <c r="M1687" t="n">
        <v>304</v>
      </c>
      <c r="N1687" t="inlineStr"/>
      <c r="O1687" t="inlineStr"/>
      <c r="P1687" t="n">
        <v>353.3</v>
      </c>
      <c r="Q1687" t="n">
        <v>12.907</v>
      </c>
    </row>
    <row r="1688">
      <c r="A1688" t="inlineStr">
        <is>
          <t>MR24</t>
        </is>
      </c>
      <c r="B1688" t="inlineStr">
        <is>
          <t>Merged_Table_Assay_lito</t>
        </is>
      </c>
      <c r="C1688" t="inlineStr">
        <is>
          <t>metros de sondaje; pct sobre metros</t>
        </is>
      </c>
      <c r="D1688" t="inlineStr">
        <is>
          <t>fase_plp_GM_FASES_LE2_Output</t>
        </is>
      </c>
      <c r="E1688" t="inlineStr">
        <is>
          <t>10B</t>
        </is>
      </c>
      <c r="F1688" t="inlineStr">
        <is>
          <t>litologia_tentativa</t>
        </is>
      </c>
      <c r="G1688" t="inlineStr">
        <is>
          <t>Caliza (hipótesis: siglas C*)</t>
        </is>
      </c>
      <c r="H1688" t="inlineStr"/>
      <c r="I1688" t="inlineStr"/>
      <c r="J1688" t="inlineStr">
        <is>
          <t>suma de filas por código</t>
        </is>
      </c>
      <c r="K1688" t="inlineStr">
        <is>
          <t>Caliza (hipótesis: siglas C*)</t>
        </is>
      </c>
      <c r="L1688" t="inlineStr"/>
      <c r="M1688" t="n">
        <v>226</v>
      </c>
      <c r="N1688" t="inlineStr"/>
      <c r="O1688" t="inlineStr"/>
      <c r="P1688" t="n">
        <v>226.9</v>
      </c>
      <c r="Q1688" t="n">
        <v>1.247</v>
      </c>
    </row>
    <row r="1689">
      <c r="A1689" t="inlineStr">
        <is>
          <t>MR24</t>
        </is>
      </c>
      <c r="B1689" t="inlineStr">
        <is>
          <t>Merged_Table_Assay_lito</t>
        </is>
      </c>
      <c r="C1689" t="inlineStr">
        <is>
          <t>metros de sondaje; pct sobre metros</t>
        </is>
      </c>
      <c r="D1689" t="inlineStr">
        <is>
          <t>fase_plp_GM_FASES_LE2_Output</t>
        </is>
      </c>
      <c r="E1689" t="inlineStr">
        <is>
          <t>10B</t>
        </is>
      </c>
      <c r="F1689" t="inlineStr">
        <is>
          <t>litologia_tentativa</t>
        </is>
      </c>
      <c r="G1689" t="inlineStr">
        <is>
          <t>Hornfels (hipótesis: siglas H*)</t>
        </is>
      </c>
      <c r="H1689" t="inlineStr"/>
      <c r="I1689" t="inlineStr"/>
      <c r="J1689" t="inlineStr">
        <is>
          <t>suma de filas por código</t>
        </is>
      </c>
      <c r="K1689" t="inlineStr">
        <is>
          <t>Hornfels (hipótesis: siglas H*)</t>
        </is>
      </c>
      <c r="L1689" t="inlineStr"/>
      <c r="M1689" t="n">
        <v>866</v>
      </c>
      <c r="N1689" t="inlineStr"/>
      <c r="O1689" t="inlineStr"/>
      <c r="P1689" t="n">
        <v>818.6500000000001</v>
      </c>
      <c r="Q1689" t="n">
        <v>4.497</v>
      </c>
    </row>
    <row r="1690">
      <c r="A1690" t="inlineStr">
        <is>
          <t>MR24</t>
        </is>
      </c>
      <c r="B1690" t="inlineStr">
        <is>
          <t>Merged_Table_Assay_lito</t>
        </is>
      </c>
      <c r="C1690" t="inlineStr">
        <is>
          <t>metros de sondaje; pct sobre metros</t>
        </is>
      </c>
      <c r="D1690" t="inlineStr">
        <is>
          <t>fase_plp_GM_FASES_LE2_Output</t>
        </is>
      </c>
      <c r="E1690" t="inlineStr">
        <is>
          <t>10B</t>
        </is>
      </c>
      <c r="F1690" t="inlineStr">
        <is>
          <t>litologia_tentativa</t>
        </is>
      </c>
      <c r="G1690" t="inlineStr">
        <is>
          <t>Intrusivo</t>
        </is>
      </c>
      <c r="H1690" t="inlineStr"/>
      <c r="I1690" t="inlineStr"/>
      <c r="J1690" t="inlineStr">
        <is>
          <t>suma de filas por código</t>
        </is>
      </c>
      <c r="K1690" t="inlineStr">
        <is>
          <t>Intrusivo</t>
        </is>
      </c>
      <c r="L1690" t="inlineStr"/>
      <c r="M1690" t="n">
        <v>6239</v>
      </c>
      <c r="N1690" t="inlineStr"/>
      <c r="O1690" t="inlineStr"/>
      <c r="P1690" t="n">
        <v>7911.3</v>
      </c>
      <c r="Q1690" t="n">
        <v>43.457</v>
      </c>
    </row>
    <row r="1691">
      <c r="A1691" t="inlineStr">
        <is>
          <t>MR24</t>
        </is>
      </c>
      <c r="B1691" t="inlineStr">
        <is>
          <t>Merged_Table_Assay_lito</t>
        </is>
      </c>
      <c r="C1691" t="inlineStr">
        <is>
          <t>metros de sondaje; pct sobre metros</t>
        </is>
      </c>
      <c r="D1691" t="inlineStr">
        <is>
          <t>fase_plp_GM_FASES_LE2_Output</t>
        </is>
      </c>
      <c r="E1691" t="inlineStr">
        <is>
          <t>10B</t>
        </is>
      </c>
      <c r="F1691" t="inlineStr">
        <is>
          <t>litologia_tentativa</t>
        </is>
      </c>
      <c r="G1691" t="inlineStr">
        <is>
          <t>Mármol (hipótesis: sigla MDP)</t>
        </is>
      </c>
      <c r="H1691" t="inlineStr"/>
      <c r="I1691" t="inlineStr"/>
      <c r="J1691" t="inlineStr">
        <is>
          <t>suma de filas por código</t>
        </is>
      </c>
      <c r="K1691" t="inlineStr">
        <is>
          <t>Mármol (hipótesis: sigla MDP)</t>
        </is>
      </c>
      <c r="L1691" t="inlineStr"/>
      <c r="M1691" t="n">
        <v>3730</v>
      </c>
      <c r="N1691" t="inlineStr"/>
      <c r="O1691" t="inlineStr"/>
      <c r="P1691" t="n">
        <v>3514.55</v>
      </c>
      <c r="Q1691" t="n">
        <v>19.305</v>
      </c>
    </row>
    <row r="1692">
      <c r="A1692" t="inlineStr">
        <is>
          <t>MR24</t>
        </is>
      </c>
      <c r="B1692" t="inlineStr">
        <is>
          <t>Merged_Table_Assay_lito</t>
        </is>
      </c>
      <c r="C1692" t="inlineStr">
        <is>
          <t>metros de sondaje; pct sobre metros</t>
        </is>
      </c>
      <c r="D1692" t="inlineStr">
        <is>
          <t>fase_plp_GM_FASES_LE2_Output</t>
        </is>
      </c>
      <c r="E1692" t="inlineStr">
        <is>
          <t>10B</t>
        </is>
      </c>
      <c r="F1692" t="inlineStr">
        <is>
          <t>litologia_tentativa</t>
        </is>
      </c>
      <c r="G1692" t="inlineStr">
        <is>
          <t>Mármol (hipótesis: siglas M*)</t>
        </is>
      </c>
      <c r="H1692" t="inlineStr"/>
      <c r="I1692" t="inlineStr"/>
      <c r="J1692" t="inlineStr">
        <is>
          <t>suma de filas por código</t>
        </is>
      </c>
      <c r="K1692" t="inlineStr">
        <is>
          <t>Mármol (hipótesis: siglas M*)</t>
        </is>
      </c>
      <c r="L1692" t="inlineStr"/>
      <c r="M1692" t="n">
        <v>5591</v>
      </c>
      <c r="N1692" t="inlineStr"/>
      <c r="O1692" t="inlineStr"/>
      <c r="P1692" t="n">
        <v>5733.7</v>
      </c>
      <c r="Q1692" t="n">
        <v>31.495</v>
      </c>
    </row>
    <row r="1693">
      <c r="A1693" t="inlineStr">
        <is>
          <t>MR24</t>
        </is>
      </c>
      <c r="B1693" t="inlineStr">
        <is>
          <t>Merged_Table_Assay_lito</t>
        </is>
      </c>
      <c r="C1693" t="inlineStr">
        <is>
          <t>metros de sondaje; pct sobre metros</t>
        </is>
      </c>
      <c r="D1693" t="inlineStr">
        <is>
          <t>fase_plp_GM_FASES_LE2_Output</t>
        </is>
      </c>
      <c r="E1693" t="inlineStr">
        <is>
          <t>11A</t>
        </is>
      </c>
      <c r="F1693" t="inlineStr">
        <is>
          <t>litologia_tentativa</t>
        </is>
      </c>
      <c r="G1693" t="inlineStr">
        <is>
          <t>Caliza (hipótesis: siglas C*)</t>
        </is>
      </c>
      <c r="H1693" t="inlineStr"/>
      <c r="I1693" t="inlineStr"/>
      <c r="J1693" t="inlineStr">
        <is>
          <t>suma de filas por código</t>
        </is>
      </c>
      <c r="K1693" t="inlineStr">
        <is>
          <t>Caliza (hipótesis: siglas C*)</t>
        </is>
      </c>
      <c r="L1693" t="inlineStr"/>
      <c r="M1693" t="n">
        <v>1813</v>
      </c>
      <c r="N1693" t="inlineStr"/>
      <c r="O1693" t="inlineStr"/>
      <c r="P1693" t="n">
        <v>1674.3</v>
      </c>
      <c r="Q1693" t="n">
        <v>53.439</v>
      </c>
    </row>
    <row r="1694">
      <c r="A1694" t="inlineStr">
        <is>
          <t>MR24</t>
        </is>
      </c>
      <c r="B1694" t="inlineStr">
        <is>
          <t>Merged_Table_Assay_lito</t>
        </is>
      </c>
      <c r="C1694" t="inlineStr">
        <is>
          <t>metros de sondaje; pct sobre metros</t>
        </is>
      </c>
      <c r="D1694" t="inlineStr">
        <is>
          <t>fase_plp_GM_FASES_LE2_Output</t>
        </is>
      </c>
      <c r="E1694" t="inlineStr">
        <is>
          <t>11A</t>
        </is>
      </c>
      <c r="F1694" t="inlineStr">
        <is>
          <t>litologia_tentativa</t>
        </is>
      </c>
      <c r="G1694" t="inlineStr">
        <is>
          <t>Hornfels (hipótesis: siglas H*)</t>
        </is>
      </c>
      <c r="H1694" t="inlineStr"/>
      <c r="I1694" t="inlineStr"/>
      <c r="J1694" t="inlineStr">
        <is>
          <t>suma de filas por código</t>
        </is>
      </c>
      <c r="K1694" t="inlineStr">
        <is>
          <t>Hornfels (hipótesis: siglas H*)</t>
        </is>
      </c>
      <c r="L1694" t="inlineStr"/>
      <c r="M1694" t="n">
        <v>1735</v>
      </c>
      <c r="N1694" t="inlineStr"/>
      <c r="O1694" t="inlineStr"/>
      <c r="P1694" t="n">
        <v>1369.75</v>
      </c>
      <c r="Q1694" t="n">
        <v>43.719</v>
      </c>
    </row>
    <row r="1695">
      <c r="A1695" t="inlineStr">
        <is>
          <t>MR24</t>
        </is>
      </c>
      <c r="B1695" t="inlineStr">
        <is>
          <t>Merged_Table_Assay_lito</t>
        </is>
      </c>
      <c r="C1695" t="inlineStr">
        <is>
          <t>metros de sondaje; pct sobre metros</t>
        </is>
      </c>
      <c r="D1695" t="inlineStr">
        <is>
          <t>fase_plp_GM_FASES_LE2_Output</t>
        </is>
      </c>
      <c r="E1695" t="inlineStr">
        <is>
          <t>11A</t>
        </is>
      </c>
      <c r="F1695" t="inlineStr">
        <is>
          <t>litologia_tentativa</t>
        </is>
      </c>
      <c r="G1695" t="inlineStr">
        <is>
          <t>Intrusivo</t>
        </is>
      </c>
      <c r="H1695" t="inlineStr"/>
      <c r="I1695" t="inlineStr"/>
      <c r="J1695" t="inlineStr">
        <is>
          <t>suma de filas por código</t>
        </is>
      </c>
      <c r="K1695" t="inlineStr">
        <is>
          <t>Intrusivo</t>
        </is>
      </c>
      <c r="L1695" t="inlineStr"/>
      <c r="M1695" t="n">
        <v>30</v>
      </c>
      <c r="N1695" t="inlineStr"/>
      <c r="O1695" t="inlineStr"/>
      <c r="P1695" t="n">
        <v>22.1</v>
      </c>
      <c r="Q1695" t="n">
        <v>0.705</v>
      </c>
    </row>
    <row r="1696">
      <c r="A1696" t="inlineStr">
        <is>
          <t>MR24</t>
        </is>
      </c>
      <c r="B1696" t="inlineStr">
        <is>
          <t>Merged_Table_Assay_lito</t>
        </is>
      </c>
      <c r="C1696" t="inlineStr">
        <is>
          <t>metros de sondaje; pct sobre metros</t>
        </is>
      </c>
      <c r="D1696" t="inlineStr">
        <is>
          <t>fase_plp_GM_FASES_LE2_Output</t>
        </is>
      </c>
      <c r="E1696" t="inlineStr">
        <is>
          <t>11A</t>
        </is>
      </c>
      <c r="F1696" t="inlineStr">
        <is>
          <t>litologia_tentativa</t>
        </is>
      </c>
      <c r="G1696" t="inlineStr">
        <is>
          <t>Mármol (hipótesis: siglas M*)</t>
        </is>
      </c>
      <c r="H1696" t="inlineStr"/>
      <c r="I1696" t="inlineStr"/>
      <c r="J1696" t="inlineStr">
        <is>
          <t>suma de filas por código</t>
        </is>
      </c>
      <c r="K1696" t="inlineStr">
        <is>
          <t>Mármol (hipótesis: siglas M*)</t>
        </is>
      </c>
      <c r="L1696" t="inlineStr"/>
      <c r="M1696" t="n">
        <v>87</v>
      </c>
      <c r="N1696" t="inlineStr"/>
      <c r="O1696" t="inlineStr"/>
      <c r="P1696" t="n">
        <v>66.95</v>
      </c>
      <c r="Q1696" t="n">
        <v>2.136</v>
      </c>
    </row>
    <row r="1697">
      <c r="A1697" t="inlineStr">
        <is>
          <t>MR24</t>
        </is>
      </c>
      <c r="B1697" t="inlineStr">
        <is>
          <t>Merged_Table_Assay_lito</t>
        </is>
      </c>
      <c r="C1697" t="inlineStr">
        <is>
          <t>metros de sondaje; pct sobre metros</t>
        </is>
      </c>
      <c r="D1697" t="inlineStr">
        <is>
          <t>fase_plp_GM_FASES_LE2_Output</t>
        </is>
      </c>
      <c r="E1697" t="inlineStr">
        <is>
          <t>11B</t>
        </is>
      </c>
      <c r="F1697" t="inlineStr">
        <is>
          <t>litologia_tentativa</t>
        </is>
      </c>
      <c r="G1697" t="inlineStr">
        <is>
          <t>Caliza (hipótesis: siglas C*)</t>
        </is>
      </c>
      <c r="H1697" t="inlineStr"/>
      <c r="I1697" t="inlineStr"/>
      <c r="J1697" t="inlineStr">
        <is>
          <t>suma de filas por código</t>
        </is>
      </c>
      <c r="K1697" t="inlineStr">
        <is>
          <t>Caliza (hipótesis: siglas C*)</t>
        </is>
      </c>
      <c r="L1697" t="inlineStr"/>
      <c r="M1697" t="n">
        <v>1547</v>
      </c>
      <c r="N1697" t="inlineStr"/>
      <c r="O1697" t="inlineStr"/>
      <c r="P1697" t="n">
        <v>1364.65</v>
      </c>
      <c r="Q1697" t="n">
        <v>81.526</v>
      </c>
    </row>
    <row r="1698">
      <c r="A1698" t="inlineStr">
        <is>
          <t>MR24</t>
        </is>
      </c>
      <c r="B1698" t="inlineStr">
        <is>
          <t>Merged_Table_Assay_lito</t>
        </is>
      </c>
      <c r="C1698" t="inlineStr">
        <is>
          <t>metros de sondaje; pct sobre metros</t>
        </is>
      </c>
      <c r="D1698" t="inlineStr">
        <is>
          <t>fase_plp_GM_FASES_LE2_Output</t>
        </is>
      </c>
      <c r="E1698" t="inlineStr">
        <is>
          <t>11B</t>
        </is>
      </c>
      <c r="F1698" t="inlineStr">
        <is>
          <t>litologia_tentativa</t>
        </is>
      </c>
      <c r="G1698" t="inlineStr">
        <is>
          <t>Hornfels (hipótesis: siglas H*)</t>
        </is>
      </c>
      <c r="H1698" t="inlineStr"/>
      <c r="I1698" t="inlineStr"/>
      <c r="J1698" t="inlineStr">
        <is>
          <t>suma de filas por código</t>
        </is>
      </c>
      <c r="K1698" t="inlineStr">
        <is>
          <t>Hornfels (hipótesis: siglas H*)</t>
        </is>
      </c>
      <c r="L1698" t="inlineStr"/>
      <c r="M1698" t="n">
        <v>312</v>
      </c>
      <c r="N1698" t="inlineStr"/>
      <c r="O1698" t="inlineStr"/>
      <c r="P1698" t="n">
        <v>285.35</v>
      </c>
      <c r="Q1698" t="n">
        <v>17.047</v>
      </c>
    </row>
    <row r="1699">
      <c r="A1699" t="inlineStr">
        <is>
          <t>MR24</t>
        </is>
      </c>
      <c r="B1699" t="inlineStr">
        <is>
          <t>Merged_Table_Assay_lito</t>
        </is>
      </c>
      <c r="C1699" t="inlineStr">
        <is>
          <t>metros de sondaje; pct sobre metros</t>
        </is>
      </c>
      <c r="D1699" t="inlineStr">
        <is>
          <t>fase_plp_GM_FASES_LE2_Output</t>
        </is>
      </c>
      <c r="E1699" t="inlineStr">
        <is>
          <t>11B</t>
        </is>
      </c>
      <c r="F1699" t="inlineStr">
        <is>
          <t>litologia_tentativa</t>
        </is>
      </c>
      <c r="G1699" t="inlineStr">
        <is>
          <t>Intrusivo</t>
        </is>
      </c>
      <c r="H1699" t="inlineStr"/>
      <c r="I1699" t="inlineStr"/>
      <c r="J1699" t="inlineStr">
        <is>
          <t>suma de filas por código</t>
        </is>
      </c>
      <c r="K1699" t="inlineStr">
        <is>
          <t>Intrusivo</t>
        </is>
      </c>
      <c r="L1699" t="inlineStr"/>
      <c r="M1699" t="n">
        <v>31</v>
      </c>
      <c r="N1699" t="inlineStr"/>
      <c r="O1699" t="inlineStr"/>
      <c r="P1699" t="n">
        <v>23.9</v>
      </c>
      <c r="Q1699" t="n">
        <v>1.428</v>
      </c>
    </row>
    <row r="1700">
      <c r="A1700" t="inlineStr">
        <is>
          <t>MR24</t>
        </is>
      </c>
      <c r="B1700" t="inlineStr">
        <is>
          <t>Merged_Table_Assay_lito</t>
        </is>
      </c>
      <c r="C1700" t="inlineStr">
        <is>
          <t>metros de sondaje; pct sobre metros</t>
        </is>
      </c>
      <c r="D1700" t="inlineStr">
        <is>
          <t>fase_plp_GM_FASES_LE2_Output</t>
        </is>
      </c>
      <c r="E1700" t="inlineStr">
        <is>
          <t>11C</t>
        </is>
      </c>
      <c r="F1700" t="inlineStr">
        <is>
          <t>litologia_tentativa</t>
        </is>
      </c>
      <c r="G1700" t="inlineStr">
        <is>
          <t>Caliza (hipótesis: siglas C*)</t>
        </is>
      </c>
      <c r="H1700" t="inlineStr"/>
      <c r="I1700" t="inlineStr"/>
      <c r="J1700" t="inlineStr">
        <is>
          <t>suma de filas por código</t>
        </is>
      </c>
      <c r="K1700" t="inlineStr">
        <is>
          <t>Caliza (hipótesis: siglas C*)</t>
        </is>
      </c>
      <c r="L1700" t="inlineStr"/>
      <c r="M1700" t="n">
        <v>1751</v>
      </c>
      <c r="N1700" t="inlineStr"/>
      <c r="O1700" t="inlineStr"/>
      <c r="P1700" t="n">
        <v>1622</v>
      </c>
      <c r="Q1700" t="n">
        <v>29.392</v>
      </c>
    </row>
    <row r="1701">
      <c r="A1701" t="inlineStr">
        <is>
          <t>MR24</t>
        </is>
      </c>
      <c r="B1701" t="inlineStr">
        <is>
          <t>Merged_Table_Assay_lito</t>
        </is>
      </c>
      <c r="C1701" t="inlineStr">
        <is>
          <t>metros de sondaje; pct sobre metros</t>
        </is>
      </c>
      <c r="D1701" t="inlineStr">
        <is>
          <t>fase_plp_GM_FASES_LE2_Output</t>
        </is>
      </c>
      <c r="E1701" t="inlineStr">
        <is>
          <t>11C</t>
        </is>
      </c>
      <c r="F1701" t="inlineStr">
        <is>
          <t>litologia_tentativa</t>
        </is>
      </c>
      <c r="G1701" t="inlineStr">
        <is>
          <t>Hornfels (hipótesis: siglas H*)</t>
        </is>
      </c>
      <c r="H1701" t="inlineStr"/>
      <c r="I1701" t="inlineStr"/>
      <c r="J1701" t="inlineStr">
        <is>
          <t>suma de filas por código</t>
        </is>
      </c>
      <c r="K1701" t="inlineStr">
        <is>
          <t>Hornfels (hipótesis: siglas H*)</t>
        </is>
      </c>
      <c r="L1701" t="inlineStr"/>
      <c r="M1701" t="n">
        <v>4077</v>
      </c>
      <c r="N1701" t="inlineStr"/>
      <c r="O1701" t="inlineStr"/>
      <c r="P1701" t="n">
        <v>3469.85</v>
      </c>
      <c r="Q1701" t="n">
        <v>62.878</v>
      </c>
    </row>
    <row r="1702">
      <c r="A1702" t="inlineStr">
        <is>
          <t>MR24</t>
        </is>
      </c>
      <c r="B1702" t="inlineStr">
        <is>
          <t>Merged_Table_Assay_lito</t>
        </is>
      </c>
      <c r="C1702" t="inlineStr">
        <is>
          <t>metros de sondaje; pct sobre metros</t>
        </is>
      </c>
      <c r="D1702" t="inlineStr">
        <is>
          <t>fase_plp_GM_FASES_LE2_Output</t>
        </is>
      </c>
      <c r="E1702" t="inlineStr">
        <is>
          <t>11C</t>
        </is>
      </c>
      <c r="F1702" t="inlineStr">
        <is>
          <t>litologia_tentativa</t>
        </is>
      </c>
      <c r="G1702" t="inlineStr">
        <is>
          <t>Intrusivo</t>
        </is>
      </c>
      <c r="H1702" t="inlineStr"/>
      <c r="I1702" t="inlineStr"/>
      <c r="J1702" t="inlineStr">
        <is>
          <t>suma de filas por código</t>
        </is>
      </c>
      <c r="K1702" t="inlineStr">
        <is>
          <t>Intrusivo</t>
        </is>
      </c>
      <c r="L1702" t="inlineStr"/>
      <c r="M1702" t="n">
        <v>43</v>
      </c>
      <c r="N1702" t="inlineStr"/>
      <c r="O1702" t="inlineStr"/>
      <c r="P1702" t="n">
        <v>52.8</v>
      </c>
      <c r="Q1702" t="n">
        <v>0.956</v>
      </c>
    </row>
    <row r="1703">
      <c r="A1703" t="inlineStr">
        <is>
          <t>MR24</t>
        </is>
      </c>
      <c r="B1703" t="inlineStr">
        <is>
          <t>Merged_Table_Assay_lito</t>
        </is>
      </c>
      <c r="C1703" t="inlineStr">
        <is>
          <t>metros de sondaje; pct sobre metros</t>
        </is>
      </c>
      <c r="D1703" t="inlineStr">
        <is>
          <t>fase_plp_GM_FASES_LE2_Output</t>
        </is>
      </c>
      <c r="E1703" t="inlineStr">
        <is>
          <t>11C</t>
        </is>
      </c>
      <c r="F1703" t="inlineStr">
        <is>
          <t>litologia_tentativa</t>
        </is>
      </c>
      <c r="G1703" t="inlineStr">
        <is>
          <t>Mármol (hipótesis: siglas M*)</t>
        </is>
      </c>
      <c r="H1703" t="inlineStr"/>
      <c r="I1703" t="inlineStr"/>
      <c r="J1703" t="inlineStr">
        <is>
          <t>suma de filas por código</t>
        </is>
      </c>
      <c r="K1703" t="inlineStr">
        <is>
          <t>Mármol (hipótesis: siglas M*)</t>
        </is>
      </c>
      <c r="L1703" t="inlineStr"/>
      <c r="M1703" t="n">
        <v>368</v>
      </c>
      <c r="N1703" t="inlineStr"/>
      <c r="O1703" t="inlineStr"/>
      <c r="P1703" t="n">
        <v>373.75</v>
      </c>
      <c r="Q1703" t="n">
        <v>6.772</v>
      </c>
    </row>
    <row r="1704">
      <c r="A1704" t="inlineStr">
        <is>
          <t>MR24</t>
        </is>
      </c>
      <c r="B1704" t="inlineStr">
        <is>
          <t>Merged_Table_Assay_lito</t>
        </is>
      </c>
      <c r="C1704" t="inlineStr">
        <is>
          <t>metros de sondaje; pct sobre metros</t>
        </is>
      </c>
      <c r="D1704" t="inlineStr">
        <is>
          <t>fase_plp_GM_FASES_LE2_Output</t>
        </is>
      </c>
      <c r="E1704" t="inlineStr">
        <is>
          <t>11D</t>
        </is>
      </c>
      <c r="F1704" t="inlineStr">
        <is>
          <t>litologia_tentativa</t>
        </is>
      </c>
      <c r="G1704" t="inlineStr">
        <is>
          <t>Caliza (hipótesis: siglas C*)</t>
        </is>
      </c>
      <c r="H1704" t="inlineStr"/>
      <c r="I1704" t="inlineStr"/>
      <c r="J1704" t="inlineStr">
        <is>
          <t>suma de filas por código</t>
        </is>
      </c>
      <c r="K1704" t="inlineStr">
        <is>
          <t>Caliza (hipótesis: siglas C*)</t>
        </is>
      </c>
      <c r="L1704" t="inlineStr"/>
      <c r="M1704" t="n">
        <v>6399</v>
      </c>
      <c r="N1704" t="inlineStr"/>
      <c r="O1704" t="inlineStr"/>
      <c r="P1704" t="n">
        <v>5770.6</v>
      </c>
      <c r="Q1704" t="n">
        <v>8.840999999999999</v>
      </c>
    </row>
    <row r="1705">
      <c r="A1705" t="inlineStr">
        <is>
          <t>MR24</t>
        </is>
      </c>
      <c r="B1705" t="inlineStr">
        <is>
          <t>Merged_Table_Assay_lito</t>
        </is>
      </c>
      <c r="C1705" t="inlineStr">
        <is>
          <t>metros de sondaje; pct sobre metros</t>
        </is>
      </c>
      <c r="D1705" t="inlineStr">
        <is>
          <t>fase_plp_GM_FASES_LE2_Output</t>
        </is>
      </c>
      <c r="E1705" t="inlineStr">
        <is>
          <t>11D</t>
        </is>
      </c>
      <c r="F1705" t="inlineStr">
        <is>
          <t>litologia_tentativa</t>
        </is>
      </c>
      <c r="G1705" t="inlineStr">
        <is>
          <t>Hornfels (hipótesis: siglas H*)</t>
        </is>
      </c>
      <c r="H1705" t="inlineStr"/>
      <c r="I1705" t="inlineStr"/>
      <c r="J1705" t="inlineStr">
        <is>
          <t>suma de filas por código</t>
        </is>
      </c>
      <c r="K1705" t="inlineStr">
        <is>
          <t>Hornfels (hipótesis: siglas H*)</t>
        </is>
      </c>
      <c r="L1705" t="inlineStr"/>
      <c r="M1705" t="n">
        <v>25805</v>
      </c>
      <c r="N1705" t="inlineStr"/>
      <c r="O1705" t="inlineStr"/>
      <c r="P1705" t="n">
        <v>21458.2</v>
      </c>
      <c r="Q1705" t="n">
        <v>32.878</v>
      </c>
    </row>
    <row r="1706">
      <c r="A1706" t="inlineStr">
        <is>
          <t>MR24</t>
        </is>
      </c>
      <c r="B1706" t="inlineStr">
        <is>
          <t>Merged_Table_Assay_lito</t>
        </is>
      </c>
      <c r="C1706" t="inlineStr">
        <is>
          <t>metros de sondaje; pct sobre metros</t>
        </is>
      </c>
      <c r="D1706" t="inlineStr">
        <is>
          <t>fase_plp_GM_FASES_LE2_Output</t>
        </is>
      </c>
      <c r="E1706" t="inlineStr">
        <is>
          <t>11D</t>
        </is>
      </c>
      <c r="F1706" t="inlineStr">
        <is>
          <t>litologia_tentativa</t>
        </is>
      </c>
      <c r="G1706" t="inlineStr">
        <is>
          <t>Intrusivo</t>
        </is>
      </c>
      <c r="H1706" t="inlineStr"/>
      <c r="I1706" t="inlineStr"/>
      <c r="J1706" t="inlineStr">
        <is>
          <t>suma de filas por código</t>
        </is>
      </c>
      <c r="K1706" t="inlineStr">
        <is>
          <t>Intrusivo</t>
        </is>
      </c>
      <c r="L1706" t="inlineStr"/>
      <c r="M1706" t="n">
        <v>14381</v>
      </c>
      <c r="N1706" t="inlineStr"/>
      <c r="O1706" t="inlineStr"/>
      <c r="P1706" t="n">
        <v>14402.55</v>
      </c>
      <c r="Q1706" t="n">
        <v>22.069</v>
      </c>
    </row>
    <row r="1707">
      <c r="A1707" t="inlineStr">
        <is>
          <t>MR24</t>
        </is>
      </c>
      <c r="B1707" t="inlineStr">
        <is>
          <t>Merged_Table_Assay_lito</t>
        </is>
      </c>
      <c r="C1707" t="inlineStr">
        <is>
          <t>metros de sondaje; pct sobre metros</t>
        </is>
      </c>
      <c r="D1707" t="inlineStr">
        <is>
          <t>fase_plp_GM_FASES_LE2_Output</t>
        </is>
      </c>
      <c r="E1707" t="inlineStr">
        <is>
          <t>11D</t>
        </is>
      </c>
      <c r="F1707" t="inlineStr">
        <is>
          <t>litologia_tentativa</t>
        </is>
      </c>
      <c r="G1707" t="inlineStr">
        <is>
          <t>Mármol (hipótesis: sigla MDP)</t>
        </is>
      </c>
      <c r="H1707" t="inlineStr"/>
      <c r="I1707" t="inlineStr"/>
      <c r="J1707" t="inlineStr">
        <is>
          <t>suma de filas por código</t>
        </is>
      </c>
      <c r="K1707" t="inlineStr">
        <is>
          <t>Mármol (hipótesis: sigla MDP)</t>
        </is>
      </c>
      <c r="L1707" t="inlineStr"/>
      <c r="M1707" t="n">
        <v>5155</v>
      </c>
      <c r="N1707" t="inlineStr"/>
      <c r="O1707" t="inlineStr"/>
      <c r="P1707" t="n">
        <v>4602.77</v>
      </c>
      <c r="Q1707" t="n">
        <v>7.052</v>
      </c>
    </row>
    <row r="1708">
      <c r="A1708" t="inlineStr">
        <is>
          <t>MR24</t>
        </is>
      </c>
      <c r="B1708" t="inlineStr">
        <is>
          <t>Merged_Table_Assay_lito</t>
        </is>
      </c>
      <c r="C1708" t="inlineStr">
        <is>
          <t>metros de sondaje; pct sobre metros</t>
        </is>
      </c>
      <c r="D1708" t="inlineStr">
        <is>
          <t>fase_plp_GM_FASES_LE2_Output</t>
        </is>
      </c>
      <c r="E1708" t="inlineStr">
        <is>
          <t>11D</t>
        </is>
      </c>
      <c r="F1708" t="inlineStr">
        <is>
          <t>litologia_tentativa</t>
        </is>
      </c>
      <c r="G1708" t="inlineStr">
        <is>
          <t>Mármol (hipótesis: siglas M*)</t>
        </is>
      </c>
      <c r="H1708" t="inlineStr"/>
      <c r="I1708" t="inlineStr"/>
      <c r="J1708" t="inlineStr">
        <is>
          <t>suma de filas por código</t>
        </is>
      </c>
      <c r="K1708" t="inlineStr">
        <is>
          <t>Mármol (hipótesis: siglas M*)</t>
        </is>
      </c>
      <c r="L1708" t="inlineStr"/>
      <c r="M1708" t="n">
        <v>21490</v>
      </c>
      <c r="N1708" t="inlineStr"/>
      <c r="O1708" t="inlineStr"/>
      <c r="P1708" t="n">
        <v>19033.45</v>
      </c>
      <c r="Q1708" t="n">
        <v>29.163</v>
      </c>
    </row>
    <row r="1709">
      <c r="A1709" t="inlineStr">
        <is>
          <t>MR24</t>
        </is>
      </c>
      <c r="B1709" t="inlineStr">
        <is>
          <t>Merged_Table_Assay_lito</t>
        </is>
      </c>
      <c r="C1709" t="inlineStr">
        <is>
          <t>metros de sondaje; pct sobre metros</t>
        </is>
      </c>
      <c r="D1709" t="inlineStr">
        <is>
          <t>fase_plp_GM_FASES_LE2_Output</t>
        </is>
      </c>
      <c r="E1709" t="inlineStr">
        <is>
          <t>12A1</t>
        </is>
      </c>
      <c r="F1709" t="inlineStr">
        <is>
          <t>litologia_tentativa</t>
        </is>
      </c>
      <c r="G1709" t="inlineStr">
        <is>
          <t>Caliza (hipótesis: siglas C*)</t>
        </is>
      </c>
      <c r="H1709" t="inlineStr"/>
      <c r="I1709" t="inlineStr"/>
      <c r="J1709" t="inlineStr">
        <is>
          <t>suma de filas por código</t>
        </is>
      </c>
      <c r="K1709" t="inlineStr">
        <is>
          <t>Caliza (hipótesis: siglas C*)</t>
        </is>
      </c>
      <c r="L1709" t="inlineStr"/>
      <c r="M1709" t="n">
        <v>368</v>
      </c>
      <c r="N1709" t="inlineStr"/>
      <c r="O1709" t="inlineStr"/>
      <c r="P1709" t="n">
        <v>490.95</v>
      </c>
      <c r="Q1709" t="n">
        <v>45.283</v>
      </c>
    </row>
    <row r="1710">
      <c r="A1710" t="inlineStr">
        <is>
          <t>MR24</t>
        </is>
      </c>
      <c r="B1710" t="inlineStr">
        <is>
          <t>Merged_Table_Assay_lito</t>
        </is>
      </c>
      <c r="C1710" t="inlineStr">
        <is>
          <t>metros de sondaje; pct sobre metros</t>
        </is>
      </c>
      <c r="D1710" t="inlineStr">
        <is>
          <t>fase_plp_GM_FASES_LE2_Output</t>
        </is>
      </c>
      <c r="E1710" t="inlineStr">
        <is>
          <t>12A1</t>
        </is>
      </c>
      <c r="F1710" t="inlineStr">
        <is>
          <t>litologia_tentativa</t>
        </is>
      </c>
      <c r="G1710" t="inlineStr">
        <is>
          <t>Intrusivo</t>
        </is>
      </c>
      <c r="H1710" t="inlineStr"/>
      <c r="I1710" t="inlineStr"/>
      <c r="J1710" t="inlineStr">
        <is>
          <t>suma de filas por código</t>
        </is>
      </c>
      <c r="K1710" t="inlineStr">
        <is>
          <t>Intrusivo</t>
        </is>
      </c>
      <c r="L1710" t="inlineStr"/>
      <c r="M1710" t="n">
        <v>42</v>
      </c>
      <c r="N1710" t="inlineStr"/>
      <c r="O1710" t="inlineStr"/>
      <c r="P1710" t="n">
        <v>68.05</v>
      </c>
      <c r="Q1710" t="n">
        <v>6.277</v>
      </c>
    </row>
    <row r="1711">
      <c r="A1711" t="inlineStr">
        <is>
          <t>MR24</t>
        </is>
      </c>
      <c r="B1711" t="inlineStr">
        <is>
          <t>Merged_Table_Assay_lito</t>
        </is>
      </c>
      <c r="C1711" t="inlineStr">
        <is>
          <t>metros de sondaje; pct sobre metros</t>
        </is>
      </c>
      <c r="D1711" t="inlineStr">
        <is>
          <t>fase_plp_GM_FASES_LE2_Output</t>
        </is>
      </c>
      <c r="E1711" t="inlineStr">
        <is>
          <t>12A1</t>
        </is>
      </c>
      <c r="F1711" t="inlineStr">
        <is>
          <t>litologia_tentativa</t>
        </is>
      </c>
      <c r="G1711" t="inlineStr">
        <is>
          <t>Mármol (hipótesis: sigla MDP)</t>
        </is>
      </c>
      <c r="H1711" t="inlineStr"/>
      <c r="I1711" t="inlineStr"/>
      <c r="J1711" t="inlineStr">
        <is>
          <t>suma de filas por código</t>
        </is>
      </c>
      <c r="K1711" t="inlineStr">
        <is>
          <t>Mármol (hipótesis: sigla MDP)</t>
        </is>
      </c>
      <c r="L1711" t="inlineStr"/>
      <c r="M1711" t="n">
        <v>206</v>
      </c>
      <c r="N1711" t="inlineStr"/>
      <c r="O1711" t="inlineStr"/>
      <c r="P1711" t="n">
        <v>201.3</v>
      </c>
      <c r="Q1711" t="n">
        <v>18.567</v>
      </c>
    </row>
    <row r="1712">
      <c r="A1712" t="inlineStr">
        <is>
          <t>MR24</t>
        </is>
      </c>
      <c r="B1712" t="inlineStr">
        <is>
          <t>Merged_Table_Assay_lito</t>
        </is>
      </c>
      <c r="C1712" t="inlineStr">
        <is>
          <t>metros de sondaje; pct sobre metros</t>
        </is>
      </c>
      <c r="D1712" t="inlineStr">
        <is>
          <t>fase_plp_GM_FASES_LE2_Output</t>
        </is>
      </c>
      <c r="E1712" t="inlineStr">
        <is>
          <t>12A1</t>
        </is>
      </c>
      <c r="F1712" t="inlineStr">
        <is>
          <t>litologia_tentativa</t>
        </is>
      </c>
      <c r="G1712" t="inlineStr">
        <is>
          <t>Mármol (hipótesis: siglas M*)</t>
        </is>
      </c>
      <c r="H1712" t="inlineStr"/>
      <c r="I1712" t="inlineStr"/>
      <c r="J1712" t="inlineStr">
        <is>
          <t>suma de filas por código</t>
        </is>
      </c>
      <c r="K1712" t="inlineStr">
        <is>
          <t>Mármol (hipótesis: siglas M*)</t>
        </is>
      </c>
      <c r="L1712" t="inlineStr"/>
      <c r="M1712" t="n">
        <v>248</v>
      </c>
      <c r="N1712" t="inlineStr"/>
      <c r="O1712" t="inlineStr"/>
      <c r="P1712" t="n">
        <v>323.88</v>
      </c>
      <c r="Q1712" t="n">
        <v>29.873</v>
      </c>
    </row>
    <row r="1713">
      <c r="A1713" t="inlineStr">
        <is>
          <t>MR24</t>
        </is>
      </c>
      <c r="B1713" t="inlineStr">
        <is>
          <t>Merged_Table_Assay_lito</t>
        </is>
      </c>
      <c r="C1713" t="inlineStr">
        <is>
          <t>metros de sondaje; pct sobre metros</t>
        </is>
      </c>
      <c r="D1713" t="inlineStr">
        <is>
          <t>fase_plp_GM_FASES_LE2_Output</t>
        </is>
      </c>
      <c r="E1713" t="inlineStr">
        <is>
          <t>12A2</t>
        </is>
      </c>
      <c r="F1713" t="inlineStr">
        <is>
          <t>litologia_tentativa</t>
        </is>
      </c>
      <c r="G1713" t="inlineStr">
        <is>
          <t>Caliza (hipótesis: siglas C*)</t>
        </is>
      </c>
      <c r="H1713" t="inlineStr"/>
      <c r="I1713" t="inlineStr"/>
      <c r="J1713" t="inlineStr">
        <is>
          <t>suma de filas por código</t>
        </is>
      </c>
      <c r="K1713" t="inlineStr">
        <is>
          <t>Caliza (hipótesis: siglas C*)</t>
        </is>
      </c>
      <c r="L1713" t="inlineStr"/>
      <c r="M1713" t="n">
        <v>197</v>
      </c>
      <c r="N1713" t="inlineStr"/>
      <c r="O1713" t="inlineStr"/>
      <c r="P1713" t="n">
        <v>333.3</v>
      </c>
      <c r="Q1713" t="n">
        <v>1.796</v>
      </c>
    </row>
    <row r="1714">
      <c r="A1714" t="inlineStr">
        <is>
          <t>MR24</t>
        </is>
      </c>
      <c r="B1714" t="inlineStr">
        <is>
          <t>Merged_Table_Assay_lito</t>
        </is>
      </c>
      <c r="C1714" t="inlineStr">
        <is>
          <t>metros de sondaje; pct sobre metros</t>
        </is>
      </c>
      <c r="D1714" t="inlineStr">
        <is>
          <t>fase_plp_GM_FASES_LE2_Output</t>
        </is>
      </c>
      <c r="E1714" t="inlineStr">
        <is>
          <t>12A2</t>
        </is>
      </c>
      <c r="F1714" t="inlineStr">
        <is>
          <t>litologia_tentativa</t>
        </is>
      </c>
      <c r="G1714" t="inlineStr">
        <is>
          <t>Hornfels (hipótesis: siglas H*)</t>
        </is>
      </c>
      <c r="H1714" t="inlineStr"/>
      <c r="I1714" t="inlineStr"/>
      <c r="J1714" t="inlineStr">
        <is>
          <t>suma de filas por código</t>
        </is>
      </c>
      <c r="K1714" t="inlineStr">
        <is>
          <t>Hornfels (hipótesis: siglas H*)</t>
        </is>
      </c>
      <c r="L1714" t="inlineStr"/>
      <c r="M1714" t="n">
        <v>58</v>
      </c>
      <c r="N1714" t="inlineStr"/>
      <c r="O1714" t="inlineStr"/>
      <c r="P1714" t="n">
        <v>112.7</v>
      </c>
      <c r="Q1714" t="n">
        <v>0.608</v>
      </c>
    </row>
    <row r="1715">
      <c r="A1715" t="inlineStr">
        <is>
          <t>MR24</t>
        </is>
      </c>
      <c r="B1715" t="inlineStr">
        <is>
          <t>Merged_Table_Assay_lito</t>
        </is>
      </c>
      <c r="C1715" t="inlineStr">
        <is>
          <t>metros de sondaje; pct sobre metros</t>
        </is>
      </c>
      <c r="D1715" t="inlineStr">
        <is>
          <t>fase_plp_GM_FASES_LE2_Output</t>
        </is>
      </c>
      <c r="E1715" t="inlineStr">
        <is>
          <t>12A2</t>
        </is>
      </c>
      <c r="F1715" t="inlineStr">
        <is>
          <t>litologia_tentativa</t>
        </is>
      </c>
      <c r="G1715" t="inlineStr">
        <is>
          <t>Intrusivo</t>
        </is>
      </c>
      <c r="H1715" t="inlineStr"/>
      <c r="I1715" t="inlineStr"/>
      <c r="J1715" t="inlineStr">
        <is>
          <t>suma de filas por código</t>
        </is>
      </c>
      <c r="K1715" t="inlineStr">
        <is>
          <t>Intrusivo</t>
        </is>
      </c>
      <c r="L1715" t="inlineStr"/>
      <c r="M1715" t="n">
        <v>2589</v>
      </c>
      <c r="N1715" t="inlineStr"/>
      <c r="O1715" t="inlineStr"/>
      <c r="P1715" t="n">
        <v>3501.76</v>
      </c>
      <c r="Q1715" t="n">
        <v>18.868</v>
      </c>
    </row>
    <row r="1716">
      <c r="A1716" t="inlineStr">
        <is>
          <t>MR24</t>
        </is>
      </c>
      <c r="B1716" t="inlineStr">
        <is>
          <t>Merged_Table_Assay_lito</t>
        </is>
      </c>
      <c r="C1716" t="inlineStr">
        <is>
          <t>metros de sondaje; pct sobre metros</t>
        </is>
      </c>
      <c r="D1716" t="inlineStr">
        <is>
          <t>fase_plp_GM_FASES_LE2_Output</t>
        </is>
      </c>
      <c r="E1716" t="inlineStr">
        <is>
          <t>12A2</t>
        </is>
      </c>
      <c r="F1716" t="inlineStr">
        <is>
          <t>litologia_tentativa</t>
        </is>
      </c>
      <c r="G1716" t="inlineStr">
        <is>
          <t>Mármol (hipótesis: sigla MDP)</t>
        </is>
      </c>
      <c r="H1716" t="inlineStr"/>
      <c r="I1716" t="inlineStr"/>
      <c r="J1716" t="inlineStr">
        <is>
          <t>suma de filas por código</t>
        </is>
      </c>
      <c r="K1716" t="inlineStr">
        <is>
          <t>Mármol (hipótesis: sigla MDP)</t>
        </is>
      </c>
      <c r="L1716" t="inlineStr"/>
      <c r="M1716" t="n">
        <v>6205</v>
      </c>
      <c r="N1716" t="inlineStr"/>
      <c r="O1716" t="inlineStr"/>
      <c r="P1716" t="n">
        <v>6243.85</v>
      </c>
      <c r="Q1716" t="n">
        <v>33.643</v>
      </c>
    </row>
    <row r="1717">
      <c r="A1717" t="inlineStr">
        <is>
          <t>MR24</t>
        </is>
      </c>
      <c r="B1717" t="inlineStr">
        <is>
          <t>Merged_Table_Assay_lito</t>
        </is>
      </c>
      <c r="C1717" t="inlineStr">
        <is>
          <t>metros de sondaje; pct sobre metros</t>
        </is>
      </c>
      <c r="D1717" t="inlineStr">
        <is>
          <t>fase_plp_GM_FASES_LE2_Output</t>
        </is>
      </c>
      <c r="E1717" t="inlineStr">
        <is>
          <t>12A2</t>
        </is>
      </c>
      <c r="F1717" t="inlineStr">
        <is>
          <t>litologia_tentativa</t>
        </is>
      </c>
      <c r="G1717" t="inlineStr">
        <is>
          <t>Mármol (hipótesis: siglas M*)</t>
        </is>
      </c>
      <c r="H1717" t="inlineStr"/>
      <c r="I1717" t="inlineStr"/>
      <c r="J1717" t="inlineStr">
        <is>
          <t>suma de filas por código</t>
        </is>
      </c>
      <c r="K1717" t="inlineStr">
        <is>
          <t>Mármol (hipótesis: siglas M*)</t>
        </is>
      </c>
      <c r="L1717" t="inlineStr"/>
      <c r="M1717" t="n">
        <v>6594</v>
      </c>
      <c r="N1717" t="inlineStr"/>
      <c r="O1717" t="inlineStr"/>
      <c r="P1717" t="n">
        <v>8367.67</v>
      </c>
      <c r="Q1717" t="n">
        <v>45.085</v>
      </c>
    </row>
    <row r="1718">
      <c r="A1718" t="inlineStr">
        <is>
          <t>MR24</t>
        </is>
      </c>
      <c r="B1718" t="inlineStr">
        <is>
          <t>Merged_Table_Assay_lito</t>
        </is>
      </c>
      <c r="C1718" t="inlineStr">
        <is>
          <t>metros de sondaje; pct sobre metros</t>
        </is>
      </c>
      <c r="D1718" t="inlineStr">
        <is>
          <t>fase_plp_GM_FASES_LE2_Output</t>
        </is>
      </c>
      <c r="E1718" t="inlineStr">
        <is>
          <t>12B</t>
        </is>
      </c>
      <c r="F1718" t="inlineStr">
        <is>
          <t>litologia_tentativa</t>
        </is>
      </c>
      <c r="G1718" t="inlineStr">
        <is>
          <t>Caliza (hipótesis: siglas C*)</t>
        </is>
      </c>
      <c r="H1718" t="inlineStr"/>
      <c r="I1718" t="inlineStr"/>
      <c r="J1718" t="inlineStr">
        <is>
          <t>suma de filas por código</t>
        </is>
      </c>
      <c r="K1718" t="inlineStr">
        <is>
          <t>Caliza (hipótesis: siglas C*)</t>
        </is>
      </c>
      <c r="L1718" t="inlineStr"/>
      <c r="M1718" t="n">
        <v>60</v>
      </c>
      <c r="N1718" t="inlineStr"/>
      <c r="O1718" t="inlineStr"/>
      <c r="P1718" t="n">
        <v>70.65000000000001</v>
      </c>
      <c r="Q1718" t="n">
        <v>0.673</v>
      </c>
    </row>
    <row r="1719">
      <c r="A1719" t="inlineStr">
        <is>
          <t>MR24</t>
        </is>
      </c>
      <c r="B1719" t="inlineStr">
        <is>
          <t>Merged_Table_Assay_lito</t>
        </is>
      </c>
      <c r="C1719" t="inlineStr">
        <is>
          <t>metros de sondaje; pct sobre metros</t>
        </is>
      </c>
      <c r="D1719" t="inlineStr">
        <is>
          <t>fase_plp_GM_FASES_LE2_Output</t>
        </is>
      </c>
      <c r="E1719" t="inlineStr">
        <is>
          <t>12B</t>
        </is>
      </c>
      <c r="F1719" t="inlineStr">
        <is>
          <t>litologia_tentativa</t>
        </is>
      </c>
      <c r="G1719" t="inlineStr">
        <is>
          <t>Hornfels (hipótesis: siglas H*)</t>
        </is>
      </c>
      <c r="H1719" t="inlineStr"/>
      <c r="I1719" t="inlineStr"/>
      <c r="J1719" t="inlineStr">
        <is>
          <t>suma de filas por código</t>
        </is>
      </c>
      <c r="K1719" t="inlineStr">
        <is>
          <t>Hornfels (hipótesis: siglas H*)</t>
        </is>
      </c>
      <c r="L1719" t="inlineStr"/>
      <c r="M1719" t="n">
        <v>126</v>
      </c>
      <c r="N1719" t="inlineStr"/>
      <c r="O1719" t="inlineStr"/>
      <c r="P1719" t="n">
        <v>130.45</v>
      </c>
      <c r="Q1719" t="n">
        <v>1.243</v>
      </c>
    </row>
    <row r="1720">
      <c r="A1720" t="inlineStr">
        <is>
          <t>MR24</t>
        </is>
      </c>
      <c r="B1720" t="inlineStr">
        <is>
          <t>Merged_Table_Assay_lito</t>
        </is>
      </c>
      <c r="C1720" t="inlineStr">
        <is>
          <t>metros de sondaje; pct sobre metros</t>
        </is>
      </c>
      <c r="D1720" t="inlineStr">
        <is>
          <t>fase_plp_GM_FASES_LE2_Output</t>
        </is>
      </c>
      <c r="E1720" t="inlineStr">
        <is>
          <t>12B</t>
        </is>
      </c>
      <c r="F1720" t="inlineStr">
        <is>
          <t>litologia_tentativa</t>
        </is>
      </c>
      <c r="G1720" t="inlineStr">
        <is>
          <t>Intrusivo</t>
        </is>
      </c>
      <c r="H1720" t="inlineStr"/>
      <c r="I1720" t="inlineStr"/>
      <c r="J1720" t="inlineStr">
        <is>
          <t>suma de filas por código</t>
        </is>
      </c>
      <c r="K1720" t="inlineStr">
        <is>
          <t>Intrusivo</t>
        </is>
      </c>
      <c r="L1720" t="inlineStr"/>
      <c r="M1720" t="n">
        <v>3938</v>
      </c>
      <c r="N1720" t="inlineStr"/>
      <c r="O1720" t="inlineStr"/>
      <c r="P1720" t="n">
        <v>4729.85</v>
      </c>
      <c r="Q1720" t="n">
        <v>45.069</v>
      </c>
    </row>
    <row r="1721">
      <c r="A1721" t="inlineStr">
        <is>
          <t>MR24</t>
        </is>
      </c>
      <c r="B1721" t="inlineStr">
        <is>
          <t>Merged_Table_Assay_lito</t>
        </is>
      </c>
      <c r="C1721" t="inlineStr">
        <is>
          <t>metros de sondaje; pct sobre metros</t>
        </is>
      </c>
      <c r="D1721" t="inlineStr">
        <is>
          <t>fase_plp_GM_FASES_LE2_Output</t>
        </is>
      </c>
      <c r="E1721" t="inlineStr">
        <is>
          <t>12B</t>
        </is>
      </c>
      <c r="F1721" t="inlineStr">
        <is>
          <t>litologia_tentativa</t>
        </is>
      </c>
      <c r="G1721" t="inlineStr">
        <is>
          <t>Mármol (hipótesis: sigla MDP)</t>
        </is>
      </c>
      <c r="H1721" t="inlineStr"/>
      <c r="I1721" t="inlineStr"/>
      <c r="J1721" t="inlineStr">
        <is>
          <t>suma de filas por código</t>
        </is>
      </c>
      <c r="K1721" t="inlineStr">
        <is>
          <t>Mármol (hipótesis: sigla MDP)</t>
        </is>
      </c>
      <c r="L1721" t="inlineStr"/>
      <c r="M1721" t="n">
        <v>2178</v>
      </c>
      <c r="N1721" t="inlineStr"/>
      <c r="O1721" t="inlineStr"/>
      <c r="P1721" t="n">
        <v>2191.03</v>
      </c>
      <c r="Q1721" t="n">
        <v>20.877</v>
      </c>
    </row>
    <row r="1722">
      <c r="A1722" t="inlineStr">
        <is>
          <t>MR24</t>
        </is>
      </c>
      <c r="B1722" t="inlineStr">
        <is>
          <t>Merged_Table_Assay_lito</t>
        </is>
      </c>
      <c r="C1722" t="inlineStr">
        <is>
          <t>metros de sondaje; pct sobre metros</t>
        </is>
      </c>
      <c r="D1722" t="inlineStr">
        <is>
          <t>fase_plp_GM_FASES_LE2_Output</t>
        </is>
      </c>
      <c r="E1722" t="inlineStr">
        <is>
          <t>12B</t>
        </is>
      </c>
      <c r="F1722" t="inlineStr">
        <is>
          <t>litologia_tentativa</t>
        </is>
      </c>
      <c r="G1722" t="inlineStr">
        <is>
          <t>Mármol (hipótesis: siglas M*)</t>
        </is>
      </c>
      <c r="H1722" t="inlineStr"/>
      <c r="I1722" t="inlineStr"/>
      <c r="J1722" t="inlineStr">
        <is>
          <t>suma de filas por código</t>
        </is>
      </c>
      <c r="K1722" t="inlineStr">
        <is>
          <t>Mármol (hipótesis: siglas M*)</t>
        </is>
      </c>
      <c r="L1722" t="inlineStr"/>
      <c r="M1722" t="n">
        <v>3259</v>
      </c>
      <c r="N1722" t="inlineStr"/>
      <c r="O1722" t="inlineStr"/>
      <c r="P1722" t="n">
        <v>3372.72</v>
      </c>
      <c r="Q1722" t="n">
        <v>32.138</v>
      </c>
    </row>
    <row r="1723">
      <c r="A1723" t="inlineStr">
        <is>
          <t>MR24</t>
        </is>
      </c>
      <c r="B1723" t="inlineStr">
        <is>
          <t>Merged_Table_Assay_lito</t>
        </is>
      </c>
      <c r="C1723" t="inlineStr">
        <is>
          <t>metros de sondaje; pct sobre metros</t>
        </is>
      </c>
      <c r="D1723" t="inlineStr">
        <is>
          <t>fase_plp_GM_FASES_LE2_Output</t>
        </is>
      </c>
      <c r="E1723" t="inlineStr">
        <is>
          <t>13A</t>
        </is>
      </c>
      <c r="F1723" t="inlineStr">
        <is>
          <t>litologia_tentativa</t>
        </is>
      </c>
      <c r="G1723" t="inlineStr">
        <is>
          <t>Caliza (hipótesis: siglas C*)</t>
        </is>
      </c>
      <c r="H1723" t="inlineStr"/>
      <c r="I1723" t="inlineStr"/>
      <c r="J1723" t="inlineStr">
        <is>
          <t>suma de filas por código</t>
        </is>
      </c>
      <c r="K1723" t="inlineStr">
        <is>
          <t>Caliza (hipótesis: siglas C*)</t>
        </is>
      </c>
      <c r="L1723" t="inlineStr"/>
      <c r="M1723" t="n">
        <v>313</v>
      </c>
      <c r="N1723" t="inlineStr"/>
      <c r="O1723" t="inlineStr"/>
      <c r="P1723" t="n">
        <v>276.3</v>
      </c>
      <c r="Q1723" t="n">
        <v>80.33199999999999</v>
      </c>
    </row>
    <row r="1724">
      <c r="A1724" t="inlineStr">
        <is>
          <t>MR24</t>
        </is>
      </c>
      <c r="B1724" t="inlineStr">
        <is>
          <t>Merged_Table_Assay_lito</t>
        </is>
      </c>
      <c r="C1724" t="inlineStr">
        <is>
          <t>metros de sondaje; pct sobre metros</t>
        </is>
      </c>
      <c r="D1724" t="inlineStr">
        <is>
          <t>fase_plp_GM_FASES_LE2_Output</t>
        </is>
      </c>
      <c r="E1724" t="inlineStr">
        <is>
          <t>13A</t>
        </is>
      </c>
      <c r="F1724" t="inlineStr">
        <is>
          <t>litologia_tentativa</t>
        </is>
      </c>
      <c r="G1724" t="inlineStr">
        <is>
          <t>Hornfels (hipótesis: siglas H*)</t>
        </is>
      </c>
      <c r="H1724" t="inlineStr"/>
      <c r="I1724" t="inlineStr"/>
      <c r="J1724" t="inlineStr">
        <is>
          <t>suma de filas por código</t>
        </is>
      </c>
      <c r="K1724" t="inlineStr">
        <is>
          <t>Hornfels (hipótesis: siglas H*)</t>
        </is>
      </c>
      <c r="L1724" t="inlineStr"/>
      <c r="M1724" t="n">
        <v>76</v>
      </c>
      <c r="N1724" t="inlineStr"/>
      <c r="O1724" t="inlineStr"/>
      <c r="P1724" t="n">
        <v>67.65000000000001</v>
      </c>
      <c r="Q1724" t="n">
        <v>19.669</v>
      </c>
    </row>
    <row r="1725">
      <c r="A1725" t="inlineStr">
        <is>
          <t>MR24</t>
        </is>
      </c>
      <c r="B1725" t="inlineStr">
        <is>
          <t>Merged_Table_Assay_lito</t>
        </is>
      </c>
      <c r="C1725" t="inlineStr">
        <is>
          <t>metros de sondaje; pct sobre metros</t>
        </is>
      </c>
      <c r="D1725" t="inlineStr">
        <is>
          <t>fase_plp_GM_FASES_LE2_Output</t>
        </is>
      </c>
      <c r="E1725" t="inlineStr">
        <is>
          <t>13B1</t>
        </is>
      </c>
      <c r="F1725" t="inlineStr">
        <is>
          <t>litologia_tentativa</t>
        </is>
      </c>
      <c r="G1725" t="inlineStr">
        <is>
          <t>Caliza (hipótesis: siglas C*)</t>
        </is>
      </c>
      <c r="H1725" t="inlineStr"/>
      <c r="I1725" t="inlineStr"/>
      <c r="J1725" t="inlineStr">
        <is>
          <t>suma de filas por código</t>
        </is>
      </c>
      <c r="K1725" t="inlineStr">
        <is>
          <t>Caliza (hipótesis: siglas C*)</t>
        </is>
      </c>
      <c r="L1725" t="inlineStr"/>
      <c r="M1725" t="n">
        <v>24</v>
      </c>
      <c r="N1725" t="inlineStr"/>
      <c r="O1725" t="inlineStr"/>
      <c r="P1725" t="n">
        <v>19.6</v>
      </c>
      <c r="Q1725" t="n">
        <v>100</v>
      </c>
    </row>
    <row r="1726">
      <c r="A1726" t="inlineStr">
        <is>
          <t>MR24</t>
        </is>
      </c>
      <c r="B1726" t="inlineStr">
        <is>
          <t>Merged_Table_Assay_lito</t>
        </is>
      </c>
      <c r="C1726" t="inlineStr">
        <is>
          <t>metros de sondaje; pct sobre metros</t>
        </is>
      </c>
      <c r="D1726" t="inlineStr">
        <is>
          <t>fase_plp_GM_FASES_LE2_Output</t>
        </is>
      </c>
      <c r="E1726" t="inlineStr">
        <is>
          <t>13B2</t>
        </is>
      </c>
      <c r="F1726" t="inlineStr">
        <is>
          <t>litologia_tentativa</t>
        </is>
      </c>
      <c r="G1726" t="inlineStr">
        <is>
          <t>Caliza (hipótesis: siglas C*)</t>
        </is>
      </c>
      <c r="H1726" t="inlineStr"/>
      <c r="I1726" t="inlineStr"/>
      <c r="J1726" t="inlineStr">
        <is>
          <t>suma de filas por código</t>
        </is>
      </c>
      <c r="K1726" t="inlineStr">
        <is>
          <t>Caliza (hipótesis: siglas C*)</t>
        </is>
      </c>
      <c r="L1726" t="inlineStr"/>
      <c r="M1726" t="n">
        <v>703</v>
      </c>
      <c r="N1726" t="inlineStr"/>
      <c r="O1726" t="inlineStr"/>
      <c r="P1726" t="n">
        <v>627.6500000000001</v>
      </c>
      <c r="Q1726" t="n">
        <v>56.448</v>
      </c>
    </row>
    <row r="1727">
      <c r="A1727" t="inlineStr">
        <is>
          <t>MR24</t>
        </is>
      </c>
      <c r="B1727" t="inlineStr">
        <is>
          <t>Merged_Table_Assay_lito</t>
        </is>
      </c>
      <c r="C1727" t="inlineStr">
        <is>
          <t>metros de sondaje; pct sobre metros</t>
        </is>
      </c>
      <c r="D1727" t="inlineStr">
        <is>
          <t>fase_plp_GM_FASES_LE2_Output</t>
        </is>
      </c>
      <c r="E1727" t="inlineStr">
        <is>
          <t>13B2</t>
        </is>
      </c>
      <c r="F1727" t="inlineStr">
        <is>
          <t>litologia_tentativa</t>
        </is>
      </c>
      <c r="G1727" t="inlineStr">
        <is>
          <t>Hornfels (hipótesis: siglas H*)</t>
        </is>
      </c>
      <c r="H1727" t="inlineStr"/>
      <c r="I1727" t="inlineStr"/>
      <c r="J1727" t="inlineStr">
        <is>
          <t>suma de filas por código</t>
        </is>
      </c>
      <c r="K1727" t="inlineStr">
        <is>
          <t>Hornfels (hipótesis: siglas H*)</t>
        </is>
      </c>
      <c r="L1727" t="inlineStr"/>
      <c r="M1727" t="n">
        <v>369</v>
      </c>
      <c r="N1727" t="inlineStr"/>
      <c r="O1727" t="inlineStr"/>
      <c r="P1727" t="n">
        <v>337</v>
      </c>
      <c r="Q1727" t="n">
        <v>30.308</v>
      </c>
    </row>
    <row r="1728">
      <c r="A1728" t="inlineStr">
        <is>
          <t>MR24</t>
        </is>
      </c>
      <c r="B1728" t="inlineStr">
        <is>
          <t>Merged_Table_Assay_lito</t>
        </is>
      </c>
      <c r="C1728" t="inlineStr">
        <is>
          <t>metros de sondaje; pct sobre metros</t>
        </is>
      </c>
      <c r="D1728" t="inlineStr">
        <is>
          <t>fase_plp_GM_FASES_LE2_Output</t>
        </is>
      </c>
      <c r="E1728" t="inlineStr">
        <is>
          <t>13B2</t>
        </is>
      </c>
      <c r="F1728" t="inlineStr">
        <is>
          <t>litologia_tentativa</t>
        </is>
      </c>
      <c r="G1728" t="inlineStr">
        <is>
          <t>Intrusivo</t>
        </is>
      </c>
      <c r="H1728" t="inlineStr"/>
      <c r="I1728" t="inlineStr"/>
      <c r="J1728" t="inlineStr">
        <is>
          <t>suma de filas por código</t>
        </is>
      </c>
      <c r="K1728" t="inlineStr">
        <is>
          <t>Intrusivo</t>
        </is>
      </c>
      <c r="L1728" t="inlineStr"/>
      <c r="M1728" t="n">
        <v>1</v>
      </c>
      <c r="N1728" t="inlineStr"/>
      <c r="O1728" t="inlineStr"/>
      <c r="P1728" t="n">
        <v>2.9</v>
      </c>
      <c r="Q1728" t="n">
        <v>0.261</v>
      </c>
    </row>
    <row r="1729">
      <c r="A1729" t="inlineStr">
        <is>
          <t>MR24</t>
        </is>
      </c>
      <c r="B1729" t="inlineStr">
        <is>
          <t>Merged_Table_Assay_lito</t>
        </is>
      </c>
      <c r="C1729" t="inlineStr">
        <is>
          <t>metros de sondaje; pct sobre metros</t>
        </is>
      </c>
      <c r="D1729" t="inlineStr">
        <is>
          <t>fase_plp_GM_FASES_LE2_Output</t>
        </is>
      </c>
      <c r="E1729" t="inlineStr">
        <is>
          <t>13B2</t>
        </is>
      </c>
      <c r="F1729" t="inlineStr">
        <is>
          <t>litologia_tentativa</t>
        </is>
      </c>
      <c r="G1729" t="inlineStr">
        <is>
          <t>Mármol (hipótesis: siglas M*)</t>
        </is>
      </c>
      <c r="H1729" t="inlineStr"/>
      <c r="I1729" t="inlineStr"/>
      <c r="J1729" t="inlineStr">
        <is>
          <t>suma de filas por código</t>
        </is>
      </c>
      <c r="K1729" t="inlineStr">
        <is>
          <t>Mármol (hipótesis: siglas M*)</t>
        </is>
      </c>
      <c r="L1729" t="inlineStr"/>
      <c r="M1729" t="n">
        <v>71</v>
      </c>
      <c r="N1729" t="inlineStr"/>
      <c r="O1729" t="inlineStr"/>
      <c r="P1729" t="n">
        <v>144.35</v>
      </c>
      <c r="Q1729" t="n">
        <v>12.982</v>
      </c>
    </row>
    <row r="1730">
      <c r="A1730" t="inlineStr">
        <is>
          <t>MR24</t>
        </is>
      </c>
      <c r="B1730" t="inlineStr">
        <is>
          <t>Merged_Table_Assay_lito</t>
        </is>
      </c>
      <c r="C1730" t="inlineStr">
        <is>
          <t>metros de sondaje; pct sobre metros</t>
        </is>
      </c>
      <c r="D1730" t="inlineStr">
        <is>
          <t>fase_plp_GM_FASES_LE2_Output</t>
        </is>
      </c>
      <c r="E1730" t="inlineStr">
        <is>
          <t>13C</t>
        </is>
      </c>
      <c r="F1730" t="inlineStr">
        <is>
          <t>litologia_tentativa</t>
        </is>
      </c>
      <c r="G1730" t="inlineStr">
        <is>
          <t>Caliza (hipótesis: siglas C*)</t>
        </is>
      </c>
      <c r="H1730" t="inlineStr"/>
      <c r="I1730" t="inlineStr"/>
      <c r="J1730" t="inlineStr">
        <is>
          <t>suma de filas por código</t>
        </is>
      </c>
      <c r="K1730" t="inlineStr">
        <is>
          <t>Caliza (hipótesis: siglas C*)</t>
        </is>
      </c>
      <c r="L1730" t="inlineStr"/>
      <c r="M1730" t="n">
        <v>1109</v>
      </c>
      <c r="N1730" t="inlineStr"/>
      <c r="O1730" t="inlineStr"/>
      <c r="P1730" t="n">
        <v>1122.05</v>
      </c>
      <c r="Q1730" t="n">
        <v>7.216</v>
      </c>
    </row>
    <row r="1731">
      <c r="A1731" t="inlineStr">
        <is>
          <t>MR24</t>
        </is>
      </c>
      <c r="B1731" t="inlineStr">
        <is>
          <t>Merged_Table_Assay_lito</t>
        </is>
      </c>
      <c r="C1731" t="inlineStr">
        <is>
          <t>metros de sondaje; pct sobre metros</t>
        </is>
      </c>
      <c r="D1731" t="inlineStr">
        <is>
          <t>fase_plp_GM_FASES_LE2_Output</t>
        </is>
      </c>
      <c r="E1731" t="inlineStr">
        <is>
          <t>13C</t>
        </is>
      </c>
      <c r="F1731" t="inlineStr">
        <is>
          <t>litologia_tentativa</t>
        </is>
      </c>
      <c r="G1731" t="inlineStr">
        <is>
          <t>Hornfels (hipótesis: siglas H*)</t>
        </is>
      </c>
      <c r="H1731" t="inlineStr"/>
      <c r="I1731" t="inlineStr"/>
      <c r="J1731" t="inlineStr">
        <is>
          <t>suma de filas por código</t>
        </is>
      </c>
      <c r="K1731" t="inlineStr">
        <is>
          <t>Hornfels (hipótesis: siglas H*)</t>
        </is>
      </c>
      <c r="L1731" t="inlineStr"/>
      <c r="M1731" t="n">
        <v>4119</v>
      </c>
      <c r="N1731" t="inlineStr"/>
      <c r="O1731" t="inlineStr"/>
      <c r="P1731" t="n">
        <v>3404.2</v>
      </c>
      <c r="Q1731" t="n">
        <v>21.892</v>
      </c>
    </row>
    <row r="1732">
      <c r="A1732" t="inlineStr">
        <is>
          <t>MR24</t>
        </is>
      </c>
      <c r="B1732" t="inlineStr">
        <is>
          <t>Merged_Table_Assay_lito</t>
        </is>
      </c>
      <c r="C1732" t="inlineStr">
        <is>
          <t>metros de sondaje; pct sobre metros</t>
        </is>
      </c>
      <c r="D1732" t="inlineStr">
        <is>
          <t>fase_plp_GM_FASES_LE2_Output</t>
        </is>
      </c>
      <c r="E1732" t="inlineStr">
        <is>
          <t>13C</t>
        </is>
      </c>
      <c r="F1732" t="inlineStr">
        <is>
          <t>litologia_tentativa</t>
        </is>
      </c>
      <c r="G1732" t="inlineStr">
        <is>
          <t>Intrusivo</t>
        </is>
      </c>
      <c r="H1732" t="inlineStr"/>
      <c r="I1732" t="inlineStr"/>
      <c r="J1732" t="inlineStr">
        <is>
          <t>suma de filas por código</t>
        </is>
      </c>
      <c r="K1732" t="inlineStr">
        <is>
          <t>Intrusivo</t>
        </is>
      </c>
      <c r="L1732" t="inlineStr"/>
      <c r="M1732" t="n">
        <v>4611</v>
      </c>
      <c r="N1732" t="inlineStr"/>
      <c r="O1732" t="inlineStr"/>
      <c r="P1732" t="n">
        <v>5001</v>
      </c>
      <c r="Q1732" t="n">
        <v>32.162</v>
      </c>
    </row>
    <row r="1733">
      <c r="A1733" t="inlineStr">
        <is>
          <t>MR24</t>
        </is>
      </c>
      <c r="B1733" t="inlineStr">
        <is>
          <t>Merged_Table_Assay_lito</t>
        </is>
      </c>
      <c r="C1733" t="inlineStr">
        <is>
          <t>metros de sondaje; pct sobre metros</t>
        </is>
      </c>
      <c r="D1733" t="inlineStr">
        <is>
          <t>fase_plp_GM_FASES_LE2_Output</t>
        </is>
      </c>
      <c r="E1733" t="inlineStr">
        <is>
          <t>13C</t>
        </is>
      </c>
      <c r="F1733" t="inlineStr">
        <is>
          <t>litologia_tentativa</t>
        </is>
      </c>
      <c r="G1733" t="inlineStr">
        <is>
          <t>Mármol (hipótesis: sigla MDP)</t>
        </is>
      </c>
      <c r="H1733" t="inlineStr"/>
      <c r="I1733" t="inlineStr"/>
      <c r="J1733" t="inlineStr">
        <is>
          <t>suma de filas por código</t>
        </is>
      </c>
      <c r="K1733" t="inlineStr">
        <is>
          <t>Mármol (hipótesis: sigla MDP)</t>
        </is>
      </c>
      <c r="L1733" t="inlineStr"/>
      <c r="M1733" t="n">
        <v>669</v>
      </c>
      <c r="N1733" t="inlineStr"/>
      <c r="O1733" t="inlineStr"/>
      <c r="P1733" t="n">
        <v>680.75</v>
      </c>
      <c r="Q1733" t="n">
        <v>4.378</v>
      </c>
    </row>
    <row r="1734">
      <c r="A1734" t="inlineStr">
        <is>
          <t>MR24</t>
        </is>
      </c>
      <c r="B1734" t="inlineStr">
        <is>
          <t>Merged_Table_Assay_lito</t>
        </is>
      </c>
      <c r="C1734" t="inlineStr">
        <is>
          <t>metros de sondaje; pct sobre metros</t>
        </is>
      </c>
      <c r="D1734" t="inlineStr">
        <is>
          <t>fase_plp_GM_FASES_LE2_Output</t>
        </is>
      </c>
      <c r="E1734" t="inlineStr">
        <is>
          <t>13C</t>
        </is>
      </c>
      <c r="F1734" t="inlineStr">
        <is>
          <t>litologia_tentativa</t>
        </is>
      </c>
      <c r="G1734" t="inlineStr">
        <is>
          <t>Mármol (hipótesis: siglas M*)</t>
        </is>
      </c>
      <c r="H1734" t="inlineStr"/>
      <c r="I1734" t="inlineStr"/>
      <c r="J1734" t="inlineStr">
        <is>
          <t>suma de filas por código</t>
        </is>
      </c>
      <c r="K1734" t="inlineStr">
        <is>
          <t>Mármol (hipótesis: siglas M*)</t>
        </is>
      </c>
      <c r="L1734" t="inlineStr"/>
      <c r="M1734" t="n">
        <v>4436</v>
      </c>
      <c r="N1734" t="inlineStr"/>
      <c r="O1734" t="inlineStr"/>
      <c r="P1734" t="n">
        <v>5341.7</v>
      </c>
      <c r="Q1734" t="n">
        <v>34.353</v>
      </c>
    </row>
    <row r="1735">
      <c r="A1735" t="inlineStr">
        <is>
          <t>MR24</t>
        </is>
      </c>
      <c r="B1735" t="inlineStr">
        <is>
          <t>Merged_Table_Assay_lito</t>
        </is>
      </c>
      <c r="C1735" t="inlineStr">
        <is>
          <t>metros de sondaje; pct sobre metros</t>
        </is>
      </c>
      <c r="D1735" t="inlineStr">
        <is>
          <t>fase_plp_GM_FASES_LE2_Output</t>
        </is>
      </c>
      <c r="E1735" t="inlineStr">
        <is>
          <t>14</t>
        </is>
      </c>
      <c r="F1735" t="inlineStr">
        <is>
          <t>litologia_tentativa</t>
        </is>
      </c>
      <c r="G1735" t="inlineStr">
        <is>
          <t>Caliza (hipótesis: siglas C*)</t>
        </is>
      </c>
      <c r="H1735" t="inlineStr"/>
      <c r="I1735" t="inlineStr"/>
      <c r="J1735" t="inlineStr">
        <is>
          <t>suma de filas por código</t>
        </is>
      </c>
      <c r="K1735" t="inlineStr">
        <is>
          <t>Caliza (hipótesis: siglas C*)</t>
        </is>
      </c>
      <c r="L1735" t="inlineStr"/>
      <c r="M1735" t="n">
        <v>11483</v>
      </c>
      <c r="N1735" t="inlineStr"/>
      <c r="O1735" t="inlineStr"/>
      <c r="P1735" t="n">
        <v>9875.450000000001</v>
      </c>
      <c r="Q1735" t="n">
        <v>41.269</v>
      </c>
    </row>
    <row r="1736">
      <c r="A1736" t="inlineStr">
        <is>
          <t>MR24</t>
        </is>
      </c>
      <c r="B1736" t="inlineStr">
        <is>
          <t>Merged_Table_Assay_lito</t>
        </is>
      </c>
      <c r="C1736" t="inlineStr">
        <is>
          <t>metros de sondaje; pct sobre metros</t>
        </is>
      </c>
      <c r="D1736" t="inlineStr">
        <is>
          <t>fase_plp_GM_FASES_LE2_Output</t>
        </is>
      </c>
      <c r="E1736" t="inlineStr">
        <is>
          <t>14</t>
        </is>
      </c>
      <c r="F1736" t="inlineStr">
        <is>
          <t>litologia_tentativa</t>
        </is>
      </c>
      <c r="G1736" t="inlineStr">
        <is>
          <t>Hornfels (hipótesis: siglas H*)</t>
        </is>
      </c>
      <c r="H1736" t="inlineStr"/>
      <c r="I1736" t="inlineStr"/>
      <c r="J1736" t="inlineStr">
        <is>
          <t>suma de filas por código</t>
        </is>
      </c>
      <c r="K1736" t="inlineStr">
        <is>
          <t>Hornfels (hipótesis: siglas H*)</t>
        </is>
      </c>
      <c r="L1736" t="inlineStr"/>
      <c r="M1736" t="n">
        <v>3339</v>
      </c>
      <c r="N1736" t="inlineStr"/>
      <c r="O1736" t="inlineStr"/>
      <c r="P1736" t="n">
        <v>3136.2</v>
      </c>
      <c r="Q1736" t="n">
        <v>13.106</v>
      </c>
    </row>
    <row r="1737">
      <c r="A1737" t="inlineStr">
        <is>
          <t>MR24</t>
        </is>
      </c>
      <c r="B1737" t="inlineStr">
        <is>
          <t>Merged_Table_Assay_lito</t>
        </is>
      </c>
      <c r="C1737" t="inlineStr">
        <is>
          <t>metros de sondaje; pct sobre metros</t>
        </is>
      </c>
      <c r="D1737" t="inlineStr">
        <is>
          <t>fase_plp_GM_FASES_LE2_Output</t>
        </is>
      </c>
      <c r="E1737" t="inlineStr">
        <is>
          <t>14</t>
        </is>
      </c>
      <c r="F1737" t="inlineStr">
        <is>
          <t>litologia_tentativa</t>
        </is>
      </c>
      <c r="G1737" t="inlineStr">
        <is>
          <t>Intrusivo</t>
        </is>
      </c>
      <c r="H1737" t="inlineStr"/>
      <c r="I1737" t="inlineStr"/>
      <c r="J1737" t="inlineStr">
        <is>
          <t>suma de filas por código</t>
        </is>
      </c>
      <c r="K1737" t="inlineStr">
        <is>
          <t>Intrusivo</t>
        </is>
      </c>
      <c r="L1737" t="inlineStr"/>
      <c r="M1737" t="n">
        <v>3342</v>
      </c>
      <c r="N1737" t="inlineStr"/>
      <c r="O1737" t="inlineStr"/>
      <c r="P1737" t="n">
        <v>3010.1</v>
      </c>
      <c r="Q1737" t="n">
        <v>12.579</v>
      </c>
    </row>
    <row r="1738">
      <c r="A1738" t="inlineStr">
        <is>
          <t>MR24</t>
        </is>
      </c>
      <c r="B1738" t="inlineStr">
        <is>
          <t>Merged_Table_Assay_lito</t>
        </is>
      </c>
      <c r="C1738" t="inlineStr">
        <is>
          <t>metros de sondaje; pct sobre metros</t>
        </is>
      </c>
      <c r="D1738" t="inlineStr">
        <is>
          <t>fase_plp_GM_FASES_LE2_Output</t>
        </is>
      </c>
      <c r="E1738" t="inlineStr">
        <is>
          <t>14</t>
        </is>
      </c>
      <c r="F1738" t="inlineStr">
        <is>
          <t>litologia_tentativa</t>
        </is>
      </c>
      <c r="G1738" t="inlineStr">
        <is>
          <t>Mármol (hipótesis: sigla MDP)</t>
        </is>
      </c>
      <c r="H1738" t="inlineStr"/>
      <c r="I1738" t="inlineStr"/>
      <c r="J1738" t="inlineStr">
        <is>
          <t>suma de filas por código</t>
        </is>
      </c>
      <c r="K1738" t="inlineStr">
        <is>
          <t>Mármol (hipótesis: sigla MDP)</t>
        </is>
      </c>
      <c r="L1738" t="inlineStr"/>
      <c r="M1738" t="n">
        <v>564</v>
      </c>
      <c r="N1738" t="inlineStr"/>
      <c r="O1738" t="inlineStr"/>
      <c r="P1738" t="n">
        <v>581</v>
      </c>
      <c r="Q1738" t="n">
        <v>2.428</v>
      </c>
    </row>
    <row r="1739">
      <c r="A1739" t="inlineStr">
        <is>
          <t>MR24</t>
        </is>
      </c>
      <c r="B1739" t="inlineStr">
        <is>
          <t>Merged_Table_Assay_lito</t>
        </is>
      </c>
      <c r="C1739" t="inlineStr">
        <is>
          <t>metros de sondaje; pct sobre metros</t>
        </is>
      </c>
      <c r="D1739" t="inlineStr">
        <is>
          <t>fase_plp_GM_FASES_LE2_Output</t>
        </is>
      </c>
      <c r="E1739" t="inlineStr">
        <is>
          <t>14</t>
        </is>
      </c>
      <c r="F1739" t="inlineStr">
        <is>
          <t>litologia_tentativa</t>
        </is>
      </c>
      <c r="G1739" t="inlineStr">
        <is>
          <t>Mármol (hipótesis: siglas M*)</t>
        </is>
      </c>
      <c r="H1739" t="inlineStr"/>
      <c r="I1739" t="inlineStr"/>
      <c r="J1739" t="inlineStr">
        <is>
          <t>suma de filas por código</t>
        </is>
      </c>
      <c r="K1739" t="inlineStr">
        <is>
          <t>Mármol (hipótesis: siglas M*)</t>
        </is>
      </c>
      <c r="L1739" t="inlineStr"/>
      <c r="M1739" t="n">
        <v>6930</v>
      </c>
      <c r="N1739" t="inlineStr"/>
      <c r="O1739" t="inlineStr"/>
      <c r="P1739" t="n">
        <v>7326.25</v>
      </c>
      <c r="Q1739" t="n">
        <v>30.617</v>
      </c>
    </row>
    <row r="1740">
      <c r="A1740" t="inlineStr">
        <is>
          <t>MR24</t>
        </is>
      </c>
      <c r="B1740" t="inlineStr">
        <is>
          <t>Merged_Table_Assay_lito</t>
        </is>
      </c>
      <c r="C1740" t="inlineStr">
        <is>
          <t>metros de sondaje; pct sobre metros</t>
        </is>
      </c>
      <c r="D1740" t="inlineStr">
        <is>
          <t>fase_plp_GM_FASES_LE2_Output</t>
        </is>
      </c>
      <c r="E1740" t="inlineStr">
        <is>
          <t>15</t>
        </is>
      </c>
      <c r="F1740" t="inlineStr">
        <is>
          <t>litologia_tentativa</t>
        </is>
      </c>
      <c r="G1740" t="inlineStr">
        <is>
          <t>Caliza (hipótesis: siglas C*)</t>
        </is>
      </c>
      <c r="H1740" t="inlineStr"/>
      <c r="I1740" t="inlineStr"/>
      <c r="J1740" t="inlineStr">
        <is>
          <t>suma de filas por código</t>
        </is>
      </c>
      <c r="K1740" t="inlineStr">
        <is>
          <t>Caliza (hipótesis: siglas C*)</t>
        </is>
      </c>
      <c r="L1740" t="inlineStr"/>
      <c r="M1740" t="n">
        <v>1701</v>
      </c>
      <c r="N1740" t="inlineStr"/>
      <c r="O1740" t="inlineStr"/>
      <c r="P1740" t="n">
        <v>1523.4</v>
      </c>
      <c r="Q1740" t="n">
        <v>14.474</v>
      </c>
    </row>
    <row r="1741">
      <c r="A1741" t="inlineStr">
        <is>
          <t>MR24</t>
        </is>
      </c>
      <c r="B1741" t="inlineStr">
        <is>
          <t>Merged_Table_Assay_lito</t>
        </is>
      </c>
      <c r="C1741" t="inlineStr">
        <is>
          <t>metros de sondaje; pct sobre metros</t>
        </is>
      </c>
      <c r="D1741" t="inlineStr">
        <is>
          <t>fase_plp_GM_FASES_LE2_Output</t>
        </is>
      </c>
      <c r="E1741" t="inlineStr">
        <is>
          <t>15</t>
        </is>
      </c>
      <c r="F1741" t="inlineStr">
        <is>
          <t>litologia_tentativa</t>
        </is>
      </c>
      <c r="G1741" t="inlineStr">
        <is>
          <t>Hornfels (hipótesis: siglas H*)</t>
        </is>
      </c>
      <c r="H1741" t="inlineStr"/>
      <c r="I1741" t="inlineStr"/>
      <c r="J1741" t="inlineStr">
        <is>
          <t>suma de filas por código</t>
        </is>
      </c>
      <c r="K1741" t="inlineStr">
        <is>
          <t>Hornfels (hipótesis: siglas H*)</t>
        </is>
      </c>
      <c r="L1741" t="inlineStr"/>
      <c r="M1741" t="n">
        <v>176</v>
      </c>
      <c r="N1741" t="inlineStr"/>
      <c r="O1741" t="inlineStr"/>
      <c r="P1741" t="n">
        <v>159</v>
      </c>
      <c r="Q1741" t="n">
        <v>1.511</v>
      </c>
    </row>
    <row r="1742">
      <c r="A1742" t="inlineStr">
        <is>
          <t>MR24</t>
        </is>
      </c>
      <c r="B1742" t="inlineStr">
        <is>
          <t>Merged_Table_Assay_lito</t>
        </is>
      </c>
      <c r="C1742" t="inlineStr">
        <is>
          <t>metros de sondaje; pct sobre metros</t>
        </is>
      </c>
      <c r="D1742" t="inlineStr">
        <is>
          <t>fase_plp_GM_FASES_LE2_Output</t>
        </is>
      </c>
      <c r="E1742" t="inlineStr">
        <is>
          <t>15</t>
        </is>
      </c>
      <c r="F1742" t="inlineStr">
        <is>
          <t>litologia_tentativa</t>
        </is>
      </c>
      <c r="G1742" t="inlineStr">
        <is>
          <t>Intrusivo</t>
        </is>
      </c>
      <c r="H1742" t="inlineStr"/>
      <c r="I1742" t="inlineStr"/>
      <c r="J1742" t="inlineStr">
        <is>
          <t>suma de filas por código</t>
        </is>
      </c>
      <c r="K1742" t="inlineStr">
        <is>
          <t>Intrusivo</t>
        </is>
      </c>
      <c r="L1742" t="inlineStr"/>
      <c r="M1742" t="n">
        <v>2713</v>
      </c>
      <c r="N1742" t="inlineStr"/>
      <c r="O1742" t="inlineStr"/>
      <c r="P1742" t="n">
        <v>3041.35</v>
      </c>
      <c r="Q1742" t="n">
        <v>28.895</v>
      </c>
    </row>
    <row r="1743">
      <c r="A1743" t="inlineStr">
        <is>
          <t>MR24</t>
        </is>
      </c>
      <c r="B1743" t="inlineStr">
        <is>
          <t>Merged_Table_Assay_lito</t>
        </is>
      </c>
      <c r="C1743" t="inlineStr">
        <is>
          <t>metros de sondaje; pct sobre metros</t>
        </is>
      </c>
      <c r="D1743" t="inlineStr">
        <is>
          <t>fase_plp_GM_FASES_LE2_Output</t>
        </is>
      </c>
      <c r="E1743" t="inlineStr">
        <is>
          <t>15</t>
        </is>
      </c>
      <c r="F1743" t="inlineStr">
        <is>
          <t>litologia_tentativa</t>
        </is>
      </c>
      <c r="G1743" t="inlineStr">
        <is>
          <t>Mármol (hipótesis: sigla MDP)</t>
        </is>
      </c>
      <c r="H1743" t="inlineStr"/>
      <c r="I1743" t="inlineStr"/>
      <c r="J1743" t="inlineStr">
        <is>
          <t>suma de filas por código</t>
        </is>
      </c>
      <c r="K1743" t="inlineStr">
        <is>
          <t>Mármol (hipótesis: sigla MDP)</t>
        </is>
      </c>
      <c r="L1743" t="inlineStr"/>
      <c r="M1743" t="n">
        <v>495</v>
      </c>
      <c r="N1743" t="inlineStr"/>
      <c r="O1743" t="inlineStr"/>
      <c r="P1743" t="n">
        <v>593.9</v>
      </c>
      <c r="Q1743" t="n">
        <v>5.643</v>
      </c>
    </row>
    <row r="1744">
      <c r="A1744" t="inlineStr">
        <is>
          <t>MR24</t>
        </is>
      </c>
      <c r="B1744" t="inlineStr">
        <is>
          <t>Merged_Table_Assay_lito</t>
        </is>
      </c>
      <c r="C1744" t="inlineStr">
        <is>
          <t>metros de sondaje; pct sobre metros</t>
        </is>
      </c>
      <c r="D1744" t="inlineStr">
        <is>
          <t>fase_plp_GM_FASES_LE2_Output</t>
        </is>
      </c>
      <c r="E1744" t="inlineStr">
        <is>
          <t>15</t>
        </is>
      </c>
      <c r="F1744" t="inlineStr">
        <is>
          <t>litologia_tentativa</t>
        </is>
      </c>
      <c r="G1744" t="inlineStr">
        <is>
          <t>Mármol (hipótesis: siglas M*)</t>
        </is>
      </c>
      <c r="H1744" t="inlineStr"/>
      <c r="I1744" t="inlineStr"/>
      <c r="J1744" t="inlineStr">
        <is>
          <t>suma de filas por código</t>
        </is>
      </c>
      <c r="K1744" t="inlineStr">
        <is>
          <t>Mármol (hipótesis: siglas M*)</t>
        </is>
      </c>
      <c r="L1744" t="inlineStr"/>
      <c r="M1744" t="n">
        <v>4482</v>
      </c>
      <c r="N1744" t="inlineStr"/>
      <c r="O1744" t="inlineStr"/>
      <c r="P1744" t="n">
        <v>5207.7</v>
      </c>
      <c r="Q1744" t="n">
        <v>49.477</v>
      </c>
    </row>
    <row r="1745">
      <c r="A1745" t="inlineStr">
        <is>
          <t>MR24</t>
        </is>
      </c>
      <c r="B1745" t="inlineStr">
        <is>
          <t>Merged_Table_Assay_lito</t>
        </is>
      </c>
      <c r="C1745" t="inlineStr">
        <is>
          <t>metros de sondaje; pct sobre metros</t>
        </is>
      </c>
      <c r="D1745" t="inlineStr">
        <is>
          <t>fase_plp_GM_FASES_LE2_Output</t>
        </is>
      </c>
      <c r="E1745" t="inlineStr">
        <is>
          <t>8</t>
        </is>
      </c>
      <c r="F1745" t="inlineStr">
        <is>
          <t>litologia_tentativa</t>
        </is>
      </c>
      <c r="G1745" t="inlineStr">
        <is>
          <t>Intrusivo</t>
        </is>
      </c>
      <c r="H1745" t="inlineStr"/>
      <c r="I1745" t="inlineStr"/>
      <c r="J1745" t="inlineStr">
        <is>
          <t>suma de filas por código</t>
        </is>
      </c>
      <c r="K1745" t="inlineStr">
        <is>
          <t>Intrusivo</t>
        </is>
      </c>
      <c r="L1745" t="inlineStr"/>
      <c r="M1745" t="n">
        <v>1766</v>
      </c>
      <c r="N1745" t="inlineStr"/>
      <c r="O1745" t="inlineStr"/>
      <c r="P1745" t="n">
        <v>2530.8</v>
      </c>
      <c r="Q1745" t="n">
        <v>100</v>
      </c>
    </row>
    <row r="1746">
      <c r="A1746" t="inlineStr">
        <is>
          <t>MR24</t>
        </is>
      </c>
      <c r="B1746" t="inlineStr">
        <is>
          <t>Merged_Table_Assay_lito</t>
        </is>
      </c>
      <c r="C1746" t="inlineStr">
        <is>
          <t>metros de sondaje; pct sobre metros</t>
        </is>
      </c>
      <c r="D1746" t="inlineStr">
        <is>
          <t>fase_plp_GM_FASES_LE2_Output</t>
        </is>
      </c>
      <c r="E1746" t="inlineStr">
        <is>
          <t>9BN</t>
        </is>
      </c>
      <c r="F1746" t="inlineStr">
        <is>
          <t>litologia_tentativa</t>
        </is>
      </c>
      <c r="G1746" t="inlineStr">
        <is>
          <t>Caliza (hipótesis: siglas C*)</t>
        </is>
      </c>
      <c r="H1746" t="inlineStr"/>
      <c r="I1746" t="inlineStr"/>
      <c r="J1746" t="inlineStr">
        <is>
          <t>suma de filas por código</t>
        </is>
      </c>
      <c r="K1746" t="inlineStr">
        <is>
          <t>Caliza (hipótesis: siglas C*)</t>
        </is>
      </c>
      <c r="L1746" t="inlineStr"/>
      <c r="M1746" t="n">
        <v>127</v>
      </c>
      <c r="N1746" t="inlineStr"/>
      <c r="O1746" t="inlineStr"/>
      <c r="P1746" t="n">
        <v>119.35</v>
      </c>
      <c r="Q1746" t="n">
        <v>0.708</v>
      </c>
    </row>
    <row r="1747">
      <c r="A1747" t="inlineStr">
        <is>
          <t>MR24</t>
        </is>
      </c>
      <c r="B1747" t="inlineStr">
        <is>
          <t>Merged_Table_Assay_lito</t>
        </is>
      </c>
      <c r="C1747" t="inlineStr">
        <is>
          <t>metros de sondaje; pct sobre metros</t>
        </is>
      </c>
      <c r="D1747" t="inlineStr">
        <is>
          <t>fase_plp_GM_FASES_LE2_Output</t>
        </is>
      </c>
      <c r="E1747" t="inlineStr">
        <is>
          <t>9BN</t>
        </is>
      </c>
      <c r="F1747" t="inlineStr">
        <is>
          <t>litologia_tentativa</t>
        </is>
      </c>
      <c r="G1747" t="inlineStr">
        <is>
          <t>Hornfels (hipótesis: siglas H*)</t>
        </is>
      </c>
      <c r="H1747" t="inlineStr"/>
      <c r="I1747" t="inlineStr"/>
      <c r="J1747" t="inlineStr">
        <is>
          <t>suma de filas por código</t>
        </is>
      </c>
      <c r="K1747" t="inlineStr">
        <is>
          <t>Hornfels (hipótesis: siglas H*)</t>
        </is>
      </c>
      <c r="L1747" t="inlineStr"/>
      <c r="M1747" t="n">
        <v>63</v>
      </c>
      <c r="N1747" t="inlineStr"/>
      <c r="O1747" t="inlineStr"/>
      <c r="P1747" t="n">
        <v>60.6</v>
      </c>
      <c r="Q1747" t="n">
        <v>0.359</v>
      </c>
    </row>
    <row r="1748">
      <c r="A1748" t="inlineStr">
        <is>
          <t>MR24</t>
        </is>
      </c>
      <c r="B1748" t="inlineStr">
        <is>
          <t>Merged_Table_Assay_lito</t>
        </is>
      </c>
      <c r="C1748" t="inlineStr">
        <is>
          <t>metros de sondaje; pct sobre metros</t>
        </is>
      </c>
      <c r="D1748" t="inlineStr">
        <is>
          <t>fase_plp_GM_FASES_LE2_Output</t>
        </is>
      </c>
      <c r="E1748" t="inlineStr">
        <is>
          <t>9BN</t>
        </is>
      </c>
      <c r="F1748" t="inlineStr">
        <is>
          <t>litologia_tentativa</t>
        </is>
      </c>
      <c r="G1748" t="inlineStr">
        <is>
          <t>Intrusivo</t>
        </is>
      </c>
      <c r="H1748" t="inlineStr"/>
      <c r="I1748" t="inlineStr"/>
      <c r="J1748" t="inlineStr">
        <is>
          <t>suma de filas por código</t>
        </is>
      </c>
      <c r="K1748" t="inlineStr">
        <is>
          <t>Intrusivo</t>
        </is>
      </c>
      <c r="L1748" t="inlineStr"/>
      <c r="M1748" t="n">
        <v>6276</v>
      </c>
      <c r="N1748" t="inlineStr"/>
      <c r="O1748" t="inlineStr"/>
      <c r="P1748" t="n">
        <v>8841.780000000001</v>
      </c>
      <c r="Q1748" t="n">
        <v>52.426</v>
      </c>
    </row>
    <row r="1749">
      <c r="A1749" t="inlineStr">
        <is>
          <t>MR24</t>
        </is>
      </c>
      <c r="B1749" t="inlineStr">
        <is>
          <t>Merged_Table_Assay_lito</t>
        </is>
      </c>
      <c r="C1749" t="inlineStr">
        <is>
          <t>metros de sondaje; pct sobre metros</t>
        </is>
      </c>
      <c r="D1749" t="inlineStr">
        <is>
          <t>fase_plp_GM_FASES_LE2_Output</t>
        </is>
      </c>
      <c r="E1749" t="inlineStr">
        <is>
          <t>9BN</t>
        </is>
      </c>
      <c r="F1749" t="inlineStr">
        <is>
          <t>litologia_tentativa</t>
        </is>
      </c>
      <c r="G1749" t="inlineStr">
        <is>
          <t>Mármol (hipótesis: sigla MDP)</t>
        </is>
      </c>
      <c r="H1749" t="inlineStr"/>
      <c r="I1749" t="inlineStr"/>
      <c r="J1749" t="inlineStr">
        <is>
          <t>suma de filas por código</t>
        </is>
      </c>
      <c r="K1749" t="inlineStr">
        <is>
          <t>Mármol (hipótesis: sigla MDP)</t>
        </is>
      </c>
      <c r="L1749" t="inlineStr"/>
      <c r="M1749" t="n">
        <v>581</v>
      </c>
      <c r="N1749" t="inlineStr"/>
      <c r="O1749" t="inlineStr"/>
      <c r="P1749" t="n">
        <v>730.33</v>
      </c>
      <c r="Q1749" t="n">
        <v>4.33</v>
      </c>
    </row>
    <row r="1750">
      <c r="A1750" t="inlineStr">
        <is>
          <t>MR24</t>
        </is>
      </c>
      <c r="B1750" t="inlineStr">
        <is>
          <t>Merged_Table_Assay_lito</t>
        </is>
      </c>
      <c r="C1750" t="inlineStr">
        <is>
          <t>metros de sondaje; pct sobre metros</t>
        </is>
      </c>
      <c r="D1750" t="inlineStr">
        <is>
          <t>fase_plp_GM_FASES_LE2_Output</t>
        </is>
      </c>
      <c r="E1750" t="inlineStr">
        <is>
          <t>9BN</t>
        </is>
      </c>
      <c r="F1750" t="inlineStr">
        <is>
          <t>litologia_tentativa</t>
        </is>
      </c>
      <c r="G1750" t="inlineStr">
        <is>
          <t>Mármol (hipótesis: siglas M*)</t>
        </is>
      </c>
      <c r="H1750" t="inlineStr"/>
      <c r="I1750" t="inlineStr"/>
      <c r="J1750" t="inlineStr">
        <is>
          <t>suma de filas por código</t>
        </is>
      </c>
      <c r="K1750" t="inlineStr">
        <is>
          <t>Mármol (hipótesis: siglas M*)</t>
        </is>
      </c>
      <c r="L1750" t="inlineStr"/>
      <c r="M1750" t="n">
        <v>6549</v>
      </c>
      <c r="N1750" t="inlineStr"/>
      <c r="O1750" t="inlineStr"/>
      <c r="P1750" t="n">
        <v>7113.150000000001</v>
      </c>
      <c r="Q1750" t="n">
        <v>42.177</v>
      </c>
    </row>
    <row r="1751">
      <c r="A1751" t="inlineStr">
        <is>
          <t>MR24</t>
        </is>
      </c>
      <c r="B1751" t="inlineStr">
        <is>
          <t>Merged_Table_Assay_lito</t>
        </is>
      </c>
      <c r="C1751" t="inlineStr">
        <is>
          <t>metros de sondaje; pct sobre metros</t>
        </is>
      </c>
      <c r="D1751" t="inlineStr">
        <is>
          <t>fase_plp_GM_FASES_LE2_Output</t>
        </is>
      </c>
      <c r="E1751" t="inlineStr">
        <is>
          <t>9BS</t>
        </is>
      </c>
      <c r="F1751" t="inlineStr">
        <is>
          <t>litologia_tentativa</t>
        </is>
      </c>
      <c r="G1751" t="inlineStr">
        <is>
          <t>Caliza (hipótesis: siglas C*)</t>
        </is>
      </c>
      <c r="H1751" t="inlineStr"/>
      <c r="I1751" t="inlineStr"/>
      <c r="J1751" t="inlineStr">
        <is>
          <t>suma de filas por código</t>
        </is>
      </c>
      <c r="K1751" t="inlineStr">
        <is>
          <t>Caliza (hipótesis: siglas C*)</t>
        </is>
      </c>
      <c r="L1751" t="inlineStr"/>
      <c r="M1751" t="n">
        <v>422</v>
      </c>
      <c r="N1751" t="inlineStr"/>
      <c r="O1751" t="inlineStr"/>
      <c r="P1751" t="n">
        <v>362.2</v>
      </c>
      <c r="Q1751" t="n">
        <v>2.548</v>
      </c>
    </row>
    <row r="1752">
      <c r="A1752" t="inlineStr">
        <is>
          <t>MR24</t>
        </is>
      </c>
      <c r="B1752" t="inlineStr">
        <is>
          <t>Merged_Table_Assay_lito</t>
        </is>
      </c>
      <c r="C1752" t="inlineStr">
        <is>
          <t>metros de sondaje; pct sobre metros</t>
        </is>
      </c>
      <c r="D1752" t="inlineStr">
        <is>
          <t>fase_plp_GM_FASES_LE2_Output</t>
        </is>
      </c>
      <c r="E1752" t="inlineStr">
        <is>
          <t>9BS</t>
        </is>
      </c>
      <c r="F1752" t="inlineStr">
        <is>
          <t>litologia_tentativa</t>
        </is>
      </c>
      <c r="G1752" t="inlineStr">
        <is>
          <t>Hornfels (hipótesis: siglas H*)</t>
        </is>
      </c>
      <c r="H1752" t="inlineStr"/>
      <c r="I1752" t="inlineStr"/>
      <c r="J1752" t="inlineStr">
        <is>
          <t>suma de filas por código</t>
        </is>
      </c>
      <c r="K1752" t="inlineStr">
        <is>
          <t>Hornfels (hipótesis: siglas H*)</t>
        </is>
      </c>
      <c r="L1752" t="inlineStr"/>
      <c r="M1752" t="n">
        <v>113</v>
      </c>
      <c r="N1752" t="inlineStr"/>
      <c r="O1752" t="inlineStr"/>
      <c r="P1752" t="n">
        <v>121.75</v>
      </c>
      <c r="Q1752" t="n">
        <v>0.856</v>
      </c>
    </row>
    <row r="1753">
      <c r="A1753" t="inlineStr">
        <is>
          <t>MR24</t>
        </is>
      </c>
      <c r="B1753" t="inlineStr">
        <is>
          <t>Merged_Table_Assay_lito</t>
        </is>
      </c>
      <c r="C1753" t="inlineStr">
        <is>
          <t>metros de sondaje; pct sobre metros</t>
        </is>
      </c>
      <c r="D1753" t="inlineStr">
        <is>
          <t>fase_plp_GM_FASES_LE2_Output</t>
        </is>
      </c>
      <c r="E1753" t="inlineStr">
        <is>
          <t>9BS</t>
        </is>
      </c>
      <c r="F1753" t="inlineStr">
        <is>
          <t>litologia_tentativa</t>
        </is>
      </c>
      <c r="G1753" t="inlineStr">
        <is>
          <t>Intrusivo</t>
        </is>
      </c>
      <c r="H1753" t="inlineStr"/>
      <c r="I1753" t="inlineStr"/>
      <c r="J1753" t="inlineStr">
        <is>
          <t>suma de filas por código</t>
        </is>
      </c>
      <c r="K1753" t="inlineStr">
        <is>
          <t>Intrusivo</t>
        </is>
      </c>
      <c r="L1753" t="inlineStr"/>
      <c r="M1753" t="n">
        <v>4387</v>
      </c>
      <c r="N1753" t="inlineStr"/>
      <c r="O1753" t="inlineStr"/>
      <c r="P1753" t="n">
        <v>6428.34</v>
      </c>
      <c r="Q1753" t="n">
        <v>45.218</v>
      </c>
    </row>
    <row r="1754">
      <c r="A1754" t="inlineStr">
        <is>
          <t>MR24</t>
        </is>
      </c>
      <c r="B1754" t="inlineStr">
        <is>
          <t>Merged_Table_Assay_lito</t>
        </is>
      </c>
      <c r="C1754" t="inlineStr">
        <is>
          <t>metros de sondaje; pct sobre metros</t>
        </is>
      </c>
      <c r="D1754" t="inlineStr">
        <is>
          <t>fase_plp_GM_FASES_LE2_Output</t>
        </is>
      </c>
      <c r="E1754" t="inlineStr">
        <is>
          <t>9BS</t>
        </is>
      </c>
      <c r="F1754" t="inlineStr">
        <is>
          <t>litologia_tentativa</t>
        </is>
      </c>
      <c r="G1754" t="inlineStr">
        <is>
          <t>Mármol (hipótesis: sigla MDP)</t>
        </is>
      </c>
      <c r="H1754" t="inlineStr"/>
      <c r="I1754" t="inlineStr"/>
      <c r="J1754" t="inlineStr">
        <is>
          <t>suma de filas por código</t>
        </is>
      </c>
      <c r="K1754" t="inlineStr">
        <is>
          <t>Mármol (hipótesis: sigla MDP)</t>
        </is>
      </c>
      <c r="L1754" t="inlineStr"/>
      <c r="M1754" t="n">
        <v>1906</v>
      </c>
      <c r="N1754" t="inlineStr"/>
      <c r="O1754" t="inlineStr"/>
      <c r="P1754" t="n">
        <v>2040.17</v>
      </c>
      <c r="Q1754" t="n">
        <v>14.351</v>
      </c>
    </row>
    <row r="1755">
      <c r="A1755" t="inlineStr">
        <is>
          <t>MR24</t>
        </is>
      </c>
      <c r="B1755" t="inlineStr">
        <is>
          <t>Merged_Table_Assay_lito</t>
        </is>
      </c>
      <c r="C1755" t="inlineStr">
        <is>
          <t>metros de sondaje; pct sobre metros</t>
        </is>
      </c>
      <c r="D1755" t="inlineStr">
        <is>
          <t>fase_plp_GM_FASES_LE2_Output</t>
        </is>
      </c>
      <c r="E1755" t="inlineStr">
        <is>
          <t>9BS</t>
        </is>
      </c>
      <c r="F1755" t="inlineStr">
        <is>
          <t>litologia_tentativa</t>
        </is>
      </c>
      <c r="G1755" t="inlineStr">
        <is>
          <t>Mármol (hipótesis: siglas M*)</t>
        </is>
      </c>
      <c r="H1755" t="inlineStr"/>
      <c r="I1755" t="inlineStr"/>
      <c r="J1755" t="inlineStr">
        <is>
          <t>suma de filas por código</t>
        </is>
      </c>
      <c r="K1755" t="inlineStr">
        <is>
          <t>Mármol (hipótesis: siglas M*)</t>
        </is>
      </c>
      <c r="L1755" t="inlineStr"/>
      <c r="M1755" t="n">
        <v>4788</v>
      </c>
      <c r="N1755" t="inlineStr"/>
      <c r="O1755" t="inlineStr"/>
      <c r="P1755" t="n">
        <v>5264</v>
      </c>
      <c r="Q1755" t="n">
        <v>37.029</v>
      </c>
    </row>
    <row r="1756">
      <c r="A1756" t="inlineStr">
        <is>
          <t>MR24</t>
        </is>
      </c>
      <c r="B1756" t="inlineStr">
        <is>
          <t>Merged_Table_Assay_lito</t>
        </is>
      </c>
      <c r="C1756" t="inlineStr">
        <is>
          <t>metros de sondaje; pct sobre metros</t>
        </is>
      </c>
      <c r="D1756" t="inlineStr">
        <is>
          <t>fase_plp_GM_FASES_LE2_Output</t>
        </is>
      </c>
      <c r="E1756" t="inlineStr">
        <is>
          <t>9C</t>
        </is>
      </c>
      <c r="F1756" t="inlineStr">
        <is>
          <t>litologia_tentativa</t>
        </is>
      </c>
      <c r="G1756" t="inlineStr">
        <is>
          <t>Hornfels (hipótesis: siglas H*)</t>
        </is>
      </c>
      <c r="H1756" t="inlineStr"/>
      <c r="I1756" t="inlineStr"/>
      <c r="J1756" t="inlineStr">
        <is>
          <t>suma de filas por código</t>
        </is>
      </c>
      <c r="K1756" t="inlineStr">
        <is>
          <t>Hornfels (hipótesis: siglas H*)</t>
        </is>
      </c>
      <c r="L1756" t="inlineStr"/>
      <c r="M1756" t="n">
        <v>6</v>
      </c>
      <c r="N1756" t="inlineStr"/>
      <c r="O1756" t="inlineStr"/>
      <c r="P1756" t="n">
        <v>12.45</v>
      </c>
      <c r="Q1756" t="n">
        <v>0.527</v>
      </c>
    </row>
    <row r="1757">
      <c r="A1757" t="inlineStr">
        <is>
          <t>MR24</t>
        </is>
      </c>
      <c r="B1757" t="inlineStr">
        <is>
          <t>Merged_Table_Assay_lito</t>
        </is>
      </c>
      <c r="C1757" t="inlineStr">
        <is>
          <t>metros de sondaje; pct sobre metros</t>
        </is>
      </c>
      <c r="D1757" t="inlineStr">
        <is>
          <t>fase_plp_GM_FASES_LE2_Output</t>
        </is>
      </c>
      <c r="E1757" t="inlineStr">
        <is>
          <t>9C</t>
        </is>
      </c>
      <c r="F1757" t="inlineStr">
        <is>
          <t>litologia_tentativa</t>
        </is>
      </c>
      <c r="G1757" t="inlineStr">
        <is>
          <t>Intrusivo</t>
        </is>
      </c>
      <c r="H1757" t="inlineStr"/>
      <c r="I1757" t="inlineStr"/>
      <c r="J1757" t="inlineStr">
        <is>
          <t>suma de filas por código</t>
        </is>
      </c>
      <c r="K1757" t="inlineStr">
        <is>
          <t>Intrusivo</t>
        </is>
      </c>
      <c r="L1757" t="inlineStr"/>
      <c r="M1757" t="n">
        <v>601</v>
      </c>
      <c r="N1757" t="inlineStr"/>
      <c r="O1757" t="inlineStr"/>
      <c r="P1757" t="n">
        <v>672.7</v>
      </c>
      <c r="Q1757" t="n">
        <v>28.488</v>
      </c>
    </row>
    <row r="1758">
      <c r="A1758" t="inlineStr">
        <is>
          <t>MR24</t>
        </is>
      </c>
      <c r="B1758" t="inlineStr">
        <is>
          <t>Merged_Table_Assay_lito</t>
        </is>
      </c>
      <c r="C1758" t="inlineStr">
        <is>
          <t>metros de sondaje; pct sobre metros</t>
        </is>
      </c>
      <c r="D1758" t="inlineStr">
        <is>
          <t>fase_plp_GM_FASES_LE2_Output</t>
        </is>
      </c>
      <c r="E1758" t="inlineStr">
        <is>
          <t>9C</t>
        </is>
      </c>
      <c r="F1758" t="inlineStr">
        <is>
          <t>litologia_tentativa</t>
        </is>
      </c>
      <c r="G1758" t="inlineStr">
        <is>
          <t>Mármol (hipótesis: sigla MDP)</t>
        </is>
      </c>
      <c r="H1758" t="inlineStr"/>
      <c r="I1758" t="inlineStr"/>
      <c r="J1758" t="inlineStr">
        <is>
          <t>suma de filas por código</t>
        </is>
      </c>
      <c r="K1758" t="inlineStr">
        <is>
          <t>Mármol (hipótesis: sigla MDP)</t>
        </is>
      </c>
      <c r="L1758" t="inlineStr"/>
      <c r="M1758" t="n">
        <v>1119</v>
      </c>
      <c r="N1758" t="inlineStr"/>
      <c r="O1758" t="inlineStr"/>
      <c r="P1758" t="n">
        <v>1103.53</v>
      </c>
      <c r="Q1758" t="n">
        <v>46.734</v>
      </c>
    </row>
    <row r="1759">
      <c r="A1759" t="inlineStr">
        <is>
          <t>MR24</t>
        </is>
      </c>
      <c r="B1759" t="inlineStr">
        <is>
          <t>Merged_Table_Assay_lito</t>
        </is>
      </c>
      <c r="C1759" t="inlineStr">
        <is>
          <t>metros de sondaje; pct sobre metros</t>
        </is>
      </c>
      <c r="D1759" t="inlineStr">
        <is>
          <t>fase_plp_GM_FASES_LE2_Output</t>
        </is>
      </c>
      <c r="E1759" t="inlineStr">
        <is>
          <t>9C</t>
        </is>
      </c>
      <c r="F1759" t="inlineStr">
        <is>
          <t>litologia_tentativa</t>
        </is>
      </c>
      <c r="G1759" t="inlineStr">
        <is>
          <t>Mármol (hipótesis: siglas M*)</t>
        </is>
      </c>
      <c r="H1759" t="inlineStr"/>
      <c r="I1759" t="inlineStr"/>
      <c r="J1759" t="inlineStr">
        <is>
          <t>suma de filas por código</t>
        </is>
      </c>
      <c r="K1759" t="inlineStr">
        <is>
          <t>Mármol (hipótesis: siglas M*)</t>
        </is>
      </c>
      <c r="L1759" t="inlineStr"/>
      <c r="M1759" t="n">
        <v>548</v>
      </c>
      <c r="N1759" t="inlineStr"/>
      <c r="O1759" t="inlineStr"/>
      <c r="P1759" t="n">
        <v>572.63</v>
      </c>
      <c r="Q1759" t="n">
        <v>24.251</v>
      </c>
    </row>
    <row r="1760">
      <c r="A1760" t="inlineStr">
        <is>
          <t>MR24</t>
        </is>
      </c>
      <c r="B1760" t="inlineStr">
        <is>
          <t>Merged_Table_Assay_lito</t>
        </is>
      </c>
      <c r="C1760" t="inlineStr">
        <is>
          <t>metros de sondaje; pct sobre metros</t>
        </is>
      </c>
      <c r="D1760" t="inlineStr">
        <is>
          <t>fase_plp_GM_FASES_LE2_Output</t>
        </is>
      </c>
      <c r="E1760" t="inlineStr">
        <is>
          <t>OTROS</t>
        </is>
      </c>
      <c r="F1760" t="inlineStr">
        <is>
          <t>litologia_tentativa</t>
        </is>
      </c>
      <c r="G1760" t="inlineStr">
        <is>
          <t>Caliza (hipótesis: siglas C*)</t>
        </is>
      </c>
      <c r="H1760" t="inlineStr"/>
      <c r="I1760" t="inlineStr"/>
      <c r="J1760" t="inlineStr">
        <is>
          <t>suma de filas por código</t>
        </is>
      </c>
      <c r="K1760" t="inlineStr">
        <is>
          <t>Caliza (hipótesis: siglas C*)</t>
        </is>
      </c>
      <c r="L1760" t="inlineStr"/>
      <c r="M1760" t="n">
        <v>51</v>
      </c>
      <c r="N1760" t="inlineStr"/>
      <c r="O1760" t="inlineStr"/>
      <c r="P1760" t="n">
        <v>49.2</v>
      </c>
      <c r="Q1760" t="n">
        <v>11.788</v>
      </c>
    </row>
    <row r="1761">
      <c r="A1761" t="inlineStr">
        <is>
          <t>MR24</t>
        </is>
      </c>
      <c r="B1761" t="inlineStr">
        <is>
          <t>Merged_Table_Assay_lito</t>
        </is>
      </c>
      <c r="C1761" t="inlineStr">
        <is>
          <t>metros de sondaje; pct sobre metros</t>
        </is>
      </c>
      <c r="D1761" t="inlineStr">
        <is>
          <t>fase_plp_GM_FASES_LE2_Output</t>
        </is>
      </c>
      <c r="E1761" t="inlineStr">
        <is>
          <t>OTROS</t>
        </is>
      </c>
      <c r="F1761" t="inlineStr">
        <is>
          <t>litologia_tentativa</t>
        </is>
      </c>
      <c r="G1761" t="inlineStr">
        <is>
          <t>Hornfels (hipótesis: siglas H*)</t>
        </is>
      </c>
      <c r="H1761" t="inlineStr"/>
      <c r="I1761" t="inlineStr"/>
      <c r="J1761" t="inlineStr">
        <is>
          <t>suma de filas por código</t>
        </is>
      </c>
      <c r="K1761" t="inlineStr">
        <is>
          <t>Hornfels (hipótesis: siglas H*)</t>
        </is>
      </c>
      <c r="L1761" t="inlineStr"/>
      <c r="M1761" t="n">
        <v>46</v>
      </c>
      <c r="N1761" t="inlineStr"/>
      <c r="O1761" t="inlineStr"/>
      <c r="P1761" t="n">
        <v>47.3</v>
      </c>
      <c r="Q1761" t="n">
        <v>11.332</v>
      </c>
    </row>
    <row r="1762">
      <c r="A1762" t="inlineStr">
        <is>
          <t>MR24</t>
        </is>
      </c>
      <c r="B1762" t="inlineStr">
        <is>
          <t>Merged_Table_Assay_lito</t>
        </is>
      </c>
      <c r="C1762" t="inlineStr">
        <is>
          <t>metros de sondaje; pct sobre metros</t>
        </is>
      </c>
      <c r="D1762" t="inlineStr">
        <is>
          <t>fase_plp_GM_FASES_LE2_Output</t>
        </is>
      </c>
      <c r="E1762" t="inlineStr">
        <is>
          <t>OTROS</t>
        </is>
      </c>
      <c r="F1762" t="inlineStr">
        <is>
          <t>litologia_tentativa</t>
        </is>
      </c>
      <c r="G1762" t="inlineStr">
        <is>
          <t>Intrusivo</t>
        </is>
      </c>
      <c r="H1762" t="inlineStr"/>
      <c r="I1762" t="inlineStr"/>
      <c r="J1762" t="inlineStr">
        <is>
          <t>suma de filas por código</t>
        </is>
      </c>
      <c r="K1762" t="inlineStr">
        <is>
          <t>Intrusivo</t>
        </is>
      </c>
      <c r="L1762" t="inlineStr"/>
      <c r="M1762" t="n">
        <v>134</v>
      </c>
      <c r="N1762" t="inlineStr"/>
      <c r="O1762" t="inlineStr"/>
      <c r="P1762" t="n">
        <v>144.7</v>
      </c>
      <c r="Q1762" t="n">
        <v>34.668</v>
      </c>
    </row>
    <row r="1763">
      <c r="A1763" t="inlineStr">
        <is>
          <t>MR24</t>
        </is>
      </c>
      <c r="B1763" t="inlineStr">
        <is>
          <t>Merged_Table_Assay_lito</t>
        </is>
      </c>
      <c r="C1763" t="inlineStr">
        <is>
          <t>metros de sondaje; pct sobre metros</t>
        </is>
      </c>
      <c r="D1763" t="inlineStr">
        <is>
          <t>fase_plp_GM_FASES_LE2_Output</t>
        </is>
      </c>
      <c r="E1763" t="inlineStr">
        <is>
          <t>OTROS</t>
        </is>
      </c>
      <c r="F1763" t="inlineStr">
        <is>
          <t>litologia_tentativa</t>
        </is>
      </c>
      <c r="G1763" t="inlineStr">
        <is>
          <t>Mármol (hipótesis: sigla MDP)</t>
        </is>
      </c>
      <c r="H1763" t="inlineStr"/>
      <c r="I1763" t="inlineStr"/>
      <c r="J1763" t="inlineStr">
        <is>
          <t>suma de filas por código</t>
        </is>
      </c>
      <c r="K1763" t="inlineStr">
        <is>
          <t>Mármol (hipótesis: sigla MDP)</t>
        </is>
      </c>
      <c r="L1763" t="inlineStr"/>
      <c r="M1763" t="n">
        <v>48</v>
      </c>
      <c r="N1763" t="inlineStr"/>
      <c r="O1763" t="inlineStr"/>
      <c r="P1763" t="n">
        <v>49.85</v>
      </c>
      <c r="Q1763" t="n">
        <v>11.943</v>
      </c>
    </row>
    <row r="1764">
      <c r="A1764" t="inlineStr">
        <is>
          <t>MR24</t>
        </is>
      </c>
      <c r="B1764" t="inlineStr">
        <is>
          <t>Merged_Table_Assay_lito</t>
        </is>
      </c>
      <c r="C1764" t="inlineStr">
        <is>
          <t>metros de sondaje; pct sobre metros</t>
        </is>
      </c>
      <c r="D1764" t="inlineStr">
        <is>
          <t>fase_plp_GM_FASES_LE2_Output</t>
        </is>
      </c>
      <c r="E1764" t="inlineStr">
        <is>
          <t>OTROS</t>
        </is>
      </c>
      <c r="F1764" t="inlineStr">
        <is>
          <t>litologia_tentativa</t>
        </is>
      </c>
      <c r="G1764" t="inlineStr">
        <is>
          <t>Mármol (hipótesis: siglas M*)</t>
        </is>
      </c>
      <c r="H1764" t="inlineStr"/>
      <c r="I1764" t="inlineStr"/>
      <c r="J1764" t="inlineStr">
        <is>
          <t>suma de filas por código</t>
        </is>
      </c>
      <c r="K1764" t="inlineStr">
        <is>
          <t>Mármol (hipótesis: siglas M*)</t>
        </is>
      </c>
      <c r="L1764" t="inlineStr"/>
      <c r="M1764" t="n">
        <v>126</v>
      </c>
      <c r="N1764" t="inlineStr"/>
      <c r="O1764" t="inlineStr"/>
      <c r="P1764" t="n">
        <v>126.35</v>
      </c>
      <c r="Q1764" t="n">
        <v>30.27</v>
      </c>
    </row>
    <row r="1765">
      <c r="A1765" t="inlineStr">
        <is>
          <t>MR24</t>
        </is>
      </c>
      <c r="B1765" t="inlineStr">
        <is>
          <t>Merged_Table_Assay_lito</t>
        </is>
      </c>
      <c r="C1765" t="inlineStr">
        <is>
          <t>metros de sondaje; pct sobre metros</t>
        </is>
      </c>
      <c r="D1765" t="inlineStr">
        <is>
          <t>periodo_GM_LE2WASTE_Output</t>
        </is>
      </c>
      <c r="E1765" t="inlineStr">
        <is>
          <t>2025</t>
        </is>
      </c>
      <c r="F1765" t="inlineStr">
        <is>
          <t>litologia_tentativa</t>
        </is>
      </c>
      <c r="G1765" t="inlineStr">
        <is>
          <t>Caliza (hipótesis: siglas C*)</t>
        </is>
      </c>
      <c r="H1765" t="inlineStr"/>
      <c r="I1765" t="inlineStr"/>
      <c r="J1765" t="inlineStr">
        <is>
          <t>suma de filas por código</t>
        </is>
      </c>
      <c r="K1765" t="inlineStr">
        <is>
          <t>Caliza (hipótesis: siglas C*)</t>
        </is>
      </c>
      <c r="L1765" t="inlineStr"/>
      <c r="M1765" t="n">
        <v>1729</v>
      </c>
      <c r="N1765" t="inlineStr"/>
      <c r="O1765" t="inlineStr"/>
      <c r="P1765" t="n">
        <v>1789.25</v>
      </c>
      <c r="Q1765" t="n">
        <v>10.075</v>
      </c>
    </row>
    <row r="1766">
      <c r="A1766" t="inlineStr">
        <is>
          <t>MR24</t>
        </is>
      </c>
      <c r="B1766" t="inlineStr">
        <is>
          <t>Merged_Table_Assay_lito</t>
        </is>
      </c>
      <c r="C1766" t="inlineStr">
        <is>
          <t>metros de sondaje; pct sobre metros</t>
        </is>
      </c>
      <c r="D1766" t="inlineStr">
        <is>
          <t>periodo_GM_LE2WASTE_Output</t>
        </is>
      </c>
      <c r="E1766" t="inlineStr">
        <is>
          <t>2025</t>
        </is>
      </c>
      <c r="F1766" t="inlineStr">
        <is>
          <t>litologia_tentativa</t>
        </is>
      </c>
      <c r="G1766" t="inlineStr">
        <is>
          <t>Hornfels (hipótesis: siglas H*)</t>
        </is>
      </c>
      <c r="H1766" t="inlineStr"/>
      <c r="I1766" t="inlineStr"/>
      <c r="J1766" t="inlineStr">
        <is>
          <t>suma de filas por código</t>
        </is>
      </c>
      <c r="K1766" t="inlineStr">
        <is>
          <t>Hornfels (hipótesis: siglas H*)</t>
        </is>
      </c>
      <c r="L1766" t="inlineStr"/>
      <c r="M1766" t="n">
        <v>1316</v>
      </c>
      <c r="N1766" t="inlineStr"/>
      <c r="O1766" t="inlineStr"/>
      <c r="P1766" t="n">
        <v>1154.1</v>
      </c>
      <c r="Q1766" t="n">
        <v>6.5</v>
      </c>
    </row>
    <row r="1767">
      <c r="A1767" t="inlineStr">
        <is>
          <t>MR24</t>
        </is>
      </c>
      <c r="B1767" t="inlineStr">
        <is>
          <t>Merged_Table_Assay_lito</t>
        </is>
      </c>
      <c r="C1767" t="inlineStr">
        <is>
          <t>metros de sondaje; pct sobre metros</t>
        </is>
      </c>
      <c r="D1767" t="inlineStr">
        <is>
          <t>periodo_GM_LE2WASTE_Output</t>
        </is>
      </c>
      <c r="E1767" t="inlineStr">
        <is>
          <t>2025</t>
        </is>
      </c>
      <c r="F1767" t="inlineStr">
        <is>
          <t>litologia_tentativa</t>
        </is>
      </c>
      <c r="G1767" t="inlineStr">
        <is>
          <t>Intrusivo</t>
        </is>
      </c>
      <c r="H1767" t="inlineStr"/>
      <c r="I1767" t="inlineStr"/>
      <c r="J1767" t="inlineStr">
        <is>
          <t>suma de filas por código</t>
        </is>
      </c>
      <c r="K1767" t="inlineStr">
        <is>
          <t>Intrusivo</t>
        </is>
      </c>
      <c r="L1767" t="inlineStr"/>
      <c r="M1767" t="n">
        <v>3006</v>
      </c>
      <c r="N1767" t="inlineStr"/>
      <c r="O1767" t="inlineStr"/>
      <c r="P1767" t="n">
        <v>4062.35</v>
      </c>
      <c r="Q1767" t="n">
        <v>22.875</v>
      </c>
    </row>
    <row r="1768">
      <c r="A1768" t="inlineStr">
        <is>
          <t>MR24</t>
        </is>
      </c>
      <c r="B1768" t="inlineStr">
        <is>
          <t>Merged_Table_Assay_lito</t>
        </is>
      </c>
      <c r="C1768" t="inlineStr">
        <is>
          <t>metros de sondaje; pct sobre metros</t>
        </is>
      </c>
      <c r="D1768" t="inlineStr">
        <is>
          <t>periodo_GM_LE2WASTE_Output</t>
        </is>
      </c>
      <c r="E1768" t="inlineStr">
        <is>
          <t>2025</t>
        </is>
      </c>
      <c r="F1768" t="inlineStr">
        <is>
          <t>litologia_tentativa</t>
        </is>
      </c>
      <c r="G1768" t="inlineStr">
        <is>
          <t>Mármol (hipótesis: sigla MDP)</t>
        </is>
      </c>
      <c r="H1768" t="inlineStr"/>
      <c r="I1768" t="inlineStr"/>
      <c r="J1768" t="inlineStr">
        <is>
          <t>suma de filas por código</t>
        </is>
      </c>
      <c r="K1768" t="inlineStr">
        <is>
          <t>Mármol (hipótesis: sigla MDP)</t>
        </is>
      </c>
      <c r="L1768" t="inlineStr"/>
      <c r="M1768" t="n">
        <v>2121</v>
      </c>
      <c r="N1768" t="inlineStr"/>
      <c r="O1768" t="inlineStr"/>
      <c r="P1768" t="n">
        <v>2246.93</v>
      </c>
      <c r="Q1768" t="n">
        <v>12.653</v>
      </c>
    </row>
    <row r="1769">
      <c r="A1769" t="inlineStr">
        <is>
          <t>MR24</t>
        </is>
      </c>
      <c r="B1769" t="inlineStr">
        <is>
          <t>Merged_Table_Assay_lito</t>
        </is>
      </c>
      <c r="C1769" t="inlineStr">
        <is>
          <t>metros de sondaje; pct sobre metros</t>
        </is>
      </c>
      <c r="D1769" t="inlineStr">
        <is>
          <t>periodo_GM_LE2WASTE_Output</t>
        </is>
      </c>
      <c r="E1769" t="inlineStr">
        <is>
          <t>2025</t>
        </is>
      </c>
      <c r="F1769" t="inlineStr">
        <is>
          <t>litologia_tentativa</t>
        </is>
      </c>
      <c r="G1769" t="inlineStr">
        <is>
          <t>Mármol (hipótesis: siglas M*)</t>
        </is>
      </c>
      <c r="H1769" t="inlineStr"/>
      <c r="I1769" t="inlineStr"/>
      <c r="J1769" t="inlineStr">
        <is>
          <t>suma de filas por código</t>
        </is>
      </c>
      <c r="K1769" t="inlineStr">
        <is>
          <t>Mármol (hipótesis: siglas M*)</t>
        </is>
      </c>
      <c r="L1769" t="inlineStr"/>
      <c r="M1769" t="n">
        <v>7912</v>
      </c>
      <c r="N1769" t="inlineStr"/>
      <c r="O1769" t="inlineStr"/>
      <c r="P1769" t="n">
        <v>8505.68</v>
      </c>
      <c r="Q1769" t="n">
        <v>47.897</v>
      </c>
    </row>
    <row r="1770">
      <c r="A1770" t="inlineStr">
        <is>
          <t>MR24</t>
        </is>
      </c>
      <c r="B1770" t="inlineStr">
        <is>
          <t>Merged_Table_Assay_lito</t>
        </is>
      </c>
      <c r="C1770" t="inlineStr">
        <is>
          <t>metros de sondaje; pct sobre metros</t>
        </is>
      </c>
      <c r="D1770" t="inlineStr">
        <is>
          <t>periodo_GM_LE2WASTE_Output</t>
        </is>
      </c>
      <c r="E1770" t="inlineStr">
        <is>
          <t>2026</t>
        </is>
      </c>
      <c r="F1770" t="inlineStr">
        <is>
          <t>litologia_tentativa</t>
        </is>
      </c>
      <c r="G1770" t="inlineStr">
        <is>
          <t>Caliza (hipótesis: siglas C*)</t>
        </is>
      </c>
      <c r="H1770" t="inlineStr"/>
      <c r="I1770" t="inlineStr"/>
      <c r="J1770" t="inlineStr">
        <is>
          <t>suma de filas por código</t>
        </is>
      </c>
      <c r="K1770" t="inlineStr">
        <is>
          <t>Caliza (hipótesis: siglas C*)</t>
        </is>
      </c>
      <c r="L1770" t="inlineStr"/>
      <c r="M1770" t="n">
        <v>2640</v>
      </c>
      <c r="N1770" t="inlineStr"/>
      <c r="O1770" t="inlineStr"/>
      <c r="P1770" t="n">
        <v>2457.2</v>
      </c>
      <c r="Q1770" t="n">
        <v>14.036</v>
      </c>
    </row>
    <row r="1771">
      <c r="A1771" t="inlineStr">
        <is>
          <t>MR24</t>
        </is>
      </c>
      <c r="B1771" t="inlineStr">
        <is>
          <t>Merged_Table_Assay_lito</t>
        </is>
      </c>
      <c r="C1771" t="inlineStr">
        <is>
          <t>metros de sondaje; pct sobre metros</t>
        </is>
      </c>
      <c r="D1771" t="inlineStr">
        <is>
          <t>periodo_GM_LE2WASTE_Output</t>
        </is>
      </c>
      <c r="E1771" t="inlineStr">
        <is>
          <t>2026</t>
        </is>
      </c>
      <c r="F1771" t="inlineStr">
        <is>
          <t>litologia_tentativa</t>
        </is>
      </c>
      <c r="G1771" t="inlineStr">
        <is>
          <t>Hornfels (hipótesis: siglas H*)</t>
        </is>
      </c>
      <c r="H1771" t="inlineStr"/>
      <c r="I1771" t="inlineStr"/>
      <c r="J1771" t="inlineStr">
        <is>
          <t>suma de filas por código</t>
        </is>
      </c>
      <c r="K1771" t="inlineStr">
        <is>
          <t>Hornfels (hipótesis: siglas H*)</t>
        </is>
      </c>
      <c r="L1771" t="inlineStr"/>
      <c r="M1771" t="n">
        <v>983</v>
      </c>
      <c r="N1771" t="inlineStr"/>
      <c r="O1771" t="inlineStr"/>
      <c r="P1771" t="n">
        <v>826.05</v>
      </c>
      <c r="Q1771" t="n">
        <v>4.718</v>
      </c>
    </row>
    <row r="1772">
      <c r="A1772" t="inlineStr">
        <is>
          <t>MR24</t>
        </is>
      </c>
      <c r="B1772" t="inlineStr">
        <is>
          <t>Merged_Table_Assay_lito</t>
        </is>
      </c>
      <c r="C1772" t="inlineStr">
        <is>
          <t>metros de sondaje; pct sobre metros</t>
        </is>
      </c>
      <c r="D1772" t="inlineStr">
        <is>
          <t>periodo_GM_LE2WASTE_Output</t>
        </is>
      </c>
      <c r="E1772" t="inlineStr">
        <is>
          <t>2026</t>
        </is>
      </c>
      <c r="F1772" t="inlineStr">
        <is>
          <t>litologia_tentativa</t>
        </is>
      </c>
      <c r="G1772" t="inlineStr">
        <is>
          <t>Intrusivo</t>
        </is>
      </c>
      <c r="H1772" t="inlineStr"/>
      <c r="I1772" t="inlineStr"/>
      <c r="J1772" t="inlineStr">
        <is>
          <t>suma de filas por código</t>
        </is>
      </c>
      <c r="K1772" t="inlineStr">
        <is>
          <t>Intrusivo</t>
        </is>
      </c>
      <c r="L1772" t="inlineStr"/>
      <c r="M1772" t="n">
        <v>3635</v>
      </c>
      <c r="N1772" t="inlineStr"/>
      <c r="O1772" t="inlineStr"/>
      <c r="P1772" t="n">
        <v>5233.8</v>
      </c>
      <c r="Q1772" t="n">
        <v>29.898</v>
      </c>
    </row>
    <row r="1773">
      <c r="A1773" t="inlineStr">
        <is>
          <t>MR24</t>
        </is>
      </c>
      <c r="B1773" t="inlineStr">
        <is>
          <t>Merged_Table_Assay_lito</t>
        </is>
      </c>
      <c r="C1773" t="inlineStr">
        <is>
          <t>metros de sondaje; pct sobre metros</t>
        </is>
      </c>
      <c r="D1773" t="inlineStr">
        <is>
          <t>periodo_GM_LE2WASTE_Output</t>
        </is>
      </c>
      <c r="E1773" t="inlineStr">
        <is>
          <t>2026</t>
        </is>
      </c>
      <c r="F1773" t="inlineStr">
        <is>
          <t>litologia_tentativa</t>
        </is>
      </c>
      <c r="G1773" t="inlineStr">
        <is>
          <t>Mármol (hipótesis: sigla MDP)</t>
        </is>
      </c>
      <c r="H1773" t="inlineStr"/>
      <c r="I1773" t="inlineStr"/>
      <c r="J1773" t="inlineStr">
        <is>
          <t>suma de filas por código</t>
        </is>
      </c>
      <c r="K1773" t="inlineStr">
        <is>
          <t>Mármol (hipótesis: sigla MDP)</t>
        </is>
      </c>
      <c r="L1773" t="inlineStr"/>
      <c r="M1773" t="n">
        <v>2606</v>
      </c>
      <c r="N1773" t="inlineStr"/>
      <c r="O1773" t="inlineStr"/>
      <c r="P1773" t="n">
        <v>2706.92</v>
      </c>
      <c r="Q1773" t="n">
        <v>15.463</v>
      </c>
    </row>
    <row r="1774">
      <c r="A1774" t="inlineStr">
        <is>
          <t>MR24</t>
        </is>
      </c>
      <c r="B1774" t="inlineStr">
        <is>
          <t>Merged_Table_Assay_lito</t>
        </is>
      </c>
      <c r="C1774" t="inlineStr">
        <is>
          <t>metros de sondaje; pct sobre metros</t>
        </is>
      </c>
      <c r="D1774" t="inlineStr">
        <is>
          <t>periodo_GM_LE2WASTE_Output</t>
        </is>
      </c>
      <c r="E1774" t="inlineStr">
        <is>
          <t>2026</t>
        </is>
      </c>
      <c r="F1774" t="inlineStr">
        <is>
          <t>litologia_tentativa</t>
        </is>
      </c>
      <c r="G1774" t="inlineStr">
        <is>
          <t>Mármol (hipótesis: siglas M*)</t>
        </is>
      </c>
      <c r="H1774" t="inlineStr"/>
      <c r="I1774" t="inlineStr"/>
      <c r="J1774" t="inlineStr">
        <is>
          <t>suma de filas por código</t>
        </is>
      </c>
      <c r="K1774" t="inlineStr">
        <is>
          <t>Mármol (hipótesis: siglas M*)</t>
        </is>
      </c>
      <c r="L1774" t="inlineStr"/>
      <c r="M1774" t="n">
        <v>5458</v>
      </c>
      <c r="N1774" t="inlineStr"/>
      <c r="O1774" t="inlineStr"/>
      <c r="P1774" t="n">
        <v>6281.71</v>
      </c>
      <c r="Q1774" t="n">
        <v>35.885</v>
      </c>
    </row>
    <row r="1775">
      <c r="A1775" t="inlineStr">
        <is>
          <t>MR24</t>
        </is>
      </c>
      <c r="B1775" t="inlineStr">
        <is>
          <t>Merged_Table_Assay_lito</t>
        </is>
      </c>
      <c r="C1775" t="inlineStr">
        <is>
          <t>metros de sondaje; pct sobre metros</t>
        </is>
      </c>
      <c r="D1775" t="inlineStr">
        <is>
          <t>periodo_GM_LE2WASTE_Output</t>
        </is>
      </c>
      <c r="E1775" t="inlineStr">
        <is>
          <t>2027</t>
        </is>
      </c>
      <c r="F1775" t="inlineStr">
        <is>
          <t>litologia_tentativa</t>
        </is>
      </c>
      <c r="G1775" t="inlineStr">
        <is>
          <t>Caliza (hipótesis: siglas C*)</t>
        </is>
      </c>
      <c r="H1775" t="inlineStr"/>
      <c r="I1775" t="inlineStr"/>
      <c r="J1775" t="inlineStr">
        <is>
          <t>suma de filas por código</t>
        </is>
      </c>
      <c r="K1775" t="inlineStr">
        <is>
          <t>Caliza (hipótesis: siglas C*)</t>
        </is>
      </c>
      <c r="L1775" t="inlineStr"/>
      <c r="M1775" t="n">
        <v>95</v>
      </c>
      <c r="N1775" t="inlineStr"/>
      <c r="O1775" t="inlineStr"/>
      <c r="P1775" t="n">
        <v>156.25</v>
      </c>
      <c r="Q1775" t="n">
        <v>0.972</v>
      </c>
    </row>
    <row r="1776">
      <c r="A1776" t="inlineStr">
        <is>
          <t>MR24</t>
        </is>
      </c>
      <c r="B1776" t="inlineStr">
        <is>
          <t>Merged_Table_Assay_lito</t>
        </is>
      </c>
      <c r="C1776" t="inlineStr">
        <is>
          <t>metros de sondaje; pct sobre metros</t>
        </is>
      </c>
      <c r="D1776" t="inlineStr">
        <is>
          <t>periodo_GM_LE2WASTE_Output</t>
        </is>
      </c>
      <c r="E1776" t="inlineStr">
        <is>
          <t>2027</t>
        </is>
      </c>
      <c r="F1776" t="inlineStr">
        <is>
          <t>litologia_tentativa</t>
        </is>
      </c>
      <c r="G1776" t="inlineStr">
        <is>
          <t>Hornfels (hipótesis: siglas H*)</t>
        </is>
      </c>
      <c r="H1776" t="inlineStr"/>
      <c r="I1776" t="inlineStr"/>
      <c r="J1776" t="inlineStr">
        <is>
          <t>suma de filas por código</t>
        </is>
      </c>
      <c r="K1776" t="inlineStr">
        <is>
          <t>Hornfels (hipótesis: siglas H*)</t>
        </is>
      </c>
      <c r="L1776" t="inlineStr"/>
      <c r="M1776" t="n">
        <v>103</v>
      </c>
      <c r="N1776" t="inlineStr"/>
      <c r="O1776" t="inlineStr"/>
      <c r="P1776" t="n">
        <v>171.85</v>
      </c>
      <c r="Q1776" t="n">
        <v>1.07</v>
      </c>
    </row>
    <row r="1777">
      <c r="A1777" t="inlineStr">
        <is>
          <t>MR24</t>
        </is>
      </c>
      <c r="B1777" t="inlineStr">
        <is>
          <t>Merged_Table_Assay_lito</t>
        </is>
      </c>
      <c r="C1777" t="inlineStr">
        <is>
          <t>metros de sondaje; pct sobre metros</t>
        </is>
      </c>
      <c r="D1777" t="inlineStr">
        <is>
          <t>periodo_GM_LE2WASTE_Output</t>
        </is>
      </c>
      <c r="E1777" t="inlineStr">
        <is>
          <t>2027</t>
        </is>
      </c>
      <c r="F1777" t="inlineStr">
        <is>
          <t>litologia_tentativa</t>
        </is>
      </c>
      <c r="G1777" t="inlineStr">
        <is>
          <t>Intrusivo</t>
        </is>
      </c>
      <c r="H1777" t="inlineStr"/>
      <c r="I1777" t="inlineStr"/>
      <c r="J1777" t="inlineStr">
        <is>
          <t>suma de filas por código</t>
        </is>
      </c>
      <c r="K1777" t="inlineStr">
        <is>
          <t>Intrusivo</t>
        </is>
      </c>
      <c r="L1777" t="inlineStr"/>
      <c r="M1777" t="n">
        <v>3786</v>
      </c>
      <c r="N1777" t="inlineStr"/>
      <c r="O1777" t="inlineStr"/>
      <c r="P1777" t="n">
        <v>5383.05</v>
      </c>
      <c r="Q1777" t="n">
        <v>33.514</v>
      </c>
    </row>
    <row r="1778">
      <c r="A1778" t="inlineStr">
        <is>
          <t>MR24</t>
        </is>
      </c>
      <c r="B1778" t="inlineStr">
        <is>
          <t>Merged_Table_Assay_lito</t>
        </is>
      </c>
      <c r="C1778" t="inlineStr">
        <is>
          <t>metros de sondaje; pct sobre metros</t>
        </is>
      </c>
      <c r="D1778" t="inlineStr">
        <is>
          <t>periodo_GM_LE2WASTE_Output</t>
        </is>
      </c>
      <c r="E1778" t="inlineStr">
        <is>
          <t>2027</t>
        </is>
      </c>
      <c r="F1778" t="inlineStr">
        <is>
          <t>litologia_tentativa</t>
        </is>
      </c>
      <c r="G1778" t="inlineStr">
        <is>
          <t>Mármol (hipótesis: sigla MDP)</t>
        </is>
      </c>
      <c r="H1778" t="inlineStr"/>
      <c r="I1778" t="inlineStr"/>
      <c r="J1778" t="inlineStr">
        <is>
          <t>suma de filas por código</t>
        </is>
      </c>
      <c r="K1778" t="inlineStr">
        <is>
          <t>Mármol (hipótesis: sigla MDP)</t>
        </is>
      </c>
      <c r="L1778" t="inlineStr"/>
      <c r="M1778" t="n">
        <v>5234</v>
      </c>
      <c r="N1778" t="inlineStr"/>
      <c r="O1778" t="inlineStr"/>
      <c r="P1778" t="n">
        <v>4859.58</v>
      </c>
      <c r="Q1778" t="n">
        <v>30.256</v>
      </c>
    </row>
    <row r="1779">
      <c r="A1779" t="inlineStr">
        <is>
          <t>MR24</t>
        </is>
      </c>
      <c r="B1779" t="inlineStr">
        <is>
          <t>Merged_Table_Assay_lito</t>
        </is>
      </c>
      <c r="C1779" t="inlineStr">
        <is>
          <t>metros de sondaje; pct sobre metros</t>
        </is>
      </c>
      <c r="D1779" t="inlineStr">
        <is>
          <t>periodo_GM_LE2WASTE_Output</t>
        </is>
      </c>
      <c r="E1779" t="inlineStr">
        <is>
          <t>2027</t>
        </is>
      </c>
      <c r="F1779" t="inlineStr">
        <is>
          <t>litologia_tentativa</t>
        </is>
      </c>
      <c r="G1779" t="inlineStr">
        <is>
          <t>Mármol (hipótesis: siglas M*)</t>
        </is>
      </c>
      <c r="H1779" t="inlineStr"/>
      <c r="I1779" t="inlineStr"/>
      <c r="J1779" t="inlineStr">
        <is>
          <t>suma de filas por código</t>
        </is>
      </c>
      <c r="K1779" t="inlineStr">
        <is>
          <t>Mármol (hipótesis: siglas M*)</t>
        </is>
      </c>
      <c r="L1779" t="inlineStr"/>
      <c r="M1779" t="n">
        <v>4863</v>
      </c>
      <c r="N1779" t="inlineStr"/>
      <c r="O1779" t="inlineStr"/>
      <c r="P1779" t="n">
        <v>5491</v>
      </c>
      <c r="Q1779" t="n">
        <v>34.188</v>
      </c>
    </row>
    <row r="1780">
      <c r="A1780" t="inlineStr">
        <is>
          <t>MR24</t>
        </is>
      </c>
      <c r="B1780" t="inlineStr">
        <is>
          <t>Merged_Table_Assay_lito</t>
        </is>
      </c>
      <c r="C1780" t="inlineStr">
        <is>
          <t>metros de sondaje; pct sobre metros</t>
        </is>
      </c>
      <c r="D1780" t="inlineStr">
        <is>
          <t>periodo_GM_LE2WASTE_Output</t>
        </is>
      </c>
      <c r="E1780" t="inlineStr">
        <is>
          <t>2028</t>
        </is>
      </c>
      <c r="F1780" t="inlineStr">
        <is>
          <t>litologia_tentativa</t>
        </is>
      </c>
      <c r="G1780" t="inlineStr">
        <is>
          <t>Caliza (hipótesis: siglas C*)</t>
        </is>
      </c>
      <c r="H1780" t="inlineStr"/>
      <c r="I1780" t="inlineStr"/>
      <c r="J1780" t="inlineStr">
        <is>
          <t>suma de filas por código</t>
        </is>
      </c>
      <c r="K1780" t="inlineStr">
        <is>
          <t>Caliza (hipótesis: siglas C*)</t>
        </is>
      </c>
      <c r="L1780" t="inlineStr"/>
      <c r="M1780" t="n">
        <v>1467</v>
      </c>
      <c r="N1780" t="inlineStr"/>
      <c r="O1780" t="inlineStr"/>
      <c r="P1780" t="n">
        <v>1338.7</v>
      </c>
      <c r="Q1780" t="n">
        <v>6.464</v>
      </c>
    </row>
    <row r="1781">
      <c r="A1781" t="inlineStr">
        <is>
          <t>MR24</t>
        </is>
      </c>
      <c r="B1781" t="inlineStr">
        <is>
          <t>Merged_Table_Assay_lito</t>
        </is>
      </c>
      <c r="C1781" t="inlineStr">
        <is>
          <t>metros de sondaje; pct sobre metros</t>
        </is>
      </c>
      <c r="D1781" t="inlineStr">
        <is>
          <t>periodo_GM_LE2WASTE_Output</t>
        </is>
      </c>
      <c r="E1781" t="inlineStr">
        <is>
          <t>2028</t>
        </is>
      </c>
      <c r="F1781" t="inlineStr">
        <is>
          <t>litologia_tentativa</t>
        </is>
      </c>
      <c r="G1781" t="inlineStr">
        <is>
          <t>Hornfels (hipótesis: siglas H*)</t>
        </is>
      </c>
      <c r="H1781" t="inlineStr"/>
      <c r="I1781" t="inlineStr"/>
      <c r="J1781" t="inlineStr">
        <is>
          <t>suma de filas por código</t>
        </is>
      </c>
      <c r="K1781" t="inlineStr">
        <is>
          <t>Hornfels (hipótesis: siglas H*)</t>
        </is>
      </c>
      <c r="L1781" t="inlineStr"/>
      <c r="M1781" t="n">
        <v>3640</v>
      </c>
      <c r="N1781" t="inlineStr"/>
      <c r="O1781" t="inlineStr"/>
      <c r="P1781" t="n">
        <v>3248.03</v>
      </c>
      <c r="Q1781" t="n">
        <v>15.68</v>
      </c>
    </row>
    <row r="1782">
      <c r="A1782" t="inlineStr">
        <is>
          <t>MR24</t>
        </is>
      </c>
      <c r="B1782" t="inlineStr">
        <is>
          <t>Merged_Table_Assay_lito</t>
        </is>
      </c>
      <c r="C1782" t="inlineStr">
        <is>
          <t>metros de sondaje; pct sobre metros</t>
        </is>
      </c>
      <c r="D1782" t="inlineStr">
        <is>
          <t>periodo_GM_LE2WASTE_Output</t>
        </is>
      </c>
      <c r="E1782" t="inlineStr">
        <is>
          <t>2028</t>
        </is>
      </c>
      <c r="F1782" t="inlineStr">
        <is>
          <t>litologia_tentativa</t>
        </is>
      </c>
      <c r="G1782" t="inlineStr">
        <is>
          <t>Intrusivo</t>
        </is>
      </c>
      <c r="H1782" t="inlineStr"/>
      <c r="I1782" t="inlineStr"/>
      <c r="J1782" t="inlineStr">
        <is>
          <t>suma de filas por código</t>
        </is>
      </c>
      <c r="K1782" t="inlineStr">
        <is>
          <t>Intrusivo</t>
        </is>
      </c>
      <c r="L1782" t="inlineStr"/>
      <c r="M1782" t="n">
        <v>3622</v>
      </c>
      <c r="N1782" t="inlineStr"/>
      <c r="O1782" t="inlineStr"/>
      <c r="P1782" t="n">
        <v>5268.48</v>
      </c>
      <c r="Q1782" t="n">
        <v>25.437</v>
      </c>
    </row>
    <row r="1783">
      <c r="A1783" t="inlineStr">
        <is>
          <t>MR24</t>
        </is>
      </c>
      <c r="B1783" t="inlineStr">
        <is>
          <t>Merged_Table_Assay_lito</t>
        </is>
      </c>
      <c r="C1783" t="inlineStr">
        <is>
          <t>metros de sondaje; pct sobre metros</t>
        </is>
      </c>
      <c r="D1783" t="inlineStr">
        <is>
          <t>periodo_GM_LE2WASTE_Output</t>
        </is>
      </c>
      <c r="E1783" t="inlineStr">
        <is>
          <t>2028</t>
        </is>
      </c>
      <c r="F1783" t="inlineStr">
        <is>
          <t>litologia_tentativa</t>
        </is>
      </c>
      <c r="G1783" t="inlineStr">
        <is>
          <t>Mármol (hipótesis: sigla MDP)</t>
        </is>
      </c>
      <c r="H1783" t="inlineStr"/>
      <c r="I1783" t="inlineStr"/>
      <c r="J1783" t="inlineStr">
        <is>
          <t>suma de filas por código</t>
        </is>
      </c>
      <c r="K1783" t="inlineStr">
        <is>
          <t>Mármol (hipótesis: sigla MDP)</t>
        </is>
      </c>
      <c r="L1783" t="inlineStr"/>
      <c r="M1783" t="n">
        <v>4394</v>
      </c>
      <c r="N1783" t="inlineStr"/>
      <c r="O1783" t="inlineStr"/>
      <c r="P1783" t="n">
        <v>4118.05</v>
      </c>
      <c r="Q1783" t="n">
        <v>19.882</v>
      </c>
    </row>
    <row r="1784">
      <c r="A1784" t="inlineStr">
        <is>
          <t>MR24</t>
        </is>
      </c>
      <c r="B1784" t="inlineStr">
        <is>
          <t>Merged_Table_Assay_lito</t>
        </is>
      </c>
      <c r="C1784" t="inlineStr">
        <is>
          <t>metros de sondaje; pct sobre metros</t>
        </is>
      </c>
      <c r="D1784" t="inlineStr">
        <is>
          <t>periodo_GM_LE2WASTE_Output</t>
        </is>
      </c>
      <c r="E1784" t="inlineStr">
        <is>
          <t>2028</t>
        </is>
      </c>
      <c r="F1784" t="inlineStr">
        <is>
          <t>litologia_tentativa</t>
        </is>
      </c>
      <c r="G1784" t="inlineStr">
        <is>
          <t>Mármol (hipótesis: siglas M*)</t>
        </is>
      </c>
      <c r="H1784" t="inlineStr"/>
      <c r="I1784" t="inlineStr"/>
      <c r="J1784" t="inlineStr">
        <is>
          <t>suma de filas por código</t>
        </is>
      </c>
      <c r="K1784" t="inlineStr">
        <is>
          <t>Mármol (hipótesis: siglas M*)</t>
        </is>
      </c>
      <c r="L1784" t="inlineStr"/>
      <c r="M1784" t="n">
        <v>6429</v>
      </c>
      <c r="N1784" t="inlineStr"/>
      <c r="O1784" t="inlineStr"/>
      <c r="P1784" t="n">
        <v>6738.95</v>
      </c>
      <c r="Q1784" t="n">
        <v>32.536</v>
      </c>
    </row>
    <row r="1785">
      <c r="A1785" t="inlineStr">
        <is>
          <t>MR24</t>
        </is>
      </c>
      <c r="B1785" t="inlineStr">
        <is>
          <t>Merged_Table_Assay_lito</t>
        </is>
      </c>
      <c r="C1785" t="inlineStr">
        <is>
          <t>metros de sondaje; pct sobre metros</t>
        </is>
      </c>
      <c r="D1785" t="inlineStr">
        <is>
          <t>periodo_GM_LE2WASTE_Output</t>
        </is>
      </c>
      <c r="E1785" t="inlineStr">
        <is>
          <t>2029</t>
        </is>
      </c>
      <c r="F1785" t="inlineStr">
        <is>
          <t>litologia_tentativa</t>
        </is>
      </c>
      <c r="G1785" t="inlineStr">
        <is>
          <t>Caliza (hipótesis: siglas C*)</t>
        </is>
      </c>
      <c r="H1785" t="inlineStr"/>
      <c r="I1785" t="inlineStr"/>
      <c r="J1785" t="inlineStr">
        <is>
          <t>suma de filas por código</t>
        </is>
      </c>
      <c r="K1785" t="inlineStr">
        <is>
          <t>Caliza (hipótesis: siglas C*)</t>
        </is>
      </c>
      <c r="L1785" t="inlineStr"/>
      <c r="M1785" t="n">
        <v>3817</v>
      </c>
      <c r="N1785" t="inlineStr"/>
      <c r="O1785" t="inlineStr"/>
      <c r="P1785" t="n">
        <v>3561.85</v>
      </c>
      <c r="Q1785" t="n">
        <v>16.706</v>
      </c>
    </row>
    <row r="1786">
      <c r="A1786" t="inlineStr">
        <is>
          <t>MR24</t>
        </is>
      </c>
      <c r="B1786" t="inlineStr">
        <is>
          <t>Merged_Table_Assay_lito</t>
        </is>
      </c>
      <c r="C1786" t="inlineStr">
        <is>
          <t>metros de sondaje; pct sobre metros</t>
        </is>
      </c>
      <c r="D1786" t="inlineStr">
        <is>
          <t>periodo_GM_LE2WASTE_Output</t>
        </is>
      </c>
      <c r="E1786" t="inlineStr">
        <is>
          <t>2029</t>
        </is>
      </c>
      <c r="F1786" t="inlineStr">
        <is>
          <t>litologia_tentativa</t>
        </is>
      </c>
      <c r="G1786" t="inlineStr">
        <is>
          <t>Hornfels (hipótesis: siglas H*)</t>
        </is>
      </c>
      <c r="H1786" t="inlineStr"/>
      <c r="I1786" t="inlineStr"/>
      <c r="J1786" t="inlineStr">
        <is>
          <t>suma de filas por código</t>
        </is>
      </c>
      <c r="K1786" t="inlineStr">
        <is>
          <t>Hornfels (hipótesis: siglas H*)</t>
        </is>
      </c>
      <c r="L1786" t="inlineStr"/>
      <c r="M1786" t="n">
        <v>3995</v>
      </c>
      <c r="N1786" t="inlineStr"/>
      <c r="O1786" t="inlineStr"/>
      <c r="P1786" t="n">
        <v>3579.4</v>
      </c>
      <c r="Q1786" t="n">
        <v>16.788</v>
      </c>
    </row>
    <row r="1787">
      <c r="A1787" t="inlineStr">
        <is>
          <t>MR24</t>
        </is>
      </c>
      <c r="B1787" t="inlineStr">
        <is>
          <t>Merged_Table_Assay_lito</t>
        </is>
      </c>
      <c r="C1787" t="inlineStr">
        <is>
          <t>metros de sondaje; pct sobre metros</t>
        </is>
      </c>
      <c r="D1787" t="inlineStr">
        <is>
          <t>periodo_GM_LE2WASTE_Output</t>
        </is>
      </c>
      <c r="E1787" t="inlineStr">
        <is>
          <t>2029</t>
        </is>
      </c>
      <c r="F1787" t="inlineStr">
        <is>
          <t>litologia_tentativa</t>
        </is>
      </c>
      <c r="G1787" t="inlineStr">
        <is>
          <t>Intrusivo</t>
        </is>
      </c>
      <c r="H1787" t="inlineStr"/>
      <c r="I1787" t="inlineStr"/>
      <c r="J1787" t="inlineStr">
        <is>
          <t>suma de filas por código</t>
        </is>
      </c>
      <c r="K1787" t="inlineStr">
        <is>
          <t>Intrusivo</t>
        </is>
      </c>
      <c r="L1787" t="inlineStr"/>
      <c r="M1787" t="n">
        <v>5339</v>
      </c>
      <c r="N1787" t="inlineStr"/>
      <c r="O1787" t="inlineStr"/>
      <c r="P1787" t="n">
        <v>7639.06</v>
      </c>
      <c r="Q1787" t="n">
        <v>35.829</v>
      </c>
    </row>
    <row r="1788">
      <c r="A1788" t="inlineStr">
        <is>
          <t>MR24</t>
        </is>
      </c>
      <c r="B1788" t="inlineStr">
        <is>
          <t>Merged_Table_Assay_lito</t>
        </is>
      </c>
      <c r="C1788" t="inlineStr">
        <is>
          <t>metros de sondaje; pct sobre metros</t>
        </is>
      </c>
      <c r="D1788" t="inlineStr">
        <is>
          <t>periodo_GM_LE2WASTE_Output</t>
        </is>
      </c>
      <c r="E1788" t="inlineStr">
        <is>
          <t>2029</t>
        </is>
      </c>
      <c r="F1788" t="inlineStr">
        <is>
          <t>litologia_tentativa</t>
        </is>
      </c>
      <c r="G1788" t="inlineStr">
        <is>
          <t>Mármol (hipótesis: sigla MDP)</t>
        </is>
      </c>
      <c r="H1788" t="inlineStr"/>
      <c r="I1788" t="inlineStr"/>
      <c r="J1788" t="inlineStr">
        <is>
          <t>suma de filas por código</t>
        </is>
      </c>
      <c r="K1788" t="inlineStr">
        <is>
          <t>Mármol (hipótesis: sigla MDP)</t>
        </is>
      </c>
      <c r="L1788" t="inlineStr"/>
      <c r="M1788" t="n">
        <v>980</v>
      </c>
      <c r="N1788" t="inlineStr"/>
      <c r="O1788" t="inlineStr"/>
      <c r="P1788" t="n">
        <v>1105.8</v>
      </c>
      <c r="Q1788" t="n">
        <v>5.186</v>
      </c>
    </row>
    <row r="1789">
      <c r="A1789" t="inlineStr">
        <is>
          <t>MR24</t>
        </is>
      </c>
      <c r="B1789" t="inlineStr">
        <is>
          <t>Merged_Table_Assay_lito</t>
        </is>
      </c>
      <c r="C1789" t="inlineStr">
        <is>
          <t>metros de sondaje; pct sobre metros</t>
        </is>
      </c>
      <c r="D1789" t="inlineStr">
        <is>
          <t>periodo_GM_LE2WASTE_Output</t>
        </is>
      </c>
      <c r="E1789" t="inlineStr">
        <is>
          <t>2029</t>
        </is>
      </c>
      <c r="F1789" t="inlineStr">
        <is>
          <t>litologia_tentativa</t>
        </is>
      </c>
      <c r="G1789" t="inlineStr">
        <is>
          <t>Mármol (hipótesis: siglas M*)</t>
        </is>
      </c>
      <c r="H1789" t="inlineStr"/>
      <c r="I1789" t="inlineStr"/>
      <c r="J1789" t="inlineStr">
        <is>
          <t>suma de filas por código</t>
        </is>
      </c>
      <c r="K1789" t="inlineStr">
        <is>
          <t>Mármol (hipótesis: siglas M*)</t>
        </is>
      </c>
      <c r="L1789" t="inlineStr"/>
      <c r="M1789" t="n">
        <v>5141</v>
      </c>
      <c r="N1789" t="inlineStr"/>
      <c r="O1789" t="inlineStr"/>
      <c r="P1789" t="n">
        <v>5434.900000000001</v>
      </c>
      <c r="Q1789" t="n">
        <v>25.49</v>
      </c>
    </row>
    <row r="1790">
      <c r="A1790" t="inlineStr">
        <is>
          <t>MR24</t>
        </is>
      </c>
      <c r="B1790" t="inlineStr">
        <is>
          <t>Merged_Table_Assay_lito</t>
        </is>
      </c>
      <c r="C1790" t="inlineStr">
        <is>
          <t>metros de sondaje; pct sobre metros</t>
        </is>
      </c>
      <c r="D1790" t="inlineStr">
        <is>
          <t>periodo_GM_LE2WASTE_Output</t>
        </is>
      </c>
      <c r="E1790" t="inlineStr">
        <is>
          <t>2030</t>
        </is>
      </c>
      <c r="F1790" t="inlineStr">
        <is>
          <t>litologia_tentativa</t>
        </is>
      </c>
      <c r="G1790" t="inlineStr">
        <is>
          <t>Caliza (hipótesis: siglas C*)</t>
        </is>
      </c>
      <c r="H1790" t="inlineStr"/>
      <c r="I1790" t="inlineStr"/>
      <c r="J1790" t="inlineStr">
        <is>
          <t>suma de filas por código</t>
        </is>
      </c>
      <c r="K1790" t="inlineStr">
        <is>
          <t>Caliza (hipótesis: siglas C*)</t>
        </is>
      </c>
      <c r="L1790" t="inlineStr"/>
      <c r="M1790" t="n">
        <v>2756</v>
      </c>
      <c r="N1790" t="inlineStr"/>
      <c r="O1790" t="inlineStr"/>
      <c r="P1790" t="n">
        <v>2480.15</v>
      </c>
      <c r="Q1790" t="n">
        <v>8.055999999999999</v>
      </c>
    </row>
    <row r="1791">
      <c r="A1791" t="inlineStr">
        <is>
          <t>MR24</t>
        </is>
      </c>
      <c r="B1791" t="inlineStr">
        <is>
          <t>Merged_Table_Assay_lito</t>
        </is>
      </c>
      <c r="C1791" t="inlineStr">
        <is>
          <t>metros de sondaje; pct sobre metros</t>
        </is>
      </c>
      <c r="D1791" t="inlineStr">
        <is>
          <t>periodo_GM_LE2WASTE_Output</t>
        </is>
      </c>
      <c r="E1791" t="inlineStr">
        <is>
          <t>2030</t>
        </is>
      </c>
      <c r="F1791" t="inlineStr">
        <is>
          <t>litologia_tentativa</t>
        </is>
      </c>
      <c r="G1791" t="inlineStr">
        <is>
          <t>Hornfels (hipótesis: siglas H*)</t>
        </is>
      </c>
      <c r="H1791" t="inlineStr"/>
      <c r="I1791" t="inlineStr"/>
      <c r="J1791" t="inlineStr">
        <is>
          <t>suma de filas por código</t>
        </is>
      </c>
      <c r="K1791" t="inlineStr">
        <is>
          <t>Hornfels (hipótesis: siglas H*)</t>
        </is>
      </c>
      <c r="L1791" t="inlineStr"/>
      <c r="M1791" t="n">
        <v>15653</v>
      </c>
      <c r="N1791" t="inlineStr"/>
      <c r="O1791" t="inlineStr"/>
      <c r="P1791" t="n">
        <v>12846.5</v>
      </c>
      <c r="Q1791" t="n">
        <v>41.729</v>
      </c>
    </row>
    <row r="1792">
      <c r="A1792" t="inlineStr">
        <is>
          <t>MR24</t>
        </is>
      </c>
      <c r="B1792" t="inlineStr">
        <is>
          <t>Merged_Table_Assay_lito</t>
        </is>
      </c>
      <c r="C1792" t="inlineStr">
        <is>
          <t>metros de sondaje; pct sobre metros</t>
        </is>
      </c>
      <c r="D1792" t="inlineStr">
        <is>
          <t>periodo_GM_LE2WASTE_Output</t>
        </is>
      </c>
      <c r="E1792" t="inlineStr">
        <is>
          <t>2030</t>
        </is>
      </c>
      <c r="F1792" t="inlineStr">
        <is>
          <t>litologia_tentativa</t>
        </is>
      </c>
      <c r="G1792" t="inlineStr">
        <is>
          <t>Intrusivo</t>
        </is>
      </c>
      <c r="H1792" t="inlineStr"/>
      <c r="I1792" t="inlineStr"/>
      <c r="J1792" t="inlineStr">
        <is>
          <t>suma de filas por código</t>
        </is>
      </c>
      <c r="K1792" t="inlineStr">
        <is>
          <t>Intrusivo</t>
        </is>
      </c>
      <c r="L1792" t="inlineStr"/>
      <c r="M1792" t="n">
        <v>4439</v>
      </c>
      <c r="N1792" t="inlineStr"/>
      <c r="O1792" t="inlineStr"/>
      <c r="P1792" t="n">
        <v>6205.79</v>
      </c>
      <c r="Q1792" t="n">
        <v>20.158</v>
      </c>
    </row>
    <row r="1793">
      <c r="A1793" t="inlineStr">
        <is>
          <t>MR24</t>
        </is>
      </c>
      <c r="B1793" t="inlineStr">
        <is>
          <t>Merged_Table_Assay_lito</t>
        </is>
      </c>
      <c r="C1793" t="inlineStr">
        <is>
          <t>metros de sondaje; pct sobre metros</t>
        </is>
      </c>
      <c r="D1793" t="inlineStr">
        <is>
          <t>periodo_GM_LE2WASTE_Output</t>
        </is>
      </c>
      <c r="E1793" t="inlineStr">
        <is>
          <t>2030</t>
        </is>
      </c>
      <c r="F1793" t="inlineStr">
        <is>
          <t>litologia_tentativa</t>
        </is>
      </c>
      <c r="G1793" t="inlineStr">
        <is>
          <t>Mármol (hipótesis: sigla MDP)</t>
        </is>
      </c>
      <c r="H1793" t="inlineStr"/>
      <c r="I1793" t="inlineStr"/>
      <c r="J1793" t="inlineStr">
        <is>
          <t>suma de filas por código</t>
        </is>
      </c>
      <c r="K1793" t="inlineStr">
        <is>
          <t>Mármol (hipótesis: sigla MDP)</t>
        </is>
      </c>
      <c r="L1793" t="inlineStr"/>
      <c r="M1793" t="n">
        <v>2655</v>
      </c>
      <c r="N1793" t="inlineStr"/>
      <c r="O1793" t="inlineStr"/>
      <c r="P1793" t="n">
        <v>2404.25</v>
      </c>
      <c r="Q1793" t="n">
        <v>7.81</v>
      </c>
    </row>
    <row r="1794">
      <c r="A1794" t="inlineStr">
        <is>
          <t>MR24</t>
        </is>
      </c>
      <c r="B1794" t="inlineStr">
        <is>
          <t>Merged_Table_Assay_lito</t>
        </is>
      </c>
      <c r="C1794" t="inlineStr">
        <is>
          <t>metros de sondaje; pct sobre metros</t>
        </is>
      </c>
      <c r="D1794" t="inlineStr">
        <is>
          <t>periodo_GM_LE2WASTE_Output</t>
        </is>
      </c>
      <c r="E1794" t="inlineStr">
        <is>
          <t>2030</t>
        </is>
      </c>
      <c r="F1794" t="inlineStr">
        <is>
          <t>litologia_tentativa</t>
        </is>
      </c>
      <c r="G1794" t="inlineStr">
        <is>
          <t>Mármol (hipótesis: siglas M*)</t>
        </is>
      </c>
      <c r="H1794" t="inlineStr"/>
      <c r="I1794" t="inlineStr"/>
      <c r="J1794" t="inlineStr">
        <is>
          <t>suma de filas por código</t>
        </is>
      </c>
      <c r="K1794" t="inlineStr">
        <is>
          <t>Mármol (hipótesis: siglas M*)</t>
        </is>
      </c>
      <c r="L1794" t="inlineStr"/>
      <c r="M1794" t="n">
        <v>6845</v>
      </c>
      <c r="N1794" t="inlineStr"/>
      <c r="O1794" t="inlineStr"/>
      <c r="P1794" t="n">
        <v>6848.55</v>
      </c>
      <c r="Q1794" t="n">
        <v>22.246</v>
      </c>
    </row>
    <row r="1795">
      <c r="A1795" t="inlineStr">
        <is>
          <t>MR24</t>
        </is>
      </c>
      <c r="B1795" t="inlineStr">
        <is>
          <t>Merged_Table_Assay_lito</t>
        </is>
      </c>
      <c r="C1795" t="inlineStr">
        <is>
          <t>metros de sondaje; pct sobre metros</t>
        </is>
      </c>
      <c r="D1795" t="inlineStr">
        <is>
          <t>periodo_GM_LE2WASTE_Output</t>
        </is>
      </c>
      <c r="E1795" t="inlineStr">
        <is>
          <t>2031</t>
        </is>
      </c>
      <c r="F1795" t="inlineStr">
        <is>
          <t>litologia_tentativa</t>
        </is>
      </c>
      <c r="G1795" t="inlineStr">
        <is>
          <t>Caliza (hipótesis: siglas C*)</t>
        </is>
      </c>
      <c r="H1795" t="inlineStr"/>
      <c r="I1795" t="inlineStr"/>
      <c r="J1795" t="inlineStr">
        <is>
          <t>suma de filas por código</t>
        </is>
      </c>
      <c r="K1795" t="inlineStr">
        <is>
          <t>Caliza (hipótesis: siglas C*)</t>
        </is>
      </c>
      <c r="L1795" t="inlineStr"/>
      <c r="M1795" t="n">
        <v>605</v>
      </c>
      <c r="N1795" t="inlineStr"/>
      <c r="O1795" t="inlineStr"/>
      <c r="P1795" t="n">
        <v>562.85</v>
      </c>
      <c r="Q1795" t="n">
        <v>2.525</v>
      </c>
    </row>
    <row r="1796">
      <c r="A1796" t="inlineStr">
        <is>
          <t>MR24</t>
        </is>
      </c>
      <c r="B1796" t="inlineStr">
        <is>
          <t>Merged_Table_Assay_lito</t>
        </is>
      </c>
      <c r="C1796" t="inlineStr">
        <is>
          <t>metros de sondaje; pct sobre metros</t>
        </is>
      </c>
      <c r="D1796" t="inlineStr">
        <is>
          <t>periodo_GM_LE2WASTE_Output</t>
        </is>
      </c>
      <c r="E1796" t="inlineStr">
        <is>
          <t>2031</t>
        </is>
      </c>
      <c r="F1796" t="inlineStr">
        <is>
          <t>litologia_tentativa</t>
        </is>
      </c>
      <c r="G1796" t="inlineStr">
        <is>
          <t>Hornfels (hipótesis: siglas H*)</t>
        </is>
      </c>
      <c r="H1796" t="inlineStr"/>
      <c r="I1796" t="inlineStr"/>
      <c r="J1796" t="inlineStr">
        <is>
          <t>suma de filas por código</t>
        </is>
      </c>
      <c r="K1796" t="inlineStr">
        <is>
          <t>Hornfels (hipótesis: siglas H*)</t>
        </is>
      </c>
      <c r="L1796" t="inlineStr"/>
      <c r="M1796" t="n">
        <v>6760</v>
      </c>
      <c r="N1796" t="inlineStr"/>
      <c r="O1796" t="inlineStr"/>
      <c r="P1796" t="n">
        <v>5571.05</v>
      </c>
      <c r="Q1796" t="n">
        <v>24.982</v>
      </c>
    </row>
    <row r="1797">
      <c r="A1797" t="inlineStr">
        <is>
          <t>MR24</t>
        </is>
      </c>
      <c r="B1797" t="inlineStr">
        <is>
          <t>Merged_Table_Assay_lito</t>
        </is>
      </c>
      <c r="C1797" t="inlineStr">
        <is>
          <t>metros de sondaje; pct sobre metros</t>
        </is>
      </c>
      <c r="D1797" t="inlineStr">
        <is>
          <t>periodo_GM_LE2WASTE_Output</t>
        </is>
      </c>
      <c r="E1797" t="inlineStr">
        <is>
          <t>2031</t>
        </is>
      </c>
      <c r="F1797" t="inlineStr">
        <is>
          <t>litologia_tentativa</t>
        </is>
      </c>
      <c r="G1797" t="inlineStr">
        <is>
          <t>Intrusivo</t>
        </is>
      </c>
      <c r="H1797" t="inlineStr"/>
      <c r="I1797" t="inlineStr"/>
      <c r="J1797" t="inlineStr">
        <is>
          <t>suma de filas por código</t>
        </is>
      </c>
      <c r="K1797" t="inlineStr">
        <is>
          <t>Intrusivo</t>
        </is>
      </c>
      <c r="L1797" t="inlineStr"/>
      <c r="M1797" t="n">
        <v>4646</v>
      </c>
      <c r="N1797" t="inlineStr"/>
      <c r="O1797" t="inlineStr"/>
      <c r="P1797" t="n">
        <v>5526.81</v>
      </c>
      <c r="Q1797" t="n">
        <v>24.786</v>
      </c>
    </row>
    <row r="1798">
      <c r="A1798" t="inlineStr">
        <is>
          <t>MR24</t>
        </is>
      </c>
      <c r="B1798" t="inlineStr">
        <is>
          <t>Merged_Table_Assay_lito</t>
        </is>
      </c>
      <c r="C1798" t="inlineStr">
        <is>
          <t>metros de sondaje; pct sobre metros</t>
        </is>
      </c>
      <c r="D1798" t="inlineStr">
        <is>
          <t>periodo_GM_LE2WASTE_Output</t>
        </is>
      </c>
      <c r="E1798" t="inlineStr">
        <is>
          <t>2031</t>
        </is>
      </c>
      <c r="F1798" t="inlineStr">
        <is>
          <t>litologia_tentativa</t>
        </is>
      </c>
      <c r="G1798" t="inlineStr">
        <is>
          <t>Mármol (hipótesis: sigla MDP)</t>
        </is>
      </c>
      <c r="H1798" t="inlineStr"/>
      <c r="I1798" t="inlineStr"/>
      <c r="J1798" t="inlineStr">
        <is>
          <t>suma de filas por código</t>
        </is>
      </c>
      <c r="K1798" t="inlineStr">
        <is>
          <t>Mármol (hipótesis: sigla MDP)</t>
        </is>
      </c>
      <c r="L1798" t="inlineStr"/>
      <c r="M1798" t="n">
        <v>3008</v>
      </c>
      <c r="N1798" t="inlineStr"/>
      <c r="O1798" t="inlineStr"/>
      <c r="P1798" t="n">
        <v>2533.35</v>
      </c>
      <c r="Q1798" t="n">
        <v>11.36</v>
      </c>
    </row>
    <row r="1799">
      <c r="A1799" t="inlineStr">
        <is>
          <t>MR24</t>
        </is>
      </c>
      <c r="B1799" t="inlineStr">
        <is>
          <t>Merged_Table_Assay_lito</t>
        </is>
      </c>
      <c r="C1799" t="inlineStr">
        <is>
          <t>metros de sondaje; pct sobre metros</t>
        </is>
      </c>
      <c r="D1799" t="inlineStr">
        <is>
          <t>periodo_GM_LE2WASTE_Output</t>
        </is>
      </c>
      <c r="E1799" t="inlineStr">
        <is>
          <t>2031</t>
        </is>
      </c>
      <c r="F1799" t="inlineStr">
        <is>
          <t>litologia_tentativa</t>
        </is>
      </c>
      <c r="G1799" t="inlineStr">
        <is>
          <t>Mármol (hipótesis: siglas M*)</t>
        </is>
      </c>
      <c r="H1799" t="inlineStr"/>
      <c r="I1799" t="inlineStr"/>
      <c r="J1799" t="inlineStr">
        <is>
          <t>suma de filas por código</t>
        </is>
      </c>
      <c r="K1799" t="inlineStr">
        <is>
          <t>Mármol (hipótesis: siglas M*)</t>
        </is>
      </c>
      <c r="L1799" t="inlineStr"/>
      <c r="M1799" t="n">
        <v>9217</v>
      </c>
      <c r="N1799" t="inlineStr"/>
      <c r="O1799" t="inlineStr"/>
      <c r="P1799" t="n">
        <v>8105.6</v>
      </c>
      <c r="Q1799" t="n">
        <v>36.349</v>
      </c>
    </row>
    <row r="1800">
      <c r="A1800" t="inlineStr">
        <is>
          <t>MR24</t>
        </is>
      </c>
      <c r="B1800" t="inlineStr">
        <is>
          <t>Merged_Table_Assay_lito</t>
        </is>
      </c>
      <c r="C1800" t="inlineStr">
        <is>
          <t>metros de sondaje; pct sobre metros</t>
        </is>
      </c>
      <c r="D1800" t="inlineStr">
        <is>
          <t>periodo_GM_LE2WASTE_Output</t>
        </is>
      </c>
      <c r="E1800" t="inlineStr">
        <is>
          <t>2032</t>
        </is>
      </c>
      <c r="F1800" t="inlineStr">
        <is>
          <t>litologia_tentativa</t>
        </is>
      </c>
      <c r="G1800" t="inlineStr">
        <is>
          <t>Caliza (hipótesis: siglas C*)</t>
        </is>
      </c>
      <c r="H1800" t="inlineStr"/>
      <c r="I1800" t="inlineStr"/>
      <c r="J1800" t="inlineStr">
        <is>
          <t>suma de filas por código</t>
        </is>
      </c>
      <c r="K1800" t="inlineStr">
        <is>
          <t>Caliza (hipótesis: siglas C*)</t>
        </is>
      </c>
      <c r="L1800" t="inlineStr"/>
      <c r="M1800" t="n">
        <v>463</v>
      </c>
      <c r="N1800" t="inlineStr"/>
      <c r="O1800" t="inlineStr"/>
      <c r="P1800" t="n">
        <v>485.65</v>
      </c>
      <c r="Q1800" t="n">
        <v>2.541</v>
      </c>
    </row>
    <row r="1801">
      <c r="A1801" t="inlineStr">
        <is>
          <t>MR24</t>
        </is>
      </c>
      <c r="B1801" t="inlineStr">
        <is>
          <t>Merged_Table_Assay_lito</t>
        </is>
      </c>
      <c r="C1801" t="inlineStr">
        <is>
          <t>metros de sondaje; pct sobre metros</t>
        </is>
      </c>
      <c r="D1801" t="inlineStr">
        <is>
          <t>periodo_GM_LE2WASTE_Output</t>
        </is>
      </c>
      <c r="E1801" t="inlineStr">
        <is>
          <t>2032</t>
        </is>
      </c>
      <c r="F1801" t="inlineStr">
        <is>
          <t>litologia_tentativa</t>
        </is>
      </c>
      <c r="G1801" t="inlineStr">
        <is>
          <t>Hornfels (hipótesis: siglas H*)</t>
        </is>
      </c>
      <c r="H1801" t="inlineStr"/>
      <c r="I1801" t="inlineStr"/>
      <c r="J1801" t="inlineStr">
        <is>
          <t>suma de filas por código</t>
        </is>
      </c>
      <c r="K1801" t="inlineStr">
        <is>
          <t>Hornfels (hipótesis: siglas H*)</t>
        </is>
      </c>
      <c r="L1801" t="inlineStr"/>
      <c r="M1801" t="n">
        <v>744</v>
      </c>
      <c r="N1801" t="inlineStr"/>
      <c r="O1801" t="inlineStr"/>
      <c r="P1801" t="n">
        <v>632.5999999999999</v>
      </c>
      <c r="Q1801" t="n">
        <v>3.311</v>
      </c>
    </row>
    <row r="1802">
      <c r="A1802" t="inlineStr">
        <is>
          <t>MR24</t>
        </is>
      </c>
      <c r="B1802" t="inlineStr">
        <is>
          <t>Merged_Table_Assay_lito</t>
        </is>
      </c>
      <c r="C1802" t="inlineStr">
        <is>
          <t>metros de sondaje; pct sobre metros</t>
        </is>
      </c>
      <c r="D1802" t="inlineStr">
        <is>
          <t>periodo_GM_LE2WASTE_Output</t>
        </is>
      </c>
      <c r="E1802" t="inlineStr">
        <is>
          <t>2032</t>
        </is>
      </c>
      <c r="F1802" t="inlineStr">
        <is>
          <t>litologia_tentativa</t>
        </is>
      </c>
      <c r="G1802" t="inlineStr">
        <is>
          <t>Intrusivo</t>
        </is>
      </c>
      <c r="H1802" t="inlineStr"/>
      <c r="I1802" t="inlineStr"/>
      <c r="J1802" t="inlineStr">
        <is>
          <t>suma de filas por código</t>
        </is>
      </c>
      <c r="K1802" t="inlineStr">
        <is>
          <t>Intrusivo</t>
        </is>
      </c>
      <c r="L1802" t="inlineStr"/>
      <c r="M1802" t="n">
        <v>7914</v>
      </c>
      <c r="N1802" t="inlineStr"/>
      <c r="O1802" t="inlineStr"/>
      <c r="P1802" t="n">
        <v>8511.93</v>
      </c>
      <c r="Q1802" t="n">
        <v>44.547</v>
      </c>
    </row>
    <row r="1803">
      <c r="A1803" t="inlineStr">
        <is>
          <t>MR24</t>
        </is>
      </c>
      <c r="B1803" t="inlineStr">
        <is>
          <t>Merged_Table_Assay_lito</t>
        </is>
      </c>
      <c r="C1803" t="inlineStr">
        <is>
          <t>metros de sondaje; pct sobre metros</t>
        </is>
      </c>
      <c r="D1803" t="inlineStr">
        <is>
          <t>periodo_GM_LE2WASTE_Output</t>
        </is>
      </c>
      <c r="E1803" t="inlineStr">
        <is>
          <t>2032</t>
        </is>
      </c>
      <c r="F1803" t="inlineStr">
        <is>
          <t>litologia_tentativa</t>
        </is>
      </c>
      <c r="G1803" t="inlineStr">
        <is>
          <t>Mármol (hipótesis: sigla MDP)</t>
        </is>
      </c>
      <c r="H1803" t="inlineStr"/>
      <c r="I1803" t="inlineStr"/>
      <c r="J1803" t="inlineStr">
        <is>
          <t>suma de filas por código</t>
        </is>
      </c>
      <c r="K1803" t="inlineStr">
        <is>
          <t>Mármol (hipótesis: sigla MDP)</t>
        </is>
      </c>
      <c r="L1803" t="inlineStr"/>
      <c r="M1803" t="n">
        <v>2490</v>
      </c>
      <c r="N1803" t="inlineStr"/>
      <c r="O1803" t="inlineStr"/>
      <c r="P1803" t="n">
        <v>2309.7</v>
      </c>
      <c r="Q1803" t="n">
        <v>12.088</v>
      </c>
    </row>
    <row r="1804">
      <c r="A1804" t="inlineStr">
        <is>
          <t>MR24</t>
        </is>
      </c>
      <c r="B1804" t="inlineStr">
        <is>
          <t>Merged_Table_Assay_lito</t>
        </is>
      </c>
      <c r="C1804" t="inlineStr">
        <is>
          <t>metros de sondaje; pct sobre metros</t>
        </is>
      </c>
      <c r="D1804" t="inlineStr">
        <is>
          <t>periodo_GM_LE2WASTE_Output</t>
        </is>
      </c>
      <c r="E1804" t="inlineStr">
        <is>
          <t>2032</t>
        </is>
      </c>
      <c r="F1804" t="inlineStr">
        <is>
          <t>litologia_tentativa</t>
        </is>
      </c>
      <c r="G1804" t="inlineStr">
        <is>
          <t>Mármol (hipótesis: siglas M*)</t>
        </is>
      </c>
      <c r="H1804" t="inlineStr"/>
      <c r="I1804" t="inlineStr"/>
      <c r="J1804" t="inlineStr">
        <is>
          <t>suma de filas por código</t>
        </is>
      </c>
      <c r="K1804" t="inlineStr">
        <is>
          <t>Mármol (hipótesis: siglas M*)</t>
        </is>
      </c>
      <c r="L1804" t="inlineStr"/>
      <c r="M1804" t="n">
        <v>8265</v>
      </c>
      <c r="N1804" t="inlineStr"/>
      <c r="O1804" t="inlineStr"/>
      <c r="P1804" t="n">
        <v>7167.88</v>
      </c>
      <c r="Q1804" t="n">
        <v>37.514</v>
      </c>
    </row>
    <row r="1805">
      <c r="A1805" t="inlineStr">
        <is>
          <t>MR24</t>
        </is>
      </c>
      <c r="B1805" t="inlineStr">
        <is>
          <t>Merged_Table_Assay_lito</t>
        </is>
      </c>
      <c r="C1805" t="inlineStr">
        <is>
          <t>metros de sondaje; pct sobre metros</t>
        </is>
      </c>
      <c r="D1805" t="inlineStr">
        <is>
          <t>periodo_GM_LE2WASTE_Output</t>
        </is>
      </c>
      <c r="E1805" t="inlineStr">
        <is>
          <t>2033</t>
        </is>
      </c>
      <c r="F1805" t="inlineStr">
        <is>
          <t>litologia_tentativa</t>
        </is>
      </c>
      <c r="G1805" t="inlineStr">
        <is>
          <t>Caliza (hipótesis: siglas C*)</t>
        </is>
      </c>
      <c r="H1805" t="inlineStr"/>
      <c r="I1805" t="inlineStr"/>
      <c r="J1805" t="inlineStr">
        <is>
          <t>suma de filas por código</t>
        </is>
      </c>
      <c r="K1805" t="inlineStr">
        <is>
          <t>Caliza (hipótesis: siglas C*)</t>
        </is>
      </c>
      <c r="L1805" t="inlineStr"/>
      <c r="M1805" t="n">
        <v>616</v>
      </c>
      <c r="N1805" t="inlineStr"/>
      <c r="O1805" t="inlineStr"/>
      <c r="P1805" t="n">
        <v>611.4</v>
      </c>
      <c r="Q1805" t="n">
        <v>5.103</v>
      </c>
    </row>
    <row r="1806">
      <c r="A1806" t="inlineStr">
        <is>
          <t>MR24</t>
        </is>
      </c>
      <c r="B1806" t="inlineStr">
        <is>
          <t>Merged_Table_Assay_lito</t>
        </is>
      </c>
      <c r="C1806" t="inlineStr">
        <is>
          <t>metros de sondaje; pct sobre metros</t>
        </is>
      </c>
      <c r="D1806" t="inlineStr">
        <is>
          <t>periodo_GM_LE2WASTE_Output</t>
        </is>
      </c>
      <c r="E1806" t="inlineStr">
        <is>
          <t>2033</t>
        </is>
      </c>
      <c r="F1806" t="inlineStr">
        <is>
          <t>litologia_tentativa</t>
        </is>
      </c>
      <c r="G1806" t="inlineStr">
        <is>
          <t>Hornfels (hipótesis: siglas H*)</t>
        </is>
      </c>
      <c r="H1806" t="inlineStr"/>
      <c r="I1806" t="inlineStr"/>
      <c r="J1806" t="inlineStr">
        <is>
          <t>suma de filas por código</t>
        </is>
      </c>
      <c r="K1806" t="inlineStr">
        <is>
          <t>Hornfels (hipótesis: siglas H*)</t>
        </is>
      </c>
      <c r="L1806" t="inlineStr"/>
      <c r="M1806" t="n">
        <v>241</v>
      </c>
      <c r="N1806" t="inlineStr"/>
      <c r="O1806" t="inlineStr"/>
      <c r="P1806" t="n">
        <v>226.5</v>
      </c>
      <c r="Q1806" t="n">
        <v>1.889</v>
      </c>
    </row>
    <row r="1807">
      <c r="A1807" t="inlineStr">
        <is>
          <t>MR24</t>
        </is>
      </c>
      <c r="B1807" t="inlineStr">
        <is>
          <t>Merged_Table_Assay_lito</t>
        </is>
      </c>
      <c r="C1807" t="inlineStr">
        <is>
          <t>metros de sondaje; pct sobre metros</t>
        </is>
      </c>
      <c r="D1807" t="inlineStr">
        <is>
          <t>periodo_GM_LE2WASTE_Output</t>
        </is>
      </c>
      <c r="E1807" t="inlineStr">
        <is>
          <t>2033</t>
        </is>
      </c>
      <c r="F1807" t="inlineStr">
        <is>
          <t>litologia_tentativa</t>
        </is>
      </c>
      <c r="G1807" t="inlineStr">
        <is>
          <t>Intrusivo</t>
        </is>
      </c>
      <c r="H1807" t="inlineStr"/>
      <c r="I1807" t="inlineStr"/>
      <c r="J1807" t="inlineStr">
        <is>
          <t>suma de filas por código</t>
        </is>
      </c>
      <c r="K1807" t="inlineStr">
        <is>
          <t>Intrusivo</t>
        </is>
      </c>
      <c r="L1807" t="inlineStr"/>
      <c r="M1807" t="n">
        <v>2785</v>
      </c>
      <c r="N1807" t="inlineStr"/>
      <c r="O1807" t="inlineStr"/>
      <c r="P1807" t="n">
        <v>3408.5</v>
      </c>
      <c r="Q1807" t="n">
        <v>28.443</v>
      </c>
    </row>
    <row r="1808">
      <c r="A1808" t="inlineStr">
        <is>
          <t>MR24</t>
        </is>
      </c>
      <c r="B1808" t="inlineStr">
        <is>
          <t>Merged_Table_Assay_lito</t>
        </is>
      </c>
      <c r="C1808" t="inlineStr">
        <is>
          <t>metros de sondaje; pct sobre metros</t>
        </is>
      </c>
      <c r="D1808" t="inlineStr">
        <is>
          <t>periodo_GM_LE2WASTE_Output</t>
        </is>
      </c>
      <c r="E1808" t="inlineStr">
        <is>
          <t>2033</t>
        </is>
      </c>
      <c r="F1808" t="inlineStr">
        <is>
          <t>litologia_tentativa</t>
        </is>
      </c>
      <c r="G1808" t="inlineStr">
        <is>
          <t>Mármol (hipótesis: sigla MDP)</t>
        </is>
      </c>
      <c r="H1808" t="inlineStr"/>
      <c r="I1808" t="inlineStr"/>
      <c r="J1808" t="inlineStr">
        <is>
          <t>suma de filas por código</t>
        </is>
      </c>
      <c r="K1808" t="inlineStr">
        <is>
          <t>Mármol (hipótesis: sigla MDP)</t>
        </is>
      </c>
      <c r="L1808" t="inlineStr"/>
      <c r="M1808" t="n">
        <v>2974</v>
      </c>
      <c r="N1808" t="inlineStr"/>
      <c r="O1808" t="inlineStr"/>
      <c r="P1808" t="n">
        <v>3027.27</v>
      </c>
      <c r="Q1808" t="n">
        <v>25.262</v>
      </c>
    </row>
    <row r="1809">
      <c r="A1809" t="inlineStr">
        <is>
          <t>MR24</t>
        </is>
      </c>
      <c r="B1809" t="inlineStr">
        <is>
          <t>Merged_Table_Assay_lito</t>
        </is>
      </c>
      <c r="C1809" t="inlineStr">
        <is>
          <t>metros de sondaje; pct sobre metros</t>
        </is>
      </c>
      <c r="D1809" t="inlineStr">
        <is>
          <t>periodo_GM_LE2WASTE_Output</t>
        </is>
      </c>
      <c r="E1809" t="inlineStr">
        <is>
          <t>2033</t>
        </is>
      </c>
      <c r="F1809" t="inlineStr">
        <is>
          <t>litologia_tentativa</t>
        </is>
      </c>
      <c r="G1809" t="inlineStr">
        <is>
          <t>Mármol (hipótesis: siglas M*)</t>
        </is>
      </c>
      <c r="H1809" t="inlineStr"/>
      <c r="I1809" t="inlineStr"/>
      <c r="J1809" t="inlineStr">
        <is>
          <t>suma de filas por código</t>
        </is>
      </c>
      <c r="K1809" t="inlineStr">
        <is>
          <t>Mármol (hipótesis: siglas M*)</t>
        </is>
      </c>
      <c r="L1809" t="inlineStr"/>
      <c r="M1809" t="n">
        <v>4236</v>
      </c>
      <c r="N1809" t="inlineStr"/>
      <c r="O1809" t="inlineStr"/>
      <c r="P1809" t="n">
        <v>4709.92</v>
      </c>
      <c r="Q1809" t="n">
        <v>39.301</v>
      </c>
    </row>
    <row r="1810">
      <c r="A1810" t="inlineStr">
        <is>
          <t>MR24</t>
        </is>
      </c>
      <c r="B1810" t="inlineStr">
        <is>
          <t>Merged_Table_Assay_lito</t>
        </is>
      </c>
      <c r="C1810" t="inlineStr">
        <is>
          <t>metros de sondaje; pct sobre metros</t>
        </is>
      </c>
      <c r="D1810" t="inlineStr">
        <is>
          <t>periodo_GM_LE2WASTE_Output</t>
        </is>
      </c>
      <c r="E1810" t="inlineStr">
        <is>
          <t>2034</t>
        </is>
      </c>
      <c r="F1810" t="inlineStr">
        <is>
          <t>litologia_tentativa</t>
        </is>
      </c>
      <c r="G1810" t="inlineStr">
        <is>
          <t>Caliza (hipótesis: siglas C*)</t>
        </is>
      </c>
      <c r="H1810" t="inlineStr"/>
      <c r="I1810" t="inlineStr"/>
      <c r="J1810" t="inlineStr">
        <is>
          <t>suma de filas por código</t>
        </is>
      </c>
      <c r="K1810" t="inlineStr">
        <is>
          <t>Caliza (hipótesis: siglas C*)</t>
        </is>
      </c>
      <c r="L1810" t="inlineStr"/>
      <c r="M1810" t="n">
        <v>1943</v>
      </c>
      <c r="N1810" t="inlineStr"/>
      <c r="O1810" t="inlineStr"/>
      <c r="P1810" t="n">
        <v>1627.85</v>
      </c>
      <c r="Q1810" t="n">
        <v>19.892</v>
      </c>
    </row>
    <row r="1811">
      <c r="A1811" t="inlineStr">
        <is>
          <t>MR24</t>
        </is>
      </c>
      <c r="B1811" t="inlineStr">
        <is>
          <t>Merged_Table_Assay_lito</t>
        </is>
      </c>
      <c r="C1811" t="inlineStr">
        <is>
          <t>metros de sondaje; pct sobre metros</t>
        </is>
      </c>
      <c r="D1811" t="inlineStr">
        <is>
          <t>periodo_GM_LE2WASTE_Output</t>
        </is>
      </c>
      <c r="E1811" t="inlineStr">
        <is>
          <t>2034</t>
        </is>
      </c>
      <c r="F1811" t="inlineStr">
        <is>
          <t>litologia_tentativa</t>
        </is>
      </c>
      <c r="G1811" t="inlineStr">
        <is>
          <t>Hornfels (hipótesis: siglas H*)</t>
        </is>
      </c>
      <c r="H1811" t="inlineStr"/>
      <c r="I1811" t="inlineStr"/>
      <c r="J1811" t="inlineStr">
        <is>
          <t>suma de filas por código</t>
        </is>
      </c>
      <c r="K1811" t="inlineStr">
        <is>
          <t>Hornfels (hipótesis: siglas H*)</t>
        </is>
      </c>
      <c r="L1811" t="inlineStr"/>
      <c r="M1811" t="n">
        <v>521</v>
      </c>
      <c r="N1811" t="inlineStr"/>
      <c r="O1811" t="inlineStr"/>
      <c r="P1811" t="n">
        <v>489.25</v>
      </c>
      <c r="Q1811" t="n">
        <v>5.978</v>
      </c>
    </row>
    <row r="1812">
      <c r="A1812" t="inlineStr">
        <is>
          <t>MR24</t>
        </is>
      </c>
      <c r="B1812" t="inlineStr">
        <is>
          <t>Merged_Table_Assay_lito</t>
        </is>
      </c>
      <c r="C1812" t="inlineStr">
        <is>
          <t>metros de sondaje; pct sobre metros</t>
        </is>
      </c>
      <c r="D1812" t="inlineStr">
        <is>
          <t>periodo_GM_LE2WASTE_Output</t>
        </is>
      </c>
      <c r="E1812" t="inlineStr">
        <is>
          <t>2034</t>
        </is>
      </c>
      <c r="F1812" t="inlineStr">
        <is>
          <t>litologia_tentativa</t>
        </is>
      </c>
      <c r="G1812" t="inlineStr">
        <is>
          <t>Intrusivo</t>
        </is>
      </c>
      <c r="H1812" t="inlineStr"/>
      <c r="I1812" t="inlineStr"/>
      <c r="J1812" t="inlineStr">
        <is>
          <t>suma de filas por código</t>
        </is>
      </c>
      <c r="K1812" t="inlineStr">
        <is>
          <t>Intrusivo</t>
        </is>
      </c>
      <c r="L1812" t="inlineStr"/>
      <c r="M1812" t="n">
        <v>1416</v>
      </c>
      <c r="N1812" t="inlineStr"/>
      <c r="O1812" t="inlineStr"/>
      <c r="P1812" t="n">
        <v>1782.2</v>
      </c>
      <c r="Q1812" t="n">
        <v>21.778</v>
      </c>
    </row>
    <row r="1813">
      <c r="A1813" t="inlineStr">
        <is>
          <t>MR24</t>
        </is>
      </c>
      <c r="B1813" t="inlineStr">
        <is>
          <t>Merged_Table_Assay_lito</t>
        </is>
      </c>
      <c r="C1813" t="inlineStr">
        <is>
          <t>metros de sondaje; pct sobre metros</t>
        </is>
      </c>
      <c r="D1813" t="inlineStr">
        <is>
          <t>periodo_GM_LE2WASTE_Output</t>
        </is>
      </c>
      <c r="E1813" t="inlineStr">
        <is>
          <t>2034</t>
        </is>
      </c>
      <c r="F1813" t="inlineStr">
        <is>
          <t>litologia_tentativa</t>
        </is>
      </c>
      <c r="G1813" t="inlineStr">
        <is>
          <t>Mármol (hipótesis: sigla MDP)</t>
        </is>
      </c>
      <c r="H1813" t="inlineStr"/>
      <c r="I1813" t="inlineStr"/>
      <c r="J1813" t="inlineStr">
        <is>
          <t>suma de filas por código</t>
        </is>
      </c>
      <c r="K1813" t="inlineStr">
        <is>
          <t>Mármol (hipótesis: sigla MDP)</t>
        </is>
      </c>
      <c r="L1813" t="inlineStr"/>
      <c r="M1813" t="n">
        <v>2215</v>
      </c>
      <c r="N1813" t="inlineStr"/>
      <c r="O1813" t="inlineStr"/>
      <c r="P1813" t="n">
        <v>2324.7</v>
      </c>
      <c r="Q1813" t="n">
        <v>28.408</v>
      </c>
    </row>
    <row r="1814">
      <c r="A1814" t="inlineStr">
        <is>
          <t>MR24</t>
        </is>
      </c>
      <c r="B1814" t="inlineStr">
        <is>
          <t>Merged_Table_Assay_lito</t>
        </is>
      </c>
      <c r="C1814" t="inlineStr">
        <is>
          <t>metros de sondaje; pct sobre metros</t>
        </is>
      </c>
      <c r="D1814" t="inlineStr">
        <is>
          <t>periodo_GM_LE2WASTE_Output</t>
        </is>
      </c>
      <c r="E1814" t="inlineStr">
        <is>
          <t>2034</t>
        </is>
      </c>
      <c r="F1814" t="inlineStr">
        <is>
          <t>litologia_tentativa</t>
        </is>
      </c>
      <c r="G1814" t="inlineStr">
        <is>
          <t>Mármol (hipótesis: siglas M*)</t>
        </is>
      </c>
      <c r="H1814" t="inlineStr"/>
      <c r="I1814" t="inlineStr"/>
      <c r="J1814" t="inlineStr">
        <is>
          <t>suma de filas por código</t>
        </is>
      </c>
      <c r="K1814" t="inlineStr">
        <is>
          <t>Mármol (hipótesis: siglas M*)</t>
        </is>
      </c>
      <c r="L1814" t="inlineStr"/>
      <c r="M1814" t="n">
        <v>1728</v>
      </c>
      <c r="N1814" t="inlineStr"/>
      <c r="O1814" t="inlineStr"/>
      <c r="P1814" t="n">
        <v>1959.34</v>
      </c>
      <c r="Q1814" t="n">
        <v>23.943</v>
      </c>
    </row>
    <row r="1815">
      <c r="A1815" t="inlineStr">
        <is>
          <t>MR24</t>
        </is>
      </c>
      <c r="B1815" t="inlineStr">
        <is>
          <t>Merged_Table_Assay_lito</t>
        </is>
      </c>
      <c r="C1815" t="inlineStr">
        <is>
          <t>metros de sondaje; pct sobre metros</t>
        </is>
      </c>
      <c r="D1815" t="inlineStr">
        <is>
          <t>periodo_GM_LE2WASTE_Output</t>
        </is>
      </c>
      <c r="E1815" t="inlineStr">
        <is>
          <t>2035</t>
        </is>
      </c>
      <c r="F1815" t="inlineStr">
        <is>
          <t>litologia_tentativa</t>
        </is>
      </c>
      <c r="G1815" t="inlineStr">
        <is>
          <t>Caliza (hipótesis: siglas C*)</t>
        </is>
      </c>
      <c r="H1815" t="inlineStr"/>
      <c r="I1815" t="inlineStr"/>
      <c r="J1815" t="inlineStr">
        <is>
          <t>suma de filas por código</t>
        </is>
      </c>
      <c r="K1815" t="inlineStr">
        <is>
          <t>Caliza (hipótesis: siglas C*)</t>
        </is>
      </c>
      <c r="L1815" t="inlineStr"/>
      <c r="M1815" t="n">
        <v>482</v>
      </c>
      <c r="N1815" t="inlineStr"/>
      <c r="O1815" t="inlineStr"/>
      <c r="P1815" t="n">
        <v>433.85</v>
      </c>
      <c r="Q1815" t="n">
        <v>6.166</v>
      </c>
    </row>
    <row r="1816">
      <c r="A1816" t="inlineStr">
        <is>
          <t>MR24</t>
        </is>
      </c>
      <c r="B1816" t="inlineStr">
        <is>
          <t>Merged_Table_Assay_lito</t>
        </is>
      </c>
      <c r="C1816" t="inlineStr">
        <is>
          <t>metros de sondaje; pct sobre metros</t>
        </is>
      </c>
      <c r="D1816" t="inlineStr">
        <is>
          <t>periodo_GM_LE2WASTE_Output</t>
        </is>
      </c>
      <c r="E1816" t="inlineStr">
        <is>
          <t>2035</t>
        </is>
      </c>
      <c r="F1816" t="inlineStr">
        <is>
          <t>litologia_tentativa</t>
        </is>
      </c>
      <c r="G1816" t="inlineStr">
        <is>
          <t>Hornfels (hipótesis: siglas H*)</t>
        </is>
      </c>
      <c r="H1816" t="inlineStr"/>
      <c r="I1816" t="inlineStr"/>
      <c r="J1816" t="inlineStr">
        <is>
          <t>suma de filas por código</t>
        </is>
      </c>
      <c r="K1816" t="inlineStr">
        <is>
          <t>Hornfels (hipótesis: siglas H*)</t>
        </is>
      </c>
      <c r="L1816" t="inlineStr"/>
      <c r="M1816" t="n">
        <v>20</v>
      </c>
      <c r="N1816" t="inlineStr"/>
      <c r="O1816" t="inlineStr"/>
      <c r="P1816" t="n">
        <v>23.85</v>
      </c>
      <c r="Q1816" t="n">
        <v>0.339</v>
      </c>
    </row>
    <row r="1817">
      <c r="A1817" t="inlineStr">
        <is>
          <t>MR24</t>
        </is>
      </c>
      <c r="B1817" t="inlineStr">
        <is>
          <t>Merged_Table_Assay_lito</t>
        </is>
      </c>
      <c r="C1817" t="inlineStr">
        <is>
          <t>metros de sondaje; pct sobre metros</t>
        </is>
      </c>
      <c r="D1817" t="inlineStr">
        <is>
          <t>periodo_GM_LE2WASTE_Output</t>
        </is>
      </c>
      <c r="E1817" t="inlineStr">
        <is>
          <t>2035</t>
        </is>
      </c>
      <c r="F1817" t="inlineStr">
        <is>
          <t>litologia_tentativa</t>
        </is>
      </c>
      <c r="G1817" t="inlineStr">
        <is>
          <t>Intrusivo</t>
        </is>
      </c>
      <c r="H1817" t="inlineStr"/>
      <c r="I1817" t="inlineStr"/>
      <c r="J1817" t="inlineStr">
        <is>
          <t>suma de filas por código</t>
        </is>
      </c>
      <c r="K1817" t="inlineStr">
        <is>
          <t>Intrusivo</t>
        </is>
      </c>
      <c r="L1817" t="inlineStr"/>
      <c r="M1817" t="n">
        <v>3212</v>
      </c>
      <c r="N1817" t="inlineStr"/>
      <c r="O1817" t="inlineStr"/>
      <c r="P1817" t="n">
        <v>3708.13</v>
      </c>
      <c r="Q1817" t="n">
        <v>52.708</v>
      </c>
    </row>
    <row r="1818">
      <c r="A1818" t="inlineStr">
        <is>
          <t>MR24</t>
        </is>
      </c>
      <c r="B1818" t="inlineStr">
        <is>
          <t>Merged_Table_Assay_lito</t>
        </is>
      </c>
      <c r="C1818" t="inlineStr">
        <is>
          <t>metros de sondaje; pct sobre metros</t>
        </is>
      </c>
      <c r="D1818" t="inlineStr">
        <is>
          <t>periodo_GM_LE2WASTE_Output</t>
        </is>
      </c>
      <c r="E1818" t="inlineStr">
        <is>
          <t>2035</t>
        </is>
      </c>
      <c r="F1818" t="inlineStr">
        <is>
          <t>litologia_tentativa</t>
        </is>
      </c>
      <c r="G1818" t="inlineStr">
        <is>
          <t>Mármol (hipótesis: sigla MDP)</t>
        </is>
      </c>
      <c r="H1818" t="inlineStr"/>
      <c r="I1818" t="inlineStr"/>
      <c r="J1818" t="inlineStr">
        <is>
          <t>suma de filas por código</t>
        </is>
      </c>
      <c r="K1818" t="inlineStr">
        <is>
          <t>Mármol (hipótesis: sigla MDP)</t>
        </is>
      </c>
      <c r="L1818" t="inlineStr"/>
      <c r="M1818" t="n">
        <v>997</v>
      </c>
      <c r="N1818" t="inlineStr"/>
      <c r="O1818" t="inlineStr"/>
      <c r="P1818" t="n">
        <v>878.25</v>
      </c>
      <c r="Q1818" t="n">
        <v>12.484</v>
      </c>
    </row>
    <row r="1819">
      <c r="A1819" t="inlineStr">
        <is>
          <t>MR24</t>
        </is>
      </c>
      <c r="B1819" t="inlineStr">
        <is>
          <t>Merged_Table_Assay_lito</t>
        </is>
      </c>
      <c r="C1819" t="inlineStr">
        <is>
          <t>metros de sondaje; pct sobre metros</t>
        </is>
      </c>
      <c r="D1819" t="inlineStr">
        <is>
          <t>periodo_GM_LE2WASTE_Output</t>
        </is>
      </c>
      <c r="E1819" t="inlineStr">
        <is>
          <t>2035</t>
        </is>
      </c>
      <c r="F1819" t="inlineStr">
        <is>
          <t>litologia_tentativa</t>
        </is>
      </c>
      <c r="G1819" t="inlineStr">
        <is>
          <t>Mármol (hipótesis: siglas M*)</t>
        </is>
      </c>
      <c r="H1819" t="inlineStr"/>
      <c r="I1819" t="inlineStr"/>
      <c r="J1819" t="inlineStr">
        <is>
          <t>suma de filas por código</t>
        </is>
      </c>
      <c r="K1819" t="inlineStr">
        <is>
          <t>Mármol (hipótesis: siglas M*)</t>
        </is>
      </c>
      <c r="L1819" t="inlineStr"/>
      <c r="M1819" t="n">
        <v>1518</v>
      </c>
      <c r="N1819" t="inlineStr"/>
      <c r="O1819" t="inlineStr"/>
      <c r="P1819" t="n">
        <v>1991.2</v>
      </c>
      <c r="Q1819" t="n">
        <v>28.304</v>
      </c>
    </row>
    <row r="1820">
      <c r="A1820" t="inlineStr">
        <is>
          <t>MR24</t>
        </is>
      </c>
      <c r="B1820" t="inlineStr">
        <is>
          <t>Merged_Table_Assay_lito</t>
        </is>
      </c>
      <c r="C1820" t="inlineStr">
        <is>
          <t>metros de sondaje; pct sobre metros</t>
        </is>
      </c>
      <c r="D1820" t="inlineStr">
        <is>
          <t>periodo_GM_LE2WASTE_Output</t>
        </is>
      </c>
      <c r="E1820" t="inlineStr">
        <is>
          <t>203637</t>
        </is>
      </c>
      <c r="F1820" t="inlineStr">
        <is>
          <t>litologia_tentativa</t>
        </is>
      </c>
      <c r="G1820" t="inlineStr">
        <is>
          <t>Caliza (hipótesis: siglas C*)</t>
        </is>
      </c>
      <c r="H1820" t="inlineStr"/>
      <c r="I1820" t="inlineStr"/>
      <c r="J1820" t="inlineStr">
        <is>
          <t>suma de filas por código</t>
        </is>
      </c>
      <c r="K1820" t="inlineStr">
        <is>
          <t>Caliza (hipótesis: siglas C*)</t>
        </is>
      </c>
      <c r="L1820" t="inlineStr"/>
      <c r="M1820" t="n">
        <v>1985</v>
      </c>
      <c r="N1820" t="inlineStr"/>
      <c r="O1820" t="inlineStr"/>
      <c r="P1820" t="n">
        <v>1796.45</v>
      </c>
      <c r="Q1820" t="n">
        <v>10.592</v>
      </c>
    </row>
    <row r="1821">
      <c r="A1821" t="inlineStr">
        <is>
          <t>MR24</t>
        </is>
      </c>
      <c r="B1821" t="inlineStr">
        <is>
          <t>Merged_Table_Assay_lito</t>
        </is>
      </c>
      <c r="C1821" t="inlineStr">
        <is>
          <t>metros de sondaje; pct sobre metros</t>
        </is>
      </c>
      <c r="D1821" t="inlineStr">
        <is>
          <t>periodo_GM_LE2WASTE_Output</t>
        </is>
      </c>
      <c r="E1821" t="inlineStr">
        <is>
          <t>203637</t>
        </is>
      </c>
      <c r="F1821" t="inlineStr">
        <is>
          <t>litologia_tentativa</t>
        </is>
      </c>
      <c r="G1821" t="inlineStr">
        <is>
          <t>Hornfels (hipótesis: siglas H*)</t>
        </is>
      </c>
      <c r="H1821" t="inlineStr"/>
      <c r="I1821" t="inlineStr"/>
      <c r="J1821" t="inlineStr">
        <is>
          <t>suma de filas por código</t>
        </is>
      </c>
      <c r="K1821" t="inlineStr">
        <is>
          <t>Hornfels (hipótesis: siglas H*)</t>
        </is>
      </c>
      <c r="L1821" t="inlineStr"/>
      <c r="M1821" t="n">
        <v>4132</v>
      </c>
      <c r="N1821" t="inlineStr"/>
      <c r="O1821" t="inlineStr"/>
      <c r="P1821" t="n">
        <v>3400.1</v>
      </c>
      <c r="Q1821" t="n">
        <v>20.049</v>
      </c>
    </row>
    <row r="1822">
      <c r="A1822" t="inlineStr">
        <is>
          <t>MR24</t>
        </is>
      </c>
      <c r="B1822" t="inlineStr">
        <is>
          <t>Merged_Table_Assay_lito</t>
        </is>
      </c>
      <c r="C1822" t="inlineStr">
        <is>
          <t>metros de sondaje; pct sobre metros</t>
        </is>
      </c>
      <c r="D1822" t="inlineStr">
        <is>
          <t>periodo_GM_LE2WASTE_Output</t>
        </is>
      </c>
      <c r="E1822" t="inlineStr">
        <is>
          <t>203637</t>
        </is>
      </c>
      <c r="F1822" t="inlineStr">
        <is>
          <t>litologia_tentativa</t>
        </is>
      </c>
      <c r="G1822" t="inlineStr">
        <is>
          <t>Intrusivo</t>
        </is>
      </c>
      <c r="H1822" t="inlineStr"/>
      <c r="I1822" t="inlineStr"/>
      <c r="J1822" t="inlineStr">
        <is>
          <t>suma de filas por código</t>
        </is>
      </c>
      <c r="K1822" t="inlineStr">
        <is>
          <t>Intrusivo</t>
        </is>
      </c>
      <c r="L1822" t="inlineStr"/>
      <c r="M1822" t="n">
        <v>3189</v>
      </c>
      <c r="N1822" t="inlineStr"/>
      <c r="O1822" t="inlineStr"/>
      <c r="P1822" t="n">
        <v>3899.43</v>
      </c>
      <c r="Q1822" t="n">
        <v>22.991</v>
      </c>
    </row>
    <row r="1823">
      <c r="A1823" t="inlineStr">
        <is>
          <t>MR24</t>
        </is>
      </c>
      <c r="B1823" t="inlineStr">
        <is>
          <t>Merged_Table_Assay_lito</t>
        </is>
      </c>
      <c r="C1823" t="inlineStr">
        <is>
          <t>metros de sondaje; pct sobre metros</t>
        </is>
      </c>
      <c r="D1823" t="inlineStr">
        <is>
          <t>periodo_GM_LE2WASTE_Output</t>
        </is>
      </c>
      <c r="E1823" t="inlineStr">
        <is>
          <t>203637</t>
        </is>
      </c>
      <c r="F1823" t="inlineStr">
        <is>
          <t>litologia_tentativa</t>
        </is>
      </c>
      <c r="G1823" t="inlineStr">
        <is>
          <t>Mármol (hipótesis: sigla MDP)</t>
        </is>
      </c>
      <c r="H1823" t="inlineStr"/>
      <c r="I1823" t="inlineStr"/>
      <c r="J1823" t="inlineStr">
        <is>
          <t>suma de filas por código</t>
        </is>
      </c>
      <c r="K1823" t="inlineStr">
        <is>
          <t>Mármol (hipótesis: sigla MDP)</t>
        </is>
      </c>
      <c r="L1823" t="inlineStr"/>
      <c r="M1823" t="n">
        <v>2215</v>
      </c>
      <c r="N1823" t="inlineStr"/>
      <c r="O1823" t="inlineStr"/>
      <c r="P1823" t="n">
        <v>2310.88</v>
      </c>
      <c r="Q1823" t="n">
        <v>13.625</v>
      </c>
    </row>
    <row r="1824">
      <c r="A1824" t="inlineStr">
        <is>
          <t>MR24</t>
        </is>
      </c>
      <c r="B1824" t="inlineStr">
        <is>
          <t>Merged_Table_Assay_lito</t>
        </is>
      </c>
      <c r="C1824" t="inlineStr">
        <is>
          <t>metros de sondaje; pct sobre metros</t>
        </is>
      </c>
      <c r="D1824" t="inlineStr">
        <is>
          <t>periodo_GM_LE2WASTE_Output</t>
        </is>
      </c>
      <c r="E1824" t="inlineStr">
        <is>
          <t>203637</t>
        </is>
      </c>
      <c r="F1824" t="inlineStr">
        <is>
          <t>litologia_tentativa</t>
        </is>
      </c>
      <c r="G1824" t="inlineStr">
        <is>
          <t>Mármol (hipótesis: siglas M*)</t>
        </is>
      </c>
      <c r="H1824" t="inlineStr"/>
      <c r="I1824" t="inlineStr"/>
      <c r="J1824" t="inlineStr">
        <is>
          <t>suma de filas por código</t>
        </is>
      </c>
      <c r="K1824" t="inlineStr">
        <is>
          <t>Mármol (hipótesis: siglas M*)</t>
        </is>
      </c>
      <c r="L1824" t="inlineStr"/>
      <c r="M1824" t="n">
        <v>4548</v>
      </c>
      <c r="N1824" t="inlineStr"/>
      <c r="O1824" t="inlineStr"/>
      <c r="P1824" t="n">
        <v>5553.72</v>
      </c>
      <c r="Q1824" t="n">
        <v>32.745</v>
      </c>
    </row>
    <row r="1825">
      <c r="A1825" t="inlineStr">
        <is>
          <t>MR24</t>
        </is>
      </c>
      <c r="B1825" t="inlineStr">
        <is>
          <t>Merged_Table_Assay_lito</t>
        </is>
      </c>
      <c r="C1825" t="inlineStr">
        <is>
          <t>metros de sondaje; pct sobre metros</t>
        </is>
      </c>
      <c r="D1825" t="inlineStr">
        <is>
          <t>periodo_GM_LE2WASTE_Output</t>
        </is>
      </c>
      <c r="E1825" t="inlineStr">
        <is>
          <t>203839</t>
        </is>
      </c>
      <c r="F1825" t="inlineStr">
        <is>
          <t>litologia_tentativa</t>
        </is>
      </c>
      <c r="G1825" t="inlineStr">
        <is>
          <t>Caliza (hipótesis: siglas C*)</t>
        </is>
      </c>
      <c r="H1825" t="inlineStr"/>
      <c r="I1825" t="inlineStr"/>
      <c r="J1825" t="inlineStr">
        <is>
          <t>suma de filas por código</t>
        </is>
      </c>
      <c r="K1825" t="inlineStr">
        <is>
          <t>Caliza (hipótesis: siglas C*)</t>
        </is>
      </c>
      <c r="L1825" t="inlineStr"/>
      <c r="M1825" t="n">
        <v>4293</v>
      </c>
      <c r="N1825" t="inlineStr"/>
      <c r="O1825" t="inlineStr"/>
      <c r="P1825" t="n">
        <v>3646.1</v>
      </c>
      <c r="Q1825" t="n">
        <v>23.195</v>
      </c>
    </row>
    <row r="1826">
      <c r="A1826" t="inlineStr">
        <is>
          <t>MR24</t>
        </is>
      </c>
      <c r="B1826" t="inlineStr">
        <is>
          <t>Merged_Table_Assay_lito</t>
        </is>
      </c>
      <c r="C1826" t="inlineStr">
        <is>
          <t>metros de sondaje; pct sobre metros</t>
        </is>
      </c>
      <c r="D1826" t="inlineStr">
        <is>
          <t>periodo_GM_LE2WASTE_Output</t>
        </is>
      </c>
      <c r="E1826" t="inlineStr">
        <is>
          <t>203839</t>
        </is>
      </c>
      <c r="F1826" t="inlineStr">
        <is>
          <t>litologia_tentativa</t>
        </is>
      </c>
      <c r="G1826" t="inlineStr">
        <is>
          <t>Hornfels (hipótesis: siglas H*)</t>
        </is>
      </c>
      <c r="H1826" t="inlineStr"/>
      <c r="I1826" t="inlineStr"/>
      <c r="J1826" t="inlineStr">
        <is>
          <t>suma de filas por código</t>
        </is>
      </c>
      <c r="K1826" t="inlineStr">
        <is>
          <t>Hornfels (hipótesis: siglas H*)</t>
        </is>
      </c>
      <c r="L1826" t="inlineStr"/>
      <c r="M1826" t="n">
        <v>898</v>
      </c>
      <c r="N1826" t="inlineStr"/>
      <c r="O1826" t="inlineStr"/>
      <c r="P1826" t="n">
        <v>783.5</v>
      </c>
      <c r="Q1826" t="n">
        <v>4.985</v>
      </c>
    </row>
    <row r="1827">
      <c r="A1827" t="inlineStr">
        <is>
          <t>MR24</t>
        </is>
      </c>
      <c r="B1827" t="inlineStr">
        <is>
          <t>Merged_Table_Assay_lito</t>
        </is>
      </c>
      <c r="C1827" t="inlineStr">
        <is>
          <t>metros de sondaje; pct sobre metros</t>
        </is>
      </c>
      <c r="D1827" t="inlineStr">
        <is>
          <t>periodo_GM_LE2WASTE_Output</t>
        </is>
      </c>
      <c r="E1827" t="inlineStr">
        <is>
          <t>203839</t>
        </is>
      </c>
      <c r="F1827" t="inlineStr">
        <is>
          <t>litologia_tentativa</t>
        </is>
      </c>
      <c r="G1827" t="inlineStr">
        <is>
          <t>Intrusivo</t>
        </is>
      </c>
      <c r="H1827" t="inlineStr"/>
      <c r="I1827" t="inlineStr"/>
      <c r="J1827" t="inlineStr">
        <is>
          <t>suma de filas por código</t>
        </is>
      </c>
      <c r="K1827" t="inlineStr">
        <is>
          <t>Intrusivo</t>
        </is>
      </c>
      <c r="L1827" t="inlineStr"/>
      <c r="M1827" t="n">
        <v>3607</v>
      </c>
      <c r="N1827" t="inlineStr"/>
      <c r="O1827" t="inlineStr"/>
      <c r="P1827" t="n">
        <v>4095.05</v>
      </c>
      <c r="Q1827" t="n">
        <v>26.05</v>
      </c>
    </row>
    <row r="1828">
      <c r="A1828" t="inlineStr">
        <is>
          <t>MR24</t>
        </is>
      </c>
      <c r="B1828" t="inlineStr">
        <is>
          <t>Merged_Table_Assay_lito</t>
        </is>
      </c>
      <c r="C1828" t="inlineStr">
        <is>
          <t>metros de sondaje; pct sobre metros</t>
        </is>
      </c>
      <c r="D1828" t="inlineStr">
        <is>
          <t>periodo_GM_LE2WASTE_Output</t>
        </is>
      </c>
      <c r="E1828" t="inlineStr">
        <is>
          <t>203839</t>
        </is>
      </c>
      <c r="F1828" t="inlineStr">
        <is>
          <t>litologia_tentativa</t>
        </is>
      </c>
      <c r="G1828" t="inlineStr">
        <is>
          <t>Mármol (hipótesis: sigla MDP)</t>
        </is>
      </c>
      <c r="H1828" t="inlineStr"/>
      <c r="I1828" t="inlineStr"/>
      <c r="J1828" t="inlineStr">
        <is>
          <t>suma de filas por código</t>
        </is>
      </c>
      <c r="K1828" t="inlineStr">
        <is>
          <t>Mármol (hipótesis: sigla MDP)</t>
        </is>
      </c>
      <c r="L1828" t="inlineStr"/>
      <c r="M1828" t="n">
        <v>1025</v>
      </c>
      <c r="N1828" t="inlineStr"/>
      <c r="O1828" t="inlineStr"/>
      <c r="P1828" t="n">
        <v>1012.55</v>
      </c>
      <c r="Q1828" t="n">
        <v>6.441</v>
      </c>
    </row>
    <row r="1829">
      <c r="A1829" t="inlineStr">
        <is>
          <t>MR24</t>
        </is>
      </c>
      <c r="B1829" t="inlineStr">
        <is>
          <t>Merged_Table_Assay_lito</t>
        </is>
      </c>
      <c r="C1829" t="inlineStr">
        <is>
          <t>metros de sondaje; pct sobre metros</t>
        </is>
      </c>
      <c r="D1829" t="inlineStr">
        <is>
          <t>periodo_GM_LE2WASTE_Output</t>
        </is>
      </c>
      <c r="E1829" t="inlineStr">
        <is>
          <t>203839</t>
        </is>
      </c>
      <c r="F1829" t="inlineStr">
        <is>
          <t>litologia_tentativa</t>
        </is>
      </c>
      <c r="G1829" t="inlineStr">
        <is>
          <t>Mármol (hipótesis: siglas M*)</t>
        </is>
      </c>
      <c r="H1829" t="inlineStr"/>
      <c r="I1829" t="inlineStr"/>
      <c r="J1829" t="inlineStr">
        <is>
          <t>suma de filas por código</t>
        </is>
      </c>
      <c r="K1829" t="inlineStr">
        <is>
          <t>Mármol (hipótesis: siglas M*)</t>
        </is>
      </c>
      <c r="L1829" t="inlineStr"/>
      <c r="M1829" t="n">
        <v>5502</v>
      </c>
      <c r="N1829" t="inlineStr"/>
      <c r="O1829" t="inlineStr"/>
      <c r="P1829" t="n">
        <v>6182.75</v>
      </c>
      <c r="Q1829" t="n">
        <v>39.332</v>
      </c>
    </row>
    <row r="1830">
      <c r="A1830" t="inlineStr">
        <is>
          <t>MR24</t>
        </is>
      </c>
      <c r="B1830" t="inlineStr">
        <is>
          <t>Merged_Table_Assay_lito</t>
        </is>
      </c>
      <c r="C1830" t="inlineStr">
        <is>
          <t>metros de sondaje; pct sobre metros</t>
        </is>
      </c>
      <c r="D1830" t="inlineStr">
        <is>
          <t>periodo_GM_LE2WASTE_Output</t>
        </is>
      </c>
      <c r="E1830" t="inlineStr">
        <is>
          <t>204041</t>
        </is>
      </c>
      <c r="F1830" t="inlineStr">
        <is>
          <t>litologia_tentativa</t>
        </is>
      </c>
      <c r="G1830" t="inlineStr">
        <is>
          <t>Caliza (hipótesis: siglas C*)</t>
        </is>
      </c>
      <c r="H1830" t="inlineStr"/>
      <c r="I1830" t="inlineStr"/>
      <c r="J1830" t="inlineStr">
        <is>
          <t>suma de filas por código</t>
        </is>
      </c>
      <c r="K1830" t="inlineStr">
        <is>
          <t>Caliza (hipótesis: siglas C*)</t>
        </is>
      </c>
      <c r="L1830" t="inlineStr"/>
      <c r="M1830" t="n">
        <v>4918</v>
      </c>
      <c r="N1830" t="inlineStr"/>
      <c r="O1830" t="inlineStr"/>
      <c r="P1830" t="n">
        <v>4550.15</v>
      </c>
      <c r="Q1830" t="n">
        <v>37.602</v>
      </c>
    </row>
    <row r="1831">
      <c r="A1831" t="inlineStr">
        <is>
          <t>MR24</t>
        </is>
      </c>
      <c r="B1831" t="inlineStr">
        <is>
          <t>Merged_Table_Assay_lito</t>
        </is>
      </c>
      <c r="C1831" t="inlineStr">
        <is>
          <t>metros de sondaje; pct sobre metros</t>
        </is>
      </c>
      <c r="D1831" t="inlineStr">
        <is>
          <t>periodo_GM_LE2WASTE_Output</t>
        </is>
      </c>
      <c r="E1831" t="inlineStr">
        <is>
          <t>204041</t>
        </is>
      </c>
      <c r="F1831" t="inlineStr">
        <is>
          <t>litologia_tentativa</t>
        </is>
      </c>
      <c r="G1831" t="inlineStr">
        <is>
          <t>Hornfels (hipótesis: siglas H*)</t>
        </is>
      </c>
      <c r="H1831" t="inlineStr"/>
      <c r="I1831" t="inlineStr"/>
      <c r="J1831" t="inlineStr">
        <is>
          <t>suma de filas por código</t>
        </is>
      </c>
      <c r="K1831" t="inlineStr">
        <is>
          <t>Hornfels (hipótesis: siglas H*)</t>
        </is>
      </c>
      <c r="L1831" t="inlineStr"/>
      <c r="M1831" t="n">
        <v>1470</v>
      </c>
      <c r="N1831" t="inlineStr"/>
      <c r="O1831" t="inlineStr"/>
      <c r="P1831" t="n">
        <v>1491.95</v>
      </c>
      <c r="Q1831" t="n">
        <v>12.329</v>
      </c>
    </row>
    <row r="1832">
      <c r="A1832" t="inlineStr">
        <is>
          <t>MR24</t>
        </is>
      </c>
      <c r="B1832" t="inlineStr">
        <is>
          <t>Merged_Table_Assay_lito</t>
        </is>
      </c>
      <c r="C1832" t="inlineStr">
        <is>
          <t>metros de sondaje; pct sobre metros</t>
        </is>
      </c>
      <c r="D1832" t="inlineStr">
        <is>
          <t>periodo_GM_LE2WASTE_Output</t>
        </is>
      </c>
      <c r="E1832" t="inlineStr">
        <is>
          <t>204041</t>
        </is>
      </c>
      <c r="F1832" t="inlineStr">
        <is>
          <t>litologia_tentativa</t>
        </is>
      </c>
      <c r="G1832" t="inlineStr">
        <is>
          <t>Intrusivo</t>
        </is>
      </c>
      <c r="H1832" t="inlineStr"/>
      <c r="I1832" t="inlineStr"/>
      <c r="J1832" t="inlineStr">
        <is>
          <t>suma de filas por código</t>
        </is>
      </c>
      <c r="K1832" t="inlineStr">
        <is>
          <t>Intrusivo</t>
        </is>
      </c>
      <c r="L1832" t="inlineStr"/>
      <c r="M1832" t="n">
        <v>3193</v>
      </c>
      <c r="N1832" t="inlineStr"/>
      <c r="O1832" t="inlineStr"/>
      <c r="P1832" t="n">
        <v>3957.6</v>
      </c>
      <c r="Q1832" t="n">
        <v>32.704</v>
      </c>
    </row>
    <row r="1833">
      <c r="A1833" t="inlineStr">
        <is>
          <t>MR24</t>
        </is>
      </c>
      <c r="B1833" t="inlineStr">
        <is>
          <t>Merged_Table_Assay_lito</t>
        </is>
      </c>
      <c r="C1833" t="inlineStr">
        <is>
          <t>metros de sondaje; pct sobre metros</t>
        </is>
      </c>
      <c r="D1833" t="inlineStr">
        <is>
          <t>periodo_GM_LE2WASTE_Output</t>
        </is>
      </c>
      <c r="E1833" t="inlineStr">
        <is>
          <t>204041</t>
        </is>
      </c>
      <c r="F1833" t="inlineStr">
        <is>
          <t>litologia_tentativa</t>
        </is>
      </c>
      <c r="G1833" t="inlineStr">
        <is>
          <t>Mármol (hipótesis: sigla MDP)</t>
        </is>
      </c>
      <c r="H1833" t="inlineStr"/>
      <c r="I1833" t="inlineStr"/>
      <c r="J1833" t="inlineStr">
        <is>
          <t>suma de filas por código</t>
        </is>
      </c>
      <c r="K1833" t="inlineStr">
        <is>
          <t>Mármol (hipótesis: sigla MDP)</t>
        </is>
      </c>
      <c r="L1833" t="inlineStr"/>
      <c r="M1833" t="n">
        <v>107</v>
      </c>
      <c r="N1833" t="inlineStr"/>
      <c r="O1833" t="inlineStr"/>
      <c r="P1833" t="n">
        <v>75.15000000000001</v>
      </c>
      <c r="Q1833" t="n">
        <v>0.621</v>
      </c>
    </row>
    <row r="1834">
      <c r="A1834" t="inlineStr">
        <is>
          <t>MR24</t>
        </is>
      </c>
      <c r="B1834" t="inlineStr">
        <is>
          <t>Merged_Table_Assay_lito</t>
        </is>
      </c>
      <c r="C1834" t="inlineStr">
        <is>
          <t>metros de sondaje; pct sobre metros</t>
        </is>
      </c>
      <c r="D1834" t="inlineStr">
        <is>
          <t>periodo_GM_LE2WASTE_Output</t>
        </is>
      </c>
      <c r="E1834" t="inlineStr">
        <is>
          <t>204041</t>
        </is>
      </c>
      <c r="F1834" t="inlineStr">
        <is>
          <t>litologia_tentativa</t>
        </is>
      </c>
      <c r="G1834" t="inlineStr">
        <is>
          <t>Mármol (hipótesis: siglas M*)</t>
        </is>
      </c>
      <c r="H1834" t="inlineStr"/>
      <c r="I1834" t="inlineStr"/>
      <c r="J1834" t="inlineStr">
        <is>
          <t>suma de filas por código</t>
        </is>
      </c>
      <c r="K1834" t="inlineStr">
        <is>
          <t>Mármol (hipótesis: siglas M*)</t>
        </is>
      </c>
      <c r="L1834" t="inlineStr"/>
      <c r="M1834" t="n">
        <v>1734</v>
      </c>
      <c r="N1834" t="inlineStr"/>
      <c r="O1834" t="inlineStr"/>
      <c r="P1834" t="n">
        <v>2026</v>
      </c>
      <c r="Q1834" t="n">
        <v>16.744</v>
      </c>
    </row>
    <row r="1835">
      <c r="A1835" t="inlineStr">
        <is>
          <t>MR24</t>
        </is>
      </c>
      <c r="B1835" t="inlineStr">
        <is>
          <t>Merged_Table_Assay_lito</t>
        </is>
      </c>
      <c r="C1835" t="inlineStr">
        <is>
          <t>metros de sondaje; pct sobre metros</t>
        </is>
      </c>
      <c r="D1835" t="inlineStr">
        <is>
          <t>periodo_GM_LE2WASTE_Output</t>
        </is>
      </c>
      <c r="E1835" t="inlineStr">
        <is>
          <t>204245</t>
        </is>
      </c>
      <c r="F1835" t="inlineStr">
        <is>
          <t>litologia_tentativa</t>
        </is>
      </c>
      <c r="G1835" t="inlineStr">
        <is>
          <t>Caliza (hipótesis: siglas C*)</t>
        </is>
      </c>
      <c r="H1835" t="inlineStr"/>
      <c r="I1835" t="inlineStr"/>
      <c r="J1835" t="inlineStr">
        <is>
          <t>suma de filas por código</t>
        </is>
      </c>
      <c r="K1835" t="inlineStr">
        <is>
          <t>Caliza (hipótesis: siglas C*)</t>
        </is>
      </c>
      <c r="L1835" t="inlineStr"/>
      <c r="M1835" t="n">
        <v>1041</v>
      </c>
      <c r="N1835" t="inlineStr"/>
      <c r="O1835" t="inlineStr"/>
      <c r="P1835" t="n">
        <v>916.15</v>
      </c>
      <c r="Q1835" t="n">
        <v>6.092</v>
      </c>
    </row>
    <row r="1836">
      <c r="A1836" t="inlineStr">
        <is>
          <t>MR24</t>
        </is>
      </c>
      <c r="B1836" t="inlineStr">
        <is>
          <t>Merged_Table_Assay_lito</t>
        </is>
      </c>
      <c r="C1836" t="inlineStr">
        <is>
          <t>metros de sondaje; pct sobre metros</t>
        </is>
      </c>
      <c r="D1836" t="inlineStr">
        <is>
          <t>periodo_GM_LE2WASTE_Output</t>
        </is>
      </c>
      <c r="E1836" t="inlineStr">
        <is>
          <t>204245</t>
        </is>
      </c>
      <c r="F1836" t="inlineStr">
        <is>
          <t>litologia_tentativa</t>
        </is>
      </c>
      <c r="G1836" t="inlineStr">
        <is>
          <t>Hornfels (hipótesis: siglas H*)</t>
        </is>
      </c>
      <c r="H1836" t="inlineStr"/>
      <c r="I1836" t="inlineStr"/>
      <c r="J1836" t="inlineStr">
        <is>
          <t>suma de filas por código</t>
        </is>
      </c>
      <c r="K1836" t="inlineStr">
        <is>
          <t>Hornfels (hipótesis: siglas H*)</t>
        </is>
      </c>
      <c r="L1836" t="inlineStr"/>
      <c r="M1836" t="n">
        <v>1017</v>
      </c>
      <c r="N1836" t="inlineStr"/>
      <c r="O1836" t="inlineStr"/>
      <c r="P1836" t="n">
        <v>967.35</v>
      </c>
      <c r="Q1836" t="n">
        <v>6.431</v>
      </c>
    </row>
    <row r="1837">
      <c r="A1837" t="inlineStr">
        <is>
          <t>MR24</t>
        </is>
      </c>
      <c r="B1837" t="inlineStr">
        <is>
          <t>Merged_Table_Assay_lito</t>
        </is>
      </c>
      <c r="C1837" t="inlineStr">
        <is>
          <t>metros de sondaje; pct sobre metros</t>
        </is>
      </c>
      <c r="D1837" t="inlineStr">
        <is>
          <t>periodo_GM_LE2WASTE_Output</t>
        </is>
      </c>
      <c r="E1837" t="inlineStr">
        <is>
          <t>204245</t>
        </is>
      </c>
      <c r="F1837" t="inlineStr">
        <is>
          <t>litologia_tentativa</t>
        </is>
      </c>
      <c r="G1837" t="inlineStr">
        <is>
          <t>Intrusivo</t>
        </is>
      </c>
      <c r="H1837" t="inlineStr"/>
      <c r="I1837" t="inlineStr"/>
      <c r="J1837" t="inlineStr">
        <is>
          <t>suma de filas por código</t>
        </is>
      </c>
      <c r="K1837" t="inlineStr">
        <is>
          <t>Intrusivo</t>
        </is>
      </c>
      <c r="L1837" t="inlineStr"/>
      <c r="M1837" t="n">
        <v>3495</v>
      </c>
      <c r="N1837" t="inlineStr"/>
      <c r="O1837" t="inlineStr"/>
      <c r="P1837" t="n">
        <v>3341.3</v>
      </c>
      <c r="Q1837" t="n">
        <v>22.214</v>
      </c>
    </row>
    <row r="1838">
      <c r="A1838" t="inlineStr">
        <is>
          <t>MR24</t>
        </is>
      </c>
      <c r="B1838" t="inlineStr">
        <is>
          <t>Merged_Table_Assay_lito</t>
        </is>
      </c>
      <c r="C1838" t="inlineStr">
        <is>
          <t>metros de sondaje; pct sobre metros</t>
        </is>
      </c>
      <c r="D1838" t="inlineStr">
        <is>
          <t>periodo_GM_LE2WASTE_Output</t>
        </is>
      </c>
      <c r="E1838" t="inlineStr">
        <is>
          <t>204245</t>
        </is>
      </c>
      <c r="F1838" t="inlineStr">
        <is>
          <t>litologia_tentativa</t>
        </is>
      </c>
      <c r="G1838" t="inlineStr">
        <is>
          <t>Mármol (hipótesis: sigla MDP)</t>
        </is>
      </c>
      <c r="H1838" t="inlineStr"/>
      <c r="I1838" t="inlineStr"/>
      <c r="J1838" t="inlineStr">
        <is>
          <t>suma de filas por código</t>
        </is>
      </c>
      <c r="K1838" t="inlineStr">
        <is>
          <t>Mármol (hipótesis: sigla MDP)</t>
        </is>
      </c>
      <c r="L1838" t="inlineStr"/>
      <c r="M1838" t="n">
        <v>909</v>
      </c>
      <c r="N1838" t="inlineStr"/>
      <c r="O1838" t="inlineStr"/>
      <c r="P1838" t="n">
        <v>1016.35</v>
      </c>
      <c r="Q1838" t="n">
        <v>6.757</v>
      </c>
    </row>
    <row r="1839">
      <c r="A1839" t="inlineStr">
        <is>
          <t>MR24</t>
        </is>
      </c>
      <c r="B1839" t="inlineStr">
        <is>
          <t>Merged_Table_Assay_lito</t>
        </is>
      </c>
      <c r="C1839" t="inlineStr">
        <is>
          <t>metros de sondaje; pct sobre metros</t>
        </is>
      </c>
      <c r="D1839" t="inlineStr">
        <is>
          <t>periodo_GM_LE2WASTE_Output</t>
        </is>
      </c>
      <c r="E1839" t="inlineStr">
        <is>
          <t>204245</t>
        </is>
      </c>
      <c r="F1839" t="inlineStr">
        <is>
          <t>litologia_tentativa</t>
        </is>
      </c>
      <c r="G1839" t="inlineStr">
        <is>
          <t>Mármol (hipótesis: siglas M*)</t>
        </is>
      </c>
      <c r="H1839" t="inlineStr"/>
      <c r="I1839" t="inlineStr"/>
      <c r="J1839" t="inlineStr">
        <is>
          <t>suma de filas por código</t>
        </is>
      </c>
      <c r="K1839" t="inlineStr">
        <is>
          <t>Mármol (hipótesis: siglas M*)</t>
        </is>
      </c>
      <c r="L1839" t="inlineStr"/>
      <c r="M1839" t="n">
        <v>8170</v>
      </c>
      <c r="N1839" t="inlineStr"/>
      <c r="O1839" t="inlineStr"/>
      <c r="P1839" t="n">
        <v>8800.200000000001</v>
      </c>
      <c r="Q1839" t="n">
        <v>58.506</v>
      </c>
    </row>
    <row r="1840">
      <c r="A1840" t="inlineStr">
        <is>
          <t>MR24</t>
        </is>
      </c>
      <c r="B1840" t="inlineStr">
        <is>
          <t>Merged_Table_Assay_lito</t>
        </is>
      </c>
      <c r="C1840" t="inlineStr">
        <is>
          <t>metros de sondaje; pct sobre metros</t>
        </is>
      </c>
      <c r="D1840" t="inlineStr">
        <is>
          <t>periodo_GM_LE2WASTE_Output</t>
        </is>
      </c>
      <c r="E1840" t="inlineStr">
        <is>
          <t>204649</t>
        </is>
      </c>
      <c r="F1840" t="inlineStr">
        <is>
          <t>litologia_tentativa</t>
        </is>
      </c>
      <c r="G1840" t="inlineStr">
        <is>
          <t>Intrusivo</t>
        </is>
      </c>
      <c r="H1840" t="inlineStr"/>
      <c r="I1840" t="inlineStr"/>
      <c r="J1840" t="inlineStr">
        <is>
          <t>suma de filas por código</t>
        </is>
      </c>
      <c r="K1840" t="inlineStr">
        <is>
          <t>Intrusivo</t>
        </is>
      </c>
      <c r="L1840" t="inlineStr"/>
      <c r="M1840" t="n">
        <v>3713</v>
      </c>
      <c r="N1840" t="inlineStr"/>
      <c r="O1840" t="inlineStr"/>
      <c r="P1840" t="n">
        <v>3804.25</v>
      </c>
      <c r="Q1840" t="n">
        <v>65.093</v>
      </c>
    </row>
    <row r="1841">
      <c r="A1841" t="inlineStr">
        <is>
          <t>MR24</t>
        </is>
      </c>
      <c r="B1841" t="inlineStr">
        <is>
          <t>Merged_Table_Assay_lito</t>
        </is>
      </c>
      <c r="C1841" t="inlineStr">
        <is>
          <t>metros de sondaje; pct sobre metros</t>
        </is>
      </c>
      <c r="D1841" t="inlineStr">
        <is>
          <t>periodo_GM_LE2WASTE_Output</t>
        </is>
      </c>
      <c r="E1841" t="inlineStr">
        <is>
          <t>204649</t>
        </is>
      </c>
      <c r="F1841" t="inlineStr">
        <is>
          <t>litologia_tentativa</t>
        </is>
      </c>
      <c r="G1841" t="inlineStr">
        <is>
          <t>Mármol (hipótesis: sigla MDP)</t>
        </is>
      </c>
      <c r="H1841" t="inlineStr"/>
      <c r="I1841" t="inlineStr"/>
      <c r="J1841" t="inlineStr">
        <is>
          <t>suma de filas por código</t>
        </is>
      </c>
      <c r="K1841" t="inlineStr">
        <is>
          <t>Mármol (hipótesis: sigla MDP)</t>
        </is>
      </c>
      <c r="L1841" t="inlineStr"/>
      <c r="M1841" t="n">
        <v>136</v>
      </c>
      <c r="N1841" t="inlineStr"/>
      <c r="O1841" t="inlineStr"/>
      <c r="P1841" t="n">
        <v>145.9</v>
      </c>
      <c r="Q1841" t="n">
        <v>2.496</v>
      </c>
    </row>
    <row r="1842">
      <c r="A1842" t="inlineStr">
        <is>
          <t>MR24</t>
        </is>
      </c>
      <c r="B1842" t="inlineStr">
        <is>
          <t>Merged_Table_Assay_lito</t>
        </is>
      </c>
      <c r="C1842" t="inlineStr">
        <is>
          <t>metros de sondaje; pct sobre metros</t>
        </is>
      </c>
      <c r="D1842" t="inlineStr">
        <is>
          <t>periodo_GM_LE2WASTE_Output</t>
        </is>
      </c>
      <c r="E1842" t="inlineStr">
        <is>
          <t>204649</t>
        </is>
      </c>
      <c r="F1842" t="inlineStr">
        <is>
          <t>litologia_tentativa</t>
        </is>
      </c>
      <c r="G1842" t="inlineStr">
        <is>
          <t>Mármol (hipótesis: siglas M*)</t>
        </is>
      </c>
      <c r="H1842" t="inlineStr"/>
      <c r="I1842" t="inlineStr"/>
      <c r="J1842" t="inlineStr">
        <is>
          <t>suma de filas por código</t>
        </is>
      </c>
      <c r="K1842" t="inlineStr">
        <is>
          <t>Mármol (hipótesis: siglas M*)</t>
        </is>
      </c>
      <c r="L1842" t="inlineStr"/>
      <c r="M1842" t="n">
        <v>1648</v>
      </c>
      <c r="N1842" t="inlineStr"/>
      <c r="O1842" t="inlineStr"/>
      <c r="P1842" t="n">
        <v>1894.15</v>
      </c>
      <c r="Q1842" t="n">
        <v>32.41</v>
      </c>
    </row>
    <row r="1843">
      <c r="A1843" t="inlineStr">
        <is>
          <t>MR24</t>
        </is>
      </c>
      <c r="B1843" t="inlineStr">
        <is>
          <t>Merged_Table_Assay_lito</t>
        </is>
      </c>
      <c r="C1843" t="inlineStr">
        <is>
          <t>metros de sondaje; pct sobre metros</t>
        </is>
      </c>
      <c r="D1843" t="inlineStr">
        <is>
          <t>total</t>
        </is>
      </c>
      <c r="E1843" t="inlineStr">
        <is>
          <t>total</t>
        </is>
      </c>
      <c r="F1843" t="inlineStr">
        <is>
          <t>litologia_tentativa</t>
        </is>
      </c>
      <c r="G1843" t="inlineStr">
        <is>
          <t>Caliza (hipótesis: siglas C*)</t>
        </is>
      </c>
      <c r="H1843" t="inlineStr"/>
      <c r="I1843" t="inlineStr"/>
      <c r="J1843" t="inlineStr">
        <is>
          <t>suma de filas por código</t>
        </is>
      </c>
      <c r="K1843" t="inlineStr">
        <is>
          <t>Caliza (hipótesis: siglas C*)</t>
        </is>
      </c>
      <c r="L1843" t="inlineStr"/>
      <c r="M1843" t="n">
        <v>28850</v>
      </c>
      <c r="N1843" t="inlineStr"/>
      <c r="O1843" t="inlineStr"/>
      <c r="P1843" t="n">
        <v>26413.85</v>
      </c>
      <c r="Q1843" t="n">
        <v>10.221</v>
      </c>
    </row>
    <row r="1844">
      <c r="A1844" t="inlineStr">
        <is>
          <t>MR24</t>
        </is>
      </c>
      <c r="B1844" t="inlineStr">
        <is>
          <t>Merged_Table_Assay_lito</t>
        </is>
      </c>
      <c r="C1844" t="inlineStr">
        <is>
          <t>metros de sondaje; pct sobre metros</t>
        </is>
      </c>
      <c r="D1844" t="inlineStr">
        <is>
          <t>total</t>
        </is>
      </c>
      <c r="E1844" t="inlineStr">
        <is>
          <t>total</t>
        </is>
      </c>
      <c r="F1844" t="inlineStr">
        <is>
          <t>litologia_tentativa</t>
        </is>
      </c>
      <c r="G1844" t="inlineStr">
        <is>
          <t>Hornfels (hipótesis: siglas H*)</t>
        </is>
      </c>
      <c r="H1844" t="inlineStr"/>
      <c r="I1844" t="inlineStr"/>
      <c r="J1844" t="inlineStr">
        <is>
          <t>suma de filas por código</t>
        </is>
      </c>
      <c r="K1844" t="inlineStr">
        <is>
          <t>Hornfels (hipótesis: siglas H*)</t>
        </is>
      </c>
      <c r="L1844" t="inlineStr"/>
      <c r="M1844" t="n">
        <v>41493</v>
      </c>
      <c r="N1844" t="inlineStr"/>
      <c r="O1844" t="inlineStr"/>
      <c r="P1844" t="n">
        <v>35412.08</v>
      </c>
      <c r="Q1844" t="n">
        <v>13.703</v>
      </c>
    </row>
    <row r="1845">
      <c r="A1845" t="inlineStr">
        <is>
          <t>MR24</t>
        </is>
      </c>
      <c r="B1845" t="inlineStr">
        <is>
          <t>Merged_Table_Assay_lito</t>
        </is>
      </c>
      <c r="C1845" t="inlineStr">
        <is>
          <t>metros de sondaje; pct sobre metros</t>
        </is>
      </c>
      <c r="D1845" t="inlineStr">
        <is>
          <t>total</t>
        </is>
      </c>
      <c r="E1845" t="inlineStr">
        <is>
          <t>total</t>
        </is>
      </c>
      <c r="F1845" t="inlineStr">
        <is>
          <t>litologia_tentativa</t>
        </is>
      </c>
      <c r="G1845" t="inlineStr">
        <is>
          <t>Intrusivo</t>
        </is>
      </c>
      <c r="H1845" t="inlineStr"/>
      <c r="I1845" t="inlineStr"/>
      <c r="J1845" t="inlineStr">
        <is>
          <t>suma de filas por código</t>
        </is>
      </c>
      <c r="K1845" t="inlineStr">
        <is>
          <t>Intrusivo</t>
        </is>
      </c>
      <c r="L1845" t="inlineStr"/>
      <c r="M1845" t="n">
        <v>60997</v>
      </c>
      <c r="N1845" t="inlineStr"/>
      <c r="O1845" t="inlineStr"/>
      <c r="P1845" t="n">
        <v>75827.73</v>
      </c>
      <c r="Q1845" t="n">
        <v>29.343</v>
      </c>
    </row>
    <row r="1846">
      <c r="A1846" t="inlineStr">
        <is>
          <t>MR24</t>
        </is>
      </c>
      <c r="B1846" t="inlineStr">
        <is>
          <t>Merged_Table_Assay_lito</t>
        </is>
      </c>
      <c r="C1846" t="inlineStr">
        <is>
          <t>metros de sondaje; pct sobre metros</t>
        </is>
      </c>
      <c r="D1846" t="inlineStr">
        <is>
          <t>total</t>
        </is>
      </c>
      <c r="E1846" t="inlineStr">
        <is>
          <t>total</t>
        </is>
      </c>
      <c r="F1846" t="inlineStr">
        <is>
          <t>litologia_tentativa</t>
        </is>
      </c>
      <c r="G1846" t="inlineStr">
        <is>
          <t>Mármol (hipótesis: sigla MDP)</t>
        </is>
      </c>
      <c r="H1846" t="inlineStr"/>
      <c r="I1846" t="inlineStr"/>
      <c r="J1846" t="inlineStr">
        <is>
          <t>suma de filas por código</t>
        </is>
      </c>
      <c r="K1846" t="inlineStr">
        <is>
          <t>Mármol (hipótesis: sigla MDP)</t>
        </is>
      </c>
      <c r="L1846" t="inlineStr"/>
      <c r="M1846" t="n">
        <v>34066</v>
      </c>
      <c r="N1846" t="inlineStr"/>
      <c r="O1846" t="inlineStr"/>
      <c r="P1846" t="n">
        <v>33075.63</v>
      </c>
      <c r="Q1846" t="n">
        <v>12.799</v>
      </c>
    </row>
    <row r="1847">
      <c r="A1847" t="inlineStr">
        <is>
          <t>MR24</t>
        </is>
      </c>
      <c r="B1847" t="inlineStr">
        <is>
          <t>Merged_Table_Assay_lito</t>
        </is>
      </c>
      <c r="C1847" t="inlineStr">
        <is>
          <t>metros de sondaje; pct sobre metros</t>
        </is>
      </c>
      <c r="D1847" t="inlineStr">
        <is>
          <t>total</t>
        </is>
      </c>
      <c r="E1847" t="inlineStr">
        <is>
          <t>total</t>
        </is>
      </c>
      <c r="F1847" t="inlineStr">
        <is>
          <t>litologia_tentativa</t>
        </is>
      </c>
      <c r="G1847" t="inlineStr">
        <is>
          <t>Mármol (hipótesis: siglas M*)</t>
        </is>
      </c>
      <c r="H1847" t="inlineStr"/>
      <c r="I1847" t="inlineStr"/>
      <c r="J1847" t="inlineStr">
        <is>
          <t>suma de filas por código</t>
        </is>
      </c>
      <c r="K1847" t="inlineStr">
        <is>
          <t>Mármol (hipótesis: siglas M*)</t>
        </is>
      </c>
      <c r="L1847" t="inlineStr"/>
      <c r="M1847" t="n">
        <v>83214</v>
      </c>
      <c r="N1847" t="inlineStr"/>
      <c r="O1847" t="inlineStr"/>
      <c r="P1847" t="n">
        <v>87691.55</v>
      </c>
      <c r="Q1847" t="n">
        <v>33.933</v>
      </c>
    </row>
    <row r="1848">
      <c r="A1848" t="inlineStr">
        <is>
          <t>MR24</t>
        </is>
      </c>
      <c r="B1848" t="inlineStr">
        <is>
          <t>SIMULACIONES_MR2024_V3</t>
        </is>
      </c>
      <c r="C1848" t="inlineStr">
        <is>
          <t>toneladas (6000 m3 x MR24_BD); pct sobre toneladas</t>
        </is>
      </c>
      <c r="D1848" t="inlineStr">
        <is>
          <t>anio_LOM25_AMIN_LE2</t>
        </is>
      </c>
      <c r="E1848" t="inlineStr">
        <is>
          <t>2025</t>
        </is>
      </c>
      <c r="F1848" t="inlineStr">
        <is>
          <t>litologia_tentativa</t>
        </is>
      </c>
      <c r="G1848" t="inlineStr">
        <is>
          <t>Caliza (hipótesis: Sedimentario; RT11~NUMEQ10, siglas C*)</t>
        </is>
      </c>
      <c r="H1848" t="inlineStr"/>
      <c r="I1848" t="inlineStr"/>
      <c r="J1848" t="inlineStr">
        <is>
          <t>suma de filas por código</t>
        </is>
      </c>
      <c r="K1848" t="inlineStr">
        <is>
          <t>Caliza (hipótesis: Sedimentario; RT11~NUMEQ10, siglas C*)</t>
        </is>
      </c>
      <c r="L1848" t="inlineStr"/>
      <c r="M1848" t="n">
        <v>1465</v>
      </c>
      <c r="N1848" t="n">
        <v>8790000</v>
      </c>
      <c r="O1848" t="n">
        <v>23770350</v>
      </c>
      <c r="P1848" t="inlineStr"/>
      <c r="Q1848" t="n">
        <v>13.082</v>
      </c>
    </row>
    <row r="1849">
      <c r="A1849" t="inlineStr">
        <is>
          <t>MR24</t>
        </is>
      </c>
      <c r="B1849" t="inlineStr">
        <is>
          <t>SIMULACIONES_MR2024_V3</t>
        </is>
      </c>
      <c r="C1849" t="inlineStr">
        <is>
          <t>toneladas (6000 m3 x MR24_BD); pct sobre toneladas</t>
        </is>
      </c>
      <c r="D1849" t="inlineStr">
        <is>
          <t>anio_LOM25_AMIN_LE2</t>
        </is>
      </c>
      <c r="E1849" t="inlineStr">
        <is>
          <t>2025</t>
        </is>
      </c>
      <c r="F1849" t="inlineStr">
        <is>
          <t>litologia_tentativa</t>
        </is>
      </c>
      <c r="G1849" t="inlineStr">
        <is>
          <t>Caliza (hipótesis: siglas C*)</t>
        </is>
      </c>
      <c r="H1849" t="inlineStr"/>
      <c r="I1849" t="inlineStr"/>
      <c r="J1849" t="inlineStr">
        <is>
          <t>suma de filas por código</t>
        </is>
      </c>
      <c r="K1849" t="inlineStr">
        <is>
          <t>Caliza (hipótesis: siglas C*)</t>
        </is>
      </c>
      <c r="L1849" t="inlineStr"/>
      <c r="M1849" t="n">
        <v>1888</v>
      </c>
      <c r="N1849" t="n">
        <v>11328000</v>
      </c>
      <c r="O1849" t="n">
        <v>30602172</v>
      </c>
      <c r="P1849" t="inlineStr"/>
      <c r="Q1849" t="n">
        <v>16.842</v>
      </c>
    </row>
    <row r="1850">
      <c r="A1850" t="inlineStr">
        <is>
          <t>MR24</t>
        </is>
      </c>
      <c r="B1850" t="inlineStr">
        <is>
          <t>SIMULACIONES_MR2024_V3</t>
        </is>
      </c>
      <c r="C1850" t="inlineStr">
        <is>
          <t>toneladas (6000 m3 x MR24_BD); pct sobre toneladas</t>
        </is>
      </c>
      <c r="D1850" t="inlineStr">
        <is>
          <t>anio_LOM25_AMIN_LE2</t>
        </is>
      </c>
      <c r="E1850" t="inlineStr">
        <is>
          <t>2025</t>
        </is>
      </c>
      <c r="F1850" t="inlineStr">
        <is>
          <t>litologia_tentativa</t>
        </is>
      </c>
      <c r="G1850" t="inlineStr">
        <is>
          <t>Hornfels (hipótesis: siglas HBV, HGV, HCB, HDP; 'Diop. Hornfels'~HGV)</t>
        </is>
      </c>
      <c r="H1850" t="inlineStr"/>
      <c r="I1850" t="inlineStr"/>
      <c r="J1850" t="inlineStr">
        <is>
          <t>suma de filas por código</t>
        </is>
      </c>
      <c r="K1850" t="inlineStr">
        <is>
          <t>Hornfels (hipótesis: siglas HBV, HGV, HCB, HDP; 'Diop. Hornfels'~HGV)</t>
        </is>
      </c>
      <c r="L1850" t="inlineStr"/>
      <c r="M1850" t="n">
        <v>85</v>
      </c>
      <c r="N1850" t="n">
        <v>510000</v>
      </c>
      <c r="O1850" t="n">
        <v>1459470</v>
      </c>
      <c r="P1850" t="inlineStr"/>
      <c r="Q1850" t="n">
        <v>0.803</v>
      </c>
    </row>
    <row r="1851">
      <c r="A1851" t="inlineStr">
        <is>
          <t>MR24</t>
        </is>
      </c>
      <c r="B1851" t="inlineStr">
        <is>
          <t>SIMULACIONES_MR2024_V3</t>
        </is>
      </c>
      <c r="C1851" t="inlineStr">
        <is>
          <t>toneladas (6000 m3 x MR24_BD); pct sobre toneladas</t>
        </is>
      </c>
      <c r="D1851" t="inlineStr">
        <is>
          <t>anio_LOM25_AMIN_LE2</t>
        </is>
      </c>
      <c r="E1851" t="inlineStr">
        <is>
          <t>2025</t>
        </is>
      </c>
      <c r="F1851" t="inlineStr">
        <is>
          <t>litologia_tentativa</t>
        </is>
      </c>
      <c r="G1851" t="inlineStr">
        <is>
          <t>Hornfels (hipótesis: siglas HG, HGS, HC)</t>
        </is>
      </c>
      <c r="H1851" t="inlineStr"/>
      <c r="I1851" t="inlineStr"/>
      <c r="J1851" t="inlineStr">
        <is>
          <t>suma de filas por código</t>
        </is>
      </c>
      <c r="K1851" t="inlineStr">
        <is>
          <t>Hornfels (hipótesis: siglas HG, HGS, HC)</t>
        </is>
      </c>
      <c r="L1851" t="inlineStr"/>
      <c r="M1851" t="n">
        <v>1337</v>
      </c>
      <c r="N1851" t="n">
        <v>8022000</v>
      </c>
      <c r="O1851" t="n">
        <v>21631038</v>
      </c>
      <c r="P1851" t="inlineStr"/>
      <c r="Q1851" t="n">
        <v>11.905</v>
      </c>
    </row>
    <row r="1852">
      <c r="A1852" t="inlineStr">
        <is>
          <t>MR24</t>
        </is>
      </c>
      <c r="B1852" t="inlineStr">
        <is>
          <t>SIMULACIONES_MR2024_V3</t>
        </is>
      </c>
      <c r="C1852" t="inlineStr">
        <is>
          <t>toneladas (6000 m3 x MR24_BD); pct sobre toneladas</t>
        </is>
      </c>
      <c r="D1852" t="inlineStr">
        <is>
          <t>anio_LOM25_AMIN_LE2</t>
        </is>
      </c>
      <c r="E1852" t="inlineStr">
        <is>
          <t>2025</t>
        </is>
      </c>
      <c r="F1852" t="inlineStr">
        <is>
          <t>litologia_tentativa</t>
        </is>
      </c>
      <c r="G1852" t="inlineStr">
        <is>
          <t>Intrusivo</t>
        </is>
      </c>
      <c r="H1852" t="inlineStr"/>
      <c r="I1852" t="inlineStr"/>
      <c r="J1852" t="inlineStr">
        <is>
          <t>suma de filas por código</t>
        </is>
      </c>
      <c r="K1852" t="inlineStr">
        <is>
          <t>Intrusivo</t>
        </is>
      </c>
      <c r="L1852" t="inlineStr"/>
      <c r="M1852" t="n">
        <v>970</v>
      </c>
      <c r="N1852" t="n">
        <v>5820000</v>
      </c>
      <c r="O1852" t="n">
        <v>14276856</v>
      </c>
      <c r="P1852" t="inlineStr"/>
      <c r="Q1852" t="n">
        <v>7.857</v>
      </c>
    </row>
    <row r="1853">
      <c r="A1853" t="inlineStr">
        <is>
          <t>MR24</t>
        </is>
      </c>
      <c r="B1853" t="inlineStr">
        <is>
          <t>SIMULACIONES_MR2024_V3</t>
        </is>
      </c>
      <c r="C1853" t="inlineStr">
        <is>
          <t>toneladas (6000 m3 x MR24_BD); pct sobre toneladas</t>
        </is>
      </c>
      <c r="D1853" t="inlineStr">
        <is>
          <t>anio_LOM25_AMIN_LE2</t>
        </is>
      </c>
      <c r="E1853" t="inlineStr">
        <is>
          <t>2025</t>
        </is>
      </c>
      <c r="F1853" t="inlineStr">
        <is>
          <t>litologia_tentativa</t>
        </is>
      </c>
      <c r="G1853" t="inlineStr">
        <is>
          <t>Mármol (hipótesis: sigla MDP)</t>
        </is>
      </c>
      <c r="H1853" t="inlineStr"/>
      <c r="I1853" t="inlineStr"/>
      <c r="J1853" t="inlineStr">
        <is>
          <t>suma de filas por código</t>
        </is>
      </c>
      <c r="K1853" t="inlineStr">
        <is>
          <t>Mármol (hipótesis: sigla MDP)</t>
        </is>
      </c>
      <c r="L1853" t="inlineStr"/>
      <c r="M1853" t="n">
        <v>276</v>
      </c>
      <c r="N1853" t="n">
        <v>1656000</v>
      </c>
      <c r="O1853" t="n">
        <v>4671666</v>
      </c>
      <c r="P1853" t="inlineStr"/>
      <c r="Q1853" t="n">
        <v>2.571</v>
      </c>
    </row>
    <row r="1854">
      <c r="A1854" t="inlineStr">
        <is>
          <t>MR24</t>
        </is>
      </c>
      <c r="B1854" t="inlineStr">
        <is>
          <t>SIMULACIONES_MR2024_V3</t>
        </is>
      </c>
      <c r="C1854" t="inlineStr">
        <is>
          <t>toneladas (6000 m3 x MR24_BD); pct sobre toneladas</t>
        </is>
      </c>
      <c r="D1854" t="inlineStr">
        <is>
          <t>anio_LOM25_AMIN_LE2</t>
        </is>
      </c>
      <c r="E1854" t="inlineStr">
        <is>
          <t>2025</t>
        </is>
      </c>
      <c r="F1854" t="inlineStr">
        <is>
          <t>litologia_tentativa</t>
        </is>
      </c>
      <c r="G1854" t="inlineStr">
        <is>
          <t>Mármol (hipótesis: siglas MC, MG, MGS, MPA, MCGB; 'Marble'~MCGB)</t>
        </is>
      </c>
      <c r="H1854" t="inlineStr"/>
      <c r="I1854" t="inlineStr"/>
      <c r="J1854" t="inlineStr">
        <is>
          <t>suma de filas por código</t>
        </is>
      </c>
      <c r="K1854" t="inlineStr">
        <is>
          <t>Mármol (hipótesis: siglas MC, MG, MGS, MPA, MCGB; 'Marble'~MCGB)</t>
        </is>
      </c>
      <c r="L1854" t="inlineStr"/>
      <c r="M1854" t="n">
        <v>5223</v>
      </c>
      <c r="N1854" t="n">
        <v>31338000</v>
      </c>
      <c r="O1854" t="n">
        <v>84993498</v>
      </c>
      <c r="P1854" t="inlineStr"/>
      <c r="Q1854" t="n">
        <v>46.777</v>
      </c>
    </row>
    <row r="1855">
      <c r="A1855" t="inlineStr">
        <is>
          <t>MR24</t>
        </is>
      </c>
      <c r="B1855" t="inlineStr">
        <is>
          <t>SIMULACIONES_MR2024_V3</t>
        </is>
      </c>
      <c r="C1855" t="inlineStr">
        <is>
          <t>toneladas (6000 m3 x MR24_BD); pct sobre toneladas</t>
        </is>
      </c>
      <c r="D1855" t="inlineStr">
        <is>
          <t>anio_LOM25_AMIN_LE2</t>
        </is>
      </c>
      <c r="E1855" t="inlineStr">
        <is>
          <t>2025</t>
        </is>
      </c>
      <c r="F1855" t="inlineStr">
        <is>
          <t>litologia_tentativa</t>
        </is>
      </c>
      <c r="G1855" t="inlineStr">
        <is>
          <t>sin hipótesis</t>
        </is>
      </c>
      <c r="H1855" t="inlineStr"/>
      <c r="I1855" t="inlineStr"/>
      <c r="J1855" t="inlineStr">
        <is>
          <t>suma de filas por código</t>
        </is>
      </c>
      <c r="K1855" t="inlineStr">
        <is>
          <t>sin hipótesis</t>
        </is>
      </c>
      <c r="L1855" t="inlineStr"/>
      <c r="M1855" t="n">
        <v>19</v>
      </c>
      <c r="N1855" t="n">
        <v>114000</v>
      </c>
      <c r="O1855" t="n">
        <v>293694</v>
      </c>
      <c r="P1855" t="inlineStr"/>
      <c r="Q1855" t="n">
        <v>0.162</v>
      </c>
    </row>
    <row r="1856">
      <c r="A1856" t="inlineStr">
        <is>
          <t>MR24</t>
        </is>
      </c>
      <c r="B1856" t="inlineStr">
        <is>
          <t>SIMULACIONES_MR2024_V3</t>
        </is>
      </c>
      <c r="C1856" t="inlineStr">
        <is>
          <t>toneladas (6000 m3 x MR24_BD); pct sobre toneladas</t>
        </is>
      </c>
      <c r="D1856" t="inlineStr">
        <is>
          <t>anio_LOM25_AMIN_LE2</t>
        </is>
      </c>
      <c r="E1856" t="inlineStr">
        <is>
          <t>2026</t>
        </is>
      </c>
      <c r="F1856" t="inlineStr">
        <is>
          <t>litologia_tentativa</t>
        </is>
      </c>
      <c r="G1856" t="inlineStr">
        <is>
          <t>Caliza (hipótesis: Sedimentario; RT11~NUMEQ10, siglas C*)</t>
        </is>
      </c>
      <c r="H1856" t="inlineStr"/>
      <c r="I1856" t="inlineStr"/>
      <c r="J1856" t="inlineStr">
        <is>
          <t>suma de filas por código</t>
        </is>
      </c>
      <c r="K1856" t="inlineStr">
        <is>
          <t>Caliza (hipótesis: Sedimentario; RT11~NUMEQ10, siglas C*)</t>
        </is>
      </c>
      <c r="L1856" t="inlineStr"/>
      <c r="M1856" t="n">
        <v>1625</v>
      </c>
      <c r="N1856" t="n">
        <v>9750000</v>
      </c>
      <c r="O1856" t="n">
        <v>26403282</v>
      </c>
      <c r="P1856" t="inlineStr"/>
      <c r="Q1856" t="n">
        <v>13.901</v>
      </c>
    </row>
    <row r="1857">
      <c r="A1857" t="inlineStr">
        <is>
          <t>MR24</t>
        </is>
      </c>
      <c r="B1857" t="inlineStr">
        <is>
          <t>SIMULACIONES_MR2024_V3</t>
        </is>
      </c>
      <c r="C1857" t="inlineStr">
        <is>
          <t>toneladas (6000 m3 x MR24_BD); pct sobre toneladas</t>
        </is>
      </c>
      <c r="D1857" t="inlineStr">
        <is>
          <t>anio_LOM25_AMIN_LE2</t>
        </is>
      </c>
      <c r="E1857" t="inlineStr">
        <is>
          <t>2026</t>
        </is>
      </c>
      <c r="F1857" t="inlineStr">
        <is>
          <t>litologia_tentativa</t>
        </is>
      </c>
      <c r="G1857" t="inlineStr">
        <is>
          <t>Caliza (hipótesis: siglas C*)</t>
        </is>
      </c>
      <c r="H1857" t="inlineStr"/>
      <c r="I1857" t="inlineStr"/>
      <c r="J1857" t="inlineStr">
        <is>
          <t>suma de filas por código</t>
        </is>
      </c>
      <c r="K1857" t="inlineStr">
        <is>
          <t>Caliza (hipótesis: siglas C*)</t>
        </is>
      </c>
      <c r="L1857" t="inlineStr"/>
      <c r="M1857" t="n">
        <v>744</v>
      </c>
      <c r="N1857" t="n">
        <v>4464000</v>
      </c>
      <c r="O1857" t="n">
        <v>12057984</v>
      </c>
      <c r="P1857" t="inlineStr"/>
      <c r="Q1857" t="n">
        <v>6.348</v>
      </c>
    </row>
    <row r="1858">
      <c r="A1858" t="inlineStr">
        <is>
          <t>MR24</t>
        </is>
      </c>
      <c r="B1858" t="inlineStr">
        <is>
          <t>SIMULACIONES_MR2024_V3</t>
        </is>
      </c>
      <c r="C1858" t="inlineStr">
        <is>
          <t>toneladas (6000 m3 x MR24_BD); pct sobre toneladas</t>
        </is>
      </c>
      <c r="D1858" t="inlineStr">
        <is>
          <t>anio_LOM25_AMIN_LE2</t>
        </is>
      </c>
      <c r="E1858" t="inlineStr">
        <is>
          <t>2026</t>
        </is>
      </c>
      <c r="F1858" t="inlineStr">
        <is>
          <t>litologia_tentativa</t>
        </is>
      </c>
      <c r="G1858" t="inlineStr">
        <is>
          <t>Hornfels (hipótesis: siglas HBV, HGV, HCB, HDP; 'Diop. Hornfels'~HGV)</t>
        </is>
      </c>
      <c r="H1858" t="inlineStr"/>
      <c r="I1858" t="inlineStr"/>
      <c r="J1858" t="inlineStr">
        <is>
          <t>suma de filas por código</t>
        </is>
      </c>
      <c r="K1858" t="inlineStr">
        <is>
          <t>Hornfels (hipótesis: siglas HBV, HGV, HCB, HDP; 'Diop. Hornfels'~HGV)</t>
        </is>
      </c>
      <c r="L1858" t="inlineStr"/>
      <c r="M1858" t="n">
        <v>351</v>
      </c>
      <c r="N1858" t="n">
        <v>2106000</v>
      </c>
      <c r="O1858" t="n">
        <v>6020430</v>
      </c>
      <c r="P1858" t="inlineStr"/>
      <c r="Q1858" t="n">
        <v>3.17</v>
      </c>
    </row>
    <row r="1859">
      <c r="A1859" t="inlineStr">
        <is>
          <t>MR24</t>
        </is>
      </c>
      <c r="B1859" t="inlineStr">
        <is>
          <t>SIMULACIONES_MR2024_V3</t>
        </is>
      </c>
      <c r="C1859" t="inlineStr">
        <is>
          <t>toneladas (6000 m3 x MR24_BD); pct sobre toneladas</t>
        </is>
      </c>
      <c r="D1859" t="inlineStr">
        <is>
          <t>anio_LOM25_AMIN_LE2</t>
        </is>
      </c>
      <c r="E1859" t="inlineStr">
        <is>
          <t>2026</t>
        </is>
      </c>
      <c r="F1859" t="inlineStr">
        <is>
          <t>litologia_tentativa</t>
        </is>
      </c>
      <c r="G1859" t="inlineStr">
        <is>
          <t>Hornfels (hipótesis: siglas HG, HGS, HC)</t>
        </is>
      </c>
      <c r="H1859" t="inlineStr"/>
      <c r="I1859" t="inlineStr"/>
      <c r="J1859" t="inlineStr">
        <is>
          <t>suma de filas por código</t>
        </is>
      </c>
      <c r="K1859" t="inlineStr">
        <is>
          <t>Hornfels (hipótesis: siglas HG, HGS, HC)</t>
        </is>
      </c>
      <c r="L1859" t="inlineStr"/>
      <c r="M1859" t="n">
        <v>1018</v>
      </c>
      <c r="N1859" t="n">
        <v>6108000</v>
      </c>
      <c r="O1859" t="n">
        <v>16460256</v>
      </c>
      <c r="P1859" t="inlineStr"/>
      <c r="Q1859" t="n">
        <v>8.666</v>
      </c>
    </row>
    <row r="1860">
      <c r="A1860" t="inlineStr">
        <is>
          <t>MR24</t>
        </is>
      </c>
      <c r="B1860" t="inlineStr">
        <is>
          <t>SIMULACIONES_MR2024_V3</t>
        </is>
      </c>
      <c r="C1860" t="inlineStr">
        <is>
          <t>toneladas (6000 m3 x MR24_BD); pct sobre toneladas</t>
        </is>
      </c>
      <c r="D1860" t="inlineStr">
        <is>
          <t>anio_LOM25_AMIN_LE2</t>
        </is>
      </c>
      <c r="E1860" t="inlineStr">
        <is>
          <t>2026</t>
        </is>
      </c>
      <c r="F1860" t="inlineStr">
        <is>
          <t>litologia_tentativa</t>
        </is>
      </c>
      <c r="G1860" t="inlineStr">
        <is>
          <t>Intrusivo</t>
        </is>
      </c>
      <c r="H1860" t="inlineStr"/>
      <c r="I1860" t="inlineStr"/>
      <c r="J1860" t="inlineStr">
        <is>
          <t>suma de filas por código</t>
        </is>
      </c>
      <c r="K1860" t="inlineStr">
        <is>
          <t>Intrusivo</t>
        </is>
      </c>
      <c r="L1860" t="inlineStr"/>
      <c r="M1860" t="n">
        <v>1199</v>
      </c>
      <c r="N1860" t="n">
        <v>7194000</v>
      </c>
      <c r="O1860" t="n">
        <v>17740476</v>
      </c>
      <c r="P1860" t="inlineStr"/>
      <c r="Q1860" t="n">
        <v>9.34</v>
      </c>
    </row>
    <row r="1861">
      <c r="A1861" t="inlineStr">
        <is>
          <t>MR24</t>
        </is>
      </c>
      <c r="B1861" t="inlineStr">
        <is>
          <t>SIMULACIONES_MR2024_V3</t>
        </is>
      </c>
      <c r="C1861" t="inlineStr">
        <is>
          <t>toneladas (6000 m3 x MR24_BD); pct sobre toneladas</t>
        </is>
      </c>
      <c r="D1861" t="inlineStr">
        <is>
          <t>anio_LOM25_AMIN_LE2</t>
        </is>
      </c>
      <c r="E1861" t="inlineStr">
        <is>
          <t>2026</t>
        </is>
      </c>
      <c r="F1861" t="inlineStr">
        <is>
          <t>litologia_tentativa</t>
        </is>
      </c>
      <c r="G1861" t="inlineStr">
        <is>
          <t>Mármol (hipótesis: sigla MDP)</t>
        </is>
      </c>
      <c r="H1861" t="inlineStr"/>
      <c r="I1861" t="inlineStr"/>
      <c r="J1861" t="inlineStr">
        <is>
          <t>suma de filas por código</t>
        </is>
      </c>
      <c r="K1861" t="inlineStr">
        <is>
          <t>Mármol (hipótesis: sigla MDP)</t>
        </is>
      </c>
      <c r="L1861" t="inlineStr"/>
      <c r="M1861" t="n">
        <v>685</v>
      </c>
      <c r="N1861" t="n">
        <v>4110000</v>
      </c>
      <c r="O1861" t="n">
        <v>11717934</v>
      </c>
      <c r="P1861" t="inlineStr"/>
      <c r="Q1861" t="n">
        <v>6.169</v>
      </c>
    </row>
    <row r="1862">
      <c r="A1862" t="inlineStr">
        <is>
          <t>MR24</t>
        </is>
      </c>
      <c r="B1862" t="inlineStr">
        <is>
          <t>SIMULACIONES_MR2024_V3</t>
        </is>
      </c>
      <c r="C1862" t="inlineStr">
        <is>
          <t>toneladas (6000 m3 x MR24_BD); pct sobre toneladas</t>
        </is>
      </c>
      <c r="D1862" t="inlineStr">
        <is>
          <t>anio_LOM25_AMIN_LE2</t>
        </is>
      </c>
      <c r="E1862" t="inlineStr">
        <is>
          <t>2026</t>
        </is>
      </c>
      <c r="F1862" t="inlineStr">
        <is>
          <t>litologia_tentativa</t>
        </is>
      </c>
      <c r="G1862" t="inlineStr">
        <is>
          <t>Mármol (hipótesis: siglas MC, MG, MGS, MPA, MCGB; 'Marble'~MCGB)</t>
        </is>
      </c>
      <c r="H1862" t="inlineStr"/>
      <c r="I1862" t="inlineStr"/>
      <c r="J1862" t="inlineStr">
        <is>
          <t>suma de filas por código</t>
        </is>
      </c>
      <c r="K1862" t="inlineStr">
        <is>
          <t>Mármol (hipótesis: siglas MC, MG, MGS, MPA, MCGB; 'Marble'~MCGB)</t>
        </is>
      </c>
      <c r="L1862" t="inlineStr"/>
      <c r="M1862" t="n">
        <v>6092</v>
      </c>
      <c r="N1862" t="n">
        <v>36552000</v>
      </c>
      <c r="O1862" t="n">
        <v>98812218</v>
      </c>
      <c r="P1862" t="inlineStr"/>
      <c r="Q1862" t="n">
        <v>52.022</v>
      </c>
    </row>
    <row r="1863">
      <c r="A1863" t="inlineStr">
        <is>
          <t>MR24</t>
        </is>
      </c>
      <c r="B1863" t="inlineStr">
        <is>
          <t>SIMULACIONES_MR2024_V3</t>
        </is>
      </c>
      <c r="C1863" t="inlineStr">
        <is>
          <t>toneladas (6000 m3 x MR24_BD); pct sobre toneladas</t>
        </is>
      </c>
      <c r="D1863" t="inlineStr">
        <is>
          <t>anio_LOM25_AMIN_LE2</t>
        </is>
      </c>
      <c r="E1863" t="inlineStr">
        <is>
          <t>2026</t>
        </is>
      </c>
      <c r="F1863" t="inlineStr">
        <is>
          <t>litologia_tentativa</t>
        </is>
      </c>
      <c r="G1863" t="inlineStr">
        <is>
          <t>sin hipótesis</t>
        </is>
      </c>
      <c r="H1863" t="inlineStr"/>
      <c r="I1863" t="inlineStr"/>
      <c r="J1863" t="inlineStr">
        <is>
          <t>suma de filas por código</t>
        </is>
      </c>
      <c r="K1863" t="inlineStr">
        <is>
          <t>sin hipótesis</t>
        </is>
      </c>
      <c r="L1863" t="inlineStr"/>
      <c r="M1863" t="n">
        <v>47</v>
      </c>
      <c r="N1863" t="n">
        <v>282000</v>
      </c>
      <c r="O1863" t="n">
        <v>731676</v>
      </c>
      <c r="P1863" t="inlineStr"/>
      <c r="Q1863" t="n">
        <v>0.385</v>
      </c>
    </row>
    <row r="1864">
      <c r="A1864" t="inlineStr">
        <is>
          <t>MR24</t>
        </is>
      </c>
      <c r="B1864" t="inlineStr">
        <is>
          <t>SIMULACIONES_MR2024_V3</t>
        </is>
      </c>
      <c r="C1864" t="inlineStr">
        <is>
          <t>toneladas (6000 m3 x MR24_BD); pct sobre toneladas</t>
        </is>
      </c>
      <c r="D1864" t="inlineStr">
        <is>
          <t>anio_LOM25_AMIN_LE2</t>
        </is>
      </c>
      <c r="E1864" t="inlineStr">
        <is>
          <t>2027</t>
        </is>
      </c>
      <c r="F1864" t="inlineStr">
        <is>
          <t>litologia_tentativa</t>
        </is>
      </c>
      <c r="G1864" t="inlineStr">
        <is>
          <t>Caliza (hipótesis: Sedimentario; RT11~NUMEQ10, siglas C*)</t>
        </is>
      </c>
      <c r="H1864" t="inlineStr"/>
      <c r="I1864" t="inlineStr"/>
      <c r="J1864" t="inlineStr">
        <is>
          <t>suma de filas por código</t>
        </is>
      </c>
      <c r="K1864" t="inlineStr">
        <is>
          <t>Caliza (hipótesis: Sedimentario; RT11~NUMEQ10, siglas C*)</t>
        </is>
      </c>
      <c r="L1864" t="inlineStr"/>
      <c r="M1864" t="n">
        <v>1097</v>
      </c>
      <c r="N1864" t="n">
        <v>6582000</v>
      </c>
      <c r="O1864" t="n">
        <v>17844570</v>
      </c>
      <c r="P1864" t="inlineStr"/>
      <c r="Q1864" t="n">
        <v>9.839</v>
      </c>
    </row>
    <row r="1865">
      <c r="A1865" t="inlineStr">
        <is>
          <t>MR24</t>
        </is>
      </c>
      <c r="B1865" t="inlineStr">
        <is>
          <t>SIMULACIONES_MR2024_V3</t>
        </is>
      </c>
      <c r="C1865" t="inlineStr">
        <is>
          <t>toneladas (6000 m3 x MR24_BD); pct sobre toneladas</t>
        </is>
      </c>
      <c r="D1865" t="inlineStr">
        <is>
          <t>anio_LOM25_AMIN_LE2</t>
        </is>
      </c>
      <c r="E1865" t="inlineStr">
        <is>
          <t>2027</t>
        </is>
      </c>
      <c r="F1865" t="inlineStr">
        <is>
          <t>litologia_tentativa</t>
        </is>
      </c>
      <c r="G1865" t="inlineStr">
        <is>
          <t>Caliza (hipótesis: siglas C*)</t>
        </is>
      </c>
      <c r="H1865" t="inlineStr"/>
      <c r="I1865" t="inlineStr"/>
      <c r="J1865" t="inlineStr">
        <is>
          <t>suma de filas por código</t>
        </is>
      </c>
      <c r="K1865" t="inlineStr">
        <is>
          <t>Caliza (hipótesis: siglas C*)</t>
        </is>
      </c>
      <c r="L1865" t="inlineStr"/>
      <c r="M1865" t="n">
        <v>237</v>
      </c>
      <c r="N1865" t="n">
        <v>1422000</v>
      </c>
      <c r="O1865" t="n">
        <v>3838476</v>
      </c>
      <c r="P1865" t="inlineStr"/>
      <c r="Q1865" t="n">
        <v>2.116</v>
      </c>
    </row>
    <row r="1866">
      <c r="A1866" t="inlineStr">
        <is>
          <t>MR24</t>
        </is>
      </c>
      <c r="B1866" t="inlineStr">
        <is>
          <t>SIMULACIONES_MR2024_V3</t>
        </is>
      </c>
      <c r="C1866" t="inlineStr">
        <is>
          <t>toneladas (6000 m3 x MR24_BD); pct sobre toneladas</t>
        </is>
      </c>
      <c r="D1866" t="inlineStr">
        <is>
          <t>anio_LOM25_AMIN_LE2</t>
        </is>
      </c>
      <c r="E1866" t="inlineStr">
        <is>
          <t>2027</t>
        </is>
      </c>
      <c r="F1866" t="inlineStr">
        <is>
          <t>litologia_tentativa</t>
        </is>
      </c>
      <c r="G1866" t="inlineStr">
        <is>
          <t>Hornfels (hipótesis: siglas HBV, HGV, HCB, HDP; 'Diop. Hornfels'~HGV)</t>
        </is>
      </c>
      <c r="H1866" t="inlineStr"/>
      <c r="I1866" t="inlineStr"/>
      <c r="J1866" t="inlineStr">
        <is>
          <t>suma de filas por código</t>
        </is>
      </c>
      <c r="K1866" t="inlineStr">
        <is>
          <t>Hornfels (hipótesis: siglas HBV, HGV, HCB, HDP; 'Diop. Hornfels'~HGV)</t>
        </is>
      </c>
      <c r="L1866" t="inlineStr"/>
      <c r="M1866" t="n">
        <v>356</v>
      </c>
      <c r="N1866" t="n">
        <v>2136000</v>
      </c>
      <c r="O1866" t="n">
        <v>6120606</v>
      </c>
      <c r="P1866" t="inlineStr"/>
      <c r="Q1866" t="n">
        <v>3.375</v>
      </c>
    </row>
    <row r="1867">
      <c r="A1867" t="inlineStr">
        <is>
          <t>MR24</t>
        </is>
      </c>
      <c r="B1867" t="inlineStr">
        <is>
          <t>SIMULACIONES_MR2024_V3</t>
        </is>
      </c>
      <c r="C1867" t="inlineStr">
        <is>
          <t>toneladas (6000 m3 x MR24_BD); pct sobre toneladas</t>
        </is>
      </c>
      <c r="D1867" t="inlineStr">
        <is>
          <t>anio_LOM25_AMIN_LE2</t>
        </is>
      </c>
      <c r="E1867" t="inlineStr">
        <is>
          <t>2027</t>
        </is>
      </c>
      <c r="F1867" t="inlineStr">
        <is>
          <t>litologia_tentativa</t>
        </is>
      </c>
      <c r="G1867" t="inlineStr">
        <is>
          <t>Hornfels (hipótesis: siglas HG, HGS, HC)</t>
        </is>
      </c>
      <c r="H1867" t="inlineStr"/>
      <c r="I1867" t="inlineStr"/>
      <c r="J1867" t="inlineStr">
        <is>
          <t>suma de filas por código</t>
        </is>
      </c>
      <c r="K1867" t="inlineStr">
        <is>
          <t>Hornfels (hipótesis: siglas HG, HGS, HC)</t>
        </is>
      </c>
      <c r="L1867" t="inlineStr"/>
      <c r="M1867" t="n">
        <v>985</v>
      </c>
      <c r="N1867" t="n">
        <v>5910000</v>
      </c>
      <c r="O1867" t="n">
        <v>15982974</v>
      </c>
      <c r="P1867" t="inlineStr"/>
      <c r="Q1867" t="n">
        <v>8.813000000000001</v>
      </c>
    </row>
    <row r="1868">
      <c r="A1868" t="inlineStr">
        <is>
          <t>MR24</t>
        </is>
      </c>
      <c r="B1868" t="inlineStr">
        <is>
          <t>SIMULACIONES_MR2024_V3</t>
        </is>
      </c>
      <c r="C1868" t="inlineStr">
        <is>
          <t>toneladas (6000 m3 x MR24_BD); pct sobre toneladas</t>
        </is>
      </c>
      <c r="D1868" t="inlineStr">
        <is>
          <t>anio_LOM25_AMIN_LE2</t>
        </is>
      </c>
      <c r="E1868" t="inlineStr">
        <is>
          <t>2027</t>
        </is>
      </c>
      <c r="F1868" t="inlineStr">
        <is>
          <t>litologia_tentativa</t>
        </is>
      </c>
      <c r="G1868" t="inlineStr">
        <is>
          <t>Intrusivo</t>
        </is>
      </c>
      <c r="H1868" t="inlineStr"/>
      <c r="I1868" t="inlineStr"/>
      <c r="J1868" t="inlineStr">
        <is>
          <t>suma de filas por código</t>
        </is>
      </c>
      <c r="K1868" t="inlineStr">
        <is>
          <t>Intrusivo</t>
        </is>
      </c>
      <c r="L1868" t="inlineStr"/>
      <c r="M1868" t="n">
        <v>1539</v>
      </c>
      <c r="N1868" t="n">
        <v>9234000</v>
      </c>
      <c r="O1868" t="n">
        <v>22552056</v>
      </c>
      <c r="P1868" t="inlineStr"/>
      <c r="Q1868" t="n">
        <v>12.435</v>
      </c>
    </row>
    <row r="1869">
      <c r="A1869" t="inlineStr">
        <is>
          <t>MR24</t>
        </is>
      </c>
      <c r="B1869" t="inlineStr">
        <is>
          <t>SIMULACIONES_MR2024_V3</t>
        </is>
      </c>
      <c r="C1869" t="inlineStr">
        <is>
          <t>toneladas (6000 m3 x MR24_BD); pct sobre toneladas</t>
        </is>
      </c>
      <c r="D1869" t="inlineStr">
        <is>
          <t>anio_LOM25_AMIN_LE2</t>
        </is>
      </c>
      <c r="E1869" t="inlineStr">
        <is>
          <t>2027</t>
        </is>
      </c>
      <c r="F1869" t="inlineStr">
        <is>
          <t>litologia_tentativa</t>
        </is>
      </c>
      <c r="G1869" t="inlineStr">
        <is>
          <t>Mármol (hipótesis: sigla MDP)</t>
        </is>
      </c>
      <c r="H1869" t="inlineStr"/>
      <c r="I1869" t="inlineStr"/>
      <c r="J1869" t="inlineStr">
        <is>
          <t>suma de filas por código</t>
        </is>
      </c>
      <c r="K1869" t="inlineStr">
        <is>
          <t>Mármol (hipótesis: sigla MDP)</t>
        </is>
      </c>
      <c r="L1869" t="inlineStr"/>
      <c r="M1869" t="n">
        <v>449</v>
      </c>
      <c r="N1869" t="n">
        <v>2694000</v>
      </c>
      <c r="O1869" t="n">
        <v>7687038</v>
      </c>
      <c r="P1869" t="inlineStr"/>
      <c r="Q1869" t="n">
        <v>4.238</v>
      </c>
    </row>
    <row r="1870">
      <c r="A1870" t="inlineStr">
        <is>
          <t>MR24</t>
        </is>
      </c>
      <c r="B1870" t="inlineStr">
        <is>
          <t>SIMULACIONES_MR2024_V3</t>
        </is>
      </c>
      <c r="C1870" t="inlineStr">
        <is>
          <t>toneladas (6000 m3 x MR24_BD); pct sobre toneladas</t>
        </is>
      </c>
      <c r="D1870" t="inlineStr">
        <is>
          <t>anio_LOM25_AMIN_LE2</t>
        </is>
      </c>
      <c r="E1870" t="inlineStr">
        <is>
          <t>2027</t>
        </is>
      </c>
      <c r="F1870" t="inlineStr">
        <is>
          <t>litologia_tentativa</t>
        </is>
      </c>
      <c r="G1870" t="inlineStr">
        <is>
          <t>Mármol (hipótesis: siglas MC, MG, MGS, MPA, MCGB; 'Marble'~MCGB)</t>
        </is>
      </c>
      <c r="H1870" t="inlineStr"/>
      <c r="I1870" t="inlineStr"/>
      <c r="J1870" t="inlineStr">
        <is>
          <t>suma de filas por código</t>
        </is>
      </c>
      <c r="K1870" t="inlineStr">
        <is>
          <t>Mármol (hipótesis: siglas MC, MG, MGS, MPA, MCGB; 'Marble'~MCGB)</t>
        </is>
      </c>
      <c r="L1870" t="inlineStr"/>
      <c r="M1870" t="n">
        <v>6584</v>
      </c>
      <c r="N1870" t="n">
        <v>39504000</v>
      </c>
      <c r="O1870" t="n">
        <v>106730148</v>
      </c>
      <c r="P1870" t="inlineStr"/>
      <c r="Q1870" t="n">
        <v>58.848</v>
      </c>
    </row>
    <row r="1871">
      <c r="A1871" t="inlineStr">
        <is>
          <t>MR24</t>
        </is>
      </c>
      <c r="B1871" t="inlineStr">
        <is>
          <t>SIMULACIONES_MR2024_V3</t>
        </is>
      </c>
      <c r="C1871" t="inlineStr">
        <is>
          <t>toneladas (6000 m3 x MR24_BD); pct sobre toneladas</t>
        </is>
      </c>
      <c r="D1871" t="inlineStr">
        <is>
          <t>anio_LOM25_AMIN_LE2</t>
        </is>
      </c>
      <c r="E1871" t="inlineStr">
        <is>
          <t>2027</t>
        </is>
      </c>
      <c r="F1871" t="inlineStr">
        <is>
          <t>litologia_tentativa</t>
        </is>
      </c>
      <c r="G1871" t="inlineStr">
        <is>
          <t>sin hipótesis</t>
        </is>
      </c>
      <c r="H1871" t="inlineStr"/>
      <c r="I1871" t="inlineStr"/>
      <c r="J1871" t="inlineStr">
        <is>
          <t>suma de filas por código</t>
        </is>
      </c>
      <c r="K1871" t="inlineStr">
        <is>
          <t>sin hipótesis</t>
        </is>
      </c>
      <c r="L1871" t="inlineStr"/>
      <c r="M1871" t="n">
        <v>39</v>
      </c>
      <c r="N1871" t="n">
        <v>234000</v>
      </c>
      <c r="O1871" t="n">
        <v>608550</v>
      </c>
      <c r="P1871" t="inlineStr"/>
      <c r="Q1871" t="n">
        <v>0.336</v>
      </c>
    </row>
    <row r="1872">
      <c r="A1872" t="inlineStr">
        <is>
          <t>MR24</t>
        </is>
      </c>
      <c r="B1872" t="inlineStr">
        <is>
          <t>SIMULACIONES_MR2024_V3</t>
        </is>
      </c>
      <c r="C1872" t="inlineStr">
        <is>
          <t>toneladas (6000 m3 x MR24_BD); pct sobre toneladas</t>
        </is>
      </c>
      <c r="D1872" t="inlineStr">
        <is>
          <t>anio_LOM25_AMIN_LE2</t>
        </is>
      </c>
      <c r="E1872" t="inlineStr">
        <is>
          <t>2028</t>
        </is>
      </c>
      <c r="F1872" t="inlineStr">
        <is>
          <t>litologia_tentativa</t>
        </is>
      </c>
      <c r="G1872" t="inlineStr">
        <is>
          <t>Caliza (hipótesis: Sedimentario; RT11~NUMEQ10, siglas C*)</t>
        </is>
      </c>
      <c r="H1872" t="inlineStr"/>
      <c r="I1872" t="inlineStr"/>
      <c r="J1872" t="inlineStr">
        <is>
          <t>suma de filas por código</t>
        </is>
      </c>
      <c r="K1872" t="inlineStr">
        <is>
          <t>Caliza (hipótesis: Sedimentario; RT11~NUMEQ10, siglas C*)</t>
        </is>
      </c>
      <c r="L1872" t="inlineStr"/>
      <c r="M1872" t="n">
        <v>1014</v>
      </c>
      <c r="N1872" t="n">
        <v>6084000</v>
      </c>
      <c r="O1872" t="n">
        <v>16526118</v>
      </c>
      <c r="P1872" t="inlineStr"/>
      <c r="Q1872" t="n">
        <v>9.595000000000001</v>
      </c>
    </row>
    <row r="1873">
      <c r="A1873" t="inlineStr">
        <is>
          <t>MR24</t>
        </is>
      </c>
      <c r="B1873" t="inlineStr">
        <is>
          <t>SIMULACIONES_MR2024_V3</t>
        </is>
      </c>
      <c r="C1873" t="inlineStr">
        <is>
          <t>toneladas (6000 m3 x MR24_BD); pct sobre toneladas</t>
        </is>
      </c>
      <c r="D1873" t="inlineStr">
        <is>
          <t>anio_LOM25_AMIN_LE2</t>
        </is>
      </c>
      <c r="E1873" t="inlineStr">
        <is>
          <t>2028</t>
        </is>
      </c>
      <c r="F1873" t="inlineStr">
        <is>
          <t>litologia_tentativa</t>
        </is>
      </c>
      <c r="G1873" t="inlineStr">
        <is>
          <t>Caliza (hipótesis: siglas C*)</t>
        </is>
      </c>
      <c r="H1873" t="inlineStr"/>
      <c r="I1873" t="inlineStr"/>
      <c r="J1873" t="inlineStr">
        <is>
          <t>suma de filas por código</t>
        </is>
      </c>
      <c r="K1873" t="inlineStr">
        <is>
          <t>Caliza (hipótesis: siglas C*)</t>
        </is>
      </c>
      <c r="L1873" t="inlineStr"/>
      <c r="M1873" t="n">
        <v>291</v>
      </c>
      <c r="N1873" t="n">
        <v>1746000</v>
      </c>
      <c r="O1873" t="n">
        <v>4730388</v>
      </c>
      <c r="P1873" t="inlineStr"/>
      <c r="Q1873" t="n">
        <v>2.746</v>
      </c>
    </row>
    <row r="1874">
      <c r="A1874" t="inlineStr">
        <is>
          <t>MR24</t>
        </is>
      </c>
      <c r="B1874" t="inlineStr">
        <is>
          <t>SIMULACIONES_MR2024_V3</t>
        </is>
      </c>
      <c r="C1874" t="inlineStr">
        <is>
          <t>toneladas (6000 m3 x MR24_BD); pct sobre toneladas</t>
        </is>
      </c>
      <c r="D1874" t="inlineStr">
        <is>
          <t>anio_LOM25_AMIN_LE2</t>
        </is>
      </c>
      <c r="E1874" t="inlineStr">
        <is>
          <t>2028</t>
        </is>
      </c>
      <c r="F1874" t="inlineStr">
        <is>
          <t>litologia_tentativa</t>
        </is>
      </c>
      <c r="G1874" t="inlineStr">
        <is>
          <t>Hornfels (hipótesis: siglas HBV, HGV, HCB, HDP; 'Diop. Hornfels'~HGV)</t>
        </is>
      </c>
      <c r="H1874" t="inlineStr"/>
      <c r="I1874" t="inlineStr"/>
      <c r="J1874" t="inlineStr">
        <is>
          <t>suma de filas por código</t>
        </is>
      </c>
      <c r="K1874" t="inlineStr">
        <is>
          <t>Hornfels (hipótesis: siglas HBV, HGV, HCB, HDP; 'Diop. Hornfels'~HGV)</t>
        </is>
      </c>
      <c r="L1874" t="inlineStr"/>
      <c r="M1874" t="n">
        <v>188</v>
      </c>
      <c r="N1874" t="n">
        <v>1128000</v>
      </c>
      <c r="O1874" t="n">
        <v>3204162</v>
      </c>
      <c r="P1874" t="inlineStr"/>
      <c r="Q1874" t="n">
        <v>1.86</v>
      </c>
    </row>
    <row r="1875">
      <c r="A1875" t="inlineStr">
        <is>
          <t>MR24</t>
        </is>
      </c>
      <c r="B1875" t="inlineStr">
        <is>
          <t>SIMULACIONES_MR2024_V3</t>
        </is>
      </c>
      <c r="C1875" t="inlineStr">
        <is>
          <t>toneladas (6000 m3 x MR24_BD); pct sobre toneladas</t>
        </is>
      </c>
      <c r="D1875" t="inlineStr">
        <is>
          <t>anio_LOM25_AMIN_LE2</t>
        </is>
      </c>
      <c r="E1875" t="inlineStr">
        <is>
          <t>2028</t>
        </is>
      </c>
      <c r="F1875" t="inlineStr">
        <is>
          <t>litologia_tentativa</t>
        </is>
      </c>
      <c r="G1875" t="inlineStr">
        <is>
          <t>Hornfels (hipótesis: siglas HG, HGS, HC)</t>
        </is>
      </c>
      <c r="H1875" t="inlineStr"/>
      <c r="I1875" t="inlineStr"/>
      <c r="J1875" t="inlineStr">
        <is>
          <t>suma de filas por código</t>
        </is>
      </c>
      <c r="K1875" t="inlineStr">
        <is>
          <t>Hornfels (hipótesis: siglas HG, HGS, HC)</t>
        </is>
      </c>
      <c r="L1875" t="inlineStr"/>
      <c r="M1875" t="n">
        <v>1477</v>
      </c>
      <c r="N1875" t="n">
        <v>8862000</v>
      </c>
      <c r="O1875" t="n">
        <v>23952492</v>
      </c>
      <c r="P1875" t="inlineStr"/>
      <c r="Q1875" t="n">
        <v>13.906</v>
      </c>
    </row>
    <row r="1876">
      <c r="A1876" t="inlineStr">
        <is>
          <t>MR24</t>
        </is>
      </c>
      <c r="B1876" t="inlineStr">
        <is>
          <t>SIMULACIONES_MR2024_V3</t>
        </is>
      </c>
      <c r="C1876" t="inlineStr">
        <is>
          <t>toneladas (6000 m3 x MR24_BD); pct sobre toneladas</t>
        </is>
      </c>
      <c r="D1876" t="inlineStr">
        <is>
          <t>anio_LOM25_AMIN_LE2</t>
        </is>
      </c>
      <c r="E1876" t="inlineStr">
        <is>
          <t>2028</t>
        </is>
      </c>
      <c r="F1876" t="inlineStr">
        <is>
          <t>litologia_tentativa</t>
        </is>
      </c>
      <c r="G1876" t="inlineStr">
        <is>
          <t>Intrusivo</t>
        </is>
      </c>
      <c r="H1876" t="inlineStr"/>
      <c r="I1876" t="inlineStr"/>
      <c r="J1876" t="inlineStr">
        <is>
          <t>suma de filas por código</t>
        </is>
      </c>
      <c r="K1876" t="inlineStr">
        <is>
          <t>Intrusivo</t>
        </is>
      </c>
      <c r="L1876" t="inlineStr"/>
      <c r="M1876" t="n">
        <v>1494</v>
      </c>
      <c r="N1876" t="n">
        <v>8964000</v>
      </c>
      <c r="O1876" t="n">
        <v>21904770</v>
      </c>
      <c r="P1876" t="inlineStr"/>
      <c r="Q1876" t="n">
        <v>12.718</v>
      </c>
    </row>
    <row r="1877">
      <c r="A1877" t="inlineStr">
        <is>
          <t>MR24</t>
        </is>
      </c>
      <c r="B1877" t="inlineStr">
        <is>
          <t>SIMULACIONES_MR2024_V3</t>
        </is>
      </c>
      <c r="C1877" t="inlineStr">
        <is>
          <t>toneladas (6000 m3 x MR24_BD); pct sobre toneladas</t>
        </is>
      </c>
      <c r="D1877" t="inlineStr">
        <is>
          <t>anio_LOM25_AMIN_LE2</t>
        </is>
      </c>
      <c r="E1877" t="inlineStr">
        <is>
          <t>2028</t>
        </is>
      </c>
      <c r="F1877" t="inlineStr">
        <is>
          <t>litologia_tentativa</t>
        </is>
      </c>
      <c r="G1877" t="inlineStr">
        <is>
          <t>Mármol (hipótesis: sigla MDP)</t>
        </is>
      </c>
      <c r="H1877" t="inlineStr"/>
      <c r="I1877" t="inlineStr"/>
      <c r="J1877" t="inlineStr">
        <is>
          <t>suma de filas por código</t>
        </is>
      </c>
      <c r="K1877" t="inlineStr">
        <is>
          <t>Mármol (hipótesis: sigla MDP)</t>
        </is>
      </c>
      <c r="L1877" t="inlineStr"/>
      <c r="M1877" t="n">
        <v>361</v>
      </c>
      <c r="N1877" t="n">
        <v>2166000</v>
      </c>
      <c r="O1877" t="n">
        <v>6127434</v>
      </c>
      <c r="P1877" t="inlineStr"/>
      <c r="Q1877" t="n">
        <v>3.557</v>
      </c>
    </row>
    <row r="1878">
      <c r="A1878" t="inlineStr">
        <is>
          <t>MR24</t>
        </is>
      </c>
      <c r="B1878" t="inlineStr">
        <is>
          <t>SIMULACIONES_MR2024_V3</t>
        </is>
      </c>
      <c r="C1878" t="inlineStr">
        <is>
          <t>toneladas (6000 m3 x MR24_BD); pct sobre toneladas</t>
        </is>
      </c>
      <c r="D1878" t="inlineStr">
        <is>
          <t>anio_LOM25_AMIN_LE2</t>
        </is>
      </c>
      <c r="E1878" t="inlineStr">
        <is>
          <t>2028</t>
        </is>
      </c>
      <c r="F1878" t="inlineStr">
        <is>
          <t>litologia_tentativa</t>
        </is>
      </c>
      <c r="G1878" t="inlineStr">
        <is>
          <t>Mármol (hipótesis: siglas MC, MG, MGS, MPA, MCGB; 'Marble'~MCGB)</t>
        </is>
      </c>
      <c r="H1878" t="inlineStr"/>
      <c r="I1878" t="inlineStr"/>
      <c r="J1878" t="inlineStr">
        <is>
          <t>suma de filas por código</t>
        </is>
      </c>
      <c r="K1878" t="inlineStr">
        <is>
          <t>Mármol (hipótesis: siglas MC, MG, MGS, MPA, MCGB; 'Marble'~MCGB)</t>
        </is>
      </c>
      <c r="L1878" t="inlineStr"/>
      <c r="M1878" t="n">
        <v>5892</v>
      </c>
      <c r="N1878" t="n">
        <v>35352000</v>
      </c>
      <c r="O1878" t="n">
        <v>95647332</v>
      </c>
      <c r="P1878" t="inlineStr"/>
      <c r="Q1878" t="n">
        <v>55.531</v>
      </c>
    </row>
    <row r="1879">
      <c r="A1879" t="inlineStr">
        <is>
          <t>MR24</t>
        </is>
      </c>
      <c r="B1879" t="inlineStr">
        <is>
          <t>SIMULACIONES_MR2024_V3</t>
        </is>
      </c>
      <c r="C1879" t="inlineStr">
        <is>
          <t>toneladas (6000 m3 x MR24_BD); pct sobre toneladas</t>
        </is>
      </c>
      <c r="D1879" t="inlineStr">
        <is>
          <t>anio_LOM25_AMIN_LE2</t>
        </is>
      </c>
      <c r="E1879" t="inlineStr">
        <is>
          <t>2028</t>
        </is>
      </c>
      <c r="F1879" t="inlineStr">
        <is>
          <t>litologia_tentativa</t>
        </is>
      </c>
      <c r="G1879" t="inlineStr">
        <is>
          <t>sin hipótesis</t>
        </is>
      </c>
      <c r="H1879" t="inlineStr"/>
      <c r="I1879" t="inlineStr"/>
      <c r="J1879" t="inlineStr">
        <is>
          <t>suma de filas por código</t>
        </is>
      </c>
      <c r="K1879" t="inlineStr">
        <is>
          <t>sin hipótesis</t>
        </is>
      </c>
      <c r="L1879" t="inlineStr"/>
      <c r="M1879" t="n">
        <v>9</v>
      </c>
      <c r="N1879" t="n">
        <v>54000</v>
      </c>
      <c r="O1879" t="n">
        <v>148398</v>
      </c>
      <c r="P1879" t="inlineStr"/>
      <c r="Q1879" t="n">
        <v>0.08599999999999999</v>
      </c>
    </row>
    <row r="1880">
      <c r="A1880" t="inlineStr">
        <is>
          <t>MR24</t>
        </is>
      </c>
      <c r="B1880" t="inlineStr">
        <is>
          <t>SIMULACIONES_MR2024_V3</t>
        </is>
      </c>
      <c r="C1880" t="inlineStr">
        <is>
          <t>toneladas (6000 m3 x MR24_BD); pct sobre toneladas</t>
        </is>
      </c>
      <c r="D1880" t="inlineStr">
        <is>
          <t>anio_LOM25_AMIN_LE2</t>
        </is>
      </c>
      <c r="E1880" t="inlineStr">
        <is>
          <t>2029</t>
        </is>
      </c>
      <c r="F1880" t="inlineStr">
        <is>
          <t>litologia_tentativa</t>
        </is>
      </c>
      <c r="G1880" t="inlineStr">
        <is>
          <t>Caliza (hipótesis: Sedimentario; RT11~NUMEQ10, siglas C*)</t>
        </is>
      </c>
      <c r="H1880" t="inlineStr"/>
      <c r="I1880" t="inlineStr"/>
      <c r="J1880" t="inlineStr">
        <is>
          <t>suma de filas por código</t>
        </is>
      </c>
      <c r="K1880" t="inlineStr">
        <is>
          <t>Caliza (hipótesis: Sedimentario; RT11~NUMEQ10, siglas C*)</t>
        </is>
      </c>
      <c r="L1880" t="inlineStr"/>
      <c r="M1880" t="n">
        <v>1486</v>
      </c>
      <c r="N1880" t="n">
        <v>8916000</v>
      </c>
      <c r="O1880" t="n">
        <v>24244086</v>
      </c>
      <c r="P1880" t="inlineStr"/>
      <c r="Q1880" t="n">
        <v>11.194</v>
      </c>
    </row>
    <row r="1881">
      <c r="A1881" t="inlineStr">
        <is>
          <t>MR24</t>
        </is>
      </c>
      <c r="B1881" t="inlineStr">
        <is>
          <t>SIMULACIONES_MR2024_V3</t>
        </is>
      </c>
      <c r="C1881" t="inlineStr">
        <is>
          <t>toneladas (6000 m3 x MR24_BD); pct sobre toneladas</t>
        </is>
      </c>
      <c r="D1881" t="inlineStr">
        <is>
          <t>anio_LOM25_AMIN_LE2</t>
        </is>
      </c>
      <c r="E1881" t="inlineStr">
        <is>
          <t>2029</t>
        </is>
      </c>
      <c r="F1881" t="inlineStr">
        <is>
          <t>litologia_tentativa</t>
        </is>
      </c>
      <c r="G1881" t="inlineStr">
        <is>
          <t>Caliza (hipótesis: siglas C*)</t>
        </is>
      </c>
      <c r="H1881" t="inlineStr"/>
      <c r="I1881" t="inlineStr"/>
      <c r="J1881" t="inlineStr">
        <is>
          <t>suma de filas por código</t>
        </is>
      </c>
      <c r="K1881" t="inlineStr">
        <is>
          <t>Caliza (hipótesis: siglas C*)</t>
        </is>
      </c>
      <c r="L1881" t="inlineStr"/>
      <c r="M1881" t="n">
        <v>339</v>
      </c>
      <c r="N1881" t="n">
        <v>2034000</v>
      </c>
      <c r="O1881" t="n">
        <v>5518356</v>
      </c>
      <c r="P1881" t="inlineStr"/>
      <c r="Q1881" t="n">
        <v>2.548</v>
      </c>
    </row>
    <row r="1882">
      <c r="A1882" t="inlineStr">
        <is>
          <t>MR24</t>
        </is>
      </c>
      <c r="B1882" t="inlineStr">
        <is>
          <t>SIMULACIONES_MR2024_V3</t>
        </is>
      </c>
      <c r="C1882" t="inlineStr">
        <is>
          <t>toneladas (6000 m3 x MR24_BD); pct sobre toneladas</t>
        </is>
      </c>
      <c r="D1882" t="inlineStr">
        <is>
          <t>anio_LOM25_AMIN_LE2</t>
        </is>
      </c>
      <c r="E1882" t="inlineStr">
        <is>
          <t>2029</t>
        </is>
      </c>
      <c r="F1882" t="inlineStr">
        <is>
          <t>litologia_tentativa</t>
        </is>
      </c>
      <c r="G1882" t="inlineStr">
        <is>
          <t>Hornfels (hipótesis: siglas HBV, HGV, HCB, HDP; 'Diop. Hornfels'~HGV)</t>
        </is>
      </c>
      <c r="H1882" t="inlineStr"/>
      <c r="I1882" t="inlineStr"/>
      <c r="J1882" t="inlineStr">
        <is>
          <t>suma de filas por código</t>
        </is>
      </c>
      <c r="K1882" t="inlineStr">
        <is>
          <t>Hornfels (hipótesis: siglas HBV, HGV, HCB, HDP; 'Diop. Hornfels'~HGV)</t>
        </is>
      </c>
      <c r="L1882" t="inlineStr"/>
      <c r="M1882" t="n">
        <v>951</v>
      </c>
      <c r="N1882" t="n">
        <v>5706000</v>
      </c>
      <c r="O1882" t="n">
        <v>16421688</v>
      </c>
      <c r="P1882" t="inlineStr"/>
      <c r="Q1882" t="n">
        <v>7.582</v>
      </c>
    </row>
    <row r="1883">
      <c r="A1883" t="inlineStr">
        <is>
          <t>MR24</t>
        </is>
      </c>
      <c r="B1883" t="inlineStr">
        <is>
          <t>SIMULACIONES_MR2024_V3</t>
        </is>
      </c>
      <c r="C1883" t="inlineStr">
        <is>
          <t>toneladas (6000 m3 x MR24_BD); pct sobre toneladas</t>
        </is>
      </c>
      <c r="D1883" t="inlineStr">
        <is>
          <t>anio_LOM25_AMIN_LE2</t>
        </is>
      </c>
      <c r="E1883" t="inlineStr">
        <is>
          <t>2029</t>
        </is>
      </c>
      <c r="F1883" t="inlineStr">
        <is>
          <t>litologia_tentativa</t>
        </is>
      </c>
      <c r="G1883" t="inlineStr">
        <is>
          <t>Hornfels (hipótesis: siglas HG, HGS, HC)</t>
        </is>
      </c>
      <c r="H1883" t="inlineStr"/>
      <c r="I1883" t="inlineStr"/>
      <c r="J1883" t="inlineStr">
        <is>
          <t>suma de filas por código</t>
        </is>
      </c>
      <c r="K1883" t="inlineStr">
        <is>
          <t>Hornfels (hipótesis: siglas HG, HGS, HC)</t>
        </is>
      </c>
      <c r="L1883" t="inlineStr"/>
      <c r="M1883" t="n">
        <v>3506</v>
      </c>
      <c r="N1883" t="n">
        <v>21036000</v>
      </c>
      <c r="O1883" t="n">
        <v>56939172</v>
      </c>
      <c r="P1883" t="inlineStr"/>
      <c r="Q1883" t="n">
        <v>26.29</v>
      </c>
    </row>
    <row r="1884">
      <c r="A1884" t="inlineStr">
        <is>
          <t>MR24</t>
        </is>
      </c>
      <c r="B1884" t="inlineStr">
        <is>
          <t>SIMULACIONES_MR2024_V3</t>
        </is>
      </c>
      <c r="C1884" t="inlineStr">
        <is>
          <t>toneladas (6000 m3 x MR24_BD); pct sobre toneladas</t>
        </is>
      </c>
      <c r="D1884" t="inlineStr">
        <is>
          <t>anio_LOM25_AMIN_LE2</t>
        </is>
      </c>
      <c r="E1884" t="inlineStr">
        <is>
          <t>2029</t>
        </is>
      </c>
      <c r="F1884" t="inlineStr">
        <is>
          <t>litologia_tentativa</t>
        </is>
      </c>
      <c r="G1884" t="inlineStr">
        <is>
          <t>Intrusivo</t>
        </is>
      </c>
      <c r="H1884" t="inlineStr"/>
      <c r="I1884" t="inlineStr"/>
      <c r="J1884" t="inlineStr">
        <is>
          <t>suma de filas por código</t>
        </is>
      </c>
      <c r="K1884" t="inlineStr">
        <is>
          <t>Intrusivo</t>
        </is>
      </c>
      <c r="L1884" t="inlineStr"/>
      <c r="M1884" t="n">
        <v>2357</v>
      </c>
      <c r="N1884" t="n">
        <v>14142000</v>
      </c>
      <c r="O1884" t="n">
        <v>34700526</v>
      </c>
      <c r="P1884" t="inlineStr"/>
      <c r="Q1884" t="n">
        <v>16.022</v>
      </c>
    </row>
    <row r="1885">
      <c r="A1885" t="inlineStr">
        <is>
          <t>MR24</t>
        </is>
      </c>
      <c r="B1885" t="inlineStr">
        <is>
          <t>SIMULACIONES_MR2024_V3</t>
        </is>
      </c>
      <c r="C1885" t="inlineStr">
        <is>
          <t>toneladas (6000 m3 x MR24_BD); pct sobre toneladas</t>
        </is>
      </c>
      <c r="D1885" t="inlineStr">
        <is>
          <t>anio_LOM25_AMIN_LE2</t>
        </is>
      </c>
      <c r="E1885" t="inlineStr">
        <is>
          <t>2029</t>
        </is>
      </c>
      <c r="F1885" t="inlineStr">
        <is>
          <t>litologia_tentativa</t>
        </is>
      </c>
      <c r="G1885" t="inlineStr">
        <is>
          <t>Mármol (hipótesis: sigla MDP)</t>
        </is>
      </c>
      <c r="H1885" t="inlineStr"/>
      <c r="I1885" t="inlineStr"/>
      <c r="J1885" t="inlineStr">
        <is>
          <t>suma de filas por código</t>
        </is>
      </c>
      <c r="K1885" t="inlineStr">
        <is>
          <t>Mármol (hipótesis: sigla MDP)</t>
        </is>
      </c>
      <c r="L1885" t="inlineStr"/>
      <c r="M1885" t="n">
        <v>248</v>
      </c>
      <c r="N1885" t="n">
        <v>1488000</v>
      </c>
      <c r="O1885" t="n">
        <v>4249266</v>
      </c>
      <c r="P1885" t="inlineStr"/>
      <c r="Q1885" t="n">
        <v>1.962</v>
      </c>
    </row>
    <row r="1886">
      <c r="A1886" t="inlineStr">
        <is>
          <t>MR24</t>
        </is>
      </c>
      <c r="B1886" t="inlineStr">
        <is>
          <t>SIMULACIONES_MR2024_V3</t>
        </is>
      </c>
      <c r="C1886" t="inlineStr">
        <is>
          <t>toneladas (6000 m3 x MR24_BD); pct sobre toneladas</t>
        </is>
      </c>
      <c r="D1886" t="inlineStr">
        <is>
          <t>anio_LOM25_AMIN_LE2</t>
        </is>
      </c>
      <c r="E1886" t="inlineStr">
        <is>
          <t>2029</t>
        </is>
      </c>
      <c r="F1886" t="inlineStr">
        <is>
          <t>litologia_tentativa</t>
        </is>
      </c>
      <c r="G1886" t="inlineStr">
        <is>
          <t>Mármol (hipótesis: siglas MC, MG, MGS, MPA, MCGB; 'Marble'~MCGB)</t>
        </is>
      </c>
      <c r="H1886" t="inlineStr"/>
      <c r="I1886" t="inlineStr"/>
      <c r="J1886" t="inlineStr">
        <is>
          <t>suma de filas por código</t>
        </is>
      </c>
      <c r="K1886" t="inlineStr">
        <is>
          <t>Mármol (hipótesis: siglas MC, MG, MGS, MPA, MCGB; 'Marble'~MCGB)</t>
        </is>
      </c>
      <c r="L1886" t="inlineStr"/>
      <c r="M1886" t="n">
        <v>4537</v>
      </c>
      <c r="N1886" t="n">
        <v>27222000</v>
      </c>
      <c r="O1886" t="n">
        <v>73877604</v>
      </c>
      <c r="P1886" t="inlineStr"/>
      <c r="Q1886" t="n">
        <v>34.111</v>
      </c>
    </row>
    <row r="1887">
      <c r="A1887" t="inlineStr">
        <is>
          <t>MR24</t>
        </is>
      </c>
      <c r="B1887" t="inlineStr">
        <is>
          <t>SIMULACIONES_MR2024_V3</t>
        </is>
      </c>
      <c r="C1887" t="inlineStr">
        <is>
          <t>toneladas (6000 m3 x MR24_BD); pct sobre toneladas</t>
        </is>
      </c>
      <c r="D1887" t="inlineStr">
        <is>
          <t>anio_LOM25_AMIN_LE2</t>
        </is>
      </c>
      <c r="E1887" t="inlineStr">
        <is>
          <t>2029</t>
        </is>
      </c>
      <c r="F1887" t="inlineStr">
        <is>
          <t>litologia_tentativa</t>
        </is>
      </c>
      <c r="G1887" t="inlineStr">
        <is>
          <t>sin hipótesis</t>
        </is>
      </c>
      <c r="H1887" t="inlineStr"/>
      <c r="I1887" t="inlineStr"/>
      <c r="J1887" t="inlineStr">
        <is>
          <t>suma de filas por código</t>
        </is>
      </c>
      <c r="K1887" t="inlineStr">
        <is>
          <t>sin hipótesis</t>
        </is>
      </c>
      <c r="L1887" t="inlineStr"/>
      <c r="M1887" t="n">
        <v>41</v>
      </c>
      <c r="N1887" t="n">
        <v>246000</v>
      </c>
      <c r="O1887" t="n">
        <v>629808</v>
      </c>
      <c r="P1887" t="inlineStr"/>
      <c r="Q1887" t="n">
        <v>0.291</v>
      </c>
    </row>
    <row r="1888">
      <c r="A1888" t="inlineStr">
        <is>
          <t>MR24</t>
        </is>
      </c>
      <c r="B1888" t="inlineStr">
        <is>
          <t>SIMULACIONES_MR2024_V3</t>
        </is>
      </c>
      <c r="C1888" t="inlineStr">
        <is>
          <t>toneladas (6000 m3 x MR24_BD); pct sobre toneladas</t>
        </is>
      </c>
      <c r="D1888" t="inlineStr">
        <is>
          <t>anio_LOM25_AMIN_LE2</t>
        </is>
      </c>
      <c r="E1888" t="inlineStr">
        <is>
          <t>2030</t>
        </is>
      </c>
      <c r="F1888" t="inlineStr">
        <is>
          <t>litologia_tentativa</t>
        </is>
      </c>
      <c r="G1888" t="inlineStr">
        <is>
          <t>Caliza (hipótesis: Sedimentario; RT11~NUMEQ10, siglas C*)</t>
        </is>
      </c>
      <c r="H1888" t="inlineStr"/>
      <c r="I1888" t="inlineStr"/>
      <c r="J1888" t="inlineStr">
        <is>
          <t>suma de filas por código</t>
        </is>
      </c>
      <c r="K1888" t="inlineStr">
        <is>
          <t>Caliza (hipótesis: Sedimentario; RT11~NUMEQ10, siglas C*)</t>
        </is>
      </c>
      <c r="L1888" t="inlineStr"/>
      <c r="M1888" t="n">
        <v>2165</v>
      </c>
      <c r="N1888" t="n">
        <v>12990000</v>
      </c>
      <c r="O1888" t="n">
        <v>35166276</v>
      </c>
      <c r="P1888" t="inlineStr"/>
      <c r="Q1888" t="n">
        <v>15.01</v>
      </c>
    </row>
    <row r="1889">
      <c r="A1889" t="inlineStr">
        <is>
          <t>MR24</t>
        </is>
      </c>
      <c r="B1889" t="inlineStr">
        <is>
          <t>SIMULACIONES_MR2024_V3</t>
        </is>
      </c>
      <c r="C1889" t="inlineStr">
        <is>
          <t>toneladas (6000 m3 x MR24_BD); pct sobre toneladas</t>
        </is>
      </c>
      <c r="D1889" t="inlineStr">
        <is>
          <t>anio_LOM25_AMIN_LE2</t>
        </is>
      </c>
      <c r="E1889" t="inlineStr">
        <is>
          <t>2030</t>
        </is>
      </c>
      <c r="F1889" t="inlineStr">
        <is>
          <t>litologia_tentativa</t>
        </is>
      </c>
      <c r="G1889" t="inlineStr">
        <is>
          <t>Caliza (hipótesis: siglas C*)</t>
        </is>
      </c>
      <c r="H1889" t="inlineStr"/>
      <c r="I1889" t="inlineStr"/>
      <c r="J1889" t="inlineStr">
        <is>
          <t>suma de filas por código</t>
        </is>
      </c>
      <c r="K1889" t="inlineStr">
        <is>
          <t>Caliza (hipótesis: siglas C*)</t>
        </is>
      </c>
      <c r="L1889" t="inlineStr"/>
      <c r="M1889" t="n">
        <v>711</v>
      </c>
      <c r="N1889" t="n">
        <v>4266000</v>
      </c>
      <c r="O1889" t="n">
        <v>11540724</v>
      </c>
      <c r="P1889" t="inlineStr"/>
      <c r="Q1889" t="n">
        <v>4.926</v>
      </c>
    </row>
    <row r="1890">
      <c r="A1890" t="inlineStr">
        <is>
          <t>MR24</t>
        </is>
      </c>
      <c r="B1890" t="inlineStr">
        <is>
          <t>SIMULACIONES_MR2024_V3</t>
        </is>
      </c>
      <c r="C1890" t="inlineStr">
        <is>
          <t>toneladas (6000 m3 x MR24_BD); pct sobre toneladas</t>
        </is>
      </c>
      <c r="D1890" t="inlineStr">
        <is>
          <t>anio_LOM25_AMIN_LE2</t>
        </is>
      </c>
      <c r="E1890" t="inlineStr">
        <is>
          <t>2030</t>
        </is>
      </c>
      <c r="F1890" t="inlineStr">
        <is>
          <t>litologia_tentativa</t>
        </is>
      </c>
      <c r="G1890" t="inlineStr">
        <is>
          <t>Hornfels (hipótesis: siglas HBV, HGV, HCB, HDP; 'Diop. Hornfels'~HGV)</t>
        </is>
      </c>
      <c r="H1890" t="inlineStr"/>
      <c r="I1890" t="inlineStr"/>
      <c r="J1890" t="inlineStr">
        <is>
          <t>suma de filas por código</t>
        </is>
      </c>
      <c r="K1890" t="inlineStr">
        <is>
          <t>Hornfels (hipótesis: siglas HBV, HGV, HCB, HDP; 'Diop. Hornfels'~HGV)</t>
        </is>
      </c>
      <c r="L1890" t="inlineStr"/>
      <c r="M1890" t="n">
        <v>1056</v>
      </c>
      <c r="N1890" t="n">
        <v>6336000</v>
      </c>
      <c r="O1890" t="n">
        <v>18038166</v>
      </c>
      <c r="P1890" t="inlineStr"/>
      <c r="Q1890" t="n">
        <v>7.699</v>
      </c>
    </row>
    <row r="1891">
      <c r="A1891" t="inlineStr">
        <is>
          <t>MR24</t>
        </is>
      </c>
      <c r="B1891" t="inlineStr">
        <is>
          <t>SIMULACIONES_MR2024_V3</t>
        </is>
      </c>
      <c r="C1891" t="inlineStr">
        <is>
          <t>toneladas (6000 m3 x MR24_BD); pct sobre toneladas</t>
        </is>
      </c>
      <c r="D1891" t="inlineStr">
        <is>
          <t>anio_LOM25_AMIN_LE2</t>
        </is>
      </c>
      <c r="E1891" t="inlineStr">
        <is>
          <t>2030</t>
        </is>
      </c>
      <c r="F1891" t="inlineStr">
        <is>
          <t>litologia_tentativa</t>
        </is>
      </c>
      <c r="G1891" t="inlineStr">
        <is>
          <t>Hornfels (hipótesis: siglas HG, HGS, HC)</t>
        </is>
      </c>
      <c r="H1891" t="inlineStr"/>
      <c r="I1891" t="inlineStr"/>
      <c r="J1891" t="inlineStr">
        <is>
          <t>suma de filas por código</t>
        </is>
      </c>
      <c r="K1891" t="inlineStr">
        <is>
          <t>Hornfels (hipótesis: siglas HG, HGS, HC)</t>
        </is>
      </c>
      <c r="L1891" t="inlineStr"/>
      <c r="M1891" t="n">
        <v>4981</v>
      </c>
      <c r="N1891" t="n">
        <v>29886000</v>
      </c>
      <c r="O1891" t="n">
        <v>81020124</v>
      </c>
      <c r="P1891" t="inlineStr"/>
      <c r="Q1891" t="n">
        <v>34.581</v>
      </c>
    </row>
    <row r="1892">
      <c r="A1892" t="inlineStr">
        <is>
          <t>MR24</t>
        </is>
      </c>
      <c r="B1892" t="inlineStr">
        <is>
          <t>SIMULACIONES_MR2024_V3</t>
        </is>
      </c>
      <c r="C1892" t="inlineStr">
        <is>
          <t>toneladas (6000 m3 x MR24_BD); pct sobre toneladas</t>
        </is>
      </c>
      <c r="D1892" t="inlineStr">
        <is>
          <t>anio_LOM25_AMIN_LE2</t>
        </is>
      </c>
      <c r="E1892" t="inlineStr">
        <is>
          <t>2030</t>
        </is>
      </c>
      <c r="F1892" t="inlineStr">
        <is>
          <t>litologia_tentativa</t>
        </is>
      </c>
      <c r="G1892" t="inlineStr">
        <is>
          <t>Intrusivo</t>
        </is>
      </c>
      <c r="H1892" t="inlineStr"/>
      <c r="I1892" t="inlineStr"/>
      <c r="J1892" t="inlineStr">
        <is>
          <t>suma de filas por código</t>
        </is>
      </c>
      <c r="K1892" t="inlineStr">
        <is>
          <t>Intrusivo</t>
        </is>
      </c>
      <c r="L1892" t="inlineStr"/>
      <c r="M1892" t="n">
        <v>2106</v>
      </c>
      <c r="N1892" t="n">
        <v>12636000</v>
      </c>
      <c r="O1892" t="n">
        <v>31188870</v>
      </c>
      <c r="P1892" t="inlineStr"/>
      <c r="Q1892" t="n">
        <v>13.312</v>
      </c>
    </row>
    <row r="1893">
      <c r="A1893" t="inlineStr">
        <is>
          <t>MR24</t>
        </is>
      </c>
      <c r="B1893" t="inlineStr">
        <is>
          <t>SIMULACIONES_MR2024_V3</t>
        </is>
      </c>
      <c r="C1893" t="inlineStr">
        <is>
          <t>toneladas (6000 m3 x MR24_BD); pct sobre toneladas</t>
        </is>
      </c>
      <c r="D1893" t="inlineStr">
        <is>
          <t>anio_LOM25_AMIN_LE2</t>
        </is>
      </c>
      <c r="E1893" t="inlineStr">
        <is>
          <t>2030</t>
        </is>
      </c>
      <c r="F1893" t="inlineStr">
        <is>
          <t>litologia_tentativa</t>
        </is>
      </c>
      <c r="G1893" t="inlineStr">
        <is>
          <t>Mármol (hipótesis: sigla MDP)</t>
        </is>
      </c>
      <c r="H1893" t="inlineStr"/>
      <c r="I1893" t="inlineStr"/>
      <c r="J1893" t="inlineStr">
        <is>
          <t>suma de filas por código</t>
        </is>
      </c>
      <c r="K1893" t="inlineStr">
        <is>
          <t>Mármol (hipótesis: sigla MDP)</t>
        </is>
      </c>
      <c r="L1893" t="inlineStr"/>
      <c r="M1893" t="n">
        <v>467</v>
      </c>
      <c r="N1893" t="n">
        <v>2802000</v>
      </c>
      <c r="O1893" t="n">
        <v>7990872</v>
      </c>
      <c r="P1893" t="inlineStr"/>
      <c r="Q1893" t="n">
        <v>3.411</v>
      </c>
    </row>
    <row r="1894">
      <c r="A1894" t="inlineStr">
        <is>
          <t>MR24</t>
        </is>
      </c>
      <c r="B1894" t="inlineStr">
        <is>
          <t>SIMULACIONES_MR2024_V3</t>
        </is>
      </c>
      <c r="C1894" t="inlineStr">
        <is>
          <t>toneladas (6000 m3 x MR24_BD); pct sobre toneladas</t>
        </is>
      </c>
      <c r="D1894" t="inlineStr">
        <is>
          <t>anio_LOM25_AMIN_LE2</t>
        </is>
      </c>
      <c r="E1894" t="inlineStr">
        <is>
          <t>2030</t>
        </is>
      </c>
      <c r="F1894" t="inlineStr">
        <is>
          <t>litologia_tentativa</t>
        </is>
      </c>
      <c r="G1894" t="inlineStr">
        <is>
          <t>Mármol (hipótesis: siglas MC, MG, MGS, MPA, MCGB; 'Marble'~MCGB)</t>
        </is>
      </c>
      <c r="H1894" t="inlineStr"/>
      <c r="I1894" t="inlineStr"/>
      <c r="J1894" t="inlineStr">
        <is>
          <t>suma de filas por código</t>
        </is>
      </c>
      <c r="K1894" t="inlineStr">
        <is>
          <t>Mármol (hipótesis: siglas MC, MG, MGS, MPA, MCGB; 'Marble'~MCGB)</t>
        </is>
      </c>
      <c r="L1894" t="inlineStr"/>
      <c r="M1894" t="n">
        <v>2988</v>
      </c>
      <c r="N1894" t="n">
        <v>17928000</v>
      </c>
      <c r="O1894" t="n">
        <v>48851004</v>
      </c>
      <c r="P1894" t="inlineStr"/>
      <c r="Q1894" t="n">
        <v>20.851</v>
      </c>
    </row>
    <row r="1895">
      <c r="A1895" t="inlineStr">
        <is>
          <t>MR24</t>
        </is>
      </c>
      <c r="B1895" t="inlineStr">
        <is>
          <t>SIMULACIONES_MR2024_V3</t>
        </is>
      </c>
      <c r="C1895" t="inlineStr">
        <is>
          <t>toneladas (6000 m3 x MR24_BD); pct sobre toneladas</t>
        </is>
      </c>
      <c r="D1895" t="inlineStr">
        <is>
          <t>anio_LOM25_AMIN_LE2</t>
        </is>
      </c>
      <c r="E1895" t="inlineStr">
        <is>
          <t>2030</t>
        </is>
      </c>
      <c r="F1895" t="inlineStr">
        <is>
          <t>litologia_tentativa</t>
        </is>
      </c>
      <c r="G1895" t="inlineStr">
        <is>
          <t>sin hipótesis</t>
        </is>
      </c>
      <c r="H1895" t="inlineStr"/>
      <c r="I1895" t="inlineStr"/>
      <c r="J1895" t="inlineStr">
        <is>
          <t>suma de filas por código</t>
        </is>
      </c>
      <c r="K1895" t="inlineStr">
        <is>
          <t>sin hipótesis</t>
        </is>
      </c>
      <c r="L1895" t="inlineStr"/>
      <c r="M1895" t="n">
        <v>31</v>
      </c>
      <c r="N1895" t="n">
        <v>186000</v>
      </c>
      <c r="O1895" t="n">
        <v>492822</v>
      </c>
      <c r="P1895" t="inlineStr"/>
      <c r="Q1895" t="n">
        <v>0.21</v>
      </c>
    </row>
    <row r="1896">
      <c r="A1896" t="inlineStr">
        <is>
          <t>MR24</t>
        </is>
      </c>
      <c r="B1896" t="inlineStr">
        <is>
          <t>SIMULACIONES_MR2024_V3</t>
        </is>
      </c>
      <c r="C1896" t="inlineStr">
        <is>
          <t>toneladas (6000 m3 x MR24_BD); pct sobre toneladas</t>
        </is>
      </c>
      <c r="D1896" t="inlineStr">
        <is>
          <t>anio_LOM25_AMIN_LE2</t>
        </is>
      </c>
      <c r="E1896" t="inlineStr">
        <is>
          <t>2031</t>
        </is>
      </c>
      <c r="F1896" t="inlineStr">
        <is>
          <t>litologia_tentativa</t>
        </is>
      </c>
      <c r="G1896" t="inlineStr">
        <is>
          <t>Caliza (hipótesis: Sedimentario; RT11~NUMEQ10, siglas C*)</t>
        </is>
      </c>
      <c r="H1896" t="inlineStr"/>
      <c r="I1896" t="inlineStr"/>
      <c r="J1896" t="inlineStr">
        <is>
          <t>suma de filas por código</t>
        </is>
      </c>
      <c r="K1896" t="inlineStr">
        <is>
          <t>Caliza (hipótesis: Sedimentario; RT11~NUMEQ10, siglas C*)</t>
        </is>
      </c>
      <c r="L1896" t="inlineStr"/>
      <c r="M1896" t="n">
        <v>4978</v>
      </c>
      <c r="N1896" t="n">
        <v>29868000</v>
      </c>
      <c r="O1896" t="n">
        <v>80879664</v>
      </c>
      <c r="P1896" t="inlineStr"/>
      <c r="Q1896" t="n">
        <v>35.32</v>
      </c>
    </row>
    <row r="1897">
      <c r="A1897" t="inlineStr">
        <is>
          <t>MR24</t>
        </is>
      </c>
      <c r="B1897" t="inlineStr">
        <is>
          <t>SIMULACIONES_MR2024_V3</t>
        </is>
      </c>
      <c r="C1897" t="inlineStr">
        <is>
          <t>toneladas (6000 m3 x MR24_BD); pct sobre toneladas</t>
        </is>
      </c>
      <c r="D1897" t="inlineStr">
        <is>
          <t>anio_LOM25_AMIN_LE2</t>
        </is>
      </c>
      <c r="E1897" t="inlineStr">
        <is>
          <t>2031</t>
        </is>
      </c>
      <c r="F1897" t="inlineStr">
        <is>
          <t>litologia_tentativa</t>
        </is>
      </c>
      <c r="G1897" t="inlineStr">
        <is>
          <t>Caliza (hipótesis: siglas C*)</t>
        </is>
      </c>
      <c r="H1897" t="inlineStr"/>
      <c r="I1897" t="inlineStr"/>
      <c r="J1897" t="inlineStr">
        <is>
          <t>suma de filas por código</t>
        </is>
      </c>
      <c r="K1897" t="inlineStr">
        <is>
          <t>Caliza (hipótesis: siglas C*)</t>
        </is>
      </c>
      <c r="L1897" t="inlineStr"/>
      <c r="M1897" t="n">
        <v>1182</v>
      </c>
      <c r="N1897" t="n">
        <v>7092000</v>
      </c>
      <c r="O1897" t="n">
        <v>19145796</v>
      </c>
      <c r="P1897" t="inlineStr"/>
      <c r="Q1897" t="n">
        <v>8.361000000000001</v>
      </c>
    </row>
    <row r="1898">
      <c r="A1898" t="inlineStr">
        <is>
          <t>MR24</t>
        </is>
      </c>
      <c r="B1898" t="inlineStr">
        <is>
          <t>SIMULACIONES_MR2024_V3</t>
        </is>
      </c>
      <c r="C1898" t="inlineStr">
        <is>
          <t>toneladas (6000 m3 x MR24_BD); pct sobre toneladas</t>
        </is>
      </c>
      <c r="D1898" t="inlineStr">
        <is>
          <t>anio_LOM25_AMIN_LE2</t>
        </is>
      </c>
      <c r="E1898" t="inlineStr">
        <is>
          <t>2031</t>
        </is>
      </c>
      <c r="F1898" t="inlineStr">
        <is>
          <t>litologia_tentativa</t>
        </is>
      </c>
      <c r="G1898" t="inlineStr">
        <is>
          <t>Hornfels (hipótesis: siglas HBV, HGV, HCB, HDP; 'Diop. Hornfels'~HGV)</t>
        </is>
      </c>
      <c r="H1898" t="inlineStr"/>
      <c r="I1898" t="inlineStr"/>
      <c r="J1898" t="inlineStr">
        <is>
          <t>suma de filas por código</t>
        </is>
      </c>
      <c r="K1898" t="inlineStr">
        <is>
          <t>Hornfels (hipótesis: siglas HBV, HGV, HCB, HDP; 'Diop. Hornfels'~HGV)</t>
        </is>
      </c>
      <c r="L1898" t="inlineStr"/>
      <c r="M1898" t="n">
        <v>462</v>
      </c>
      <c r="N1898" t="n">
        <v>2772000</v>
      </c>
      <c r="O1898" t="n">
        <v>7840068</v>
      </c>
      <c r="P1898" t="inlineStr"/>
      <c r="Q1898" t="n">
        <v>3.424</v>
      </c>
    </row>
    <row r="1899">
      <c r="A1899" t="inlineStr">
        <is>
          <t>MR24</t>
        </is>
      </c>
      <c r="B1899" t="inlineStr">
        <is>
          <t>SIMULACIONES_MR2024_V3</t>
        </is>
      </c>
      <c r="C1899" t="inlineStr">
        <is>
          <t>toneladas (6000 m3 x MR24_BD); pct sobre toneladas</t>
        </is>
      </c>
      <c r="D1899" t="inlineStr">
        <is>
          <t>anio_LOM25_AMIN_LE2</t>
        </is>
      </c>
      <c r="E1899" t="inlineStr">
        <is>
          <t>2031</t>
        </is>
      </c>
      <c r="F1899" t="inlineStr">
        <is>
          <t>litologia_tentativa</t>
        </is>
      </c>
      <c r="G1899" t="inlineStr">
        <is>
          <t>Hornfels (hipótesis: siglas HG, HGS, HC)</t>
        </is>
      </c>
      <c r="H1899" t="inlineStr"/>
      <c r="I1899" t="inlineStr"/>
      <c r="J1899" t="inlineStr">
        <is>
          <t>suma de filas por código</t>
        </is>
      </c>
      <c r="K1899" t="inlineStr">
        <is>
          <t>Hornfels (hipótesis: siglas HG, HGS, HC)</t>
        </is>
      </c>
      <c r="L1899" t="inlineStr"/>
      <c r="M1899" t="n">
        <v>3009</v>
      </c>
      <c r="N1899" t="n">
        <v>18054000</v>
      </c>
      <c r="O1899" t="n">
        <v>49120812</v>
      </c>
      <c r="P1899" t="inlineStr"/>
      <c r="Q1899" t="n">
        <v>21.451</v>
      </c>
    </row>
    <row r="1900">
      <c r="A1900" t="inlineStr">
        <is>
          <t>MR24</t>
        </is>
      </c>
      <c r="B1900" t="inlineStr">
        <is>
          <t>SIMULACIONES_MR2024_V3</t>
        </is>
      </c>
      <c r="C1900" t="inlineStr">
        <is>
          <t>toneladas (6000 m3 x MR24_BD); pct sobre toneladas</t>
        </is>
      </c>
      <c r="D1900" t="inlineStr">
        <is>
          <t>anio_LOM25_AMIN_LE2</t>
        </is>
      </c>
      <c r="E1900" t="inlineStr">
        <is>
          <t>2031</t>
        </is>
      </c>
      <c r="F1900" t="inlineStr">
        <is>
          <t>litologia_tentativa</t>
        </is>
      </c>
      <c r="G1900" t="inlineStr">
        <is>
          <t>Intrusivo</t>
        </is>
      </c>
      <c r="H1900" t="inlineStr"/>
      <c r="I1900" t="inlineStr"/>
      <c r="J1900" t="inlineStr">
        <is>
          <t>suma de filas por código</t>
        </is>
      </c>
      <c r="K1900" t="inlineStr">
        <is>
          <t>Intrusivo</t>
        </is>
      </c>
      <c r="L1900" t="inlineStr"/>
      <c r="M1900" t="n">
        <v>1925</v>
      </c>
      <c r="N1900" t="n">
        <v>11550000</v>
      </c>
      <c r="O1900" t="n">
        <v>28859658</v>
      </c>
      <c r="P1900" t="inlineStr"/>
      <c r="Q1900" t="n">
        <v>12.603</v>
      </c>
    </row>
    <row r="1901">
      <c r="A1901" t="inlineStr">
        <is>
          <t>MR24</t>
        </is>
      </c>
      <c r="B1901" t="inlineStr">
        <is>
          <t>SIMULACIONES_MR2024_V3</t>
        </is>
      </c>
      <c r="C1901" t="inlineStr">
        <is>
          <t>toneladas (6000 m3 x MR24_BD); pct sobre toneladas</t>
        </is>
      </c>
      <c r="D1901" t="inlineStr">
        <is>
          <t>anio_LOM25_AMIN_LE2</t>
        </is>
      </c>
      <c r="E1901" t="inlineStr">
        <is>
          <t>2031</t>
        </is>
      </c>
      <c r="F1901" t="inlineStr">
        <is>
          <t>litologia_tentativa</t>
        </is>
      </c>
      <c r="G1901" t="inlineStr">
        <is>
          <t>Mármol (hipótesis: sigla MDP)</t>
        </is>
      </c>
      <c r="H1901" t="inlineStr"/>
      <c r="I1901" t="inlineStr"/>
      <c r="J1901" t="inlineStr">
        <is>
          <t>suma de filas por código</t>
        </is>
      </c>
      <c r="K1901" t="inlineStr">
        <is>
          <t>Mármol (hipótesis: sigla MDP)</t>
        </is>
      </c>
      <c r="L1901" t="inlineStr"/>
      <c r="M1901" t="n">
        <v>281</v>
      </c>
      <c r="N1901" t="n">
        <v>1686000</v>
      </c>
      <c r="O1901" t="n">
        <v>4755078</v>
      </c>
      <c r="P1901" t="inlineStr"/>
      <c r="Q1901" t="n">
        <v>2.077</v>
      </c>
    </row>
    <row r="1902">
      <c r="A1902" t="inlineStr">
        <is>
          <t>MR24</t>
        </is>
      </c>
      <c r="B1902" t="inlineStr">
        <is>
          <t>SIMULACIONES_MR2024_V3</t>
        </is>
      </c>
      <c r="C1902" t="inlineStr">
        <is>
          <t>toneladas (6000 m3 x MR24_BD); pct sobre toneladas</t>
        </is>
      </c>
      <c r="D1902" t="inlineStr">
        <is>
          <t>anio_LOM25_AMIN_LE2</t>
        </is>
      </c>
      <c r="E1902" t="inlineStr">
        <is>
          <t>2031</t>
        </is>
      </c>
      <c r="F1902" t="inlineStr">
        <is>
          <t>litologia_tentativa</t>
        </is>
      </c>
      <c r="G1902" t="inlineStr">
        <is>
          <t>Mármol (hipótesis: siglas MC, MG, MGS, MPA, MCGB; 'Marble'~MCGB)</t>
        </is>
      </c>
      <c r="H1902" t="inlineStr"/>
      <c r="I1902" t="inlineStr"/>
      <c r="J1902" t="inlineStr">
        <is>
          <t>suma de filas por código</t>
        </is>
      </c>
      <c r="K1902" t="inlineStr">
        <is>
          <t>Mármol (hipótesis: siglas MC, MG, MGS, MPA, MCGB; 'Marble'~MCGB)</t>
        </is>
      </c>
      <c r="L1902" t="inlineStr"/>
      <c r="M1902" t="n">
        <v>2312</v>
      </c>
      <c r="N1902" t="n">
        <v>13872000</v>
      </c>
      <c r="O1902" t="n">
        <v>37904244</v>
      </c>
      <c r="P1902" t="inlineStr"/>
      <c r="Q1902" t="n">
        <v>16.553</v>
      </c>
    </row>
    <row r="1903">
      <c r="A1903" t="inlineStr">
        <is>
          <t>MR24</t>
        </is>
      </c>
      <c r="B1903" t="inlineStr">
        <is>
          <t>SIMULACIONES_MR2024_V3</t>
        </is>
      </c>
      <c r="C1903" t="inlineStr">
        <is>
          <t>toneladas (6000 m3 x MR24_BD); pct sobre toneladas</t>
        </is>
      </c>
      <c r="D1903" t="inlineStr">
        <is>
          <t>anio_LOM25_AMIN_LE2</t>
        </is>
      </c>
      <c r="E1903" t="inlineStr">
        <is>
          <t>2031</t>
        </is>
      </c>
      <c r="F1903" t="inlineStr">
        <is>
          <t>litologia_tentativa</t>
        </is>
      </c>
      <c r="G1903" t="inlineStr">
        <is>
          <t>sin hipótesis</t>
        </is>
      </c>
      <c r="H1903" t="inlineStr"/>
      <c r="I1903" t="inlineStr"/>
      <c r="J1903" t="inlineStr">
        <is>
          <t>suma de filas por código</t>
        </is>
      </c>
      <c r="K1903" t="inlineStr">
        <is>
          <t>sin hipótesis</t>
        </is>
      </c>
      <c r="L1903" t="inlineStr"/>
      <c r="M1903" t="n">
        <v>30</v>
      </c>
      <c r="N1903" t="n">
        <v>180000</v>
      </c>
      <c r="O1903" t="n">
        <v>486702</v>
      </c>
      <c r="P1903" t="inlineStr"/>
      <c r="Q1903" t="n">
        <v>0.213</v>
      </c>
    </row>
    <row r="1904">
      <c r="A1904" t="inlineStr">
        <is>
          <t>MR24</t>
        </is>
      </c>
      <c r="B1904" t="inlineStr">
        <is>
          <t>SIMULACIONES_MR2024_V3</t>
        </is>
      </c>
      <c r="C1904" t="inlineStr">
        <is>
          <t>toneladas (6000 m3 x MR24_BD); pct sobre toneladas</t>
        </is>
      </c>
      <c r="D1904" t="inlineStr">
        <is>
          <t>anio_LOM25_AMIN_LE2</t>
        </is>
      </c>
      <c r="E1904" t="inlineStr">
        <is>
          <t>2032</t>
        </is>
      </c>
      <c r="F1904" t="inlineStr">
        <is>
          <t>litologia_tentativa</t>
        </is>
      </c>
      <c r="G1904" t="inlineStr">
        <is>
          <t>Caliza (hipótesis: Sedimentario; RT11~NUMEQ10, siglas C*)</t>
        </is>
      </c>
      <c r="H1904" t="inlineStr"/>
      <c r="I1904" t="inlineStr"/>
      <c r="J1904" t="inlineStr">
        <is>
          <t>suma de filas por código</t>
        </is>
      </c>
      <c r="K1904" t="inlineStr">
        <is>
          <t>Caliza (hipótesis: Sedimentario; RT11~NUMEQ10, siglas C*)</t>
        </is>
      </c>
      <c r="L1904" t="inlineStr"/>
      <c r="M1904" t="n">
        <v>4209</v>
      </c>
      <c r="N1904" t="n">
        <v>25254000</v>
      </c>
      <c r="O1904" t="n">
        <v>68506368</v>
      </c>
      <c r="P1904" t="inlineStr"/>
      <c r="Q1904" t="n">
        <v>25.965</v>
      </c>
    </row>
    <row r="1905">
      <c r="A1905" t="inlineStr">
        <is>
          <t>MR24</t>
        </is>
      </c>
      <c r="B1905" t="inlineStr">
        <is>
          <t>SIMULACIONES_MR2024_V3</t>
        </is>
      </c>
      <c r="C1905" t="inlineStr">
        <is>
          <t>toneladas (6000 m3 x MR24_BD); pct sobre toneladas</t>
        </is>
      </c>
      <c r="D1905" t="inlineStr">
        <is>
          <t>anio_LOM25_AMIN_LE2</t>
        </is>
      </c>
      <c r="E1905" t="inlineStr">
        <is>
          <t>2032</t>
        </is>
      </c>
      <c r="F1905" t="inlineStr">
        <is>
          <t>litologia_tentativa</t>
        </is>
      </c>
      <c r="G1905" t="inlineStr">
        <is>
          <t>Caliza (hipótesis: siglas C*)</t>
        </is>
      </c>
      <c r="H1905" t="inlineStr"/>
      <c r="I1905" t="inlineStr"/>
      <c r="J1905" t="inlineStr">
        <is>
          <t>suma de filas por código</t>
        </is>
      </c>
      <c r="K1905" t="inlineStr">
        <is>
          <t>Caliza (hipótesis: siglas C*)</t>
        </is>
      </c>
      <c r="L1905" t="inlineStr"/>
      <c r="M1905" t="n">
        <v>2066</v>
      </c>
      <c r="N1905" t="n">
        <v>12396000</v>
      </c>
      <c r="O1905" t="n">
        <v>33556020</v>
      </c>
      <c r="P1905" t="inlineStr"/>
      <c r="Q1905" t="n">
        <v>12.718</v>
      </c>
    </row>
    <row r="1906">
      <c r="A1906" t="inlineStr">
        <is>
          <t>MR24</t>
        </is>
      </c>
      <c r="B1906" t="inlineStr">
        <is>
          <t>SIMULACIONES_MR2024_V3</t>
        </is>
      </c>
      <c r="C1906" t="inlineStr">
        <is>
          <t>toneladas (6000 m3 x MR24_BD); pct sobre toneladas</t>
        </is>
      </c>
      <c r="D1906" t="inlineStr">
        <is>
          <t>anio_LOM25_AMIN_LE2</t>
        </is>
      </c>
      <c r="E1906" t="inlineStr">
        <is>
          <t>2032</t>
        </is>
      </c>
      <c r="F1906" t="inlineStr">
        <is>
          <t>litologia_tentativa</t>
        </is>
      </c>
      <c r="G1906" t="inlineStr">
        <is>
          <t>Hornfels (hipótesis: siglas HBV, HGV, HCB, HDP; 'Diop. Hornfels'~HGV)</t>
        </is>
      </c>
      <c r="H1906" t="inlineStr"/>
      <c r="I1906" t="inlineStr"/>
      <c r="J1906" t="inlineStr">
        <is>
          <t>suma de filas por código</t>
        </is>
      </c>
      <c r="K1906" t="inlineStr">
        <is>
          <t>Hornfels (hipótesis: siglas HBV, HGV, HCB, HDP; 'Diop. Hornfels'~HGV)</t>
        </is>
      </c>
      <c r="L1906" t="inlineStr"/>
      <c r="M1906" t="n">
        <v>463</v>
      </c>
      <c r="N1906" t="n">
        <v>2778000</v>
      </c>
      <c r="O1906" t="n">
        <v>8074692</v>
      </c>
      <c r="P1906" t="inlineStr"/>
      <c r="Q1906" t="n">
        <v>3.06</v>
      </c>
    </row>
    <row r="1907">
      <c r="A1907" t="inlineStr">
        <is>
          <t>MR24</t>
        </is>
      </c>
      <c r="B1907" t="inlineStr">
        <is>
          <t>SIMULACIONES_MR2024_V3</t>
        </is>
      </c>
      <c r="C1907" t="inlineStr">
        <is>
          <t>toneladas (6000 m3 x MR24_BD); pct sobre toneladas</t>
        </is>
      </c>
      <c r="D1907" t="inlineStr">
        <is>
          <t>anio_LOM25_AMIN_LE2</t>
        </is>
      </c>
      <c r="E1907" t="inlineStr">
        <is>
          <t>2032</t>
        </is>
      </c>
      <c r="F1907" t="inlineStr">
        <is>
          <t>litologia_tentativa</t>
        </is>
      </c>
      <c r="G1907" t="inlineStr">
        <is>
          <t>Hornfels (hipótesis: siglas HG, HGS, HC)</t>
        </is>
      </c>
      <c r="H1907" t="inlineStr"/>
      <c r="I1907" t="inlineStr"/>
      <c r="J1907" t="inlineStr">
        <is>
          <t>suma de filas por código</t>
        </is>
      </c>
      <c r="K1907" t="inlineStr">
        <is>
          <t>Hornfels (hipótesis: siglas HG, HGS, HC)</t>
        </is>
      </c>
      <c r="L1907" t="inlineStr"/>
      <c r="M1907" t="n">
        <v>2623</v>
      </c>
      <c r="N1907" t="n">
        <v>15738000</v>
      </c>
      <c r="O1907" t="n">
        <v>42671472</v>
      </c>
      <c r="P1907" t="inlineStr"/>
      <c r="Q1907" t="n">
        <v>16.173</v>
      </c>
    </row>
    <row r="1908">
      <c r="A1908" t="inlineStr">
        <is>
          <t>MR24</t>
        </is>
      </c>
      <c r="B1908" t="inlineStr">
        <is>
          <t>SIMULACIONES_MR2024_V3</t>
        </is>
      </c>
      <c r="C1908" t="inlineStr">
        <is>
          <t>toneladas (6000 m3 x MR24_BD); pct sobre toneladas</t>
        </is>
      </c>
      <c r="D1908" t="inlineStr">
        <is>
          <t>anio_LOM25_AMIN_LE2</t>
        </is>
      </c>
      <c r="E1908" t="inlineStr">
        <is>
          <t>2032</t>
        </is>
      </c>
      <c r="F1908" t="inlineStr">
        <is>
          <t>litologia_tentativa</t>
        </is>
      </c>
      <c r="G1908" t="inlineStr">
        <is>
          <t>Intrusivo</t>
        </is>
      </c>
      <c r="H1908" t="inlineStr"/>
      <c r="I1908" t="inlineStr"/>
      <c r="J1908" t="inlineStr">
        <is>
          <t>suma de filas por código</t>
        </is>
      </c>
      <c r="K1908" t="inlineStr">
        <is>
          <t>Intrusivo</t>
        </is>
      </c>
      <c r="L1908" t="inlineStr"/>
      <c r="M1908" t="n">
        <v>3514</v>
      </c>
      <c r="N1908" t="n">
        <v>21084000</v>
      </c>
      <c r="O1908" t="n">
        <v>52461186</v>
      </c>
      <c r="P1908" t="inlineStr"/>
      <c r="Q1908" t="n">
        <v>19.884</v>
      </c>
    </row>
    <row r="1909">
      <c r="A1909" t="inlineStr">
        <is>
          <t>MR24</t>
        </is>
      </c>
      <c r="B1909" t="inlineStr">
        <is>
          <t>SIMULACIONES_MR2024_V3</t>
        </is>
      </c>
      <c r="C1909" t="inlineStr">
        <is>
          <t>toneladas (6000 m3 x MR24_BD); pct sobre toneladas</t>
        </is>
      </c>
      <c r="D1909" t="inlineStr">
        <is>
          <t>anio_LOM25_AMIN_LE2</t>
        </is>
      </c>
      <c r="E1909" t="inlineStr">
        <is>
          <t>2032</t>
        </is>
      </c>
      <c r="F1909" t="inlineStr">
        <is>
          <t>litologia_tentativa</t>
        </is>
      </c>
      <c r="G1909" t="inlineStr">
        <is>
          <t>Mármol (hipótesis: sigla MDP)</t>
        </is>
      </c>
      <c r="H1909" t="inlineStr"/>
      <c r="I1909" t="inlineStr"/>
      <c r="J1909" t="inlineStr">
        <is>
          <t>suma de filas por código</t>
        </is>
      </c>
      <c r="K1909" t="inlineStr">
        <is>
          <t>Mármol (hipótesis: sigla MDP)</t>
        </is>
      </c>
      <c r="L1909" t="inlineStr"/>
      <c r="M1909" t="n">
        <v>340</v>
      </c>
      <c r="N1909" t="n">
        <v>2040000</v>
      </c>
      <c r="O1909" t="n">
        <v>5795346</v>
      </c>
      <c r="P1909" t="inlineStr"/>
      <c r="Q1909" t="n">
        <v>2.197</v>
      </c>
    </row>
    <row r="1910">
      <c r="A1910" t="inlineStr">
        <is>
          <t>MR24</t>
        </is>
      </c>
      <c r="B1910" t="inlineStr">
        <is>
          <t>SIMULACIONES_MR2024_V3</t>
        </is>
      </c>
      <c r="C1910" t="inlineStr">
        <is>
          <t>toneladas (6000 m3 x MR24_BD); pct sobre toneladas</t>
        </is>
      </c>
      <c r="D1910" t="inlineStr">
        <is>
          <t>anio_LOM25_AMIN_LE2</t>
        </is>
      </c>
      <c r="E1910" t="inlineStr">
        <is>
          <t>2032</t>
        </is>
      </c>
      <c r="F1910" t="inlineStr">
        <is>
          <t>litologia_tentativa</t>
        </is>
      </c>
      <c r="G1910" t="inlineStr">
        <is>
          <t>Mármol (hipótesis: siglas MC, MG, MGS, MPA, MCGB; 'Marble'~MCGB)</t>
        </is>
      </c>
      <c r="H1910" t="inlineStr"/>
      <c r="I1910" t="inlineStr"/>
      <c r="J1910" t="inlineStr">
        <is>
          <t>suma de filas por código</t>
        </is>
      </c>
      <c r="K1910" t="inlineStr">
        <is>
          <t>Mármol (hipótesis: siglas MC, MG, MGS, MPA, MCGB; 'Marble'~MCGB)</t>
        </is>
      </c>
      <c r="L1910" t="inlineStr"/>
      <c r="M1910" t="n">
        <v>3217</v>
      </c>
      <c r="N1910" t="n">
        <v>19302000</v>
      </c>
      <c r="O1910" t="n">
        <v>52632798</v>
      </c>
      <c r="P1910" t="inlineStr"/>
      <c r="Q1910" t="n">
        <v>19.948</v>
      </c>
    </row>
    <row r="1911">
      <c r="A1911" t="inlineStr">
        <is>
          <t>MR24</t>
        </is>
      </c>
      <c r="B1911" t="inlineStr">
        <is>
          <t>SIMULACIONES_MR2024_V3</t>
        </is>
      </c>
      <c r="C1911" t="inlineStr">
        <is>
          <t>toneladas (6000 m3 x MR24_BD); pct sobre toneladas</t>
        </is>
      </c>
      <c r="D1911" t="inlineStr">
        <is>
          <t>anio_LOM25_AMIN_LE2</t>
        </is>
      </c>
      <c r="E1911" t="inlineStr">
        <is>
          <t>2032</t>
        </is>
      </c>
      <c r="F1911" t="inlineStr">
        <is>
          <t>litologia_tentativa</t>
        </is>
      </c>
      <c r="G1911" t="inlineStr">
        <is>
          <t>sin hipótesis</t>
        </is>
      </c>
      <c r="H1911" t="inlineStr"/>
      <c r="I1911" t="inlineStr"/>
      <c r="J1911" t="inlineStr">
        <is>
          <t>suma de filas por código</t>
        </is>
      </c>
      <c r="K1911" t="inlineStr">
        <is>
          <t>sin hipótesis</t>
        </is>
      </c>
      <c r="L1911" t="inlineStr"/>
      <c r="M1911" t="n">
        <v>9</v>
      </c>
      <c r="N1911" t="n">
        <v>54000</v>
      </c>
      <c r="O1911" t="n">
        <v>146382</v>
      </c>
      <c r="P1911" t="inlineStr"/>
      <c r="Q1911" t="n">
        <v>0.055</v>
      </c>
    </row>
    <row r="1912">
      <c r="A1912" t="inlineStr">
        <is>
          <t>MR24</t>
        </is>
      </c>
      <c r="B1912" t="inlineStr">
        <is>
          <t>SIMULACIONES_MR2024_V3</t>
        </is>
      </c>
      <c r="C1912" t="inlineStr">
        <is>
          <t>toneladas (6000 m3 x MR24_BD); pct sobre toneladas</t>
        </is>
      </c>
      <c r="D1912" t="inlineStr">
        <is>
          <t>anio_LOM25_AMIN_LE2</t>
        </is>
      </c>
      <c r="E1912" t="inlineStr">
        <is>
          <t>2033</t>
        </is>
      </c>
      <c r="F1912" t="inlineStr">
        <is>
          <t>litologia_tentativa</t>
        </is>
      </c>
      <c r="G1912" t="inlineStr">
        <is>
          <t>Caliza (hipótesis: Sedimentario; RT11~NUMEQ10, siglas C*)</t>
        </is>
      </c>
      <c r="H1912" t="inlineStr"/>
      <c r="I1912" t="inlineStr"/>
      <c r="J1912" t="inlineStr">
        <is>
          <t>suma de filas por código</t>
        </is>
      </c>
      <c r="K1912" t="inlineStr">
        <is>
          <t>Caliza (hipótesis: Sedimentario; RT11~NUMEQ10, siglas C*)</t>
        </is>
      </c>
      <c r="L1912" t="inlineStr"/>
      <c r="M1912" t="n">
        <v>3699</v>
      </c>
      <c r="N1912" t="n">
        <v>22194000</v>
      </c>
      <c r="O1912" t="n">
        <v>60302106</v>
      </c>
      <c r="P1912" t="inlineStr"/>
      <c r="Q1912" t="n">
        <v>20.732</v>
      </c>
    </row>
    <row r="1913">
      <c r="A1913" t="inlineStr">
        <is>
          <t>MR24</t>
        </is>
      </c>
      <c r="B1913" t="inlineStr">
        <is>
          <t>SIMULACIONES_MR2024_V3</t>
        </is>
      </c>
      <c r="C1913" t="inlineStr">
        <is>
          <t>toneladas (6000 m3 x MR24_BD); pct sobre toneladas</t>
        </is>
      </c>
      <c r="D1913" t="inlineStr">
        <is>
          <t>anio_LOM25_AMIN_LE2</t>
        </is>
      </c>
      <c r="E1913" t="inlineStr">
        <is>
          <t>2033</t>
        </is>
      </c>
      <c r="F1913" t="inlineStr">
        <is>
          <t>litologia_tentativa</t>
        </is>
      </c>
      <c r="G1913" t="inlineStr">
        <is>
          <t>Caliza (hipótesis: siglas C*)</t>
        </is>
      </c>
      <c r="H1913" t="inlineStr"/>
      <c r="I1913" t="inlineStr"/>
      <c r="J1913" t="inlineStr">
        <is>
          <t>suma de filas por código</t>
        </is>
      </c>
      <c r="K1913" t="inlineStr">
        <is>
          <t>Caliza (hipótesis: siglas C*)</t>
        </is>
      </c>
      <c r="L1913" t="inlineStr"/>
      <c r="M1913" t="n">
        <v>3767</v>
      </c>
      <c r="N1913" t="n">
        <v>22602000</v>
      </c>
      <c r="O1913" t="n">
        <v>61241112</v>
      </c>
      <c r="P1913" t="inlineStr"/>
      <c r="Q1913" t="n">
        <v>21.055</v>
      </c>
    </row>
    <row r="1914">
      <c r="A1914" t="inlineStr">
        <is>
          <t>MR24</t>
        </is>
      </c>
      <c r="B1914" t="inlineStr">
        <is>
          <t>SIMULACIONES_MR2024_V3</t>
        </is>
      </c>
      <c r="C1914" t="inlineStr">
        <is>
          <t>toneladas (6000 m3 x MR24_BD); pct sobre toneladas</t>
        </is>
      </c>
      <c r="D1914" t="inlineStr">
        <is>
          <t>anio_LOM25_AMIN_LE2</t>
        </is>
      </c>
      <c r="E1914" t="inlineStr">
        <is>
          <t>2033</t>
        </is>
      </c>
      <c r="F1914" t="inlineStr">
        <is>
          <t>litologia_tentativa</t>
        </is>
      </c>
      <c r="G1914" t="inlineStr">
        <is>
          <t>Hornfels (hipótesis: siglas HBV, HGV, HCB, HDP; 'Diop. Hornfels'~HGV)</t>
        </is>
      </c>
      <c r="H1914" t="inlineStr"/>
      <c r="I1914" t="inlineStr"/>
      <c r="J1914" t="inlineStr">
        <is>
          <t>suma de filas por código</t>
        </is>
      </c>
      <c r="K1914" t="inlineStr">
        <is>
          <t>Hornfels (hipótesis: siglas HBV, HGV, HCB, HDP; 'Diop. Hornfels'~HGV)</t>
        </is>
      </c>
      <c r="L1914" t="inlineStr"/>
      <c r="M1914" t="n">
        <v>669</v>
      </c>
      <c r="N1914" t="n">
        <v>4014000</v>
      </c>
      <c r="O1914" t="n">
        <v>11664396</v>
      </c>
      <c r="P1914" t="inlineStr"/>
      <c r="Q1914" t="n">
        <v>4.01</v>
      </c>
    </row>
    <row r="1915">
      <c r="A1915" t="inlineStr">
        <is>
          <t>MR24</t>
        </is>
      </c>
      <c r="B1915" t="inlineStr">
        <is>
          <t>SIMULACIONES_MR2024_V3</t>
        </is>
      </c>
      <c r="C1915" t="inlineStr">
        <is>
          <t>toneladas (6000 m3 x MR24_BD); pct sobre toneladas</t>
        </is>
      </c>
      <c r="D1915" t="inlineStr">
        <is>
          <t>anio_LOM25_AMIN_LE2</t>
        </is>
      </c>
      <c r="E1915" t="inlineStr">
        <is>
          <t>2033</t>
        </is>
      </c>
      <c r="F1915" t="inlineStr">
        <is>
          <t>litologia_tentativa</t>
        </is>
      </c>
      <c r="G1915" t="inlineStr">
        <is>
          <t>Hornfels (hipótesis: siglas HG, HGS, HC)</t>
        </is>
      </c>
      <c r="H1915" t="inlineStr"/>
      <c r="I1915" t="inlineStr"/>
      <c r="J1915" t="inlineStr">
        <is>
          <t>suma de filas por código</t>
        </is>
      </c>
      <c r="K1915" t="inlineStr">
        <is>
          <t>Hornfels (hipótesis: siglas HG, HGS, HC)</t>
        </is>
      </c>
      <c r="L1915" t="inlineStr"/>
      <c r="M1915" t="n">
        <v>3271</v>
      </c>
      <c r="N1915" t="n">
        <v>19626000</v>
      </c>
      <c r="O1915" t="n">
        <v>53225496</v>
      </c>
      <c r="P1915" t="inlineStr"/>
      <c r="Q1915" t="n">
        <v>18.299</v>
      </c>
    </row>
    <row r="1916">
      <c r="A1916" t="inlineStr">
        <is>
          <t>MR24</t>
        </is>
      </c>
      <c r="B1916" t="inlineStr">
        <is>
          <t>SIMULACIONES_MR2024_V3</t>
        </is>
      </c>
      <c r="C1916" t="inlineStr">
        <is>
          <t>toneladas (6000 m3 x MR24_BD); pct sobre toneladas</t>
        </is>
      </c>
      <c r="D1916" t="inlineStr">
        <is>
          <t>anio_LOM25_AMIN_LE2</t>
        </is>
      </c>
      <c r="E1916" t="inlineStr">
        <is>
          <t>2033</t>
        </is>
      </c>
      <c r="F1916" t="inlineStr">
        <is>
          <t>litologia_tentativa</t>
        </is>
      </c>
      <c r="G1916" t="inlineStr">
        <is>
          <t>Intrusivo</t>
        </is>
      </c>
      <c r="H1916" t="inlineStr"/>
      <c r="I1916" t="inlineStr"/>
      <c r="J1916" t="inlineStr">
        <is>
          <t>suma de filas por código</t>
        </is>
      </c>
      <c r="K1916" t="inlineStr">
        <is>
          <t>Intrusivo</t>
        </is>
      </c>
      <c r="L1916" t="inlineStr"/>
      <c r="M1916" t="n">
        <v>1777</v>
      </c>
      <c r="N1916" t="n">
        <v>10662000</v>
      </c>
      <c r="O1916" t="n">
        <v>26860626</v>
      </c>
      <c r="P1916" t="inlineStr"/>
      <c r="Q1916" t="n">
        <v>9.234999999999999</v>
      </c>
    </row>
    <row r="1917">
      <c r="A1917" t="inlineStr">
        <is>
          <t>MR24</t>
        </is>
      </c>
      <c r="B1917" t="inlineStr">
        <is>
          <t>SIMULACIONES_MR2024_V3</t>
        </is>
      </c>
      <c r="C1917" t="inlineStr">
        <is>
          <t>toneladas (6000 m3 x MR24_BD); pct sobre toneladas</t>
        </is>
      </c>
      <c r="D1917" t="inlineStr">
        <is>
          <t>anio_LOM25_AMIN_LE2</t>
        </is>
      </c>
      <c r="E1917" t="inlineStr">
        <is>
          <t>2033</t>
        </is>
      </c>
      <c r="F1917" t="inlineStr">
        <is>
          <t>litologia_tentativa</t>
        </is>
      </c>
      <c r="G1917" t="inlineStr">
        <is>
          <t>Mármol (hipótesis: sigla MDP)</t>
        </is>
      </c>
      <c r="H1917" t="inlineStr"/>
      <c r="I1917" t="inlineStr"/>
      <c r="J1917" t="inlineStr">
        <is>
          <t>suma de filas por código</t>
        </is>
      </c>
      <c r="K1917" t="inlineStr">
        <is>
          <t>Mármol (hipótesis: sigla MDP)</t>
        </is>
      </c>
      <c r="L1917" t="inlineStr"/>
      <c r="M1917" t="n">
        <v>308</v>
      </c>
      <c r="N1917" t="n">
        <v>1848000</v>
      </c>
      <c r="O1917" t="n">
        <v>5298300</v>
      </c>
      <c r="P1917" t="inlineStr"/>
      <c r="Q1917" t="n">
        <v>1.822</v>
      </c>
    </row>
    <row r="1918">
      <c r="A1918" t="inlineStr">
        <is>
          <t>MR24</t>
        </is>
      </c>
      <c r="B1918" t="inlineStr">
        <is>
          <t>SIMULACIONES_MR2024_V3</t>
        </is>
      </c>
      <c r="C1918" t="inlineStr">
        <is>
          <t>toneladas (6000 m3 x MR24_BD); pct sobre toneladas</t>
        </is>
      </c>
      <c r="D1918" t="inlineStr">
        <is>
          <t>anio_LOM25_AMIN_LE2</t>
        </is>
      </c>
      <c r="E1918" t="inlineStr">
        <is>
          <t>2033</t>
        </is>
      </c>
      <c r="F1918" t="inlineStr">
        <is>
          <t>litologia_tentativa</t>
        </is>
      </c>
      <c r="G1918" t="inlineStr">
        <is>
          <t>Mármol (hipótesis: siglas MC, MG, MGS, MPA, MCGB; 'Marble'~MCGB)</t>
        </is>
      </c>
      <c r="H1918" t="inlineStr"/>
      <c r="I1918" t="inlineStr"/>
      <c r="J1918" t="inlineStr">
        <is>
          <t>suma de filas por código</t>
        </is>
      </c>
      <c r="K1918" t="inlineStr">
        <is>
          <t>Mármol (hipótesis: siglas MC, MG, MGS, MPA, MCGB; 'Marble'~MCGB)</t>
        </is>
      </c>
      <c r="L1918" t="inlineStr"/>
      <c r="M1918" t="n">
        <v>4414</v>
      </c>
      <c r="N1918" t="n">
        <v>26484000</v>
      </c>
      <c r="O1918" t="n">
        <v>71959470</v>
      </c>
      <c r="P1918" t="inlineStr"/>
      <c r="Q1918" t="n">
        <v>24.74</v>
      </c>
    </row>
    <row r="1919">
      <c r="A1919" t="inlineStr">
        <is>
          <t>MR24</t>
        </is>
      </c>
      <c r="B1919" t="inlineStr">
        <is>
          <t>SIMULACIONES_MR2024_V3</t>
        </is>
      </c>
      <c r="C1919" t="inlineStr">
        <is>
          <t>toneladas (6000 m3 x MR24_BD); pct sobre toneladas</t>
        </is>
      </c>
      <c r="D1919" t="inlineStr">
        <is>
          <t>anio_LOM25_AMIN_LE2</t>
        </is>
      </c>
      <c r="E1919" t="inlineStr">
        <is>
          <t>2033</t>
        </is>
      </c>
      <c r="F1919" t="inlineStr">
        <is>
          <t>litologia_tentativa</t>
        </is>
      </c>
      <c r="G1919" t="inlineStr">
        <is>
          <t>sin hipótesis</t>
        </is>
      </c>
      <c r="H1919" t="inlineStr"/>
      <c r="I1919" t="inlineStr"/>
      <c r="J1919" t="inlineStr">
        <is>
          <t>suma de filas por código</t>
        </is>
      </c>
      <c r="K1919" t="inlineStr">
        <is>
          <t>sin hipótesis</t>
        </is>
      </c>
      <c r="L1919" t="inlineStr"/>
      <c r="M1919" t="n">
        <v>17</v>
      </c>
      <c r="N1919" t="n">
        <v>102000</v>
      </c>
      <c r="O1919" t="n">
        <v>306822</v>
      </c>
      <c r="P1919" t="inlineStr"/>
      <c r="Q1919" t="n">
        <v>0.105</v>
      </c>
    </row>
    <row r="1920">
      <c r="A1920" t="inlineStr">
        <is>
          <t>MR24</t>
        </is>
      </c>
      <c r="B1920" t="inlineStr">
        <is>
          <t>SIMULACIONES_MR2024_V3</t>
        </is>
      </c>
      <c r="C1920" t="inlineStr">
        <is>
          <t>toneladas (6000 m3 x MR24_BD); pct sobre toneladas</t>
        </is>
      </c>
      <c r="D1920" t="inlineStr">
        <is>
          <t>anio_LOM25_AMIN_LE2</t>
        </is>
      </c>
      <c r="E1920" t="inlineStr">
        <is>
          <t>2034</t>
        </is>
      </c>
      <c r="F1920" t="inlineStr">
        <is>
          <t>litologia_tentativa</t>
        </is>
      </c>
      <c r="G1920" t="inlineStr">
        <is>
          <t>Caliza (hipótesis: Sedimentario; RT11~NUMEQ10, siglas C*)</t>
        </is>
      </c>
      <c r="H1920" t="inlineStr"/>
      <c r="I1920" t="inlineStr"/>
      <c r="J1920" t="inlineStr">
        <is>
          <t>suma de filas por código</t>
        </is>
      </c>
      <c r="K1920" t="inlineStr">
        <is>
          <t>Caliza (hipótesis: Sedimentario; RT11~NUMEQ10, siglas C*)</t>
        </is>
      </c>
      <c r="L1920" t="inlineStr"/>
      <c r="M1920" t="n">
        <v>1030</v>
      </c>
      <c r="N1920" t="n">
        <v>6180000</v>
      </c>
      <c r="O1920" t="n">
        <v>16760808</v>
      </c>
      <c r="P1920" t="inlineStr"/>
      <c r="Q1920" t="n">
        <v>6.927</v>
      </c>
    </row>
    <row r="1921">
      <c r="A1921" t="inlineStr">
        <is>
          <t>MR24</t>
        </is>
      </c>
      <c r="B1921" t="inlineStr">
        <is>
          <t>SIMULACIONES_MR2024_V3</t>
        </is>
      </c>
      <c r="C1921" t="inlineStr">
        <is>
          <t>toneladas (6000 m3 x MR24_BD); pct sobre toneladas</t>
        </is>
      </c>
      <c r="D1921" t="inlineStr">
        <is>
          <t>anio_LOM25_AMIN_LE2</t>
        </is>
      </c>
      <c r="E1921" t="inlineStr">
        <is>
          <t>2034</t>
        </is>
      </c>
      <c r="F1921" t="inlineStr">
        <is>
          <t>litologia_tentativa</t>
        </is>
      </c>
      <c r="G1921" t="inlineStr">
        <is>
          <t>Caliza (hipótesis: siglas C*)</t>
        </is>
      </c>
      <c r="H1921" t="inlineStr"/>
      <c r="I1921" t="inlineStr"/>
      <c r="J1921" t="inlineStr">
        <is>
          <t>suma de filas por código</t>
        </is>
      </c>
      <c r="K1921" t="inlineStr">
        <is>
          <t>Caliza (hipótesis: siglas C*)</t>
        </is>
      </c>
      <c r="L1921" t="inlineStr"/>
      <c r="M1921" t="n">
        <v>1247</v>
      </c>
      <c r="N1921" t="n">
        <v>7482000</v>
      </c>
      <c r="O1921" t="n">
        <v>20271498</v>
      </c>
      <c r="P1921" t="inlineStr"/>
      <c r="Q1921" t="n">
        <v>8.378</v>
      </c>
    </row>
    <row r="1922">
      <c r="A1922" t="inlineStr">
        <is>
          <t>MR24</t>
        </is>
      </c>
      <c r="B1922" t="inlineStr">
        <is>
          <t>SIMULACIONES_MR2024_V3</t>
        </is>
      </c>
      <c r="C1922" t="inlineStr">
        <is>
          <t>toneladas (6000 m3 x MR24_BD); pct sobre toneladas</t>
        </is>
      </c>
      <c r="D1922" t="inlineStr">
        <is>
          <t>anio_LOM25_AMIN_LE2</t>
        </is>
      </c>
      <c r="E1922" t="inlineStr">
        <is>
          <t>2034</t>
        </is>
      </c>
      <c r="F1922" t="inlineStr">
        <is>
          <t>litologia_tentativa</t>
        </is>
      </c>
      <c r="G1922" t="inlineStr">
        <is>
          <t>Hornfels (hipótesis: siglas HBV, HGV, HCB, HDP; 'Diop. Hornfels'~HGV)</t>
        </is>
      </c>
      <c r="H1922" t="inlineStr"/>
      <c r="I1922" t="inlineStr"/>
      <c r="J1922" t="inlineStr">
        <is>
          <t>suma de filas por código</t>
        </is>
      </c>
      <c r="K1922" t="inlineStr">
        <is>
          <t>Hornfels (hipótesis: siglas HBV, HGV, HCB, HDP; 'Diop. Hornfels'~HGV)</t>
        </is>
      </c>
      <c r="L1922" t="inlineStr"/>
      <c r="M1922" t="n">
        <v>955</v>
      </c>
      <c r="N1922" t="n">
        <v>5730000</v>
      </c>
      <c r="O1922" t="n">
        <v>16371456</v>
      </c>
      <c r="P1922" t="inlineStr"/>
      <c r="Q1922" t="n">
        <v>6.766</v>
      </c>
    </row>
    <row r="1923">
      <c r="A1923" t="inlineStr">
        <is>
          <t>MR24</t>
        </is>
      </c>
      <c r="B1923" t="inlineStr">
        <is>
          <t>SIMULACIONES_MR2024_V3</t>
        </is>
      </c>
      <c r="C1923" t="inlineStr">
        <is>
          <t>toneladas (6000 m3 x MR24_BD); pct sobre toneladas</t>
        </is>
      </c>
      <c r="D1923" t="inlineStr">
        <is>
          <t>anio_LOM25_AMIN_LE2</t>
        </is>
      </c>
      <c r="E1923" t="inlineStr">
        <is>
          <t>2034</t>
        </is>
      </c>
      <c r="F1923" t="inlineStr">
        <is>
          <t>litologia_tentativa</t>
        </is>
      </c>
      <c r="G1923" t="inlineStr">
        <is>
          <t>Hornfels (hipótesis: siglas HG, HGS, HC)</t>
        </is>
      </c>
      <c r="H1923" t="inlineStr"/>
      <c r="I1923" t="inlineStr"/>
      <c r="J1923" t="inlineStr">
        <is>
          <t>suma de filas por código</t>
        </is>
      </c>
      <c r="K1923" t="inlineStr">
        <is>
          <t>Hornfels (hipótesis: siglas HG, HGS, HC)</t>
        </is>
      </c>
      <c r="L1923" t="inlineStr"/>
      <c r="M1923" t="n">
        <v>3952</v>
      </c>
      <c r="N1923" t="n">
        <v>23712000</v>
      </c>
      <c r="O1923" t="n">
        <v>64119780</v>
      </c>
      <c r="P1923" t="inlineStr"/>
      <c r="Q1923" t="n">
        <v>26.5</v>
      </c>
    </row>
    <row r="1924">
      <c r="A1924" t="inlineStr">
        <is>
          <t>MR24</t>
        </is>
      </c>
      <c r="B1924" t="inlineStr">
        <is>
          <t>SIMULACIONES_MR2024_V3</t>
        </is>
      </c>
      <c r="C1924" t="inlineStr">
        <is>
          <t>toneladas (6000 m3 x MR24_BD); pct sobre toneladas</t>
        </is>
      </c>
      <c r="D1924" t="inlineStr">
        <is>
          <t>anio_LOM25_AMIN_LE2</t>
        </is>
      </c>
      <c r="E1924" t="inlineStr">
        <is>
          <t>2034</t>
        </is>
      </c>
      <c r="F1924" t="inlineStr">
        <is>
          <t>litologia_tentativa</t>
        </is>
      </c>
      <c r="G1924" t="inlineStr">
        <is>
          <t>Intrusivo</t>
        </is>
      </c>
      <c r="H1924" t="inlineStr"/>
      <c r="I1924" t="inlineStr"/>
      <c r="J1924" t="inlineStr">
        <is>
          <t>suma de filas por código</t>
        </is>
      </c>
      <c r="K1924" t="inlineStr">
        <is>
          <t>Intrusivo</t>
        </is>
      </c>
      <c r="L1924" t="inlineStr"/>
      <c r="M1924" t="n">
        <v>967</v>
      </c>
      <c r="N1924" t="n">
        <v>5802000</v>
      </c>
      <c r="O1924" t="n">
        <v>14657250</v>
      </c>
      <c r="P1924" t="inlineStr"/>
      <c r="Q1924" t="n">
        <v>6.057</v>
      </c>
    </row>
    <row r="1925">
      <c r="A1925" t="inlineStr">
        <is>
          <t>MR24</t>
        </is>
      </c>
      <c r="B1925" t="inlineStr">
        <is>
          <t>SIMULACIONES_MR2024_V3</t>
        </is>
      </c>
      <c r="C1925" t="inlineStr">
        <is>
          <t>toneladas (6000 m3 x MR24_BD); pct sobre toneladas</t>
        </is>
      </c>
      <c r="D1925" t="inlineStr">
        <is>
          <t>anio_LOM25_AMIN_LE2</t>
        </is>
      </c>
      <c r="E1925" t="inlineStr">
        <is>
          <t>2034</t>
        </is>
      </c>
      <c r="F1925" t="inlineStr">
        <is>
          <t>litologia_tentativa</t>
        </is>
      </c>
      <c r="G1925" t="inlineStr">
        <is>
          <t>Mármol (hipótesis: sigla MDP)</t>
        </is>
      </c>
      <c r="H1925" t="inlineStr"/>
      <c r="I1925" t="inlineStr"/>
      <c r="J1925" t="inlineStr">
        <is>
          <t>suma de filas por código</t>
        </is>
      </c>
      <c r="K1925" t="inlineStr">
        <is>
          <t>Mármol (hipótesis: sigla MDP)</t>
        </is>
      </c>
      <c r="L1925" t="inlineStr"/>
      <c r="M1925" t="n">
        <v>654</v>
      </c>
      <c r="N1925" t="n">
        <v>3924000</v>
      </c>
      <c r="O1925" t="n">
        <v>11094876</v>
      </c>
      <c r="P1925" t="inlineStr"/>
      <c r="Q1925" t="n">
        <v>4.585</v>
      </c>
    </row>
    <row r="1926">
      <c r="A1926" t="inlineStr">
        <is>
          <t>MR24</t>
        </is>
      </c>
      <c r="B1926" t="inlineStr">
        <is>
          <t>SIMULACIONES_MR2024_V3</t>
        </is>
      </c>
      <c r="C1926" t="inlineStr">
        <is>
          <t>toneladas (6000 m3 x MR24_BD); pct sobre toneladas</t>
        </is>
      </c>
      <c r="D1926" t="inlineStr">
        <is>
          <t>anio_LOM25_AMIN_LE2</t>
        </is>
      </c>
      <c r="E1926" t="inlineStr">
        <is>
          <t>2034</t>
        </is>
      </c>
      <c r="F1926" t="inlineStr">
        <is>
          <t>litologia_tentativa</t>
        </is>
      </c>
      <c r="G1926" t="inlineStr">
        <is>
          <t>Mármol (hipótesis: siglas MC, MG, MGS, MPA, MCGB; 'Marble'~MCGB)</t>
        </is>
      </c>
      <c r="H1926" t="inlineStr"/>
      <c r="I1926" t="inlineStr"/>
      <c r="J1926" t="inlineStr">
        <is>
          <t>suma de filas por código</t>
        </is>
      </c>
      <c r="K1926" t="inlineStr">
        <is>
          <t>Mármol (hipótesis: siglas MC, MG, MGS, MPA, MCGB; 'Marble'~MCGB)</t>
        </is>
      </c>
      <c r="L1926" t="inlineStr"/>
      <c r="M1926" t="n">
        <v>6063</v>
      </c>
      <c r="N1926" t="n">
        <v>36378000</v>
      </c>
      <c r="O1926" t="n">
        <v>98574438</v>
      </c>
      <c r="P1926" t="inlineStr"/>
      <c r="Q1926" t="n">
        <v>40.74</v>
      </c>
    </row>
    <row r="1927">
      <c r="A1927" t="inlineStr">
        <is>
          <t>MR24</t>
        </is>
      </c>
      <c r="B1927" t="inlineStr">
        <is>
          <t>SIMULACIONES_MR2024_V3</t>
        </is>
      </c>
      <c r="C1927" t="inlineStr">
        <is>
          <t>toneladas (6000 m3 x MR24_BD); pct sobre toneladas</t>
        </is>
      </c>
      <c r="D1927" t="inlineStr">
        <is>
          <t>anio_LOM25_AMIN_LE2</t>
        </is>
      </c>
      <c r="E1927" t="inlineStr">
        <is>
          <t>2034</t>
        </is>
      </c>
      <c r="F1927" t="inlineStr">
        <is>
          <t>litologia_tentativa</t>
        </is>
      </c>
      <c r="G1927" t="inlineStr">
        <is>
          <t>sin hipótesis</t>
        </is>
      </c>
      <c r="H1927" t="inlineStr"/>
      <c r="I1927" t="inlineStr"/>
      <c r="J1927" t="inlineStr">
        <is>
          <t>suma de filas por código</t>
        </is>
      </c>
      <c r="K1927" t="inlineStr">
        <is>
          <t>sin hipótesis</t>
        </is>
      </c>
      <c r="L1927" t="inlineStr"/>
      <c r="M1927" t="n">
        <v>7</v>
      </c>
      <c r="N1927" t="n">
        <v>42000</v>
      </c>
      <c r="O1927" t="n">
        <v>109578</v>
      </c>
      <c r="P1927" t="inlineStr"/>
      <c r="Q1927" t="n">
        <v>0.045</v>
      </c>
    </row>
    <row r="1928">
      <c r="A1928" t="inlineStr">
        <is>
          <t>MR24</t>
        </is>
      </c>
      <c r="B1928" t="inlineStr">
        <is>
          <t>SIMULACIONES_MR2024_V3</t>
        </is>
      </c>
      <c r="C1928" t="inlineStr">
        <is>
          <t>toneladas (6000 m3 x MR24_BD); pct sobre toneladas</t>
        </is>
      </c>
      <c r="D1928" t="inlineStr">
        <is>
          <t>anio_LOM25_AMIN_LE2</t>
        </is>
      </c>
      <c r="E1928" t="inlineStr">
        <is>
          <t>2035</t>
        </is>
      </c>
      <c r="F1928" t="inlineStr">
        <is>
          <t>litologia_tentativa</t>
        </is>
      </c>
      <c r="G1928" t="inlineStr">
        <is>
          <t>Caliza (hipótesis: Sedimentario; RT11~NUMEQ10, siglas C*)</t>
        </is>
      </c>
      <c r="H1928" t="inlineStr"/>
      <c r="I1928" t="inlineStr"/>
      <c r="J1928" t="inlineStr">
        <is>
          <t>suma de filas por código</t>
        </is>
      </c>
      <c r="K1928" t="inlineStr">
        <is>
          <t>Caliza (hipótesis: Sedimentario; RT11~NUMEQ10, siglas C*)</t>
        </is>
      </c>
      <c r="L1928" t="inlineStr"/>
      <c r="M1928" t="n">
        <v>1685</v>
      </c>
      <c r="N1928" t="n">
        <v>10110000</v>
      </c>
      <c r="O1928" t="n">
        <v>27387516</v>
      </c>
      <c r="P1928" t="inlineStr"/>
      <c r="Q1928" t="n">
        <v>11.708</v>
      </c>
    </row>
    <row r="1929">
      <c r="A1929" t="inlineStr">
        <is>
          <t>MR24</t>
        </is>
      </c>
      <c r="B1929" t="inlineStr">
        <is>
          <t>SIMULACIONES_MR2024_V3</t>
        </is>
      </c>
      <c r="C1929" t="inlineStr">
        <is>
          <t>toneladas (6000 m3 x MR24_BD); pct sobre toneladas</t>
        </is>
      </c>
      <c r="D1929" t="inlineStr">
        <is>
          <t>anio_LOM25_AMIN_LE2</t>
        </is>
      </c>
      <c r="E1929" t="inlineStr">
        <is>
          <t>2035</t>
        </is>
      </c>
      <c r="F1929" t="inlineStr">
        <is>
          <t>litologia_tentativa</t>
        </is>
      </c>
      <c r="G1929" t="inlineStr">
        <is>
          <t>Caliza (hipótesis: siglas C*)</t>
        </is>
      </c>
      <c r="H1929" t="inlineStr"/>
      <c r="I1929" t="inlineStr"/>
      <c r="J1929" t="inlineStr">
        <is>
          <t>suma de filas por código</t>
        </is>
      </c>
      <c r="K1929" t="inlineStr">
        <is>
          <t>Caliza (hipótesis: siglas C*)</t>
        </is>
      </c>
      <c r="L1929" t="inlineStr"/>
      <c r="M1929" t="n">
        <v>232</v>
      </c>
      <c r="N1929" t="n">
        <v>1392000</v>
      </c>
      <c r="O1929" t="n">
        <v>3764046</v>
      </c>
      <c r="P1929" t="inlineStr"/>
      <c r="Q1929" t="n">
        <v>1.609</v>
      </c>
    </row>
    <row r="1930">
      <c r="A1930" t="inlineStr">
        <is>
          <t>MR24</t>
        </is>
      </c>
      <c r="B1930" t="inlineStr">
        <is>
          <t>SIMULACIONES_MR2024_V3</t>
        </is>
      </c>
      <c r="C1930" t="inlineStr">
        <is>
          <t>toneladas (6000 m3 x MR24_BD); pct sobre toneladas</t>
        </is>
      </c>
      <c r="D1930" t="inlineStr">
        <is>
          <t>anio_LOM25_AMIN_LE2</t>
        </is>
      </c>
      <c r="E1930" t="inlineStr">
        <is>
          <t>2035</t>
        </is>
      </c>
      <c r="F1930" t="inlineStr">
        <is>
          <t>litologia_tentativa</t>
        </is>
      </c>
      <c r="G1930" t="inlineStr">
        <is>
          <t>Hornfels (hipótesis: siglas HBV, HGV, HCB, HDP; 'Diop. Hornfels'~HGV)</t>
        </is>
      </c>
      <c r="H1930" t="inlineStr"/>
      <c r="I1930" t="inlineStr"/>
      <c r="J1930" t="inlineStr">
        <is>
          <t>suma de filas por código</t>
        </is>
      </c>
      <c r="K1930" t="inlineStr">
        <is>
          <t>Hornfels (hipótesis: siglas HBV, HGV, HCB, HDP; 'Diop. Hornfels'~HGV)</t>
        </is>
      </c>
      <c r="L1930" t="inlineStr"/>
      <c r="M1930" t="n">
        <v>1138</v>
      </c>
      <c r="N1930" t="n">
        <v>6828000</v>
      </c>
      <c r="O1930" t="n">
        <v>19472574</v>
      </c>
      <c r="P1930" t="inlineStr"/>
      <c r="Q1930" t="n">
        <v>8.324</v>
      </c>
    </row>
    <row r="1931">
      <c r="A1931" t="inlineStr">
        <is>
          <t>MR24</t>
        </is>
      </c>
      <c r="B1931" t="inlineStr">
        <is>
          <t>SIMULACIONES_MR2024_V3</t>
        </is>
      </c>
      <c r="C1931" t="inlineStr">
        <is>
          <t>toneladas (6000 m3 x MR24_BD); pct sobre toneladas</t>
        </is>
      </c>
      <c r="D1931" t="inlineStr">
        <is>
          <t>anio_LOM25_AMIN_LE2</t>
        </is>
      </c>
      <c r="E1931" t="inlineStr">
        <is>
          <t>2035</t>
        </is>
      </c>
      <c r="F1931" t="inlineStr">
        <is>
          <t>litologia_tentativa</t>
        </is>
      </c>
      <c r="G1931" t="inlineStr">
        <is>
          <t>Hornfels (hipótesis: siglas HG, HGS, HC)</t>
        </is>
      </c>
      <c r="H1931" t="inlineStr"/>
      <c r="I1931" t="inlineStr"/>
      <c r="J1931" t="inlineStr">
        <is>
          <t>suma de filas por código</t>
        </is>
      </c>
      <c r="K1931" t="inlineStr">
        <is>
          <t>Hornfels (hipótesis: siglas HG, HGS, HC)</t>
        </is>
      </c>
      <c r="L1931" t="inlineStr"/>
      <c r="M1931" t="n">
        <v>2055</v>
      </c>
      <c r="N1931" t="n">
        <v>12330000</v>
      </c>
      <c r="O1931" t="n">
        <v>33272184</v>
      </c>
      <c r="P1931" t="inlineStr"/>
      <c r="Q1931" t="n">
        <v>14.224</v>
      </c>
    </row>
    <row r="1932">
      <c r="A1932" t="inlineStr">
        <is>
          <t>MR24</t>
        </is>
      </c>
      <c r="B1932" t="inlineStr">
        <is>
          <t>SIMULACIONES_MR2024_V3</t>
        </is>
      </c>
      <c r="C1932" t="inlineStr">
        <is>
          <t>toneladas (6000 m3 x MR24_BD); pct sobre toneladas</t>
        </is>
      </c>
      <c r="D1932" t="inlineStr">
        <is>
          <t>anio_LOM25_AMIN_LE2</t>
        </is>
      </c>
      <c r="E1932" t="inlineStr">
        <is>
          <t>2035</t>
        </is>
      </c>
      <c r="F1932" t="inlineStr">
        <is>
          <t>litologia_tentativa</t>
        </is>
      </c>
      <c r="G1932" t="inlineStr">
        <is>
          <t>Intrusivo</t>
        </is>
      </c>
      <c r="H1932" t="inlineStr"/>
      <c r="I1932" t="inlineStr"/>
      <c r="J1932" t="inlineStr">
        <is>
          <t>suma de filas por código</t>
        </is>
      </c>
      <c r="K1932" t="inlineStr">
        <is>
          <t>Intrusivo</t>
        </is>
      </c>
      <c r="L1932" t="inlineStr"/>
      <c r="M1932" t="n">
        <v>2201</v>
      </c>
      <c r="N1932" t="n">
        <v>13206000</v>
      </c>
      <c r="O1932" t="n">
        <v>33019500</v>
      </c>
      <c r="P1932" t="inlineStr"/>
      <c r="Q1932" t="n">
        <v>14.115</v>
      </c>
    </row>
    <row r="1933">
      <c r="A1933" t="inlineStr">
        <is>
          <t>MR24</t>
        </is>
      </c>
      <c r="B1933" t="inlineStr">
        <is>
          <t>SIMULACIONES_MR2024_V3</t>
        </is>
      </c>
      <c r="C1933" t="inlineStr">
        <is>
          <t>toneladas (6000 m3 x MR24_BD); pct sobre toneladas</t>
        </is>
      </c>
      <c r="D1933" t="inlineStr">
        <is>
          <t>anio_LOM25_AMIN_LE2</t>
        </is>
      </c>
      <c r="E1933" t="inlineStr">
        <is>
          <t>2035</t>
        </is>
      </c>
      <c r="F1933" t="inlineStr">
        <is>
          <t>litologia_tentativa</t>
        </is>
      </c>
      <c r="G1933" t="inlineStr">
        <is>
          <t>Mármol (hipótesis: sigla MDP)</t>
        </is>
      </c>
      <c r="H1933" t="inlineStr"/>
      <c r="I1933" t="inlineStr"/>
      <c r="J1933" t="inlineStr">
        <is>
          <t>suma de filas por código</t>
        </is>
      </c>
      <c r="K1933" t="inlineStr">
        <is>
          <t>Mármol (hipótesis: sigla MDP)</t>
        </is>
      </c>
      <c r="L1933" t="inlineStr"/>
      <c r="M1933" t="n">
        <v>854</v>
      </c>
      <c r="N1933" t="n">
        <v>5124000</v>
      </c>
      <c r="O1933" t="n">
        <v>14575032</v>
      </c>
      <c r="P1933" t="inlineStr"/>
      <c r="Q1933" t="n">
        <v>6.231</v>
      </c>
    </row>
    <row r="1934">
      <c r="A1934" t="inlineStr">
        <is>
          <t>MR24</t>
        </is>
      </c>
      <c r="B1934" t="inlineStr">
        <is>
          <t>SIMULACIONES_MR2024_V3</t>
        </is>
      </c>
      <c r="C1934" t="inlineStr">
        <is>
          <t>toneladas (6000 m3 x MR24_BD); pct sobre toneladas</t>
        </is>
      </c>
      <c r="D1934" t="inlineStr">
        <is>
          <t>anio_LOM25_AMIN_LE2</t>
        </is>
      </c>
      <c r="E1934" t="inlineStr">
        <is>
          <t>2035</t>
        </is>
      </c>
      <c r="F1934" t="inlineStr">
        <is>
          <t>litologia_tentativa</t>
        </is>
      </c>
      <c r="G1934" t="inlineStr">
        <is>
          <t>Mármol (hipótesis: siglas MC, MG, MGS, MPA, MCGB; 'Marble'~MCGB)</t>
        </is>
      </c>
      <c r="H1934" t="inlineStr"/>
      <c r="I1934" t="inlineStr"/>
      <c r="J1934" t="inlineStr">
        <is>
          <t>suma de filas por código</t>
        </is>
      </c>
      <c r="K1934" t="inlineStr">
        <is>
          <t>Mármol (hipótesis: siglas MC, MG, MGS, MPA, MCGB; 'Marble'~MCGB)</t>
        </is>
      </c>
      <c r="L1934" t="inlineStr"/>
      <c r="M1934" t="n">
        <v>6273</v>
      </c>
      <c r="N1934" t="n">
        <v>37638000</v>
      </c>
      <c r="O1934" t="n">
        <v>101786238</v>
      </c>
      <c r="P1934" t="inlineStr"/>
      <c r="Q1934" t="n">
        <v>43.513</v>
      </c>
    </row>
    <row r="1935">
      <c r="A1935" t="inlineStr">
        <is>
          <t>MR24</t>
        </is>
      </c>
      <c r="B1935" t="inlineStr">
        <is>
          <t>SIMULACIONES_MR2024_V3</t>
        </is>
      </c>
      <c r="C1935" t="inlineStr">
        <is>
          <t>toneladas (6000 m3 x MR24_BD); pct sobre toneladas</t>
        </is>
      </c>
      <c r="D1935" t="inlineStr">
        <is>
          <t>anio_LOM25_AMIN_LE2</t>
        </is>
      </c>
      <c r="E1935" t="inlineStr">
        <is>
          <t>2035</t>
        </is>
      </c>
      <c r="F1935" t="inlineStr">
        <is>
          <t>litologia_tentativa</t>
        </is>
      </c>
      <c r="G1935" t="inlineStr">
        <is>
          <t>sin hipótesis</t>
        </is>
      </c>
      <c r="H1935" t="inlineStr"/>
      <c r="I1935" t="inlineStr"/>
      <c r="J1935" t="inlineStr">
        <is>
          <t>suma de filas por código</t>
        </is>
      </c>
      <c r="K1935" t="inlineStr">
        <is>
          <t>sin hipótesis</t>
        </is>
      </c>
      <c r="L1935" t="inlineStr"/>
      <c r="M1935" t="n">
        <v>41</v>
      </c>
      <c r="N1935" t="n">
        <v>246000</v>
      </c>
      <c r="O1935" t="n">
        <v>646152</v>
      </c>
      <c r="P1935" t="inlineStr"/>
      <c r="Q1935" t="n">
        <v>0.276</v>
      </c>
    </row>
    <row r="1936">
      <c r="A1936" t="inlineStr">
        <is>
          <t>MR24</t>
        </is>
      </c>
      <c r="B1936" t="inlineStr">
        <is>
          <t>SIMULACIONES_MR2024_V3</t>
        </is>
      </c>
      <c r="C1936" t="inlineStr">
        <is>
          <t>toneladas (6000 m3 x MR24_BD); pct sobre toneladas</t>
        </is>
      </c>
      <c r="D1936" t="inlineStr">
        <is>
          <t>anio_LOM25_AMIN_LE2</t>
        </is>
      </c>
      <c r="E1936" t="inlineStr">
        <is>
          <t>2036</t>
        </is>
      </c>
      <c r="F1936" t="inlineStr">
        <is>
          <t>litologia_tentativa</t>
        </is>
      </c>
      <c r="G1936" t="inlineStr">
        <is>
          <t>Caliza (hipótesis: Sedimentario; RT11~NUMEQ10, siglas C*)</t>
        </is>
      </c>
      <c r="H1936" t="inlineStr"/>
      <c r="I1936" t="inlineStr"/>
      <c r="J1936" t="inlineStr">
        <is>
          <t>suma de filas por código</t>
        </is>
      </c>
      <c r="K1936" t="inlineStr">
        <is>
          <t>Caliza (hipótesis: Sedimentario; RT11~NUMEQ10, siglas C*)</t>
        </is>
      </c>
      <c r="L1936" t="inlineStr"/>
      <c r="M1936" t="n">
        <v>5602</v>
      </c>
      <c r="N1936" t="n">
        <v>33612000</v>
      </c>
      <c r="O1936" t="n">
        <v>91030692</v>
      </c>
      <c r="P1936" t="inlineStr"/>
      <c r="Q1936" t="n">
        <v>37.511</v>
      </c>
    </row>
    <row r="1937">
      <c r="A1937" t="inlineStr">
        <is>
          <t>MR24</t>
        </is>
      </c>
      <c r="B1937" t="inlineStr">
        <is>
          <t>SIMULACIONES_MR2024_V3</t>
        </is>
      </c>
      <c r="C1937" t="inlineStr">
        <is>
          <t>toneladas (6000 m3 x MR24_BD); pct sobre toneladas</t>
        </is>
      </c>
      <c r="D1937" t="inlineStr">
        <is>
          <t>anio_LOM25_AMIN_LE2</t>
        </is>
      </c>
      <c r="E1937" t="inlineStr">
        <is>
          <t>2036</t>
        </is>
      </c>
      <c r="F1937" t="inlineStr">
        <is>
          <t>litologia_tentativa</t>
        </is>
      </c>
      <c r="G1937" t="inlineStr">
        <is>
          <t>Caliza (hipótesis: siglas C*)</t>
        </is>
      </c>
      <c r="H1937" t="inlineStr"/>
      <c r="I1937" t="inlineStr"/>
      <c r="J1937" t="inlineStr">
        <is>
          <t>suma de filas por código</t>
        </is>
      </c>
      <c r="K1937" t="inlineStr">
        <is>
          <t>Caliza (hipótesis: siglas C*)</t>
        </is>
      </c>
      <c r="L1937" t="inlineStr"/>
      <c r="M1937" t="n">
        <v>861</v>
      </c>
      <c r="N1937" t="n">
        <v>5166000</v>
      </c>
      <c r="O1937" t="n">
        <v>13986402</v>
      </c>
      <c r="P1937" t="inlineStr"/>
      <c r="Q1937" t="n">
        <v>5.763</v>
      </c>
    </row>
    <row r="1938">
      <c r="A1938" t="inlineStr">
        <is>
          <t>MR24</t>
        </is>
      </c>
      <c r="B1938" t="inlineStr">
        <is>
          <t>SIMULACIONES_MR2024_V3</t>
        </is>
      </c>
      <c r="C1938" t="inlineStr">
        <is>
          <t>toneladas (6000 m3 x MR24_BD); pct sobre toneladas</t>
        </is>
      </c>
      <c r="D1938" t="inlineStr">
        <is>
          <t>anio_LOM25_AMIN_LE2</t>
        </is>
      </c>
      <c r="E1938" t="inlineStr">
        <is>
          <t>2036</t>
        </is>
      </c>
      <c r="F1938" t="inlineStr">
        <is>
          <t>litologia_tentativa</t>
        </is>
      </c>
      <c r="G1938" t="inlineStr">
        <is>
          <t>Hornfels (hipótesis: siglas HBV, HGV, HCB, HDP; 'Diop. Hornfels'~HGV)</t>
        </is>
      </c>
      <c r="H1938" t="inlineStr"/>
      <c r="I1938" t="inlineStr"/>
      <c r="J1938" t="inlineStr">
        <is>
          <t>suma de filas por código</t>
        </is>
      </c>
      <c r="K1938" t="inlineStr">
        <is>
          <t>Hornfels (hipótesis: siglas HBV, HGV, HCB, HDP; 'Diop. Hornfels'~HGV)</t>
        </is>
      </c>
      <c r="L1938" t="inlineStr"/>
      <c r="M1938" t="n">
        <v>693</v>
      </c>
      <c r="N1938" t="n">
        <v>4158000</v>
      </c>
      <c r="O1938" t="n">
        <v>12018852</v>
      </c>
      <c r="P1938" t="inlineStr"/>
      <c r="Q1938" t="n">
        <v>4.953</v>
      </c>
    </row>
    <row r="1939">
      <c r="A1939" t="inlineStr">
        <is>
          <t>MR24</t>
        </is>
      </c>
      <c r="B1939" t="inlineStr">
        <is>
          <t>SIMULACIONES_MR2024_V3</t>
        </is>
      </c>
      <c r="C1939" t="inlineStr">
        <is>
          <t>toneladas (6000 m3 x MR24_BD); pct sobre toneladas</t>
        </is>
      </c>
      <c r="D1939" t="inlineStr">
        <is>
          <t>anio_LOM25_AMIN_LE2</t>
        </is>
      </c>
      <c r="E1939" t="inlineStr">
        <is>
          <t>2036</t>
        </is>
      </c>
      <c r="F1939" t="inlineStr">
        <is>
          <t>litologia_tentativa</t>
        </is>
      </c>
      <c r="G1939" t="inlineStr">
        <is>
          <t>Hornfels (hipótesis: siglas HG, HGS, HC)</t>
        </is>
      </c>
      <c r="H1939" t="inlineStr"/>
      <c r="I1939" t="inlineStr"/>
      <c r="J1939" t="inlineStr">
        <is>
          <t>suma de filas por código</t>
        </is>
      </c>
      <c r="K1939" t="inlineStr">
        <is>
          <t>Hornfels (hipótesis: siglas HG, HGS, HC)</t>
        </is>
      </c>
      <c r="L1939" t="inlineStr"/>
      <c r="M1939" t="n">
        <v>1584</v>
      </c>
      <c r="N1939" t="n">
        <v>9504000</v>
      </c>
      <c r="O1939" t="n">
        <v>25587912</v>
      </c>
      <c r="P1939" t="inlineStr"/>
      <c r="Q1939" t="n">
        <v>10.544</v>
      </c>
    </row>
    <row r="1940">
      <c r="A1940" t="inlineStr">
        <is>
          <t>MR24</t>
        </is>
      </c>
      <c r="B1940" t="inlineStr">
        <is>
          <t>SIMULACIONES_MR2024_V3</t>
        </is>
      </c>
      <c r="C1940" t="inlineStr">
        <is>
          <t>toneladas (6000 m3 x MR24_BD); pct sobre toneladas</t>
        </is>
      </c>
      <c r="D1940" t="inlineStr">
        <is>
          <t>anio_LOM25_AMIN_LE2</t>
        </is>
      </c>
      <c r="E1940" t="inlineStr">
        <is>
          <t>2036</t>
        </is>
      </c>
      <c r="F1940" t="inlineStr">
        <is>
          <t>litologia_tentativa</t>
        </is>
      </c>
      <c r="G1940" t="inlineStr">
        <is>
          <t>Intrusivo</t>
        </is>
      </c>
      <c r="H1940" t="inlineStr"/>
      <c r="I1940" t="inlineStr"/>
      <c r="J1940" t="inlineStr">
        <is>
          <t>suma de filas por código</t>
        </is>
      </c>
      <c r="K1940" t="inlineStr">
        <is>
          <t>Intrusivo</t>
        </is>
      </c>
      <c r="L1940" t="inlineStr"/>
      <c r="M1940" t="n">
        <v>2067</v>
      </c>
      <c r="N1940" t="n">
        <v>12402000</v>
      </c>
      <c r="O1940" t="n">
        <v>30925236</v>
      </c>
      <c r="P1940" t="inlineStr"/>
      <c r="Q1940" t="n">
        <v>12.744</v>
      </c>
    </row>
    <row r="1941">
      <c r="A1941" t="inlineStr">
        <is>
          <t>MR24</t>
        </is>
      </c>
      <c r="B1941" t="inlineStr">
        <is>
          <t>SIMULACIONES_MR2024_V3</t>
        </is>
      </c>
      <c r="C1941" t="inlineStr">
        <is>
          <t>toneladas (6000 m3 x MR24_BD); pct sobre toneladas</t>
        </is>
      </c>
      <c r="D1941" t="inlineStr">
        <is>
          <t>anio_LOM25_AMIN_LE2</t>
        </is>
      </c>
      <c r="E1941" t="inlineStr">
        <is>
          <t>2036</t>
        </is>
      </c>
      <c r="F1941" t="inlineStr">
        <is>
          <t>litologia_tentativa</t>
        </is>
      </c>
      <c r="G1941" t="inlineStr">
        <is>
          <t>Mármol (hipótesis: sigla MDP)</t>
        </is>
      </c>
      <c r="H1941" t="inlineStr"/>
      <c r="I1941" t="inlineStr"/>
      <c r="J1941" t="inlineStr">
        <is>
          <t>suma de filas por código</t>
        </is>
      </c>
      <c r="K1941" t="inlineStr">
        <is>
          <t>Mármol (hipótesis: sigla MDP)</t>
        </is>
      </c>
      <c r="L1941" t="inlineStr"/>
      <c r="M1941" t="n">
        <v>336</v>
      </c>
      <c r="N1941" t="n">
        <v>2016000</v>
      </c>
      <c r="O1941" t="n">
        <v>5802282</v>
      </c>
      <c r="P1941" t="inlineStr"/>
      <c r="Q1941" t="n">
        <v>2.391</v>
      </c>
    </row>
    <row r="1942">
      <c r="A1942" t="inlineStr">
        <is>
          <t>MR24</t>
        </is>
      </c>
      <c r="B1942" t="inlineStr">
        <is>
          <t>SIMULACIONES_MR2024_V3</t>
        </is>
      </c>
      <c r="C1942" t="inlineStr">
        <is>
          <t>toneladas (6000 m3 x MR24_BD); pct sobre toneladas</t>
        </is>
      </c>
      <c r="D1942" t="inlineStr">
        <is>
          <t>anio_LOM25_AMIN_LE2</t>
        </is>
      </c>
      <c r="E1942" t="inlineStr">
        <is>
          <t>2036</t>
        </is>
      </c>
      <c r="F1942" t="inlineStr">
        <is>
          <t>litologia_tentativa</t>
        </is>
      </c>
      <c r="G1942" t="inlineStr">
        <is>
          <t>Mármol (hipótesis: siglas MC, MG, MGS, MPA, MCGB; 'Marble'~MCGB)</t>
        </is>
      </c>
      <c r="H1942" t="inlineStr"/>
      <c r="I1942" t="inlineStr"/>
      <c r="J1942" t="inlineStr">
        <is>
          <t>suma de filas por código</t>
        </is>
      </c>
      <c r="K1942" t="inlineStr">
        <is>
          <t>Mármol (hipótesis: siglas MC, MG, MGS, MPA, MCGB; 'Marble'~MCGB)</t>
        </is>
      </c>
      <c r="L1942" t="inlineStr"/>
      <c r="M1942" t="n">
        <v>3872</v>
      </c>
      <c r="N1942" t="n">
        <v>23232000</v>
      </c>
      <c r="O1942" t="n">
        <v>62900022</v>
      </c>
      <c r="P1942" t="inlineStr"/>
      <c r="Q1942" t="n">
        <v>25.919</v>
      </c>
    </row>
    <row r="1943">
      <c r="A1943" t="inlineStr">
        <is>
          <t>MR24</t>
        </is>
      </c>
      <c r="B1943" t="inlineStr">
        <is>
          <t>SIMULACIONES_MR2024_V3</t>
        </is>
      </c>
      <c r="C1943" t="inlineStr">
        <is>
          <t>toneladas (6000 m3 x MR24_BD); pct sobre toneladas</t>
        </is>
      </c>
      <c r="D1943" t="inlineStr">
        <is>
          <t>anio_LOM25_AMIN_LE2</t>
        </is>
      </c>
      <c r="E1943" t="inlineStr">
        <is>
          <t>2036</t>
        </is>
      </c>
      <c r="F1943" t="inlineStr">
        <is>
          <t>litologia_tentativa</t>
        </is>
      </c>
      <c r="G1943" t="inlineStr">
        <is>
          <t>sin hipótesis</t>
        </is>
      </c>
      <c r="H1943" t="inlineStr"/>
      <c r="I1943" t="inlineStr"/>
      <c r="J1943" t="inlineStr">
        <is>
          <t>suma de filas por código</t>
        </is>
      </c>
      <c r="K1943" t="inlineStr">
        <is>
          <t>sin hipótesis</t>
        </is>
      </c>
      <c r="L1943" t="inlineStr"/>
      <c r="M1943" t="n">
        <v>27</v>
      </c>
      <c r="N1943" t="n">
        <v>162000</v>
      </c>
      <c r="O1943" t="n">
        <v>425052</v>
      </c>
      <c r="P1943" t="inlineStr"/>
      <c r="Q1943" t="n">
        <v>0.175</v>
      </c>
    </row>
    <row r="1944">
      <c r="A1944" t="inlineStr">
        <is>
          <t>MR24</t>
        </is>
      </c>
      <c r="B1944" t="inlineStr">
        <is>
          <t>SIMULACIONES_MR2024_V3</t>
        </is>
      </c>
      <c r="C1944" t="inlineStr">
        <is>
          <t>toneladas (6000 m3 x MR24_BD); pct sobre toneladas</t>
        </is>
      </c>
      <c r="D1944" t="inlineStr">
        <is>
          <t>anio_LOM25_AMIN_LE2</t>
        </is>
      </c>
      <c r="E1944" t="inlineStr">
        <is>
          <t>2037</t>
        </is>
      </c>
      <c r="F1944" t="inlineStr">
        <is>
          <t>litologia_tentativa</t>
        </is>
      </c>
      <c r="G1944" t="inlineStr">
        <is>
          <t>Caliza (hipótesis: Sedimentario; RT11~NUMEQ10, siglas C*)</t>
        </is>
      </c>
      <c r="H1944" t="inlineStr"/>
      <c r="I1944" t="inlineStr"/>
      <c r="J1944" t="inlineStr">
        <is>
          <t>suma de filas por código</t>
        </is>
      </c>
      <c r="K1944" t="inlineStr">
        <is>
          <t>Caliza (hipótesis: Sedimentario; RT11~NUMEQ10, siglas C*)</t>
        </is>
      </c>
      <c r="L1944" t="inlineStr"/>
      <c r="M1944" t="n">
        <v>7625</v>
      </c>
      <c r="N1944" t="n">
        <v>45750000</v>
      </c>
      <c r="O1944" t="n">
        <v>123917352</v>
      </c>
      <c r="P1944" t="inlineStr"/>
      <c r="Q1944" t="n">
        <v>45.336</v>
      </c>
    </row>
    <row r="1945">
      <c r="A1945" t="inlineStr">
        <is>
          <t>MR24</t>
        </is>
      </c>
      <c r="B1945" t="inlineStr">
        <is>
          <t>SIMULACIONES_MR2024_V3</t>
        </is>
      </c>
      <c r="C1945" t="inlineStr">
        <is>
          <t>toneladas (6000 m3 x MR24_BD); pct sobre toneladas</t>
        </is>
      </c>
      <c r="D1945" t="inlineStr">
        <is>
          <t>anio_LOM25_AMIN_LE2</t>
        </is>
      </c>
      <c r="E1945" t="inlineStr">
        <is>
          <t>2037</t>
        </is>
      </c>
      <c r="F1945" t="inlineStr">
        <is>
          <t>litologia_tentativa</t>
        </is>
      </c>
      <c r="G1945" t="inlineStr">
        <is>
          <t>Caliza (hipótesis: siglas C*)</t>
        </is>
      </c>
      <c r="H1945" t="inlineStr"/>
      <c r="I1945" t="inlineStr"/>
      <c r="J1945" t="inlineStr">
        <is>
          <t>suma de filas por código</t>
        </is>
      </c>
      <c r="K1945" t="inlineStr">
        <is>
          <t>Caliza (hipótesis: siglas C*)</t>
        </is>
      </c>
      <c r="L1945" t="inlineStr"/>
      <c r="M1945" t="n">
        <v>1110</v>
      </c>
      <c r="N1945" t="n">
        <v>6660000</v>
      </c>
      <c r="O1945" t="n">
        <v>18052968</v>
      </c>
      <c r="P1945" t="inlineStr"/>
      <c r="Q1945" t="n">
        <v>6.605</v>
      </c>
    </row>
    <row r="1946">
      <c r="A1946" t="inlineStr">
        <is>
          <t>MR24</t>
        </is>
      </c>
      <c r="B1946" t="inlineStr">
        <is>
          <t>SIMULACIONES_MR2024_V3</t>
        </is>
      </c>
      <c r="C1946" t="inlineStr">
        <is>
          <t>toneladas (6000 m3 x MR24_BD); pct sobre toneladas</t>
        </is>
      </c>
      <c r="D1946" t="inlineStr">
        <is>
          <t>anio_LOM25_AMIN_LE2</t>
        </is>
      </c>
      <c r="E1946" t="inlineStr">
        <is>
          <t>2037</t>
        </is>
      </c>
      <c r="F1946" t="inlineStr">
        <is>
          <t>litologia_tentativa</t>
        </is>
      </c>
      <c r="G1946" t="inlineStr">
        <is>
          <t>Hornfels (hipótesis: siglas HBV, HGV, HCB, HDP; 'Diop. Hornfels'~HGV)</t>
        </is>
      </c>
      <c r="H1946" t="inlineStr"/>
      <c r="I1946" t="inlineStr"/>
      <c r="J1946" t="inlineStr">
        <is>
          <t>suma de filas por código</t>
        </is>
      </c>
      <c r="K1946" t="inlineStr">
        <is>
          <t>Hornfels (hipótesis: siglas HBV, HGV, HCB, HDP; 'Diop. Hornfels'~HGV)</t>
        </is>
      </c>
      <c r="L1946" t="inlineStr"/>
      <c r="M1946" t="n">
        <v>532</v>
      </c>
      <c r="N1946" t="n">
        <v>3192000</v>
      </c>
      <c r="O1946" t="n">
        <v>9218124</v>
      </c>
      <c r="P1946" t="inlineStr"/>
      <c r="Q1946" t="n">
        <v>3.372</v>
      </c>
    </row>
    <row r="1947">
      <c r="A1947" t="inlineStr">
        <is>
          <t>MR24</t>
        </is>
      </c>
      <c r="B1947" t="inlineStr">
        <is>
          <t>SIMULACIONES_MR2024_V3</t>
        </is>
      </c>
      <c r="C1947" t="inlineStr">
        <is>
          <t>toneladas (6000 m3 x MR24_BD); pct sobre toneladas</t>
        </is>
      </c>
      <c r="D1947" t="inlineStr">
        <is>
          <t>anio_LOM25_AMIN_LE2</t>
        </is>
      </c>
      <c r="E1947" t="inlineStr">
        <is>
          <t>2037</t>
        </is>
      </c>
      <c r="F1947" t="inlineStr">
        <is>
          <t>litologia_tentativa</t>
        </is>
      </c>
      <c r="G1947" t="inlineStr">
        <is>
          <t>Hornfels (hipótesis: siglas HG, HGS, HC)</t>
        </is>
      </c>
      <c r="H1947" t="inlineStr"/>
      <c r="I1947" t="inlineStr"/>
      <c r="J1947" t="inlineStr">
        <is>
          <t>suma de filas por código</t>
        </is>
      </c>
      <c r="K1947" t="inlineStr">
        <is>
          <t>Hornfels (hipótesis: siglas HG, HGS, HC)</t>
        </is>
      </c>
      <c r="L1947" t="inlineStr"/>
      <c r="M1947" t="n">
        <v>1765</v>
      </c>
      <c r="N1947" t="n">
        <v>10590000</v>
      </c>
      <c r="O1947" t="n">
        <v>28565646</v>
      </c>
      <c r="P1947" t="inlineStr"/>
      <c r="Q1947" t="n">
        <v>10.451</v>
      </c>
    </row>
    <row r="1948">
      <c r="A1948" t="inlineStr">
        <is>
          <t>MR24</t>
        </is>
      </c>
      <c r="B1948" t="inlineStr">
        <is>
          <t>SIMULACIONES_MR2024_V3</t>
        </is>
      </c>
      <c r="C1948" t="inlineStr">
        <is>
          <t>toneladas (6000 m3 x MR24_BD); pct sobre toneladas</t>
        </is>
      </c>
      <c r="D1948" t="inlineStr">
        <is>
          <t>anio_LOM25_AMIN_LE2</t>
        </is>
      </c>
      <c r="E1948" t="inlineStr">
        <is>
          <t>2037</t>
        </is>
      </c>
      <c r="F1948" t="inlineStr">
        <is>
          <t>litologia_tentativa</t>
        </is>
      </c>
      <c r="G1948" t="inlineStr">
        <is>
          <t>Intrusivo</t>
        </is>
      </c>
      <c r="H1948" t="inlineStr"/>
      <c r="I1948" t="inlineStr"/>
      <c r="J1948" t="inlineStr">
        <is>
          <t>suma de filas por código</t>
        </is>
      </c>
      <c r="K1948" t="inlineStr">
        <is>
          <t>Intrusivo</t>
        </is>
      </c>
      <c r="L1948" t="inlineStr"/>
      <c r="M1948" t="n">
        <v>1567</v>
      </c>
      <c r="N1948" t="n">
        <v>9402000</v>
      </c>
      <c r="O1948" t="n">
        <v>23527428</v>
      </c>
      <c r="P1948" t="inlineStr"/>
      <c r="Q1948" t="n">
        <v>8.606999999999999</v>
      </c>
    </row>
    <row r="1949">
      <c r="A1949" t="inlineStr">
        <is>
          <t>MR24</t>
        </is>
      </c>
      <c r="B1949" t="inlineStr">
        <is>
          <t>SIMULACIONES_MR2024_V3</t>
        </is>
      </c>
      <c r="C1949" t="inlineStr">
        <is>
          <t>toneladas (6000 m3 x MR24_BD); pct sobre toneladas</t>
        </is>
      </c>
      <c r="D1949" t="inlineStr">
        <is>
          <t>anio_LOM25_AMIN_LE2</t>
        </is>
      </c>
      <c r="E1949" t="inlineStr">
        <is>
          <t>2037</t>
        </is>
      </c>
      <c r="F1949" t="inlineStr">
        <is>
          <t>litologia_tentativa</t>
        </is>
      </c>
      <c r="G1949" t="inlineStr">
        <is>
          <t>Mármol (hipótesis: sigla MDP)</t>
        </is>
      </c>
      <c r="H1949" t="inlineStr"/>
      <c r="I1949" t="inlineStr"/>
      <c r="J1949" t="inlineStr">
        <is>
          <t>suma de filas por código</t>
        </is>
      </c>
      <c r="K1949" t="inlineStr">
        <is>
          <t>Mármol (hipótesis: sigla MDP)</t>
        </is>
      </c>
      <c r="L1949" t="inlineStr"/>
      <c r="M1949" t="n">
        <v>528</v>
      </c>
      <c r="N1949" t="n">
        <v>3168000</v>
      </c>
      <c r="O1949" t="n">
        <v>9124140</v>
      </c>
      <c r="P1949" t="inlineStr"/>
      <c r="Q1949" t="n">
        <v>3.338</v>
      </c>
    </row>
    <row r="1950">
      <c r="A1950" t="inlineStr">
        <is>
          <t>MR24</t>
        </is>
      </c>
      <c r="B1950" t="inlineStr">
        <is>
          <t>SIMULACIONES_MR2024_V3</t>
        </is>
      </c>
      <c r="C1950" t="inlineStr">
        <is>
          <t>toneladas (6000 m3 x MR24_BD); pct sobre toneladas</t>
        </is>
      </c>
      <c r="D1950" t="inlineStr">
        <is>
          <t>anio_LOM25_AMIN_LE2</t>
        </is>
      </c>
      <c r="E1950" t="inlineStr">
        <is>
          <t>2037</t>
        </is>
      </c>
      <c r="F1950" t="inlineStr">
        <is>
          <t>litologia_tentativa</t>
        </is>
      </c>
      <c r="G1950" t="inlineStr">
        <is>
          <t>Mármol (hipótesis: siglas MC, MG, MGS, MPA, MCGB; 'Marble'~MCGB)</t>
        </is>
      </c>
      <c r="H1950" t="inlineStr"/>
      <c r="I1950" t="inlineStr"/>
      <c r="J1950" t="inlineStr">
        <is>
          <t>suma de filas por código</t>
        </is>
      </c>
      <c r="K1950" t="inlineStr">
        <is>
          <t>Mármol (hipótesis: siglas MC, MG, MGS, MPA, MCGB; 'Marble'~MCGB)</t>
        </is>
      </c>
      <c r="L1950" t="inlineStr"/>
      <c r="M1950" t="n">
        <v>3731</v>
      </c>
      <c r="N1950" t="n">
        <v>22386000</v>
      </c>
      <c r="O1950" t="n">
        <v>60667998</v>
      </c>
      <c r="P1950" t="inlineStr"/>
      <c r="Q1950" t="n">
        <v>22.196</v>
      </c>
    </row>
    <row r="1951">
      <c r="A1951" t="inlineStr">
        <is>
          <t>MR24</t>
        </is>
      </c>
      <c r="B1951" t="inlineStr">
        <is>
          <t>SIMULACIONES_MR2024_V3</t>
        </is>
      </c>
      <c r="C1951" t="inlineStr">
        <is>
          <t>toneladas (6000 m3 x MR24_BD); pct sobre toneladas</t>
        </is>
      </c>
      <c r="D1951" t="inlineStr">
        <is>
          <t>anio_LOM25_AMIN_LE2</t>
        </is>
      </c>
      <c r="E1951" t="inlineStr">
        <is>
          <t>2037</t>
        </is>
      </c>
      <c r="F1951" t="inlineStr">
        <is>
          <t>litologia_tentativa</t>
        </is>
      </c>
      <c r="G1951" t="inlineStr">
        <is>
          <t>sin hipótesis</t>
        </is>
      </c>
      <c r="H1951" t="inlineStr"/>
      <c r="I1951" t="inlineStr"/>
      <c r="J1951" t="inlineStr">
        <is>
          <t>suma de filas por código</t>
        </is>
      </c>
      <c r="K1951" t="inlineStr">
        <is>
          <t>sin hipótesis</t>
        </is>
      </c>
      <c r="L1951" t="inlineStr"/>
      <c r="M1951" t="n">
        <v>16</v>
      </c>
      <c r="N1951" t="n">
        <v>96000</v>
      </c>
      <c r="O1951" t="n">
        <v>259968</v>
      </c>
      <c r="P1951" t="inlineStr"/>
      <c r="Q1951" t="n">
        <v>0.095</v>
      </c>
    </row>
    <row r="1952">
      <c r="A1952" t="inlineStr">
        <is>
          <t>MR24</t>
        </is>
      </c>
      <c r="B1952" t="inlineStr">
        <is>
          <t>SIMULACIONES_MR2024_V3</t>
        </is>
      </c>
      <c r="C1952" t="inlineStr">
        <is>
          <t>toneladas (6000 m3 x MR24_BD); pct sobre toneladas</t>
        </is>
      </c>
      <c r="D1952" t="inlineStr">
        <is>
          <t>anio_LOM25_AMIN_LE2</t>
        </is>
      </c>
      <c r="E1952" t="inlineStr">
        <is>
          <t>2038</t>
        </is>
      </c>
      <c r="F1952" t="inlineStr">
        <is>
          <t>litologia_tentativa</t>
        </is>
      </c>
      <c r="G1952" t="inlineStr">
        <is>
          <t>Caliza (hipótesis: Sedimentario; RT11~NUMEQ10, siglas C*)</t>
        </is>
      </c>
      <c r="H1952" t="inlineStr"/>
      <c r="I1952" t="inlineStr"/>
      <c r="J1952" t="inlineStr">
        <is>
          <t>suma de filas por código</t>
        </is>
      </c>
      <c r="K1952" t="inlineStr">
        <is>
          <t>Caliza (hipótesis: Sedimentario; RT11~NUMEQ10, siglas C*)</t>
        </is>
      </c>
      <c r="L1952" t="inlineStr"/>
      <c r="M1952" t="n">
        <v>5878</v>
      </c>
      <c r="N1952" t="n">
        <v>35268000</v>
      </c>
      <c r="O1952" t="n">
        <v>95747766</v>
      </c>
      <c r="P1952" t="inlineStr"/>
      <c r="Q1952" t="n">
        <v>36.707</v>
      </c>
    </row>
    <row r="1953">
      <c r="A1953" t="inlineStr">
        <is>
          <t>MR24</t>
        </is>
      </c>
      <c r="B1953" t="inlineStr">
        <is>
          <t>SIMULACIONES_MR2024_V3</t>
        </is>
      </c>
      <c r="C1953" t="inlineStr">
        <is>
          <t>toneladas (6000 m3 x MR24_BD); pct sobre toneladas</t>
        </is>
      </c>
      <c r="D1953" t="inlineStr">
        <is>
          <t>anio_LOM25_AMIN_LE2</t>
        </is>
      </c>
      <c r="E1953" t="inlineStr">
        <is>
          <t>2038</t>
        </is>
      </c>
      <c r="F1953" t="inlineStr">
        <is>
          <t>litologia_tentativa</t>
        </is>
      </c>
      <c r="G1953" t="inlineStr">
        <is>
          <t>Caliza (hipótesis: siglas C*)</t>
        </is>
      </c>
      <c r="H1953" t="inlineStr"/>
      <c r="I1953" t="inlineStr"/>
      <c r="J1953" t="inlineStr">
        <is>
          <t>suma de filas por código</t>
        </is>
      </c>
      <c r="K1953" t="inlineStr">
        <is>
          <t>Caliza (hipótesis: siglas C*)</t>
        </is>
      </c>
      <c r="L1953" t="inlineStr"/>
      <c r="M1953" t="n">
        <v>1003</v>
      </c>
      <c r="N1953" t="n">
        <v>6018000</v>
      </c>
      <c r="O1953" t="n">
        <v>16312590</v>
      </c>
      <c r="P1953" t="inlineStr"/>
      <c r="Q1953" t="n">
        <v>6.254</v>
      </c>
    </row>
    <row r="1954">
      <c r="A1954" t="inlineStr">
        <is>
          <t>MR24</t>
        </is>
      </c>
      <c r="B1954" t="inlineStr">
        <is>
          <t>SIMULACIONES_MR2024_V3</t>
        </is>
      </c>
      <c r="C1954" t="inlineStr">
        <is>
          <t>toneladas (6000 m3 x MR24_BD); pct sobre toneladas</t>
        </is>
      </c>
      <c r="D1954" t="inlineStr">
        <is>
          <t>anio_LOM25_AMIN_LE2</t>
        </is>
      </c>
      <c r="E1954" t="inlineStr">
        <is>
          <t>2038</t>
        </is>
      </c>
      <c r="F1954" t="inlineStr">
        <is>
          <t>litologia_tentativa</t>
        </is>
      </c>
      <c r="G1954" t="inlineStr">
        <is>
          <t>Hornfels (hipótesis: siglas HBV, HGV, HCB, HDP; 'Diop. Hornfels'~HGV)</t>
        </is>
      </c>
      <c r="H1954" t="inlineStr"/>
      <c r="I1954" t="inlineStr"/>
      <c r="J1954" t="inlineStr">
        <is>
          <t>suma de filas por código</t>
        </is>
      </c>
      <c r="K1954" t="inlineStr">
        <is>
          <t>Hornfels (hipótesis: siglas HBV, HGV, HCB, HDP; 'Diop. Hornfels'~HGV)</t>
        </is>
      </c>
      <c r="L1954" t="inlineStr"/>
      <c r="M1954" t="n">
        <v>237</v>
      </c>
      <c r="N1954" t="n">
        <v>1422000</v>
      </c>
      <c r="O1954" t="n">
        <v>4079682</v>
      </c>
      <c r="P1954" t="inlineStr"/>
      <c r="Q1954" t="n">
        <v>1.564</v>
      </c>
    </row>
    <row r="1955">
      <c r="A1955" t="inlineStr">
        <is>
          <t>MR24</t>
        </is>
      </c>
      <c r="B1955" t="inlineStr">
        <is>
          <t>SIMULACIONES_MR2024_V3</t>
        </is>
      </c>
      <c r="C1955" t="inlineStr">
        <is>
          <t>toneladas (6000 m3 x MR24_BD); pct sobre toneladas</t>
        </is>
      </c>
      <c r="D1955" t="inlineStr">
        <is>
          <t>anio_LOM25_AMIN_LE2</t>
        </is>
      </c>
      <c r="E1955" t="inlineStr">
        <is>
          <t>2038</t>
        </is>
      </c>
      <c r="F1955" t="inlineStr">
        <is>
          <t>litologia_tentativa</t>
        </is>
      </c>
      <c r="G1955" t="inlineStr">
        <is>
          <t>Hornfels (hipótesis: siglas HG, HGS, HC)</t>
        </is>
      </c>
      <c r="H1955" t="inlineStr"/>
      <c r="I1955" t="inlineStr"/>
      <c r="J1955" t="inlineStr">
        <is>
          <t>suma de filas por código</t>
        </is>
      </c>
      <c r="K1955" t="inlineStr">
        <is>
          <t>Hornfels (hipótesis: siglas HG, HGS, HC)</t>
        </is>
      </c>
      <c r="L1955" t="inlineStr"/>
      <c r="M1955" t="n">
        <v>2156</v>
      </c>
      <c r="N1955" t="n">
        <v>12936000</v>
      </c>
      <c r="O1955" t="n">
        <v>34939680</v>
      </c>
      <c r="P1955" t="inlineStr"/>
      <c r="Q1955" t="n">
        <v>13.395</v>
      </c>
    </row>
    <row r="1956">
      <c r="A1956" t="inlineStr">
        <is>
          <t>MR24</t>
        </is>
      </c>
      <c r="B1956" t="inlineStr">
        <is>
          <t>SIMULACIONES_MR2024_V3</t>
        </is>
      </c>
      <c r="C1956" t="inlineStr">
        <is>
          <t>toneladas (6000 m3 x MR24_BD); pct sobre toneladas</t>
        </is>
      </c>
      <c r="D1956" t="inlineStr">
        <is>
          <t>anio_LOM25_AMIN_LE2</t>
        </is>
      </c>
      <c r="E1956" t="inlineStr">
        <is>
          <t>2038</t>
        </is>
      </c>
      <c r="F1956" t="inlineStr">
        <is>
          <t>litologia_tentativa</t>
        </is>
      </c>
      <c r="G1956" t="inlineStr">
        <is>
          <t>Intrusivo</t>
        </is>
      </c>
      <c r="H1956" t="inlineStr"/>
      <c r="I1956" t="inlineStr"/>
      <c r="J1956" t="inlineStr">
        <is>
          <t>suma de filas por código</t>
        </is>
      </c>
      <c r="K1956" t="inlineStr">
        <is>
          <t>Intrusivo</t>
        </is>
      </c>
      <c r="L1956" t="inlineStr"/>
      <c r="M1956" t="n">
        <v>1560</v>
      </c>
      <c r="N1956" t="n">
        <v>9360000</v>
      </c>
      <c r="O1956" t="n">
        <v>23446962</v>
      </c>
      <c r="P1956" t="inlineStr"/>
      <c r="Q1956" t="n">
        <v>8.989000000000001</v>
      </c>
    </row>
    <row r="1957">
      <c r="A1957" t="inlineStr">
        <is>
          <t>MR24</t>
        </is>
      </c>
      <c r="B1957" t="inlineStr">
        <is>
          <t>SIMULACIONES_MR2024_V3</t>
        </is>
      </c>
      <c r="C1957" t="inlineStr">
        <is>
          <t>toneladas (6000 m3 x MR24_BD); pct sobre toneladas</t>
        </is>
      </c>
      <c r="D1957" t="inlineStr">
        <is>
          <t>anio_LOM25_AMIN_LE2</t>
        </is>
      </c>
      <c r="E1957" t="inlineStr">
        <is>
          <t>2038</t>
        </is>
      </c>
      <c r="F1957" t="inlineStr">
        <is>
          <t>litologia_tentativa</t>
        </is>
      </c>
      <c r="G1957" t="inlineStr">
        <is>
          <t>Mármol (hipótesis: sigla MDP)</t>
        </is>
      </c>
      <c r="H1957" t="inlineStr"/>
      <c r="I1957" t="inlineStr"/>
      <c r="J1957" t="inlineStr">
        <is>
          <t>suma de filas por código</t>
        </is>
      </c>
      <c r="K1957" t="inlineStr">
        <is>
          <t>Mármol (hipótesis: sigla MDP)</t>
        </is>
      </c>
      <c r="L1957" t="inlineStr"/>
      <c r="M1957" t="n">
        <v>600</v>
      </c>
      <c r="N1957" t="n">
        <v>3600000</v>
      </c>
      <c r="O1957" t="n">
        <v>10329966</v>
      </c>
      <c r="P1957" t="inlineStr"/>
      <c r="Q1957" t="n">
        <v>3.96</v>
      </c>
    </row>
    <row r="1958">
      <c r="A1958" t="inlineStr">
        <is>
          <t>MR24</t>
        </is>
      </c>
      <c r="B1958" t="inlineStr">
        <is>
          <t>SIMULACIONES_MR2024_V3</t>
        </is>
      </c>
      <c r="C1958" t="inlineStr">
        <is>
          <t>toneladas (6000 m3 x MR24_BD); pct sobre toneladas</t>
        </is>
      </c>
      <c r="D1958" t="inlineStr">
        <is>
          <t>anio_LOM25_AMIN_LE2</t>
        </is>
      </c>
      <c r="E1958" t="inlineStr">
        <is>
          <t>2038</t>
        </is>
      </c>
      <c r="F1958" t="inlineStr">
        <is>
          <t>litologia_tentativa</t>
        </is>
      </c>
      <c r="G1958" t="inlineStr">
        <is>
          <t>Mármol (hipótesis: siglas MC, MG, MGS, MPA, MCGB; 'Marble'~MCGB)</t>
        </is>
      </c>
      <c r="H1958" t="inlineStr"/>
      <c r="I1958" t="inlineStr"/>
      <c r="J1958" t="inlineStr">
        <is>
          <t>suma de filas por código</t>
        </is>
      </c>
      <c r="K1958" t="inlineStr">
        <is>
          <t>Mármol (hipótesis: siglas MC, MG, MGS, MPA, MCGB; 'Marble'~MCGB)</t>
        </is>
      </c>
      <c r="L1958" t="inlineStr"/>
      <c r="M1958" t="n">
        <v>4651</v>
      </c>
      <c r="N1958" t="n">
        <v>27906000</v>
      </c>
      <c r="O1958" t="n">
        <v>75666780</v>
      </c>
      <c r="P1958" t="inlineStr"/>
      <c r="Q1958" t="n">
        <v>29.009</v>
      </c>
    </row>
    <row r="1959">
      <c r="A1959" t="inlineStr">
        <is>
          <t>MR24</t>
        </is>
      </c>
      <c r="B1959" t="inlineStr">
        <is>
          <t>SIMULACIONES_MR2024_V3</t>
        </is>
      </c>
      <c r="C1959" t="inlineStr">
        <is>
          <t>toneladas (6000 m3 x MR24_BD); pct sobre toneladas</t>
        </is>
      </c>
      <c r="D1959" t="inlineStr">
        <is>
          <t>anio_LOM25_AMIN_LE2</t>
        </is>
      </c>
      <c r="E1959" t="inlineStr">
        <is>
          <t>2038</t>
        </is>
      </c>
      <c r="F1959" t="inlineStr">
        <is>
          <t>litologia_tentativa</t>
        </is>
      </c>
      <c r="G1959" t="inlineStr">
        <is>
          <t>sin hipótesis</t>
        </is>
      </c>
      <c r="H1959" t="inlineStr"/>
      <c r="I1959" t="inlineStr"/>
      <c r="J1959" t="inlineStr">
        <is>
          <t>suma de filas por código</t>
        </is>
      </c>
      <c r="K1959" t="inlineStr">
        <is>
          <t>sin hipótesis</t>
        </is>
      </c>
      <c r="L1959" t="inlineStr"/>
      <c r="M1959" t="n">
        <v>20</v>
      </c>
      <c r="N1959" t="n">
        <v>120000</v>
      </c>
      <c r="O1959" t="n">
        <v>317496</v>
      </c>
      <c r="P1959" t="inlineStr"/>
      <c r="Q1959" t="n">
        <v>0.122</v>
      </c>
    </row>
    <row r="1960">
      <c r="A1960" t="inlineStr">
        <is>
          <t>MR24</t>
        </is>
      </c>
      <c r="B1960" t="inlineStr">
        <is>
          <t>SIMULACIONES_MR2024_V3</t>
        </is>
      </c>
      <c r="C1960" t="inlineStr">
        <is>
          <t>toneladas (6000 m3 x MR24_BD); pct sobre toneladas</t>
        </is>
      </c>
      <c r="D1960" t="inlineStr">
        <is>
          <t>anio_LOM25_AMIN_LE2</t>
        </is>
      </c>
      <c r="E1960" t="inlineStr">
        <is>
          <t>2039</t>
        </is>
      </c>
      <c r="F1960" t="inlineStr">
        <is>
          <t>litologia_tentativa</t>
        </is>
      </c>
      <c r="G1960" t="inlineStr">
        <is>
          <t>Caliza (hipótesis: Sedimentario; RT11~NUMEQ10, siglas C*)</t>
        </is>
      </c>
      <c r="H1960" t="inlineStr"/>
      <c r="I1960" t="inlineStr"/>
      <c r="J1960" t="inlineStr">
        <is>
          <t>suma de filas por código</t>
        </is>
      </c>
      <c r="K1960" t="inlineStr">
        <is>
          <t>Caliza (hipótesis: Sedimentario; RT11~NUMEQ10, siglas C*)</t>
        </is>
      </c>
      <c r="L1960" t="inlineStr"/>
      <c r="M1960" t="n">
        <v>5808</v>
      </c>
      <c r="N1960" t="n">
        <v>34848000</v>
      </c>
      <c r="O1960" t="n">
        <v>94635894</v>
      </c>
      <c r="P1960" t="inlineStr"/>
      <c r="Q1960" t="n">
        <v>32.505</v>
      </c>
    </row>
    <row r="1961">
      <c r="A1961" t="inlineStr">
        <is>
          <t>MR24</t>
        </is>
      </c>
      <c r="B1961" t="inlineStr">
        <is>
          <t>SIMULACIONES_MR2024_V3</t>
        </is>
      </c>
      <c r="C1961" t="inlineStr">
        <is>
          <t>toneladas (6000 m3 x MR24_BD); pct sobre toneladas</t>
        </is>
      </c>
      <c r="D1961" t="inlineStr">
        <is>
          <t>anio_LOM25_AMIN_LE2</t>
        </is>
      </c>
      <c r="E1961" t="inlineStr">
        <is>
          <t>2039</t>
        </is>
      </c>
      <c r="F1961" t="inlineStr">
        <is>
          <t>litologia_tentativa</t>
        </is>
      </c>
      <c r="G1961" t="inlineStr">
        <is>
          <t>Caliza (hipótesis: siglas C*)</t>
        </is>
      </c>
      <c r="H1961" t="inlineStr"/>
      <c r="I1961" t="inlineStr"/>
      <c r="J1961" t="inlineStr">
        <is>
          <t>suma de filas por código</t>
        </is>
      </c>
      <c r="K1961" t="inlineStr">
        <is>
          <t>Caliza (hipótesis: siglas C*)</t>
        </is>
      </c>
      <c r="L1961" t="inlineStr"/>
      <c r="M1961" t="n">
        <v>1702</v>
      </c>
      <c r="N1961" t="n">
        <v>10212000</v>
      </c>
      <c r="O1961" t="n">
        <v>27708414</v>
      </c>
      <c r="P1961" t="inlineStr"/>
      <c r="Q1961" t="n">
        <v>9.516999999999999</v>
      </c>
    </row>
    <row r="1962">
      <c r="A1962" t="inlineStr">
        <is>
          <t>MR24</t>
        </is>
      </c>
      <c r="B1962" t="inlineStr">
        <is>
          <t>SIMULACIONES_MR2024_V3</t>
        </is>
      </c>
      <c r="C1962" t="inlineStr">
        <is>
          <t>toneladas (6000 m3 x MR24_BD); pct sobre toneladas</t>
        </is>
      </c>
      <c r="D1962" t="inlineStr">
        <is>
          <t>anio_LOM25_AMIN_LE2</t>
        </is>
      </c>
      <c r="E1962" t="inlineStr">
        <is>
          <t>2039</t>
        </is>
      </c>
      <c r="F1962" t="inlineStr">
        <is>
          <t>litologia_tentativa</t>
        </is>
      </c>
      <c r="G1962" t="inlineStr">
        <is>
          <t>Hornfels (hipótesis: siglas HBV, HGV, HCB, HDP; 'Diop. Hornfels'~HGV)</t>
        </is>
      </c>
      <c r="H1962" t="inlineStr"/>
      <c r="I1962" t="inlineStr"/>
      <c r="J1962" t="inlineStr">
        <is>
          <t>suma de filas por código</t>
        </is>
      </c>
      <c r="K1962" t="inlineStr">
        <is>
          <t>Hornfels (hipótesis: siglas HBV, HGV, HCB, HDP; 'Diop. Hornfels'~HGV)</t>
        </is>
      </c>
      <c r="L1962" t="inlineStr"/>
      <c r="M1962" t="n">
        <v>176</v>
      </c>
      <c r="N1962" t="n">
        <v>1056000</v>
      </c>
      <c r="O1962" t="n">
        <v>2915370</v>
      </c>
      <c r="P1962" t="inlineStr"/>
      <c r="Q1962" t="n">
        <v>1.001</v>
      </c>
    </row>
    <row r="1963">
      <c r="A1963" t="inlineStr">
        <is>
          <t>MR24</t>
        </is>
      </c>
      <c r="B1963" t="inlineStr">
        <is>
          <t>SIMULACIONES_MR2024_V3</t>
        </is>
      </c>
      <c r="C1963" t="inlineStr">
        <is>
          <t>toneladas (6000 m3 x MR24_BD); pct sobre toneladas</t>
        </is>
      </c>
      <c r="D1963" t="inlineStr">
        <is>
          <t>anio_LOM25_AMIN_LE2</t>
        </is>
      </c>
      <c r="E1963" t="inlineStr">
        <is>
          <t>2039</t>
        </is>
      </c>
      <c r="F1963" t="inlineStr">
        <is>
          <t>litologia_tentativa</t>
        </is>
      </c>
      <c r="G1963" t="inlineStr">
        <is>
          <t>Hornfels (hipótesis: siglas HG, HGS, HC)</t>
        </is>
      </c>
      <c r="H1963" t="inlineStr"/>
      <c r="I1963" t="inlineStr"/>
      <c r="J1963" t="inlineStr">
        <is>
          <t>suma de filas por código</t>
        </is>
      </c>
      <c r="K1963" t="inlineStr">
        <is>
          <t>Hornfels (hipótesis: siglas HG, HGS, HC)</t>
        </is>
      </c>
      <c r="L1963" t="inlineStr"/>
      <c r="M1963" t="n">
        <v>3191</v>
      </c>
      <c r="N1963" t="n">
        <v>19146000</v>
      </c>
      <c r="O1963" t="n">
        <v>51682098</v>
      </c>
      <c r="P1963" t="inlineStr"/>
      <c r="Q1963" t="n">
        <v>17.751</v>
      </c>
    </row>
    <row r="1964">
      <c r="A1964" t="inlineStr">
        <is>
          <t>MR24</t>
        </is>
      </c>
      <c r="B1964" t="inlineStr">
        <is>
          <t>SIMULACIONES_MR2024_V3</t>
        </is>
      </c>
      <c r="C1964" t="inlineStr">
        <is>
          <t>toneladas (6000 m3 x MR24_BD); pct sobre toneladas</t>
        </is>
      </c>
      <c r="D1964" t="inlineStr">
        <is>
          <t>anio_LOM25_AMIN_LE2</t>
        </is>
      </c>
      <c r="E1964" t="inlineStr">
        <is>
          <t>2039</t>
        </is>
      </c>
      <c r="F1964" t="inlineStr">
        <is>
          <t>litologia_tentativa</t>
        </is>
      </c>
      <c r="G1964" t="inlineStr">
        <is>
          <t>Intrusivo</t>
        </is>
      </c>
      <c r="H1964" t="inlineStr"/>
      <c r="I1964" t="inlineStr"/>
      <c r="J1964" t="inlineStr">
        <is>
          <t>suma de filas por código</t>
        </is>
      </c>
      <c r="K1964" t="inlineStr">
        <is>
          <t>Intrusivo</t>
        </is>
      </c>
      <c r="L1964" t="inlineStr"/>
      <c r="M1964" t="n">
        <v>1406</v>
      </c>
      <c r="N1964" t="n">
        <v>8436000</v>
      </c>
      <c r="O1964" t="n">
        <v>20880540</v>
      </c>
      <c r="P1964" t="inlineStr"/>
      <c r="Q1964" t="n">
        <v>7.172</v>
      </c>
    </row>
    <row r="1965">
      <c r="A1965" t="inlineStr">
        <is>
          <t>MR24</t>
        </is>
      </c>
      <c r="B1965" t="inlineStr">
        <is>
          <t>SIMULACIONES_MR2024_V3</t>
        </is>
      </c>
      <c r="C1965" t="inlineStr">
        <is>
          <t>toneladas (6000 m3 x MR24_BD); pct sobre toneladas</t>
        </is>
      </c>
      <c r="D1965" t="inlineStr">
        <is>
          <t>anio_LOM25_AMIN_LE2</t>
        </is>
      </c>
      <c r="E1965" t="inlineStr">
        <is>
          <t>2039</t>
        </is>
      </c>
      <c r="F1965" t="inlineStr">
        <is>
          <t>litologia_tentativa</t>
        </is>
      </c>
      <c r="G1965" t="inlineStr">
        <is>
          <t>Mármol (hipótesis: sigla MDP)</t>
        </is>
      </c>
      <c r="H1965" t="inlineStr"/>
      <c r="I1965" t="inlineStr"/>
      <c r="J1965" t="inlineStr">
        <is>
          <t>suma de filas por código</t>
        </is>
      </c>
      <c r="K1965" t="inlineStr">
        <is>
          <t>Mármol (hipótesis: sigla MDP)</t>
        </is>
      </c>
      <c r="L1965" t="inlineStr"/>
      <c r="M1965" t="n">
        <v>435</v>
      </c>
      <c r="N1965" t="n">
        <v>2610000</v>
      </c>
      <c r="O1965" t="n">
        <v>7553100</v>
      </c>
      <c r="P1965" t="inlineStr"/>
      <c r="Q1965" t="n">
        <v>2.594</v>
      </c>
    </row>
    <row r="1966">
      <c r="A1966" t="inlineStr">
        <is>
          <t>MR24</t>
        </is>
      </c>
      <c r="B1966" t="inlineStr">
        <is>
          <t>SIMULACIONES_MR2024_V3</t>
        </is>
      </c>
      <c r="C1966" t="inlineStr">
        <is>
          <t>toneladas (6000 m3 x MR24_BD); pct sobre toneladas</t>
        </is>
      </c>
      <c r="D1966" t="inlineStr">
        <is>
          <t>anio_LOM25_AMIN_LE2</t>
        </is>
      </c>
      <c r="E1966" t="inlineStr">
        <is>
          <t>2039</t>
        </is>
      </c>
      <c r="F1966" t="inlineStr">
        <is>
          <t>litologia_tentativa</t>
        </is>
      </c>
      <c r="G1966" t="inlineStr">
        <is>
          <t>Mármol (hipótesis: siglas MC, MG, MGS, MPA, MCGB; 'Marble'~MCGB)</t>
        </is>
      </c>
      <c r="H1966" t="inlineStr"/>
      <c r="I1966" t="inlineStr"/>
      <c r="J1966" t="inlineStr">
        <is>
          <t>suma de filas por código</t>
        </is>
      </c>
      <c r="K1966" t="inlineStr">
        <is>
          <t>Mármol (hipótesis: siglas MC, MG, MGS, MPA, MCGB; 'Marble'~MCGB)</t>
        </is>
      </c>
      <c r="L1966" t="inlineStr"/>
      <c r="M1966" t="n">
        <v>5282</v>
      </c>
      <c r="N1966" t="n">
        <v>31692000</v>
      </c>
      <c r="O1966" t="n">
        <v>85741170</v>
      </c>
      <c r="P1966" t="inlineStr"/>
      <c r="Q1966" t="n">
        <v>29.449</v>
      </c>
    </row>
    <row r="1967">
      <c r="A1967" t="inlineStr">
        <is>
          <t>MR24</t>
        </is>
      </c>
      <c r="B1967" t="inlineStr">
        <is>
          <t>SIMULACIONES_MR2024_V3</t>
        </is>
      </c>
      <c r="C1967" t="inlineStr">
        <is>
          <t>toneladas (6000 m3 x MR24_BD); pct sobre toneladas</t>
        </is>
      </c>
      <c r="D1967" t="inlineStr">
        <is>
          <t>anio_LOM25_AMIN_LE2</t>
        </is>
      </c>
      <c r="E1967" t="inlineStr">
        <is>
          <t>2039</t>
        </is>
      </c>
      <c r="F1967" t="inlineStr">
        <is>
          <t>litologia_tentativa</t>
        </is>
      </c>
      <c r="G1967" t="inlineStr">
        <is>
          <t>sin hipótesis</t>
        </is>
      </c>
      <c r="H1967" t="inlineStr"/>
      <c r="I1967" t="inlineStr"/>
      <c r="J1967" t="inlineStr">
        <is>
          <t>suma de filas por código</t>
        </is>
      </c>
      <c r="K1967" t="inlineStr">
        <is>
          <t>sin hipótesis</t>
        </is>
      </c>
      <c r="L1967" t="inlineStr"/>
      <c r="M1967" t="n">
        <v>2</v>
      </c>
      <c r="N1967" t="n">
        <v>12000</v>
      </c>
      <c r="O1967" t="n">
        <v>29856</v>
      </c>
      <c r="P1967" t="inlineStr"/>
      <c r="Q1967" t="n">
        <v>0.01</v>
      </c>
    </row>
    <row r="1968">
      <c r="A1968" t="inlineStr">
        <is>
          <t>MR24</t>
        </is>
      </c>
      <c r="B1968" t="inlineStr">
        <is>
          <t>SIMULACIONES_MR2024_V3</t>
        </is>
      </c>
      <c r="C1968" t="inlineStr">
        <is>
          <t>toneladas (6000 m3 x MR24_BD); pct sobre toneladas</t>
        </is>
      </c>
      <c r="D1968" t="inlineStr">
        <is>
          <t>anio_LOM25_AMIN_LE2</t>
        </is>
      </c>
      <c r="E1968" t="inlineStr">
        <is>
          <t>2040</t>
        </is>
      </c>
      <c r="F1968" t="inlineStr">
        <is>
          <t>litologia_tentativa</t>
        </is>
      </c>
      <c r="G1968" t="inlineStr">
        <is>
          <t>Caliza (hipótesis: Sedimentario; RT11~NUMEQ10, siglas C*)</t>
        </is>
      </c>
      <c r="H1968" t="inlineStr"/>
      <c r="I1968" t="inlineStr"/>
      <c r="J1968" t="inlineStr">
        <is>
          <t>suma de filas por código</t>
        </is>
      </c>
      <c r="K1968" t="inlineStr">
        <is>
          <t>Caliza (hipótesis: Sedimentario; RT11~NUMEQ10, siglas C*)</t>
        </is>
      </c>
      <c r="L1968" t="inlineStr"/>
      <c r="M1968" t="n">
        <v>1969</v>
      </c>
      <c r="N1968" t="n">
        <v>11814000</v>
      </c>
      <c r="O1968" t="n">
        <v>31963740</v>
      </c>
      <c r="P1968" t="inlineStr"/>
      <c r="Q1968" t="n">
        <v>12.742</v>
      </c>
    </row>
    <row r="1969">
      <c r="A1969" t="inlineStr">
        <is>
          <t>MR24</t>
        </is>
      </c>
      <c r="B1969" t="inlineStr">
        <is>
          <t>SIMULACIONES_MR2024_V3</t>
        </is>
      </c>
      <c r="C1969" t="inlineStr">
        <is>
          <t>toneladas (6000 m3 x MR24_BD); pct sobre toneladas</t>
        </is>
      </c>
      <c r="D1969" t="inlineStr">
        <is>
          <t>anio_LOM25_AMIN_LE2</t>
        </is>
      </c>
      <c r="E1969" t="inlineStr">
        <is>
          <t>2040</t>
        </is>
      </c>
      <c r="F1969" t="inlineStr">
        <is>
          <t>litologia_tentativa</t>
        </is>
      </c>
      <c r="G1969" t="inlineStr">
        <is>
          <t>Caliza (hipótesis: siglas C*)</t>
        </is>
      </c>
      <c r="H1969" t="inlineStr"/>
      <c r="I1969" t="inlineStr"/>
      <c r="J1969" t="inlineStr">
        <is>
          <t>suma de filas por código</t>
        </is>
      </c>
      <c r="K1969" t="inlineStr">
        <is>
          <t>Caliza (hipótesis: siglas C*)</t>
        </is>
      </c>
      <c r="L1969" t="inlineStr"/>
      <c r="M1969" t="n">
        <v>710</v>
      </c>
      <c r="N1969" t="n">
        <v>4260000</v>
      </c>
      <c r="O1969" t="n">
        <v>11562570</v>
      </c>
      <c r="P1969" t="inlineStr"/>
      <c r="Q1969" t="n">
        <v>4.609</v>
      </c>
    </row>
    <row r="1970">
      <c r="A1970" t="inlineStr">
        <is>
          <t>MR24</t>
        </is>
      </c>
      <c r="B1970" t="inlineStr">
        <is>
          <t>SIMULACIONES_MR2024_V3</t>
        </is>
      </c>
      <c r="C1970" t="inlineStr">
        <is>
          <t>toneladas (6000 m3 x MR24_BD); pct sobre toneladas</t>
        </is>
      </c>
      <c r="D1970" t="inlineStr">
        <is>
          <t>anio_LOM25_AMIN_LE2</t>
        </is>
      </c>
      <c r="E1970" t="inlineStr">
        <is>
          <t>2040</t>
        </is>
      </c>
      <c r="F1970" t="inlineStr">
        <is>
          <t>litologia_tentativa</t>
        </is>
      </c>
      <c r="G1970" t="inlineStr">
        <is>
          <t>Hornfels (hipótesis: siglas HBV, HGV, HCB, HDP; 'Diop. Hornfels'~HGV)</t>
        </is>
      </c>
      <c r="H1970" t="inlineStr"/>
      <c r="I1970" t="inlineStr"/>
      <c r="J1970" t="inlineStr">
        <is>
          <t>suma de filas por código</t>
        </is>
      </c>
      <c r="K1970" t="inlineStr">
        <is>
          <t>Hornfels (hipótesis: siglas HBV, HGV, HCB, HDP; 'Diop. Hornfels'~HGV)</t>
        </is>
      </c>
      <c r="L1970" t="inlineStr"/>
      <c r="M1970" t="n">
        <v>617</v>
      </c>
      <c r="N1970" t="n">
        <v>3702000</v>
      </c>
      <c r="O1970" t="n">
        <v>10204110</v>
      </c>
      <c r="P1970" t="inlineStr"/>
      <c r="Q1970" t="n">
        <v>4.068</v>
      </c>
    </row>
    <row r="1971">
      <c r="A1971" t="inlineStr">
        <is>
          <t>MR24</t>
        </is>
      </c>
      <c r="B1971" t="inlineStr">
        <is>
          <t>SIMULACIONES_MR2024_V3</t>
        </is>
      </c>
      <c r="C1971" t="inlineStr">
        <is>
          <t>toneladas (6000 m3 x MR24_BD); pct sobre toneladas</t>
        </is>
      </c>
      <c r="D1971" t="inlineStr">
        <is>
          <t>anio_LOM25_AMIN_LE2</t>
        </is>
      </c>
      <c r="E1971" t="inlineStr">
        <is>
          <t>2040</t>
        </is>
      </c>
      <c r="F1971" t="inlineStr">
        <is>
          <t>litologia_tentativa</t>
        </is>
      </c>
      <c r="G1971" t="inlineStr">
        <is>
          <t>Hornfels (hipótesis: siglas HG, HGS, HC)</t>
        </is>
      </c>
      <c r="H1971" t="inlineStr"/>
      <c r="I1971" t="inlineStr"/>
      <c r="J1971" t="inlineStr">
        <is>
          <t>suma de filas por código</t>
        </is>
      </c>
      <c r="K1971" t="inlineStr">
        <is>
          <t>Hornfels (hipótesis: siglas HG, HGS, HC)</t>
        </is>
      </c>
      <c r="L1971" t="inlineStr"/>
      <c r="M1971" t="n">
        <v>4387</v>
      </c>
      <c r="N1971" t="n">
        <v>26322000</v>
      </c>
      <c r="O1971" t="n">
        <v>71246220</v>
      </c>
      <c r="P1971" t="inlineStr"/>
      <c r="Q1971" t="n">
        <v>28.402</v>
      </c>
    </row>
    <row r="1972">
      <c r="A1972" t="inlineStr">
        <is>
          <t>MR24</t>
        </is>
      </c>
      <c r="B1972" t="inlineStr">
        <is>
          <t>SIMULACIONES_MR2024_V3</t>
        </is>
      </c>
      <c r="C1972" t="inlineStr">
        <is>
          <t>toneladas (6000 m3 x MR24_BD); pct sobre toneladas</t>
        </is>
      </c>
      <c r="D1972" t="inlineStr">
        <is>
          <t>anio_LOM25_AMIN_LE2</t>
        </is>
      </c>
      <c r="E1972" t="inlineStr">
        <is>
          <t>2040</t>
        </is>
      </c>
      <c r="F1972" t="inlineStr">
        <is>
          <t>litologia_tentativa</t>
        </is>
      </c>
      <c r="G1972" t="inlineStr">
        <is>
          <t>Intrusivo</t>
        </is>
      </c>
      <c r="H1972" t="inlineStr"/>
      <c r="I1972" t="inlineStr"/>
      <c r="J1972" t="inlineStr">
        <is>
          <t>suma de filas por código</t>
        </is>
      </c>
      <c r="K1972" t="inlineStr">
        <is>
          <t>Intrusivo</t>
        </is>
      </c>
      <c r="L1972" t="inlineStr"/>
      <c r="M1972" t="n">
        <v>1433</v>
      </c>
      <c r="N1972" t="n">
        <v>8598000</v>
      </c>
      <c r="O1972" t="n">
        <v>21586206</v>
      </c>
      <c r="P1972" t="inlineStr"/>
      <c r="Q1972" t="n">
        <v>8.605</v>
      </c>
    </row>
    <row r="1973">
      <c r="A1973" t="inlineStr">
        <is>
          <t>MR24</t>
        </is>
      </c>
      <c r="B1973" t="inlineStr">
        <is>
          <t>SIMULACIONES_MR2024_V3</t>
        </is>
      </c>
      <c r="C1973" t="inlineStr">
        <is>
          <t>toneladas (6000 m3 x MR24_BD); pct sobre toneladas</t>
        </is>
      </c>
      <c r="D1973" t="inlineStr">
        <is>
          <t>anio_LOM25_AMIN_LE2</t>
        </is>
      </c>
      <c r="E1973" t="inlineStr">
        <is>
          <t>2040</t>
        </is>
      </c>
      <c r="F1973" t="inlineStr">
        <is>
          <t>litologia_tentativa</t>
        </is>
      </c>
      <c r="G1973" t="inlineStr">
        <is>
          <t>Mármol (hipótesis: sigla MDP)</t>
        </is>
      </c>
      <c r="H1973" t="inlineStr"/>
      <c r="I1973" t="inlineStr"/>
      <c r="J1973" t="inlineStr">
        <is>
          <t>suma de filas por código</t>
        </is>
      </c>
      <c r="K1973" t="inlineStr">
        <is>
          <t>Mármol (hipótesis: sigla MDP)</t>
        </is>
      </c>
      <c r="L1973" t="inlineStr"/>
      <c r="M1973" t="n">
        <v>95</v>
      </c>
      <c r="N1973" t="n">
        <v>570000</v>
      </c>
      <c r="O1973" t="n">
        <v>1604718</v>
      </c>
      <c r="P1973" t="inlineStr"/>
      <c r="Q1973" t="n">
        <v>0.64</v>
      </c>
    </row>
    <row r="1974">
      <c r="A1974" t="inlineStr">
        <is>
          <t>MR24</t>
        </is>
      </c>
      <c r="B1974" t="inlineStr">
        <is>
          <t>SIMULACIONES_MR2024_V3</t>
        </is>
      </c>
      <c r="C1974" t="inlineStr">
        <is>
          <t>toneladas (6000 m3 x MR24_BD); pct sobre toneladas</t>
        </is>
      </c>
      <c r="D1974" t="inlineStr">
        <is>
          <t>anio_LOM25_AMIN_LE2</t>
        </is>
      </c>
      <c r="E1974" t="inlineStr">
        <is>
          <t>2040</t>
        </is>
      </c>
      <c r="F1974" t="inlineStr">
        <is>
          <t>litologia_tentativa</t>
        </is>
      </c>
      <c r="G1974" t="inlineStr">
        <is>
          <t>Mármol (hipótesis: siglas MC, MG, MGS, MPA, MCGB; 'Marble'~MCGB)</t>
        </is>
      </c>
      <c r="H1974" t="inlineStr"/>
      <c r="I1974" t="inlineStr"/>
      <c r="J1974" t="inlineStr">
        <is>
          <t>suma de filas por código</t>
        </is>
      </c>
      <c r="K1974" t="inlineStr">
        <is>
          <t>Mármol (hipótesis: siglas MC, MG, MGS, MPA, MCGB; 'Marble'~MCGB)</t>
        </is>
      </c>
      <c r="L1974" t="inlineStr"/>
      <c r="M1974" t="n">
        <v>6313</v>
      </c>
      <c r="N1974" t="n">
        <v>37878000</v>
      </c>
      <c r="O1974" t="n">
        <v>102484878</v>
      </c>
      <c r="P1974" t="inlineStr"/>
      <c r="Q1974" t="n">
        <v>40.856</v>
      </c>
    </row>
    <row r="1975">
      <c r="A1975" t="inlineStr">
        <is>
          <t>MR24</t>
        </is>
      </c>
      <c r="B1975" t="inlineStr">
        <is>
          <t>SIMULACIONES_MR2024_V3</t>
        </is>
      </c>
      <c r="C1975" t="inlineStr">
        <is>
          <t>toneladas (6000 m3 x MR24_BD); pct sobre toneladas</t>
        </is>
      </c>
      <c r="D1975" t="inlineStr">
        <is>
          <t>anio_LOM25_AMIN_LE2</t>
        </is>
      </c>
      <c r="E1975" t="inlineStr">
        <is>
          <t>2040</t>
        </is>
      </c>
      <c r="F1975" t="inlineStr">
        <is>
          <t>litologia_tentativa</t>
        </is>
      </c>
      <c r="G1975" t="inlineStr">
        <is>
          <t>sin hipótesis</t>
        </is>
      </c>
      <c r="H1975" t="inlineStr"/>
      <c r="I1975" t="inlineStr"/>
      <c r="J1975" t="inlineStr">
        <is>
          <t>suma de filas por código</t>
        </is>
      </c>
      <c r="K1975" t="inlineStr">
        <is>
          <t>sin hipótesis</t>
        </is>
      </c>
      <c r="L1975" t="inlineStr"/>
      <c r="M1975" t="n">
        <v>12</v>
      </c>
      <c r="N1975" t="n">
        <v>72000</v>
      </c>
      <c r="O1975" t="n">
        <v>193140</v>
      </c>
      <c r="P1975" t="inlineStr"/>
      <c r="Q1975" t="n">
        <v>0.077</v>
      </c>
    </row>
    <row r="1976">
      <c r="A1976" t="inlineStr">
        <is>
          <t>MR24</t>
        </is>
      </c>
      <c r="B1976" t="inlineStr">
        <is>
          <t>SIMULACIONES_MR2024_V3</t>
        </is>
      </c>
      <c r="C1976" t="inlineStr">
        <is>
          <t>toneladas (6000 m3 x MR24_BD); pct sobre toneladas</t>
        </is>
      </c>
      <c r="D1976" t="inlineStr">
        <is>
          <t>anio_LOM25_AMIN_LE2</t>
        </is>
      </c>
      <c r="E1976" t="inlineStr">
        <is>
          <t>2041</t>
        </is>
      </c>
      <c r="F1976" t="inlineStr">
        <is>
          <t>litologia_tentativa</t>
        </is>
      </c>
      <c r="G1976" t="inlineStr">
        <is>
          <t>Caliza (hipótesis: Sedimentario; RT11~NUMEQ10, siglas C*)</t>
        </is>
      </c>
      <c r="H1976" t="inlineStr"/>
      <c r="I1976" t="inlineStr"/>
      <c r="J1976" t="inlineStr">
        <is>
          <t>suma de filas por código</t>
        </is>
      </c>
      <c r="K1976" t="inlineStr">
        <is>
          <t>Caliza (hipótesis: Sedimentario; RT11~NUMEQ10, siglas C*)</t>
        </is>
      </c>
      <c r="L1976" t="inlineStr"/>
      <c r="M1976" t="n">
        <v>2527</v>
      </c>
      <c r="N1976" t="n">
        <v>15162000</v>
      </c>
      <c r="O1976" t="n">
        <v>41044848</v>
      </c>
      <c r="P1976" t="inlineStr"/>
      <c r="Q1976" t="n">
        <v>13.983</v>
      </c>
    </row>
    <row r="1977">
      <c r="A1977" t="inlineStr">
        <is>
          <t>MR24</t>
        </is>
      </c>
      <c r="B1977" t="inlineStr">
        <is>
          <t>SIMULACIONES_MR2024_V3</t>
        </is>
      </c>
      <c r="C1977" t="inlineStr">
        <is>
          <t>toneladas (6000 m3 x MR24_BD); pct sobre toneladas</t>
        </is>
      </c>
      <c r="D1977" t="inlineStr">
        <is>
          <t>anio_LOM25_AMIN_LE2</t>
        </is>
      </c>
      <c r="E1977" t="inlineStr">
        <is>
          <t>2041</t>
        </is>
      </c>
      <c r="F1977" t="inlineStr">
        <is>
          <t>litologia_tentativa</t>
        </is>
      </c>
      <c r="G1977" t="inlineStr">
        <is>
          <t>Caliza (hipótesis: siglas C*)</t>
        </is>
      </c>
      <c r="H1977" t="inlineStr"/>
      <c r="I1977" t="inlineStr"/>
      <c r="J1977" t="inlineStr">
        <is>
          <t>suma de filas por código</t>
        </is>
      </c>
      <c r="K1977" t="inlineStr">
        <is>
          <t>Caliza (hipótesis: siglas C*)</t>
        </is>
      </c>
      <c r="L1977" t="inlineStr"/>
      <c r="M1977" t="n">
        <v>1097</v>
      </c>
      <c r="N1977" t="n">
        <v>6582000</v>
      </c>
      <c r="O1977" t="n">
        <v>17838060</v>
      </c>
      <c r="P1977" t="inlineStr"/>
      <c r="Q1977" t="n">
        <v>6.077</v>
      </c>
    </row>
    <row r="1978">
      <c r="A1978" t="inlineStr">
        <is>
          <t>MR24</t>
        </is>
      </c>
      <c r="B1978" t="inlineStr">
        <is>
          <t>SIMULACIONES_MR2024_V3</t>
        </is>
      </c>
      <c r="C1978" t="inlineStr">
        <is>
          <t>toneladas (6000 m3 x MR24_BD); pct sobre toneladas</t>
        </is>
      </c>
      <c r="D1978" t="inlineStr">
        <is>
          <t>anio_LOM25_AMIN_LE2</t>
        </is>
      </c>
      <c r="E1978" t="inlineStr">
        <is>
          <t>2041</t>
        </is>
      </c>
      <c r="F1978" t="inlineStr">
        <is>
          <t>litologia_tentativa</t>
        </is>
      </c>
      <c r="G1978" t="inlineStr">
        <is>
          <t>Hornfels (hipótesis: siglas HBV, HGV, HCB, HDP; 'Diop. Hornfels'~HGV)</t>
        </is>
      </c>
      <c r="H1978" t="inlineStr"/>
      <c r="I1978" t="inlineStr"/>
      <c r="J1978" t="inlineStr">
        <is>
          <t>suma de filas por código</t>
        </is>
      </c>
      <c r="K1978" t="inlineStr">
        <is>
          <t>Hornfels (hipótesis: siglas HBV, HGV, HCB, HDP; 'Diop. Hornfels'~HGV)</t>
        </is>
      </c>
      <c r="L1978" t="inlineStr"/>
      <c r="M1978" t="n">
        <v>123</v>
      </c>
      <c r="N1978" t="n">
        <v>738000</v>
      </c>
      <c r="O1978" t="n">
        <v>2057442</v>
      </c>
      <c r="P1978" t="inlineStr"/>
      <c r="Q1978" t="n">
        <v>0.701</v>
      </c>
    </row>
    <row r="1979">
      <c r="A1979" t="inlineStr">
        <is>
          <t>MR24</t>
        </is>
      </c>
      <c r="B1979" t="inlineStr">
        <is>
          <t>SIMULACIONES_MR2024_V3</t>
        </is>
      </c>
      <c r="C1979" t="inlineStr">
        <is>
          <t>toneladas (6000 m3 x MR24_BD); pct sobre toneladas</t>
        </is>
      </c>
      <c r="D1979" t="inlineStr">
        <is>
          <t>anio_LOM25_AMIN_LE2</t>
        </is>
      </c>
      <c r="E1979" t="inlineStr">
        <is>
          <t>2041</t>
        </is>
      </c>
      <c r="F1979" t="inlineStr">
        <is>
          <t>litologia_tentativa</t>
        </is>
      </c>
      <c r="G1979" t="inlineStr">
        <is>
          <t>Hornfels (hipótesis: siglas HG, HGS, HC)</t>
        </is>
      </c>
      <c r="H1979" t="inlineStr"/>
      <c r="I1979" t="inlineStr"/>
      <c r="J1979" t="inlineStr">
        <is>
          <t>suma de filas por código</t>
        </is>
      </c>
      <c r="K1979" t="inlineStr">
        <is>
          <t>Hornfels (hipótesis: siglas HG, HGS, HC)</t>
        </is>
      </c>
      <c r="L1979" t="inlineStr"/>
      <c r="M1979" t="n">
        <v>2670</v>
      </c>
      <c r="N1979" t="n">
        <v>16020000</v>
      </c>
      <c r="O1979" t="n">
        <v>43441764</v>
      </c>
      <c r="P1979" t="inlineStr"/>
      <c r="Q1979" t="n">
        <v>14.799</v>
      </c>
    </row>
    <row r="1980">
      <c r="A1980" t="inlineStr">
        <is>
          <t>MR24</t>
        </is>
      </c>
      <c r="B1980" t="inlineStr">
        <is>
          <t>SIMULACIONES_MR2024_V3</t>
        </is>
      </c>
      <c r="C1980" t="inlineStr">
        <is>
          <t>toneladas (6000 m3 x MR24_BD); pct sobre toneladas</t>
        </is>
      </c>
      <c r="D1980" t="inlineStr">
        <is>
          <t>anio_LOM25_AMIN_LE2</t>
        </is>
      </c>
      <c r="E1980" t="inlineStr">
        <is>
          <t>2041</t>
        </is>
      </c>
      <c r="F1980" t="inlineStr">
        <is>
          <t>litologia_tentativa</t>
        </is>
      </c>
      <c r="G1980" t="inlineStr">
        <is>
          <t>Intrusivo</t>
        </is>
      </c>
      <c r="H1980" t="inlineStr"/>
      <c r="I1980" t="inlineStr"/>
      <c r="J1980" t="inlineStr">
        <is>
          <t>suma de filas por código</t>
        </is>
      </c>
      <c r="K1980" t="inlineStr">
        <is>
          <t>Intrusivo</t>
        </is>
      </c>
      <c r="L1980" t="inlineStr"/>
      <c r="M1980" t="n">
        <v>3702</v>
      </c>
      <c r="N1980" t="n">
        <v>22212000</v>
      </c>
      <c r="O1980" t="n">
        <v>55163658</v>
      </c>
      <c r="P1980" t="inlineStr"/>
      <c r="Q1980" t="n">
        <v>18.793</v>
      </c>
    </row>
    <row r="1981">
      <c r="A1981" t="inlineStr">
        <is>
          <t>MR24</t>
        </is>
      </c>
      <c r="B1981" t="inlineStr">
        <is>
          <t>SIMULACIONES_MR2024_V3</t>
        </is>
      </c>
      <c r="C1981" t="inlineStr">
        <is>
          <t>toneladas (6000 m3 x MR24_BD); pct sobre toneladas</t>
        </is>
      </c>
      <c r="D1981" t="inlineStr">
        <is>
          <t>anio_LOM25_AMIN_LE2</t>
        </is>
      </c>
      <c r="E1981" t="inlineStr">
        <is>
          <t>2041</t>
        </is>
      </c>
      <c r="F1981" t="inlineStr">
        <is>
          <t>litologia_tentativa</t>
        </is>
      </c>
      <c r="G1981" t="inlineStr">
        <is>
          <t>Mármol (hipótesis: sigla MDP)</t>
        </is>
      </c>
      <c r="H1981" t="inlineStr"/>
      <c r="I1981" t="inlineStr"/>
      <c r="J1981" t="inlineStr">
        <is>
          <t>suma de filas por código</t>
        </is>
      </c>
      <c r="K1981" t="inlineStr">
        <is>
          <t>Mármol (hipótesis: sigla MDP)</t>
        </is>
      </c>
      <c r="L1981" t="inlineStr"/>
      <c r="M1981" t="n">
        <v>255</v>
      </c>
      <c r="N1981" t="n">
        <v>1530000</v>
      </c>
      <c r="O1981" t="n">
        <v>4269126</v>
      </c>
      <c r="P1981" t="inlineStr"/>
      <c r="Q1981" t="n">
        <v>1.454</v>
      </c>
    </row>
    <row r="1982">
      <c r="A1982" t="inlineStr">
        <is>
          <t>MR24</t>
        </is>
      </c>
      <c r="B1982" t="inlineStr">
        <is>
          <t>SIMULACIONES_MR2024_V3</t>
        </is>
      </c>
      <c r="C1982" t="inlineStr">
        <is>
          <t>toneladas (6000 m3 x MR24_BD); pct sobre toneladas</t>
        </is>
      </c>
      <c r="D1982" t="inlineStr">
        <is>
          <t>anio_LOM25_AMIN_LE2</t>
        </is>
      </c>
      <c r="E1982" t="inlineStr">
        <is>
          <t>2041</t>
        </is>
      </c>
      <c r="F1982" t="inlineStr">
        <is>
          <t>litologia_tentativa</t>
        </is>
      </c>
      <c r="G1982" t="inlineStr">
        <is>
          <t>Mármol (hipótesis: siglas MC, MG, MGS, MPA, MCGB; 'Marble'~MCGB)</t>
        </is>
      </c>
      <c r="H1982" t="inlineStr"/>
      <c r="I1982" t="inlineStr"/>
      <c r="J1982" t="inlineStr">
        <is>
          <t>suma de filas por código</t>
        </is>
      </c>
      <c r="K1982" t="inlineStr">
        <is>
          <t>Mármol (hipótesis: siglas MC, MG, MGS, MPA, MCGB; 'Marble'~MCGB)</t>
        </is>
      </c>
      <c r="L1982" t="inlineStr"/>
      <c r="M1982" t="n">
        <v>7952</v>
      </c>
      <c r="N1982" t="n">
        <v>47712000</v>
      </c>
      <c r="O1982" t="n">
        <v>129633678</v>
      </c>
      <c r="P1982" t="inlineStr"/>
      <c r="Q1982" t="n">
        <v>44.163</v>
      </c>
    </row>
    <row r="1983">
      <c r="A1983" t="inlineStr">
        <is>
          <t>MR24</t>
        </is>
      </c>
      <c r="B1983" t="inlineStr">
        <is>
          <t>SIMULACIONES_MR2024_V3</t>
        </is>
      </c>
      <c r="C1983" t="inlineStr">
        <is>
          <t>toneladas (6000 m3 x MR24_BD); pct sobre toneladas</t>
        </is>
      </c>
      <c r="D1983" t="inlineStr">
        <is>
          <t>anio_LOM25_AMIN_LE2</t>
        </is>
      </c>
      <c r="E1983" t="inlineStr">
        <is>
          <t>2041</t>
        </is>
      </c>
      <c r="F1983" t="inlineStr">
        <is>
          <t>litologia_tentativa</t>
        </is>
      </c>
      <c r="G1983" t="inlineStr">
        <is>
          <t>sin hipótesis</t>
        </is>
      </c>
      <c r="H1983" t="inlineStr"/>
      <c r="I1983" t="inlineStr"/>
      <c r="J1983" t="inlineStr">
        <is>
          <t>suma de filas por código</t>
        </is>
      </c>
      <c r="K1983" t="inlineStr">
        <is>
          <t>sin hipótesis</t>
        </is>
      </c>
      <c r="L1983" t="inlineStr"/>
      <c r="M1983" t="n">
        <v>5</v>
      </c>
      <c r="N1983" t="n">
        <v>30000</v>
      </c>
      <c r="O1983" t="n">
        <v>87762</v>
      </c>
      <c r="P1983" t="inlineStr"/>
      <c r="Q1983" t="n">
        <v>0.03</v>
      </c>
    </row>
    <row r="1984">
      <c r="A1984" t="inlineStr">
        <is>
          <t>MR24</t>
        </is>
      </c>
      <c r="B1984" t="inlineStr">
        <is>
          <t>SIMULACIONES_MR2024_V3</t>
        </is>
      </c>
      <c r="C1984" t="inlineStr">
        <is>
          <t>toneladas (6000 m3 x MR24_BD); pct sobre toneladas</t>
        </is>
      </c>
      <c r="D1984" t="inlineStr">
        <is>
          <t>anio_LOM25_AMIN_LE2</t>
        </is>
      </c>
      <c r="E1984" t="inlineStr">
        <is>
          <t>2042</t>
        </is>
      </c>
      <c r="F1984" t="inlineStr">
        <is>
          <t>litologia_tentativa</t>
        </is>
      </c>
      <c r="G1984" t="inlineStr">
        <is>
          <t>Caliza (hipótesis: Sedimentario; RT11~NUMEQ10, siglas C*)</t>
        </is>
      </c>
      <c r="H1984" t="inlineStr"/>
      <c r="I1984" t="inlineStr"/>
      <c r="J1984" t="inlineStr">
        <is>
          <t>suma de filas por código</t>
        </is>
      </c>
      <c r="K1984" t="inlineStr">
        <is>
          <t>Caliza (hipótesis: Sedimentario; RT11~NUMEQ10, siglas C*)</t>
        </is>
      </c>
      <c r="L1984" t="inlineStr"/>
      <c r="M1984" t="n">
        <v>1656</v>
      </c>
      <c r="N1984" t="n">
        <v>9936000</v>
      </c>
      <c r="O1984" t="n">
        <v>26962944</v>
      </c>
      <c r="P1984" t="inlineStr"/>
      <c r="Q1984" t="n">
        <v>13.779</v>
      </c>
    </row>
    <row r="1985">
      <c r="A1985" t="inlineStr">
        <is>
          <t>MR24</t>
        </is>
      </c>
      <c r="B1985" t="inlineStr">
        <is>
          <t>SIMULACIONES_MR2024_V3</t>
        </is>
      </c>
      <c r="C1985" t="inlineStr">
        <is>
          <t>toneladas (6000 m3 x MR24_BD); pct sobre toneladas</t>
        </is>
      </c>
      <c r="D1985" t="inlineStr">
        <is>
          <t>anio_LOM25_AMIN_LE2</t>
        </is>
      </c>
      <c r="E1985" t="inlineStr">
        <is>
          <t>2042</t>
        </is>
      </c>
      <c r="F1985" t="inlineStr">
        <is>
          <t>litologia_tentativa</t>
        </is>
      </c>
      <c r="G1985" t="inlineStr">
        <is>
          <t>Caliza (hipótesis: siglas C*)</t>
        </is>
      </c>
      <c r="H1985" t="inlineStr"/>
      <c r="I1985" t="inlineStr"/>
      <c r="J1985" t="inlineStr">
        <is>
          <t>suma de filas por código</t>
        </is>
      </c>
      <c r="K1985" t="inlineStr">
        <is>
          <t>Caliza (hipótesis: siglas C*)</t>
        </is>
      </c>
      <c r="L1985" t="inlineStr"/>
      <c r="M1985" t="n">
        <v>2228</v>
      </c>
      <c r="N1985" t="n">
        <v>13368000</v>
      </c>
      <c r="O1985" t="n">
        <v>36255510</v>
      </c>
      <c r="P1985" t="inlineStr"/>
      <c r="Q1985" t="n">
        <v>18.528</v>
      </c>
    </row>
    <row r="1986">
      <c r="A1986" t="inlineStr">
        <is>
          <t>MR24</t>
        </is>
      </c>
      <c r="B1986" t="inlineStr">
        <is>
          <t>SIMULACIONES_MR2024_V3</t>
        </is>
      </c>
      <c r="C1986" t="inlineStr">
        <is>
          <t>toneladas (6000 m3 x MR24_BD); pct sobre toneladas</t>
        </is>
      </c>
      <c r="D1986" t="inlineStr">
        <is>
          <t>anio_LOM25_AMIN_LE2</t>
        </is>
      </c>
      <c r="E1986" t="inlineStr">
        <is>
          <t>2042</t>
        </is>
      </c>
      <c r="F1986" t="inlineStr">
        <is>
          <t>litologia_tentativa</t>
        </is>
      </c>
      <c r="G1986" t="inlineStr">
        <is>
          <t>Hornfels (hipótesis: siglas HBV, HGV, HCB, HDP; 'Diop. Hornfels'~HGV)</t>
        </is>
      </c>
      <c r="H1986" t="inlineStr"/>
      <c r="I1986" t="inlineStr"/>
      <c r="J1986" t="inlineStr">
        <is>
          <t>suma de filas por código</t>
        </is>
      </c>
      <c r="K1986" t="inlineStr">
        <is>
          <t>Hornfels (hipótesis: siglas HBV, HGV, HCB, HDP; 'Diop. Hornfels'~HGV)</t>
        </is>
      </c>
      <c r="L1986" t="inlineStr"/>
      <c r="M1986" t="n">
        <v>5</v>
      </c>
      <c r="N1986" t="n">
        <v>30000</v>
      </c>
      <c r="O1986" t="n">
        <v>83850</v>
      </c>
      <c r="P1986" t="inlineStr"/>
      <c r="Q1986" t="n">
        <v>0.043</v>
      </c>
    </row>
    <row r="1987">
      <c r="A1987" t="inlineStr">
        <is>
          <t>MR24</t>
        </is>
      </c>
      <c r="B1987" t="inlineStr">
        <is>
          <t>SIMULACIONES_MR2024_V3</t>
        </is>
      </c>
      <c r="C1987" t="inlineStr">
        <is>
          <t>toneladas (6000 m3 x MR24_BD); pct sobre toneladas</t>
        </is>
      </c>
      <c r="D1987" t="inlineStr">
        <is>
          <t>anio_LOM25_AMIN_LE2</t>
        </is>
      </c>
      <c r="E1987" t="inlineStr">
        <is>
          <t>2042</t>
        </is>
      </c>
      <c r="F1987" t="inlineStr">
        <is>
          <t>litologia_tentativa</t>
        </is>
      </c>
      <c r="G1987" t="inlineStr">
        <is>
          <t>Hornfels (hipótesis: siglas HG, HGS, HC)</t>
        </is>
      </c>
      <c r="H1987" t="inlineStr"/>
      <c r="I1987" t="inlineStr"/>
      <c r="J1987" t="inlineStr">
        <is>
          <t>suma de filas por código</t>
        </is>
      </c>
      <c r="K1987" t="inlineStr">
        <is>
          <t>Hornfels (hipótesis: siglas HG, HGS, HC)</t>
        </is>
      </c>
      <c r="L1987" t="inlineStr"/>
      <c r="M1987" t="n">
        <v>1742</v>
      </c>
      <c r="N1987" t="n">
        <v>10452000</v>
      </c>
      <c r="O1987" t="n">
        <v>28257054</v>
      </c>
      <c r="P1987" t="inlineStr"/>
      <c r="Q1987" t="n">
        <v>14.44</v>
      </c>
    </row>
    <row r="1988">
      <c r="A1988" t="inlineStr">
        <is>
          <t>MR24</t>
        </is>
      </c>
      <c r="B1988" t="inlineStr">
        <is>
          <t>SIMULACIONES_MR2024_V3</t>
        </is>
      </c>
      <c r="C1988" t="inlineStr">
        <is>
          <t>toneladas (6000 m3 x MR24_BD); pct sobre toneladas</t>
        </is>
      </c>
      <c r="D1988" t="inlineStr">
        <is>
          <t>anio_LOM25_AMIN_LE2</t>
        </is>
      </c>
      <c r="E1988" t="inlineStr">
        <is>
          <t>2042</t>
        </is>
      </c>
      <c r="F1988" t="inlineStr">
        <is>
          <t>litologia_tentativa</t>
        </is>
      </c>
      <c r="G1988" t="inlineStr">
        <is>
          <t>Intrusivo</t>
        </is>
      </c>
      <c r="H1988" t="inlineStr"/>
      <c r="I1988" t="inlineStr"/>
      <c r="J1988" t="inlineStr">
        <is>
          <t>suma de filas por código</t>
        </is>
      </c>
      <c r="K1988" t="inlineStr">
        <is>
          <t>Intrusivo</t>
        </is>
      </c>
      <c r="L1988" t="inlineStr"/>
      <c r="M1988" t="n">
        <v>1856</v>
      </c>
      <c r="N1988" t="n">
        <v>11136000</v>
      </c>
      <c r="O1988" t="n">
        <v>27284886</v>
      </c>
      <c r="P1988" t="inlineStr"/>
      <c r="Q1988" t="n">
        <v>13.943</v>
      </c>
    </row>
    <row r="1989">
      <c r="A1989" t="inlineStr">
        <is>
          <t>MR24</t>
        </is>
      </c>
      <c r="B1989" t="inlineStr">
        <is>
          <t>SIMULACIONES_MR2024_V3</t>
        </is>
      </c>
      <c r="C1989" t="inlineStr">
        <is>
          <t>toneladas (6000 m3 x MR24_BD); pct sobre toneladas</t>
        </is>
      </c>
      <c r="D1989" t="inlineStr">
        <is>
          <t>anio_LOM25_AMIN_LE2</t>
        </is>
      </c>
      <c r="E1989" t="inlineStr">
        <is>
          <t>2042</t>
        </is>
      </c>
      <c r="F1989" t="inlineStr">
        <is>
          <t>litologia_tentativa</t>
        </is>
      </c>
      <c r="G1989" t="inlineStr">
        <is>
          <t>Mármol (hipótesis: sigla MDP)</t>
        </is>
      </c>
      <c r="H1989" t="inlineStr"/>
      <c r="I1989" t="inlineStr"/>
      <c r="J1989" t="inlineStr">
        <is>
          <t>suma de filas por código</t>
        </is>
      </c>
      <c r="K1989" t="inlineStr">
        <is>
          <t>Mármol (hipótesis: sigla MDP)</t>
        </is>
      </c>
      <c r="L1989" t="inlineStr"/>
      <c r="M1989" t="n">
        <v>139</v>
      </c>
      <c r="N1989" t="n">
        <v>834000</v>
      </c>
      <c r="O1989" t="n">
        <v>2313414</v>
      </c>
      <c r="P1989" t="inlineStr"/>
      <c r="Q1989" t="n">
        <v>1.182</v>
      </c>
    </row>
    <row r="1990">
      <c r="A1990" t="inlineStr">
        <is>
          <t>MR24</t>
        </is>
      </c>
      <c r="B1990" t="inlineStr">
        <is>
          <t>SIMULACIONES_MR2024_V3</t>
        </is>
      </c>
      <c r="C1990" t="inlineStr">
        <is>
          <t>toneladas (6000 m3 x MR24_BD); pct sobre toneladas</t>
        </is>
      </c>
      <c r="D1990" t="inlineStr">
        <is>
          <t>anio_LOM25_AMIN_LE2</t>
        </is>
      </c>
      <c r="E1990" t="inlineStr">
        <is>
          <t>2042</t>
        </is>
      </c>
      <c r="F1990" t="inlineStr">
        <is>
          <t>litologia_tentativa</t>
        </is>
      </c>
      <c r="G1990" t="inlineStr">
        <is>
          <t>Mármol (hipótesis: siglas MC, MG, MGS, MPA, MCGB; 'Marble'~MCGB)</t>
        </is>
      </c>
      <c r="H1990" t="inlineStr"/>
      <c r="I1990" t="inlineStr"/>
      <c r="J1990" t="inlineStr">
        <is>
          <t>suma de filas por código</t>
        </is>
      </c>
      <c r="K1990" t="inlineStr">
        <is>
          <t>Mármol (hipótesis: siglas MC, MG, MGS, MPA, MCGB; 'Marble'~MCGB)</t>
        </is>
      </c>
      <c r="L1990" t="inlineStr"/>
      <c r="M1990" t="n">
        <v>4556</v>
      </c>
      <c r="N1990" t="n">
        <v>27336000</v>
      </c>
      <c r="O1990" t="n">
        <v>74505732</v>
      </c>
      <c r="P1990" t="inlineStr"/>
      <c r="Q1990" t="n">
        <v>38.075</v>
      </c>
    </row>
    <row r="1991">
      <c r="A1991" t="inlineStr">
        <is>
          <t>MR24</t>
        </is>
      </c>
      <c r="B1991" t="inlineStr">
        <is>
          <t>SIMULACIONES_MR2024_V3</t>
        </is>
      </c>
      <c r="C1991" t="inlineStr">
        <is>
          <t>toneladas (6000 m3 x MR24_BD); pct sobre toneladas</t>
        </is>
      </c>
      <c r="D1991" t="inlineStr">
        <is>
          <t>anio_LOM25_AMIN_LE2</t>
        </is>
      </c>
      <c r="E1991" t="inlineStr">
        <is>
          <t>2042</t>
        </is>
      </c>
      <c r="F1991" t="inlineStr">
        <is>
          <t>litologia_tentativa</t>
        </is>
      </c>
      <c r="G1991" t="inlineStr">
        <is>
          <t>sin hipótesis</t>
        </is>
      </c>
      <c r="H1991" t="inlineStr"/>
      <c r="I1991" t="inlineStr"/>
      <c r="J1991" t="inlineStr">
        <is>
          <t>suma de filas por código</t>
        </is>
      </c>
      <c r="K1991" t="inlineStr">
        <is>
          <t>sin hipótesis</t>
        </is>
      </c>
      <c r="L1991" t="inlineStr"/>
      <c r="M1991" t="n">
        <v>1</v>
      </c>
      <c r="N1991" t="n">
        <v>6000</v>
      </c>
      <c r="O1991" t="n">
        <v>17610</v>
      </c>
      <c r="P1991" t="inlineStr"/>
      <c r="Q1991" t="n">
        <v>0.008999999999999999</v>
      </c>
    </row>
    <row r="1992">
      <c r="A1992" t="inlineStr">
        <is>
          <t>MR24</t>
        </is>
      </c>
      <c r="B1992" t="inlineStr">
        <is>
          <t>SIMULACIONES_MR2024_V3</t>
        </is>
      </c>
      <c r="C1992" t="inlineStr">
        <is>
          <t>toneladas (6000 m3 x MR24_BD); pct sobre toneladas</t>
        </is>
      </c>
      <c r="D1992" t="inlineStr">
        <is>
          <t>anio_LOM25_AMIN_LE2</t>
        </is>
      </c>
      <c r="E1992" t="inlineStr">
        <is>
          <t>2043</t>
        </is>
      </c>
      <c r="F1992" t="inlineStr">
        <is>
          <t>litologia_tentativa</t>
        </is>
      </c>
      <c r="G1992" t="inlineStr">
        <is>
          <t>Caliza (hipótesis: Sedimentario; RT11~NUMEQ10, siglas C*)</t>
        </is>
      </c>
      <c r="H1992" t="inlineStr"/>
      <c r="I1992" t="inlineStr"/>
      <c r="J1992" t="inlineStr">
        <is>
          <t>suma de filas por código</t>
        </is>
      </c>
      <c r="K1992" t="inlineStr">
        <is>
          <t>Caliza (hipótesis: Sedimentario; RT11~NUMEQ10, siglas C*)</t>
        </is>
      </c>
      <c r="L1992" t="inlineStr"/>
      <c r="M1992" t="n">
        <v>559</v>
      </c>
      <c r="N1992" t="n">
        <v>3354000</v>
      </c>
      <c r="O1992" t="n">
        <v>9106248</v>
      </c>
      <c r="P1992" t="inlineStr"/>
      <c r="Q1992" t="n">
        <v>5.753</v>
      </c>
    </row>
    <row r="1993">
      <c r="A1993" t="inlineStr">
        <is>
          <t>MR24</t>
        </is>
      </c>
      <c r="B1993" t="inlineStr">
        <is>
          <t>SIMULACIONES_MR2024_V3</t>
        </is>
      </c>
      <c r="C1993" t="inlineStr">
        <is>
          <t>toneladas (6000 m3 x MR24_BD); pct sobre toneladas</t>
        </is>
      </c>
      <c r="D1993" t="inlineStr">
        <is>
          <t>anio_LOM25_AMIN_LE2</t>
        </is>
      </c>
      <c r="E1993" t="inlineStr">
        <is>
          <t>2043</t>
        </is>
      </c>
      <c r="F1993" t="inlineStr">
        <is>
          <t>litologia_tentativa</t>
        </is>
      </c>
      <c r="G1993" t="inlineStr">
        <is>
          <t>Caliza (hipótesis: siglas C*)</t>
        </is>
      </c>
      <c r="H1993" t="inlineStr"/>
      <c r="I1993" t="inlineStr"/>
      <c r="J1993" t="inlineStr">
        <is>
          <t>suma de filas por código</t>
        </is>
      </c>
      <c r="K1993" t="inlineStr">
        <is>
          <t>Caliza (hipótesis: siglas C*)</t>
        </is>
      </c>
      <c r="L1993" t="inlineStr"/>
      <c r="M1993" t="n">
        <v>1946</v>
      </c>
      <c r="N1993" t="n">
        <v>11676000</v>
      </c>
      <c r="O1993" t="n">
        <v>31659276</v>
      </c>
      <c r="P1993" t="inlineStr"/>
      <c r="Q1993" t="n">
        <v>20.002</v>
      </c>
    </row>
    <row r="1994">
      <c r="A1994" t="inlineStr">
        <is>
          <t>MR24</t>
        </is>
      </c>
      <c r="B1994" t="inlineStr">
        <is>
          <t>SIMULACIONES_MR2024_V3</t>
        </is>
      </c>
      <c r="C1994" t="inlineStr">
        <is>
          <t>toneladas (6000 m3 x MR24_BD); pct sobre toneladas</t>
        </is>
      </c>
      <c r="D1994" t="inlineStr">
        <is>
          <t>anio_LOM25_AMIN_LE2</t>
        </is>
      </c>
      <c r="E1994" t="inlineStr">
        <is>
          <t>2043</t>
        </is>
      </c>
      <c r="F1994" t="inlineStr">
        <is>
          <t>litologia_tentativa</t>
        </is>
      </c>
      <c r="G1994" t="inlineStr">
        <is>
          <t>Hornfels (hipótesis: siglas HBV, HGV, HCB, HDP; 'Diop. Hornfels'~HGV)</t>
        </is>
      </c>
      <c r="H1994" t="inlineStr"/>
      <c r="I1994" t="inlineStr"/>
      <c r="J1994" t="inlineStr">
        <is>
          <t>suma de filas por código</t>
        </is>
      </c>
      <c r="K1994" t="inlineStr">
        <is>
          <t>Hornfels (hipótesis: siglas HBV, HGV, HCB, HDP; 'Diop. Hornfels'~HGV)</t>
        </is>
      </c>
      <c r="L1994" t="inlineStr"/>
      <c r="M1994" t="n">
        <v>139</v>
      </c>
      <c r="N1994" t="n">
        <v>834000</v>
      </c>
      <c r="O1994" t="n">
        <v>2415084</v>
      </c>
      <c r="P1994" t="inlineStr"/>
      <c r="Q1994" t="n">
        <v>1.526</v>
      </c>
    </row>
    <row r="1995">
      <c r="A1995" t="inlineStr">
        <is>
          <t>MR24</t>
        </is>
      </c>
      <c r="B1995" t="inlineStr">
        <is>
          <t>SIMULACIONES_MR2024_V3</t>
        </is>
      </c>
      <c r="C1995" t="inlineStr">
        <is>
          <t>toneladas (6000 m3 x MR24_BD); pct sobre toneladas</t>
        </is>
      </c>
      <c r="D1995" t="inlineStr">
        <is>
          <t>anio_LOM25_AMIN_LE2</t>
        </is>
      </c>
      <c r="E1995" t="inlineStr">
        <is>
          <t>2043</t>
        </is>
      </c>
      <c r="F1995" t="inlineStr">
        <is>
          <t>litologia_tentativa</t>
        </is>
      </c>
      <c r="G1995" t="inlineStr">
        <is>
          <t>Hornfels (hipótesis: siglas HG, HGS, HC)</t>
        </is>
      </c>
      <c r="H1995" t="inlineStr"/>
      <c r="I1995" t="inlineStr"/>
      <c r="J1995" t="inlineStr">
        <is>
          <t>suma de filas por código</t>
        </is>
      </c>
      <c r="K1995" t="inlineStr">
        <is>
          <t>Hornfels (hipótesis: siglas HG, HGS, HC)</t>
        </is>
      </c>
      <c r="L1995" t="inlineStr"/>
      <c r="M1995" t="n">
        <v>1787</v>
      </c>
      <c r="N1995" t="n">
        <v>10722000</v>
      </c>
      <c r="O1995" t="n">
        <v>29092824</v>
      </c>
      <c r="P1995" t="inlineStr"/>
      <c r="Q1995" t="n">
        <v>18.381</v>
      </c>
    </row>
    <row r="1996">
      <c r="A1996" t="inlineStr">
        <is>
          <t>MR24</t>
        </is>
      </c>
      <c r="B1996" t="inlineStr">
        <is>
          <t>SIMULACIONES_MR2024_V3</t>
        </is>
      </c>
      <c r="C1996" t="inlineStr">
        <is>
          <t>toneladas (6000 m3 x MR24_BD); pct sobre toneladas</t>
        </is>
      </c>
      <c r="D1996" t="inlineStr">
        <is>
          <t>anio_LOM25_AMIN_LE2</t>
        </is>
      </c>
      <c r="E1996" t="inlineStr">
        <is>
          <t>2043</t>
        </is>
      </c>
      <c r="F1996" t="inlineStr">
        <is>
          <t>litologia_tentativa</t>
        </is>
      </c>
      <c r="G1996" t="inlineStr">
        <is>
          <t>Intrusivo</t>
        </is>
      </c>
      <c r="H1996" t="inlineStr"/>
      <c r="I1996" t="inlineStr"/>
      <c r="J1996" t="inlineStr">
        <is>
          <t>suma de filas por código</t>
        </is>
      </c>
      <c r="K1996" t="inlineStr">
        <is>
          <t>Intrusivo</t>
        </is>
      </c>
      <c r="L1996" t="inlineStr"/>
      <c r="M1996" t="n">
        <v>910</v>
      </c>
      <c r="N1996" t="n">
        <v>5460000</v>
      </c>
      <c r="O1996" t="n">
        <v>13499658</v>
      </c>
      <c r="P1996" t="inlineStr"/>
      <c r="Q1996" t="n">
        <v>8.529</v>
      </c>
    </row>
    <row r="1997">
      <c r="A1997" t="inlineStr">
        <is>
          <t>MR24</t>
        </is>
      </c>
      <c r="B1997" t="inlineStr">
        <is>
          <t>SIMULACIONES_MR2024_V3</t>
        </is>
      </c>
      <c r="C1997" t="inlineStr">
        <is>
          <t>toneladas (6000 m3 x MR24_BD); pct sobre toneladas</t>
        </is>
      </c>
      <c r="D1997" t="inlineStr">
        <is>
          <t>anio_LOM25_AMIN_LE2</t>
        </is>
      </c>
      <c r="E1997" t="inlineStr">
        <is>
          <t>2043</t>
        </is>
      </c>
      <c r="F1997" t="inlineStr">
        <is>
          <t>litologia_tentativa</t>
        </is>
      </c>
      <c r="G1997" t="inlineStr">
        <is>
          <t>Mármol (hipótesis: sigla MDP)</t>
        </is>
      </c>
      <c r="H1997" t="inlineStr"/>
      <c r="I1997" t="inlineStr"/>
      <c r="J1997" t="inlineStr">
        <is>
          <t>suma de filas por código</t>
        </is>
      </c>
      <c r="K1997" t="inlineStr">
        <is>
          <t>Mármol (hipótesis: sigla MDP)</t>
        </is>
      </c>
      <c r="L1997" t="inlineStr"/>
      <c r="M1997" t="n">
        <v>99</v>
      </c>
      <c r="N1997" t="n">
        <v>594000</v>
      </c>
      <c r="O1997" t="n">
        <v>1656426</v>
      </c>
      <c r="P1997" t="inlineStr"/>
      <c r="Q1997" t="n">
        <v>1.047</v>
      </c>
    </row>
    <row r="1998">
      <c r="A1998" t="inlineStr">
        <is>
          <t>MR24</t>
        </is>
      </c>
      <c r="B1998" t="inlineStr">
        <is>
          <t>SIMULACIONES_MR2024_V3</t>
        </is>
      </c>
      <c r="C1998" t="inlineStr">
        <is>
          <t>toneladas (6000 m3 x MR24_BD); pct sobre toneladas</t>
        </is>
      </c>
      <c r="D1998" t="inlineStr">
        <is>
          <t>anio_LOM25_AMIN_LE2</t>
        </is>
      </c>
      <c r="E1998" t="inlineStr">
        <is>
          <t>2043</t>
        </is>
      </c>
      <c r="F1998" t="inlineStr">
        <is>
          <t>litologia_tentativa</t>
        </is>
      </c>
      <c r="G1998" t="inlineStr">
        <is>
          <t>Mármol (hipótesis: siglas MC, MG, MGS, MPA, MCGB; 'Marble'~MCGB)</t>
        </is>
      </c>
      <c r="H1998" t="inlineStr"/>
      <c r="I1998" t="inlineStr"/>
      <c r="J1998" t="inlineStr">
        <is>
          <t>suma de filas por código</t>
        </is>
      </c>
      <c r="K1998" t="inlineStr">
        <is>
          <t>Mármol (hipótesis: siglas MC, MG, MGS, MPA, MCGB; 'Marble'~MCGB)</t>
        </is>
      </c>
      <c r="L1998" t="inlineStr"/>
      <c r="M1998" t="n">
        <v>4347</v>
      </c>
      <c r="N1998" t="n">
        <v>26082000</v>
      </c>
      <c r="O1998" t="n">
        <v>70831566</v>
      </c>
      <c r="P1998" t="inlineStr"/>
      <c r="Q1998" t="n">
        <v>44.752</v>
      </c>
    </row>
    <row r="1999">
      <c r="A1999" t="inlineStr">
        <is>
          <t>MR24</t>
        </is>
      </c>
      <c r="B1999" t="inlineStr">
        <is>
          <t>SIMULACIONES_MR2024_V3</t>
        </is>
      </c>
      <c r="C1999" t="inlineStr">
        <is>
          <t>toneladas (6000 m3 x MR24_BD); pct sobre toneladas</t>
        </is>
      </c>
      <c r="D1999" t="inlineStr">
        <is>
          <t>anio_LOM25_AMIN_LE2</t>
        </is>
      </c>
      <c r="E1999" t="inlineStr">
        <is>
          <t>2043</t>
        </is>
      </c>
      <c r="F1999" t="inlineStr">
        <is>
          <t>litologia_tentativa</t>
        </is>
      </c>
      <c r="G1999" t="inlineStr">
        <is>
          <t>sin hipótesis</t>
        </is>
      </c>
      <c r="H1999" t="inlineStr"/>
      <c r="I1999" t="inlineStr"/>
      <c r="J1999" t="inlineStr">
        <is>
          <t>suma de filas por código</t>
        </is>
      </c>
      <c r="K1999" t="inlineStr">
        <is>
          <t>sin hipótesis</t>
        </is>
      </c>
      <c r="L1999" t="inlineStr"/>
      <c r="M1999" t="n">
        <v>1</v>
      </c>
      <c r="N1999" t="n">
        <v>6000</v>
      </c>
      <c r="O1999" t="n">
        <v>16398</v>
      </c>
      <c r="P1999" t="inlineStr"/>
      <c r="Q1999" t="n">
        <v>0.01</v>
      </c>
    </row>
    <row r="2000">
      <c r="A2000" t="inlineStr">
        <is>
          <t>MR24</t>
        </is>
      </c>
      <c r="B2000" t="inlineStr">
        <is>
          <t>SIMULACIONES_MR2024_V3</t>
        </is>
      </c>
      <c r="C2000" t="inlineStr">
        <is>
          <t>toneladas (6000 m3 x MR24_BD); pct sobre toneladas</t>
        </is>
      </c>
      <c r="D2000" t="inlineStr">
        <is>
          <t>anio_LOM25_AMIN_LE2</t>
        </is>
      </c>
      <c r="E2000" t="inlineStr">
        <is>
          <t>2044</t>
        </is>
      </c>
      <c r="F2000" t="inlineStr">
        <is>
          <t>litologia_tentativa</t>
        </is>
      </c>
      <c r="G2000" t="inlineStr">
        <is>
          <t>Caliza (hipótesis: Sedimentario; RT11~NUMEQ10, siglas C*)</t>
        </is>
      </c>
      <c r="H2000" t="inlineStr"/>
      <c r="I2000" t="inlineStr"/>
      <c r="J2000" t="inlineStr">
        <is>
          <t>suma de filas por código</t>
        </is>
      </c>
      <c r="K2000" t="inlineStr">
        <is>
          <t>Caliza (hipótesis: Sedimentario; RT11~NUMEQ10, siglas C*)</t>
        </is>
      </c>
      <c r="L2000" t="inlineStr"/>
      <c r="M2000" t="n">
        <v>37</v>
      </c>
      <c r="N2000" t="n">
        <v>222000</v>
      </c>
      <c r="O2000" t="n">
        <v>604734</v>
      </c>
      <c r="P2000" t="inlineStr"/>
      <c r="Q2000" t="n">
        <v>0.423</v>
      </c>
    </row>
    <row r="2001">
      <c r="A2001" t="inlineStr">
        <is>
          <t>MR24</t>
        </is>
      </c>
      <c r="B2001" t="inlineStr">
        <is>
          <t>SIMULACIONES_MR2024_V3</t>
        </is>
      </c>
      <c r="C2001" t="inlineStr">
        <is>
          <t>toneladas (6000 m3 x MR24_BD); pct sobre toneladas</t>
        </is>
      </c>
      <c r="D2001" t="inlineStr">
        <is>
          <t>anio_LOM25_AMIN_LE2</t>
        </is>
      </c>
      <c r="E2001" t="inlineStr">
        <is>
          <t>2044</t>
        </is>
      </c>
      <c r="F2001" t="inlineStr">
        <is>
          <t>litologia_tentativa</t>
        </is>
      </c>
      <c r="G2001" t="inlineStr">
        <is>
          <t>Caliza (hipótesis: siglas C*)</t>
        </is>
      </c>
      <c r="H2001" t="inlineStr"/>
      <c r="I2001" t="inlineStr"/>
      <c r="J2001" t="inlineStr">
        <is>
          <t>suma de filas por código</t>
        </is>
      </c>
      <c r="K2001" t="inlineStr">
        <is>
          <t>Caliza (hipótesis: siglas C*)</t>
        </is>
      </c>
      <c r="L2001" t="inlineStr"/>
      <c r="M2001" t="n">
        <v>81</v>
      </c>
      <c r="N2001" t="n">
        <v>486000</v>
      </c>
      <c r="O2001" t="n">
        <v>1322658</v>
      </c>
      <c r="P2001" t="inlineStr"/>
      <c r="Q2001" t="n">
        <v>0.926</v>
      </c>
    </row>
    <row r="2002">
      <c r="A2002" t="inlineStr">
        <is>
          <t>MR24</t>
        </is>
      </c>
      <c r="B2002" t="inlineStr">
        <is>
          <t>SIMULACIONES_MR2024_V3</t>
        </is>
      </c>
      <c r="C2002" t="inlineStr">
        <is>
          <t>toneladas (6000 m3 x MR24_BD); pct sobre toneladas</t>
        </is>
      </c>
      <c r="D2002" t="inlineStr">
        <is>
          <t>anio_LOM25_AMIN_LE2</t>
        </is>
      </c>
      <c r="E2002" t="inlineStr">
        <is>
          <t>2044</t>
        </is>
      </c>
      <c r="F2002" t="inlineStr">
        <is>
          <t>litologia_tentativa</t>
        </is>
      </c>
      <c r="G2002" t="inlineStr">
        <is>
          <t>Hornfels (hipótesis: siglas HBV, HGV, HCB, HDP; 'Diop. Hornfels'~HGV)</t>
        </is>
      </c>
      <c r="H2002" t="inlineStr"/>
      <c r="I2002" t="inlineStr"/>
      <c r="J2002" t="inlineStr">
        <is>
          <t>suma de filas por código</t>
        </is>
      </c>
      <c r="K2002" t="inlineStr">
        <is>
          <t>Hornfels (hipótesis: siglas HBV, HGV, HCB, HDP; 'Diop. Hornfels'~HGV)</t>
        </is>
      </c>
      <c r="L2002" t="inlineStr"/>
      <c r="M2002" t="n">
        <v>618</v>
      </c>
      <c r="N2002" t="n">
        <v>3708000</v>
      </c>
      <c r="O2002" t="n">
        <v>10691700</v>
      </c>
      <c r="P2002" t="inlineStr"/>
      <c r="Q2002" t="n">
        <v>7.486</v>
      </c>
    </row>
    <row r="2003">
      <c r="A2003" t="inlineStr">
        <is>
          <t>MR24</t>
        </is>
      </c>
      <c r="B2003" t="inlineStr">
        <is>
          <t>SIMULACIONES_MR2024_V3</t>
        </is>
      </c>
      <c r="C2003" t="inlineStr">
        <is>
          <t>toneladas (6000 m3 x MR24_BD); pct sobre toneladas</t>
        </is>
      </c>
      <c r="D2003" t="inlineStr">
        <is>
          <t>anio_LOM25_AMIN_LE2</t>
        </is>
      </c>
      <c r="E2003" t="inlineStr">
        <is>
          <t>2044</t>
        </is>
      </c>
      <c r="F2003" t="inlineStr">
        <is>
          <t>litologia_tentativa</t>
        </is>
      </c>
      <c r="G2003" t="inlineStr">
        <is>
          <t>Hornfels (hipótesis: siglas HG, HGS, HC)</t>
        </is>
      </c>
      <c r="H2003" t="inlineStr"/>
      <c r="I2003" t="inlineStr"/>
      <c r="J2003" t="inlineStr">
        <is>
          <t>suma de filas por código</t>
        </is>
      </c>
      <c r="K2003" t="inlineStr">
        <is>
          <t>Hornfels (hipótesis: siglas HG, HGS, HC)</t>
        </is>
      </c>
      <c r="L2003" t="inlineStr"/>
      <c r="M2003" t="n">
        <v>544</v>
      </c>
      <c r="N2003" t="n">
        <v>3264000</v>
      </c>
      <c r="O2003" t="n">
        <v>8915190</v>
      </c>
      <c r="P2003" t="inlineStr"/>
      <c r="Q2003" t="n">
        <v>6.242</v>
      </c>
    </row>
    <row r="2004">
      <c r="A2004" t="inlineStr">
        <is>
          <t>MR24</t>
        </is>
      </c>
      <c r="B2004" t="inlineStr">
        <is>
          <t>SIMULACIONES_MR2024_V3</t>
        </is>
      </c>
      <c r="C2004" t="inlineStr">
        <is>
          <t>toneladas (6000 m3 x MR24_BD); pct sobre toneladas</t>
        </is>
      </c>
      <c r="D2004" t="inlineStr">
        <is>
          <t>anio_LOM25_AMIN_LE2</t>
        </is>
      </c>
      <c r="E2004" t="inlineStr">
        <is>
          <t>2044</t>
        </is>
      </c>
      <c r="F2004" t="inlineStr">
        <is>
          <t>litologia_tentativa</t>
        </is>
      </c>
      <c r="G2004" t="inlineStr">
        <is>
          <t>Intrusivo</t>
        </is>
      </c>
      <c r="H2004" t="inlineStr"/>
      <c r="I2004" t="inlineStr"/>
      <c r="J2004" t="inlineStr">
        <is>
          <t>suma de filas por código</t>
        </is>
      </c>
      <c r="K2004" t="inlineStr">
        <is>
          <t>Intrusivo</t>
        </is>
      </c>
      <c r="L2004" t="inlineStr"/>
      <c r="M2004" t="n">
        <v>1434</v>
      </c>
      <c r="N2004" t="n">
        <v>8604000</v>
      </c>
      <c r="O2004" t="n">
        <v>21376332</v>
      </c>
      <c r="P2004" t="inlineStr"/>
      <c r="Q2004" t="n">
        <v>14.967</v>
      </c>
    </row>
    <row r="2005">
      <c r="A2005" t="inlineStr">
        <is>
          <t>MR24</t>
        </is>
      </c>
      <c r="B2005" t="inlineStr">
        <is>
          <t>SIMULACIONES_MR2024_V3</t>
        </is>
      </c>
      <c r="C2005" t="inlineStr">
        <is>
          <t>toneladas (6000 m3 x MR24_BD); pct sobre toneladas</t>
        </is>
      </c>
      <c r="D2005" t="inlineStr">
        <is>
          <t>anio_LOM25_AMIN_LE2</t>
        </is>
      </c>
      <c r="E2005" t="inlineStr">
        <is>
          <t>2044</t>
        </is>
      </c>
      <c r="F2005" t="inlineStr">
        <is>
          <t>litologia_tentativa</t>
        </is>
      </c>
      <c r="G2005" t="inlineStr">
        <is>
          <t>Mármol (hipótesis: sigla MDP)</t>
        </is>
      </c>
      <c r="H2005" t="inlineStr"/>
      <c r="I2005" t="inlineStr"/>
      <c r="J2005" t="inlineStr">
        <is>
          <t>suma de filas por código</t>
        </is>
      </c>
      <c r="K2005" t="inlineStr">
        <is>
          <t>Mármol (hipótesis: sigla MDP)</t>
        </is>
      </c>
      <c r="L2005" t="inlineStr"/>
      <c r="M2005" t="n">
        <v>364</v>
      </c>
      <c r="N2005" t="n">
        <v>2184000</v>
      </c>
      <c r="O2005" t="n">
        <v>6237702</v>
      </c>
      <c r="P2005" t="inlineStr"/>
      <c r="Q2005" t="n">
        <v>4.368</v>
      </c>
    </row>
    <row r="2006">
      <c r="A2006" t="inlineStr">
        <is>
          <t>MR24</t>
        </is>
      </c>
      <c r="B2006" t="inlineStr">
        <is>
          <t>SIMULACIONES_MR2024_V3</t>
        </is>
      </c>
      <c r="C2006" t="inlineStr">
        <is>
          <t>toneladas (6000 m3 x MR24_BD); pct sobre toneladas</t>
        </is>
      </c>
      <c r="D2006" t="inlineStr">
        <is>
          <t>anio_LOM25_AMIN_LE2</t>
        </is>
      </c>
      <c r="E2006" t="inlineStr">
        <is>
          <t>2044</t>
        </is>
      </c>
      <c r="F2006" t="inlineStr">
        <is>
          <t>litologia_tentativa</t>
        </is>
      </c>
      <c r="G2006" t="inlineStr">
        <is>
          <t>Mármol (hipótesis: siglas MC, MG, MGS, MPA, MCGB; 'Marble'~MCGB)</t>
        </is>
      </c>
      <c r="H2006" t="inlineStr"/>
      <c r="I2006" t="inlineStr"/>
      <c r="J2006" t="inlineStr">
        <is>
          <t>suma de filas por código</t>
        </is>
      </c>
      <c r="K2006" t="inlineStr">
        <is>
          <t>Mármol (hipótesis: siglas MC, MG, MGS, MPA, MCGB; 'Marble'~MCGB)</t>
        </is>
      </c>
      <c r="L2006" t="inlineStr"/>
      <c r="M2006" t="n">
        <v>5755</v>
      </c>
      <c r="N2006" t="n">
        <v>34530000</v>
      </c>
      <c r="O2006" t="n">
        <v>93671232</v>
      </c>
      <c r="P2006" t="inlineStr"/>
      <c r="Q2006" t="n">
        <v>65.587</v>
      </c>
    </row>
    <row r="2007">
      <c r="A2007" t="inlineStr">
        <is>
          <t>MR24</t>
        </is>
      </c>
      <c r="B2007" t="inlineStr">
        <is>
          <t>SIMULACIONES_MR2024_V3</t>
        </is>
      </c>
      <c r="C2007" t="inlineStr">
        <is>
          <t>toneladas (6000 m3 x MR24_BD); pct sobre toneladas</t>
        </is>
      </c>
      <c r="D2007" t="inlineStr">
        <is>
          <t>anio_LOM25_AMIN_LE2</t>
        </is>
      </c>
      <c r="E2007" t="inlineStr">
        <is>
          <t>2045</t>
        </is>
      </c>
      <c r="F2007" t="inlineStr">
        <is>
          <t>litologia_tentativa</t>
        </is>
      </c>
      <c r="G2007" t="inlineStr">
        <is>
          <t>Hornfels (hipótesis: siglas HBV, HGV, HCB, HDP; 'Diop. Hornfels'~HGV)</t>
        </is>
      </c>
      <c r="H2007" t="inlineStr"/>
      <c r="I2007" t="inlineStr"/>
      <c r="J2007" t="inlineStr">
        <is>
          <t>suma de filas por código</t>
        </is>
      </c>
      <c r="K2007" t="inlineStr">
        <is>
          <t>Hornfels (hipótesis: siglas HBV, HGV, HCB, HDP; 'Diop. Hornfels'~HGV)</t>
        </is>
      </c>
      <c r="L2007" t="inlineStr"/>
      <c r="M2007" t="n">
        <v>155</v>
      </c>
      <c r="N2007" t="n">
        <v>930000</v>
      </c>
      <c r="O2007" t="n">
        <v>2670600</v>
      </c>
      <c r="P2007" t="inlineStr"/>
      <c r="Q2007" t="n">
        <v>2.129</v>
      </c>
    </row>
    <row r="2008">
      <c r="A2008" t="inlineStr">
        <is>
          <t>MR24</t>
        </is>
      </c>
      <c r="B2008" t="inlineStr">
        <is>
          <t>SIMULACIONES_MR2024_V3</t>
        </is>
      </c>
      <c r="C2008" t="inlineStr">
        <is>
          <t>toneladas (6000 m3 x MR24_BD); pct sobre toneladas</t>
        </is>
      </c>
      <c r="D2008" t="inlineStr">
        <is>
          <t>anio_LOM25_AMIN_LE2</t>
        </is>
      </c>
      <c r="E2008" t="inlineStr">
        <is>
          <t>2045</t>
        </is>
      </c>
      <c r="F2008" t="inlineStr">
        <is>
          <t>litologia_tentativa</t>
        </is>
      </c>
      <c r="G2008" t="inlineStr">
        <is>
          <t>Hornfels (hipótesis: siglas HG, HGS, HC)</t>
        </is>
      </c>
      <c r="H2008" t="inlineStr"/>
      <c r="I2008" t="inlineStr"/>
      <c r="J2008" t="inlineStr">
        <is>
          <t>suma de filas por código</t>
        </is>
      </c>
      <c r="K2008" t="inlineStr">
        <is>
          <t>Hornfels (hipótesis: siglas HG, HGS, HC)</t>
        </is>
      </c>
      <c r="L2008" t="inlineStr"/>
      <c r="M2008" t="n">
        <v>82</v>
      </c>
      <c r="N2008" t="n">
        <v>492000</v>
      </c>
      <c r="O2008" t="n">
        <v>1349562</v>
      </c>
      <c r="P2008" t="inlineStr"/>
      <c r="Q2008" t="n">
        <v>1.076</v>
      </c>
    </row>
    <row r="2009">
      <c r="A2009" t="inlineStr">
        <is>
          <t>MR24</t>
        </is>
      </c>
      <c r="B2009" t="inlineStr">
        <is>
          <t>SIMULACIONES_MR2024_V3</t>
        </is>
      </c>
      <c r="C2009" t="inlineStr">
        <is>
          <t>toneladas (6000 m3 x MR24_BD); pct sobre toneladas</t>
        </is>
      </c>
      <c r="D2009" t="inlineStr">
        <is>
          <t>anio_LOM25_AMIN_LE2</t>
        </is>
      </c>
      <c r="E2009" t="inlineStr">
        <is>
          <t>2045</t>
        </is>
      </c>
      <c r="F2009" t="inlineStr">
        <is>
          <t>litologia_tentativa</t>
        </is>
      </c>
      <c r="G2009" t="inlineStr">
        <is>
          <t>Intrusivo</t>
        </is>
      </c>
      <c r="H2009" t="inlineStr"/>
      <c r="I2009" t="inlineStr"/>
      <c r="J2009" t="inlineStr">
        <is>
          <t>suma de filas por código</t>
        </is>
      </c>
      <c r="K2009" t="inlineStr">
        <is>
          <t>Intrusivo</t>
        </is>
      </c>
      <c r="L2009" t="inlineStr"/>
      <c r="M2009" t="n">
        <v>3251</v>
      </c>
      <c r="N2009" t="n">
        <v>19506000</v>
      </c>
      <c r="O2009" t="n">
        <v>48194358</v>
      </c>
      <c r="P2009" t="inlineStr"/>
      <c r="Q2009" t="n">
        <v>38.42</v>
      </c>
    </row>
    <row r="2010">
      <c r="A2010" t="inlineStr">
        <is>
          <t>MR24</t>
        </is>
      </c>
      <c r="B2010" t="inlineStr">
        <is>
          <t>SIMULACIONES_MR2024_V3</t>
        </is>
      </c>
      <c r="C2010" t="inlineStr">
        <is>
          <t>toneladas (6000 m3 x MR24_BD); pct sobre toneladas</t>
        </is>
      </c>
      <c r="D2010" t="inlineStr">
        <is>
          <t>anio_LOM25_AMIN_LE2</t>
        </is>
      </c>
      <c r="E2010" t="inlineStr">
        <is>
          <t>2045</t>
        </is>
      </c>
      <c r="F2010" t="inlineStr">
        <is>
          <t>litologia_tentativa</t>
        </is>
      </c>
      <c r="G2010" t="inlineStr">
        <is>
          <t>Mármol (hipótesis: sigla MDP)</t>
        </is>
      </c>
      <c r="H2010" t="inlineStr"/>
      <c r="I2010" t="inlineStr"/>
      <c r="J2010" t="inlineStr">
        <is>
          <t>suma de filas por código</t>
        </is>
      </c>
      <c r="K2010" t="inlineStr">
        <is>
          <t>Mármol (hipótesis: sigla MDP)</t>
        </is>
      </c>
      <c r="L2010" t="inlineStr"/>
      <c r="M2010" t="n">
        <v>173</v>
      </c>
      <c r="N2010" t="n">
        <v>1038000</v>
      </c>
      <c r="O2010" t="n">
        <v>2938506</v>
      </c>
      <c r="P2010" t="inlineStr"/>
      <c r="Q2010" t="n">
        <v>2.343</v>
      </c>
    </row>
    <row r="2011">
      <c r="A2011" t="inlineStr">
        <is>
          <t>MR24</t>
        </is>
      </c>
      <c r="B2011" t="inlineStr">
        <is>
          <t>SIMULACIONES_MR2024_V3</t>
        </is>
      </c>
      <c r="C2011" t="inlineStr">
        <is>
          <t>toneladas (6000 m3 x MR24_BD); pct sobre toneladas</t>
        </is>
      </c>
      <c r="D2011" t="inlineStr">
        <is>
          <t>anio_LOM25_AMIN_LE2</t>
        </is>
      </c>
      <c r="E2011" t="inlineStr">
        <is>
          <t>2045</t>
        </is>
      </c>
      <c r="F2011" t="inlineStr">
        <is>
          <t>litologia_tentativa</t>
        </is>
      </c>
      <c r="G2011" t="inlineStr">
        <is>
          <t>Mármol (hipótesis: siglas MC, MG, MGS, MPA, MCGB; 'Marble'~MCGB)</t>
        </is>
      </c>
      <c r="H2011" t="inlineStr"/>
      <c r="I2011" t="inlineStr"/>
      <c r="J2011" t="inlineStr">
        <is>
          <t>suma de filas por código</t>
        </is>
      </c>
      <c r="K2011" t="inlineStr">
        <is>
          <t>Mármol (hipótesis: siglas MC, MG, MGS, MPA, MCGB; 'Marble'~MCGB)</t>
        </is>
      </c>
      <c r="L2011" t="inlineStr"/>
      <c r="M2011" t="n">
        <v>4302</v>
      </c>
      <c r="N2011" t="n">
        <v>25812000</v>
      </c>
      <c r="O2011" t="n">
        <v>70174428</v>
      </c>
      <c r="P2011" t="inlineStr"/>
      <c r="Q2011" t="n">
        <v>55.942</v>
      </c>
    </row>
    <row r="2012">
      <c r="A2012" t="inlineStr">
        <is>
          <t>MR24</t>
        </is>
      </c>
      <c r="B2012" t="inlineStr">
        <is>
          <t>SIMULACIONES_MR2024_V3</t>
        </is>
      </c>
      <c r="C2012" t="inlineStr">
        <is>
          <t>toneladas (6000 m3 x MR24_BD); pct sobre toneladas</t>
        </is>
      </c>
      <c r="D2012" t="inlineStr">
        <is>
          <t>anio_LOM25_AMIN_LE2</t>
        </is>
      </c>
      <c r="E2012" t="inlineStr">
        <is>
          <t>2045</t>
        </is>
      </c>
      <c r="F2012" t="inlineStr">
        <is>
          <t>litologia_tentativa</t>
        </is>
      </c>
      <c r="G2012" t="inlineStr">
        <is>
          <t>sin hipótesis</t>
        </is>
      </c>
      <c r="H2012" t="inlineStr"/>
      <c r="I2012" t="inlineStr"/>
      <c r="J2012" t="inlineStr">
        <is>
          <t>suma de filas por código</t>
        </is>
      </c>
      <c r="K2012" t="inlineStr">
        <is>
          <t>sin hipótesis</t>
        </is>
      </c>
      <c r="L2012" t="inlineStr"/>
      <c r="M2012" t="n">
        <v>7</v>
      </c>
      <c r="N2012" t="n">
        <v>42000</v>
      </c>
      <c r="O2012" t="n">
        <v>113706</v>
      </c>
      <c r="P2012" t="inlineStr"/>
      <c r="Q2012" t="n">
        <v>0.091</v>
      </c>
    </row>
    <row r="2013">
      <c r="A2013" t="inlineStr">
        <is>
          <t>MR24</t>
        </is>
      </c>
      <c r="B2013" t="inlineStr">
        <is>
          <t>SIMULACIONES_MR2024_V3</t>
        </is>
      </c>
      <c r="C2013" t="inlineStr">
        <is>
          <t>toneladas (6000 m3 x MR24_BD); pct sobre toneladas</t>
        </is>
      </c>
      <c r="D2013" t="inlineStr">
        <is>
          <t>anio_LOM25_AMIN_LE2</t>
        </is>
      </c>
      <c r="E2013" t="inlineStr">
        <is>
          <t>2046</t>
        </is>
      </c>
      <c r="F2013" t="inlineStr">
        <is>
          <t>litologia_tentativa</t>
        </is>
      </c>
      <c r="G2013" t="inlineStr">
        <is>
          <t>Hornfels (hipótesis: siglas HBV, HGV, HCB, HDP; 'Diop. Hornfels'~HGV)</t>
        </is>
      </c>
      <c r="H2013" t="inlineStr"/>
      <c r="I2013" t="inlineStr"/>
      <c r="J2013" t="inlineStr">
        <is>
          <t>suma de filas por código</t>
        </is>
      </c>
      <c r="K2013" t="inlineStr">
        <is>
          <t>Hornfels (hipótesis: siglas HBV, HGV, HCB, HDP; 'Diop. Hornfels'~HGV)</t>
        </is>
      </c>
      <c r="L2013" t="inlineStr"/>
      <c r="M2013" t="n">
        <v>2</v>
      </c>
      <c r="N2013" t="n">
        <v>12000</v>
      </c>
      <c r="O2013" t="n">
        <v>33864</v>
      </c>
      <c r="P2013" t="inlineStr"/>
      <c r="Q2013" t="n">
        <v>0.042</v>
      </c>
    </row>
    <row r="2014">
      <c r="A2014" t="inlineStr">
        <is>
          <t>MR24</t>
        </is>
      </c>
      <c r="B2014" t="inlineStr">
        <is>
          <t>SIMULACIONES_MR2024_V3</t>
        </is>
      </c>
      <c r="C2014" t="inlineStr">
        <is>
          <t>toneladas (6000 m3 x MR24_BD); pct sobre toneladas</t>
        </is>
      </c>
      <c r="D2014" t="inlineStr">
        <is>
          <t>anio_LOM25_AMIN_LE2</t>
        </is>
      </c>
      <c r="E2014" t="inlineStr">
        <is>
          <t>2046</t>
        </is>
      </c>
      <c r="F2014" t="inlineStr">
        <is>
          <t>litologia_tentativa</t>
        </is>
      </c>
      <c r="G2014" t="inlineStr">
        <is>
          <t>Hornfels (hipótesis: siglas HG, HGS, HC)</t>
        </is>
      </c>
      <c r="H2014" t="inlineStr"/>
      <c r="I2014" t="inlineStr"/>
      <c r="J2014" t="inlineStr">
        <is>
          <t>suma de filas por código</t>
        </is>
      </c>
      <c r="K2014" t="inlineStr">
        <is>
          <t>Hornfels (hipótesis: siglas HG, HGS, HC)</t>
        </is>
      </c>
      <c r="L2014" t="inlineStr"/>
      <c r="M2014" t="n">
        <v>15</v>
      </c>
      <c r="N2014" t="n">
        <v>90000</v>
      </c>
      <c r="O2014" t="n">
        <v>247200</v>
      </c>
      <c r="P2014" t="inlineStr"/>
      <c r="Q2014" t="n">
        <v>0.306</v>
      </c>
    </row>
    <row r="2015">
      <c r="A2015" t="inlineStr">
        <is>
          <t>MR24</t>
        </is>
      </c>
      <c r="B2015" t="inlineStr">
        <is>
          <t>SIMULACIONES_MR2024_V3</t>
        </is>
      </c>
      <c r="C2015" t="inlineStr">
        <is>
          <t>toneladas (6000 m3 x MR24_BD); pct sobre toneladas</t>
        </is>
      </c>
      <c r="D2015" t="inlineStr">
        <is>
          <t>anio_LOM25_AMIN_LE2</t>
        </is>
      </c>
      <c r="E2015" t="inlineStr">
        <is>
          <t>2046</t>
        </is>
      </c>
      <c r="F2015" t="inlineStr">
        <is>
          <t>litologia_tentativa</t>
        </is>
      </c>
      <c r="G2015" t="inlineStr">
        <is>
          <t>Intrusivo</t>
        </is>
      </c>
      <c r="H2015" t="inlineStr"/>
      <c r="I2015" t="inlineStr"/>
      <c r="J2015" t="inlineStr">
        <is>
          <t>suma de filas por código</t>
        </is>
      </c>
      <c r="K2015" t="inlineStr">
        <is>
          <t>Intrusivo</t>
        </is>
      </c>
      <c r="L2015" t="inlineStr"/>
      <c r="M2015" t="n">
        <v>3481</v>
      </c>
      <c r="N2015" t="n">
        <v>20886000</v>
      </c>
      <c r="O2015" t="n">
        <v>51431058</v>
      </c>
      <c r="P2015" t="inlineStr"/>
      <c r="Q2015" t="n">
        <v>63.573</v>
      </c>
    </row>
    <row r="2016">
      <c r="A2016" t="inlineStr">
        <is>
          <t>MR24</t>
        </is>
      </c>
      <c r="B2016" t="inlineStr">
        <is>
          <t>SIMULACIONES_MR2024_V3</t>
        </is>
      </c>
      <c r="C2016" t="inlineStr">
        <is>
          <t>toneladas (6000 m3 x MR24_BD); pct sobre toneladas</t>
        </is>
      </c>
      <c r="D2016" t="inlineStr">
        <is>
          <t>anio_LOM25_AMIN_LE2</t>
        </is>
      </c>
      <c r="E2016" t="inlineStr">
        <is>
          <t>2046</t>
        </is>
      </c>
      <c r="F2016" t="inlineStr">
        <is>
          <t>litologia_tentativa</t>
        </is>
      </c>
      <c r="G2016" t="inlineStr">
        <is>
          <t>Mármol (hipótesis: sigla MDP)</t>
        </is>
      </c>
      <c r="H2016" t="inlineStr"/>
      <c r="I2016" t="inlineStr"/>
      <c r="J2016" t="inlineStr">
        <is>
          <t>suma de filas por código</t>
        </is>
      </c>
      <c r="K2016" t="inlineStr">
        <is>
          <t>Mármol (hipótesis: sigla MDP)</t>
        </is>
      </c>
      <c r="L2016" t="inlineStr"/>
      <c r="M2016" t="n">
        <v>53</v>
      </c>
      <c r="N2016" t="n">
        <v>318000</v>
      </c>
      <c r="O2016" t="n">
        <v>893898</v>
      </c>
      <c r="P2016" t="inlineStr"/>
      <c r="Q2016" t="n">
        <v>1.105</v>
      </c>
    </row>
    <row r="2017">
      <c r="A2017" t="inlineStr">
        <is>
          <t>MR24</t>
        </is>
      </c>
      <c r="B2017" t="inlineStr">
        <is>
          <t>SIMULACIONES_MR2024_V3</t>
        </is>
      </c>
      <c r="C2017" t="inlineStr">
        <is>
          <t>toneladas (6000 m3 x MR24_BD); pct sobre toneladas</t>
        </is>
      </c>
      <c r="D2017" t="inlineStr">
        <is>
          <t>anio_LOM25_AMIN_LE2</t>
        </is>
      </c>
      <c r="E2017" t="inlineStr">
        <is>
          <t>2046</t>
        </is>
      </c>
      <c r="F2017" t="inlineStr">
        <is>
          <t>litologia_tentativa</t>
        </is>
      </c>
      <c r="G2017" t="inlineStr">
        <is>
          <t>Mármol (hipótesis: siglas MC, MG, MGS, MPA, MCGB; 'Marble'~MCGB)</t>
        </is>
      </c>
      <c r="H2017" t="inlineStr"/>
      <c r="I2017" t="inlineStr"/>
      <c r="J2017" t="inlineStr">
        <is>
          <t>suma de filas por código</t>
        </is>
      </c>
      <c r="K2017" t="inlineStr">
        <is>
          <t>Mármol (hipótesis: siglas MC, MG, MGS, MPA, MCGB; 'Marble'~MCGB)</t>
        </is>
      </c>
      <c r="L2017" t="inlineStr"/>
      <c r="M2017" t="n">
        <v>1735</v>
      </c>
      <c r="N2017" t="n">
        <v>10410000</v>
      </c>
      <c r="O2017" t="n">
        <v>28259718</v>
      </c>
      <c r="P2017" t="inlineStr"/>
      <c r="Q2017" t="n">
        <v>34.931</v>
      </c>
    </row>
    <row r="2018">
      <c r="A2018" t="inlineStr">
        <is>
          <t>MR24</t>
        </is>
      </c>
      <c r="B2018" t="inlineStr">
        <is>
          <t>SIMULACIONES_MR2024_V3</t>
        </is>
      </c>
      <c r="C2018" t="inlineStr">
        <is>
          <t>toneladas (6000 m3 x MR24_BD); pct sobre toneladas</t>
        </is>
      </c>
      <c r="D2018" t="inlineStr">
        <is>
          <t>anio_LOM25_AMIN_LE2</t>
        </is>
      </c>
      <c r="E2018" t="inlineStr">
        <is>
          <t>2046</t>
        </is>
      </c>
      <c r="F2018" t="inlineStr">
        <is>
          <t>litologia_tentativa</t>
        </is>
      </c>
      <c r="G2018" t="inlineStr">
        <is>
          <t>sin hipótesis</t>
        </is>
      </c>
      <c r="H2018" t="inlineStr"/>
      <c r="I2018" t="inlineStr"/>
      <c r="J2018" t="inlineStr">
        <is>
          <t>suma de filas por código</t>
        </is>
      </c>
      <c r="K2018" t="inlineStr">
        <is>
          <t>sin hipótesis</t>
        </is>
      </c>
      <c r="L2018" t="inlineStr"/>
      <c r="M2018" t="n">
        <v>2</v>
      </c>
      <c r="N2018" t="n">
        <v>12000</v>
      </c>
      <c r="O2018" t="n">
        <v>35106</v>
      </c>
      <c r="P2018" t="inlineStr"/>
      <c r="Q2018" t="n">
        <v>0.043</v>
      </c>
    </row>
    <row r="2019">
      <c r="A2019" t="inlineStr">
        <is>
          <t>MR24</t>
        </is>
      </c>
      <c r="B2019" t="inlineStr">
        <is>
          <t>SIMULACIONES_MR2024_V3</t>
        </is>
      </c>
      <c r="C2019" t="inlineStr">
        <is>
          <t>toneladas (6000 m3 x MR24_BD); pct sobre toneladas</t>
        </is>
      </c>
      <c r="D2019" t="inlineStr">
        <is>
          <t>anio_LOM25_AMIN_LE2</t>
        </is>
      </c>
      <c r="E2019" t="inlineStr">
        <is>
          <t>2047</t>
        </is>
      </c>
      <c r="F2019" t="inlineStr">
        <is>
          <t>litologia_tentativa</t>
        </is>
      </c>
      <c r="G2019" t="inlineStr">
        <is>
          <t>Intrusivo</t>
        </is>
      </c>
      <c r="H2019" t="inlineStr"/>
      <c r="I2019" t="inlineStr"/>
      <c r="J2019" t="inlineStr">
        <is>
          <t>suma de filas por código</t>
        </is>
      </c>
      <c r="K2019" t="inlineStr">
        <is>
          <t>Intrusivo</t>
        </is>
      </c>
      <c r="L2019" t="inlineStr"/>
      <c r="M2019" t="n">
        <v>3128</v>
      </c>
      <c r="N2019" t="n">
        <v>18768000</v>
      </c>
      <c r="O2019" t="n">
        <v>45708876</v>
      </c>
      <c r="P2019" t="inlineStr"/>
      <c r="Q2019" t="n">
        <v>78.81999999999999</v>
      </c>
    </row>
    <row r="2020">
      <c r="A2020" t="inlineStr">
        <is>
          <t>MR24</t>
        </is>
      </c>
      <c r="B2020" t="inlineStr">
        <is>
          <t>SIMULACIONES_MR2024_V3</t>
        </is>
      </c>
      <c r="C2020" t="inlineStr">
        <is>
          <t>toneladas (6000 m3 x MR24_BD); pct sobre toneladas</t>
        </is>
      </c>
      <c r="D2020" t="inlineStr">
        <is>
          <t>anio_LOM25_AMIN_LE2</t>
        </is>
      </c>
      <c r="E2020" t="inlineStr">
        <is>
          <t>2047</t>
        </is>
      </c>
      <c r="F2020" t="inlineStr">
        <is>
          <t>litologia_tentativa</t>
        </is>
      </c>
      <c r="G2020" t="inlineStr">
        <is>
          <t>Mármol (hipótesis: sigla MDP)</t>
        </is>
      </c>
      <c r="H2020" t="inlineStr"/>
      <c r="I2020" t="inlineStr"/>
      <c r="J2020" t="inlineStr">
        <is>
          <t>suma de filas por código</t>
        </is>
      </c>
      <c r="K2020" t="inlineStr">
        <is>
          <t>Mármol (hipótesis: sigla MDP)</t>
        </is>
      </c>
      <c r="L2020" t="inlineStr"/>
      <c r="M2020" t="n">
        <v>10</v>
      </c>
      <c r="N2020" t="n">
        <v>60000</v>
      </c>
      <c r="O2020" t="n">
        <v>166944</v>
      </c>
      <c r="P2020" t="inlineStr"/>
      <c r="Q2020" t="n">
        <v>0.288</v>
      </c>
    </row>
    <row r="2021">
      <c r="A2021" t="inlineStr">
        <is>
          <t>MR24</t>
        </is>
      </c>
      <c r="B2021" t="inlineStr">
        <is>
          <t>SIMULACIONES_MR2024_V3</t>
        </is>
      </c>
      <c r="C2021" t="inlineStr">
        <is>
          <t>toneladas (6000 m3 x MR24_BD); pct sobre toneladas</t>
        </is>
      </c>
      <c r="D2021" t="inlineStr">
        <is>
          <t>anio_LOM25_AMIN_LE2</t>
        </is>
      </c>
      <c r="E2021" t="inlineStr">
        <is>
          <t>2047</t>
        </is>
      </c>
      <c r="F2021" t="inlineStr">
        <is>
          <t>litologia_tentativa</t>
        </is>
      </c>
      <c r="G2021" t="inlineStr">
        <is>
          <t>Mármol (hipótesis: siglas MC, MG, MGS, MPA, MCGB; 'Marble'~MCGB)</t>
        </is>
      </c>
      <c r="H2021" t="inlineStr"/>
      <c r="I2021" t="inlineStr"/>
      <c r="J2021" t="inlineStr">
        <is>
          <t>suma de filas por código</t>
        </is>
      </c>
      <c r="K2021" t="inlineStr">
        <is>
          <t>Mármol (hipótesis: siglas MC, MG, MGS, MPA, MCGB; 'Marble'~MCGB)</t>
        </is>
      </c>
      <c r="L2021" t="inlineStr"/>
      <c r="M2021" t="n">
        <v>722</v>
      </c>
      <c r="N2021" t="n">
        <v>4332000</v>
      </c>
      <c r="O2021" t="n">
        <v>11786868</v>
      </c>
      <c r="P2021" t="inlineStr"/>
      <c r="Q2021" t="n">
        <v>20.325</v>
      </c>
    </row>
    <row r="2022">
      <c r="A2022" t="inlineStr">
        <is>
          <t>MR24</t>
        </is>
      </c>
      <c r="B2022" t="inlineStr">
        <is>
          <t>SIMULACIONES_MR2024_V3</t>
        </is>
      </c>
      <c r="C2022" t="inlineStr">
        <is>
          <t>toneladas (6000 m3 x MR24_BD); pct sobre toneladas</t>
        </is>
      </c>
      <c r="D2022" t="inlineStr">
        <is>
          <t>anio_LOM25_AMIN_LE2</t>
        </is>
      </c>
      <c r="E2022" t="inlineStr">
        <is>
          <t>2047</t>
        </is>
      </c>
      <c r="F2022" t="inlineStr">
        <is>
          <t>litologia_tentativa</t>
        </is>
      </c>
      <c r="G2022" t="inlineStr">
        <is>
          <t>sin hipótesis</t>
        </is>
      </c>
      <c r="H2022" t="inlineStr"/>
      <c r="I2022" t="inlineStr"/>
      <c r="J2022" t="inlineStr">
        <is>
          <t>suma de filas por código</t>
        </is>
      </c>
      <c r="K2022" t="inlineStr">
        <is>
          <t>sin hipótesis</t>
        </is>
      </c>
      <c r="L2022" t="inlineStr"/>
      <c r="M2022" t="n">
        <v>20</v>
      </c>
      <c r="N2022" t="n">
        <v>120000</v>
      </c>
      <c r="O2022" t="n">
        <v>328692</v>
      </c>
      <c r="P2022" t="inlineStr"/>
      <c r="Q2022" t="n">
        <v>0.5669999999999999</v>
      </c>
    </row>
    <row r="2023">
      <c r="A2023" t="inlineStr">
        <is>
          <t>MR24</t>
        </is>
      </c>
      <c r="B2023" t="inlineStr">
        <is>
          <t>SIMULACIONES_MR2024_V3</t>
        </is>
      </c>
      <c r="C2023" t="inlineStr">
        <is>
          <t>toneladas (6000 m3 x MR24_BD); pct sobre toneladas</t>
        </is>
      </c>
      <c r="D2023" t="inlineStr">
        <is>
          <t>anio_LOM25_AMIN_LE2</t>
        </is>
      </c>
      <c r="E2023" t="inlineStr">
        <is>
          <t>2048</t>
        </is>
      </c>
      <c r="F2023" t="inlineStr">
        <is>
          <t>litologia_tentativa</t>
        </is>
      </c>
      <c r="G2023" t="inlineStr">
        <is>
          <t>Intrusivo</t>
        </is>
      </c>
      <c r="H2023" t="inlineStr"/>
      <c r="I2023" t="inlineStr"/>
      <c r="J2023" t="inlineStr">
        <is>
          <t>suma de filas por código</t>
        </is>
      </c>
      <c r="K2023" t="inlineStr">
        <is>
          <t>Intrusivo</t>
        </is>
      </c>
      <c r="L2023" t="inlineStr"/>
      <c r="M2023" t="n">
        <v>1651</v>
      </c>
      <c r="N2023" t="n">
        <v>9906000</v>
      </c>
      <c r="O2023" t="n">
        <v>24391542</v>
      </c>
      <c r="P2023" t="inlineStr"/>
      <c r="Q2023" t="n">
        <v>88.979</v>
      </c>
    </row>
    <row r="2024">
      <c r="A2024" t="inlineStr">
        <is>
          <t>MR24</t>
        </is>
      </c>
      <c r="B2024" t="inlineStr">
        <is>
          <t>SIMULACIONES_MR2024_V3</t>
        </is>
      </c>
      <c r="C2024" t="inlineStr">
        <is>
          <t>toneladas (6000 m3 x MR24_BD); pct sobre toneladas</t>
        </is>
      </c>
      <c r="D2024" t="inlineStr">
        <is>
          <t>anio_LOM25_AMIN_LE2</t>
        </is>
      </c>
      <c r="E2024" t="inlineStr">
        <is>
          <t>2048</t>
        </is>
      </c>
      <c r="F2024" t="inlineStr">
        <is>
          <t>litologia_tentativa</t>
        </is>
      </c>
      <c r="G2024" t="inlineStr">
        <is>
          <t>Mármol (hipótesis: siglas MC, MG, MGS, MPA, MCGB; 'Marble'~MCGB)</t>
        </is>
      </c>
      <c r="H2024" t="inlineStr"/>
      <c r="I2024" t="inlineStr"/>
      <c r="J2024" t="inlineStr">
        <is>
          <t>suma de filas por código</t>
        </is>
      </c>
      <c r="K2024" t="inlineStr">
        <is>
          <t>Mármol (hipótesis: siglas MC, MG, MGS, MPA, MCGB; 'Marble'~MCGB)</t>
        </is>
      </c>
      <c r="L2024" t="inlineStr"/>
      <c r="M2024" t="n">
        <v>184</v>
      </c>
      <c r="N2024" t="n">
        <v>1104000</v>
      </c>
      <c r="O2024" t="n">
        <v>3021078</v>
      </c>
      <c r="P2024" t="inlineStr"/>
      <c r="Q2024" t="n">
        <v>11.021</v>
      </c>
    </row>
    <row r="2025">
      <c r="A2025" t="inlineStr">
        <is>
          <t>MR24</t>
        </is>
      </c>
      <c r="B2025" t="inlineStr">
        <is>
          <t>SIMULACIONES_MR2024_V3</t>
        </is>
      </c>
      <c r="C2025" t="inlineStr">
        <is>
          <t>toneladas (6000 m3 x MR24_BD); pct sobre toneladas</t>
        </is>
      </c>
      <c r="D2025" t="inlineStr">
        <is>
          <t>anio_LOM25_AMIN_LE2</t>
        </is>
      </c>
      <c r="E2025" t="inlineStr">
        <is>
          <t>2049</t>
        </is>
      </c>
      <c r="F2025" t="inlineStr">
        <is>
          <t>litologia_tentativa</t>
        </is>
      </c>
      <c r="G2025" t="inlineStr">
        <is>
          <t>Intrusivo</t>
        </is>
      </c>
      <c r="H2025" t="inlineStr"/>
      <c r="I2025" t="inlineStr"/>
      <c r="J2025" t="inlineStr">
        <is>
          <t>suma de filas por código</t>
        </is>
      </c>
      <c r="K2025" t="inlineStr">
        <is>
          <t>Intrusivo</t>
        </is>
      </c>
      <c r="L2025" t="inlineStr"/>
      <c r="M2025" t="n">
        <v>178</v>
      </c>
      <c r="N2025" t="n">
        <v>1068000</v>
      </c>
      <c r="O2025" t="n">
        <v>2627172</v>
      </c>
      <c r="P2025" t="inlineStr"/>
      <c r="Q2025" t="n">
        <v>100</v>
      </c>
    </row>
    <row r="2026">
      <c r="A2026" t="inlineStr">
        <is>
          <t>MR24</t>
        </is>
      </c>
      <c r="B2026" t="inlineStr">
        <is>
          <t>SIMULACIONES_MR2024_V3</t>
        </is>
      </c>
      <c r="C2026" t="inlineStr">
        <is>
          <t>toneladas (6000 m3 x MR24_BD); pct sobre toneladas</t>
        </is>
      </c>
      <c r="D2026" t="inlineStr">
        <is>
          <t>anio_LOM25_AMIN_LE2</t>
        </is>
      </c>
      <c r="E2026" t="inlineStr">
        <is>
          <t>sin dato</t>
        </is>
      </c>
      <c r="F2026" t="inlineStr">
        <is>
          <t>litologia_tentativa</t>
        </is>
      </c>
      <c r="G2026" t="inlineStr">
        <is>
          <t>Caliza (hipótesis: Sedimentario; RT11~NUMEQ10, siglas C*)</t>
        </is>
      </c>
      <c r="H2026" t="inlineStr"/>
      <c r="I2026" t="inlineStr"/>
      <c r="J2026" t="inlineStr">
        <is>
          <t>suma de filas por código</t>
        </is>
      </c>
      <c r="K2026" t="inlineStr">
        <is>
          <t>Caliza (hipótesis: Sedimentario; RT11~NUMEQ10, siglas C*)</t>
        </is>
      </c>
      <c r="L2026" t="inlineStr"/>
      <c r="M2026" t="n">
        <v>1990</v>
      </c>
      <c r="N2026" t="n">
        <v>11940000</v>
      </c>
      <c r="O2026" t="n">
        <v>32294328</v>
      </c>
      <c r="P2026" t="inlineStr"/>
      <c r="Q2026" t="n">
        <v>21.775</v>
      </c>
    </row>
    <row r="2027">
      <c r="A2027" t="inlineStr">
        <is>
          <t>MR24</t>
        </is>
      </c>
      <c r="B2027" t="inlineStr">
        <is>
          <t>SIMULACIONES_MR2024_V3</t>
        </is>
      </c>
      <c r="C2027" t="inlineStr">
        <is>
          <t>toneladas (6000 m3 x MR24_BD); pct sobre toneladas</t>
        </is>
      </c>
      <c r="D2027" t="inlineStr">
        <is>
          <t>anio_LOM25_AMIN_LE2</t>
        </is>
      </c>
      <c r="E2027" t="inlineStr">
        <is>
          <t>sin dato</t>
        </is>
      </c>
      <c r="F2027" t="inlineStr">
        <is>
          <t>litologia_tentativa</t>
        </is>
      </c>
      <c r="G2027" t="inlineStr">
        <is>
          <t>Caliza (hipótesis: siglas C*)</t>
        </is>
      </c>
      <c r="H2027" t="inlineStr"/>
      <c r="I2027" t="inlineStr"/>
      <c r="J2027" t="inlineStr">
        <is>
          <t>suma de filas por código</t>
        </is>
      </c>
      <c r="K2027" t="inlineStr">
        <is>
          <t>Caliza (hipótesis: siglas C*)</t>
        </is>
      </c>
      <c r="L2027" t="inlineStr"/>
      <c r="M2027" t="n">
        <v>992</v>
      </c>
      <c r="N2027" t="n">
        <v>5952000</v>
      </c>
      <c r="O2027" t="n">
        <v>16125510</v>
      </c>
      <c r="P2027" t="inlineStr"/>
      <c r="Q2027" t="n">
        <v>10.873</v>
      </c>
    </row>
    <row r="2028">
      <c r="A2028" t="inlineStr">
        <is>
          <t>MR24</t>
        </is>
      </c>
      <c r="B2028" t="inlineStr">
        <is>
          <t>SIMULACIONES_MR2024_V3</t>
        </is>
      </c>
      <c r="C2028" t="inlineStr">
        <is>
          <t>toneladas (6000 m3 x MR24_BD); pct sobre toneladas</t>
        </is>
      </c>
      <c r="D2028" t="inlineStr">
        <is>
          <t>anio_LOM25_AMIN_LE2</t>
        </is>
      </c>
      <c r="E2028" t="inlineStr">
        <is>
          <t>sin dato</t>
        </is>
      </c>
      <c r="F2028" t="inlineStr">
        <is>
          <t>litologia_tentativa</t>
        </is>
      </c>
      <c r="G2028" t="inlineStr">
        <is>
          <t>Hornfels (hipótesis: siglas HBV, HGV, HCB, HDP; 'Diop. Hornfels'~HGV)</t>
        </is>
      </c>
      <c r="H2028" t="inlineStr"/>
      <c r="I2028" t="inlineStr"/>
      <c r="J2028" t="inlineStr">
        <is>
          <t>suma de filas por código</t>
        </is>
      </c>
      <c r="K2028" t="inlineStr">
        <is>
          <t>Hornfels (hipótesis: siglas HBV, HGV, HCB, HDP; 'Diop. Hornfels'~HGV)</t>
        </is>
      </c>
      <c r="L2028" t="inlineStr"/>
      <c r="M2028" t="n">
        <v>12</v>
      </c>
      <c r="N2028" t="n">
        <v>72000</v>
      </c>
      <c r="O2028" t="n">
        <v>207048</v>
      </c>
      <c r="P2028" t="inlineStr"/>
      <c r="Q2028" t="n">
        <v>0.14</v>
      </c>
    </row>
    <row r="2029">
      <c r="A2029" t="inlineStr">
        <is>
          <t>MR24</t>
        </is>
      </c>
      <c r="B2029" t="inlineStr">
        <is>
          <t>SIMULACIONES_MR2024_V3</t>
        </is>
      </c>
      <c r="C2029" t="inlineStr">
        <is>
          <t>toneladas (6000 m3 x MR24_BD); pct sobre toneladas</t>
        </is>
      </c>
      <c r="D2029" t="inlineStr">
        <is>
          <t>anio_LOM25_AMIN_LE2</t>
        </is>
      </c>
      <c r="E2029" t="inlineStr">
        <is>
          <t>sin dato</t>
        </is>
      </c>
      <c r="F2029" t="inlineStr">
        <is>
          <t>litologia_tentativa</t>
        </is>
      </c>
      <c r="G2029" t="inlineStr">
        <is>
          <t>Hornfels (hipótesis: siglas HG, HGS, HC)</t>
        </is>
      </c>
      <c r="H2029" t="inlineStr"/>
      <c r="I2029" t="inlineStr"/>
      <c r="J2029" t="inlineStr">
        <is>
          <t>suma de filas por código</t>
        </is>
      </c>
      <c r="K2029" t="inlineStr">
        <is>
          <t>Hornfels (hipótesis: siglas HG, HGS, HC)</t>
        </is>
      </c>
      <c r="L2029" t="inlineStr"/>
      <c r="M2029" t="n">
        <v>373</v>
      </c>
      <c r="N2029" t="n">
        <v>2238000</v>
      </c>
      <c r="O2029" t="n">
        <v>6032706</v>
      </c>
      <c r="P2029" t="inlineStr"/>
      <c r="Q2029" t="n">
        <v>4.068</v>
      </c>
    </row>
    <row r="2030">
      <c r="A2030" t="inlineStr">
        <is>
          <t>MR24</t>
        </is>
      </c>
      <c r="B2030" t="inlineStr">
        <is>
          <t>SIMULACIONES_MR2024_V3</t>
        </is>
      </c>
      <c r="C2030" t="inlineStr">
        <is>
          <t>toneladas (6000 m3 x MR24_BD); pct sobre toneladas</t>
        </is>
      </c>
      <c r="D2030" t="inlineStr">
        <is>
          <t>anio_LOM25_AMIN_LE2</t>
        </is>
      </c>
      <c r="E2030" t="inlineStr">
        <is>
          <t>sin dato</t>
        </is>
      </c>
      <c r="F2030" t="inlineStr">
        <is>
          <t>litologia_tentativa</t>
        </is>
      </c>
      <c r="G2030" t="inlineStr">
        <is>
          <t>Intrusivo</t>
        </is>
      </c>
      <c r="H2030" t="inlineStr"/>
      <c r="I2030" t="inlineStr"/>
      <c r="J2030" t="inlineStr">
        <is>
          <t>suma de filas por código</t>
        </is>
      </c>
      <c r="K2030" t="inlineStr">
        <is>
          <t>Intrusivo</t>
        </is>
      </c>
      <c r="L2030" t="inlineStr"/>
      <c r="M2030" t="n">
        <v>2277</v>
      </c>
      <c r="N2030" t="n">
        <v>13662000</v>
      </c>
      <c r="O2030" t="n">
        <v>33585342</v>
      </c>
      <c r="P2030" t="inlineStr"/>
      <c r="Q2030" t="n">
        <v>22.645</v>
      </c>
    </row>
    <row r="2031">
      <c r="A2031" t="inlineStr">
        <is>
          <t>MR24</t>
        </is>
      </c>
      <c r="B2031" t="inlineStr">
        <is>
          <t>SIMULACIONES_MR2024_V3</t>
        </is>
      </c>
      <c r="C2031" t="inlineStr">
        <is>
          <t>toneladas (6000 m3 x MR24_BD); pct sobre toneladas</t>
        </is>
      </c>
      <c r="D2031" t="inlineStr">
        <is>
          <t>anio_LOM25_AMIN_LE2</t>
        </is>
      </c>
      <c r="E2031" t="inlineStr">
        <is>
          <t>sin dato</t>
        </is>
      </c>
      <c r="F2031" t="inlineStr">
        <is>
          <t>litologia_tentativa</t>
        </is>
      </c>
      <c r="G2031" t="inlineStr">
        <is>
          <t>Mármol (hipótesis: sigla MDP)</t>
        </is>
      </c>
      <c r="H2031" t="inlineStr"/>
      <c r="I2031" t="inlineStr"/>
      <c r="J2031" t="inlineStr">
        <is>
          <t>suma de filas por código</t>
        </is>
      </c>
      <c r="K2031" t="inlineStr">
        <is>
          <t>Mármol (hipótesis: sigla MDP)</t>
        </is>
      </c>
      <c r="L2031" t="inlineStr"/>
      <c r="M2031" t="n">
        <v>10</v>
      </c>
      <c r="N2031" t="n">
        <v>60000</v>
      </c>
      <c r="O2031" t="n">
        <v>169560</v>
      </c>
      <c r="P2031" t="inlineStr"/>
      <c r="Q2031" t="n">
        <v>0.114</v>
      </c>
    </row>
    <row r="2032">
      <c r="A2032" t="inlineStr">
        <is>
          <t>MR24</t>
        </is>
      </c>
      <c r="B2032" t="inlineStr">
        <is>
          <t>SIMULACIONES_MR2024_V3</t>
        </is>
      </c>
      <c r="C2032" t="inlineStr">
        <is>
          <t>toneladas (6000 m3 x MR24_BD); pct sobre toneladas</t>
        </is>
      </c>
      <c r="D2032" t="inlineStr">
        <is>
          <t>anio_LOM25_AMIN_LE2</t>
        </is>
      </c>
      <c r="E2032" t="inlineStr">
        <is>
          <t>sin dato</t>
        </is>
      </c>
      <c r="F2032" t="inlineStr">
        <is>
          <t>litologia_tentativa</t>
        </is>
      </c>
      <c r="G2032" t="inlineStr">
        <is>
          <t>Mármol (hipótesis: siglas MC, MG, MGS, MPA, MCGB; 'Marble'~MCGB)</t>
        </is>
      </c>
      <c r="H2032" t="inlineStr"/>
      <c r="I2032" t="inlineStr"/>
      <c r="J2032" t="inlineStr">
        <is>
          <t>suma de filas por código</t>
        </is>
      </c>
      <c r="K2032" t="inlineStr">
        <is>
          <t>Mármol (hipótesis: siglas MC, MG, MGS, MPA, MCGB; 'Marble'~MCGB)</t>
        </is>
      </c>
      <c r="L2032" t="inlineStr"/>
      <c r="M2032" t="n">
        <v>3701</v>
      </c>
      <c r="N2032" t="n">
        <v>22206000</v>
      </c>
      <c r="O2032" t="n">
        <v>59897010</v>
      </c>
      <c r="P2032" t="inlineStr"/>
      <c r="Q2032" t="n">
        <v>40.386</v>
      </c>
    </row>
    <row r="2033">
      <c r="A2033" t="inlineStr">
        <is>
          <t>MR24</t>
        </is>
      </c>
      <c r="B2033" t="inlineStr">
        <is>
          <t>SIMULACIONES_MR2024_V3</t>
        </is>
      </c>
      <c r="C2033" t="inlineStr">
        <is>
          <t>toneladas (6000 m3 x MR24_BD); pct sobre toneladas</t>
        </is>
      </c>
      <c r="D2033" t="inlineStr">
        <is>
          <t>fase_LOM25_FASES_LE2</t>
        </is>
      </c>
      <c r="E2033" t="inlineStr">
        <is>
          <t>10A</t>
        </is>
      </c>
      <c r="F2033" t="inlineStr">
        <is>
          <t>litologia_tentativa</t>
        </is>
      </c>
      <c r="G2033" t="inlineStr">
        <is>
          <t>Caliza (hipótesis: Sedimentario; RT11~NUMEQ10, siglas C*)</t>
        </is>
      </c>
      <c r="H2033" t="inlineStr"/>
      <c r="I2033" t="inlineStr"/>
      <c r="J2033" t="inlineStr">
        <is>
          <t>suma de filas por código</t>
        </is>
      </c>
      <c r="K2033" t="inlineStr">
        <is>
          <t>Caliza (hipótesis: Sedimentario; RT11~NUMEQ10, siglas C*)</t>
        </is>
      </c>
      <c r="L2033" t="inlineStr"/>
      <c r="M2033" t="n">
        <v>1494</v>
      </c>
      <c r="N2033" t="n">
        <v>8964000</v>
      </c>
      <c r="O2033" t="n">
        <v>24242808</v>
      </c>
      <c r="P2033" t="inlineStr"/>
      <c r="Q2033" t="n">
        <v>4.366</v>
      </c>
    </row>
    <row r="2034">
      <c r="A2034" t="inlineStr">
        <is>
          <t>MR24</t>
        </is>
      </c>
      <c r="B2034" t="inlineStr">
        <is>
          <t>SIMULACIONES_MR2024_V3</t>
        </is>
      </c>
      <c r="C2034" t="inlineStr">
        <is>
          <t>toneladas (6000 m3 x MR24_BD); pct sobre toneladas</t>
        </is>
      </c>
      <c r="D2034" t="inlineStr">
        <is>
          <t>fase_LOM25_FASES_LE2</t>
        </is>
      </c>
      <c r="E2034" t="inlineStr">
        <is>
          <t>10A</t>
        </is>
      </c>
      <c r="F2034" t="inlineStr">
        <is>
          <t>litologia_tentativa</t>
        </is>
      </c>
      <c r="G2034" t="inlineStr">
        <is>
          <t>Caliza (hipótesis: siglas C*)</t>
        </is>
      </c>
      <c r="H2034" t="inlineStr"/>
      <c r="I2034" t="inlineStr"/>
      <c r="J2034" t="inlineStr">
        <is>
          <t>suma de filas por código</t>
        </is>
      </c>
      <c r="K2034" t="inlineStr">
        <is>
          <t>Caliza (hipótesis: siglas C*)</t>
        </is>
      </c>
      <c r="L2034" t="inlineStr"/>
      <c r="M2034" t="n">
        <v>2387</v>
      </c>
      <c r="N2034" t="n">
        <v>14322000</v>
      </c>
      <c r="O2034" t="n">
        <v>38659704</v>
      </c>
      <c r="P2034" t="inlineStr"/>
      <c r="Q2034" t="n">
        <v>6.962</v>
      </c>
    </row>
    <row r="2035">
      <c r="A2035" t="inlineStr">
        <is>
          <t>MR24</t>
        </is>
      </c>
      <c r="B2035" t="inlineStr">
        <is>
          <t>SIMULACIONES_MR2024_V3</t>
        </is>
      </c>
      <c r="C2035" t="inlineStr">
        <is>
          <t>toneladas (6000 m3 x MR24_BD); pct sobre toneladas</t>
        </is>
      </c>
      <c r="D2035" t="inlineStr">
        <is>
          <t>fase_LOM25_FASES_LE2</t>
        </is>
      </c>
      <c r="E2035" t="inlineStr">
        <is>
          <t>10A</t>
        </is>
      </c>
      <c r="F2035" t="inlineStr">
        <is>
          <t>litologia_tentativa</t>
        </is>
      </c>
      <c r="G2035" t="inlineStr">
        <is>
          <t>Hornfels (hipótesis: siglas HBV, HGV, HCB, HDP; 'Diop. Hornfels'~HGV)</t>
        </is>
      </c>
      <c r="H2035" t="inlineStr"/>
      <c r="I2035" t="inlineStr"/>
      <c r="J2035" t="inlineStr">
        <is>
          <t>suma de filas por código</t>
        </is>
      </c>
      <c r="K2035" t="inlineStr">
        <is>
          <t>Hornfels (hipótesis: siglas HBV, HGV, HCB, HDP; 'Diop. Hornfels'~HGV)</t>
        </is>
      </c>
      <c r="L2035" t="inlineStr"/>
      <c r="M2035" t="n">
        <v>551</v>
      </c>
      <c r="N2035" t="n">
        <v>3306000</v>
      </c>
      <c r="O2035" t="n">
        <v>9470472</v>
      </c>
      <c r="P2035" t="inlineStr"/>
      <c r="Q2035" t="n">
        <v>1.706</v>
      </c>
    </row>
    <row r="2036">
      <c r="A2036" t="inlineStr">
        <is>
          <t>MR24</t>
        </is>
      </c>
      <c r="B2036" t="inlineStr">
        <is>
          <t>SIMULACIONES_MR2024_V3</t>
        </is>
      </c>
      <c r="C2036" t="inlineStr">
        <is>
          <t>toneladas (6000 m3 x MR24_BD); pct sobre toneladas</t>
        </is>
      </c>
      <c r="D2036" t="inlineStr">
        <is>
          <t>fase_LOM25_FASES_LE2</t>
        </is>
      </c>
      <c r="E2036" t="inlineStr">
        <is>
          <t>10A</t>
        </is>
      </c>
      <c r="F2036" t="inlineStr">
        <is>
          <t>litologia_tentativa</t>
        </is>
      </c>
      <c r="G2036" t="inlineStr">
        <is>
          <t>Hornfels (hipótesis: siglas HG, HGS, HC)</t>
        </is>
      </c>
      <c r="H2036" t="inlineStr"/>
      <c r="I2036" t="inlineStr"/>
      <c r="J2036" t="inlineStr">
        <is>
          <t>suma de filas por código</t>
        </is>
      </c>
      <c r="K2036" t="inlineStr">
        <is>
          <t>Hornfels (hipótesis: siglas HG, HGS, HC)</t>
        </is>
      </c>
      <c r="L2036" t="inlineStr"/>
      <c r="M2036" t="n">
        <v>2055</v>
      </c>
      <c r="N2036" t="n">
        <v>12330000</v>
      </c>
      <c r="O2036" t="n">
        <v>33247632</v>
      </c>
      <c r="P2036" t="inlineStr"/>
      <c r="Q2036" t="n">
        <v>5.987</v>
      </c>
    </row>
    <row r="2037">
      <c r="A2037" t="inlineStr">
        <is>
          <t>MR24</t>
        </is>
      </c>
      <c r="B2037" t="inlineStr">
        <is>
          <t>SIMULACIONES_MR2024_V3</t>
        </is>
      </c>
      <c r="C2037" t="inlineStr">
        <is>
          <t>toneladas (6000 m3 x MR24_BD); pct sobre toneladas</t>
        </is>
      </c>
      <c r="D2037" t="inlineStr">
        <is>
          <t>fase_LOM25_FASES_LE2</t>
        </is>
      </c>
      <c r="E2037" t="inlineStr">
        <is>
          <t>10A</t>
        </is>
      </c>
      <c r="F2037" t="inlineStr">
        <is>
          <t>litologia_tentativa</t>
        </is>
      </c>
      <c r="G2037" t="inlineStr">
        <is>
          <t>Intrusivo</t>
        </is>
      </c>
      <c r="H2037" t="inlineStr"/>
      <c r="I2037" t="inlineStr"/>
      <c r="J2037" t="inlineStr">
        <is>
          <t>suma de filas por código</t>
        </is>
      </c>
      <c r="K2037" t="inlineStr">
        <is>
          <t>Intrusivo</t>
        </is>
      </c>
      <c r="L2037" t="inlineStr"/>
      <c r="M2037" t="n">
        <v>4813</v>
      </c>
      <c r="N2037" t="n">
        <v>28878000</v>
      </c>
      <c r="O2037" t="n">
        <v>70865808</v>
      </c>
      <c r="P2037" t="inlineStr"/>
      <c r="Q2037" t="n">
        <v>12.762</v>
      </c>
    </row>
    <row r="2038">
      <c r="A2038" t="inlineStr">
        <is>
          <t>MR24</t>
        </is>
      </c>
      <c r="B2038" t="inlineStr">
        <is>
          <t>SIMULACIONES_MR2024_V3</t>
        </is>
      </c>
      <c r="C2038" t="inlineStr">
        <is>
          <t>toneladas (6000 m3 x MR24_BD); pct sobre toneladas</t>
        </is>
      </c>
      <c r="D2038" t="inlineStr">
        <is>
          <t>fase_LOM25_FASES_LE2</t>
        </is>
      </c>
      <c r="E2038" t="inlineStr">
        <is>
          <t>10A</t>
        </is>
      </c>
      <c r="F2038" t="inlineStr">
        <is>
          <t>litologia_tentativa</t>
        </is>
      </c>
      <c r="G2038" t="inlineStr">
        <is>
          <t>Mármol (hipótesis: sigla MDP)</t>
        </is>
      </c>
      <c r="H2038" t="inlineStr"/>
      <c r="I2038" t="inlineStr"/>
      <c r="J2038" t="inlineStr">
        <is>
          <t>suma de filas por código</t>
        </is>
      </c>
      <c r="K2038" t="inlineStr">
        <is>
          <t>Mármol (hipótesis: sigla MDP)</t>
        </is>
      </c>
      <c r="L2038" t="inlineStr"/>
      <c r="M2038" t="n">
        <v>1137</v>
      </c>
      <c r="N2038" t="n">
        <v>6822000</v>
      </c>
      <c r="O2038" t="n">
        <v>19459014</v>
      </c>
      <c r="P2038" t="inlineStr"/>
      <c r="Q2038" t="n">
        <v>3.504</v>
      </c>
    </row>
    <row r="2039">
      <c r="A2039" t="inlineStr">
        <is>
          <t>MR24</t>
        </is>
      </c>
      <c r="B2039" t="inlineStr">
        <is>
          <t>SIMULACIONES_MR2024_V3</t>
        </is>
      </c>
      <c r="C2039" t="inlineStr">
        <is>
          <t>toneladas (6000 m3 x MR24_BD); pct sobre toneladas</t>
        </is>
      </c>
      <c r="D2039" t="inlineStr">
        <is>
          <t>fase_LOM25_FASES_LE2</t>
        </is>
      </c>
      <c r="E2039" t="inlineStr">
        <is>
          <t>10A</t>
        </is>
      </c>
      <c r="F2039" t="inlineStr">
        <is>
          <t>litologia_tentativa</t>
        </is>
      </c>
      <c r="G2039" t="inlineStr">
        <is>
          <t>Mármol (hipótesis: siglas MC, MG, MGS, MPA, MCGB; 'Marble'~MCGB)</t>
        </is>
      </c>
      <c r="H2039" t="inlineStr"/>
      <c r="I2039" t="inlineStr"/>
      <c r="J2039" t="inlineStr">
        <is>
          <t>suma de filas por código</t>
        </is>
      </c>
      <c r="K2039" t="inlineStr">
        <is>
          <t>Mármol (hipótesis: siglas MC, MG, MGS, MPA, MCGB; 'Marble'~MCGB)</t>
        </is>
      </c>
      <c r="L2039" t="inlineStr"/>
      <c r="M2039" t="n">
        <v>22087</v>
      </c>
      <c r="N2039" t="n">
        <v>132522000</v>
      </c>
      <c r="O2039" t="n">
        <v>358272054</v>
      </c>
      <c r="P2039" t="inlineStr"/>
      <c r="Q2039" t="n">
        <v>64.52</v>
      </c>
    </row>
    <row r="2040">
      <c r="A2040" t="inlineStr">
        <is>
          <t>MR24</t>
        </is>
      </c>
      <c r="B2040" t="inlineStr">
        <is>
          <t>SIMULACIONES_MR2024_V3</t>
        </is>
      </c>
      <c r="C2040" t="inlineStr">
        <is>
          <t>toneladas (6000 m3 x MR24_BD); pct sobre toneladas</t>
        </is>
      </c>
      <c r="D2040" t="inlineStr">
        <is>
          <t>fase_LOM25_FASES_LE2</t>
        </is>
      </c>
      <c r="E2040" t="inlineStr">
        <is>
          <t>10A</t>
        </is>
      </c>
      <c r="F2040" t="inlineStr">
        <is>
          <t>litologia_tentativa</t>
        </is>
      </c>
      <c r="G2040" t="inlineStr">
        <is>
          <t>sin hipótesis</t>
        </is>
      </c>
      <c r="H2040" t="inlineStr"/>
      <c r="I2040" t="inlineStr"/>
      <c r="J2040" t="inlineStr">
        <is>
          <t>suma de filas por código</t>
        </is>
      </c>
      <c r="K2040" t="inlineStr">
        <is>
          <t>sin hipótesis</t>
        </is>
      </c>
      <c r="L2040" t="inlineStr"/>
      <c r="M2040" t="n">
        <v>67</v>
      </c>
      <c r="N2040" t="n">
        <v>402000</v>
      </c>
      <c r="O2040" t="n">
        <v>1070412</v>
      </c>
      <c r="P2040" t="inlineStr"/>
      <c r="Q2040" t="n">
        <v>0.193</v>
      </c>
    </row>
    <row r="2041">
      <c r="A2041" t="inlineStr">
        <is>
          <t>MR24</t>
        </is>
      </c>
      <c r="B2041" t="inlineStr">
        <is>
          <t>SIMULACIONES_MR2024_V3</t>
        </is>
      </c>
      <c r="C2041" t="inlineStr">
        <is>
          <t>toneladas (6000 m3 x MR24_BD); pct sobre toneladas</t>
        </is>
      </c>
      <c r="D2041" t="inlineStr">
        <is>
          <t>fase_LOM25_FASES_LE2</t>
        </is>
      </c>
      <c r="E2041" t="inlineStr">
        <is>
          <t>10B</t>
        </is>
      </c>
      <c r="F2041" t="inlineStr">
        <is>
          <t>litologia_tentativa</t>
        </is>
      </c>
      <c r="G2041" t="inlineStr">
        <is>
          <t>Caliza (hipótesis: Sedimentario; RT11~NUMEQ10, siglas C*)</t>
        </is>
      </c>
      <c r="H2041" t="inlineStr"/>
      <c r="I2041" t="inlineStr"/>
      <c r="J2041" t="inlineStr">
        <is>
          <t>suma de filas por código</t>
        </is>
      </c>
      <c r="K2041" t="inlineStr">
        <is>
          <t>Caliza (hipótesis: Sedimentario; RT11~NUMEQ10, siglas C*)</t>
        </is>
      </c>
      <c r="L2041" t="inlineStr"/>
      <c r="M2041" t="n">
        <v>115</v>
      </c>
      <c r="N2041" t="n">
        <v>690000</v>
      </c>
      <c r="O2041" t="n">
        <v>1869138</v>
      </c>
      <c r="P2041" t="inlineStr"/>
      <c r="Q2041" t="n">
        <v>0.896</v>
      </c>
    </row>
    <row r="2042">
      <c r="A2042" t="inlineStr">
        <is>
          <t>MR24</t>
        </is>
      </c>
      <c r="B2042" t="inlineStr">
        <is>
          <t>SIMULACIONES_MR2024_V3</t>
        </is>
      </c>
      <c r="C2042" t="inlineStr">
        <is>
          <t>toneladas (6000 m3 x MR24_BD); pct sobre toneladas</t>
        </is>
      </c>
      <c r="D2042" t="inlineStr">
        <is>
          <t>fase_LOM25_FASES_LE2</t>
        </is>
      </c>
      <c r="E2042" t="inlineStr">
        <is>
          <t>10B</t>
        </is>
      </c>
      <c r="F2042" t="inlineStr">
        <is>
          <t>litologia_tentativa</t>
        </is>
      </c>
      <c r="G2042" t="inlineStr">
        <is>
          <t>Caliza (hipótesis: siglas C*)</t>
        </is>
      </c>
      <c r="H2042" t="inlineStr"/>
      <c r="I2042" t="inlineStr"/>
      <c r="J2042" t="inlineStr">
        <is>
          <t>suma de filas por código</t>
        </is>
      </c>
      <c r="K2042" t="inlineStr">
        <is>
          <t>Caliza (hipótesis: siglas C*)</t>
        </is>
      </c>
      <c r="L2042" t="inlineStr"/>
      <c r="M2042" t="n">
        <v>910</v>
      </c>
      <c r="N2042" t="n">
        <v>5460000</v>
      </c>
      <c r="O2042" t="n">
        <v>14796828</v>
      </c>
      <c r="P2042" t="inlineStr"/>
      <c r="Q2042" t="n">
        <v>7.095</v>
      </c>
    </row>
    <row r="2043">
      <c r="A2043" t="inlineStr">
        <is>
          <t>MR24</t>
        </is>
      </c>
      <c r="B2043" t="inlineStr">
        <is>
          <t>SIMULACIONES_MR2024_V3</t>
        </is>
      </c>
      <c r="C2043" t="inlineStr">
        <is>
          <t>toneladas (6000 m3 x MR24_BD); pct sobre toneladas</t>
        </is>
      </c>
      <c r="D2043" t="inlineStr">
        <is>
          <t>fase_LOM25_FASES_LE2</t>
        </is>
      </c>
      <c r="E2043" t="inlineStr">
        <is>
          <t>10B</t>
        </is>
      </c>
      <c r="F2043" t="inlineStr">
        <is>
          <t>litologia_tentativa</t>
        </is>
      </c>
      <c r="G2043" t="inlineStr">
        <is>
          <t>Hornfels (hipótesis: siglas HBV, HGV, HCB, HDP; 'Diop. Hornfels'~HGV)</t>
        </is>
      </c>
      <c r="H2043" t="inlineStr"/>
      <c r="I2043" t="inlineStr"/>
      <c r="J2043" t="inlineStr">
        <is>
          <t>suma de filas por código</t>
        </is>
      </c>
      <c r="K2043" t="inlineStr">
        <is>
          <t>Hornfels (hipótesis: siglas HBV, HGV, HCB, HDP; 'Diop. Hornfels'~HGV)</t>
        </is>
      </c>
      <c r="L2043" t="inlineStr"/>
      <c r="M2043" t="n">
        <v>1351</v>
      </c>
      <c r="N2043" t="n">
        <v>8106000</v>
      </c>
      <c r="O2043" t="n">
        <v>23421324</v>
      </c>
      <c r="P2043" t="inlineStr"/>
      <c r="Q2043" t="n">
        <v>11.231</v>
      </c>
    </row>
    <row r="2044">
      <c r="A2044" t="inlineStr">
        <is>
          <t>MR24</t>
        </is>
      </c>
      <c r="B2044" t="inlineStr">
        <is>
          <t>SIMULACIONES_MR2024_V3</t>
        </is>
      </c>
      <c r="C2044" t="inlineStr">
        <is>
          <t>toneladas (6000 m3 x MR24_BD); pct sobre toneladas</t>
        </is>
      </c>
      <c r="D2044" t="inlineStr">
        <is>
          <t>fase_LOM25_FASES_LE2</t>
        </is>
      </c>
      <c r="E2044" t="inlineStr">
        <is>
          <t>10B</t>
        </is>
      </c>
      <c r="F2044" t="inlineStr">
        <is>
          <t>litologia_tentativa</t>
        </is>
      </c>
      <c r="G2044" t="inlineStr">
        <is>
          <t>Hornfels (hipótesis: siglas HG, HGS, HC)</t>
        </is>
      </c>
      <c r="H2044" t="inlineStr"/>
      <c r="I2044" t="inlineStr"/>
      <c r="J2044" t="inlineStr">
        <is>
          <t>suma de filas por código</t>
        </is>
      </c>
      <c r="K2044" t="inlineStr">
        <is>
          <t>Hornfels (hipótesis: siglas HG, HGS, HC)</t>
        </is>
      </c>
      <c r="L2044" t="inlineStr"/>
      <c r="M2044" t="n">
        <v>2273</v>
      </c>
      <c r="N2044" t="n">
        <v>13638000</v>
      </c>
      <c r="O2044" t="n">
        <v>37113240</v>
      </c>
      <c r="P2044" t="inlineStr"/>
      <c r="Q2044" t="n">
        <v>17.797</v>
      </c>
    </row>
    <row r="2045">
      <c r="A2045" t="inlineStr">
        <is>
          <t>MR24</t>
        </is>
      </c>
      <c r="B2045" t="inlineStr">
        <is>
          <t>SIMULACIONES_MR2024_V3</t>
        </is>
      </c>
      <c r="C2045" t="inlineStr">
        <is>
          <t>toneladas (6000 m3 x MR24_BD); pct sobre toneladas</t>
        </is>
      </c>
      <c r="D2045" t="inlineStr">
        <is>
          <t>fase_LOM25_FASES_LE2</t>
        </is>
      </c>
      <c r="E2045" t="inlineStr">
        <is>
          <t>10B</t>
        </is>
      </c>
      <c r="F2045" t="inlineStr">
        <is>
          <t>litologia_tentativa</t>
        </is>
      </c>
      <c r="G2045" t="inlineStr">
        <is>
          <t>Intrusivo</t>
        </is>
      </c>
      <c r="H2045" t="inlineStr"/>
      <c r="I2045" t="inlineStr"/>
      <c r="J2045" t="inlineStr">
        <is>
          <t>suma de filas por código</t>
        </is>
      </c>
      <c r="K2045" t="inlineStr">
        <is>
          <t>Intrusivo</t>
        </is>
      </c>
      <c r="L2045" t="inlineStr"/>
      <c r="M2045" t="n">
        <v>4404</v>
      </c>
      <c r="N2045" t="n">
        <v>26424000</v>
      </c>
      <c r="O2045" t="n">
        <v>64936272</v>
      </c>
      <c r="P2045" t="inlineStr"/>
      <c r="Q2045" t="n">
        <v>31.138</v>
      </c>
    </row>
    <row r="2046">
      <c r="A2046" t="inlineStr">
        <is>
          <t>MR24</t>
        </is>
      </c>
      <c r="B2046" t="inlineStr">
        <is>
          <t>SIMULACIONES_MR2024_V3</t>
        </is>
      </c>
      <c r="C2046" t="inlineStr">
        <is>
          <t>toneladas (6000 m3 x MR24_BD); pct sobre toneladas</t>
        </is>
      </c>
      <c r="D2046" t="inlineStr">
        <is>
          <t>fase_LOM25_FASES_LE2</t>
        </is>
      </c>
      <c r="E2046" t="inlineStr">
        <is>
          <t>10B</t>
        </is>
      </c>
      <c r="F2046" t="inlineStr">
        <is>
          <t>litologia_tentativa</t>
        </is>
      </c>
      <c r="G2046" t="inlineStr">
        <is>
          <t>Mármol (hipótesis: sigla MDP)</t>
        </is>
      </c>
      <c r="H2046" t="inlineStr"/>
      <c r="I2046" t="inlineStr"/>
      <c r="J2046" t="inlineStr">
        <is>
          <t>suma de filas por código</t>
        </is>
      </c>
      <c r="K2046" t="inlineStr">
        <is>
          <t>Mármol (hipótesis: sigla MDP)</t>
        </is>
      </c>
      <c r="L2046" t="inlineStr"/>
      <c r="M2046" t="n">
        <v>684</v>
      </c>
      <c r="N2046" t="n">
        <v>4104000</v>
      </c>
      <c r="O2046" t="n">
        <v>11718918</v>
      </c>
      <c r="P2046" t="inlineStr"/>
      <c r="Q2046" t="n">
        <v>5.62</v>
      </c>
    </row>
    <row r="2047">
      <c r="A2047" t="inlineStr">
        <is>
          <t>MR24</t>
        </is>
      </c>
      <c r="B2047" t="inlineStr">
        <is>
          <t>SIMULACIONES_MR2024_V3</t>
        </is>
      </c>
      <c r="C2047" t="inlineStr">
        <is>
          <t>toneladas (6000 m3 x MR24_BD); pct sobre toneladas</t>
        </is>
      </c>
      <c r="D2047" t="inlineStr">
        <is>
          <t>fase_LOM25_FASES_LE2</t>
        </is>
      </c>
      <c r="E2047" t="inlineStr">
        <is>
          <t>10B</t>
        </is>
      </c>
      <c r="F2047" t="inlineStr">
        <is>
          <t>litologia_tentativa</t>
        </is>
      </c>
      <c r="G2047" t="inlineStr">
        <is>
          <t>Mármol (hipótesis: siglas MC, MG, MGS, MPA, MCGB; 'Marble'~MCGB)</t>
        </is>
      </c>
      <c r="H2047" t="inlineStr"/>
      <c r="I2047" t="inlineStr"/>
      <c r="J2047" t="inlineStr">
        <is>
          <t>suma de filas por código</t>
        </is>
      </c>
      <c r="K2047" t="inlineStr">
        <is>
          <t>Mármol (hipótesis: siglas MC, MG, MGS, MPA, MCGB; 'Marble'~MCGB)</t>
        </is>
      </c>
      <c r="L2047" t="inlineStr"/>
      <c r="M2047" t="n">
        <v>3321</v>
      </c>
      <c r="N2047" t="n">
        <v>19926000</v>
      </c>
      <c r="O2047" t="n">
        <v>54325038</v>
      </c>
      <c r="P2047" t="inlineStr"/>
      <c r="Q2047" t="n">
        <v>26.05</v>
      </c>
    </row>
    <row r="2048">
      <c r="A2048" t="inlineStr">
        <is>
          <t>MR24</t>
        </is>
      </c>
      <c r="B2048" t="inlineStr">
        <is>
          <t>SIMULACIONES_MR2024_V3</t>
        </is>
      </c>
      <c r="C2048" t="inlineStr">
        <is>
          <t>toneladas (6000 m3 x MR24_BD); pct sobre toneladas</t>
        </is>
      </c>
      <c r="D2048" t="inlineStr">
        <is>
          <t>fase_LOM25_FASES_LE2</t>
        </is>
      </c>
      <c r="E2048" t="inlineStr">
        <is>
          <t>10B</t>
        </is>
      </c>
      <c r="F2048" t="inlineStr">
        <is>
          <t>litologia_tentativa</t>
        </is>
      </c>
      <c r="G2048" t="inlineStr">
        <is>
          <t>sin hipótesis</t>
        </is>
      </c>
      <c r="H2048" t="inlineStr"/>
      <c r="I2048" t="inlineStr"/>
      <c r="J2048" t="inlineStr">
        <is>
          <t>suma de filas por código</t>
        </is>
      </c>
      <c r="K2048" t="inlineStr">
        <is>
          <t>sin hipótesis</t>
        </is>
      </c>
      <c r="L2048" t="inlineStr"/>
      <c r="M2048" t="n">
        <v>21</v>
      </c>
      <c r="N2048" t="n">
        <v>126000</v>
      </c>
      <c r="O2048" t="n">
        <v>357792</v>
      </c>
      <c r="P2048" t="inlineStr"/>
      <c r="Q2048" t="n">
        <v>0.172</v>
      </c>
    </row>
    <row r="2049">
      <c r="A2049" t="inlineStr">
        <is>
          <t>MR24</t>
        </is>
      </c>
      <c r="B2049" t="inlineStr">
        <is>
          <t>SIMULACIONES_MR2024_V3</t>
        </is>
      </c>
      <c r="C2049" t="inlineStr">
        <is>
          <t>toneladas (6000 m3 x MR24_BD); pct sobre toneladas</t>
        </is>
      </c>
      <c r="D2049" t="inlineStr">
        <is>
          <t>fase_LOM25_FASES_LE2</t>
        </is>
      </c>
      <c r="E2049" t="inlineStr">
        <is>
          <t>11</t>
        </is>
      </c>
      <c r="F2049" t="inlineStr">
        <is>
          <t>litologia_tentativa</t>
        </is>
      </c>
      <c r="G2049" t="inlineStr">
        <is>
          <t>Caliza (hipótesis: Sedimentario; RT11~NUMEQ10, siglas C*)</t>
        </is>
      </c>
      <c r="H2049" t="inlineStr"/>
      <c r="I2049" t="inlineStr"/>
      <c r="J2049" t="inlineStr">
        <is>
          <t>suma de filas por código</t>
        </is>
      </c>
      <c r="K2049" t="inlineStr">
        <is>
          <t>Caliza (hipótesis: Sedimentario; RT11~NUMEQ10, siglas C*)</t>
        </is>
      </c>
      <c r="L2049" t="inlineStr"/>
      <c r="M2049" t="n">
        <v>5579</v>
      </c>
      <c r="N2049" t="n">
        <v>33474000</v>
      </c>
      <c r="O2049" t="n">
        <v>90854724</v>
      </c>
      <c r="P2049" t="inlineStr"/>
      <c r="Q2049" t="n">
        <v>18.624</v>
      </c>
    </row>
    <row r="2050">
      <c r="A2050" t="inlineStr">
        <is>
          <t>MR24</t>
        </is>
      </c>
      <c r="B2050" t="inlineStr">
        <is>
          <t>SIMULACIONES_MR2024_V3</t>
        </is>
      </c>
      <c r="C2050" t="inlineStr">
        <is>
          <t>toneladas (6000 m3 x MR24_BD); pct sobre toneladas</t>
        </is>
      </c>
      <c r="D2050" t="inlineStr">
        <is>
          <t>fase_LOM25_FASES_LE2</t>
        </is>
      </c>
      <c r="E2050" t="inlineStr">
        <is>
          <t>11</t>
        </is>
      </c>
      <c r="F2050" t="inlineStr">
        <is>
          <t>litologia_tentativa</t>
        </is>
      </c>
      <c r="G2050" t="inlineStr">
        <is>
          <t>Caliza (hipótesis: siglas C*)</t>
        </is>
      </c>
      <c r="H2050" t="inlineStr"/>
      <c r="I2050" t="inlineStr"/>
      <c r="J2050" t="inlineStr">
        <is>
          <t>suma de filas por código</t>
        </is>
      </c>
      <c r="K2050" t="inlineStr">
        <is>
          <t>Caliza (hipótesis: siglas C*)</t>
        </is>
      </c>
      <c r="L2050" t="inlineStr"/>
      <c r="M2050" t="n">
        <v>344</v>
      </c>
      <c r="N2050" t="n">
        <v>2064000</v>
      </c>
      <c r="O2050" t="n">
        <v>5608872</v>
      </c>
      <c r="P2050" t="inlineStr"/>
      <c r="Q2050" t="n">
        <v>1.15</v>
      </c>
    </row>
    <row r="2051">
      <c r="A2051" t="inlineStr">
        <is>
          <t>MR24</t>
        </is>
      </c>
      <c r="B2051" t="inlineStr">
        <is>
          <t>SIMULACIONES_MR2024_V3</t>
        </is>
      </c>
      <c r="C2051" t="inlineStr">
        <is>
          <t>toneladas (6000 m3 x MR24_BD); pct sobre toneladas</t>
        </is>
      </c>
      <c r="D2051" t="inlineStr">
        <is>
          <t>fase_LOM25_FASES_LE2</t>
        </is>
      </c>
      <c r="E2051" t="inlineStr">
        <is>
          <t>11</t>
        </is>
      </c>
      <c r="F2051" t="inlineStr">
        <is>
          <t>litologia_tentativa</t>
        </is>
      </c>
      <c r="G2051" t="inlineStr">
        <is>
          <t>Hornfels (hipótesis: siglas HBV, HGV, HCB, HDP; 'Diop. Hornfels'~HGV)</t>
        </is>
      </c>
      <c r="H2051" t="inlineStr"/>
      <c r="I2051" t="inlineStr"/>
      <c r="J2051" t="inlineStr">
        <is>
          <t>suma de filas por código</t>
        </is>
      </c>
      <c r="K2051" t="inlineStr">
        <is>
          <t>Hornfels (hipótesis: siglas HBV, HGV, HCB, HDP; 'Diop. Hornfels'~HGV)</t>
        </is>
      </c>
      <c r="L2051" t="inlineStr"/>
      <c r="M2051" t="n">
        <v>1305</v>
      </c>
      <c r="N2051" t="n">
        <v>7830000</v>
      </c>
      <c r="O2051" t="n">
        <v>22052352</v>
      </c>
      <c r="P2051" t="inlineStr"/>
      <c r="Q2051" t="n">
        <v>4.521</v>
      </c>
    </row>
    <row r="2052">
      <c r="A2052" t="inlineStr">
        <is>
          <t>MR24</t>
        </is>
      </c>
      <c r="B2052" t="inlineStr">
        <is>
          <t>SIMULACIONES_MR2024_V3</t>
        </is>
      </c>
      <c r="C2052" t="inlineStr">
        <is>
          <t>toneladas (6000 m3 x MR24_BD); pct sobre toneladas</t>
        </is>
      </c>
      <c r="D2052" t="inlineStr">
        <is>
          <t>fase_LOM25_FASES_LE2</t>
        </is>
      </c>
      <c r="E2052" t="inlineStr">
        <is>
          <t>11</t>
        </is>
      </c>
      <c r="F2052" t="inlineStr">
        <is>
          <t>litologia_tentativa</t>
        </is>
      </c>
      <c r="G2052" t="inlineStr">
        <is>
          <t>Hornfels (hipótesis: siglas HG, HGS, HC)</t>
        </is>
      </c>
      <c r="H2052" t="inlineStr"/>
      <c r="I2052" t="inlineStr"/>
      <c r="J2052" t="inlineStr">
        <is>
          <t>suma de filas por código</t>
        </is>
      </c>
      <c r="K2052" t="inlineStr">
        <is>
          <t>Hornfels (hipótesis: siglas HG, HGS, HC)</t>
        </is>
      </c>
      <c r="L2052" t="inlineStr"/>
      <c r="M2052" t="n">
        <v>11260</v>
      </c>
      <c r="N2052" t="n">
        <v>67560000</v>
      </c>
      <c r="O2052" t="n">
        <v>183420186</v>
      </c>
      <c r="P2052" t="inlineStr"/>
      <c r="Q2052" t="n">
        <v>37.599</v>
      </c>
    </row>
    <row r="2053">
      <c r="A2053" t="inlineStr">
        <is>
          <t>MR24</t>
        </is>
      </c>
      <c r="B2053" t="inlineStr">
        <is>
          <t>SIMULACIONES_MR2024_V3</t>
        </is>
      </c>
      <c r="C2053" t="inlineStr">
        <is>
          <t>toneladas (6000 m3 x MR24_BD); pct sobre toneladas</t>
        </is>
      </c>
      <c r="D2053" t="inlineStr">
        <is>
          <t>fase_LOM25_FASES_LE2</t>
        </is>
      </c>
      <c r="E2053" t="inlineStr">
        <is>
          <t>11</t>
        </is>
      </c>
      <c r="F2053" t="inlineStr">
        <is>
          <t>litologia_tentativa</t>
        </is>
      </c>
      <c r="G2053" t="inlineStr">
        <is>
          <t>Intrusivo</t>
        </is>
      </c>
      <c r="H2053" t="inlineStr"/>
      <c r="I2053" t="inlineStr"/>
      <c r="J2053" t="inlineStr">
        <is>
          <t>suma de filas por código</t>
        </is>
      </c>
      <c r="K2053" t="inlineStr">
        <is>
          <t>Intrusivo</t>
        </is>
      </c>
      <c r="L2053" t="inlineStr"/>
      <c r="M2053" t="n">
        <v>5406</v>
      </c>
      <c r="N2053" t="n">
        <v>32436000</v>
      </c>
      <c r="O2053" t="n">
        <v>81609780</v>
      </c>
      <c r="P2053" t="inlineStr"/>
      <c r="Q2053" t="n">
        <v>16.73</v>
      </c>
    </row>
    <row r="2054">
      <c r="A2054" t="inlineStr">
        <is>
          <t>MR24</t>
        </is>
      </c>
      <c r="B2054" t="inlineStr">
        <is>
          <t>SIMULACIONES_MR2024_V3</t>
        </is>
      </c>
      <c r="C2054" t="inlineStr">
        <is>
          <t>toneladas (6000 m3 x MR24_BD); pct sobre toneladas</t>
        </is>
      </c>
      <c r="D2054" t="inlineStr">
        <is>
          <t>fase_LOM25_FASES_LE2</t>
        </is>
      </c>
      <c r="E2054" t="inlineStr">
        <is>
          <t>11</t>
        </is>
      </c>
      <c r="F2054" t="inlineStr">
        <is>
          <t>litologia_tentativa</t>
        </is>
      </c>
      <c r="G2054" t="inlineStr">
        <is>
          <t>Mármol (hipótesis: sigla MDP)</t>
        </is>
      </c>
      <c r="H2054" t="inlineStr"/>
      <c r="I2054" t="inlineStr"/>
      <c r="J2054" t="inlineStr">
        <is>
          <t>suma de filas por código</t>
        </is>
      </c>
      <c r="K2054" t="inlineStr">
        <is>
          <t>Mármol (hipótesis: sigla MDP)</t>
        </is>
      </c>
      <c r="L2054" t="inlineStr"/>
      <c r="M2054" t="n">
        <v>630</v>
      </c>
      <c r="N2054" t="n">
        <v>3780000</v>
      </c>
      <c r="O2054" t="n">
        <v>10705692</v>
      </c>
      <c r="P2054" t="inlineStr"/>
      <c r="Q2054" t="n">
        <v>2.195</v>
      </c>
    </row>
    <row r="2055">
      <c r="A2055" t="inlineStr">
        <is>
          <t>MR24</t>
        </is>
      </c>
      <c r="B2055" t="inlineStr">
        <is>
          <t>SIMULACIONES_MR2024_V3</t>
        </is>
      </c>
      <c r="C2055" t="inlineStr">
        <is>
          <t>toneladas (6000 m3 x MR24_BD); pct sobre toneladas</t>
        </is>
      </c>
      <c r="D2055" t="inlineStr">
        <is>
          <t>fase_LOM25_FASES_LE2</t>
        </is>
      </c>
      <c r="E2055" t="inlineStr">
        <is>
          <t>11</t>
        </is>
      </c>
      <c r="F2055" t="inlineStr">
        <is>
          <t>litologia_tentativa</t>
        </is>
      </c>
      <c r="G2055" t="inlineStr">
        <is>
          <t>Mármol (hipótesis: siglas MC, MG, MGS, MPA, MCGB; 'Marble'~MCGB)</t>
        </is>
      </c>
      <c r="H2055" t="inlineStr"/>
      <c r="I2055" t="inlineStr"/>
      <c r="J2055" t="inlineStr">
        <is>
          <t>suma de filas por código</t>
        </is>
      </c>
      <c r="K2055" t="inlineStr">
        <is>
          <t>Mármol (hipótesis: siglas MC, MG, MGS, MPA, MCGB; 'Marble'~MCGB)</t>
        </is>
      </c>
      <c r="L2055" t="inlineStr"/>
      <c r="M2055" t="n">
        <v>5592</v>
      </c>
      <c r="N2055" t="n">
        <v>33552000</v>
      </c>
      <c r="O2055" t="n">
        <v>92072310</v>
      </c>
      <c r="P2055" t="inlineStr"/>
      <c r="Q2055" t="n">
        <v>18.874</v>
      </c>
    </row>
    <row r="2056">
      <c r="A2056" t="inlineStr">
        <is>
          <t>MR24</t>
        </is>
      </c>
      <c r="B2056" t="inlineStr">
        <is>
          <t>SIMULACIONES_MR2024_V3</t>
        </is>
      </c>
      <c r="C2056" t="inlineStr">
        <is>
          <t>toneladas (6000 m3 x MR24_BD); pct sobre toneladas</t>
        </is>
      </c>
      <c r="D2056" t="inlineStr">
        <is>
          <t>fase_LOM25_FASES_LE2</t>
        </is>
      </c>
      <c r="E2056" t="inlineStr">
        <is>
          <t>11</t>
        </is>
      </c>
      <c r="F2056" t="inlineStr">
        <is>
          <t>litologia_tentativa</t>
        </is>
      </c>
      <c r="G2056" t="inlineStr">
        <is>
          <t>sin hipótesis</t>
        </is>
      </c>
      <c r="H2056" t="inlineStr"/>
      <c r="I2056" t="inlineStr"/>
      <c r="J2056" t="inlineStr">
        <is>
          <t>suma de filas por código</t>
        </is>
      </c>
      <c r="K2056" t="inlineStr">
        <is>
          <t>sin hipótesis</t>
        </is>
      </c>
      <c r="L2056" t="inlineStr"/>
      <c r="M2056" t="n">
        <v>94</v>
      </c>
      <c r="N2056" t="n">
        <v>564000</v>
      </c>
      <c r="O2056" t="n">
        <v>1502418</v>
      </c>
      <c r="P2056" t="inlineStr"/>
      <c r="Q2056" t="n">
        <v>0.308</v>
      </c>
    </row>
    <row r="2057">
      <c r="A2057" t="inlineStr">
        <is>
          <t>MR24</t>
        </is>
      </c>
      <c r="B2057" t="inlineStr">
        <is>
          <t>SIMULACIONES_MR2024_V3</t>
        </is>
      </c>
      <c r="C2057" t="inlineStr">
        <is>
          <t>toneladas (6000 m3 x MR24_BD); pct sobre toneladas</t>
        </is>
      </c>
      <c r="D2057" t="inlineStr">
        <is>
          <t>fase_LOM25_FASES_LE2</t>
        </is>
      </c>
      <c r="E2057" t="inlineStr">
        <is>
          <t>1201</t>
        </is>
      </c>
      <c r="F2057" t="inlineStr">
        <is>
          <t>litologia_tentativa</t>
        </is>
      </c>
      <c r="G2057" t="inlineStr">
        <is>
          <t>Caliza (hipótesis: Sedimentario; RT11~NUMEQ10, siglas C*)</t>
        </is>
      </c>
      <c r="H2057" t="inlineStr"/>
      <c r="I2057" t="inlineStr"/>
      <c r="J2057" t="inlineStr">
        <is>
          <t>suma de filas por código</t>
        </is>
      </c>
      <c r="K2057" t="inlineStr">
        <is>
          <t>Caliza (hipótesis: Sedimentario; RT11~NUMEQ10, siglas C*)</t>
        </is>
      </c>
      <c r="L2057" t="inlineStr"/>
      <c r="M2057" t="n">
        <v>12983</v>
      </c>
      <c r="N2057" t="n">
        <v>77898000</v>
      </c>
      <c r="O2057" t="n">
        <v>211296492</v>
      </c>
      <c r="P2057" t="inlineStr"/>
      <c r="Q2057" t="n">
        <v>34.584</v>
      </c>
    </row>
    <row r="2058">
      <c r="A2058" t="inlineStr">
        <is>
          <t>MR24</t>
        </is>
      </c>
      <c r="B2058" t="inlineStr">
        <is>
          <t>SIMULACIONES_MR2024_V3</t>
        </is>
      </c>
      <c r="C2058" t="inlineStr">
        <is>
          <t>toneladas (6000 m3 x MR24_BD); pct sobre toneladas</t>
        </is>
      </c>
      <c r="D2058" t="inlineStr">
        <is>
          <t>fase_LOM25_FASES_LE2</t>
        </is>
      </c>
      <c r="E2058" t="inlineStr">
        <is>
          <t>1201</t>
        </is>
      </c>
      <c r="F2058" t="inlineStr">
        <is>
          <t>litologia_tentativa</t>
        </is>
      </c>
      <c r="G2058" t="inlineStr">
        <is>
          <t>Caliza (hipótesis: siglas C*)</t>
        </is>
      </c>
      <c r="H2058" t="inlineStr"/>
      <c r="I2058" t="inlineStr"/>
      <c r="J2058" t="inlineStr">
        <is>
          <t>suma de filas por código</t>
        </is>
      </c>
      <c r="K2058" t="inlineStr">
        <is>
          <t>Caliza (hipótesis: siglas C*)</t>
        </is>
      </c>
      <c r="L2058" t="inlineStr"/>
      <c r="M2058" t="n">
        <v>5224</v>
      </c>
      <c r="N2058" t="n">
        <v>31344000</v>
      </c>
      <c r="O2058" t="n">
        <v>84806586</v>
      </c>
      <c r="P2058" t="inlineStr"/>
      <c r="Q2058" t="n">
        <v>13.881</v>
      </c>
    </row>
    <row r="2059">
      <c r="A2059" t="inlineStr">
        <is>
          <t>MR24</t>
        </is>
      </c>
      <c r="B2059" t="inlineStr">
        <is>
          <t>SIMULACIONES_MR2024_V3</t>
        </is>
      </c>
      <c r="C2059" t="inlineStr">
        <is>
          <t>toneladas (6000 m3 x MR24_BD); pct sobre toneladas</t>
        </is>
      </c>
      <c r="D2059" t="inlineStr">
        <is>
          <t>fase_LOM25_FASES_LE2</t>
        </is>
      </c>
      <c r="E2059" t="inlineStr">
        <is>
          <t>1201</t>
        </is>
      </c>
      <c r="F2059" t="inlineStr">
        <is>
          <t>litologia_tentativa</t>
        </is>
      </c>
      <c r="G2059" t="inlineStr">
        <is>
          <t>Hornfels (hipótesis: siglas HBV, HGV, HCB, HDP; 'Diop. Hornfels'~HGV)</t>
        </is>
      </c>
      <c r="H2059" t="inlineStr"/>
      <c r="I2059" t="inlineStr"/>
      <c r="J2059" t="inlineStr">
        <is>
          <t>suma de filas por código</t>
        </is>
      </c>
      <c r="K2059" t="inlineStr">
        <is>
          <t>Hornfels (hipótesis: siglas HBV, HGV, HCB, HDP; 'Diop. Hornfels'~HGV)</t>
        </is>
      </c>
      <c r="L2059" t="inlineStr"/>
      <c r="M2059" t="n">
        <v>492</v>
      </c>
      <c r="N2059" t="n">
        <v>2952000</v>
      </c>
      <c r="O2059" t="n">
        <v>8283594</v>
      </c>
      <c r="P2059" t="inlineStr"/>
      <c r="Q2059" t="n">
        <v>1.356</v>
      </c>
    </row>
    <row r="2060">
      <c r="A2060" t="inlineStr">
        <is>
          <t>MR24</t>
        </is>
      </c>
      <c r="B2060" t="inlineStr">
        <is>
          <t>SIMULACIONES_MR2024_V3</t>
        </is>
      </c>
      <c r="C2060" t="inlineStr">
        <is>
          <t>toneladas (6000 m3 x MR24_BD); pct sobre toneladas</t>
        </is>
      </c>
      <c r="D2060" t="inlineStr">
        <is>
          <t>fase_LOM25_FASES_LE2</t>
        </is>
      </c>
      <c r="E2060" t="inlineStr">
        <is>
          <t>1201</t>
        </is>
      </c>
      <c r="F2060" t="inlineStr">
        <is>
          <t>litologia_tentativa</t>
        </is>
      </c>
      <c r="G2060" t="inlineStr">
        <is>
          <t>Hornfels (hipótesis: siglas HG, HGS, HC)</t>
        </is>
      </c>
      <c r="H2060" t="inlineStr"/>
      <c r="I2060" t="inlineStr"/>
      <c r="J2060" t="inlineStr">
        <is>
          <t>suma de filas por código</t>
        </is>
      </c>
      <c r="K2060" t="inlineStr">
        <is>
          <t>Hornfels (hipótesis: siglas HG, HGS, HC)</t>
        </is>
      </c>
      <c r="L2060" t="inlineStr"/>
      <c r="M2060" t="n">
        <v>4647</v>
      </c>
      <c r="N2060" t="n">
        <v>27882000</v>
      </c>
      <c r="O2060" t="n">
        <v>75524622</v>
      </c>
      <c r="P2060" t="inlineStr"/>
      <c r="Q2060" t="n">
        <v>12.361</v>
      </c>
    </row>
    <row r="2061">
      <c r="A2061" t="inlineStr">
        <is>
          <t>MR24</t>
        </is>
      </c>
      <c r="B2061" t="inlineStr">
        <is>
          <t>SIMULACIONES_MR2024_V3</t>
        </is>
      </c>
      <c r="C2061" t="inlineStr">
        <is>
          <t>toneladas (6000 m3 x MR24_BD); pct sobre toneladas</t>
        </is>
      </c>
      <c r="D2061" t="inlineStr">
        <is>
          <t>fase_LOM25_FASES_LE2</t>
        </is>
      </c>
      <c r="E2061" t="inlineStr">
        <is>
          <t>1201</t>
        </is>
      </c>
      <c r="F2061" t="inlineStr">
        <is>
          <t>litologia_tentativa</t>
        </is>
      </c>
      <c r="G2061" t="inlineStr">
        <is>
          <t>Intrusivo</t>
        </is>
      </c>
      <c r="H2061" t="inlineStr"/>
      <c r="I2061" t="inlineStr"/>
      <c r="J2061" t="inlineStr">
        <is>
          <t>suma de filas por código</t>
        </is>
      </c>
      <c r="K2061" t="inlineStr">
        <is>
          <t>Intrusivo</t>
        </is>
      </c>
      <c r="L2061" t="inlineStr"/>
      <c r="M2061" t="n">
        <v>4279</v>
      </c>
      <c r="N2061" t="n">
        <v>25674000</v>
      </c>
      <c r="O2061" t="n">
        <v>64979508</v>
      </c>
      <c r="P2061" t="inlineStr"/>
      <c r="Q2061" t="n">
        <v>10.635</v>
      </c>
    </row>
    <row r="2062">
      <c r="A2062" t="inlineStr">
        <is>
          <t>MR24</t>
        </is>
      </c>
      <c r="B2062" t="inlineStr">
        <is>
          <t>SIMULACIONES_MR2024_V3</t>
        </is>
      </c>
      <c r="C2062" t="inlineStr">
        <is>
          <t>toneladas (6000 m3 x MR24_BD); pct sobre toneladas</t>
        </is>
      </c>
      <c r="D2062" t="inlineStr">
        <is>
          <t>fase_LOM25_FASES_LE2</t>
        </is>
      </c>
      <c r="E2062" t="inlineStr">
        <is>
          <t>1201</t>
        </is>
      </c>
      <c r="F2062" t="inlineStr">
        <is>
          <t>litologia_tentativa</t>
        </is>
      </c>
      <c r="G2062" t="inlineStr">
        <is>
          <t>Mármol (hipótesis: sigla MDP)</t>
        </is>
      </c>
      <c r="H2062" t="inlineStr"/>
      <c r="I2062" t="inlineStr"/>
      <c r="J2062" t="inlineStr">
        <is>
          <t>suma de filas por código</t>
        </is>
      </c>
      <c r="K2062" t="inlineStr">
        <is>
          <t>Mármol (hipótesis: sigla MDP)</t>
        </is>
      </c>
      <c r="L2062" t="inlineStr"/>
      <c r="M2062" t="n">
        <v>422</v>
      </c>
      <c r="N2062" t="n">
        <v>2532000</v>
      </c>
      <c r="O2062" t="n">
        <v>7132062</v>
      </c>
      <c r="P2062" t="inlineStr"/>
      <c r="Q2062" t="n">
        <v>1.167</v>
      </c>
    </row>
    <row r="2063">
      <c r="A2063" t="inlineStr">
        <is>
          <t>MR24</t>
        </is>
      </c>
      <c r="B2063" t="inlineStr">
        <is>
          <t>SIMULACIONES_MR2024_V3</t>
        </is>
      </c>
      <c r="C2063" t="inlineStr">
        <is>
          <t>toneladas (6000 m3 x MR24_BD); pct sobre toneladas</t>
        </is>
      </c>
      <c r="D2063" t="inlineStr">
        <is>
          <t>fase_LOM25_FASES_LE2</t>
        </is>
      </c>
      <c r="E2063" t="inlineStr">
        <is>
          <t>1201</t>
        </is>
      </c>
      <c r="F2063" t="inlineStr">
        <is>
          <t>litologia_tentativa</t>
        </is>
      </c>
      <c r="G2063" t="inlineStr">
        <is>
          <t>Mármol (hipótesis: siglas MC, MG, MGS, MPA, MCGB; 'Marble'~MCGB)</t>
        </is>
      </c>
      <c r="H2063" t="inlineStr"/>
      <c r="I2063" t="inlineStr"/>
      <c r="J2063" t="inlineStr">
        <is>
          <t>suma de filas por código</t>
        </is>
      </c>
      <c r="K2063" t="inlineStr">
        <is>
          <t>Mármol (hipótesis: siglas MC, MG, MGS, MPA, MCGB; 'Marble'~MCGB)</t>
        </is>
      </c>
      <c r="L2063" t="inlineStr"/>
      <c r="M2063" t="n">
        <v>9737</v>
      </c>
      <c r="N2063" t="n">
        <v>58422000</v>
      </c>
      <c r="O2063" t="n">
        <v>158407692</v>
      </c>
      <c r="P2063" t="inlineStr"/>
      <c r="Q2063" t="n">
        <v>25.927</v>
      </c>
    </row>
    <row r="2064">
      <c r="A2064" t="inlineStr">
        <is>
          <t>MR24</t>
        </is>
      </c>
      <c r="B2064" t="inlineStr">
        <is>
          <t>SIMULACIONES_MR2024_V3</t>
        </is>
      </c>
      <c r="C2064" t="inlineStr">
        <is>
          <t>toneladas (6000 m3 x MR24_BD); pct sobre toneladas</t>
        </is>
      </c>
      <c r="D2064" t="inlineStr">
        <is>
          <t>fase_LOM25_FASES_LE2</t>
        </is>
      </c>
      <c r="E2064" t="inlineStr">
        <is>
          <t>1201</t>
        </is>
      </c>
      <c r="F2064" t="inlineStr">
        <is>
          <t>litologia_tentativa</t>
        </is>
      </c>
      <c r="G2064" t="inlineStr">
        <is>
          <t>sin hipótesis</t>
        </is>
      </c>
      <c r="H2064" t="inlineStr"/>
      <c r="I2064" t="inlineStr"/>
      <c r="J2064" t="inlineStr">
        <is>
          <t>suma de filas por código</t>
        </is>
      </c>
      <c r="K2064" t="inlineStr">
        <is>
          <t>sin hipótesis</t>
        </is>
      </c>
      <c r="L2064" t="inlineStr"/>
      <c r="M2064" t="n">
        <v>34</v>
      </c>
      <c r="N2064" t="n">
        <v>204000</v>
      </c>
      <c r="O2064" t="n">
        <v>541080</v>
      </c>
      <c r="P2064" t="inlineStr"/>
      <c r="Q2064" t="n">
        <v>0.089</v>
      </c>
    </row>
    <row r="2065">
      <c r="A2065" t="inlineStr">
        <is>
          <t>MR24</t>
        </is>
      </c>
      <c r="B2065" t="inlineStr">
        <is>
          <t>SIMULACIONES_MR2024_V3</t>
        </is>
      </c>
      <c r="C2065" t="inlineStr">
        <is>
          <t>toneladas (6000 m3 x MR24_BD); pct sobre toneladas</t>
        </is>
      </c>
      <c r="D2065" t="inlineStr">
        <is>
          <t>fase_LOM25_FASES_LE2</t>
        </is>
      </c>
      <c r="E2065" t="inlineStr">
        <is>
          <t>1202</t>
        </is>
      </c>
      <c r="F2065" t="inlineStr">
        <is>
          <t>litologia_tentativa</t>
        </is>
      </c>
      <c r="G2065" t="inlineStr">
        <is>
          <t>Caliza (hipótesis: Sedimentario; RT11~NUMEQ10, siglas C*)</t>
        </is>
      </c>
      <c r="H2065" t="inlineStr"/>
      <c r="I2065" t="inlineStr"/>
      <c r="J2065" t="inlineStr">
        <is>
          <t>suma de filas por código</t>
        </is>
      </c>
      <c r="K2065" t="inlineStr">
        <is>
          <t>Caliza (hipótesis: Sedimentario; RT11~NUMEQ10, siglas C*)</t>
        </is>
      </c>
      <c r="L2065" t="inlineStr"/>
      <c r="M2065" t="n">
        <v>2638</v>
      </c>
      <c r="N2065" t="n">
        <v>15828000</v>
      </c>
      <c r="O2065" t="n">
        <v>42808500</v>
      </c>
      <c r="P2065" t="inlineStr"/>
      <c r="Q2065" t="n">
        <v>4.395</v>
      </c>
    </row>
    <row r="2066">
      <c r="A2066" t="inlineStr">
        <is>
          <t>MR24</t>
        </is>
      </c>
      <c r="B2066" t="inlineStr">
        <is>
          <t>SIMULACIONES_MR2024_V3</t>
        </is>
      </c>
      <c r="C2066" t="inlineStr">
        <is>
          <t>toneladas (6000 m3 x MR24_BD); pct sobre toneladas</t>
        </is>
      </c>
      <c r="D2066" t="inlineStr">
        <is>
          <t>fase_LOM25_FASES_LE2</t>
        </is>
      </c>
      <c r="E2066" t="inlineStr">
        <is>
          <t>1202</t>
        </is>
      </c>
      <c r="F2066" t="inlineStr">
        <is>
          <t>litologia_tentativa</t>
        </is>
      </c>
      <c r="G2066" t="inlineStr">
        <is>
          <t>Caliza (hipótesis: siglas C*)</t>
        </is>
      </c>
      <c r="H2066" t="inlineStr"/>
      <c r="I2066" t="inlineStr"/>
      <c r="J2066" t="inlineStr">
        <is>
          <t>suma de filas por código</t>
        </is>
      </c>
      <c r="K2066" t="inlineStr">
        <is>
          <t>Caliza (hipótesis: siglas C*)</t>
        </is>
      </c>
      <c r="L2066" t="inlineStr"/>
      <c r="M2066" t="n">
        <v>4602</v>
      </c>
      <c r="N2066" t="n">
        <v>27612000</v>
      </c>
      <c r="O2066" t="n">
        <v>74812374</v>
      </c>
      <c r="P2066" t="inlineStr"/>
      <c r="Q2066" t="n">
        <v>7.681</v>
      </c>
    </row>
    <row r="2067">
      <c r="A2067" t="inlineStr">
        <is>
          <t>MR24</t>
        </is>
      </c>
      <c r="B2067" t="inlineStr">
        <is>
          <t>SIMULACIONES_MR2024_V3</t>
        </is>
      </c>
      <c r="C2067" t="inlineStr">
        <is>
          <t>toneladas (6000 m3 x MR24_BD); pct sobre toneladas</t>
        </is>
      </c>
      <c r="D2067" t="inlineStr">
        <is>
          <t>fase_LOM25_FASES_LE2</t>
        </is>
      </c>
      <c r="E2067" t="inlineStr">
        <is>
          <t>1202</t>
        </is>
      </c>
      <c r="F2067" t="inlineStr">
        <is>
          <t>litologia_tentativa</t>
        </is>
      </c>
      <c r="G2067" t="inlineStr">
        <is>
          <t>Hornfels (hipótesis: siglas HBV, HGV, HCB, HDP; 'Diop. Hornfels'~HGV)</t>
        </is>
      </c>
      <c r="H2067" t="inlineStr"/>
      <c r="I2067" t="inlineStr"/>
      <c r="J2067" t="inlineStr">
        <is>
          <t>suma de filas por código</t>
        </is>
      </c>
      <c r="K2067" t="inlineStr">
        <is>
          <t>Hornfels (hipótesis: siglas HBV, HGV, HCB, HDP; 'Diop. Hornfels'~HGV)</t>
        </is>
      </c>
      <c r="L2067" t="inlineStr"/>
      <c r="M2067" t="n">
        <v>4056</v>
      </c>
      <c r="N2067" t="n">
        <v>24336000</v>
      </c>
      <c r="O2067" t="n">
        <v>70252698</v>
      </c>
      <c r="P2067" t="inlineStr"/>
      <c r="Q2067" t="n">
        <v>7.213</v>
      </c>
    </row>
    <row r="2068">
      <c r="A2068" t="inlineStr">
        <is>
          <t>MR24</t>
        </is>
      </c>
      <c r="B2068" t="inlineStr">
        <is>
          <t>SIMULACIONES_MR2024_V3</t>
        </is>
      </c>
      <c r="C2068" t="inlineStr">
        <is>
          <t>toneladas (6000 m3 x MR24_BD); pct sobre toneladas</t>
        </is>
      </c>
      <c r="D2068" t="inlineStr">
        <is>
          <t>fase_LOM25_FASES_LE2</t>
        </is>
      </c>
      <c r="E2068" t="inlineStr">
        <is>
          <t>1202</t>
        </is>
      </c>
      <c r="F2068" t="inlineStr">
        <is>
          <t>litologia_tentativa</t>
        </is>
      </c>
      <c r="G2068" t="inlineStr">
        <is>
          <t>Hornfels (hipótesis: siglas HG, HGS, HC)</t>
        </is>
      </c>
      <c r="H2068" t="inlineStr"/>
      <c r="I2068" t="inlineStr"/>
      <c r="J2068" t="inlineStr">
        <is>
          <t>suma de filas por código</t>
        </is>
      </c>
      <c r="K2068" t="inlineStr">
        <is>
          <t>Hornfels (hipótesis: siglas HG, HGS, HC)</t>
        </is>
      </c>
      <c r="L2068" t="inlineStr"/>
      <c r="M2068" t="n">
        <v>5901</v>
      </c>
      <c r="N2068" t="n">
        <v>35406000</v>
      </c>
      <c r="O2068" t="n">
        <v>95860224</v>
      </c>
      <c r="P2068" t="inlineStr"/>
      <c r="Q2068" t="n">
        <v>9.842000000000001</v>
      </c>
    </row>
    <row r="2069">
      <c r="A2069" t="inlineStr">
        <is>
          <t>MR24</t>
        </is>
      </c>
      <c r="B2069" t="inlineStr">
        <is>
          <t>SIMULACIONES_MR2024_V3</t>
        </is>
      </c>
      <c r="C2069" t="inlineStr">
        <is>
          <t>toneladas (6000 m3 x MR24_BD); pct sobre toneladas</t>
        </is>
      </c>
      <c r="D2069" t="inlineStr">
        <is>
          <t>fase_LOM25_FASES_LE2</t>
        </is>
      </c>
      <c r="E2069" t="inlineStr">
        <is>
          <t>1202</t>
        </is>
      </c>
      <c r="F2069" t="inlineStr">
        <is>
          <t>litologia_tentativa</t>
        </is>
      </c>
      <c r="G2069" t="inlineStr">
        <is>
          <t>Intrusivo</t>
        </is>
      </c>
      <c r="H2069" t="inlineStr"/>
      <c r="I2069" t="inlineStr"/>
      <c r="J2069" t="inlineStr">
        <is>
          <t>suma de filas por código</t>
        </is>
      </c>
      <c r="K2069" t="inlineStr">
        <is>
          <t>Intrusivo</t>
        </is>
      </c>
      <c r="L2069" t="inlineStr"/>
      <c r="M2069" t="n">
        <v>8219</v>
      </c>
      <c r="N2069" t="n">
        <v>49314000</v>
      </c>
      <c r="O2069" t="n">
        <v>121056186</v>
      </c>
      <c r="P2069" t="inlineStr"/>
      <c r="Q2069" t="n">
        <v>12.429</v>
      </c>
    </row>
    <row r="2070">
      <c r="A2070" t="inlineStr">
        <is>
          <t>MR24</t>
        </is>
      </c>
      <c r="B2070" t="inlineStr">
        <is>
          <t>SIMULACIONES_MR2024_V3</t>
        </is>
      </c>
      <c r="C2070" t="inlineStr">
        <is>
          <t>toneladas (6000 m3 x MR24_BD); pct sobre toneladas</t>
        </is>
      </c>
      <c r="D2070" t="inlineStr">
        <is>
          <t>fase_LOM25_FASES_LE2</t>
        </is>
      </c>
      <c r="E2070" t="inlineStr">
        <is>
          <t>1202</t>
        </is>
      </c>
      <c r="F2070" t="inlineStr">
        <is>
          <t>litologia_tentativa</t>
        </is>
      </c>
      <c r="G2070" t="inlineStr">
        <is>
          <t>Mármol (hipótesis: sigla MDP)</t>
        </is>
      </c>
      <c r="H2070" t="inlineStr"/>
      <c r="I2070" t="inlineStr"/>
      <c r="J2070" t="inlineStr">
        <is>
          <t>suma de filas por código</t>
        </is>
      </c>
      <c r="K2070" t="inlineStr">
        <is>
          <t>Mármol (hipótesis: sigla MDP)</t>
        </is>
      </c>
      <c r="L2070" t="inlineStr"/>
      <c r="M2070" t="n">
        <v>3262</v>
      </c>
      <c r="N2070" t="n">
        <v>19572000</v>
      </c>
      <c r="O2070" t="n">
        <v>56141232</v>
      </c>
      <c r="P2070" t="inlineStr"/>
      <c r="Q2070" t="n">
        <v>5.764</v>
      </c>
    </row>
    <row r="2071">
      <c r="A2071" t="inlineStr">
        <is>
          <t>MR24</t>
        </is>
      </c>
      <c r="B2071" t="inlineStr">
        <is>
          <t>SIMULACIONES_MR2024_V3</t>
        </is>
      </c>
      <c r="C2071" t="inlineStr">
        <is>
          <t>toneladas (6000 m3 x MR24_BD); pct sobre toneladas</t>
        </is>
      </c>
      <c r="D2071" t="inlineStr">
        <is>
          <t>fase_LOM25_FASES_LE2</t>
        </is>
      </c>
      <c r="E2071" t="inlineStr">
        <is>
          <t>1202</t>
        </is>
      </c>
      <c r="F2071" t="inlineStr">
        <is>
          <t>litologia_tentativa</t>
        </is>
      </c>
      <c r="G2071" t="inlineStr">
        <is>
          <t>Mármol (hipótesis: siglas MC, MG, MGS, MPA, MCGB; 'Marble'~MCGB)</t>
        </is>
      </c>
      <c r="H2071" t="inlineStr"/>
      <c r="I2071" t="inlineStr"/>
      <c r="J2071" t="inlineStr">
        <is>
          <t>suma de filas por código</t>
        </is>
      </c>
      <c r="K2071" t="inlineStr">
        <is>
          <t>Mármol (hipótesis: siglas MC, MG, MGS, MPA, MCGB; 'Marble'~MCGB)</t>
        </is>
      </c>
      <c r="L2071" t="inlineStr"/>
      <c r="M2071" t="n">
        <v>31597</v>
      </c>
      <c r="N2071" t="n">
        <v>189582000</v>
      </c>
      <c r="O2071" t="n">
        <v>512949420</v>
      </c>
      <c r="P2071" t="inlineStr"/>
      <c r="Q2071" t="n">
        <v>52.663</v>
      </c>
    </row>
    <row r="2072">
      <c r="A2072" t="inlineStr">
        <is>
          <t>MR24</t>
        </is>
      </c>
      <c r="B2072" t="inlineStr">
        <is>
          <t>SIMULACIONES_MR2024_V3</t>
        </is>
      </c>
      <c r="C2072" t="inlineStr">
        <is>
          <t>toneladas (6000 m3 x MR24_BD); pct sobre toneladas</t>
        </is>
      </c>
      <c r="D2072" t="inlineStr">
        <is>
          <t>fase_LOM25_FASES_LE2</t>
        </is>
      </c>
      <c r="E2072" t="inlineStr">
        <is>
          <t>1202</t>
        </is>
      </c>
      <c r="F2072" t="inlineStr">
        <is>
          <t>litologia_tentativa</t>
        </is>
      </c>
      <c r="G2072" t="inlineStr">
        <is>
          <t>sin hipótesis</t>
        </is>
      </c>
      <c r="H2072" t="inlineStr"/>
      <c r="I2072" t="inlineStr"/>
      <c r="J2072" t="inlineStr">
        <is>
          <t>suma de filas por código</t>
        </is>
      </c>
      <c r="K2072" t="inlineStr">
        <is>
          <t>sin hipótesis</t>
        </is>
      </c>
      <c r="L2072" t="inlineStr"/>
      <c r="M2072" t="n">
        <v>8</v>
      </c>
      <c r="N2072" t="n">
        <v>48000</v>
      </c>
      <c r="O2072" t="n">
        <v>134016</v>
      </c>
      <c r="P2072" t="inlineStr"/>
      <c r="Q2072" t="n">
        <v>0.014</v>
      </c>
    </row>
    <row r="2073">
      <c r="A2073" t="inlineStr">
        <is>
          <t>MR24</t>
        </is>
      </c>
      <c r="B2073" t="inlineStr">
        <is>
          <t>SIMULACIONES_MR2024_V3</t>
        </is>
      </c>
      <c r="C2073" t="inlineStr">
        <is>
          <t>toneladas (6000 m3 x MR24_BD); pct sobre toneladas</t>
        </is>
      </c>
      <c r="D2073" t="inlineStr">
        <is>
          <t>fase_LOM25_FASES_LE2</t>
        </is>
      </c>
      <c r="E2073" t="inlineStr">
        <is>
          <t>13</t>
        </is>
      </c>
      <c r="F2073" t="inlineStr">
        <is>
          <t>litologia_tentativa</t>
        </is>
      </c>
      <c r="G2073" t="inlineStr">
        <is>
          <t>Caliza (hipótesis: Sedimentario; RT11~NUMEQ10, siglas C*)</t>
        </is>
      </c>
      <c r="H2073" t="inlineStr"/>
      <c r="I2073" t="inlineStr"/>
      <c r="J2073" t="inlineStr">
        <is>
          <t>suma de filas por código</t>
        </is>
      </c>
      <c r="K2073" t="inlineStr">
        <is>
          <t>Caliza (hipótesis: Sedimentario; RT11~NUMEQ10, siglas C*)</t>
        </is>
      </c>
      <c r="L2073" t="inlineStr"/>
      <c r="M2073" t="n">
        <v>23965</v>
      </c>
      <c r="N2073" t="n">
        <v>143790000</v>
      </c>
      <c r="O2073" t="n">
        <v>390302352</v>
      </c>
      <c r="P2073" t="inlineStr"/>
      <c r="Q2073" t="n">
        <v>36.7</v>
      </c>
    </row>
    <row r="2074">
      <c r="A2074" t="inlineStr">
        <is>
          <t>MR24</t>
        </is>
      </c>
      <c r="B2074" t="inlineStr">
        <is>
          <t>SIMULACIONES_MR2024_V3</t>
        </is>
      </c>
      <c r="C2074" t="inlineStr">
        <is>
          <t>toneladas (6000 m3 x MR24_BD); pct sobre toneladas</t>
        </is>
      </c>
      <c r="D2074" t="inlineStr">
        <is>
          <t>fase_LOM25_FASES_LE2</t>
        </is>
      </c>
      <c r="E2074" t="inlineStr">
        <is>
          <t>13</t>
        </is>
      </c>
      <c r="F2074" t="inlineStr">
        <is>
          <t>litologia_tentativa</t>
        </is>
      </c>
      <c r="G2074" t="inlineStr">
        <is>
          <t>Caliza (hipótesis: siglas C*)</t>
        </is>
      </c>
      <c r="H2074" t="inlineStr"/>
      <c r="I2074" t="inlineStr"/>
      <c r="J2074" t="inlineStr">
        <is>
          <t>suma de filas por código</t>
        </is>
      </c>
      <c r="K2074" t="inlineStr">
        <is>
          <t>Caliza (hipótesis: siglas C*)</t>
        </is>
      </c>
      <c r="L2074" t="inlineStr"/>
      <c r="M2074" t="n">
        <v>2524</v>
      </c>
      <c r="N2074" t="n">
        <v>15144000</v>
      </c>
      <c r="O2074" t="n">
        <v>41093634</v>
      </c>
      <c r="P2074" t="inlineStr"/>
      <c r="Q2074" t="n">
        <v>3.864</v>
      </c>
    </row>
    <row r="2075">
      <c r="A2075" t="inlineStr">
        <is>
          <t>MR24</t>
        </is>
      </c>
      <c r="B2075" t="inlineStr">
        <is>
          <t>SIMULACIONES_MR2024_V3</t>
        </is>
      </c>
      <c r="C2075" t="inlineStr">
        <is>
          <t>toneladas (6000 m3 x MR24_BD); pct sobre toneladas</t>
        </is>
      </c>
      <c r="D2075" t="inlineStr">
        <is>
          <t>fase_LOM25_FASES_LE2</t>
        </is>
      </c>
      <c r="E2075" t="inlineStr">
        <is>
          <t>13</t>
        </is>
      </c>
      <c r="F2075" t="inlineStr">
        <is>
          <t>litologia_tentativa</t>
        </is>
      </c>
      <c r="G2075" t="inlineStr">
        <is>
          <t>Hornfels (hipótesis: siglas HBV, HGV, HCB, HDP; 'Diop. Hornfels'~HGV)</t>
        </is>
      </c>
      <c r="H2075" t="inlineStr"/>
      <c r="I2075" t="inlineStr"/>
      <c r="J2075" t="inlineStr">
        <is>
          <t>suma de filas por código</t>
        </is>
      </c>
      <c r="K2075" t="inlineStr">
        <is>
          <t>Hornfels (hipótesis: siglas HBV, HGV, HCB, HDP; 'Diop. Hornfels'~HGV)</t>
        </is>
      </c>
      <c r="L2075" t="inlineStr"/>
      <c r="M2075" t="n">
        <v>894</v>
      </c>
      <c r="N2075" t="n">
        <v>5364000</v>
      </c>
      <c r="O2075" t="n">
        <v>14799924</v>
      </c>
      <c r="P2075" t="inlineStr"/>
      <c r="Q2075" t="n">
        <v>1.392</v>
      </c>
    </row>
    <row r="2076">
      <c r="A2076" t="inlineStr">
        <is>
          <t>MR24</t>
        </is>
      </c>
      <c r="B2076" t="inlineStr">
        <is>
          <t>SIMULACIONES_MR2024_V3</t>
        </is>
      </c>
      <c r="C2076" t="inlineStr">
        <is>
          <t>toneladas (6000 m3 x MR24_BD); pct sobre toneladas</t>
        </is>
      </c>
      <c r="D2076" t="inlineStr">
        <is>
          <t>fase_LOM25_FASES_LE2</t>
        </is>
      </c>
      <c r="E2076" t="inlineStr">
        <is>
          <t>13</t>
        </is>
      </c>
      <c r="F2076" t="inlineStr">
        <is>
          <t>litologia_tentativa</t>
        </is>
      </c>
      <c r="G2076" t="inlineStr">
        <is>
          <t>Hornfels (hipótesis: siglas HG, HGS, HC)</t>
        </is>
      </c>
      <c r="H2076" t="inlineStr"/>
      <c r="I2076" t="inlineStr"/>
      <c r="J2076" t="inlineStr">
        <is>
          <t>suma de filas por código</t>
        </is>
      </c>
      <c r="K2076" t="inlineStr">
        <is>
          <t>Hornfels (hipótesis: siglas HG, HGS, HC)</t>
        </is>
      </c>
      <c r="L2076" t="inlineStr"/>
      <c r="M2076" t="n">
        <v>16646</v>
      </c>
      <c r="N2076" t="n">
        <v>99876000</v>
      </c>
      <c r="O2076" t="n">
        <v>269473248</v>
      </c>
      <c r="P2076" t="inlineStr"/>
      <c r="Q2076" t="n">
        <v>25.338</v>
      </c>
    </row>
    <row r="2077">
      <c r="A2077" t="inlineStr">
        <is>
          <t>MR24</t>
        </is>
      </c>
      <c r="B2077" t="inlineStr">
        <is>
          <t>SIMULACIONES_MR2024_V3</t>
        </is>
      </c>
      <c r="C2077" t="inlineStr">
        <is>
          <t>toneladas (6000 m3 x MR24_BD); pct sobre toneladas</t>
        </is>
      </c>
      <c r="D2077" t="inlineStr">
        <is>
          <t>fase_LOM25_FASES_LE2</t>
        </is>
      </c>
      <c r="E2077" t="inlineStr">
        <is>
          <t>13</t>
        </is>
      </c>
      <c r="F2077" t="inlineStr">
        <is>
          <t>litologia_tentativa</t>
        </is>
      </c>
      <c r="G2077" t="inlineStr">
        <is>
          <t>Intrusivo</t>
        </is>
      </c>
      <c r="H2077" t="inlineStr"/>
      <c r="I2077" t="inlineStr"/>
      <c r="J2077" t="inlineStr">
        <is>
          <t>suma de filas por código</t>
        </is>
      </c>
      <c r="K2077" t="inlineStr">
        <is>
          <t>Intrusivo</t>
        </is>
      </c>
      <c r="L2077" t="inlineStr"/>
      <c r="M2077" t="n">
        <v>9453</v>
      </c>
      <c r="N2077" t="n">
        <v>56718000</v>
      </c>
      <c r="O2077" t="n">
        <v>141136500</v>
      </c>
      <c r="P2077" t="inlineStr"/>
      <c r="Q2077" t="n">
        <v>13.271</v>
      </c>
    </row>
    <row r="2078">
      <c r="A2078" t="inlineStr">
        <is>
          <t>MR24</t>
        </is>
      </c>
      <c r="B2078" t="inlineStr">
        <is>
          <t>SIMULACIONES_MR2024_V3</t>
        </is>
      </c>
      <c r="C2078" t="inlineStr">
        <is>
          <t>toneladas (6000 m3 x MR24_BD); pct sobre toneladas</t>
        </is>
      </c>
      <c r="D2078" t="inlineStr">
        <is>
          <t>fase_LOM25_FASES_LE2</t>
        </is>
      </c>
      <c r="E2078" t="inlineStr">
        <is>
          <t>13</t>
        </is>
      </c>
      <c r="F2078" t="inlineStr">
        <is>
          <t>litologia_tentativa</t>
        </is>
      </c>
      <c r="G2078" t="inlineStr">
        <is>
          <t>Mármol (hipótesis: sigla MDP)</t>
        </is>
      </c>
      <c r="H2078" t="inlineStr"/>
      <c r="I2078" t="inlineStr"/>
      <c r="J2078" t="inlineStr">
        <is>
          <t>suma de filas por código</t>
        </is>
      </c>
      <c r="K2078" t="inlineStr">
        <is>
          <t>Mármol (hipótesis: sigla MDP)</t>
        </is>
      </c>
      <c r="L2078" t="inlineStr"/>
      <c r="M2078" t="n">
        <v>523</v>
      </c>
      <c r="N2078" t="n">
        <v>3138000</v>
      </c>
      <c r="O2078" t="n">
        <v>8717034</v>
      </c>
      <c r="P2078" t="inlineStr"/>
      <c r="Q2078" t="n">
        <v>0.82</v>
      </c>
    </row>
    <row r="2079">
      <c r="A2079" t="inlineStr">
        <is>
          <t>MR24</t>
        </is>
      </c>
      <c r="B2079" t="inlineStr">
        <is>
          <t>SIMULACIONES_MR2024_V3</t>
        </is>
      </c>
      <c r="C2079" t="inlineStr">
        <is>
          <t>toneladas (6000 m3 x MR24_BD); pct sobre toneladas</t>
        </is>
      </c>
      <c r="D2079" t="inlineStr">
        <is>
          <t>fase_LOM25_FASES_LE2</t>
        </is>
      </c>
      <c r="E2079" t="inlineStr">
        <is>
          <t>13</t>
        </is>
      </c>
      <c r="F2079" t="inlineStr">
        <is>
          <t>litologia_tentativa</t>
        </is>
      </c>
      <c r="G2079" t="inlineStr">
        <is>
          <t>Mármol (hipótesis: siglas MC, MG, MGS, MPA, MCGB; 'Marble'~MCGB)</t>
        </is>
      </c>
      <c r="H2079" t="inlineStr"/>
      <c r="I2079" t="inlineStr"/>
      <c r="J2079" t="inlineStr">
        <is>
          <t>suma de filas por código</t>
        </is>
      </c>
      <c r="K2079" t="inlineStr">
        <is>
          <t>Mármol (hipótesis: siglas MC, MG, MGS, MPA, MCGB; 'Marble'~MCGB)</t>
        </is>
      </c>
      <c r="L2079" t="inlineStr"/>
      <c r="M2079" t="n">
        <v>12105</v>
      </c>
      <c r="N2079" t="n">
        <v>72630000</v>
      </c>
      <c r="O2079" t="n">
        <v>197763492</v>
      </c>
      <c r="P2079" t="inlineStr"/>
      <c r="Q2079" t="n">
        <v>18.595</v>
      </c>
    </row>
    <row r="2080">
      <c r="A2080" t="inlineStr">
        <is>
          <t>MR24</t>
        </is>
      </c>
      <c r="B2080" t="inlineStr">
        <is>
          <t>SIMULACIONES_MR2024_V3</t>
        </is>
      </c>
      <c r="C2080" t="inlineStr">
        <is>
          <t>toneladas (6000 m3 x MR24_BD); pct sobre toneladas</t>
        </is>
      </c>
      <c r="D2080" t="inlineStr">
        <is>
          <t>fase_LOM25_FASES_LE2</t>
        </is>
      </c>
      <c r="E2080" t="inlineStr">
        <is>
          <t>13</t>
        </is>
      </c>
      <c r="F2080" t="inlineStr">
        <is>
          <t>litologia_tentativa</t>
        </is>
      </c>
      <c r="G2080" t="inlineStr">
        <is>
          <t>sin hipótesis</t>
        </is>
      </c>
      <c r="H2080" t="inlineStr"/>
      <c r="I2080" t="inlineStr"/>
      <c r="J2080" t="inlineStr">
        <is>
          <t>suma de filas por código</t>
        </is>
      </c>
      <c r="K2080" t="inlineStr">
        <is>
          <t>sin hipótesis</t>
        </is>
      </c>
      <c r="L2080" t="inlineStr"/>
      <c r="M2080" t="n">
        <v>13</v>
      </c>
      <c r="N2080" t="n">
        <v>78000</v>
      </c>
      <c r="O2080" t="n">
        <v>217392</v>
      </c>
      <c r="P2080" t="inlineStr"/>
      <c r="Q2080" t="n">
        <v>0.02</v>
      </c>
    </row>
    <row r="2081">
      <c r="A2081" t="inlineStr">
        <is>
          <t>MR24</t>
        </is>
      </c>
      <c r="B2081" t="inlineStr">
        <is>
          <t>SIMULACIONES_MR2024_V3</t>
        </is>
      </c>
      <c r="C2081" t="inlineStr">
        <is>
          <t>toneladas (6000 m3 x MR24_BD); pct sobre toneladas</t>
        </is>
      </c>
      <c r="D2081" t="inlineStr">
        <is>
          <t>fase_LOM25_FASES_LE2</t>
        </is>
      </c>
      <c r="E2081" t="inlineStr">
        <is>
          <t>14</t>
        </is>
      </c>
      <c r="F2081" t="inlineStr">
        <is>
          <t>litologia_tentativa</t>
        </is>
      </c>
      <c r="G2081" t="inlineStr">
        <is>
          <t>Caliza (hipótesis: Sedimentario; RT11~NUMEQ10, siglas C*)</t>
        </is>
      </c>
      <c r="H2081" t="inlineStr"/>
      <c r="I2081" t="inlineStr"/>
      <c r="J2081" t="inlineStr">
        <is>
          <t>suma de filas por código</t>
        </is>
      </c>
      <c r="K2081" t="inlineStr">
        <is>
          <t>Caliza (hipótesis: Sedimentario; RT11~NUMEQ10, siglas C*)</t>
        </is>
      </c>
      <c r="L2081" t="inlineStr"/>
      <c r="M2081" t="n">
        <v>9335</v>
      </c>
      <c r="N2081" t="n">
        <v>56010000</v>
      </c>
      <c r="O2081" t="n">
        <v>151350048</v>
      </c>
      <c r="P2081" t="inlineStr"/>
      <c r="Q2081" t="n">
        <v>20.939</v>
      </c>
    </row>
    <row r="2082">
      <c r="A2082" t="inlineStr">
        <is>
          <t>MR24</t>
        </is>
      </c>
      <c r="B2082" t="inlineStr">
        <is>
          <t>SIMULACIONES_MR2024_V3</t>
        </is>
      </c>
      <c r="C2082" t="inlineStr">
        <is>
          <t>toneladas (6000 m3 x MR24_BD); pct sobre toneladas</t>
        </is>
      </c>
      <c r="D2082" t="inlineStr">
        <is>
          <t>fase_LOM25_FASES_LE2</t>
        </is>
      </c>
      <c r="E2082" t="inlineStr">
        <is>
          <t>14</t>
        </is>
      </c>
      <c r="F2082" t="inlineStr">
        <is>
          <t>litologia_tentativa</t>
        </is>
      </c>
      <c r="G2082" t="inlineStr">
        <is>
          <t>Caliza (hipótesis: siglas C*)</t>
        </is>
      </c>
      <c r="H2082" t="inlineStr"/>
      <c r="I2082" t="inlineStr"/>
      <c r="J2082" t="inlineStr">
        <is>
          <t>suma de filas por código</t>
        </is>
      </c>
      <c r="K2082" t="inlineStr">
        <is>
          <t>Caliza (hipótesis: siglas C*)</t>
        </is>
      </c>
      <c r="L2082" t="inlineStr"/>
      <c r="M2082" t="n">
        <v>7450</v>
      </c>
      <c r="N2082" t="n">
        <v>44700000</v>
      </c>
      <c r="O2082" t="n">
        <v>121170768</v>
      </c>
      <c r="P2082" t="inlineStr"/>
      <c r="Q2082" t="n">
        <v>16.764</v>
      </c>
    </row>
    <row r="2083">
      <c r="A2083" t="inlineStr">
        <is>
          <t>MR24</t>
        </is>
      </c>
      <c r="B2083" t="inlineStr">
        <is>
          <t>SIMULACIONES_MR2024_V3</t>
        </is>
      </c>
      <c r="C2083" t="inlineStr">
        <is>
          <t>toneladas (6000 m3 x MR24_BD); pct sobre toneladas</t>
        </is>
      </c>
      <c r="D2083" t="inlineStr">
        <is>
          <t>fase_LOM25_FASES_LE2</t>
        </is>
      </c>
      <c r="E2083" t="inlineStr">
        <is>
          <t>14</t>
        </is>
      </c>
      <c r="F2083" t="inlineStr">
        <is>
          <t>litologia_tentativa</t>
        </is>
      </c>
      <c r="G2083" t="inlineStr">
        <is>
          <t>Hornfels (hipótesis: siglas HBV, HGV, HCB, HDP; 'Diop. Hornfels'~HGV)</t>
        </is>
      </c>
      <c r="H2083" t="inlineStr"/>
      <c r="I2083" t="inlineStr"/>
      <c r="J2083" t="inlineStr">
        <is>
          <t>suma de filas por código</t>
        </is>
      </c>
      <c r="K2083" t="inlineStr">
        <is>
          <t>Hornfels (hipótesis: siglas HBV, HGV, HCB, HDP; 'Diop. Hornfels'~HGV)</t>
        </is>
      </c>
      <c r="L2083" t="inlineStr"/>
      <c r="M2083" t="n">
        <v>914</v>
      </c>
      <c r="N2083" t="n">
        <v>5484000</v>
      </c>
      <c r="O2083" t="n">
        <v>15811248</v>
      </c>
      <c r="P2083" t="inlineStr"/>
      <c r="Q2083" t="n">
        <v>2.187</v>
      </c>
    </row>
    <row r="2084">
      <c r="A2084" t="inlineStr">
        <is>
          <t>MR24</t>
        </is>
      </c>
      <c r="B2084" t="inlineStr">
        <is>
          <t>SIMULACIONES_MR2024_V3</t>
        </is>
      </c>
      <c r="C2084" t="inlineStr">
        <is>
          <t>toneladas (6000 m3 x MR24_BD); pct sobre toneladas</t>
        </is>
      </c>
      <c r="D2084" t="inlineStr">
        <is>
          <t>fase_LOM25_FASES_LE2</t>
        </is>
      </c>
      <c r="E2084" t="inlineStr">
        <is>
          <t>14</t>
        </is>
      </c>
      <c r="F2084" t="inlineStr">
        <is>
          <t>litologia_tentativa</t>
        </is>
      </c>
      <c r="G2084" t="inlineStr">
        <is>
          <t>Hornfels (hipótesis: siglas HG, HGS, HC)</t>
        </is>
      </c>
      <c r="H2084" t="inlineStr"/>
      <c r="I2084" t="inlineStr"/>
      <c r="J2084" t="inlineStr">
        <is>
          <t>suma de filas por código</t>
        </is>
      </c>
      <c r="K2084" t="inlineStr">
        <is>
          <t>Hornfels (hipótesis: siglas HG, HGS, HC)</t>
        </is>
      </c>
      <c r="L2084" t="inlineStr"/>
      <c r="M2084" t="n">
        <v>4954</v>
      </c>
      <c r="N2084" t="n">
        <v>29724000</v>
      </c>
      <c r="O2084" t="n">
        <v>80508888</v>
      </c>
      <c r="P2084" t="inlineStr"/>
      <c r="Q2084" t="n">
        <v>11.138</v>
      </c>
    </row>
    <row r="2085">
      <c r="A2085" t="inlineStr">
        <is>
          <t>MR24</t>
        </is>
      </c>
      <c r="B2085" t="inlineStr">
        <is>
          <t>SIMULACIONES_MR2024_V3</t>
        </is>
      </c>
      <c r="C2085" t="inlineStr">
        <is>
          <t>toneladas (6000 m3 x MR24_BD); pct sobre toneladas</t>
        </is>
      </c>
      <c r="D2085" t="inlineStr">
        <is>
          <t>fase_LOM25_FASES_LE2</t>
        </is>
      </c>
      <c r="E2085" t="inlineStr">
        <is>
          <t>14</t>
        </is>
      </c>
      <c r="F2085" t="inlineStr">
        <is>
          <t>litologia_tentativa</t>
        </is>
      </c>
      <c r="G2085" t="inlineStr">
        <is>
          <t>Intrusivo</t>
        </is>
      </c>
      <c r="H2085" t="inlineStr"/>
      <c r="I2085" t="inlineStr"/>
      <c r="J2085" t="inlineStr">
        <is>
          <t>suma de filas por código</t>
        </is>
      </c>
      <c r="K2085" t="inlineStr">
        <is>
          <t>Intrusivo</t>
        </is>
      </c>
      <c r="L2085" t="inlineStr"/>
      <c r="M2085" t="n">
        <v>5483</v>
      </c>
      <c r="N2085" t="n">
        <v>32898000</v>
      </c>
      <c r="O2085" t="n">
        <v>81515568</v>
      </c>
      <c r="P2085" t="inlineStr"/>
      <c r="Q2085" t="n">
        <v>11.278</v>
      </c>
    </row>
    <row r="2086">
      <c r="A2086" t="inlineStr">
        <is>
          <t>MR24</t>
        </is>
      </c>
      <c r="B2086" t="inlineStr">
        <is>
          <t>SIMULACIONES_MR2024_V3</t>
        </is>
      </c>
      <c r="C2086" t="inlineStr">
        <is>
          <t>toneladas (6000 m3 x MR24_BD); pct sobre toneladas</t>
        </is>
      </c>
      <c r="D2086" t="inlineStr">
        <is>
          <t>fase_LOM25_FASES_LE2</t>
        </is>
      </c>
      <c r="E2086" t="inlineStr">
        <is>
          <t>14</t>
        </is>
      </c>
      <c r="F2086" t="inlineStr">
        <is>
          <t>litologia_tentativa</t>
        </is>
      </c>
      <c r="G2086" t="inlineStr">
        <is>
          <t>Mármol (hipótesis: sigla MDP)</t>
        </is>
      </c>
      <c r="H2086" t="inlineStr"/>
      <c r="I2086" t="inlineStr"/>
      <c r="J2086" t="inlineStr">
        <is>
          <t>suma de filas por código</t>
        </is>
      </c>
      <c r="K2086" t="inlineStr">
        <is>
          <t>Mármol (hipótesis: sigla MDP)</t>
        </is>
      </c>
      <c r="L2086" t="inlineStr"/>
      <c r="M2086" t="n">
        <v>620</v>
      </c>
      <c r="N2086" t="n">
        <v>3720000</v>
      </c>
      <c r="O2086" t="n">
        <v>10580190</v>
      </c>
      <c r="P2086" t="inlineStr"/>
      <c r="Q2086" t="n">
        <v>1.464</v>
      </c>
    </row>
    <row r="2087">
      <c r="A2087" t="inlineStr">
        <is>
          <t>MR24</t>
        </is>
      </c>
      <c r="B2087" t="inlineStr">
        <is>
          <t>SIMULACIONES_MR2024_V3</t>
        </is>
      </c>
      <c r="C2087" t="inlineStr">
        <is>
          <t>toneladas (6000 m3 x MR24_BD); pct sobre toneladas</t>
        </is>
      </c>
      <c r="D2087" t="inlineStr">
        <is>
          <t>fase_LOM25_FASES_LE2</t>
        </is>
      </c>
      <c r="E2087" t="inlineStr">
        <is>
          <t>14</t>
        </is>
      </c>
      <c r="F2087" t="inlineStr">
        <is>
          <t>litologia_tentativa</t>
        </is>
      </c>
      <c r="G2087" t="inlineStr">
        <is>
          <t>Mármol (hipótesis: siglas MC, MG, MGS, MPA, MCGB; 'Marble'~MCGB)</t>
        </is>
      </c>
      <c r="H2087" t="inlineStr"/>
      <c r="I2087" t="inlineStr"/>
      <c r="J2087" t="inlineStr">
        <is>
          <t>suma de filas por código</t>
        </is>
      </c>
      <c r="K2087" t="inlineStr">
        <is>
          <t>Mármol (hipótesis: siglas MC, MG, MGS, MPA, MCGB; 'Marble'~MCGB)</t>
        </is>
      </c>
      <c r="L2087" t="inlineStr"/>
      <c r="M2087" t="n">
        <v>16079</v>
      </c>
      <c r="N2087" t="n">
        <v>96474000</v>
      </c>
      <c r="O2087" t="n">
        <v>261600282</v>
      </c>
      <c r="P2087" t="inlineStr"/>
      <c r="Q2087" t="n">
        <v>36.192</v>
      </c>
    </row>
    <row r="2088">
      <c r="A2088" t="inlineStr">
        <is>
          <t>MR24</t>
        </is>
      </c>
      <c r="B2088" t="inlineStr">
        <is>
          <t>SIMULACIONES_MR2024_V3</t>
        </is>
      </c>
      <c r="C2088" t="inlineStr">
        <is>
          <t>toneladas (6000 m3 x MR24_BD); pct sobre toneladas</t>
        </is>
      </c>
      <c r="D2088" t="inlineStr">
        <is>
          <t>fase_LOM25_FASES_LE2</t>
        </is>
      </c>
      <c r="E2088" t="inlineStr">
        <is>
          <t>14</t>
        </is>
      </c>
      <c r="F2088" t="inlineStr">
        <is>
          <t>litologia_tentativa</t>
        </is>
      </c>
      <c r="G2088" t="inlineStr">
        <is>
          <t>sin hipótesis</t>
        </is>
      </c>
      <c r="H2088" t="inlineStr"/>
      <c r="I2088" t="inlineStr"/>
      <c r="J2088" t="inlineStr">
        <is>
          <t>suma de filas por código</t>
        </is>
      </c>
      <c r="K2088" t="inlineStr">
        <is>
          <t>sin hipótesis</t>
        </is>
      </c>
      <c r="L2088" t="inlineStr"/>
      <c r="M2088" t="n">
        <v>17</v>
      </c>
      <c r="N2088" t="n">
        <v>102000</v>
      </c>
      <c r="O2088" t="n">
        <v>277722</v>
      </c>
      <c r="P2088" t="inlineStr"/>
      <c r="Q2088" t="n">
        <v>0.038</v>
      </c>
    </row>
    <row r="2089">
      <c r="A2089" t="inlineStr">
        <is>
          <t>MR24</t>
        </is>
      </c>
      <c r="B2089" t="inlineStr">
        <is>
          <t>SIMULACIONES_MR2024_V3</t>
        </is>
      </c>
      <c r="C2089" t="inlineStr">
        <is>
          <t>toneladas (6000 m3 x MR24_BD); pct sobre toneladas</t>
        </is>
      </c>
      <c r="D2089" t="inlineStr">
        <is>
          <t>fase_LOM25_FASES_LE2</t>
        </is>
      </c>
      <c r="E2089" t="inlineStr">
        <is>
          <t>8</t>
        </is>
      </c>
      <c r="F2089" t="inlineStr">
        <is>
          <t>litologia_tentativa</t>
        </is>
      </c>
      <c r="G2089" t="inlineStr">
        <is>
          <t>Intrusivo</t>
        </is>
      </c>
      <c r="H2089" t="inlineStr"/>
      <c r="I2089" t="inlineStr"/>
      <c r="J2089" t="inlineStr">
        <is>
          <t>suma de filas por código</t>
        </is>
      </c>
      <c r="K2089" t="inlineStr">
        <is>
          <t>Intrusivo</t>
        </is>
      </c>
      <c r="L2089" t="inlineStr"/>
      <c r="M2089" t="n">
        <v>675</v>
      </c>
      <c r="N2089" t="n">
        <v>4050000</v>
      </c>
      <c r="O2089" t="n">
        <v>9851040</v>
      </c>
      <c r="P2089" t="inlineStr"/>
      <c r="Q2089" t="n">
        <v>97.58799999999999</v>
      </c>
    </row>
    <row r="2090">
      <c r="A2090" t="inlineStr">
        <is>
          <t>MR24</t>
        </is>
      </c>
      <c r="B2090" t="inlineStr">
        <is>
          <t>SIMULACIONES_MR2024_V3</t>
        </is>
      </c>
      <c r="C2090" t="inlineStr">
        <is>
          <t>toneladas (6000 m3 x MR24_BD); pct sobre toneladas</t>
        </is>
      </c>
      <c r="D2090" t="inlineStr">
        <is>
          <t>fase_LOM25_FASES_LE2</t>
        </is>
      </c>
      <c r="E2090" t="inlineStr">
        <is>
          <t>8</t>
        </is>
      </c>
      <c r="F2090" t="inlineStr">
        <is>
          <t>litologia_tentativa</t>
        </is>
      </c>
      <c r="G2090" t="inlineStr">
        <is>
          <t>sin hipótesis</t>
        </is>
      </c>
      <c r="H2090" t="inlineStr"/>
      <c r="I2090" t="inlineStr"/>
      <c r="J2090" t="inlineStr">
        <is>
          <t>suma de filas por código</t>
        </is>
      </c>
      <c r="K2090" t="inlineStr">
        <is>
          <t>sin hipótesis</t>
        </is>
      </c>
      <c r="L2090" t="inlineStr"/>
      <c r="M2090" t="n">
        <v>16</v>
      </c>
      <c r="N2090" t="n">
        <v>96000</v>
      </c>
      <c r="O2090" t="n">
        <v>243480</v>
      </c>
      <c r="P2090" t="inlineStr"/>
      <c r="Q2090" t="n">
        <v>2.412</v>
      </c>
    </row>
    <row r="2091">
      <c r="A2091" t="inlineStr">
        <is>
          <t>MR24</t>
        </is>
      </c>
      <c r="B2091" t="inlineStr">
        <is>
          <t>SIMULACIONES_MR2024_V3</t>
        </is>
      </c>
      <c r="C2091" t="inlineStr">
        <is>
          <t>toneladas (6000 m3 x MR24_BD); pct sobre toneladas</t>
        </is>
      </c>
      <c r="D2091" t="inlineStr">
        <is>
          <t>fase_LOM25_FASES_LE2</t>
        </is>
      </c>
      <c r="E2091" t="inlineStr">
        <is>
          <t>9A</t>
        </is>
      </c>
      <c r="F2091" t="inlineStr">
        <is>
          <t>litologia_tentativa</t>
        </is>
      </c>
      <c r="G2091" t="inlineStr">
        <is>
          <t>Caliza (hipótesis: Sedimentario; RT11~NUMEQ10, siglas C*)</t>
        </is>
      </c>
      <c r="H2091" t="inlineStr"/>
      <c r="I2091" t="inlineStr"/>
      <c r="J2091" t="inlineStr">
        <is>
          <t>suma de filas por código</t>
        </is>
      </c>
      <c r="K2091" t="inlineStr">
        <is>
          <t>Caliza (hipótesis: Sedimentario; RT11~NUMEQ10, siglas C*)</t>
        </is>
      </c>
      <c r="L2091" t="inlineStr"/>
      <c r="M2091" t="n">
        <v>5</v>
      </c>
      <c r="N2091" t="n">
        <v>30000</v>
      </c>
      <c r="O2091" t="n">
        <v>81300</v>
      </c>
      <c r="P2091" t="inlineStr"/>
      <c r="Q2091" t="n">
        <v>83.33799999999999</v>
      </c>
    </row>
    <row r="2092">
      <c r="A2092" t="inlineStr">
        <is>
          <t>MR24</t>
        </is>
      </c>
      <c r="B2092" t="inlineStr">
        <is>
          <t>SIMULACIONES_MR2024_V3</t>
        </is>
      </c>
      <c r="C2092" t="inlineStr">
        <is>
          <t>toneladas (6000 m3 x MR24_BD); pct sobre toneladas</t>
        </is>
      </c>
      <c r="D2092" t="inlineStr">
        <is>
          <t>fase_LOM25_FASES_LE2</t>
        </is>
      </c>
      <c r="E2092" t="inlineStr">
        <is>
          <t>9A</t>
        </is>
      </c>
      <c r="F2092" t="inlineStr">
        <is>
          <t>litologia_tentativa</t>
        </is>
      </c>
      <c r="G2092" t="inlineStr">
        <is>
          <t>Caliza (hipótesis: siglas C*)</t>
        </is>
      </c>
      <c r="H2092" t="inlineStr"/>
      <c r="I2092" t="inlineStr"/>
      <c r="J2092" t="inlineStr">
        <is>
          <t>suma de filas por código</t>
        </is>
      </c>
      <c r="K2092" t="inlineStr">
        <is>
          <t>Caliza (hipótesis: siglas C*)</t>
        </is>
      </c>
      <c r="L2092" t="inlineStr"/>
      <c r="M2092" t="n">
        <v>1</v>
      </c>
      <c r="N2092" t="n">
        <v>6000</v>
      </c>
      <c r="O2092" t="n">
        <v>16254</v>
      </c>
      <c r="P2092" t="inlineStr"/>
      <c r="Q2092" t="n">
        <v>16.662</v>
      </c>
    </row>
    <row r="2093">
      <c r="A2093" t="inlineStr">
        <is>
          <t>MR24</t>
        </is>
      </c>
      <c r="B2093" t="inlineStr">
        <is>
          <t>SIMULACIONES_MR2024_V3</t>
        </is>
      </c>
      <c r="C2093" t="inlineStr">
        <is>
          <t>toneladas (6000 m3 x MR24_BD); pct sobre toneladas</t>
        </is>
      </c>
      <c r="D2093" t="inlineStr">
        <is>
          <t>fase_LOM25_FASES_LE2</t>
        </is>
      </c>
      <c r="E2093" t="inlineStr">
        <is>
          <t>9B</t>
        </is>
      </c>
      <c r="F2093" t="inlineStr">
        <is>
          <t>litologia_tentativa</t>
        </is>
      </c>
      <c r="G2093" t="inlineStr">
        <is>
          <t>Hornfels (hipótesis: siglas HBV, HGV, HCB, HDP; 'Diop. Hornfels'~HGV)</t>
        </is>
      </c>
      <c r="H2093" t="inlineStr"/>
      <c r="I2093" t="inlineStr"/>
      <c r="J2093" t="inlineStr">
        <is>
          <t>suma de filas por código</t>
        </is>
      </c>
      <c r="K2093" t="inlineStr">
        <is>
          <t>Hornfels (hipótesis: siglas HBV, HGV, HCB, HDP; 'Diop. Hornfels'~HGV)</t>
        </is>
      </c>
      <c r="L2093" t="inlineStr"/>
      <c r="M2093" t="n">
        <v>14</v>
      </c>
      <c r="N2093" t="n">
        <v>84000</v>
      </c>
      <c r="O2093" t="n">
        <v>244356</v>
      </c>
      <c r="P2093" t="inlineStr"/>
      <c r="Q2093" t="n">
        <v>0.264</v>
      </c>
    </row>
    <row r="2094">
      <c r="A2094" t="inlineStr">
        <is>
          <t>MR24</t>
        </is>
      </c>
      <c r="B2094" t="inlineStr">
        <is>
          <t>SIMULACIONES_MR2024_V3</t>
        </is>
      </c>
      <c r="C2094" t="inlineStr">
        <is>
          <t>toneladas (6000 m3 x MR24_BD); pct sobre toneladas</t>
        </is>
      </c>
      <c r="D2094" t="inlineStr">
        <is>
          <t>fase_LOM25_FASES_LE2</t>
        </is>
      </c>
      <c r="E2094" t="inlineStr">
        <is>
          <t>9B</t>
        </is>
      </c>
      <c r="F2094" t="inlineStr">
        <is>
          <t>litologia_tentativa</t>
        </is>
      </c>
      <c r="G2094" t="inlineStr">
        <is>
          <t>Hornfels (hipótesis: siglas HG, HGS, HC)</t>
        </is>
      </c>
      <c r="H2094" t="inlineStr"/>
      <c r="I2094" t="inlineStr"/>
      <c r="J2094" t="inlineStr">
        <is>
          <t>suma de filas por código</t>
        </is>
      </c>
      <c r="K2094" t="inlineStr">
        <is>
          <t>Hornfels (hipótesis: siglas HG, HGS, HC)</t>
        </is>
      </c>
      <c r="L2094" t="inlineStr"/>
      <c r="M2094" t="n">
        <v>107</v>
      </c>
      <c r="N2094" t="n">
        <v>642000</v>
      </c>
      <c r="O2094" t="n">
        <v>1757394</v>
      </c>
      <c r="P2094" t="inlineStr"/>
      <c r="Q2094" t="n">
        <v>1.9</v>
      </c>
    </row>
    <row r="2095">
      <c r="A2095" t="inlineStr">
        <is>
          <t>MR24</t>
        </is>
      </c>
      <c r="B2095" t="inlineStr">
        <is>
          <t>SIMULACIONES_MR2024_V3</t>
        </is>
      </c>
      <c r="C2095" t="inlineStr">
        <is>
          <t>toneladas (6000 m3 x MR24_BD); pct sobre toneladas</t>
        </is>
      </c>
      <c r="D2095" t="inlineStr">
        <is>
          <t>fase_LOM25_FASES_LE2</t>
        </is>
      </c>
      <c r="E2095" t="inlineStr">
        <is>
          <t>9B</t>
        </is>
      </c>
      <c r="F2095" t="inlineStr">
        <is>
          <t>litologia_tentativa</t>
        </is>
      </c>
      <c r="G2095" t="inlineStr">
        <is>
          <t>Intrusivo</t>
        </is>
      </c>
      <c r="H2095" t="inlineStr"/>
      <c r="I2095" t="inlineStr"/>
      <c r="J2095" t="inlineStr">
        <is>
          <t>suma de filas por código</t>
        </is>
      </c>
      <c r="K2095" t="inlineStr">
        <is>
          <t>Intrusivo</t>
        </is>
      </c>
      <c r="L2095" t="inlineStr"/>
      <c r="M2095" t="n">
        <v>2004</v>
      </c>
      <c r="N2095" t="n">
        <v>12024000</v>
      </c>
      <c r="O2095" t="n">
        <v>29276904</v>
      </c>
      <c r="P2095" t="inlineStr"/>
      <c r="Q2095" t="n">
        <v>31.653</v>
      </c>
    </row>
    <row r="2096">
      <c r="A2096" t="inlineStr">
        <is>
          <t>MR24</t>
        </is>
      </c>
      <c r="B2096" t="inlineStr">
        <is>
          <t>SIMULACIONES_MR2024_V3</t>
        </is>
      </c>
      <c r="C2096" t="inlineStr">
        <is>
          <t>toneladas (6000 m3 x MR24_BD); pct sobre toneladas</t>
        </is>
      </c>
      <c r="D2096" t="inlineStr">
        <is>
          <t>fase_LOM25_FASES_LE2</t>
        </is>
      </c>
      <c r="E2096" t="inlineStr">
        <is>
          <t>9B</t>
        </is>
      </c>
      <c r="F2096" t="inlineStr">
        <is>
          <t>litologia_tentativa</t>
        </is>
      </c>
      <c r="G2096" t="inlineStr">
        <is>
          <t>Mármol (hipótesis: sigla MDP)</t>
        </is>
      </c>
      <c r="H2096" t="inlineStr"/>
      <c r="I2096" t="inlineStr"/>
      <c r="J2096" t="inlineStr">
        <is>
          <t>suma de filas por código</t>
        </is>
      </c>
      <c r="K2096" t="inlineStr">
        <is>
          <t>Mármol (hipótesis: sigla MDP)</t>
        </is>
      </c>
      <c r="L2096" t="inlineStr"/>
      <c r="M2096" t="n">
        <v>103</v>
      </c>
      <c r="N2096" t="n">
        <v>618000</v>
      </c>
      <c r="O2096" t="n">
        <v>1723446</v>
      </c>
      <c r="P2096" t="inlineStr"/>
      <c r="Q2096" t="n">
        <v>1.863</v>
      </c>
    </row>
    <row r="2097">
      <c r="A2097" t="inlineStr">
        <is>
          <t>MR24</t>
        </is>
      </c>
      <c r="B2097" t="inlineStr">
        <is>
          <t>SIMULACIONES_MR2024_V3</t>
        </is>
      </c>
      <c r="C2097" t="inlineStr">
        <is>
          <t>toneladas (6000 m3 x MR24_BD); pct sobre toneladas</t>
        </is>
      </c>
      <c r="D2097" t="inlineStr">
        <is>
          <t>fase_LOM25_FASES_LE2</t>
        </is>
      </c>
      <c r="E2097" t="inlineStr">
        <is>
          <t>9B</t>
        </is>
      </c>
      <c r="F2097" t="inlineStr">
        <is>
          <t>litologia_tentativa</t>
        </is>
      </c>
      <c r="G2097" t="inlineStr">
        <is>
          <t>Mármol (hipótesis: siglas MC, MG, MGS, MPA, MCGB; 'Marble'~MCGB)</t>
        </is>
      </c>
      <c r="H2097" t="inlineStr"/>
      <c r="I2097" t="inlineStr"/>
      <c r="J2097" t="inlineStr">
        <is>
          <t>suma de filas por código</t>
        </is>
      </c>
      <c r="K2097" t="inlineStr">
        <is>
          <t>Mármol (hipótesis: siglas MC, MG, MGS, MPA, MCGB; 'Marble'~MCGB)</t>
        </is>
      </c>
      <c r="L2097" t="inlineStr"/>
      <c r="M2097" t="n">
        <v>3553</v>
      </c>
      <c r="N2097" t="n">
        <v>21318000</v>
      </c>
      <c r="O2097" t="n">
        <v>58050912</v>
      </c>
      <c r="P2097" t="inlineStr"/>
      <c r="Q2097" t="n">
        <v>62.763</v>
      </c>
    </row>
    <row r="2098">
      <c r="A2098" t="inlineStr">
        <is>
          <t>MR24</t>
        </is>
      </c>
      <c r="B2098" t="inlineStr">
        <is>
          <t>SIMULACIONES_MR2024_V3</t>
        </is>
      </c>
      <c r="C2098" t="inlineStr">
        <is>
          <t>toneladas (6000 m3 x MR24_BD); pct sobre toneladas</t>
        </is>
      </c>
      <c r="D2098" t="inlineStr">
        <is>
          <t>fase_LOM25_FASES_LE2</t>
        </is>
      </c>
      <c r="E2098" t="inlineStr">
        <is>
          <t>9B</t>
        </is>
      </c>
      <c r="F2098" t="inlineStr">
        <is>
          <t>litologia_tentativa</t>
        </is>
      </c>
      <c r="G2098" t="inlineStr">
        <is>
          <t>sin hipótesis</t>
        </is>
      </c>
      <c r="H2098" t="inlineStr"/>
      <c r="I2098" t="inlineStr"/>
      <c r="J2098" t="inlineStr">
        <is>
          <t>suma de filas por código</t>
        </is>
      </c>
      <c r="K2098" t="inlineStr">
        <is>
          <t>sin hipótesis</t>
        </is>
      </c>
      <c r="L2098" t="inlineStr"/>
      <c r="M2098" t="n">
        <v>92</v>
      </c>
      <c r="N2098" t="n">
        <v>552000</v>
      </c>
      <c r="O2098" t="n">
        <v>1439580</v>
      </c>
      <c r="P2098" t="inlineStr"/>
      <c r="Q2098" t="n">
        <v>1.556</v>
      </c>
    </row>
    <row r="2099">
      <c r="A2099" t="inlineStr">
        <is>
          <t>MR24</t>
        </is>
      </c>
      <c r="B2099" t="inlineStr">
        <is>
          <t>SIMULACIONES_MR2024_V3</t>
        </is>
      </c>
      <c r="C2099" t="inlineStr">
        <is>
          <t>toneladas (6000 m3 x MR24_BD); pct sobre toneladas</t>
        </is>
      </c>
      <c r="D2099" t="inlineStr">
        <is>
          <t>fase_LOM25_FASES_LE2</t>
        </is>
      </c>
      <c r="E2099" t="inlineStr">
        <is>
          <t>9C</t>
        </is>
      </c>
      <c r="F2099" t="inlineStr">
        <is>
          <t>litologia_tentativa</t>
        </is>
      </c>
      <c r="G2099" t="inlineStr">
        <is>
          <t>Hornfels (hipótesis: siglas HBV, HGV, HCB, HDP; 'Diop. Hornfels'~HGV)</t>
        </is>
      </c>
      <c r="H2099" t="inlineStr"/>
      <c r="I2099" t="inlineStr"/>
      <c r="J2099" t="inlineStr">
        <is>
          <t>suma de filas por código</t>
        </is>
      </c>
      <c r="K2099" t="inlineStr">
        <is>
          <t>Hornfels (hipótesis: siglas HBV, HGV, HCB, HDP; 'Diop. Hornfels'~HGV)</t>
        </is>
      </c>
      <c r="L2099" t="inlineStr"/>
      <c r="M2099" t="n">
        <v>70</v>
      </c>
      <c r="N2099" t="n">
        <v>420000</v>
      </c>
      <c r="O2099" t="n">
        <v>1186512</v>
      </c>
      <c r="P2099" t="inlineStr"/>
      <c r="Q2099" t="n">
        <v>1.494</v>
      </c>
    </row>
    <row r="2100">
      <c r="A2100" t="inlineStr">
        <is>
          <t>MR24</t>
        </is>
      </c>
      <c r="B2100" t="inlineStr">
        <is>
          <t>SIMULACIONES_MR2024_V3</t>
        </is>
      </c>
      <c r="C2100" t="inlineStr">
        <is>
          <t>toneladas (6000 m3 x MR24_BD); pct sobre toneladas</t>
        </is>
      </c>
      <c r="D2100" t="inlineStr">
        <is>
          <t>fase_LOM25_FASES_LE2</t>
        </is>
      </c>
      <c r="E2100" t="inlineStr">
        <is>
          <t>9C</t>
        </is>
      </c>
      <c r="F2100" t="inlineStr">
        <is>
          <t>litologia_tentativa</t>
        </is>
      </c>
      <c r="G2100" t="inlineStr">
        <is>
          <t>Hornfels (hipótesis: siglas HG, HGS, HC)</t>
        </is>
      </c>
      <c r="H2100" t="inlineStr"/>
      <c r="I2100" t="inlineStr"/>
      <c r="J2100" t="inlineStr">
        <is>
          <t>suma de filas por código</t>
        </is>
      </c>
      <c r="K2100" t="inlineStr">
        <is>
          <t>Hornfels (hipótesis: siglas HG, HGS, HC)</t>
        </is>
      </c>
      <c r="L2100" t="inlineStr"/>
      <c r="M2100" t="n">
        <v>209</v>
      </c>
      <c r="N2100" t="n">
        <v>1254000</v>
      </c>
      <c r="O2100" t="n">
        <v>3407730</v>
      </c>
      <c r="P2100" t="inlineStr"/>
      <c r="Q2100" t="n">
        <v>4.291</v>
      </c>
    </row>
    <row r="2101">
      <c r="A2101" t="inlineStr">
        <is>
          <t>MR24</t>
        </is>
      </c>
      <c r="B2101" t="inlineStr">
        <is>
          <t>SIMULACIONES_MR2024_V3</t>
        </is>
      </c>
      <c r="C2101" t="inlineStr">
        <is>
          <t>toneladas (6000 m3 x MR24_BD); pct sobre toneladas</t>
        </is>
      </c>
      <c r="D2101" t="inlineStr">
        <is>
          <t>fase_LOM25_FASES_LE2</t>
        </is>
      </c>
      <c r="E2101" t="inlineStr">
        <is>
          <t>9C</t>
        </is>
      </c>
      <c r="F2101" t="inlineStr">
        <is>
          <t>litologia_tentativa</t>
        </is>
      </c>
      <c r="G2101" t="inlineStr">
        <is>
          <t>Intrusivo</t>
        </is>
      </c>
      <c r="H2101" t="inlineStr"/>
      <c r="I2101" t="inlineStr"/>
      <c r="J2101" t="inlineStr">
        <is>
          <t>suma de filas por código</t>
        </is>
      </c>
      <c r="K2101" t="inlineStr">
        <is>
          <t>Intrusivo</t>
        </is>
      </c>
      <c r="L2101" t="inlineStr"/>
      <c r="M2101" t="n">
        <v>2113</v>
      </c>
      <c r="N2101" t="n">
        <v>12678000</v>
      </c>
      <c r="O2101" t="n">
        <v>30837846</v>
      </c>
      <c r="P2101" t="inlineStr"/>
      <c r="Q2101" t="n">
        <v>38.831</v>
      </c>
    </row>
    <row r="2102">
      <c r="A2102" t="inlineStr">
        <is>
          <t>MR24</t>
        </is>
      </c>
      <c r="B2102" t="inlineStr">
        <is>
          <t>SIMULACIONES_MR2024_V3</t>
        </is>
      </c>
      <c r="C2102" t="inlineStr">
        <is>
          <t>toneladas (6000 m3 x MR24_BD); pct sobre toneladas</t>
        </is>
      </c>
      <c r="D2102" t="inlineStr">
        <is>
          <t>fase_LOM25_FASES_LE2</t>
        </is>
      </c>
      <c r="E2102" t="inlineStr">
        <is>
          <t>9C</t>
        </is>
      </c>
      <c r="F2102" t="inlineStr">
        <is>
          <t>litologia_tentativa</t>
        </is>
      </c>
      <c r="G2102" t="inlineStr">
        <is>
          <t>Mármol (hipótesis: sigla MDP)</t>
        </is>
      </c>
      <c r="H2102" t="inlineStr"/>
      <c r="I2102" t="inlineStr"/>
      <c r="J2102" t="inlineStr">
        <is>
          <t>suma de filas por código</t>
        </is>
      </c>
      <c r="K2102" t="inlineStr">
        <is>
          <t>Mármol (hipótesis: sigla MDP)</t>
        </is>
      </c>
      <c r="L2102" t="inlineStr"/>
      <c r="M2102" t="n">
        <v>120</v>
      </c>
      <c r="N2102" t="n">
        <v>720000</v>
      </c>
      <c r="O2102" t="n">
        <v>2013204</v>
      </c>
      <c r="P2102" t="inlineStr"/>
      <c r="Q2102" t="n">
        <v>2.535</v>
      </c>
    </row>
    <row r="2103">
      <c r="A2103" t="inlineStr">
        <is>
          <t>MR24</t>
        </is>
      </c>
      <c r="B2103" t="inlineStr">
        <is>
          <t>SIMULACIONES_MR2024_V3</t>
        </is>
      </c>
      <c r="C2103" t="inlineStr">
        <is>
          <t>toneladas (6000 m3 x MR24_BD); pct sobre toneladas</t>
        </is>
      </c>
      <c r="D2103" t="inlineStr">
        <is>
          <t>fase_LOM25_FASES_LE2</t>
        </is>
      </c>
      <c r="E2103" t="inlineStr">
        <is>
          <t>9C</t>
        </is>
      </c>
      <c r="F2103" t="inlineStr">
        <is>
          <t>litologia_tentativa</t>
        </is>
      </c>
      <c r="G2103" t="inlineStr">
        <is>
          <t>Mármol (hipótesis: siglas MC, MG, MGS, MPA, MCGB; 'Marble'~MCGB)</t>
        </is>
      </c>
      <c r="H2103" t="inlineStr"/>
      <c r="I2103" t="inlineStr"/>
      <c r="J2103" t="inlineStr">
        <is>
          <t>suma de filas por código</t>
        </is>
      </c>
      <c r="K2103" t="inlineStr">
        <is>
          <t>Mármol (hipótesis: siglas MC, MG, MGS, MPA, MCGB; 'Marble'~MCGB)</t>
        </is>
      </c>
      <c r="L2103" t="inlineStr"/>
      <c r="M2103" t="n">
        <v>2540</v>
      </c>
      <c r="N2103" t="n">
        <v>15240000</v>
      </c>
      <c r="O2103" t="n">
        <v>41328924</v>
      </c>
      <c r="P2103" t="inlineStr"/>
      <c r="Q2103" t="n">
        <v>52.041</v>
      </c>
    </row>
    <row r="2104">
      <c r="A2104" t="inlineStr">
        <is>
          <t>MR24</t>
        </is>
      </c>
      <c r="B2104" t="inlineStr">
        <is>
          <t>SIMULACIONES_MR2024_V3</t>
        </is>
      </c>
      <c r="C2104" t="inlineStr">
        <is>
          <t>toneladas (6000 m3 x MR24_BD); pct sobre toneladas</t>
        </is>
      </c>
      <c r="D2104" t="inlineStr">
        <is>
          <t>fase_LOM25_FASES_LE2</t>
        </is>
      </c>
      <c r="E2104" t="inlineStr">
        <is>
          <t>9C</t>
        </is>
      </c>
      <c r="F2104" t="inlineStr">
        <is>
          <t>litologia_tentativa</t>
        </is>
      </c>
      <c r="G2104" t="inlineStr">
        <is>
          <t>sin hipótesis</t>
        </is>
      </c>
      <c r="H2104" t="inlineStr"/>
      <c r="I2104" t="inlineStr"/>
      <c r="J2104" t="inlineStr">
        <is>
          <t>suma de filas por código</t>
        </is>
      </c>
      <c r="K2104" t="inlineStr">
        <is>
          <t>sin hipótesis</t>
        </is>
      </c>
      <c r="L2104" t="inlineStr"/>
      <c r="M2104" t="n">
        <v>41</v>
      </c>
      <c r="N2104" t="n">
        <v>246000</v>
      </c>
      <c r="O2104" t="n">
        <v>641478</v>
      </c>
      <c r="P2104" t="inlineStr"/>
      <c r="Q2104" t="n">
        <v>0.8080000000000001</v>
      </c>
    </row>
    <row r="2105">
      <c r="A2105" t="inlineStr">
        <is>
          <t>MR24</t>
        </is>
      </c>
      <c r="B2105" t="inlineStr">
        <is>
          <t>SIMULACIONES_MR2024_V3</t>
        </is>
      </c>
      <c r="C2105" t="inlineStr">
        <is>
          <t>toneladas (6000 m3 x MR24_BD); pct sobre toneladas</t>
        </is>
      </c>
      <c r="D2105" t="inlineStr">
        <is>
          <t>fase_LOM25_FASES_LE2</t>
        </is>
      </c>
      <c r="E2105" t="inlineStr">
        <is>
          <t>9D</t>
        </is>
      </c>
      <c r="F2105" t="inlineStr">
        <is>
          <t>litologia_tentativa</t>
        </is>
      </c>
      <c r="G2105" t="inlineStr">
        <is>
          <t>Hornfels (hipótesis: siglas HBV, HGV, HCB, HDP; 'Diop. Hornfels'~HGV)</t>
        </is>
      </c>
      <c r="H2105" t="inlineStr"/>
      <c r="I2105" t="inlineStr"/>
      <c r="J2105" t="inlineStr">
        <is>
          <t>suma de filas por código</t>
        </is>
      </c>
      <c r="K2105" t="inlineStr">
        <is>
          <t>Hornfels (hipótesis: siglas HBV, HGV, HCB, HDP; 'Diop. Hornfels'~HGV)</t>
        </is>
      </c>
      <c r="L2105" t="inlineStr"/>
      <c r="M2105" t="n">
        <v>324</v>
      </c>
      <c r="N2105" t="n">
        <v>1944000</v>
      </c>
      <c r="O2105" t="n">
        <v>5553906</v>
      </c>
      <c r="P2105" t="inlineStr"/>
      <c r="Q2105" t="n">
        <v>16.255</v>
      </c>
    </row>
    <row r="2106">
      <c r="A2106" t="inlineStr">
        <is>
          <t>MR24</t>
        </is>
      </c>
      <c r="B2106" t="inlineStr">
        <is>
          <t>SIMULACIONES_MR2024_V3</t>
        </is>
      </c>
      <c r="C2106" t="inlineStr">
        <is>
          <t>toneladas (6000 m3 x MR24_BD); pct sobre toneladas</t>
        </is>
      </c>
      <c r="D2106" t="inlineStr">
        <is>
          <t>fase_LOM25_FASES_LE2</t>
        </is>
      </c>
      <c r="E2106" t="inlineStr">
        <is>
          <t>9D</t>
        </is>
      </c>
      <c r="F2106" t="inlineStr">
        <is>
          <t>litologia_tentativa</t>
        </is>
      </c>
      <c r="G2106" t="inlineStr">
        <is>
          <t>Hornfels (hipótesis: siglas HG, HGS, HC)</t>
        </is>
      </c>
      <c r="H2106" t="inlineStr"/>
      <c r="I2106" t="inlineStr"/>
      <c r="J2106" t="inlineStr">
        <is>
          <t>suma de filas por código</t>
        </is>
      </c>
      <c r="K2106" t="inlineStr">
        <is>
          <t>Hornfels (hipótesis: siglas HG, HGS, HC)</t>
        </is>
      </c>
      <c r="L2106" t="inlineStr"/>
      <c r="M2106" t="n">
        <v>85</v>
      </c>
      <c r="N2106" t="n">
        <v>510000</v>
      </c>
      <c r="O2106" t="n">
        <v>1407786</v>
      </c>
      <c r="P2106" t="inlineStr"/>
      <c r="Q2106" t="n">
        <v>4.12</v>
      </c>
    </row>
    <row r="2107">
      <c r="A2107" t="inlineStr">
        <is>
          <t>MR24</t>
        </is>
      </c>
      <c r="B2107" t="inlineStr">
        <is>
          <t>SIMULACIONES_MR2024_V3</t>
        </is>
      </c>
      <c r="C2107" t="inlineStr">
        <is>
          <t>toneladas (6000 m3 x MR24_BD); pct sobre toneladas</t>
        </is>
      </c>
      <c r="D2107" t="inlineStr">
        <is>
          <t>fase_LOM25_FASES_LE2</t>
        </is>
      </c>
      <c r="E2107" t="inlineStr">
        <is>
          <t>9D</t>
        </is>
      </c>
      <c r="F2107" t="inlineStr">
        <is>
          <t>litologia_tentativa</t>
        </is>
      </c>
      <c r="G2107" t="inlineStr">
        <is>
          <t>Intrusivo</t>
        </is>
      </c>
      <c r="H2107" t="inlineStr"/>
      <c r="I2107" t="inlineStr"/>
      <c r="J2107" t="inlineStr">
        <is>
          <t>suma de filas por código</t>
        </is>
      </c>
      <c r="K2107" t="inlineStr">
        <is>
          <t>Intrusivo</t>
        </is>
      </c>
      <c r="L2107" t="inlineStr"/>
      <c r="M2107" t="n">
        <v>824</v>
      </c>
      <c r="N2107" t="n">
        <v>4944000</v>
      </c>
      <c r="O2107" t="n">
        <v>12200274</v>
      </c>
      <c r="P2107" t="inlineStr"/>
      <c r="Q2107" t="n">
        <v>35.706</v>
      </c>
    </row>
    <row r="2108">
      <c r="A2108" t="inlineStr">
        <is>
          <t>MR24</t>
        </is>
      </c>
      <c r="B2108" t="inlineStr">
        <is>
          <t>SIMULACIONES_MR2024_V3</t>
        </is>
      </c>
      <c r="C2108" t="inlineStr">
        <is>
          <t>toneladas (6000 m3 x MR24_BD); pct sobre toneladas</t>
        </is>
      </c>
      <c r="D2108" t="inlineStr">
        <is>
          <t>fase_LOM25_FASES_LE2</t>
        </is>
      </c>
      <c r="E2108" t="inlineStr">
        <is>
          <t>9D</t>
        </is>
      </c>
      <c r="F2108" t="inlineStr">
        <is>
          <t>litologia_tentativa</t>
        </is>
      </c>
      <c r="G2108" t="inlineStr">
        <is>
          <t>Mármol (hipótesis: sigla MDP)</t>
        </is>
      </c>
      <c r="H2108" t="inlineStr"/>
      <c r="I2108" t="inlineStr"/>
      <c r="J2108" t="inlineStr">
        <is>
          <t>suma de filas por código</t>
        </is>
      </c>
      <c r="K2108" t="inlineStr">
        <is>
          <t>Mármol (hipótesis: sigla MDP)</t>
        </is>
      </c>
      <c r="L2108" t="inlineStr"/>
      <c r="M2108" t="n">
        <v>509</v>
      </c>
      <c r="N2108" t="n">
        <v>3054000</v>
      </c>
      <c r="O2108" t="n">
        <v>8662272</v>
      </c>
      <c r="P2108" t="inlineStr"/>
      <c r="Q2108" t="n">
        <v>25.352</v>
      </c>
    </row>
    <row r="2109">
      <c r="A2109" t="inlineStr">
        <is>
          <t>MR24</t>
        </is>
      </c>
      <c r="B2109" t="inlineStr">
        <is>
          <t>SIMULACIONES_MR2024_V3</t>
        </is>
      </c>
      <c r="C2109" t="inlineStr">
        <is>
          <t>toneladas (6000 m3 x MR24_BD); pct sobre toneladas</t>
        </is>
      </c>
      <c r="D2109" t="inlineStr">
        <is>
          <t>fase_LOM25_FASES_LE2</t>
        </is>
      </c>
      <c r="E2109" t="inlineStr">
        <is>
          <t>9D</t>
        </is>
      </c>
      <c r="F2109" t="inlineStr">
        <is>
          <t>litologia_tentativa</t>
        </is>
      </c>
      <c r="G2109" t="inlineStr">
        <is>
          <t>Mármol (hipótesis: siglas MC, MG, MGS, MPA, MCGB; 'Marble'~MCGB)</t>
        </is>
      </c>
      <c r="H2109" t="inlineStr"/>
      <c r="I2109" t="inlineStr"/>
      <c r="J2109" t="inlineStr">
        <is>
          <t>suma de filas por código</t>
        </is>
      </c>
      <c r="K2109" t="inlineStr">
        <is>
          <t>Mármol (hipótesis: siglas MC, MG, MGS, MPA, MCGB; 'Marble'~MCGB)</t>
        </is>
      </c>
      <c r="L2109" t="inlineStr"/>
      <c r="M2109" t="n">
        <v>386</v>
      </c>
      <c r="N2109" t="n">
        <v>2316000</v>
      </c>
      <c r="O2109" t="n">
        <v>6344016</v>
      </c>
      <c r="P2109" t="inlineStr"/>
      <c r="Q2109" t="n">
        <v>18.567</v>
      </c>
    </row>
    <row r="2110">
      <c r="A2110" t="inlineStr">
        <is>
          <t>MR24</t>
        </is>
      </c>
      <c r="B2110" t="inlineStr">
        <is>
          <t>SIMULACIONES_MR2024_V3</t>
        </is>
      </c>
      <c r="C2110" t="inlineStr">
        <is>
          <t>toneladas (6000 m3 x MR24_BD); pct sobre toneladas</t>
        </is>
      </c>
      <c r="D2110" t="inlineStr">
        <is>
          <t>fase_LOM25_FASES_LE2</t>
        </is>
      </c>
      <c r="E2110" t="inlineStr">
        <is>
          <t>sin dato</t>
        </is>
      </c>
      <c r="F2110" t="inlineStr">
        <is>
          <t>litologia_tentativa</t>
        </is>
      </c>
      <c r="G2110" t="inlineStr">
        <is>
          <t>Caliza (hipótesis: Sedimentario; RT11~NUMEQ10, siglas C*)</t>
        </is>
      </c>
      <c r="H2110" t="inlineStr"/>
      <c r="I2110" t="inlineStr"/>
      <c r="J2110" t="inlineStr">
        <is>
          <t>suma de filas por código</t>
        </is>
      </c>
      <c r="K2110" t="inlineStr">
        <is>
          <t>Caliza (hipótesis: Sedimentario; RT11~NUMEQ10, siglas C*)</t>
        </is>
      </c>
      <c r="L2110" t="inlineStr"/>
      <c r="M2110" t="n">
        <v>1990</v>
      </c>
      <c r="N2110" t="n">
        <v>11940000</v>
      </c>
      <c r="O2110" t="n">
        <v>32294328</v>
      </c>
      <c r="P2110" t="inlineStr"/>
      <c r="Q2110" t="n">
        <v>21.775</v>
      </c>
    </row>
    <row r="2111">
      <c r="A2111" t="inlineStr">
        <is>
          <t>MR24</t>
        </is>
      </c>
      <c r="B2111" t="inlineStr">
        <is>
          <t>SIMULACIONES_MR2024_V3</t>
        </is>
      </c>
      <c r="C2111" t="inlineStr">
        <is>
          <t>toneladas (6000 m3 x MR24_BD); pct sobre toneladas</t>
        </is>
      </c>
      <c r="D2111" t="inlineStr">
        <is>
          <t>fase_LOM25_FASES_LE2</t>
        </is>
      </c>
      <c r="E2111" t="inlineStr">
        <is>
          <t>sin dato</t>
        </is>
      </c>
      <c r="F2111" t="inlineStr">
        <is>
          <t>litologia_tentativa</t>
        </is>
      </c>
      <c r="G2111" t="inlineStr">
        <is>
          <t>Caliza (hipótesis: siglas C*)</t>
        </is>
      </c>
      <c r="H2111" t="inlineStr"/>
      <c r="I2111" t="inlineStr"/>
      <c r="J2111" t="inlineStr">
        <is>
          <t>suma de filas por código</t>
        </is>
      </c>
      <c r="K2111" t="inlineStr">
        <is>
          <t>Caliza (hipótesis: siglas C*)</t>
        </is>
      </c>
      <c r="L2111" t="inlineStr"/>
      <c r="M2111" t="n">
        <v>992</v>
      </c>
      <c r="N2111" t="n">
        <v>5952000</v>
      </c>
      <c r="O2111" t="n">
        <v>16125510</v>
      </c>
      <c r="P2111" t="inlineStr"/>
      <c r="Q2111" t="n">
        <v>10.873</v>
      </c>
    </row>
    <row r="2112">
      <c r="A2112" t="inlineStr">
        <is>
          <t>MR24</t>
        </is>
      </c>
      <c r="B2112" t="inlineStr">
        <is>
          <t>SIMULACIONES_MR2024_V3</t>
        </is>
      </c>
      <c r="C2112" t="inlineStr">
        <is>
          <t>toneladas (6000 m3 x MR24_BD); pct sobre toneladas</t>
        </is>
      </c>
      <c r="D2112" t="inlineStr">
        <is>
          <t>fase_LOM25_FASES_LE2</t>
        </is>
      </c>
      <c r="E2112" t="inlineStr">
        <is>
          <t>sin dato</t>
        </is>
      </c>
      <c r="F2112" t="inlineStr">
        <is>
          <t>litologia_tentativa</t>
        </is>
      </c>
      <c r="G2112" t="inlineStr">
        <is>
          <t>Hornfels (hipótesis: siglas HBV, HGV, HCB, HDP; 'Diop. Hornfels'~HGV)</t>
        </is>
      </c>
      <c r="H2112" t="inlineStr"/>
      <c r="I2112" t="inlineStr"/>
      <c r="J2112" t="inlineStr">
        <is>
          <t>suma de filas por código</t>
        </is>
      </c>
      <c r="K2112" t="inlineStr">
        <is>
          <t>Hornfels (hipótesis: siglas HBV, HGV, HCB, HDP; 'Diop. Hornfels'~HGV)</t>
        </is>
      </c>
      <c r="L2112" t="inlineStr"/>
      <c r="M2112" t="n">
        <v>12</v>
      </c>
      <c r="N2112" t="n">
        <v>72000</v>
      </c>
      <c r="O2112" t="n">
        <v>207048</v>
      </c>
      <c r="P2112" t="inlineStr"/>
      <c r="Q2112" t="n">
        <v>0.14</v>
      </c>
    </row>
    <row r="2113">
      <c r="A2113" t="inlineStr">
        <is>
          <t>MR24</t>
        </is>
      </c>
      <c r="B2113" t="inlineStr">
        <is>
          <t>SIMULACIONES_MR2024_V3</t>
        </is>
      </c>
      <c r="C2113" t="inlineStr">
        <is>
          <t>toneladas (6000 m3 x MR24_BD); pct sobre toneladas</t>
        </is>
      </c>
      <c r="D2113" t="inlineStr">
        <is>
          <t>fase_LOM25_FASES_LE2</t>
        </is>
      </c>
      <c r="E2113" t="inlineStr">
        <is>
          <t>sin dato</t>
        </is>
      </c>
      <c r="F2113" t="inlineStr">
        <is>
          <t>litologia_tentativa</t>
        </is>
      </c>
      <c r="G2113" t="inlineStr">
        <is>
          <t>Hornfels (hipótesis: siglas HG, HGS, HC)</t>
        </is>
      </c>
      <c r="H2113" t="inlineStr"/>
      <c r="I2113" t="inlineStr"/>
      <c r="J2113" t="inlineStr">
        <is>
          <t>suma de filas por código</t>
        </is>
      </c>
      <c r="K2113" t="inlineStr">
        <is>
          <t>Hornfels (hipótesis: siglas HG, HGS, HC)</t>
        </is>
      </c>
      <c r="L2113" t="inlineStr"/>
      <c r="M2113" t="n">
        <v>373</v>
      </c>
      <c r="N2113" t="n">
        <v>2238000</v>
      </c>
      <c r="O2113" t="n">
        <v>6032706</v>
      </c>
      <c r="P2113" t="inlineStr"/>
      <c r="Q2113" t="n">
        <v>4.068</v>
      </c>
    </row>
    <row r="2114">
      <c r="A2114" t="inlineStr">
        <is>
          <t>MR24</t>
        </is>
      </c>
      <c r="B2114" t="inlineStr">
        <is>
          <t>SIMULACIONES_MR2024_V3</t>
        </is>
      </c>
      <c r="C2114" t="inlineStr">
        <is>
          <t>toneladas (6000 m3 x MR24_BD); pct sobre toneladas</t>
        </is>
      </c>
      <c r="D2114" t="inlineStr">
        <is>
          <t>fase_LOM25_FASES_LE2</t>
        </is>
      </c>
      <c r="E2114" t="inlineStr">
        <is>
          <t>sin dato</t>
        </is>
      </c>
      <c r="F2114" t="inlineStr">
        <is>
          <t>litologia_tentativa</t>
        </is>
      </c>
      <c r="G2114" t="inlineStr">
        <is>
          <t>Intrusivo</t>
        </is>
      </c>
      <c r="H2114" t="inlineStr"/>
      <c r="I2114" t="inlineStr"/>
      <c r="J2114" t="inlineStr">
        <is>
          <t>suma de filas por código</t>
        </is>
      </c>
      <c r="K2114" t="inlineStr">
        <is>
          <t>Intrusivo</t>
        </is>
      </c>
      <c r="L2114" t="inlineStr"/>
      <c r="M2114" t="n">
        <v>2277</v>
      </c>
      <c r="N2114" t="n">
        <v>13662000</v>
      </c>
      <c r="O2114" t="n">
        <v>33585342</v>
      </c>
      <c r="P2114" t="inlineStr"/>
      <c r="Q2114" t="n">
        <v>22.645</v>
      </c>
    </row>
    <row r="2115">
      <c r="A2115" t="inlineStr">
        <is>
          <t>MR24</t>
        </is>
      </c>
      <c r="B2115" t="inlineStr">
        <is>
          <t>SIMULACIONES_MR2024_V3</t>
        </is>
      </c>
      <c r="C2115" t="inlineStr">
        <is>
          <t>toneladas (6000 m3 x MR24_BD); pct sobre toneladas</t>
        </is>
      </c>
      <c r="D2115" t="inlineStr">
        <is>
          <t>fase_LOM25_FASES_LE2</t>
        </is>
      </c>
      <c r="E2115" t="inlineStr">
        <is>
          <t>sin dato</t>
        </is>
      </c>
      <c r="F2115" t="inlineStr">
        <is>
          <t>litologia_tentativa</t>
        </is>
      </c>
      <c r="G2115" t="inlineStr">
        <is>
          <t>Mármol (hipótesis: sigla MDP)</t>
        </is>
      </c>
      <c r="H2115" t="inlineStr"/>
      <c r="I2115" t="inlineStr"/>
      <c r="J2115" t="inlineStr">
        <is>
          <t>suma de filas por código</t>
        </is>
      </c>
      <c r="K2115" t="inlineStr">
        <is>
          <t>Mármol (hipótesis: sigla MDP)</t>
        </is>
      </c>
      <c r="L2115" t="inlineStr"/>
      <c r="M2115" t="n">
        <v>10</v>
      </c>
      <c r="N2115" t="n">
        <v>60000</v>
      </c>
      <c r="O2115" t="n">
        <v>169560</v>
      </c>
      <c r="P2115" t="inlineStr"/>
      <c r="Q2115" t="n">
        <v>0.114</v>
      </c>
    </row>
    <row r="2116">
      <c r="A2116" t="inlineStr">
        <is>
          <t>MR24</t>
        </is>
      </c>
      <c r="B2116" t="inlineStr">
        <is>
          <t>SIMULACIONES_MR2024_V3</t>
        </is>
      </c>
      <c r="C2116" t="inlineStr">
        <is>
          <t>toneladas (6000 m3 x MR24_BD); pct sobre toneladas</t>
        </is>
      </c>
      <c r="D2116" t="inlineStr">
        <is>
          <t>fase_LOM25_FASES_LE2</t>
        </is>
      </c>
      <c r="E2116" t="inlineStr">
        <is>
          <t>sin dato</t>
        </is>
      </c>
      <c r="F2116" t="inlineStr">
        <is>
          <t>litologia_tentativa</t>
        </is>
      </c>
      <c r="G2116" t="inlineStr">
        <is>
          <t>Mármol (hipótesis: siglas MC, MG, MGS, MPA, MCGB; 'Marble'~MCGB)</t>
        </is>
      </c>
      <c r="H2116" t="inlineStr"/>
      <c r="I2116" t="inlineStr"/>
      <c r="J2116" t="inlineStr">
        <is>
          <t>suma de filas por código</t>
        </is>
      </c>
      <c r="K2116" t="inlineStr">
        <is>
          <t>Mármol (hipótesis: siglas MC, MG, MGS, MPA, MCGB; 'Marble'~MCGB)</t>
        </is>
      </c>
      <c r="L2116" t="inlineStr"/>
      <c r="M2116" t="n">
        <v>3701</v>
      </c>
      <c r="N2116" t="n">
        <v>22206000</v>
      </c>
      <c r="O2116" t="n">
        <v>59897010</v>
      </c>
      <c r="P2116" t="inlineStr"/>
      <c r="Q2116" t="n">
        <v>40.386</v>
      </c>
    </row>
    <row r="2117">
      <c r="A2117" t="inlineStr">
        <is>
          <t>MR24</t>
        </is>
      </c>
      <c r="B2117" t="inlineStr">
        <is>
          <t>SIMULACIONES_MR2024_V3</t>
        </is>
      </c>
      <c r="C2117" t="inlineStr">
        <is>
          <t>toneladas (6000 m3 x MR24_BD); pct sobre toneladas</t>
        </is>
      </c>
      <c r="D2117" t="inlineStr">
        <is>
          <t>periodo_XLE2WST_AMIN</t>
        </is>
      </c>
      <c r="E2117" t="inlineStr">
        <is>
          <t>2025</t>
        </is>
      </c>
      <c r="F2117" t="inlineStr">
        <is>
          <t>litologia_tentativa</t>
        </is>
      </c>
      <c r="G2117" t="inlineStr">
        <is>
          <t>Caliza (hipótesis: Sedimentario; RT11~NUMEQ10, siglas C*)</t>
        </is>
      </c>
      <c r="H2117" t="inlineStr"/>
      <c r="I2117" t="inlineStr"/>
      <c r="J2117" t="inlineStr">
        <is>
          <t>suma de filas por código</t>
        </is>
      </c>
      <c r="K2117" t="inlineStr">
        <is>
          <t>Caliza (hipótesis: Sedimentario; RT11~NUMEQ10, siglas C*)</t>
        </is>
      </c>
      <c r="L2117" t="inlineStr"/>
      <c r="M2117" t="n">
        <v>1986</v>
      </c>
      <c r="N2117" t="n">
        <v>11916000</v>
      </c>
      <c r="O2117" t="n">
        <v>32230674</v>
      </c>
      <c r="P2117" t="inlineStr"/>
      <c r="Q2117" t="n">
        <v>16.895</v>
      </c>
    </row>
    <row r="2118">
      <c r="A2118" t="inlineStr">
        <is>
          <t>MR24</t>
        </is>
      </c>
      <c r="B2118" t="inlineStr">
        <is>
          <t>SIMULACIONES_MR2024_V3</t>
        </is>
      </c>
      <c r="C2118" t="inlineStr">
        <is>
          <t>toneladas (6000 m3 x MR24_BD); pct sobre toneladas</t>
        </is>
      </c>
      <c r="D2118" t="inlineStr">
        <is>
          <t>periodo_XLE2WST_AMIN</t>
        </is>
      </c>
      <c r="E2118" t="inlineStr">
        <is>
          <t>2025</t>
        </is>
      </c>
      <c r="F2118" t="inlineStr">
        <is>
          <t>litologia_tentativa</t>
        </is>
      </c>
      <c r="G2118" t="inlineStr">
        <is>
          <t>Caliza (hipótesis: siglas C*)</t>
        </is>
      </c>
      <c r="H2118" t="inlineStr"/>
      <c r="I2118" t="inlineStr"/>
      <c r="J2118" t="inlineStr">
        <is>
          <t>suma de filas por código</t>
        </is>
      </c>
      <c r="K2118" t="inlineStr">
        <is>
          <t>Caliza (hipótesis: siglas C*)</t>
        </is>
      </c>
      <c r="L2118" t="inlineStr"/>
      <c r="M2118" t="n">
        <v>1887</v>
      </c>
      <c r="N2118" t="n">
        <v>11322000</v>
      </c>
      <c r="O2118" t="n">
        <v>30585570</v>
      </c>
      <c r="P2118" t="inlineStr"/>
      <c r="Q2118" t="n">
        <v>16.032</v>
      </c>
    </row>
    <row r="2119">
      <c r="A2119" t="inlineStr">
        <is>
          <t>MR24</t>
        </is>
      </c>
      <c r="B2119" t="inlineStr">
        <is>
          <t>SIMULACIONES_MR2024_V3</t>
        </is>
      </c>
      <c r="C2119" t="inlineStr">
        <is>
          <t>toneladas (6000 m3 x MR24_BD); pct sobre toneladas</t>
        </is>
      </c>
      <c r="D2119" t="inlineStr">
        <is>
          <t>periodo_XLE2WST_AMIN</t>
        </is>
      </c>
      <c r="E2119" t="inlineStr">
        <is>
          <t>2025</t>
        </is>
      </c>
      <c r="F2119" t="inlineStr">
        <is>
          <t>litologia_tentativa</t>
        </is>
      </c>
      <c r="G2119" t="inlineStr">
        <is>
          <t>Hornfels (hipótesis: siglas HBV, HGV, HCB, HDP; 'Diop. Hornfels'~HGV)</t>
        </is>
      </c>
      <c r="H2119" t="inlineStr"/>
      <c r="I2119" t="inlineStr"/>
      <c r="J2119" t="inlineStr">
        <is>
          <t>suma de filas por código</t>
        </is>
      </c>
      <c r="K2119" t="inlineStr">
        <is>
          <t>Hornfels (hipótesis: siglas HBV, HGV, HCB, HDP; 'Diop. Hornfels'~HGV)</t>
        </is>
      </c>
      <c r="L2119" t="inlineStr"/>
      <c r="M2119" t="n">
        <v>85</v>
      </c>
      <c r="N2119" t="n">
        <v>510000</v>
      </c>
      <c r="O2119" t="n">
        <v>1468158</v>
      </c>
      <c r="P2119" t="inlineStr"/>
      <c r="Q2119" t="n">
        <v>0.77</v>
      </c>
    </row>
    <row r="2120">
      <c r="A2120" t="inlineStr">
        <is>
          <t>MR24</t>
        </is>
      </c>
      <c r="B2120" t="inlineStr">
        <is>
          <t>SIMULACIONES_MR2024_V3</t>
        </is>
      </c>
      <c r="C2120" t="inlineStr">
        <is>
          <t>toneladas (6000 m3 x MR24_BD); pct sobre toneladas</t>
        </is>
      </c>
      <c r="D2120" t="inlineStr">
        <is>
          <t>periodo_XLE2WST_AMIN</t>
        </is>
      </c>
      <c r="E2120" t="inlineStr">
        <is>
          <t>2025</t>
        </is>
      </c>
      <c r="F2120" t="inlineStr">
        <is>
          <t>litologia_tentativa</t>
        </is>
      </c>
      <c r="G2120" t="inlineStr">
        <is>
          <t>Hornfels (hipótesis: siglas HG, HGS, HC)</t>
        </is>
      </c>
      <c r="H2120" t="inlineStr"/>
      <c r="I2120" t="inlineStr"/>
      <c r="J2120" t="inlineStr">
        <is>
          <t>suma de filas por código</t>
        </is>
      </c>
      <c r="K2120" t="inlineStr">
        <is>
          <t>Hornfels (hipótesis: siglas HG, HGS, HC)</t>
        </is>
      </c>
      <c r="L2120" t="inlineStr"/>
      <c r="M2120" t="n">
        <v>1605</v>
      </c>
      <c r="N2120" t="n">
        <v>9630000</v>
      </c>
      <c r="O2120" t="n">
        <v>25963122</v>
      </c>
      <c r="P2120" t="inlineStr"/>
      <c r="Q2120" t="n">
        <v>13.609</v>
      </c>
    </row>
    <row r="2121">
      <c r="A2121" t="inlineStr">
        <is>
          <t>MR24</t>
        </is>
      </c>
      <c r="B2121" t="inlineStr">
        <is>
          <t>SIMULACIONES_MR2024_V3</t>
        </is>
      </c>
      <c r="C2121" t="inlineStr">
        <is>
          <t>toneladas (6000 m3 x MR24_BD); pct sobre toneladas</t>
        </is>
      </c>
      <c r="D2121" t="inlineStr">
        <is>
          <t>periodo_XLE2WST_AMIN</t>
        </is>
      </c>
      <c r="E2121" t="inlineStr">
        <is>
          <t>2025</t>
        </is>
      </c>
      <c r="F2121" t="inlineStr">
        <is>
          <t>litologia_tentativa</t>
        </is>
      </c>
      <c r="G2121" t="inlineStr">
        <is>
          <t>Intrusivo</t>
        </is>
      </c>
      <c r="H2121" t="inlineStr"/>
      <c r="I2121" t="inlineStr"/>
      <c r="J2121" t="inlineStr">
        <is>
          <t>suma de filas por código</t>
        </is>
      </c>
      <c r="K2121" t="inlineStr">
        <is>
          <t>Intrusivo</t>
        </is>
      </c>
      <c r="L2121" t="inlineStr"/>
      <c r="M2121" t="n">
        <v>852</v>
      </c>
      <c r="N2121" t="n">
        <v>5112000</v>
      </c>
      <c r="O2121" t="n">
        <v>12553908</v>
      </c>
      <c r="P2121" t="inlineStr"/>
      <c r="Q2121" t="n">
        <v>6.581</v>
      </c>
    </row>
    <row r="2122">
      <c r="A2122" t="inlineStr">
        <is>
          <t>MR24</t>
        </is>
      </c>
      <c r="B2122" t="inlineStr">
        <is>
          <t>SIMULACIONES_MR2024_V3</t>
        </is>
      </c>
      <c r="C2122" t="inlineStr">
        <is>
          <t>toneladas (6000 m3 x MR24_BD); pct sobre toneladas</t>
        </is>
      </c>
      <c r="D2122" t="inlineStr">
        <is>
          <t>periodo_XLE2WST_AMIN</t>
        </is>
      </c>
      <c r="E2122" t="inlineStr">
        <is>
          <t>2025</t>
        </is>
      </c>
      <c r="F2122" t="inlineStr">
        <is>
          <t>litologia_tentativa</t>
        </is>
      </c>
      <c r="G2122" t="inlineStr">
        <is>
          <t>Mármol (hipótesis: sigla MDP)</t>
        </is>
      </c>
      <c r="H2122" t="inlineStr"/>
      <c r="I2122" t="inlineStr"/>
      <c r="J2122" t="inlineStr">
        <is>
          <t>suma de filas por código</t>
        </is>
      </c>
      <c r="K2122" t="inlineStr">
        <is>
          <t>Mármol (hipótesis: sigla MDP)</t>
        </is>
      </c>
      <c r="L2122" t="inlineStr"/>
      <c r="M2122" t="n">
        <v>267</v>
      </c>
      <c r="N2122" t="n">
        <v>1602000</v>
      </c>
      <c r="O2122" t="n">
        <v>4532958</v>
      </c>
      <c r="P2122" t="inlineStr"/>
      <c r="Q2122" t="n">
        <v>2.376</v>
      </c>
    </row>
    <row r="2123">
      <c r="A2123" t="inlineStr">
        <is>
          <t>MR24</t>
        </is>
      </c>
      <c r="B2123" t="inlineStr">
        <is>
          <t>SIMULACIONES_MR2024_V3</t>
        </is>
      </c>
      <c r="C2123" t="inlineStr">
        <is>
          <t>toneladas (6000 m3 x MR24_BD); pct sobre toneladas</t>
        </is>
      </c>
      <c r="D2123" t="inlineStr">
        <is>
          <t>periodo_XLE2WST_AMIN</t>
        </is>
      </c>
      <c r="E2123" t="inlineStr">
        <is>
          <t>2025</t>
        </is>
      </c>
      <c r="F2123" t="inlineStr">
        <is>
          <t>litologia_tentativa</t>
        </is>
      </c>
      <c r="G2123" t="inlineStr">
        <is>
          <t>Mármol (hipótesis: siglas MC, MG, MGS, MPA, MCGB; 'Marble'~MCGB)</t>
        </is>
      </c>
      <c r="H2123" t="inlineStr"/>
      <c r="I2123" t="inlineStr"/>
      <c r="J2123" t="inlineStr">
        <is>
          <t>suma de filas por código</t>
        </is>
      </c>
      <c r="K2123" t="inlineStr">
        <is>
          <t>Mármol (hipótesis: siglas MC, MG, MGS, MPA, MCGB; 'Marble'~MCGB)</t>
        </is>
      </c>
      <c r="L2123" t="inlineStr"/>
      <c r="M2123" t="n">
        <v>5106</v>
      </c>
      <c r="N2123" t="n">
        <v>30636000</v>
      </c>
      <c r="O2123" t="n">
        <v>83099964</v>
      </c>
      <c r="P2123" t="inlineStr"/>
      <c r="Q2123" t="n">
        <v>43.559</v>
      </c>
    </row>
    <row r="2124">
      <c r="A2124" t="inlineStr">
        <is>
          <t>MR24</t>
        </is>
      </c>
      <c r="B2124" t="inlineStr">
        <is>
          <t>SIMULACIONES_MR2024_V3</t>
        </is>
      </c>
      <c r="C2124" t="inlineStr">
        <is>
          <t>toneladas (6000 m3 x MR24_BD); pct sobre toneladas</t>
        </is>
      </c>
      <c r="D2124" t="inlineStr">
        <is>
          <t>periodo_XLE2WST_AMIN</t>
        </is>
      </c>
      <c r="E2124" t="inlineStr">
        <is>
          <t>2025</t>
        </is>
      </c>
      <c r="F2124" t="inlineStr">
        <is>
          <t>litologia_tentativa</t>
        </is>
      </c>
      <c r="G2124" t="inlineStr">
        <is>
          <t>sin hipótesis</t>
        </is>
      </c>
      <c r="H2124" t="inlineStr"/>
      <c r="I2124" t="inlineStr"/>
      <c r="J2124" t="inlineStr">
        <is>
          <t>suma de filas por código</t>
        </is>
      </c>
      <c r="K2124" t="inlineStr">
        <is>
          <t>sin hipótesis</t>
        </is>
      </c>
      <c r="L2124" t="inlineStr"/>
      <c r="M2124" t="n">
        <v>22</v>
      </c>
      <c r="N2124" t="n">
        <v>132000</v>
      </c>
      <c r="O2124" t="n">
        <v>340146</v>
      </c>
      <c r="P2124" t="inlineStr"/>
      <c r="Q2124" t="n">
        <v>0.178</v>
      </c>
    </row>
    <row r="2125">
      <c r="A2125" t="inlineStr">
        <is>
          <t>MR24</t>
        </is>
      </c>
      <c r="B2125" t="inlineStr">
        <is>
          <t>SIMULACIONES_MR2024_V3</t>
        </is>
      </c>
      <c r="C2125" t="inlineStr">
        <is>
          <t>toneladas (6000 m3 x MR24_BD); pct sobre toneladas</t>
        </is>
      </c>
      <c r="D2125" t="inlineStr">
        <is>
          <t>periodo_XLE2WST_AMIN</t>
        </is>
      </c>
      <c r="E2125" t="inlineStr">
        <is>
          <t>2026</t>
        </is>
      </c>
      <c r="F2125" t="inlineStr">
        <is>
          <t>litologia_tentativa</t>
        </is>
      </c>
      <c r="G2125" t="inlineStr">
        <is>
          <t>Caliza (hipótesis: Sedimentario; RT11~NUMEQ10, siglas C*)</t>
        </is>
      </c>
      <c r="H2125" t="inlineStr"/>
      <c r="I2125" t="inlineStr"/>
      <c r="J2125" t="inlineStr">
        <is>
          <t>suma de filas por código</t>
        </is>
      </c>
      <c r="K2125" t="inlineStr">
        <is>
          <t>Caliza (hipótesis: Sedimentario; RT11~NUMEQ10, siglas C*)</t>
        </is>
      </c>
      <c r="L2125" t="inlineStr"/>
      <c r="M2125" t="n">
        <v>2048</v>
      </c>
      <c r="N2125" t="n">
        <v>12288000</v>
      </c>
      <c r="O2125" t="n">
        <v>33317802</v>
      </c>
      <c r="P2125" t="inlineStr"/>
      <c r="Q2125" t="n">
        <v>17.222</v>
      </c>
    </row>
    <row r="2126">
      <c r="A2126" t="inlineStr">
        <is>
          <t>MR24</t>
        </is>
      </c>
      <c r="B2126" t="inlineStr">
        <is>
          <t>SIMULACIONES_MR2024_V3</t>
        </is>
      </c>
      <c r="C2126" t="inlineStr">
        <is>
          <t>toneladas (6000 m3 x MR24_BD); pct sobre toneladas</t>
        </is>
      </c>
      <c r="D2126" t="inlineStr">
        <is>
          <t>periodo_XLE2WST_AMIN</t>
        </is>
      </c>
      <c r="E2126" t="inlineStr">
        <is>
          <t>2026</t>
        </is>
      </c>
      <c r="F2126" t="inlineStr">
        <is>
          <t>litologia_tentativa</t>
        </is>
      </c>
      <c r="G2126" t="inlineStr">
        <is>
          <t>Caliza (hipótesis: siglas C*)</t>
        </is>
      </c>
      <c r="H2126" t="inlineStr"/>
      <c r="I2126" t="inlineStr"/>
      <c r="J2126" t="inlineStr">
        <is>
          <t>suma de filas por código</t>
        </is>
      </c>
      <c r="K2126" t="inlineStr">
        <is>
          <t>Caliza (hipótesis: siglas C*)</t>
        </is>
      </c>
      <c r="L2126" t="inlineStr"/>
      <c r="M2126" t="n">
        <v>560</v>
      </c>
      <c r="N2126" t="n">
        <v>3360000</v>
      </c>
      <c r="O2126" t="n">
        <v>9065682</v>
      </c>
      <c r="P2126" t="inlineStr"/>
      <c r="Q2126" t="n">
        <v>4.686</v>
      </c>
    </row>
    <row r="2127">
      <c r="A2127" t="inlineStr">
        <is>
          <t>MR24</t>
        </is>
      </c>
      <c r="B2127" t="inlineStr">
        <is>
          <t>SIMULACIONES_MR2024_V3</t>
        </is>
      </c>
      <c r="C2127" t="inlineStr">
        <is>
          <t>toneladas (6000 m3 x MR24_BD); pct sobre toneladas</t>
        </is>
      </c>
      <c r="D2127" t="inlineStr">
        <is>
          <t>periodo_XLE2WST_AMIN</t>
        </is>
      </c>
      <c r="E2127" t="inlineStr">
        <is>
          <t>2026</t>
        </is>
      </c>
      <c r="F2127" t="inlineStr">
        <is>
          <t>litologia_tentativa</t>
        </is>
      </c>
      <c r="G2127" t="inlineStr">
        <is>
          <t>Hornfels (hipótesis: siglas HBV, HGV, HCB, HDP; 'Diop. Hornfels'~HGV)</t>
        </is>
      </c>
      <c r="H2127" t="inlineStr"/>
      <c r="I2127" t="inlineStr"/>
      <c r="J2127" t="inlineStr">
        <is>
          <t>suma de filas por código</t>
        </is>
      </c>
      <c r="K2127" t="inlineStr">
        <is>
          <t>Hornfels (hipótesis: siglas HBV, HGV, HCB, HDP; 'Diop. Hornfels'~HGV)</t>
        </is>
      </c>
      <c r="L2127" t="inlineStr"/>
      <c r="M2127" t="n">
        <v>315</v>
      </c>
      <c r="N2127" t="n">
        <v>1890000</v>
      </c>
      <c r="O2127" t="n">
        <v>5415990</v>
      </c>
      <c r="P2127" t="inlineStr"/>
      <c r="Q2127" t="n">
        <v>2.8</v>
      </c>
    </row>
    <row r="2128">
      <c r="A2128" t="inlineStr">
        <is>
          <t>MR24</t>
        </is>
      </c>
      <c r="B2128" t="inlineStr">
        <is>
          <t>SIMULACIONES_MR2024_V3</t>
        </is>
      </c>
      <c r="C2128" t="inlineStr">
        <is>
          <t>toneladas (6000 m3 x MR24_BD); pct sobre toneladas</t>
        </is>
      </c>
      <c r="D2128" t="inlineStr">
        <is>
          <t>periodo_XLE2WST_AMIN</t>
        </is>
      </c>
      <c r="E2128" t="inlineStr">
        <is>
          <t>2026</t>
        </is>
      </c>
      <c r="F2128" t="inlineStr">
        <is>
          <t>litologia_tentativa</t>
        </is>
      </c>
      <c r="G2128" t="inlineStr">
        <is>
          <t>Hornfels (hipótesis: siglas HG, HGS, HC)</t>
        </is>
      </c>
      <c r="H2128" t="inlineStr"/>
      <c r="I2128" t="inlineStr"/>
      <c r="J2128" t="inlineStr">
        <is>
          <t>suma de filas por código</t>
        </is>
      </c>
      <c r="K2128" t="inlineStr">
        <is>
          <t>Hornfels (hipótesis: siglas HG, HGS, HC)</t>
        </is>
      </c>
      <c r="L2128" t="inlineStr"/>
      <c r="M2128" t="n">
        <v>1088</v>
      </c>
      <c r="N2128" t="n">
        <v>6528000</v>
      </c>
      <c r="O2128" t="n">
        <v>17595030</v>
      </c>
      <c r="P2128" t="inlineStr"/>
      <c r="Q2128" t="n">
        <v>9.095000000000001</v>
      </c>
    </row>
    <row r="2129">
      <c r="A2129" t="inlineStr">
        <is>
          <t>MR24</t>
        </is>
      </c>
      <c r="B2129" t="inlineStr">
        <is>
          <t>SIMULACIONES_MR2024_V3</t>
        </is>
      </c>
      <c r="C2129" t="inlineStr">
        <is>
          <t>toneladas (6000 m3 x MR24_BD); pct sobre toneladas</t>
        </is>
      </c>
      <c r="D2129" t="inlineStr">
        <is>
          <t>periodo_XLE2WST_AMIN</t>
        </is>
      </c>
      <c r="E2129" t="inlineStr">
        <is>
          <t>2026</t>
        </is>
      </c>
      <c r="F2129" t="inlineStr">
        <is>
          <t>litologia_tentativa</t>
        </is>
      </c>
      <c r="G2129" t="inlineStr">
        <is>
          <t>Intrusivo</t>
        </is>
      </c>
      <c r="H2129" t="inlineStr"/>
      <c r="I2129" t="inlineStr"/>
      <c r="J2129" t="inlineStr">
        <is>
          <t>suma de filas por código</t>
        </is>
      </c>
      <c r="K2129" t="inlineStr">
        <is>
          <t>Intrusivo</t>
        </is>
      </c>
      <c r="L2129" t="inlineStr"/>
      <c r="M2129" t="n">
        <v>1161</v>
      </c>
      <c r="N2129" t="n">
        <v>6966000</v>
      </c>
      <c r="O2129" t="n">
        <v>17100696</v>
      </c>
      <c r="P2129" t="inlineStr"/>
      <c r="Q2129" t="n">
        <v>8.839</v>
      </c>
    </row>
    <row r="2130">
      <c r="A2130" t="inlineStr">
        <is>
          <t>MR24</t>
        </is>
      </c>
      <c r="B2130" t="inlineStr">
        <is>
          <t>SIMULACIONES_MR2024_V3</t>
        </is>
      </c>
      <c r="C2130" t="inlineStr">
        <is>
          <t>toneladas (6000 m3 x MR24_BD); pct sobre toneladas</t>
        </is>
      </c>
      <c r="D2130" t="inlineStr">
        <is>
          <t>periodo_XLE2WST_AMIN</t>
        </is>
      </c>
      <c r="E2130" t="inlineStr">
        <is>
          <t>2026</t>
        </is>
      </c>
      <c r="F2130" t="inlineStr">
        <is>
          <t>litologia_tentativa</t>
        </is>
      </c>
      <c r="G2130" t="inlineStr">
        <is>
          <t>Mármol (hipótesis: sigla MDP)</t>
        </is>
      </c>
      <c r="H2130" t="inlineStr"/>
      <c r="I2130" t="inlineStr"/>
      <c r="J2130" t="inlineStr">
        <is>
          <t>suma de filas por código</t>
        </is>
      </c>
      <c r="K2130" t="inlineStr">
        <is>
          <t>Mármol (hipótesis: sigla MDP)</t>
        </is>
      </c>
      <c r="L2130" t="inlineStr"/>
      <c r="M2130" t="n">
        <v>517</v>
      </c>
      <c r="N2130" t="n">
        <v>3102000</v>
      </c>
      <c r="O2130" t="n">
        <v>8860056</v>
      </c>
      <c r="P2130" t="inlineStr"/>
      <c r="Q2130" t="n">
        <v>4.58</v>
      </c>
    </row>
    <row r="2131">
      <c r="A2131" t="inlineStr">
        <is>
          <t>MR24</t>
        </is>
      </c>
      <c r="B2131" t="inlineStr">
        <is>
          <t>SIMULACIONES_MR2024_V3</t>
        </is>
      </c>
      <c r="C2131" t="inlineStr">
        <is>
          <t>toneladas (6000 m3 x MR24_BD); pct sobre toneladas</t>
        </is>
      </c>
      <c r="D2131" t="inlineStr">
        <is>
          <t>periodo_XLE2WST_AMIN</t>
        </is>
      </c>
      <c r="E2131" t="inlineStr">
        <is>
          <t>2026</t>
        </is>
      </c>
      <c r="F2131" t="inlineStr">
        <is>
          <t>litologia_tentativa</t>
        </is>
      </c>
      <c r="G2131" t="inlineStr">
        <is>
          <t>Mármol (hipótesis: siglas MC, MG, MGS, MPA, MCGB; 'Marble'~MCGB)</t>
        </is>
      </c>
      <c r="H2131" t="inlineStr"/>
      <c r="I2131" t="inlineStr"/>
      <c r="J2131" t="inlineStr">
        <is>
          <t>suma de filas por código</t>
        </is>
      </c>
      <c r="K2131" t="inlineStr">
        <is>
          <t>Mármol (hipótesis: siglas MC, MG, MGS, MPA, MCGB; 'Marble'~MCGB)</t>
        </is>
      </c>
      <c r="L2131" t="inlineStr"/>
      <c r="M2131" t="n">
        <v>6252</v>
      </c>
      <c r="N2131" t="n">
        <v>37512000</v>
      </c>
      <c r="O2131" t="n">
        <v>101387838</v>
      </c>
      <c r="P2131" t="inlineStr"/>
      <c r="Q2131" t="n">
        <v>52.408</v>
      </c>
    </row>
    <row r="2132">
      <c r="A2132" t="inlineStr">
        <is>
          <t>MR24</t>
        </is>
      </c>
      <c r="B2132" t="inlineStr">
        <is>
          <t>SIMULACIONES_MR2024_V3</t>
        </is>
      </c>
      <c r="C2132" t="inlineStr">
        <is>
          <t>toneladas (6000 m3 x MR24_BD); pct sobre toneladas</t>
        </is>
      </c>
      <c r="D2132" t="inlineStr">
        <is>
          <t>periodo_XLE2WST_AMIN</t>
        </is>
      </c>
      <c r="E2132" t="inlineStr">
        <is>
          <t>2026</t>
        </is>
      </c>
      <c r="F2132" t="inlineStr">
        <is>
          <t>litologia_tentativa</t>
        </is>
      </c>
      <c r="G2132" t="inlineStr">
        <is>
          <t>sin hipótesis</t>
        </is>
      </c>
      <c r="H2132" t="inlineStr"/>
      <c r="I2132" t="inlineStr"/>
      <c r="J2132" t="inlineStr">
        <is>
          <t>suma de filas por código</t>
        </is>
      </c>
      <c r="K2132" t="inlineStr">
        <is>
          <t>sin hipótesis</t>
        </is>
      </c>
      <c r="L2132" t="inlineStr"/>
      <c r="M2132" t="n">
        <v>46</v>
      </c>
      <c r="N2132" t="n">
        <v>276000</v>
      </c>
      <c r="O2132" t="n">
        <v>715620</v>
      </c>
      <c r="P2132" t="inlineStr"/>
      <c r="Q2132" t="n">
        <v>0.37</v>
      </c>
    </row>
    <row r="2133">
      <c r="A2133" t="inlineStr">
        <is>
          <t>MR24</t>
        </is>
      </c>
      <c r="B2133" t="inlineStr">
        <is>
          <t>SIMULACIONES_MR2024_V3</t>
        </is>
      </c>
      <c r="C2133" t="inlineStr">
        <is>
          <t>toneladas (6000 m3 x MR24_BD); pct sobre toneladas</t>
        </is>
      </c>
      <c r="D2133" t="inlineStr">
        <is>
          <t>periodo_XLE2WST_AMIN</t>
        </is>
      </c>
      <c r="E2133" t="inlineStr">
        <is>
          <t>2027</t>
        </is>
      </c>
      <c r="F2133" t="inlineStr">
        <is>
          <t>litologia_tentativa</t>
        </is>
      </c>
      <c r="G2133" t="inlineStr">
        <is>
          <t>Caliza (hipótesis: Sedimentario; RT11~NUMEQ10, siglas C*)</t>
        </is>
      </c>
      <c r="H2133" t="inlineStr"/>
      <c r="I2133" t="inlineStr"/>
      <c r="J2133" t="inlineStr">
        <is>
          <t>suma de filas por código</t>
        </is>
      </c>
      <c r="K2133" t="inlineStr">
        <is>
          <t>Caliza (hipótesis: Sedimentario; RT11~NUMEQ10, siglas C*)</t>
        </is>
      </c>
      <c r="L2133" t="inlineStr"/>
      <c r="M2133" t="n">
        <v>269</v>
      </c>
      <c r="N2133" t="n">
        <v>1614000</v>
      </c>
      <c r="O2133" t="n">
        <v>4364520</v>
      </c>
      <c r="P2133" t="inlineStr"/>
      <c r="Q2133" t="n">
        <v>2.618</v>
      </c>
    </row>
    <row r="2134">
      <c r="A2134" t="inlineStr">
        <is>
          <t>MR24</t>
        </is>
      </c>
      <c r="B2134" t="inlineStr">
        <is>
          <t>SIMULACIONES_MR2024_V3</t>
        </is>
      </c>
      <c r="C2134" t="inlineStr">
        <is>
          <t>toneladas (6000 m3 x MR24_BD); pct sobre toneladas</t>
        </is>
      </c>
      <c r="D2134" t="inlineStr">
        <is>
          <t>periodo_XLE2WST_AMIN</t>
        </is>
      </c>
      <c r="E2134" t="inlineStr">
        <is>
          <t>2027</t>
        </is>
      </c>
      <c r="F2134" t="inlineStr">
        <is>
          <t>litologia_tentativa</t>
        </is>
      </c>
      <c r="G2134" t="inlineStr">
        <is>
          <t>Caliza (hipótesis: siglas C*)</t>
        </is>
      </c>
      <c r="H2134" t="inlineStr"/>
      <c r="I2134" t="inlineStr"/>
      <c r="J2134" t="inlineStr">
        <is>
          <t>suma de filas por código</t>
        </is>
      </c>
      <c r="K2134" t="inlineStr">
        <is>
          <t>Caliza (hipótesis: siglas C*)</t>
        </is>
      </c>
      <c r="L2134" t="inlineStr"/>
      <c r="M2134" t="n">
        <v>368</v>
      </c>
      <c r="N2134" t="n">
        <v>2208000</v>
      </c>
      <c r="O2134" t="n">
        <v>5970360</v>
      </c>
      <c r="P2134" t="inlineStr"/>
      <c r="Q2134" t="n">
        <v>3.581</v>
      </c>
    </row>
    <row r="2135">
      <c r="A2135" t="inlineStr">
        <is>
          <t>MR24</t>
        </is>
      </c>
      <c r="B2135" t="inlineStr">
        <is>
          <t>SIMULACIONES_MR2024_V3</t>
        </is>
      </c>
      <c r="C2135" t="inlineStr">
        <is>
          <t>toneladas (6000 m3 x MR24_BD); pct sobre toneladas</t>
        </is>
      </c>
      <c r="D2135" t="inlineStr">
        <is>
          <t>periodo_XLE2WST_AMIN</t>
        </is>
      </c>
      <c r="E2135" t="inlineStr">
        <is>
          <t>2027</t>
        </is>
      </c>
      <c r="F2135" t="inlineStr">
        <is>
          <t>litologia_tentativa</t>
        </is>
      </c>
      <c r="G2135" t="inlineStr">
        <is>
          <t>Hornfels (hipótesis: siglas HBV, HGV, HCB, HDP; 'Diop. Hornfels'~HGV)</t>
        </is>
      </c>
      <c r="H2135" t="inlineStr"/>
      <c r="I2135" t="inlineStr"/>
      <c r="J2135" t="inlineStr">
        <is>
          <t>suma de filas por código</t>
        </is>
      </c>
      <c r="K2135" t="inlineStr">
        <is>
          <t>Hornfels (hipótesis: siglas HBV, HGV, HCB, HDP; 'Diop. Hornfels'~HGV)</t>
        </is>
      </c>
      <c r="L2135" t="inlineStr"/>
      <c r="M2135" t="n">
        <v>252</v>
      </c>
      <c r="N2135" t="n">
        <v>1512000</v>
      </c>
      <c r="O2135" t="n">
        <v>4309038</v>
      </c>
      <c r="P2135" t="inlineStr"/>
      <c r="Q2135" t="n">
        <v>2.585</v>
      </c>
    </row>
    <row r="2136">
      <c r="A2136" t="inlineStr">
        <is>
          <t>MR24</t>
        </is>
      </c>
      <c r="B2136" t="inlineStr">
        <is>
          <t>SIMULACIONES_MR2024_V3</t>
        </is>
      </c>
      <c r="C2136" t="inlineStr">
        <is>
          <t>toneladas (6000 m3 x MR24_BD); pct sobre toneladas</t>
        </is>
      </c>
      <c r="D2136" t="inlineStr">
        <is>
          <t>periodo_XLE2WST_AMIN</t>
        </is>
      </c>
      <c r="E2136" t="inlineStr">
        <is>
          <t>2027</t>
        </is>
      </c>
      <c r="F2136" t="inlineStr">
        <is>
          <t>litologia_tentativa</t>
        </is>
      </c>
      <c r="G2136" t="inlineStr">
        <is>
          <t>Hornfels (hipótesis: siglas HG, HGS, HC)</t>
        </is>
      </c>
      <c r="H2136" t="inlineStr"/>
      <c r="I2136" t="inlineStr"/>
      <c r="J2136" t="inlineStr">
        <is>
          <t>suma de filas por código</t>
        </is>
      </c>
      <c r="K2136" t="inlineStr">
        <is>
          <t>Hornfels (hipótesis: siglas HG, HGS, HC)</t>
        </is>
      </c>
      <c r="L2136" t="inlineStr"/>
      <c r="M2136" t="n">
        <v>444</v>
      </c>
      <c r="N2136" t="n">
        <v>2664000</v>
      </c>
      <c r="O2136" t="n">
        <v>7221858</v>
      </c>
      <c r="P2136" t="inlineStr"/>
      <c r="Q2136" t="n">
        <v>4.332</v>
      </c>
    </row>
    <row r="2137">
      <c r="A2137" t="inlineStr">
        <is>
          <t>MR24</t>
        </is>
      </c>
      <c r="B2137" t="inlineStr">
        <is>
          <t>SIMULACIONES_MR2024_V3</t>
        </is>
      </c>
      <c r="C2137" t="inlineStr">
        <is>
          <t>toneladas (6000 m3 x MR24_BD); pct sobre toneladas</t>
        </is>
      </c>
      <c r="D2137" t="inlineStr">
        <is>
          <t>periodo_XLE2WST_AMIN</t>
        </is>
      </c>
      <c r="E2137" t="inlineStr">
        <is>
          <t>2027</t>
        </is>
      </c>
      <c r="F2137" t="inlineStr">
        <is>
          <t>litologia_tentativa</t>
        </is>
      </c>
      <c r="G2137" t="inlineStr">
        <is>
          <t>Intrusivo</t>
        </is>
      </c>
      <c r="H2137" t="inlineStr"/>
      <c r="I2137" t="inlineStr"/>
      <c r="J2137" t="inlineStr">
        <is>
          <t>suma de filas por código</t>
        </is>
      </c>
      <c r="K2137" t="inlineStr">
        <is>
          <t>Intrusivo</t>
        </is>
      </c>
      <c r="L2137" t="inlineStr"/>
      <c r="M2137" t="n">
        <v>1814</v>
      </c>
      <c r="N2137" t="n">
        <v>10884000</v>
      </c>
      <c r="O2137" t="n">
        <v>26616000</v>
      </c>
      <c r="P2137" t="inlineStr"/>
      <c r="Q2137" t="n">
        <v>15.965</v>
      </c>
    </row>
    <row r="2138">
      <c r="A2138" t="inlineStr">
        <is>
          <t>MR24</t>
        </is>
      </c>
      <c r="B2138" t="inlineStr">
        <is>
          <t>SIMULACIONES_MR2024_V3</t>
        </is>
      </c>
      <c r="C2138" t="inlineStr">
        <is>
          <t>toneladas (6000 m3 x MR24_BD); pct sobre toneladas</t>
        </is>
      </c>
      <c r="D2138" t="inlineStr">
        <is>
          <t>periodo_XLE2WST_AMIN</t>
        </is>
      </c>
      <c r="E2138" t="inlineStr">
        <is>
          <t>2027</t>
        </is>
      </c>
      <c r="F2138" t="inlineStr">
        <is>
          <t>litologia_tentativa</t>
        </is>
      </c>
      <c r="G2138" t="inlineStr">
        <is>
          <t>Mármol (hipótesis: sigla MDP)</t>
        </is>
      </c>
      <c r="H2138" t="inlineStr"/>
      <c r="I2138" t="inlineStr"/>
      <c r="J2138" t="inlineStr">
        <is>
          <t>suma de filas por código</t>
        </is>
      </c>
      <c r="K2138" t="inlineStr">
        <is>
          <t>Mármol (hipótesis: sigla MDP)</t>
        </is>
      </c>
      <c r="L2138" t="inlineStr"/>
      <c r="M2138" t="n">
        <v>528</v>
      </c>
      <c r="N2138" t="n">
        <v>3168000</v>
      </c>
      <c r="O2138" t="n">
        <v>9006792</v>
      </c>
      <c r="P2138" t="inlineStr"/>
      <c r="Q2138" t="n">
        <v>5.403</v>
      </c>
    </row>
    <row r="2139">
      <c r="A2139" t="inlineStr">
        <is>
          <t>MR24</t>
        </is>
      </c>
      <c r="B2139" t="inlineStr">
        <is>
          <t>SIMULACIONES_MR2024_V3</t>
        </is>
      </c>
      <c r="C2139" t="inlineStr">
        <is>
          <t>toneladas (6000 m3 x MR24_BD); pct sobre toneladas</t>
        </is>
      </c>
      <c r="D2139" t="inlineStr">
        <is>
          <t>periodo_XLE2WST_AMIN</t>
        </is>
      </c>
      <c r="E2139" t="inlineStr">
        <is>
          <t>2027</t>
        </is>
      </c>
      <c r="F2139" t="inlineStr">
        <is>
          <t>litologia_tentativa</t>
        </is>
      </c>
      <c r="G2139" t="inlineStr">
        <is>
          <t>Mármol (hipótesis: siglas MC, MG, MGS, MPA, MCGB; 'Marble'~MCGB)</t>
        </is>
      </c>
      <c r="H2139" t="inlineStr"/>
      <c r="I2139" t="inlineStr"/>
      <c r="J2139" t="inlineStr">
        <is>
          <t>suma de filas por código</t>
        </is>
      </c>
      <c r="K2139" t="inlineStr">
        <is>
          <t>Mármol (hipótesis: siglas MC, MG, MGS, MPA, MCGB; 'Marble'~MCGB)</t>
        </is>
      </c>
      <c r="L2139" t="inlineStr"/>
      <c r="M2139" t="n">
        <v>6685</v>
      </c>
      <c r="N2139" t="n">
        <v>40110000</v>
      </c>
      <c r="O2139" t="n">
        <v>108348132</v>
      </c>
      <c r="P2139" t="inlineStr"/>
      <c r="Q2139" t="n">
        <v>64.992</v>
      </c>
    </row>
    <row r="2140">
      <c r="A2140" t="inlineStr">
        <is>
          <t>MR24</t>
        </is>
      </c>
      <c r="B2140" t="inlineStr">
        <is>
          <t>SIMULACIONES_MR2024_V3</t>
        </is>
      </c>
      <c r="C2140" t="inlineStr">
        <is>
          <t>toneladas (6000 m3 x MR24_BD); pct sobre toneladas</t>
        </is>
      </c>
      <c r="D2140" t="inlineStr">
        <is>
          <t>periodo_XLE2WST_AMIN</t>
        </is>
      </c>
      <c r="E2140" t="inlineStr">
        <is>
          <t>2027</t>
        </is>
      </c>
      <c r="F2140" t="inlineStr">
        <is>
          <t>litologia_tentativa</t>
        </is>
      </c>
      <c r="G2140" t="inlineStr">
        <is>
          <t>sin hipótesis</t>
        </is>
      </c>
      <c r="H2140" t="inlineStr"/>
      <c r="I2140" t="inlineStr"/>
      <c r="J2140" t="inlineStr">
        <is>
          <t>suma de filas por código</t>
        </is>
      </c>
      <c r="K2140" t="inlineStr">
        <is>
          <t>sin hipótesis</t>
        </is>
      </c>
      <c r="L2140" t="inlineStr"/>
      <c r="M2140" t="n">
        <v>56</v>
      </c>
      <c r="N2140" t="n">
        <v>336000</v>
      </c>
      <c r="O2140" t="n">
        <v>872478</v>
      </c>
      <c r="P2140" t="inlineStr"/>
      <c r="Q2140" t="n">
        <v>0.523</v>
      </c>
    </row>
    <row r="2141">
      <c r="A2141" t="inlineStr">
        <is>
          <t>MR24</t>
        </is>
      </c>
      <c r="B2141" t="inlineStr">
        <is>
          <t>SIMULACIONES_MR2024_V3</t>
        </is>
      </c>
      <c r="C2141" t="inlineStr">
        <is>
          <t>toneladas (6000 m3 x MR24_BD); pct sobre toneladas</t>
        </is>
      </c>
      <c r="D2141" t="inlineStr">
        <is>
          <t>periodo_XLE2WST_AMIN</t>
        </is>
      </c>
      <c r="E2141" t="inlineStr">
        <is>
          <t>2028</t>
        </is>
      </c>
      <c r="F2141" t="inlineStr">
        <is>
          <t>litologia_tentativa</t>
        </is>
      </c>
      <c r="G2141" t="inlineStr">
        <is>
          <t>Caliza (hipótesis: Sedimentario; RT11~NUMEQ10, siglas C*)</t>
        </is>
      </c>
      <c r="H2141" t="inlineStr"/>
      <c r="I2141" t="inlineStr"/>
      <c r="J2141" t="inlineStr">
        <is>
          <t>suma de filas por código</t>
        </is>
      </c>
      <c r="K2141" t="inlineStr">
        <is>
          <t>Caliza (hipótesis: Sedimentario; RT11~NUMEQ10, siglas C*)</t>
        </is>
      </c>
      <c r="L2141" t="inlineStr"/>
      <c r="M2141" t="n">
        <v>1190</v>
      </c>
      <c r="N2141" t="n">
        <v>7140000</v>
      </c>
      <c r="O2141" t="n">
        <v>19359228</v>
      </c>
      <c r="P2141" t="inlineStr"/>
      <c r="Q2141" t="n">
        <v>10.63</v>
      </c>
    </row>
    <row r="2142">
      <c r="A2142" t="inlineStr">
        <is>
          <t>MR24</t>
        </is>
      </c>
      <c r="B2142" t="inlineStr">
        <is>
          <t>SIMULACIONES_MR2024_V3</t>
        </is>
      </c>
      <c r="C2142" t="inlineStr">
        <is>
          <t>toneladas (6000 m3 x MR24_BD); pct sobre toneladas</t>
        </is>
      </c>
      <c r="D2142" t="inlineStr">
        <is>
          <t>periodo_XLE2WST_AMIN</t>
        </is>
      </c>
      <c r="E2142" t="inlineStr">
        <is>
          <t>2028</t>
        </is>
      </c>
      <c r="F2142" t="inlineStr">
        <is>
          <t>litologia_tentativa</t>
        </is>
      </c>
      <c r="G2142" t="inlineStr">
        <is>
          <t>Caliza (hipótesis: siglas C*)</t>
        </is>
      </c>
      <c r="H2142" t="inlineStr"/>
      <c r="I2142" t="inlineStr"/>
      <c r="J2142" t="inlineStr">
        <is>
          <t>suma de filas por código</t>
        </is>
      </c>
      <c r="K2142" t="inlineStr">
        <is>
          <t>Caliza (hipótesis: siglas C*)</t>
        </is>
      </c>
      <c r="L2142" t="inlineStr"/>
      <c r="M2142" t="n">
        <v>367</v>
      </c>
      <c r="N2142" t="n">
        <v>2202000</v>
      </c>
      <c r="O2142" t="n">
        <v>5963622</v>
      </c>
      <c r="P2142" t="inlineStr"/>
      <c r="Q2142" t="n">
        <v>3.274</v>
      </c>
    </row>
    <row r="2143">
      <c r="A2143" t="inlineStr">
        <is>
          <t>MR24</t>
        </is>
      </c>
      <c r="B2143" t="inlineStr">
        <is>
          <t>SIMULACIONES_MR2024_V3</t>
        </is>
      </c>
      <c r="C2143" t="inlineStr">
        <is>
          <t>toneladas (6000 m3 x MR24_BD); pct sobre toneladas</t>
        </is>
      </c>
      <c r="D2143" t="inlineStr">
        <is>
          <t>periodo_XLE2WST_AMIN</t>
        </is>
      </c>
      <c r="E2143" t="inlineStr">
        <is>
          <t>2028</t>
        </is>
      </c>
      <c r="F2143" t="inlineStr">
        <is>
          <t>litologia_tentativa</t>
        </is>
      </c>
      <c r="G2143" t="inlineStr">
        <is>
          <t>Hornfels (hipótesis: siglas HBV, HGV, HCB, HDP; 'Diop. Hornfels'~HGV)</t>
        </is>
      </c>
      <c r="H2143" t="inlineStr"/>
      <c r="I2143" t="inlineStr"/>
      <c r="J2143" t="inlineStr">
        <is>
          <t>suma de filas por código</t>
        </is>
      </c>
      <c r="K2143" t="inlineStr">
        <is>
          <t>Hornfels (hipótesis: siglas HBV, HGV, HCB, HDP; 'Diop. Hornfels'~HGV)</t>
        </is>
      </c>
      <c r="L2143" t="inlineStr"/>
      <c r="M2143" t="n">
        <v>357</v>
      </c>
      <c r="N2143" t="n">
        <v>2142000</v>
      </c>
      <c r="O2143" t="n">
        <v>6118350</v>
      </c>
      <c r="P2143" t="inlineStr"/>
      <c r="Q2143" t="n">
        <v>3.359</v>
      </c>
    </row>
    <row r="2144">
      <c r="A2144" t="inlineStr">
        <is>
          <t>MR24</t>
        </is>
      </c>
      <c r="B2144" t="inlineStr">
        <is>
          <t>SIMULACIONES_MR2024_V3</t>
        </is>
      </c>
      <c r="C2144" t="inlineStr">
        <is>
          <t>toneladas (6000 m3 x MR24_BD); pct sobre toneladas</t>
        </is>
      </c>
      <c r="D2144" t="inlineStr">
        <is>
          <t>periodo_XLE2WST_AMIN</t>
        </is>
      </c>
      <c r="E2144" t="inlineStr">
        <is>
          <t>2028</t>
        </is>
      </c>
      <c r="F2144" t="inlineStr">
        <is>
          <t>litologia_tentativa</t>
        </is>
      </c>
      <c r="G2144" t="inlineStr">
        <is>
          <t>Hornfels (hipótesis: siglas HG, HGS, HC)</t>
        </is>
      </c>
      <c r="H2144" t="inlineStr"/>
      <c r="I2144" t="inlineStr"/>
      <c r="J2144" t="inlineStr">
        <is>
          <t>suma de filas por código</t>
        </is>
      </c>
      <c r="K2144" t="inlineStr">
        <is>
          <t>Hornfels (hipótesis: siglas HG, HGS, HC)</t>
        </is>
      </c>
      <c r="L2144" t="inlineStr"/>
      <c r="M2144" t="n">
        <v>1787</v>
      </c>
      <c r="N2144" t="n">
        <v>10722000</v>
      </c>
      <c r="O2144" t="n">
        <v>28982172</v>
      </c>
      <c r="P2144" t="inlineStr"/>
      <c r="Q2144" t="n">
        <v>15.913</v>
      </c>
    </row>
    <row r="2145">
      <c r="A2145" t="inlineStr">
        <is>
          <t>MR24</t>
        </is>
      </c>
      <c r="B2145" t="inlineStr">
        <is>
          <t>SIMULACIONES_MR2024_V3</t>
        </is>
      </c>
      <c r="C2145" t="inlineStr">
        <is>
          <t>toneladas (6000 m3 x MR24_BD); pct sobre toneladas</t>
        </is>
      </c>
      <c r="D2145" t="inlineStr">
        <is>
          <t>periodo_XLE2WST_AMIN</t>
        </is>
      </c>
      <c r="E2145" t="inlineStr">
        <is>
          <t>2028</t>
        </is>
      </c>
      <c r="F2145" t="inlineStr">
        <is>
          <t>litologia_tentativa</t>
        </is>
      </c>
      <c r="G2145" t="inlineStr">
        <is>
          <t>Intrusivo</t>
        </is>
      </c>
      <c r="H2145" t="inlineStr"/>
      <c r="I2145" t="inlineStr"/>
      <c r="J2145" t="inlineStr">
        <is>
          <t>suma de filas por código</t>
        </is>
      </c>
      <c r="K2145" t="inlineStr">
        <is>
          <t>Intrusivo</t>
        </is>
      </c>
      <c r="L2145" t="inlineStr"/>
      <c r="M2145" t="n">
        <v>1476</v>
      </c>
      <c r="N2145" t="n">
        <v>8856000</v>
      </c>
      <c r="O2145" t="n">
        <v>21660054</v>
      </c>
      <c r="P2145" t="inlineStr"/>
      <c r="Q2145" t="n">
        <v>11.893</v>
      </c>
    </row>
    <row r="2146">
      <c r="A2146" t="inlineStr">
        <is>
          <t>MR24</t>
        </is>
      </c>
      <c r="B2146" t="inlineStr">
        <is>
          <t>SIMULACIONES_MR2024_V3</t>
        </is>
      </c>
      <c r="C2146" t="inlineStr">
        <is>
          <t>toneladas (6000 m3 x MR24_BD); pct sobre toneladas</t>
        </is>
      </c>
      <c r="D2146" t="inlineStr">
        <is>
          <t>periodo_XLE2WST_AMIN</t>
        </is>
      </c>
      <c r="E2146" t="inlineStr">
        <is>
          <t>2028</t>
        </is>
      </c>
      <c r="F2146" t="inlineStr">
        <is>
          <t>litologia_tentativa</t>
        </is>
      </c>
      <c r="G2146" t="inlineStr">
        <is>
          <t>Mármol (hipótesis: sigla MDP)</t>
        </is>
      </c>
      <c r="H2146" t="inlineStr"/>
      <c r="I2146" t="inlineStr"/>
      <c r="J2146" t="inlineStr">
        <is>
          <t>suma de filas por código</t>
        </is>
      </c>
      <c r="K2146" t="inlineStr">
        <is>
          <t>Mármol (hipótesis: sigla MDP)</t>
        </is>
      </c>
      <c r="L2146" t="inlineStr"/>
      <c r="M2146" t="n">
        <v>497</v>
      </c>
      <c r="N2146" t="n">
        <v>2982000</v>
      </c>
      <c r="O2146" t="n">
        <v>8464314</v>
      </c>
      <c r="P2146" t="inlineStr"/>
      <c r="Q2146" t="n">
        <v>4.648</v>
      </c>
    </row>
    <row r="2147">
      <c r="A2147" t="inlineStr">
        <is>
          <t>MR24</t>
        </is>
      </c>
      <c r="B2147" t="inlineStr">
        <is>
          <t>SIMULACIONES_MR2024_V3</t>
        </is>
      </c>
      <c r="C2147" t="inlineStr">
        <is>
          <t>toneladas (6000 m3 x MR24_BD); pct sobre toneladas</t>
        </is>
      </c>
      <c r="D2147" t="inlineStr">
        <is>
          <t>periodo_XLE2WST_AMIN</t>
        </is>
      </c>
      <c r="E2147" t="inlineStr">
        <is>
          <t>2028</t>
        </is>
      </c>
      <c r="F2147" t="inlineStr">
        <is>
          <t>litologia_tentativa</t>
        </is>
      </c>
      <c r="G2147" t="inlineStr">
        <is>
          <t>Mármol (hipótesis: siglas MC, MG, MGS, MPA, MCGB; 'Marble'~MCGB)</t>
        </is>
      </c>
      <c r="H2147" t="inlineStr"/>
      <c r="I2147" t="inlineStr"/>
      <c r="J2147" t="inlineStr">
        <is>
          <t>suma de filas por código</t>
        </is>
      </c>
      <c r="K2147" t="inlineStr">
        <is>
          <t>Mármol (hipótesis: siglas MC, MG, MGS, MPA, MCGB; 'Marble'~MCGB)</t>
        </is>
      </c>
      <c r="L2147" t="inlineStr"/>
      <c r="M2147" t="n">
        <v>5628</v>
      </c>
      <c r="N2147" t="n">
        <v>33768000</v>
      </c>
      <c r="O2147" t="n">
        <v>91411968</v>
      </c>
      <c r="P2147" t="inlineStr"/>
      <c r="Q2147" t="n">
        <v>50.192</v>
      </c>
    </row>
    <row r="2148">
      <c r="A2148" t="inlineStr">
        <is>
          <t>MR24</t>
        </is>
      </c>
      <c r="B2148" t="inlineStr">
        <is>
          <t>SIMULACIONES_MR2024_V3</t>
        </is>
      </c>
      <c r="C2148" t="inlineStr">
        <is>
          <t>toneladas (6000 m3 x MR24_BD); pct sobre toneladas</t>
        </is>
      </c>
      <c r="D2148" t="inlineStr">
        <is>
          <t>periodo_XLE2WST_AMIN</t>
        </is>
      </c>
      <c r="E2148" t="inlineStr">
        <is>
          <t>2028</t>
        </is>
      </c>
      <c r="F2148" t="inlineStr">
        <is>
          <t>litologia_tentativa</t>
        </is>
      </c>
      <c r="G2148" t="inlineStr">
        <is>
          <t>sin hipótesis</t>
        </is>
      </c>
      <c r="H2148" t="inlineStr"/>
      <c r="I2148" t="inlineStr"/>
      <c r="J2148" t="inlineStr">
        <is>
          <t>suma de filas por código</t>
        </is>
      </c>
      <c r="K2148" t="inlineStr">
        <is>
          <t>sin hipótesis</t>
        </is>
      </c>
      <c r="L2148" t="inlineStr"/>
      <c r="M2148" t="n">
        <v>10</v>
      </c>
      <c r="N2148" t="n">
        <v>60000</v>
      </c>
      <c r="O2148" t="n">
        <v>164208</v>
      </c>
      <c r="P2148" t="inlineStr"/>
      <c r="Q2148" t="n">
        <v>0.09</v>
      </c>
    </row>
    <row r="2149">
      <c r="A2149" t="inlineStr">
        <is>
          <t>MR24</t>
        </is>
      </c>
      <c r="B2149" t="inlineStr">
        <is>
          <t>SIMULACIONES_MR2024_V3</t>
        </is>
      </c>
      <c r="C2149" t="inlineStr">
        <is>
          <t>toneladas (6000 m3 x MR24_BD); pct sobre toneladas</t>
        </is>
      </c>
      <c r="D2149" t="inlineStr">
        <is>
          <t>periodo_XLE2WST_AMIN</t>
        </is>
      </c>
      <c r="E2149" t="inlineStr">
        <is>
          <t>2029</t>
        </is>
      </c>
      <c r="F2149" t="inlineStr">
        <is>
          <t>litologia_tentativa</t>
        </is>
      </c>
      <c r="G2149" t="inlineStr">
        <is>
          <t>Caliza (hipótesis: Sedimentario; RT11~NUMEQ10, siglas C*)</t>
        </is>
      </c>
      <c r="H2149" t="inlineStr"/>
      <c r="I2149" t="inlineStr"/>
      <c r="J2149" t="inlineStr">
        <is>
          <t>suma de filas por código</t>
        </is>
      </c>
      <c r="K2149" t="inlineStr">
        <is>
          <t>Caliza (hipótesis: Sedimentario; RT11~NUMEQ10, siglas C*)</t>
        </is>
      </c>
      <c r="L2149" t="inlineStr"/>
      <c r="M2149" t="n">
        <v>2706</v>
      </c>
      <c r="N2149" t="n">
        <v>16236000</v>
      </c>
      <c r="O2149" t="n">
        <v>44087184</v>
      </c>
      <c r="P2149" t="inlineStr"/>
      <c r="Q2149" t="n">
        <v>19.692</v>
      </c>
    </row>
    <row r="2150">
      <c r="A2150" t="inlineStr">
        <is>
          <t>MR24</t>
        </is>
      </c>
      <c r="B2150" t="inlineStr">
        <is>
          <t>SIMULACIONES_MR2024_V3</t>
        </is>
      </c>
      <c r="C2150" t="inlineStr">
        <is>
          <t>toneladas (6000 m3 x MR24_BD); pct sobre toneladas</t>
        </is>
      </c>
      <c r="D2150" t="inlineStr">
        <is>
          <t>periodo_XLE2WST_AMIN</t>
        </is>
      </c>
      <c r="E2150" t="inlineStr">
        <is>
          <t>2029</t>
        </is>
      </c>
      <c r="F2150" t="inlineStr">
        <is>
          <t>litologia_tentativa</t>
        </is>
      </c>
      <c r="G2150" t="inlineStr">
        <is>
          <t>Caliza (hipótesis: siglas C*)</t>
        </is>
      </c>
      <c r="H2150" t="inlineStr"/>
      <c r="I2150" t="inlineStr"/>
      <c r="J2150" t="inlineStr">
        <is>
          <t>suma de filas por código</t>
        </is>
      </c>
      <c r="K2150" t="inlineStr">
        <is>
          <t>Caliza (hipótesis: siglas C*)</t>
        </is>
      </c>
      <c r="L2150" t="inlineStr"/>
      <c r="M2150" t="n">
        <v>421</v>
      </c>
      <c r="N2150" t="n">
        <v>2526000</v>
      </c>
      <c r="O2150" t="n">
        <v>6847050</v>
      </c>
      <c r="P2150" t="inlineStr"/>
      <c r="Q2150" t="n">
        <v>3.058</v>
      </c>
    </row>
    <row r="2151">
      <c r="A2151" t="inlineStr">
        <is>
          <t>MR24</t>
        </is>
      </c>
      <c r="B2151" t="inlineStr">
        <is>
          <t>SIMULACIONES_MR2024_V3</t>
        </is>
      </c>
      <c r="C2151" t="inlineStr">
        <is>
          <t>toneladas (6000 m3 x MR24_BD); pct sobre toneladas</t>
        </is>
      </c>
      <c r="D2151" t="inlineStr">
        <is>
          <t>periodo_XLE2WST_AMIN</t>
        </is>
      </c>
      <c r="E2151" t="inlineStr">
        <is>
          <t>2029</t>
        </is>
      </c>
      <c r="F2151" t="inlineStr">
        <is>
          <t>litologia_tentativa</t>
        </is>
      </c>
      <c r="G2151" t="inlineStr">
        <is>
          <t>Hornfels (hipótesis: siglas HBV, HGV, HCB, HDP; 'Diop. Hornfels'~HGV)</t>
        </is>
      </c>
      <c r="H2151" t="inlineStr"/>
      <c r="I2151" t="inlineStr"/>
      <c r="J2151" t="inlineStr">
        <is>
          <t>suma de filas por código</t>
        </is>
      </c>
      <c r="K2151" t="inlineStr">
        <is>
          <t>Hornfels (hipótesis: siglas HBV, HGV, HCB, HDP; 'Diop. Hornfels'~HGV)</t>
        </is>
      </c>
      <c r="L2151" t="inlineStr"/>
      <c r="M2151" t="n">
        <v>825</v>
      </c>
      <c r="N2151" t="n">
        <v>4950000</v>
      </c>
      <c r="O2151" t="n">
        <v>14278626</v>
      </c>
      <c r="P2151" t="inlineStr"/>
      <c r="Q2151" t="n">
        <v>6.378</v>
      </c>
    </row>
    <row r="2152">
      <c r="A2152" t="inlineStr">
        <is>
          <t>MR24</t>
        </is>
      </c>
      <c r="B2152" t="inlineStr">
        <is>
          <t>SIMULACIONES_MR2024_V3</t>
        </is>
      </c>
      <c r="C2152" t="inlineStr">
        <is>
          <t>toneladas (6000 m3 x MR24_BD); pct sobre toneladas</t>
        </is>
      </c>
      <c r="D2152" t="inlineStr">
        <is>
          <t>periodo_XLE2WST_AMIN</t>
        </is>
      </c>
      <c r="E2152" t="inlineStr">
        <is>
          <t>2029</t>
        </is>
      </c>
      <c r="F2152" t="inlineStr">
        <is>
          <t>litologia_tentativa</t>
        </is>
      </c>
      <c r="G2152" t="inlineStr">
        <is>
          <t>Hornfels (hipótesis: siglas HG, HGS, HC)</t>
        </is>
      </c>
      <c r="H2152" t="inlineStr"/>
      <c r="I2152" t="inlineStr"/>
      <c r="J2152" t="inlineStr">
        <is>
          <t>suma de filas por código</t>
        </is>
      </c>
      <c r="K2152" t="inlineStr">
        <is>
          <t>Hornfels (hipótesis: siglas HG, HGS, HC)</t>
        </is>
      </c>
      <c r="L2152" t="inlineStr"/>
      <c r="M2152" t="n">
        <v>2528</v>
      </c>
      <c r="N2152" t="n">
        <v>15168000</v>
      </c>
      <c r="O2152" t="n">
        <v>41065404</v>
      </c>
      <c r="P2152" t="inlineStr"/>
      <c r="Q2152" t="n">
        <v>18.343</v>
      </c>
    </row>
    <row r="2153">
      <c r="A2153" t="inlineStr">
        <is>
          <t>MR24</t>
        </is>
      </c>
      <c r="B2153" t="inlineStr">
        <is>
          <t>SIMULACIONES_MR2024_V3</t>
        </is>
      </c>
      <c r="C2153" t="inlineStr">
        <is>
          <t>toneladas (6000 m3 x MR24_BD); pct sobre toneladas</t>
        </is>
      </c>
      <c r="D2153" t="inlineStr">
        <is>
          <t>periodo_XLE2WST_AMIN</t>
        </is>
      </c>
      <c r="E2153" t="inlineStr">
        <is>
          <t>2029</t>
        </is>
      </c>
      <c r="F2153" t="inlineStr">
        <is>
          <t>litologia_tentativa</t>
        </is>
      </c>
      <c r="G2153" t="inlineStr">
        <is>
          <t>Intrusivo</t>
        </is>
      </c>
      <c r="H2153" t="inlineStr"/>
      <c r="I2153" t="inlineStr"/>
      <c r="J2153" t="inlineStr">
        <is>
          <t>suma de filas por código</t>
        </is>
      </c>
      <c r="K2153" t="inlineStr">
        <is>
          <t>Intrusivo</t>
        </is>
      </c>
      <c r="L2153" t="inlineStr"/>
      <c r="M2153" t="n">
        <v>2309</v>
      </c>
      <c r="N2153" t="n">
        <v>13854000</v>
      </c>
      <c r="O2153" t="n">
        <v>34037160</v>
      </c>
      <c r="P2153" t="inlineStr"/>
      <c r="Q2153" t="n">
        <v>15.203</v>
      </c>
    </row>
    <row r="2154">
      <c r="A2154" t="inlineStr">
        <is>
          <t>MR24</t>
        </is>
      </c>
      <c r="B2154" t="inlineStr">
        <is>
          <t>SIMULACIONES_MR2024_V3</t>
        </is>
      </c>
      <c r="C2154" t="inlineStr">
        <is>
          <t>toneladas (6000 m3 x MR24_BD); pct sobre toneladas</t>
        </is>
      </c>
      <c r="D2154" t="inlineStr">
        <is>
          <t>periodo_XLE2WST_AMIN</t>
        </is>
      </c>
      <c r="E2154" t="inlineStr">
        <is>
          <t>2029</t>
        </is>
      </c>
      <c r="F2154" t="inlineStr">
        <is>
          <t>litologia_tentativa</t>
        </is>
      </c>
      <c r="G2154" t="inlineStr">
        <is>
          <t>Mármol (hipótesis: sigla MDP)</t>
        </is>
      </c>
      <c r="H2154" t="inlineStr"/>
      <c r="I2154" t="inlineStr"/>
      <c r="J2154" t="inlineStr">
        <is>
          <t>suma de filas por código</t>
        </is>
      </c>
      <c r="K2154" t="inlineStr">
        <is>
          <t>Mármol (hipótesis: sigla MDP)</t>
        </is>
      </c>
      <c r="L2154" t="inlineStr"/>
      <c r="M2154" t="n">
        <v>208</v>
      </c>
      <c r="N2154" t="n">
        <v>1248000</v>
      </c>
      <c r="O2154" t="n">
        <v>3558720</v>
      </c>
      <c r="P2154" t="inlineStr"/>
      <c r="Q2154" t="n">
        <v>1.59</v>
      </c>
    </row>
    <row r="2155">
      <c r="A2155" t="inlineStr">
        <is>
          <t>MR24</t>
        </is>
      </c>
      <c r="B2155" t="inlineStr">
        <is>
          <t>SIMULACIONES_MR2024_V3</t>
        </is>
      </c>
      <c r="C2155" t="inlineStr">
        <is>
          <t>toneladas (6000 m3 x MR24_BD); pct sobre toneladas</t>
        </is>
      </c>
      <c r="D2155" t="inlineStr">
        <is>
          <t>periodo_XLE2WST_AMIN</t>
        </is>
      </c>
      <c r="E2155" t="inlineStr">
        <is>
          <t>2029</t>
        </is>
      </c>
      <c r="F2155" t="inlineStr">
        <is>
          <t>litologia_tentativa</t>
        </is>
      </c>
      <c r="G2155" t="inlineStr">
        <is>
          <t>Mármol (hipótesis: siglas MC, MG, MGS, MPA, MCGB; 'Marble'~MCGB)</t>
        </is>
      </c>
      <c r="H2155" t="inlineStr"/>
      <c r="I2155" t="inlineStr"/>
      <c r="J2155" t="inlineStr">
        <is>
          <t>suma de filas por código</t>
        </is>
      </c>
      <c r="K2155" t="inlineStr">
        <is>
          <t>Mármol (hipótesis: siglas MC, MG, MGS, MPA, MCGB; 'Marble'~MCGB)</t>
        </is>
      </c>
      <c r="L2155" t="inlineStr"/>
      <c r="M2155" t="n">
        <v>4883</v>
      </c>
      <c r="N2155" t="n">
        <v>29298000</v>
      </c>
      <c r="O2155" t="n">
        <v>79463760</v>
      </c>
      <c r="P2155" t="inlineStr"/>
      <c r="Q2155" t="n">
        <v>35.494</v>
      </c>
    </row>
    <row r="2156">
      <c r="A2156" t="inlineStr">
        <is>
          <t>MR24</t>
        </is>
      </c>
      <c r="B2156" t="inlineStr">
        <is>
          <t>SIMULACIONES_MR2024_V3</t>
        </is>
      </c>
      <c r="C2156" t="inlineStr">
        <is>
          <t>toneladas (6000 m3 x MR24_BD); pct sobre toneladas</t>
        </is>
      </c>
      <c r="D2156" t="inlineStr">
        <is>
          <t>periodo_XLE2WST_AMIN</t>
        </is>
      </c>
      <c r="E2156" t="inlineStr">
        <is>
          <t>2029</t>
        </is>
      </c>
      <c r="F2156" t="inlineStr">
        <is>
          <t>litologia_tentativa</t>
        </is>
      </c>
      <c r="G2156" t="inlineStr">
        <is>
          <t>sin hipótesis</t>
        </is>
      </c>
      <c r="H2156" t="inlineStr"/>
      <c r="I2156" t="inlineStr"/>
      <c r="J2156" t="inlineStr">
        <is>
          <t>suma de filas por código</t>
        </is>
      </c>
      <c r="K2156" t="inlineStr">
        <is>
          <t>sin hipótesis</t>
        </is>
      </c>
      <c r="L2156" t="inlineStr"/>
      <c r="M2156" t="n">
        <v>35</v>
      </c>
      <c r="N2156" t="n">
        <v>210000</v>
      </c>
      <c r="O2156" t="n">
        <v>541464</v>
      </c>
      <c r="P2156" t="inlineStr"/>
      <c r="Q2156" t="n">
        <v>0.242</v>
      </c>
    </row>
    <row r="2157">
      <c r="A2157" t="inlineStr">
        <is>
          <t>MR24</t>
        </is>
      </c>
      <c r="B2157" t="inlineStr">
        <is>
          <t>SIMULACIONES_MR2024_V3</t>
        </is>
      </c>
      <c r="C2157" t="inlineStr">
        <is>
          <t>toneladas (6000 m3 x MR24_BD); pct sobre toneladas</t>
        </is>
      </c>
      <c r="D2157" t="inlineStr">
        <is>
          <t>periodo_XLE2WST_AMIN</t>
        </is>
      </c>
      <c r="E2157" t="inlineStr">
        <is>
          <t>2030</t>
        </is>
      </c>
      <c r="F2157" t="inlineStr">
        <is>
          <t>litologia_tentativa</t>
        </is>
      </c>
      <c r="G2157" t="inlineStr">
        <is>
          <t>Caliza (hipótesis: Sedimentario; RT11~NUMEQ10, siglas C*)</t>
        </is>
      </c>
      <c r="H2157" t="inlineStr"/>
      <c r="I2157" t="inlineStr"/>
      <c r="J2157" t="inlineStr">
        <is>
          <t>suma de filas por código</t>
        </is>
      </c>
      <c r="K2157" t="inlineStr">
        <is>
          <t>Caliza (hipótesis: Sedimentario; RT11~NUMEQ10, siglas C*)</t>
        </is>
      </c>
      <c r="L2157" t="inlineStr"/>
      <c r="M2157" t="n">
        <v>1672</v>
      </c>
      <c r="N2157" t="n">
        <v>10032000</v>
      </c>
      <c r="O2157" t="n">
        <v>27206028</v>
      </c>
      <c r="P2157" t="inlineStr"/>
      <c r="Q2157" t="n">
        <v>11.761</v>
      </c>
    </row>
    <row r="2158">
      <c r="A2158" t="inlineStr">
        <is>
          <t>MR24</t>
        </is>
      </c>
      <c r="B2158" t="inlineStr">
        <is>
          <t>SIMULACIONES_MR2024_V3</t>
        </is>
      </c>
      <c r="C2158" t="inlineStr">
        <is>
          <t>toneladas (6000 m3 x MR24_BD); pct sobre toneladas</t>
        </is>
      </c>
      <c r="D2158" t="inlineStr">
        <is>
          <t>periodo_XLE2WST_AMIN</t>
        </is>
      </c>
      <c r="E2158" t="inlineStr">
        <is>
          <t>2030</t>
        </is>
      </c>
      <c r="F2158" t="inlineStr">
        <is>
          <t>litologia_tentativa</t>
        </is>
      </c>
      <c r="G2158" t="inlineStr">
        <is>
          <t>Caliza (hipótesis: siglas C*)</t>
        </is>
      </c>
      <c r="H2158" t="inlineStr"/>
      <c r="I2158" t="inlineStr"/>
      <c r="J2158" t="inlineStr">
        <is>
          <t>suma de filas por código</t>
        </is>
      </c>
      <c r="K2158" t="inlineStr">
        <is>
          <t>Caliza (hipótesis: siglas C*)</t>
        </is>
      </c>
      <c r="L2158" t="inlineStr"/>
      <c r="M2158" t="n">
        <v>588</v>
      </c>
      <c r="N2158" t="n">
        <v>3528000</v>
      </c>
      <c r="O2158" t="n">
        <v>9571734</v>
      </c>
      <c r="P2158" t="inlineStr"/>
      <c r="Q2158" t="n">
        <v>4.138</v>
      </c>
    </row>
    <row r="2159">
      <c r="A2159" t="inlineStr">
        <is>
          <t>MR24</t>
        </is>
      </c>
      <c r="B2159" t="inlineStr">
        <is>
          <t>SIMULACIONES_MR2024_V3</t>
        </is>
      </c>
      <c r="C2159" t="inlineStr">
        <is>
          <t>toneladas (6000 m3 x MR24_BD); pct sobre toneladas</t>
        </is>
      </c>
      <c r="D2159" t="inlineStr">
        <is>
          <t>periodo_XLE2WST_AMIN</t>
        </is>
      </c>
      <c r="E2159" t="inlineStr">
        <is>
          <t>2030</t>
        </is>
      </c>
      <c r="F2159" t="inlineStr">
        <is>
          <t>litologia_tentativa</t>
        </is>
      </c>
      <c r="G2159" t="inlineStr">
        <is>
          <t>Hornfels (hipótesis: siglas HBV, HGV, HCB, HDP; 'Diop. Hornfels'~HGV)</t>
        </is>
      </c>
      <c r="H2159" t="inlineStr"/>
      <c r="I2159" t="inlineStr"/>
      <c r="J2159" t="inlineStr">
        <is>
          <t>suma de filas por código</t>
        </is>
      </c>
      <c r="K2159" t="inlineStr">
        <is>
          <t>Hornfels (hipótesis: siglas HBV, HGV, HCB, HDP; 'Diop. Hornfels'~HGV)</t>
        </is>
      </c>
      <c r="L2159" t="inlineStr"/>
      <c r="M2159" t="n">
        <v>969</v>
      </c>
      <c r="N2159" t="n">
        <v>5814000</v>
      </c>
      <c r="O2159" t="n">
        <v>16584828</v>
      </c>
      <c r="P2159" t="inlineStr"/>
      <c r="Q2159" t="n">
        <v>7.169</v>
      </c>
    </row>
    <row r="2160">
      <c r="A2160" t="inlineStr">
        <is>
          <t>MR24</t>
        </is>
      </c>
      <c r="B2160" t="inlineStr">
        <is>
          <t>SIMULACIONES_MR2024_V3</t>
        </is>
      </c>
      <c r="C2160" t="inlineStr">
        <is>
          <t>toneladas (6000 m3 x MR24_BD); pct sobre toneladas</t>
        </is>
      </c>
      <c r="D2160" t="inlineStr">
        <is>
          <t>periodo_XLE2WST_AMIN</t>
        </is>
      </c>
      <c r="E2160" t="inlineStr">
        <is>
          <t>2030</t>
        </is>
      </c>
      <c r="F2160" t="inlineStr">
        <is>
          <t>litologia_tentativa</t>
        </is>
      </c>
      <c r="G2160" t="inlineStr">
        <is>
          <t>Hornfels (hipótesis: siglas HG, HGS, HC)</t>
        </is>
      </c>
      <c r="H2160" t="inlineStr"/>
      <c r="I2160" t="inlineStr"/>
      <c r="J2160" t="inlineStr">
        <is>
          <t>suma de filas por código</t>
        </is>
      </c>
      <c r="K2160" t="inlineStr">
        <is>
          <t>Hornfels (hipótesis: siglas HG, HGS, HC)</t>
        </is>
      </c>
      <c r="L2160" t="inlineStr"/>
      <c r="M2160" t="n">
        <v>5608</v>
      </c>
      <c r="N2160" t="n">
        <v>33648000</v>
      </c>
      <c r="O2160" t="n">
        <v>90970566</v>
      </c>
      <c r="P2160" t="inlineStr"/>
      <c r="Q2160" t="n">
        <v>39.325</v>
      </c>
    </row>
    <row r="2161">
      <c r="A2161" t="inlineStr">
        <is>
          <t>MR24</t>
        </is>
      </c>
      <c r="B2161" t="inlineStr">
        <is>
          <t>SIMULACIONES_MR2024_V3</t>
        </is>
      </c>
      <c r="C2161" t="inlineStr">
        <is>
          <t>toneladas (6000 m3 x MR24_BD); pct sobre toneladas</t>
        </is>
      </c>
      <c r="D2161" t="inlineStr">
        <is>
          <t>periodo_XLE2WST_AMIN</t>
        </is>
      </c>
      <c r="E2161" t="inlineStr">
        <is>
          <t>2030</t>
        </is>
      </c>
      <c r="F2161" t="inlineStr">
        <is>
          <t>litologia_tentativa</t>
        </is>
      </c>
      <c r="G2161" t="inlineStr">
        <is>
          <t>Intrusivo</t>
        </is>
      </c>
      <c r="H2161" t="inlineStr"/>
      <c r="I2161" t="inlineStr"/>
      <c r="J2161" t="inlineStr">
        <is>
          <t>suma de filas por código</t>
        </is>
      </c>
      <c r="K2161" t="inlineStr">
        <is>
          <t>Intrusivo</t>
        </is>
      </c>
      <c r="L2161" t="inlineStr"/>
      <c r="M2161" t="n">
        <v>2118</v>
      </c>
      <c r="N2161" t="n">
        <v>12708000</v>
      </c>
      <c r="O2161" t="n">
        <v>31323918</v>
      </c>
      <c r="P2161" t="inlineStr"/>
      <c r="Q2161" t="n">
        <v>13.541</v>
      </c>
    </row>
    <row r="2162">
      <c r="A2162" t="inlineStr">
        <is>
          <t>MR24</t>
        </is>
      </c>
      <c r="B2162" t="inlineStr">
        <is>
          <t>SIMULACIONES_MR2024_V3</t>
        </is>
      </c>
      <c r="C2162" t="inlineStr">
        <is>
          <t>toneladas (6000 m3 x MR24_BD); pct sobre toneladas</t>
        </is>
      </c>
      <c r="D2162" t="inlineStr">
        <is>
          <t>periodo_XLE2WST_AMIN</t>
        </is>
      </c>
      <c r="E2162" t="inlineStr">
        <is>
          <t>2030</t>
        </is>
      </c>
      <c r="F2162" t="inlineStr">
        <is>
          <t>litologia_tentativa</t>
        </is>
      </c>
      <c r="G2162" t="inlineStr">
        <is>
          <t>Mármol (hipótesis: sigla MDP)</t>
        </is>
      </c>
      <c r="H2162" t="inlineStr"/>
      <c r="I2162" t="inlineStr"/>
      <c r="J2162" t="inlineStr">
        <is>
          <t>suma de filas por código</t>
        </is>
      </c>
      <c r="K2162" t="inlineStr">
        <is>
          <t>Mármol (hipótesis: sigla MDP)</t>
        </is>
      </c>
      <c r="L2162" t="inlineStr"/>
      <c r="M2162" t="n">
        <v>463</v>
      </c>
      <c r="N2162" t="n">
        <v>2778000</v>
      </c>
      <c r="O2162" t="n">
        <v>7925844</v>
      </c>
      <c r="P2162" t="inlineStr"/>
      <c r="Q2162" t="n">
        <v>3.426</v>
      </c>
    </row>
    <row r="2163">
      <c r="A2163" t="inlineStr">
        <is>
          <t>MR24</t>
        </is>
      </c>
      <c r="B2163" t="inlineStr">
        <is>
          <t>SIMULACIONES_MR2024_V3</t>
        </is>
      </c>
      <c r="C2163" t="inlineStr">
        <is>
          <t>toneladas (6000 m3 x MR24_BD); pct sobre toneladas</t>
        </is>
      </c>
      <c r="D2163" t="inlineStr">
        <is>
          <t>periodo_XLE2WST_AMIN</t>
        </is>
      </c>
      <c r="E2163" t="inlineStr">
        <is>
          <t>2030</t>
        </is>
      </c>
      <c r="F2163" t="inlineStr">
        <is>
          <t>litologia_tentativa</t>
        </is>
      </c>
      <c r="G2163" t="inlineStr">
        <is>
          <t>Mármol (hipótesis: siglas MC, MG, MGS, MPA, MCGB; 'Marble'~MCGB)</t>
        </is>
      </c>
      <c r="H2163" t="inlineStr"/>
      <c r="I2163" t="inlineStr"/>
      <c r="J2163" t="inlineStr">
        <is>
          <t>suma de filas por código</t>
        </is>
      </c>
      <c r="K2163" t="inlineStr">
        <is>
          <t>Mármol (hipótesis: siglas MC, MG, MGS, MPA, MCGB; 'Marble'~MCGB)</t>
        </is>
      </c>
      <c r="L2163" t="inlineStr"/>
      <c r="M2163" t="n">
        <v>2889</v>
      </c>
      <c r="N2163" t="n">
        <v>17334000</v>
      </c>
      <c r="O2163" t="n">
        <v>47219022</v>
      </c>
      <c r="P2163" t="inlineStr"/>
      <c r="Q2163" t="n">
        <v>20.412</v>
      </c>
    </row>
    <row r="2164">
      <c r="A2164" t="inlineStr">
        <is>
          <t>MR24</t>
        </is>
      </c>
      <c r="B2164" t="inlineStr">
        <is>
          <t>SIMULACIONES_MR2024_V3</t>
        </is>
      </c>
      <c r="C2164" t="inlineStr">
        <is>
          <t>toneladas (6000 m3 x MR24_BD); pct sobre toneladas</t>
        </is>
      </c>
      <c r="D2164" t="inlineStr">
        <is>
          <t>periodo_XLE2WST_AMIN</t>
        </is>
      </c>
      <c r="E2164" t="inlineStr">
        <is>
          <t>2030</t>
        </is>
      </c>
      <c r="F2164" t="inlineStr">
        <is>
          <t>litologia_tentativa</t>
        </is>
      </c>
      <c r="G2164" t="inlineStr">
        <is>
          <t>sin hipótesis</t>
        </is>
      </c>
      <c r="H2164" t="inlineStr"/>
      <c r="I2164" t="inlineStr"/>
      <c r="J2164" t="inlineStr">
        <is>
          <t>suma de filas por código</t>
        </is>
      </c>
      <c r="K2164" t="inlineStr">
        <is>
          <t>sin hipótesis</t>
        </is>
      </c>
      <c r="L2164" t="inlineStr"/>
      <c r="M2164" t="n">
        <v>33</v>
      </c>
      <c r="N2164" t="n">
        <v>198000</v>
      </c>
      <c r="O2164" t="n">
        <v>526530</v>
      </c>
      <c r="P2164" t="inlineStr"/>
      <c r="Q2164" t="n">
        <v>0.228</v>
      </c>
    </row>
    <row r="2165">
      <c r="A2165" t="inlineStr">
        <is>
          <t>MR24</t>
        </is>
      </c>
      <c r="B2165" t="inlineStr">
        <is>
          <t>SIMULACIONES_MR2024_V3</t>
        </is>
      </c>
      <c r="C2165" t="inlineStr">
        <is>
          <t>toneladas (6000 m3 x MR24_BD); pct sobre toneladas</t>
        </is>
      </c>
      <c r="D2165" t="inlineStr">
        <is>
          <t>periodo_XLE2WST_AMIN</t>
        </is>
      </c>
      <c r="E2165" t="inlineStr">
        <is>
          <t>2031</t>
        </is>
      </c>
      <c r="F2165" t="inlineStr">
        <is>
          <t>litologia_tentativa</t>
        </is>
      </c>
      <c r="G2165" t="inlineStr">
        <is>
          <t>Caliza (hipótesis: Sedimentario; RT11~NUMEQ10, siglas C*)</t>
        </is>
      </c>
      <c r="H2165" t="inlineStr"/>
      <c r="I2165" t="inlineStr"/>
      <c r="J2165" t="inlineStr">
        <is>
          <t>suma de filas por código</t>
        </is>
      </c>
      <c r="K2165" t="inlineStr">
        <is>
          <t>Caliza (hipótesis: Sedimentario; RT11~NUMEQ10, siglas C*)</t>
        </is>
      </c>
      <c r="L2165" t="inlineStr"/>
      <c r="M2165" t="n">
        <v>862</v>
      </c>
      <c r="N2165" t="n">
        <v>5172000</v>
      </c>
      <c r="O2165" t="n">
        <v>13998144</v>
      </c>
      <c r="P2165" t="inlineStr"/>
      <c r="Q2165" t="n">
        <v>6.626</v>
      </c>
    </row>
    <row r="2166">
      <c r="A2166" t="inlineStr">
        <is>
          <t>MR24</t>
        </is>
      </c>
      <c r="B2166" t="inlineStr">
        <is>
          <t>SIMULACIONES_MR2024_V3</t>
        </is>
      </c>
      <c r="C2166" t="inlineStr">
        <is>
          <t>toneladas (6000 m3 x MR24_BD); pct sobre toneladas</t>
        </is>
      </c>
      <c r="D2166" t="inlineStr">
        <is>
          <t>periodo_XLE2WST_AMIN</t>
        </is>
      </c>
      <c r="E2166" t="inlineStr">
        <is>
          <t>2031</t>
        </is>
      </c>
      <c r="F2166" t="inlineStr">
        <is>
          <t>litologia_tentativa</t>
        </is>
      </c>
      <c r="G2166" t="inlineStr">
        <is>
          <t>Caliza (hipótesis: siglas C*)</t>
        </is>
      </c>
      <c r="H2166" t="inlineStr"/>
      <c r="I2166" t="inlineStr"/>
      <c r="J2166" t="inlineStr">
        <is>
          <t>suma de filas por código</t>
        </is>
      </c>
      <c r="K2166" t="inlineStr">
        <is>
          <t>Caliza (hipótesis: siglas C*)</t>
        </is>
      </c>
      <c r="L2166" t="inlineStr"/>
      <c r="M2166" t="n">
        <v>1076</v>
      </c>
      <c r="N2166" t="n">
        <v>6456000</v>
      </c>
      <c r="O2166" t="n">
        <v>17495310</v>
      </c>
      <c r="P2166" t="inlineStr"/>
      <c r="Q2166" t="n">
        <v>8.281000000000001</v>
      </c>
    </row>
    <row r="2167">
      <c r="A2167" t="inlineStr">
        <is>
          <t>MR24</t>
        </is>
      </c>
      <c r="B2167" t="inlineStr">
        <is>
          <t>SIMULACIONES_MR2024_V3</t>
        </is>
      </c>
      <c r="C2167" t="inlineStr">
        <is>
          <t>toneladas (6000 m3 x MR24_BD); pct sobre toneladas</t>
        </is>
      </c>
      <c r="D2167" t="inlineStr">
        <is>
          <t>periodo_XLE2WST_AMIN</t>
        </is>
      </c>
      <c r="E2167" t="inlineStr">
        <is>
          <t>2031</t>
        </is>
      </c>
      <c r="F2167" t="inlineStr">
        <is>
          <t>litologia_tentativa</t>
        </is>
      </c>
      <c r="G2167" t="inlineStr">
        <is>
          <t>Hornfels (hipótesis: siglas HBV, HGV, HCB, HDP; 'Diop. Hornfels'~HGV)</t>
        </is>
      </c>
      <c r="H2167" t="inlineStr"/>
      <c r="I2167" t="inlineStr"/>
      <c r="J2167" t="inlineStr">
        <is>
          <t>suma de filas por código</t>
        </is>
      </c>
      <c r="K2167" t="inlineStr">
        <is>
          <t>Hornfels (hipótesis: siglas HBV, HGV, HCB, HDP; 'Diop. Hornfels'~HGV)</t>
        </is>
      </c>
      <c r="L2167" t="inlineStr"/>
      <c r="M2167" t="n">
        <v>879</v>
      </c>
      <c r="N2167" t="n">
        <v>5274000</v>
      </c>
      <c r="O2167" t="n">
        <v>15077562</v>
      </c>
      <c r="P2167" t="inlineStr"/>
      <c r="Q2167" t="n">
        <v>7.137</v>
      </c>
    </row>
    <row r="2168">
      <c r="A2168" t="inlineStr">
        <is>
          <t>MR24</t>
        </is>
      </c>
      <c r="B2168" t="inlineStr">
        <is>
          <t>SIMULACIONES_MR2024_V3</t>
        </is>
      </c>
      <c r="C2168" t="inlineStr">
        <is>
          <t>toneladas (6000 m3 x MR24_BD); pct sobre toneladas</t>
        </is>
      </c>
      <c r="D2168" t="inlineStr">
        <is>
          <t>periodo_XLE2WST_AMIN</t>
        </is>
      </c>
      <c r="E2168" t="inlineStr">
        <is>
          <t>2031</t>
        </is>
      </c>
      <c r="F2168" t="inlineStr">
        <is>
          <t>litologia_tentativa</t>
        </is>
      </c>
      <c r="G2168" t="inlineStr">
        <is>
          <t>Hornfels (hipótesis: siglas HG, HGS, HC)</t>
        </is>
      </c>
      <c r="H2168" t="inlineStr"/>
      <c r="I2168" t="inlineStr"/>
      <c r="J2168" t="inlineStr">
        <is>
          <t>suma de filas por código</t>
        </is>
      </c>
      <c r="K2168" t="inlineStr">
        <is>
          <t>Hornfels (hipótesis: siglas HG, HGS, HC)</t>
        </is>
      </c>
      <c r="L2168" t="inlineStr"/>
      <c r="M2168" t="n">
        <v>4748</v>
      </c>
      <c r="N2168" t="n">
        <v>28488000</v>
      </c>
      <c r="O2168" t="n">
        <v>77486004</v>
      </c>
      <c r="P2168" t="inlineStr"/>
      <c r="Q2168" t="n">
        <v>36.677</v>
      </c>
    </row>
    <row r="2169">
      <c r="A2169" t="inlineStr">
        <is>
          <t>MR24</t>
        </is>
      </c>
      <c r="B2169" t="inlineStr">
        <is>
          <t>SIMULACIONES_MR2024_V3</t>
        </is>
      </c>
      <c r="C2169" t="inlineStr">
        <is>
          <t>toneladas (6000 m3 x MR24_BD); pct sobre toneladas</t>
        </is>
      </c>
      <c r="D2169" t="inlineStr">
        <is>
          <t>periodo_XLE2WST_AMIN</t>
        </is>
      </c>
      <c r="E2169" t="inlineStr">
        <is>
          <t>2031</t>
        </is>
      </c>
      <c r="F2169" t="inlineStr">
        <is>
          <t>litologia_tentativa</t>
        </is>
      </c>
      <c r="G2169" t="inlineStr">
        <is>
          <t>Intrusivo</t>
        </is>
      </c>
      <c r="H2169" t="inlineStr"/>
      <c r="I2169" t="inlineStr"/>
      <c r="J2169" t="inlineStr">
        <is>
          <t>suma de filas por código</t>
        </is>
      </c>
      <c r="K2169" t="inlineStr">
        <is>
          <t>Intrusivo</t>
        </is>
      </c>
      <c r="L2169" t="inlineStr"/>
      <c r="M2169" t="n">
        <v>2054</v>
      </c>
      <c r="N2169" t="n">
        <v>12324000</v>
      </c>
      <c r="O2169" t="n">
        <v>30599484</v>
      </c>
      <c r="P2169" t="inlineStr"/>
      <c r="Q2169" t="n">
        <v>14.483</v>
      </c>
    </row>
    <row r="2170">
      <c r="A2170" t="inlineStr">
        <is>
          <t>MR24</t>
        </is>
      </c>
      <c r="B2170" t="inlineStr">
        <is>
          <t>SIMULACIONES_MR2024_V3</t>
        </is>
      </c>
      <c r="C2170" t="inlineStr">
        <is>
          <t>toneladas (6000 m3 x MR24_BD); pct sobre toneladas</t>
        </is>
      </c>
      <c r="D2170" t="inlineStr">
        <is>
          <t>periodo_XLE2WST_AMIN</t>
        </is>
      </c>
      <c r="E2170" t="inlineStr">
        <is>
          <t>2031</t>
        </is>
      </c>
      <c r="F2170" t="inlineStr">
        <is>
          <t>litologia_tentativa</t>
        </is>
      </c>
      <c r="G2170" t="inlineStr">
        <is>
          <t>Mármol (hipótesis: sigla MDP)</t>
        </is>
      </c>
      <c r="H2170" t="inlineStr"/>
      <c r="I2170" t="inlineStr"/>
      <c r="J2170" t="inlineStr">
        <is>
          <t>suma de filas por código</t>
        </is>
      </c>
      <c r="K2170" t="inlineStr">
        <is>
          <t>Mármol (hipótesis: sigla MDP)</t>
        </is>
      </c>
      <c r="L2170" t="inlineStr"/>
      <c r="M2170" t="n">
        <v>287</v>
      </c>
      <c r="N2170" t="n">
        <v>1722000</v>
      </c>
      <c r="O2170" t="n">
        <v>4861896</v>
      </c>
      <c r="P2170" t="inlineStr"/>
      <c r="Q2170" t="n">
        <v>2.301</v>
      </c>
    </row>
    <row r="2171">
      <c r="A2171" t="inlineStr">
        <is>
          <t>MR24</t>
        </is>
      </c>
      <c r="B2171" t="inlineStr">
        <is>
          <t>SIMULACIONES_MR2024_V3</t>
        </is>
      </c>
      <c r="C2171" t="inlineStr">
        <is>
          <t>toneladas (6000 m3 x MR24_BD); pct sobre toneladas</t>
        </is>
      </c>
      <c r="D2171" t="inlineStr">
        <is>
          <t>periodo_XLE2WST_AMIN</t>
        </is>
      </c>
      <c r="E2171" t="inlineStr">
        <is>
          <t>2031</t>
        </is>
      </c>
      <c r="F2171" t="inlineStr">
        <is>
          <t>litologia_tentativa</t>
        </is>
      </c>
      <c r="G2171" t="inlineStr">
        <is>
          <t>Mármol (hipótesis: siglas MC, MG, MGS, MPA, MCGB; 'Marble'~MCGB)</t>
        </is>
      </c>
      <c r="H2171" t="inlineStr"/>
      <c r="I2171" t="inlineStr"/>
      <c r="J2171" t="inlineStr">
        <is>
          <t>suma de filas por código</t>
        </is>
      </c>
      <c r="K2171" t="inlineStr">
        <is>
          <t>Mármol (hipótesis: siglas MC, MG, MGS, MPA, MCGB; 'Marble'~MCGB)</t>
        </is>
      </c>
      <c r="L2171" t="inlineStr"/>
      <c r="M2171" t="n">
        <v>3136</v>
      </c>
      <c r="N2171" t="n">
        <v>18816000</v>
      </c>
      <c r="O2171" t="n">
        <v>51242904</v>
      </c>
      <c r="P2171" t="inlineStr"/>
      <c r="Q2171" t="n">
        <v>24.255</v>
      </c>
    </row>
    <row r="2172">
      <c r="A2172" t="inlineStr">
        <is>
          <t>MR24</t>
        </is>
      </c>
      <c r="B2172" t="inlineStr">
        <is>
          <t>SIMULACIONES_MR2024_V3</t>
        </is>
      </c>
      <c r="C2172" t="inlineStr">
        <is>
          <t>toneladas (6000 m3 x MR24_BD); pct sobre toneladas</t>
        </is>
      </c>
      <c r="D2172" t="inlineStr">
        <is>
          <t>periodo_XLE2WST_AMIN</t>
        </is>
      </c>
      <c r="E2172" t="inlineStr">
        <is>
          <t>2031</t>
        </is>
      </c>
      <c r="F2172" t="inlineStr">
        <is>
          <t>litologia_tentativa</t>
        </is>
      </c>
      <c r="G2172" t="inlineStr">
        <is>
          <t>sin hipótesis</t>
        </is>
      </c>
      <c r="H2172" t="inlineStr"/>
      <c r="I2172" t="inlineStr"/>
      <c r="J2172" t="inlineStr">
        <is>
          <t>suma de filas por código</t>
        </is>
      </c>
      <c r="K2172" t="inlineStr">
        <is>
          <t>sin hipótesis</t>
        </is>
      </c>
      <c r="L2172" t="inlineStr"/>
      <c r="M2172" t="n">
        <v>31</v>
      </c>
      <c r="N2172" t="n">
        <v>186000</v>
      </c>
      <c r="O2172" t="n">
        <v>504174</v>
      </c>
      <c r="P2172" t="inlineStr"/>
      <c r="Q2172" t="n">
        <v>0.239</v>
      </c>
    </row>
    <row r="2173">
      <c r="A2173" t="inlineStr">
        <is>
          <t>MR24</t>
        </is>
      </c>
      <c r="B2173" t="inlineStr">
        <is>
          <t>SIMULACIONES_MR2024_V3</t>
        </is>
      </c>
      <c r="C2173" t="inlineStr">
        <is>
          <t>toneladas (6000 m3 x MR24_BD); pct sobre toneladas</t>
        </is>
      </c>
      <c r="D2173" t="inlineStr">
        <is>
          <t>periodo_XLE2WST_AMIN</t>
        </is>
      </c>
      <c r="E2173" t="inlineStr">
        <is>
          <t>2032</t>
        </is>
      </c>
      <c r="F2173" t="inlineStr">
        <is>
          <t>litologia_tentativa</t>
        </is>
      </c>
      <c r="G2173" t="inlineStr">
        <is>
          <t>Caliza (hipótesis: Sedimentario; RT11~NUMEQ10, siglas C*)</t>
        </is>
      </c>
      <c r="H2173" t="inlineStr"/>
      <c r="I2173" t="inlineStr"/>
      <c r="J2173" t="inlineStr">
        <is>
          <t>suma de filas por código</t>
        </is>
      </c>
      <c r="K2173" t="inlineStr">
        <is>
          <t>Caliza (hipótesis: Sedimentario; RT11~NUMEQ10, siglas C*)</t>
        </is>
      </c>
      <c r="L2173" t="inlineStr"/>
      <c r="M2173" t="n">
        <v>1791</v>
      </c>
      <c r="N2173" t="n">
        <v>10746000</v>
      </c>
      <c r="O2173" t="n">
        <v>29108556</v>
      </c>
      <c r="P2173" t="inlineStr"/>
      <c r="Q2173" t="n">
        <v>10.825</v>
      </c>
    </row>
    <row r="2174">
      <c r="A2174" t="inlineStr">
        <is>
          <t>MR24</t>
        </is>
      </c>
      <c r="B2174" t="inlineStr">
        <is>
          <t>SIMULACIONES_MR2024_V3</t>
        </is>
      </c>
      <c r="C2174" t="inlineStr">
        <is>
          <t>toneladas (6000 m3 x MR24_BD); pct sobre toneladas</t>
        </is>
      </c>
      <c r="D2174" t="inlineStr">
        <is>
          <t>periodo_XLE2WST_AMIN</t>
        </is>
      </c>
      <c r="E2174" t="inlineStr">
        <is>
          <t>2032</t>
        </is>
      </c>
      <c r="F2174" t="inlineStr">
        <is>
          <t>litologia_tentativa</t>
        </is>
      </c>
      <c r="G2174" t="inlineStr">
        <is>
          <t>Caliza (hipótesis: siglas C*)</t>
        </is>
      </c>
      <c r="H2174" t="inlineStr"/>
      <c r="I2174" t="inlineStr"/>
      <c r="J2174" t="inlineStr">
        <is>
          <t>suma de filas por código</t>
        </is>
      </c>
      <c r="K2174" t="inlineStr">
        <is>
          <t>Caliza (hipótesis: siglas C*)</t>
        </is>
      </c>
      <c r="L2174" t="inlineStr"/>
      <c r="M2174" t="n">
        <v>2347</v>
      </c>
      <c r="N2174" t="n">
        <v>14082000</v>
      </c>
      <c r="O2174" t="n">
        <v>38104206</v>
      </c>
      <c r="P2174" t="inlineStr"/>
      <c r="Q2174" t="n">
        <v>14.17</v>
      </c>
    </row>
    <row r="2175">
      <c r="A2175" t="inlineStr">
        <is>
          <t>MR24</t>
        </is>
      </c>
      <c r="B2175" t="inlineStr">
        <is>
          <t>SIMULACIONES_MR2024_V3</t>
        </is>
      </c>
      <c r="C2175" t="inlineStr">
        <is>
          <t>toneladas (6000 m3 x MR24_BD); pct sobre toneladas</t>
        </is>
      </c>
      <c r="D2175" t="inlineStr">
        <is>
          <t>periodo_XLE2WST_AMIN</t>
        </is>
      </c>
      <c r="E2175" t="inlineStr">
        <is>
          <t>2032</t>
        </is>
      </c>
      <c r="F2175" t="inlineStr">
        <is>
          <t>litologia_tentativa</t>
        </is>
      </c>
      <c r="G2175" t="inlineStr">
        <is>
          <t>Hornfels (hipótesis: siglas HBV, HGV, HCB, HDP; 'Diop. Hornfels'~HGV)</t>
        </is>
      </c>
      <c r="H2175" t="inlineStr"/>
      <c r="I2175" t="inlineStr"/>
      <c r="J2175" t="inlineStr">
        <is>
          <t>suma de filas por código</t>
        </is>
      </c>
      <c r="K2175" t="inlineStr">
        <is>
          <t>Hornfels (hipótesis: siglas HBV, HGV, HCB, HDP; 'Diop. Hornfels'~HGV)</t>
        </is>
      </c>
      <c r="L2175" t="inlineStr"/>
      <c r="M2175" t="n">
        <v>830</v>
      </c>
      <c r="N2175" t="n">
        <v>4980000</v>
      </c>
      <c r="O2175" t="n">
        <v>14450226</v>
      </c>
      <c r="P2175" t="inlineStr"/>
      <c r="Q2175" t="n">
        <v>5.374</v>
      </c>
    </row>
    <row r="2176">
      <c r="A2176" t="inlineStr">
        <is>
          <t>MR24</t>
        </is>
      </c>
      <c r="B2176" t="inlineStr">
        <is>
          <t>SIMULACIONES_MR2024_V3</t>
        </is>
      </c>
      <c r="C2176" t="inlineStr">
        <is>
          <t>toneladas (6000 m3 x MR24_BD); pct sobre toneladas</t>
        </is>
      </c>
      <c r="D2176" t="inlineStr">
        <is>
          <t>periodo_XLE2WST_AMIN</t>
        </is>
      </c>
      <c r="E2176" t="inlineStr">
        <is>
          <t>2032</t>
        </is>
      </c>
      <c r="F2176" t="inlineStr">
        <is>
          <t>litologia_tentativa</t>
        </is>
      </c>
      <c r="G2176" t="inlineStr">
        <is>
          <t>Hornfels (hipótesis: siglas HG, HGS, HC)</t>
        </is>
      </c>
      <c r="H2176" t="inlineStr"/>
      <c r="I2176" t="inlineStr"/>
      <c r="J2176" t="inlineStr">
        <is>
          <t>suma de filas por código</t>
        </is>
      </c>
      <c r="K2176" t="inlineStr">
        <is>
          <t>Hornfels (hipótesis: siglas HG, HGS, HC)</t>
        </is>
      </c>
      <c r="L2176" t="inlineStr"/>
      <c r="M2176" t="n">
        <v>2966</v>
      </c>
      <c r="N2176" t="n">
        <v>17796000</v>
      </c>
      <c r="O2176" t="n">
        <v>48386100</v>
      </c>
      <c r="P2176" t="inlineStr"/>
      <c r="Q2176" t="n">
        <v>17.993</v>
      </c>
    </row>
    <row r="2177">
      <c r="A2177" t="inlineStr">
        <is>
          <t>MR24</t>
        </is>
      </c>
      <c r="B2177" t="inlineStr">
        <is>
          <t>SIMULACIONES_MR2024_V3</t>
        </is>
      </c>
      <c r="C2177" t="inlineStr">
        <is>
          <t>toneladas (6000 m3 x MR24_BD); pct sobre toneladas</t>
        </is>
      </c>
      <c r="D2177" t="inlineStr">
        <is>
          <t>periodo_XLE2WST_AMIN</t>
        </is>
      </c>
      <c r="E2177" t="inlineStr">
        <is>
          <t>2032</t>
        </is>
      </c>
      <c r="F2177" t="inlineStr">
        <is>
          <t>litologia_tentativa</t>
        </is>
      </c>
      <c r="G2177" t="inlineStr">
        <is>
          <t>Intrusivo</t>
        </is>
      </c>
      <c r="H2177" t="inlineStr"/>
      <c r="I2177" t="inlineStr"/>
      <c r="J2177" t="inlineStr">
        <is>
          <t>suma de filas por código</t>
        </is>
      </c>
      <c r="K2177" t="inlineStr">
        <is>
          <t>Intrusivo</t>
        </is>
      </c>
      <c r="L2177" t="inlineStr"/>
      <c r="M2177" t="n">
        <v>3634</v>
      </c>
      <c r="N2177" t="n">
        <v>21804000</v>
      </c>
      <c r="O2177" t="n">
        <v>54236736</v>
      </c>
      <c r="P2177" t="inlineStr"/>
      <c r="Q2177" t="n">
        <v>20.169</v>
      </c>
    </row>
    <row r="2178">
      <c r="A2178" t="inlineStr">
        <is>
          <t>MR24</t>
        </is>
      </c>
      <c r="B2178" t="inlineStr">
        <is>
          <t>SIMULACIONES_MR2024_V3</t>
        </is>
      </c>
      <c r="C2178" t="inlineStr">
        <is>
          <t>toneladas (6000 m3 x MR24_BD); pct sobre toneladas</t>
        </is>
      </c>
      <c r="D2178" t="inlineStr">
        <is>
          <t>periodo_XLE2WST_AMIN</t>
        </is>
      </c>
      <c r="E2178" t="inlineStr">
        <is>
          <t>2032</t>
        </is>
      </c>
      <c r="F2178" t="inlineStr">
        <is>
          <t>litologia_tentativa</t>
        </is>
      </c>
      <c r="G2178" t="inlineStr">
        <is>
          <t>Mármol (hipótesis: sigla MDP)</t>
        </is>
      </c>
      <c r="H2178" t="inlineStr"/>
      <c r="I2178" t="inlineStr"/>
      <c r="J2178" t="inlineStr">
        <is>
          <t>suma de filas por código</t>
        </is>
      </c>
      <c r="K2178" t="inlineStr">
        <is>
          <t>Mármol (hipótesis: sigla MDP)</t>
        </is>
      </c>
      <c r="L2178" t="inlineStr"/>
      <c r="M2178" t="n">
        <v>552</v>
      </c>
      <c r="N2178" t="n">
        <v>3312000</v>
      </c>
      <c r="O2178" t="n">
        <v>9452226</v>
      </c>
      <c r="P2178" t="inlineStr"/>
      <c r="Q2178" t="n">
        <v>3.515</v>
      </c>
    </row>
    <row r="2179">
      <c r="A2179" t="inlineStr">
        <is>
          <t>MR24</t>
        </is>
      </c>
      <c r="B2179" t="inlineStr">
        <is>
          <t>SIMULACIONES_MR2024_V3</t>
        </is>
      </c>
      <c r="C2179" t="inlineStr">
        <is>
          <t>toneladas (6000 m3 x MR24_BD); pct sobre toneladas</t>
        </is>
      </c>
      <c r="D2179" t="inlineStr">
        <is>
          <t>periodo_XLE2WST_AMIN</t>
        </is>
      </c>
      <c r="E2179" t="inlineStr">
        <is>
          <t>2032</t>
        </is>
      </c>
      <c r="F2179" t="inlineStr">
        <is>
          <t>litologia_tentativa</t>
        </is>
      </c>
      <c r="G2179" t="inlineStr">
        <is>
          <t>Mármol (hipótesis: siglas MC, MG, MGS, MPA, MCGB; 'Marble'~MCGB)</t>
        </is>
      </c>
      <c r="H2179" t="inlineStr"/>
      <c r="I2179" t="inlineStr"/>
      <c r="J2179" t="inlineStr">
        <is>
          <t>suma de filas por código</t>
        </is>
      </c>
      <c r="K2179" t="inlineStr">
        <is>
          <t>Mármol (hipótesis: siglas MC, MG, MGS, MPA, MCGB; 'Marble'~MCGB)</t>
        </is>
      </c>
      <c r="L2179" t="inlineStr"/>
      <c r="M2179" t="n">
        <v>4592</v>
      </c>
      <c r="N2179" t="n">
        <v>27552000</v>
      </c>
      <c r="O2179" t="n">
        <v>75040722</v>
      </c>
      <c r="P2179" t="inlineStr"/>
      <c r="Q2179" t="n">
        <v>27.906</v>
      </c>
    </row>
    <row r="2180">
      <c r="A2180" t="inlineStr">
        <is>
          <t>MR24</t>
        </is>
      </c>
      <c r="B2180" t="inlineStr">
        <is>
          <t>SIMULACIONES_MR2024_V3</t>
        </is>
      </c>
      <c r="C2180" t="inlineStr">
        <is>
          <t>toneladas (6000 m3 x MR24_BD); pct sobre toneladas</t>
        </is>
      </c>
      <c r="D2180" t="inlineStr">
        <is>
          <t>periodo_XLE2WST_AMIN</t>
        </is>
      </c>
      <c r="E2180" t="inlineStr">
        <is>
          <t>2032</t>
        </is>
      </c>
      <c r="F2180" t="inlineStr">
        <is>
          <t>litologia_tentativa</t>
        </is>
      </c>
      <c r="G2180" t="inlineStr">
        <is>
          <t>sin hipótesis</t>
        </is>
      </c>
      <c r="H2180" t="inlineStr"/>
      <c r="I2180" t="inlineStr"/>
      <c r="J2180" t="inlineStr">
        <is>
          <t>suma de filas por código</t>
        </is>
      </c>
      <c r="K2180" t="inlineStr">
        <is>
          <t>sin hipótesis</t>
        </is>
      </c>
      <c r="L2180" t="inlineStr"/>
      <c r="M2180" t="n">
        <v>8</v>
      </c>
      <c r="N2180" t="n">
        <v>48000</v>
      </c>
      <c r="O2180" t="n">
        <v>130884</v>
      </c>
      <c r="P2180" t="inlineStr"/>
      <c r="Q2180" t="n">
        <v>0.049</v>
      </c>
    </row>
    <row r="2181">
      <c r="A2181" t="inlineStr">
        <is>
          <t>MR24</t>
        </is>
      </c>
      <c r="B2181" t="inlineStr">
        <is>
          <t>SIMULACIONES_MR2024_V3</t>
        </is>
      </c>
      <c r="C2181" t="inlineStr">
        <is>
          <t>toneladas (6000 m3 x MR24_BD); pct sobre toneladas</t>
        </is>
      </c>
      <c r="D2181" t="inlineStr">
        <is>
          <t>periodo_XLE2WST_AMIN</t>
        </is>
      </c>
      <c r="E2181" t="inlineStr">
        <is>
          <t>2033</t>
        </is>
      </c>
      <c r="F2181" t="inlineStr">
        <is>
          <t>litologia_tentativa</t>
        </is>
      </c>
      <c r="G2181" t="inlineStr">
        <is>
          <t>Caliza (hipótesis: Sedimentario; RT11~NUMEQ10, siglas C*)</t>
        </is>
      </c>
      <c r="H2181" t="inlineStr"/>
      <c r="I2181" t="inlineStr"/>
      <c r="J2181" t="inlineStr">
        <is>
          <t>suma de filas por código</t>
        </is>
      </c>
      <c r="K2181" t="inlineStr">
        <is>
          <t>Caliza (hipótesis: Sedimentario; RT11~NUMEQ10, siglas C*)</t>
        </is>
      </c>
      <c r="L2181" t="inlineStr"/>
      <c r="M2181" t="n">
        <v>3854</v>
      </c>
      <c r="N2181" t="n">
        <v>23124000</v>
      </c>
      <c r="O2181" t="n">
        <v>62615964</v>
      </c>
      <c r="P2181" t="inlineStr"/>
      <c r="Q2181" t="n">
        <v>25.591</v>
      </c>
    </row>
    <row r="2182">
      <c r="A2182" t="inlineStr">
        <is>
          <t>MR24</t>
        </is>
      </c>
      <c r="B2182" t="inlineStr">
        <is>
          <t>SIMULACIONES_MR2024_V3</t>
        </is>
      </c>
      <c r="C2182" t="inlineStr">
        <is>
          <t>toneladas (6000 m3 x MR24_BD); pct sobre toneladas</t>
        </is>
      </c>
      <c r="D2182" t="inlineStr">
        <is>
          <t>periodo_XLE2WST_AMIN</t>
        </is>
      </c>
      <c r="E2182" t="inlineStr">
        <is>
          <t>2033</t>
        </is>
      </c>
      <c r="F2182" t="inlineStr">
        <is>
          <t>litologia_tentativa</t>
        </is>
      </c>
      <c r="G2182" t="inlineStr">
        <is>
          <t>Caliza (hipótesis: siglas C*)</t>
        </is>
      </c>
      <c r="H2182" t="inlineStr"/>
      <c r="I2182" t="inlineStr"/>
      <c r="J2182" t="inlineStr">
        <is>
          <t>suma de filas por código</t>
        </is>
      </c>
      <c r="K2182" t="inlineStr">
        <is>
          <t>Caliza (hipótesis: siglas C*)</t>
        </is>
      </c>
      <c r="L2182" t="inlineStr"/>
      <c r="M2182" t="n">
        <v>986</v>
      </c>
      <c r="N2182" t="n">
        <v>5916000</v>
      </c>
      <c r="O2182" t="n">
        <v>16000554</v>
      </c>
      <c r="P2182" t="inlineStr"/>
      <c r="Q2182" t="n">
        <v>6.539</v>
      </c>
    </row>
    <row r="2183">
      <c r="A2183" t="inlineStr">
        <is>
          <t>MR24</t>
        </is>
      </c>
      <c r="B2183" t="inlineStr">
        <is>
          <t>SIMULACIONES_MR2024_V3</t>
        </is>
      </c>
      <c r="C2183" t="inlineStr">
        <is>
          <t>toneladas (6000 m3 x MR24_BD); pct sobre toneladas</t>
        </is>
      </c>
      <c r="D2183" t="inlineStr">
        <is>
          <t>periodo_XLE2WST_AMIN</t>
        </is>
      </c>
      <c r="E2183" t="inlineStr">
        <is>
          <t>2033</t>
        </is>
      </c>
      <c r="F2183" t="inlineStr">
        <is>
          <t>litologia_tentativa</t>
        </is>
      </c>
      <c r="G2183" t="inlineStr">
        <is>
          <t>Hornfels (hipótesis: siglas HBV, HGV, HCB, HDP; 'Diop. Hornfels'~HGV)</t>
        </is>
      </c>
      <c r="H2183" t="inlineStr"/>
      <c r="I2183" t="inlineStr"/>
      <c r="J2183" t="inlineStr">
        <is>
          <t>suma de filas por código</t>
        </is>
      </c>
      <c r="K2183" t="inlineStr">
        <is>
          <t>Hornfels (hipótesis: siglas HBV, HGV, HCB, HDP; 'Diop. Hornfels'~HGV)</t>
        </is>
      </c>
      <c r="L2183" t="inlineStr"/>
      <c r="M2183" t="n">
        <v>1112</v>
      </c>
      <c r="N2183" t="n">
        <v>6672000</v>
      </c>
      <c r="O2183" t="n">
        <v>19156236</v>
      </c>
      <c r="P2183" t="inlineStr"/>
      <c r="Q2183" t="n">
        <v>7.829</v>
      </c>
    </row>
    <row r="2184">
      <c r="A2184" t="inlineStr">
        <is>
          <t>MR24</t>
        </is>
      </c>
      <c r="B2184" t="inlineStr">
        <is>
          <t>SIMULACIONES_MR2024_V3</t>
        </is>
      </c>
      <c r="C2184" t="inlineStr">
        <is>
          <t>toneladas (6000 m3 x MR24_BD); pct sobre toneladas</t>
        </is>
      </c>
      <c r="D2184" t="inlineStr">
        <is>
          <t>periodo_XLE2WST_AMIN</t>
        </is>
      </c>
      <c r="E2184" t="inlineStr">
        <is>
          <t>2033</t>
        </is>
      </c>
      <c r="F2184" t="inlineStr">
        <is>
          <t>litologia_tentativa</t>
        </is>
      </c>
      <c r="G2184" t="inlineStr">
        <is>
          <t>Hornfels (hipótesis: siglas HG, HGS, HC)</t>
        </is>
      </c>
      <c r="H2184" t="inlineStr"/>
      <c r="I2184" t="inlineStr"/>
      <c r="J2184" t="inlineStr">
        <is>
          <t>suma de filas por código</t>
        </is>
      </c>
      <c r="K2184" t="inlineStr">
        <is>
          <t>Hornfels (hipótesis: siglas HG, HGS, HC)</t>
        </is>
      </c>
      <c r="L2184" t="inlineStr"/>
      <c r="M2184" t="n">
        <v>1564</v>
      </c>
      <c r="N2184" t="n">
        <v>9384000</v>
      </c>
      <c r="O2184" t="n">
        <v>25408074</v>
      </c>
      <c r="P2184" t="inlineStr"/>
      <c r="Q2184" t="n">
        <v>10.384</v>
      </c>
    </row>
    <row r="2185">
      <c r="A2185" t="inlineStr">
        <is>
          <t>MR24</t>
        </is>
      </c>
      <c r="B2185" t="inlineStr">
        <is>
          <t>SIMULACIONES_MR2024_V3</t>
        </is>
      </c>
      <c r="C2185" t="inlineStr">
        <is>
          <t>toneladas (6000 m3 x MR24_BD); pct sobre toneladas</t>
        </is>
      </c>
      <c r="D2185" t="inlineStr">
        <is>
          <t>periodo_XLE2WST_AMIN</t>
        </is>
      </c>
      <c r="E2185" t="inlineStr">
        <is>
          <t>2033</t>
        </is>
      </c>
      <c r="F2185" t="inlineStr">
        <is>
          <t>litologia_tentativa</t>
        </is>
      </c>
      <c r="G2185" t="inlineStr">
        <is>
          <t>Intrusivo</t>
        </is>
      </c>
      <c r="H2185" t="inlineStr"/>
      <c r="I2185" t="inlineStr"/>
      <c r="J2185" t="inlineStr">
        <is>
          <t>suma de filas por código</t>
        </is>
      </c>
      <c r="K2185" t="inlineStr">
        <is>
          <t>Intrusivo</t>
        </is>
      </c>
      <c r="L2185" t="inlineStr"/>
      <c r="M2185" t="n">
        <v>1599</v>
      </c>
      <c r="N2185" t="n">
        <v>9594000</v>
      </c>
      <c r="O2185" t="n">
        <v>24220992</v>
      </c>
      <c r="P2185" t="inlineStr"/>
      <c r="Q2185" t="n">
        <v>9.898999999999999</v>
      </c>
    </row>
    <row r="2186">
      <c r="A2186" t="inlineStr">
        <is>
          <t>MR24</t>
        </is>
      </c>
      <c r="B2186" t="inlineStr">
        <is>
          <t>SIMULACIONES_MR2024_V3</t>
        </is>
      </c>
      <c r="C2186" t="inlineStr">
        <is>
          <t>toneladas (6000 m3 x MR24_BD); pct sobre toneladas</t>
        </is>
      </c>
      <c r="D2186" t="inlineStr">
        <is>
          <t>periodo_XLE2WST_AMIN</t>
        </is>
      </c>
      <c r="E2186" t="inlineStr">
        <is>
          <t>2033</t>
        </is>
      </c>
      <c r="F2186" t="inlineStr">
        <is>
          <t>litologia_tentativa</t>
        </is>
      </c>
      <c r="G2186" t="inlineStr">
        <is>
          <t>Mármol (hipótesis: sigla MDP)</t>
        </is>
      </c>
      <c r="H2186" t="inlineStr"/>
      <c r="I2186" t="inlineStr"/>
      <c r="J2186" t="inlineStr">
        <is>
          <t>suma de filas por código</t>
        </is>
      </c>
      <c r="K2186" t="inlineStr">
        <is>
          <t>Mármol (hipótesis: sigla MDP)</t>
        </is>
      </c>
      <c r="L2186" t="inlineStr"/>
      <c r="M2186" t="n">
        <v>792</v>
      </c>
      <c r="N2186" t="n">
        <v>4752000</v>
      </c>
      <c r="O2186" t="n">
        <v>13490844</v>
      </c>
      <c r="P2186" t="inlineStr"/>
      <c r="Q2186" t="n">
        <v>5.514</v>
      </c>
    </row>
    <row r="2187">
      <c r="A2187" t="inlineStr">
        <is>
          <t>MR24</t>
        </is>
      </c>
      <c r="B2187" t="inlineStr">
        <is>
          <t>SIMULACIONES_MR2024_V3</t>
        </is>
      </c>
      <c r="C2187" t="inlineStr">
        <is>
          <t>toneladas (6000 m3 x MR24_BD); pct sobre toneladas</t>
        </is>
      </c>
      <c r="D2187" t="inlineStr">
        <is>
          <t>periodo_XLE2WST_AMIN</t>
        </is>
      </c>
      <c r="E2187" t="inlineStr">
        <is>
          <t>2033</t>
        </is>
      </c>
      <c r="F2187" t="inlineStr">
        <is>
          <t>litologia_tentativa</t>
        </is>
      </c>
      <c r="G2187" t="inlineStr">
        <is>
          <t>Mármol (hipótesis: siglas MC, MG, MGS, MPA, MCGB; 'Marble'~MCGB)</t>
        </is>
      </c>
      <c r="H2187" t="inlineStr"/>
      <c r="I2187" t="inlineStr"/>
      <c r="J2187" t="inlineStr">
        <is>
          <t>suma de filas por código</t>
        </is>
      </c>
      <c r="K2187" t="inlineStr">
        <is>
          <t>Mármol (hipótesis: siglas MC, MG, MGS, MPA, MCGB; 'Marble'~MCGB)</t>
        </is>
      </c>
      <c r="L2187" t="inlineStr"/>
      <c r="M2187" t="n">
        <v>5131</v>
      </c>
      <c r="N2187" t="n">
        <v>30786000</v>
      </c>
      <c r="O2187" t="n">
        <v>83510988</v>
      </c>
      <c r="P2187" t="inlineStr"/>
      <c r="Q2187" t="n">
        <v>34.131</v>
      </c>
    </row>
    <row r="2188">
      <c r="A2188" t="inlineStr">
        <is>
          <t>MR24</t>
        </is>
      </c>
      <c r="B2188" t="inlineStr">
        <is>
          <t>SIMULACIONES_MR2024_V3</t>
        </is>
      </c>
      <c r="C2188" t="inlineStr">
        <is>
          <t>toneladas (6000 m3 x MR24_BD); pct sobre toneladas</t>
        </is>
      </c>
      <c r="D2188" t="inlineStr">
        <is>
          <t>periodo_XLE2WST_AMIN</t>
        </is>
      </c>
      <c r="E2188" t="inlineStr">
        <is>
          <t>2033</t>
        </is>
      </c>
      <c r="F2188" t="inlineStr">
        <is>
          <t>litologia_tentativa</t>
        </is>
      </c>
      <c r="G2188" t="inlineStr">
        <is>
          <t>sin hipótesis</t>
        </is>
      </c>
      <c r="H2188" t="inlineStr"/>
      <c r="I2188" t="inlineStr"/>
      <c r="J2188" t="inlineStr">
        <is>
          <t>suma de filas por código</t>
        </is>
      </c>
      <c r="K2188" t="inlineStr">
        <is>
          <t>sin hipótesis</t>
        </is>
      </c>
      <c r="L2188" t="inlineStr"/>
      <c r="M2188" t="n">
        <v>15</v>
      </c>
      <c r="N2188" t="n">
        <v>90000</v>
      </c>
      <c r="O2188" t="n">
        <v>273276</v>
      </c>
      <c r="P2188" t="inlineStr"/>
      <c r="Q2188" t="n">
        <v>0.112</v>
      </c>
    </row>
    <row r="2189">
      <c r="A2189" t="inlineStr">
        <is>
          <t>MR24</t>
        </is>
      </c>
      <c r="B2189" t="inlineStr">
        <is>
          <t>SIMULACIONES_MR2024_V3</t>
        </is>
      </c>
      <c r="C2189" t="inlineStr">
        <is>
          <t>toneladas (6000 m3 x MR24_BD); pct sobre toneladas</t>
        </is>
      </c>
      <c r="D2189" t="inlineStr">
        <is>
          <t>periodo_XLE2WST_AMIN</t>
        </is>
      </c>
      <c r="E2189" t="inlineStr">
        <is>
          <t>2034</t>
        </is>
      </c>
      <c r="F2189" t="inlineStr">
        <is>
          <t>litologia_tentativa</t>
        </is>
      </c>
      <c r="G2189" t="inlineStr">
        <is>
          <t>Caliza (hipótesis: Sedimentario; RT11~NUMEQ10, siglas C*)</t>
        </is>
      </c>
      <c r="H2189" t="inlineStr"/>
      <c r="I2189" t="inlineStr"/>
      <c r="J2189" t="inlineStr">
        <is>
          <t>suma de filas por código</t>
        </is>
      </c>
      <c r="K2189" t="inlineStr">
        <is>
          <t>Caliza (hipótesis: Sedimentario; RT11~NUMEQ10, siglas C*)</t>
        </is>
      </c>
      <c r="L2189" t="inlineStr"/>
      <c r="M2189" t="n">
        <v>5898</v>
      </c>
      <c r="N2189" t="n">
        <v>35388000</v>
      </c>
      <c r="O2189" t="n">
        <v>95928396</v>
      </c>
      <c r="P2189" t="inlineStr"/>
      <c r="Q2189" t="n">
        <v>36.797</v>
      </c>
    </row>
    <row r="2190">
      <c r="A2190" t="inlineStr">
        <is>
          <t>MR24</t>
        </is>
      </c>
      <c r="B2190" t="inlineStr">
        <is>
          <t>SIMULACIONES_MR2024_V3</t>
        </is>
      </c>
      <c r="C2190" t="inlineStr">
        <is>
          <t>toneladas (6000 m3 x MR24_BD); pct sobre toneladas</t>
        </is>
      </c>
      <c r="D2190" t="inlineStr">
        <is>
          <t>periodo_XLE2WST_AMIN</t>
        </is>
      </c>
      <c r="E2190" t="inlineStr">
        <is>
          <t>2034</t>
        </is>
      </c>
      <c r="F2190" t="inlineStr">
        <is>
          <t>litologia_tentativa</t>
        </is>
      </c>
      <c r="G2190" t="inlineStr">
        <is>
          <t>Caliza (hipótesis: siglas C*)</t>
        </is>
      </c>
      <c r="H2190" t="inlineStr"/>
      <c r="I2190" t="inlineStr"/>
      <c r="J2190" t="inlineStr">
        <is>
          <t>suma de filas por código</t>
        </is>
      </c>
      <c r="K2190" t="inlineStr">
        <is>
          <t>Caliza (hipótesis: siglas C*)</t>
        </is>
      </c>
      <c r="L2190" t="inlineStr"/>
      <c r="M2190" t="n">
        <v>400</v>
      </c>
      <c r="N2190" t="n">
        <v>2400000</v>
      </c>
      <c r="O2190" t="n">
        <v>6480342</v>
      </c>
      <c r="P2190" t="inlineStr"/>
      <c r="Q2190" t="n">
        <v>2.486</v>
      </c>
    </row>
    <row r="2191">
      <c r="A2191" t="inlineStr">
        <is>
          <t>MR24</t>
        </is>
      </c>
      <c r="B2191" t="inlineStr">
        <is>
          <t>SIMULACIONES_MR2024_V3</t>
        </is>
      </c>
      <c r="C2191" t="inlineStr">
        <is>
          <t>toneladas (6000 m3 x MR24_BD); pct sobre toneladas</t>
        </is>
      </c>
      <c r="D2191" t="inlineStr">
        <is>
          <t>periodo_XLE2WST_AMIN</t>
        </is>
      </c>
      <c r="E2191" t="inlineStr">
        <is>
          <t>2034</t>
        </is>
      </c>
      <c r="F2191" t="inlineStr">
        <is>
          <t>litologia_tentativa</t>
        </is>
      </c>
      <c r="G2191" t="inlineStr">
        <is>
          <t>Hornfels (hipótesis: siglas HBV, HGV, HCB, HDP; 'Diop. Hornfels'~HGV)</t>
        </is>
      </c>
      <c r="H2191" t="inlineStr"/>
      <c r="I2191" t="inlineStr"/>
      <c r="J2191" t="inlineStr">
        <is>
          <t>suma de filas por código</t>
        </is>
      </c>
      <c r="K2191" t="inlineStr">
        <is>
          <t>Hornfels (hipótesis: siglas HBV, HGV, HCB, HDP; 'Diop. Hornfels'~HGV)</t>
        </is>
      </c>
      <c r="L2191" t="inlineStr"/>
      <c r="M2191" t="n">
        <v>666</v>
      </c>
      <c r="N2191" t="n">
        <v>3996000</v>
      </c>
      <c r="O2191" t="n">
        <v>11448822</v>
      </c>
      <c r="P2191" t="inlineStr"/>
      <c r="Q2191" t="n">
        <v>4.392</v>
      </c>
    </row>
    <row r="2192">
      <c r="A2192" t="inlineStr">
        <is>
          <t>MR24</t>
        </is>
      </c>
      <c r="B2192" t="inlineStr">
        <is>
          <t>SIMULACIONES_MR2024_V3</t>
        </is>
      </c>
      <c r="C2192" t="inlineStr">
        <is>
          <t>toneladas (6000 m3 x MR24_BD); pct sobre toneladas</t>
        </is>
      </c>
      <c r="D2192" t="inlineStr">
        <is>
          <t>periodo_XLE2WST_AMIN</t>
        </is>
      </c>
      <c r="E2192" t="inlineStr">
        <is>
          <t>2034</t>
        </is>
      </c>
      <c r="F2192" t="inlineStr">
        <is>
          <t>litologia_tentativa</t>
        </is>
      </c>
      <c r="G2192" t="inlineStr">
        <is>
          <t>Hornfels (hipótesis: siglas HG, HGS, HC)</t>
        </is>
      </c>
      <c r="H2192" t="inlineStr"/>
      <c r="I2192" t="inlineStr"/>
      <c r="J2192" t="inlineStr">
        <is>
          <t>suma de filas por código</t>
        </is>
      </c>
      <c r="K2192" t="inlineStr">
        <is>
          <t>Hornfels (hipótesis: siglas HG, HGS, HC)</t>
        </is>
      </c>
      <c r="L2192" t="inlineStr"/>
      <c r="M2192" t="n">
        <v>3112</v>
      </c>
      <c r="N2192" t="n">
        <v>18672000</v>
      </c>
      <c r="O2192" t="n">
        <v>50256324</v>
      </c>
      <c r="P2192" t="inlineStr"/>
      <c r="Q2192" t="n">
        <v>19.278</v>
      </c>
    </row>
    <row r="2193">
      <c r="A2193" t="inlineStr">
        <is>
          <t>MR24</t>
        </is>
      </c>
      <c r="B2193" t="inlineStr">
        <is>
          <t>SIMULACIONES_MR2024_V3</t>
        </is>
      </c>
      <c r="C2193" t="inlineStr">
        <is>
          <t>toneladas (6000 m3 x MR24_BD); pct sobre toneladas</t>
        </is>
      </c>
      <c r="D2193" t="inlineStr">
        <is>
          <t>periodo_XLE2WST_AMIN</t>
        </is>
      </c>
      <c r="E2193" t="inlineStr">
        <is>
          <t>2034</t>
        </is>
      </c>
      <c r="F2193" t="inlineStr">
        <is>
          <t>litologia_tentativa</t>
        </is>
      </c>
      <c r="G2193" t="inlineStr">
        <is>
          <t>Intrusivo</t>
        </is>
      </c>
      <c r="H2193" t="inlineStr"/>
      <c r="I2193" t="inlineStr"/>
      <c r="J2193" t="inlineStr">
        <is>
          <t>suma de filas por código</t>
        </is>
      </c>
      <c r="K2193" t="inlineStr">
        <is>
          <t>Intrusivo</t>
        </is>
      </c>
      <c r="L2193" t="inlineStr"/>
      <c r="M2193" t="n">
        <v>817</v>
      </c>
      <c r="N2193" t="n">
        <v>4902000</v>
      </c>
      <c r="O2193" t="n">
        <v>12496002</v>
      </c>
      <c r="P2193" t="inlineStr"/>
      <c r="Q2193" t="n">
        <v>4.793</v>
      </c>
    </row>
    <row r="2194">
      <c r="A2194" t="inlineStr">
        <is>
          <t>MR24</t>
        </is>
      </c>
      <c r="B2194" t="inlineStr">
        <is>
          <t>SIMULACIONES_MR2024_V3</t>
        </is>
      </c>
      <c r="C2194" t="inlineStr">
        <is>
          <t>toneladas (6000 m3 x MR24_BD); pct sobre toneladas</t>
        </is>
      </c>
      <c r="D2194" t="inlineStr">
        <is>
          <t>periodo_XLE2WST_AMIN</t>
        </is>
      </c>
      <c r="E2194" t="inlineStr">
        <is>
          <t>2034</t>
        </is>
      </c>
      <c r="F2194" t="inlineStr">
        <is>
          <t>litologia_tentativa</t>
        </is>
      </c>
      <c r="G2194" t="inlineStr">
        <is>
          <t>Mármol (hipótesis: sigla MDP)</t>
        </is>
      </c>
      <c r="H2194" t="inlineStr"/>
      <c r="I2194" t="inlineStr"/>
      <c r="J2194" t="inlineStr">
        <is>
          <t>suma de filas por código</t>
        </is>
      </c>
      <c r="K2194" t="inlineStr">
        <is>
          <t>Mármol (hipótesis: sigla MDP)</t>
        </is>
      </c>
      <c r="L2194" t="inlineStr"/>
      <c r="M2194" t="n">
        <v>620</v>
      </c>
      <c r="N2194" t="n">
        <v>3720000</v>
      </c>
      <c r="O2194" t="n">
        <v>10660188</v>
      </c>
      <c r="P2194" t="inlineStr"/>
      <c r="Q2194" t="n">
        <v>4.089</v>
      </c>
    </row>
    <row r="2195">
      <c r="A2195" t="inlineStr">
        <is>
          <t>MR24</t>
        </is>
      </c>
      <c r="B2195" t="inlineStr">
        <is>
          <t>SIMULACIONES_MR2024_V3</t>
        </is>
      </c>
      <c r="C2195" t="inlineStr">
        <is>
          <t>toneladas (6000 m3 x MR24_BD); pct sobre toneladas</t>
        </is>
      </c>
      <c r="D2195" t="inlineStr">
        <is>
          <t>periodo_XLE2WST_AMIN</t>
        </is>
      </c>
      <c r="E2195" t="inlineStr">
        <is>
          <t>2034</t>
        </is>
      </c>
      <c r="F2195" t="inlineStr">
        <is>
          <t>litologia_tentativa</t>
        </is>
      </c>
      <c r="G2195" t="inlineStr">
        <is>
          <t>Mármol (hipótesis: siglas MC, MG, MGS, MPA, MCGB; 'Marble'~MCGB)</t>
        </is>
      </c>
      <c r="H2195" t="inlineStr"/>
      <c r="I2195" t="inlineStr"/>
      <c r="J2195" t="inlineStr">
        <is>
          <t>suma de filas por código</t>
        </is>
      </c>
      <c r="K2195" t="inlineStr">
        <is>
          <t>Mármol (hipótesis: siglas MC, MG, MGS, MPA, MCGB; 'Marble'~MCGB)</t>
        </is>
      </c>
      <c r="L2195" t="inlineStr"/>
      <c r="M2195" t="n">
        <v>4524</v>
      </c>
      <c r="N2195" t="n">
        <v>27144000</v>
      </c>
      <c r="O2195" t="n">
        <v>73397748</v>
      </c>
      <c r="P2195" t="inlineStr"/>
      <c r="Q2195" t="n">
        <v>28.154</v>
      </c>
    </row>
    <row r="2196">
      <c r="A2196" t="inlineStr">
        <is>
          <t>MR24</t>
        </is>
      </c>
      <c r="B2196" t="inlineStr">
        <is>
          <t>SIMULACIONES_MR2024_V3</t>
        </is>
      </c>
      <c r="C2196" t="inlineStr">
        <is>
          <t>toneladas (6000 m3 x MR24_BD); pct sobre toneladas</t>
        </is>
      </c>
      <c r="D2196" t="inlineStr">
        <is>
          <t>periodo_XLE2WST_AMIN</t>
        </is>
      </c>
      <c r="E2196" t="inlineStr">
        <is>
          <t>2034</t>
        </is>
      </c>
      <c r="F2196" t="inlineStr">
        <is>
          <t>litologia_tentativa</t>
        </is>
      </c>
      <c r="G2196" t="inlineStr">
        <is>
          <t>sin hipótesis</t>
        </is>
      </c>
      <c r="H2196" t="inlineStr"/>
      <c r="I2196" t="inlineStr"/>
      <c r="J2196" t="inlineStr">
        <is>
          <t>suma de filas por código</t>
        </is>
      </c>
      <c r="K2196" t="inlineStr">
        <is>
          <t>sin hipótesis</t>
        </is>
      </c>
      <c r="L2196" t="inlineStr"/>
      <c r="M2196" t="n">
        <v>2</v>
      </c>
      <c r="N2196" t="n">
        <v>12000</v>
      </c>
      <c r="O2196" t="n">
        <v>30420</v>
      </c>
      <c r="P2196" t="inlineStr"/>
      <c r="Q2196" t="n">
        <v>0.012</v>
      </c>
    </row>
    <row r="2197">
      <c r="A2197" t="inlineStr">
        <is>
          <t>MR24</t>
        </is>
      </c>
      <c r="B2197" t="inlineStr">
        <is>
          <t>SIMULACIONES_MR2024_V3</t>
        </is>
      </c>
      <c r="C2197" t="inlineStr">
        <is>
          <t>toneladas (6000 m3 x MR24_BD); pct sobre toneladas</t>
        </is>
      </c>
      <c r="D2197" t="inlineStr">
        <is>
          <t>periodo_XLE2WST_AMIN</t>
        </is>
      </c>
      <c r="E2197" t="inlineStr">
        <is>
          <t>2035</t>
        </is>
      </c>
      <c r="F2197" t="inlineStr">
        <is>
          <t>litologia_tentativa</t>
        </is>
      </c>
      <c r="G2197" t="inlineStr">
        <is>
          <t>Caliza (hipótesis: Sedimentario; RT11~NUMEQ10, siglas C*)</t>
        </is>
      </c>
      <c r="H2197" t="inlineStr"/>
      <c r="I2197" t="inlineStr"/>
      <c r="J2197" t="inlineStr">
        <is>
          <t>suma de filas por código</t>
        </is>
      </c>
      <c r="K2197" t="inlineStr">
        <is>
          <t>Caliza (hipótesis: Sedimentario; RT11~NUMEQ10, siglas C*)</t>
        </is>
      </c>
      <c r="L2197" t="inlineStr"/>
      <c r="M2197" t="n">
        <v>4157</v>
      </c>
      <c r="N2197" t="n">
        <v>24942000</v>
      </c>
      <c r="O2197" t="n">
        <v>67663500</v>
      </c>
      <c r="P2197" t="inlineStr"/>
      <c r="Q2197" t="n">
        <v>27.207</v>
      </c>
    </row>
    <row r="2198">
      <c r="A2198" t="inlineStr">
        <is>
          <t>MR24</t>
        </is>
      </c>
      <c r="B2198" t="inlineStr">
        <is>
          <t>SIMULACIONES_MR2024_V3</t>
        </is>
      </c>
      <c r="C2198" t="inlineStr">
        <is>
          <t>toneladas (6000 m3 x MR24_BD); pct sobre toneladas</t>
        </is>
      </c>
      <c r="D2198" t="inlineStr">
        <is>
          <t>periodo_XLE2WST_AMIN</t>
        </is>
      </c>
      <c r="E2198" t="inlineStr">
        <is>
          <t>2035</t>
        </is>
      </c>
      <c r="F2198" t="inlineStr">
        <is>
          <t>litologia_tentativa</t>
        </is>
      </c>
      <c r="G2198" t="inlineStr">
        <is>
          <t>Caliza (hipótesis: siglas C*)</t>
        </is>
      </c>
      <c r="H2198" t="inlineStr"/>
      <c r="I2198" t="inlineStr"/>
      <c r="J2198" t="inlineStr">
        <is>
          <t>suma de filas por código</t>
        </is>
      </c>
      <c r="K2198" t="inlineStr">
        <is>
          <t>Caliza (hipótesis: siglas C*)</t>
        </is>
      </c>
      <c r="L2198" t="inlineStr"/>
      <c r="M2198" t="n">
        <v>1753</v>
      </c>
      <c r="N2198" t="n">
        <v>10518000</v>
      </c>
      <c r="O2198" t="n">
        <v>28436094</v>
      </c>
      <c r="P2198" t="inlineStr"/>
      <c r="Q2198" t="n">
        <v>11.434</v>
      </c>
    </row>
    <row r="2199">
      <c r="A2199" t="inlineStr">
        <is>
          <t>MR24</t>
        </is>
      </c>
      <c r="B2199" t="inlineStr">
        <is>
          <t>SIMULACIONES_MR2024_V3</t>
        </is>
      </c>
      <c r="C2199" t="inlineStr">
        <is>
          <t>toneladas (6000 m3 x MR24_BD); pct sobre toneladas</t>
        </is>
      </c>
      <c r="D2199" t="inlineStr">
        <is>
          <t>periodo_XLE2WST_AMIN</t>
        </is>
      </c>
      <c r="E2199" t="inlineStr">
        <is>
          <t>2035</t>
        </is>
      </c>
      <c r="F2199" t="inlineStr">
        <is>
          <t>litologia_tentativa</t>
        </is>
      </c>
      <c r="G2199" t="inlineStr">
        <is>
          <t>Hornfels (hipótesis: siglas HBV, HGV, HCB, HDP; 'Diop. Hornfels'~HGV)</t>
        </is>
      </c>
      <c r="H2199" t="inlineStr"/>
      <c r="I2199" t="inlineStr"/>
      <c r="J2199" t="inlineStr">
        <is>
          <t>suma de filas por código</t>
        </is>
      </c>
      <c r="K2199" t="inlineStr">
        <is>
          <t>Hornfels (hipótesis: siglas HBV, HGV, HCB, HDP; 'Diop. Hornfels'~HGV)</t>
        </is>
      </c>
      <c r="L2199" t="inlineStr"/>
      <c r="M2199" t="n">
        <v>152</v>
      </c>
      <c r="N2199" t="n">
        <v>912000</v>
      </c>
      <c r="O2199" t="n">
        <v>2628306</v>
      </c>
      <c r="P2199" t="inlineStr"/>
      <c r="Q2199" t="n">
        <v>1.057</v>
      </c>
    </row>
    <row r="2200">
      <c r="A2200" t="inlineStr">
        <is>
          <t>MR24</t>
        </is>
      </c>
      <c r="B2200" t="inlineStr">
        <is>
          <t>SIMULACIONES_MR2024_V3</t>
        </is>
      </c>
      <c r="C2200" t="inlineStr">
        <is>
          <t>toneladas (6000 m3 x MR24_BD); pct sobre toneladas</t>
        </is>
      </c>
      <c r="D2200" t="inlineStr">
        <is>
          <t>periodo_XLE2WST_AMIN</t>
        </is>
      </c>
      <c r="E2200" t="inlineStr">
        <is>
          <t>2035</t>
        </is>
      </c>
      <c r="F2200" t="inlineStr">
        <is>
          <t>litologia_tentativa</t>
        </is>
      </c>
      <c r="G2200" t="inlineStr">
        <is>
          <t>Hornfels (hipótesis: siglas HG, HGS, HC)</t>
        </is>
      </c>
      <c r="H2200" t="inlineStr"/>
      <c r="I2200" t="inlineStr"/>
      <c r="J2200" t="inlineStr">
        <is>
          <t>suma de filas por código</t>
        </is>
      </c>
      <c r="K2200" t="inlineStr">
        <is>
          <t>Hornfels (hipótesis: siglas HG, HGS, HC)</t>
        </is>
      </c>
      <c r="L2200" t="inlineStr"/>
      <c r="M2200" t="n">
        <v>974</v>
      </c>
      <c r="N2200" t="n">
        <v>5844000</v>
      </c>
      <c r="O2200" t="n">
        <v>15775290</v>
      </c>
      <c r="P2200" t="inlineStr"/>
      <c r="Q2200" t="n">
        <v>6.343</v>
      </c>
    </row>
    <row r="2201">
      <c r="A2201" t="inlineStr">
        <is>
          <t>MR24</t>
        </is>
      </c>
      <c r="B2201" t="inlineStr">
        <is>
          <t>SIMULACIONES_MR2024_V3</t>
        </is>
      </c>
      <c r="C2201" t="inlineStr">
        <is>
          <t>toneladas (6000 m3 x MR24_BD); pct sobre toneladas</t>
        </is>
      </c>
      <c r="D2201" t="inlineStr">
        <is>
          <t>periodo_XLE2WST_AMIN</t>
        </is>
      </c>
      <c r="E2201" t="inlineStr">
        <is>
          <t>2035</t>
        </is>
      </c>
      <c r="F2201" t="inlineStr">
        <is>
          <t>litologia_tentativa</t>
        </is>
      </c>
      <c r="G2201" t="inlineStr">
        <is>
          <t>Intrusivo</t>
        </is>
      </c>
      <c r="H2201" t="inlineStr"/>
      <c r="I2201" t="inlineStr"/>
      <c r="J2201" t="inlineStr">
        <is>
          <t>suma de filas por código</t>
        </is>
      </c>
      <c r="K2201" t="inlineStr">
        <is>
          <t>Intrusivo</t>
        </is>
      </c>
      <c r="L2201" t="inlineStr"/>
      <c r="M2201" t="n">
        <v>2584</v>
      </c>
      <c r="N2201" t="n">
        <v>15504000</v>
      </c>
      <c r="O2201" t="n">
        <v>38322198</v>
      </c>
      <c r="P2201" t="inlineStr"/>
      <c r="Q2201" t="n">
        <v>15.409</v>
      </c>
    </row>
    <row r="2202">
      <c r="A2202" t="inlineStr">
        <is>
          <t>MR24</t>
        </is>
      </c>
      <c r="B2202" t="inlineStr">
        <is>
          <t>SIMULACIONES_MR2024_V3</t>
        </is>
      </c>
      <c r="C2202" t="inlineStr">
        <is>
          <t>toneladas (6000 m3 x MR24_BD); pct sobre toneladas</t>
        </is>
      </c>
      <c r="D2202" t="inlineStr">
        <is>
          <t>periodo_XLE2WST_AMIN</t>
        </is>
      </c>
      <c r="E2202" t="inlineStr">
        <is>
          <t>2035</t>
        </is>
      </c>
      <c r="F2202" t="inlineStr">
        <is>
          <t>litologia_tentativa</t>
        </is>
      </c>
      <c r="G2202" t="inlineStr">
        <is>
          <t>Mármol (hipótesis: sigla MDP)</t>
        </is>
      </c>
      <c r="H2202" t="inlineStr"/>
      <c r="I2202" t="inlineStr"/>
      <c r="J2202" t="inlineStr">
        <is>
          <t>suma de filas por código</t>
        </is>
      </c>
      <c r="K2202" t="inlineStr">
        <is>
          <t>Mármol (hipótesis: sigla MDP)</t>
        </is>
      </c>
      <c r="L2202" t="inlineStr"/>
      <c r="M2202" t="n">
        <v>645</v>
      </c>
      <c r="N2202" t="n">
        <v>3870000</v>
      </c>
      <c r="O2202" t="n">
        <v>11151570</v>
      </c>
      <c r="P2202" t="inlineStr"/>
      <c r="Q2202" t="n">
        <v>4.484</v>
      </c>
    </row>
    <row r="2203">
      <c r="A2203" t="inlineStr">
        <is>
          <t>MR24</t>
        </is>
      </c>
      <c r="B2203" t="inlineStr">
        <is>
          <t>SIMULACIONES_MR2024_V3</t>
        </is>
      </c>
      <c r="C2203" t="inlineStr">
        <is>
          <t>toneladas (6000 m3 x MR24_BD); pct sobre toneladas</t>
        </is>
      </c>
      <c r="D2203" t="inlineStr">
        <is>
          <t>periodo_XLE2WST_AMIN</t>
        </is>
      </c>
      <c r="E2203" t="inlineStr">
        <is>
          <t>2035</t>
        </is>
      </c>
      <c r="F2203" t="inlineStr">
        <is>
          <t>litologia_tentativa</t>
        </is>
      </c>
      <c r="G2203" t="inlineStr">
        <is>
          <t>Mármol (hipótesis: siglas MC, MG, MGS, MPA, MCGB; 'Marble'~MCGB)</t>
        </is>
      </c>
      <c r="H2203" t="inlineStr"/>
      <c r="I2203" t="inlineStr"/>
      <c r="J2203" t="inlineStr">
        <is>
          <t>suma de filas por código</t>
        </is>
      </c>
      <c r="K2203" t="inlineStr">
        <is>
          <t>Mármol (hipótesis: siglas MC, MG, MGS, MPA, MCGB; 'Marble'~MCGB)</t>
        </is>
      </c>
      <c r="L2203" t="inlineStr"/>
      <c r="M2203" t="n">
        <v>5172</v>
      </c>
      <c r="N2203" t="n">
        <v>31032000</v>
      </c>
      <c r="O2203" t="n">
        <v>83945304</v>
      </c>
      <c r="P2203" t="inlineStr"/>
      <c r="Q2203" t="n">
        <v>33.754</v>
      </c>
    </row>
    <row r="2204">
      <c r="A2204" t="inlineStr">
        <is>
          <t>MR24</t>
        </is>
      </c>
      <c r="B2204" t="inlineStr">
        <is>
          <t>SIMULACIONES_MR2024_V3</t>
        </is>
      </c>
      <c r="C2204" t="inlineStr">
        <is>
          <t>toneladas (6000 m3 x MR24_BD); pct sobre toneladas</t>
        </is>
      </c>
      <c r="D2204" t="inlineStr">
        <is>
          <t>periodo_XLE2WST_AMIN</t>
        </is>
      </c>
      <c r="E2204" t="inlineStr">
        <is>
          <t>2035</t>
        </is>
      </c>
      <c r="F2204" t="inlineStr">
        <is>
          <t>litologia_tentativa</t>
        </is>
      </c>
      <c r="G2204" t="inlineStr">
        <is>
          <t>sin hipótesis</t>
        </is>
      </c>
      <c r="H2204" t="inlineStr"/>
      <c r="I2204" t="inlineStr"/>
      <c r="J2204" t="inlineStr">
        <is>
          <t>suma de filas por código</t>
        </is>
      </c>
      <c r="K2204" t="inlineStr">
        <is>
          <t>sin hipótesis</t>
        </is>
      </c>
      <c r="L2204" t="inlineStr"/>
      <c r="M2204" t="n">
        <v>49</v>
      </c>
      <c r="N2204" t="n">
        <v>294000</v>
      </c>
      <c r="O2204" t="n">
        <v>773628</v>
      </c>
      <c r="P2204" t="inlineStr"/>
      <c r="Q2204" t="n">
        <v>0.311</v>
      </c>
    </row>
    <row r="2205">
      <c r="A2205" t="inlineStr">
        <is>
          <t>MR24</t>
        </is>
      </c>
      <c r="B2205" t="inlineStr">
        <is>
          <t>SIMULACIONES_MR2024_V3</t>
        </is>
      </c>
      <c r="C2205" t="inlineStr">
        <is>
          <t>toneladas (6000 m3 x MR24_BD); pct sobre toneladas</t>
        </is>
      </c>
      <c r="D2205" t="inlineStr">
        <is>
          <t>periodo_XLE2WST_AMIN</t>
        </is>
      </c>
      <c r="E2205" t="inlineStr">
        <is>
          <t>203637</t>
        </is>
      </c>
      <c r="F2205" t="inlineStr">
        <is>
          <t>litologia_tentativa</t>
        </is>
      </c>
      <c r="G2205" t="inlineStr">
        <is>
          <t>Caliza (hipótesis: Sedimentario; RT11~NUMEQ10, siglas C*)</t>
        </is>
      </c>
      <c r="H2205" t="inlineStr"/>
      <c r="I2205" t="inlineStr"/>
      <c r="J2205" t="inlineStr">
        <is>
          <t>suma de filas por código</t>
        </is>
      </c>
      <c r="K2205" t="inlineStr">
        <is>
          <t>Caliza (hipótesis: Sedimentario; RT11~NUMEQ10, siglas C*)</t>
        </is>
      </c>
      <c r="L2205" t="inlineStr"/>
      <c r="M2205" t="n">
        <v>6129</v>
      </c>
      <c r="N2205" t="n">
        <v>36774000</v>
      </c>
      <c r="O2205" t="n">
        <v>99886722</v>
      </c>
      <c r="P2205" t="inlineStr"/>
      <c r="Q2205" t="n">
        <v>17.881</v>
      </c>
    </row>
    <row r="2206">
      <c r="A2206" t="inlineStr">
        <is>
          <t>MR24</t>
        </is>
      </c>
      <c r="B2206" t="inlineStr">
        <is>
          <t>SIMULACIONES_MR2024_V3</t>
        </is>
      </c>
      <c r="C2206" t="inlineStr">
        <is>
          <t>toneladas (6000 m3 x MR24_BD); pct sobre toneladas</t>
        </is>
      </c>
      <c r="D2206" t="inlineStr">
        <is>
          <t>periodo_XLE2WST_AMIN</t>
        </is>
      </c>
      <c r="E2206" t="inlineStr">
        <is>
          <t>203637</t>
        </is>
      </c>
      <c r="F2206" t="inlineStr">
        <is>
          <t>litologia_tentativa</t>
        </is>
      </c>
      <c r="G2206" t="inlineStr">
        <is>
          <t>Caliza (hipótesis: siglas C*)</t>
        </is>
      </c>
      <c r="H2206" t="inlineStr"/>
      <c r="I2206" t="inlineStr"/>
      <c r="J2206" t="inlineStr">
        <is>
          <t>suma de filas por código</t>
        </is>
      </c>
      <c r="K2206" t="inlineStr">
        <is>
          <t>Caliza (hipótesis: siglas C*)</t>
        </is>
      </c>
      <c r="L2206" t="inlineStr"/>
      <c r="M2206" t="n">
        <v>2924</v>
      </c>
      <c r="N2206" t="n">
        <v>17544000</v>
      </c>
      <c r="O2206" t="n">
        <v>47563854</v>
      </c>
      <c r="P2206" t="inlineStr"/>
      <c r="Q2206" t="n">
        <v>8.513999999999999</v>
      </c>
    </row>
    <row r="2207">
      <c r="A2207" t="inlineStr">
        <is>
          <t>MR24</t>
        </is>
      </c>
      <c r="B2207" t="inlineStr">
        <is>
          <t>SIMULACIONES_MR2024_V3</t>
        </is>
      </c>
      <c r="C2207" t="inlineStr">
        <is>
          <t>toneladas (6000 m3 x MR24_BD); pct sobre toneladas</t>
        </is>
      </c>
      <c r="D2207" t="inlineStr">
        <is>
          <t>periodo_XLE2WST_AMIN</t>
        </is>
      </c>
      <c r="E2207" t="inlineStr">
        <is>
          <t>203637</t>
        </is>
      </c>
      <c r="F2207" t="inlineStr">
        <is>
          <t>litologia_tentativa</t>
        </is>
      </c>
      <c r="G2207" t="inlineStr">
        <is>
          <t>Hornfels (hipótesis: siglas HBV, HGV, HCB, HDP; 'Diop. Hornfels'~HGV)</t>
        </is>
      </c>
      <c r="H2207" t="inlineStr"/>
      <c r="I2207" t="inlineStr"/>
      <c r="J2207" t="inlineStr">
        <is>
          <t>suma de filas por código</t>
        </is>
      </c>
      <c r="K2207" t="inlineStr">
        <is>
          <t>Hornfels (hipótesis: siglas HBV, HGV, HCB, HDP; 'Diop. Hornfels'~HGV)</t>
        </is>
      </c>
      <c r="L2207" t="inlineStr"/>
      <c r="M2207" t="n">
        <v>1896</v>
      </c>
      <c r="N2207" t="n">
        <v>11376000</v>
      </c>
      <c r="O2207" t="n">
        <v>32396406</v>
      </c>
      <c r="P2207" t="inlineStr"/>
      <c r="Q2207" t="n">
        <v>5.799</v>
      </c>
    </row>
    <row r="2208">
      <c r="A2208" t="inlineStr">
        <is>
          <t>MR24</t>
        </is>
      </c>
      <c r="B2208" t="inlineStr">
        <is>
          <t>SIMULACIONES_MR2024_V3</t>
        </is>
      </c>
      <c r="C2208" t="inlineStr">
        <is>
          <t>toneladas (6000 m3 x MR24_BD); pct sobre toneladas</t>
        </is>
      </c>
      <c r="D2208" t="inlineStr">
        <is>
          <t>periodo_XLE2WST_AMIN</t>
        </is>
      </c>
      <c r="E2208" t="inlineStr">
        <is>
          <t>203637</t>
        </is>
      </c>
      <c r="F2208" t="inlineStr">
        <is>
          <t>litologia_tentativa</t>
        </is>
      </c>
      <c r="G2208" t="inlineStr">
        <is>
          <t>Hornfels (hipótesis: siglas HG, HGS, HC)</t>
        </is>
      </c>
      <c r="H2208" t="inlineStr"/>
      <c r="I2208" t="inlineStr"/>
      <c r="J2208" t="inlineStr">
        <is>
          <t>suma de filas por código</t>
        </is>
      </c>
      <c r="K2208" t="inlineStr">
        <is>
          <t>Hornfels (hipótesis: siglas HG, HGS, HC)</t>
        </is>
      </c>
      <c r="L2208" t="inlineStr"/>
      <c r="M2208" t="n">
        <v>6505</v>
      </c>
      <c r="N2208" t="n">
        <v>39030000</v>
      </c>
      <c r="O2208" t="n">
        <v>105723390</v>
      </c>
      <c r="P2208" t="inlineStr"/>
      <c r="Q2208" t="n">
        <v>18.926</v>
      </c>
    </row>
    <row r="2209">
      <c r="A2209" t="inlineStr">
        <is>
          <t>MR24</t>
        </is>
      </c>
      <c r="B2209" t="inlineStr">
        <is>
          <t>SIMULACIONES_MR2024_V3</t>
        </is>
      </c>
      <c r="C2209" t="inlineStr">
        <is>
          <t>toneladas (6000 m3 x MR24_BD); pct sobre toneladas</t>
        </is>
      </c>
      <c r="D2209" t="inlineStr">
        <is>
          <t>periodo_XLE2WST_AMIN</t>
        </is>
      </c>
      <c r="E2209" t="inlineStr">
        <is>
          <t>203637</t>
        </is>
      </c>
      <c r="F2209" t="inlineStr">
        <is>
          <t>litologia_tentativa</t>
        </is>
      </c>
      <c r="G2209" t="inlineStr">
        <is>
          <t>Intrusivo</t>
        </is>
      </c>
      <c r="H2209" t="inlineStr"/>
      <c r="I2209" t="inlineStr"/>
      <c r="J2209" t="inlineStr">
        <is>
          <t>suma de filas por código</t>
        </is>
      </c>
      <c r="K2209" t="inlineStr">
        <is>
          <t>Intrusivo</t>
        </is>
      </c>
      <c r="L2209" t="inlineStr"/>
      <c r="M2209" t="n">
        <v>3134</v>
      </c>
      <c r="N2209" t="n">
        <v>18804000</v>
      </c>
      <c r="O2209" t="n">
        <v>46401144</v>
      </c>
      <c r="P2209" t="inlineStr"/>
      <c r="Q2209" t="n">
        <v>8.305999999999999</v>
      </c>
    </row>
    <row r="2210">
      <c r="A2210" t="inlineStr">
        <is>
          <t>MR24</t>
        </is>
      </c>
      <c r="B2210" t="inlineStr">
        <is>
          <t>SIMULACIONES_MR2024_V3</t>
        </is>
      </c>
      <c r="C2210" t="inlineStr">
        <is>
          <t>toneladas (6000 m3 x MR24_BD); pct sobre toneladas</t>
        </is>
      </c>
      <c r="D2210" t="inlineStr">
        <is>
          <t>periodo_XLE2WST_AMIN</t>
        </is>
      </c>
      <c r="E2210" t="inlineStr">
        <is>
          <t>203637</t>
        </is>
      </c>
      <c r="F2210" t="inlineStr">
        <is>
          <t>litologia_tentativa</t>
        </is>
      </c>
      <c r="G2210" t="inlineStr">
        <is>
          <t>Mármol (hipótesis: sigla MDP)</t>
        </is>
      </c>
      <c r="H2210" t="inlineStr"/>
      <c r="I2210" t="inlineStr"/>
      <c r="J2210" t="inlineStr">
        <is>
          <t>suma de filas por código</t>
        </is>
      </c>
      <c r="K2210" t="inlineStr">
        <is>
          <t>Mármol (hipótesis: sigla MDP)</t>
        </is>
      </c>
      <c r="L2210" t="inlineStr"/>
      <c r="M2210" t="n">
        <v>1031</v>
      </c>
      <c r="N2210" t="n">
        <v>6186000</v>
      </c>
      <c r="O2210" t="n">
        <v>17748672</v>
      </c>
      <c r="P2210" t="inlineStr"/>
      <c r="Q2210" t="n">
        <v>3.177</v>
      </c>
    </row>
    <row r="2211">
      <c r="A2211" t="inlineStr">
        <is>
          <t>MR24</t>
        </is>
      </c>
      <c r="B2211" t="inlineStr">
        <is>
          <t>SIMULACIONES_MR2024_V3</t>
        </is>
      </c>
      <c r="C2211" t="inlineStr">
        <is>
          <t>toneladas (6000 m3 x MR24_BD); pct sobre toneladas</t>
        </is>
      </c>
      <c r="D2211" t="inlineStr">
        <is>
          <t>periodo_XLE2WST_AMIN</t>
        </is>
      </c>
      <c r="E2211" t="inlineStr">
        <is>
          <t>203637</t>
        </is>
      </c>
      <c r="F2211" t="inlineStr">
        <is>
          <t>litologia_tentativa</t>
        </is>
      </c>
      <c r="G2211" t="inlineStr">
        <is>
          <t>Mármol (hipótesis: siglas MC, MG, MGS, MPA, MCGB; 'Marble'~MCGB)</t>
        </is>
      </c>
      <c r="H2211" t="inlineStr"/>
      <c r="I2211" t="inlineStr"/>
      <c r="J2211" t="inlineStr">
        <is>
          <t>suma de filas por código</t>
        </is>
      </c>
      <c r="K2211" t="inlineStr">
        <is>
          <t>Mármol (hipótesis: siglas MC, MG, MGS, MPA, MCGB; 'Marble'~MCGB)</t>
        </is>
      </c>
      <c r="L2211" t="inlineStr"/>
      <c r="M2211" t="n">
        <v>12832</v>
      </c>
      <c r="N2211" t="n">
        <v>76992000</v>
      </c>
      <c r="O2211" t="n">
        <v>208302858</v>
      </c>
      <c r="P2211" t="inlineStr"/>
      <c r="Q2211" t="n">
        <v>37.288</v>
      </c>
    </row>
    <row r="2212">
      <c r="A2212" t="inlineStr">
        <is>
          <t>MR24</t>
        </is>
      </c>
      <c r="B2212" t="inlineStr">
        <is>
          <t>SIMULACIONES_MR2024_V3</t>
        </is>
      </c>
      <c r="C2212" t="inlineStr">
        <is>
          <t>toneladas (6000 m3 x MR24_BD); pct sobre toneladas</t>
        </is>
      </c>
      <c r="D2212" t="inlineStr">
        <is>
          <t>periodo_XLE2WST_AMIN</t>
        </is>
      </c>
      <c r="E2212" t="inlineStr">
        <is>
          <t>203637</t>
        </is>
      </c>
      <c r="F2212" t="inlineStr">
        <is>
          <t>litologia_tentativa</t>
        </is>
      </c>
      <c r="G2212" t="inlineStr">
        <is>
          <t>sin hipótesis</t>
        </is>
      </c>
      <c r="H2212" t="inlineStr"/>
      <c r="I2212" t="inlineStr"/>
      <c r="J2212" t="inlineStr">
        <is>
          <t>suma de filas por código</t>
        </is>
      </c>
      <c r="K2212" t="inlineStr">
        <is>
          <t>sin hipótesis</t>
        </is>
      </c>
      <c r="L2212" t="inlineStr"/>
      <c r="M2212" t="n">
        <v>38</v>
      </c>
      <c r="N2212" t="n">
        <v>228000</v>
      </c>
      <c r="O2212" t="n">
        <v>602250</v>
      </c>
      <c r="P2212" t="inlineStr"/>
      <c r="Q2212" t="n">
        <v>0.108</v>
      </c>
    </row>
    <row r="2213">
      <c r="A2213" t="inlineStr">
        <is>
          <t>MR24</t>
        </is>
      </c>
      <c r="B2213" t="inlineStr">
        <is>
          <t>SIMULACIONES_MR2024_V3</t>
        </is>
      </c>
      <c r="C2213" t="inlineStr">
        <is>
          <t>toneladas (6000 m3 x MR24_BD); pct sobre toneladas</t>
        </is>
      </c>
      <c r="D2213" t="inlineStr">
        <is>
          <t>periodo_XLE2WST_AMIN</t>
        </is>
      </c>
      <c r="E2213" t="inlineStr">
        <is>
          <t>203839</t>
        </is>
      </c>
      <c r="F2213" t="inlineStr">
        <is>
          <t>litologia_tentativa</t>
        </is>
      </c>
      <c r="G2213" t="inlineStr">
        <is>
          <t>Caliza (hipótesis: Sedimentario; RT11~NUMEQ10, siglas C*)</t>
        </is>
      </c>
      <c r="H2213" t="inlineStr"/>
      <c r="I2213" t="inlineStr"/>
      <c r="J2213" t="inlineStr">
        <is>
          <t>suma de filas por código</t>
        </is>
      </c>
      <c r="K2213" t="inlineStr">
        <is>
          <t>Caliza (hipótesis: Sedimentario; RT11~NUMEQ10, siglas C*)</t>
        </is>
      </c>
      <c r="L2213" t="inlineStr"/>
      <c r="M2213" t="n">
        <v>10166</v>
      </c>
      <c r="N2213" t="n">
        <v>60996000</v>
      </c>
      <c r="O2213" t="n">
        <v>165407838</v>
      </c>
      <c r="P2213" t="inlineStr"/>
      <c r="Q2213" t="n">
        <v>28.845</v>
      </c>
    </row>
    <row r="2214">
      <c r="A2214" t="inlineStr">
        <is>
          <t>MR24</t>
        </is>
      </c>
      <c r="B2214" t="inlineStr">
        <is>
          <t>SIMULACIONES_MR2024_V3</t>
        </is>
      </c>
      <c r="C2214" t="inlineStr">
        <is>
          <t>toneladas (6000 m3 x MR24_BD); pct sobre toneladas</t>
        </is>
      </c>
      <c r="D2214" t="inlineStr">
        <is>
          <t>periodo_XLE2WST_AMIN</t>
        </is>
      </c>
      <c r="E2214" t="inlineStr">
        <is>
          <t>203839</t>
        </is>
      </c>
      <c r="F2214" t="inlineStr">
        <is>
          <t>litologia_tentativa</t>
        </is>
      </c>
      <c r="G2214" t="inlineStr">
        <is>
          <t>Caliza (hipótesis: siglas C*)</t>
        </is>
      </c>
      <c r="H2214" t="inlineStr"/>
      <c r="I2214" t="inlineStr"/>
      <c r="J2214" t="inlineStr">
        <is>
          <t>suma de filas por código</t>
        </is>
      </c>
      <c r="K2214" t="inlineStr">
        <is>
          <t>Caliza (hipótesis: siglas C*)</t>
        </is>
      </c>
      <c r="L2214" t="inlineStr"/>
      <c r="M2214" t="n">
        <v>1765</v>
      </c>
      <c r="N2214" t="n">
        <v>10590000</v>
      </c>
      <c r="O2214" t="n">
        <v>28689378</v>
      </c>
      <c r="P2214" t="inlineStr"/>
      <c r="Q2214" t="n">
        <v>5.003</v>
      </c>
    </row>
    <row r="2215">
      <c r="A2215" t="inlineStr">
        <is>
          <t>MR24</t>
        </is>
      </c>
      <c r="B2215" t="inlineStr">
        <is>
          <t>SIMULACIONES_MR2024_V3</t>
        </is>
      </c>
      <c r="C2215" t="inlineStr">
        <is>
          <t>toneladas (6000 m3 x MR24_BD); pct sobre toneladas</t>
        </is>
      </c>
      <c r="D2215" t="inlineStr">
        <is>
          <t>periodo_XLE2WST_AMIN</t>
        </is>
      </c>
      <c r="E2215" t="inlineStr">
        <is>
          <t>203839</t>
        </is>
      </c>
      <c r="F2215" t="inlineStr">
        <is>
          <t>litologia_tentativa</t>
        </is>
      </c>
      <c r="G2215" t="inlineStr">
        <is>
          <t>Hornfels (hipótesis: siglas HBV, HGV, HCB, HDP; 'Diop. Hornfels'~HGV)</t>
        </is>
      </c>
      <c r="H2215" t="inlineStr"/>
      <c r="I2215" t="inlineStr"/>
      <c r="J2215" t="inlineStr">
        <is>
          <t>suma de filas por código</t>
        </is>
      </c>
      <c r="K2215" t="inlineStr">
        <is>
          <t>Hornfels (hipótesis: siglas HBV, HGV, HCB, HDP; 'Diop. Hornfels'~HGV)</t>
        </is>
      </c>
      <c r="L2215" t="inlineStr"/>
      <c r="M2215" t="n">
        <v>481</v>
      </c>
      <c r="N2215" t="n">
        <v>2886000</v>
      </c>
      <c r="O2215" t="n">
        <v>8189856</v>
      </c>
      <c r="P2215" t="inlineStr"/>
      <c r="Q2215" t="n">
        <v>1.428</v>
      </c>
    </row>
    <row r="2216">
      <c r="A2216" t="inlineStr">
        <is>
          <t>MR24</t>
        </is>
      </c>
      <c r="B2216" t="inlineStr">
        <is>
          <t>SIMULACIONES_MR2024_V3</t>
        </is>
      </c>
      <c r="C2216" t="inlineStr">
        <is>
          <t>toneladas (6000 m3 x MR24_BD); pct sobre toneladas</t>
        </is>
      </c>
      <c r="D2216" t="inlineStr">
        <is>
          <t>periodo_XLE2WST_AMIN</t>
        </is>
      </c>
      <c r="E2216" t="inlineStr">
        <is>
          <t>203839</t>
        </is>
      </c>
      <c r="F2216" t="inlineStr">
        <is>
          <t>litologia_tentativa</t>
        </is>
      </c>
      <c r="G2216" t="inlineStr">
        <is>
          <t>Hornfels (hipótesis: siglas HG, HGS, HC)</t>
        </is>
      </c>
      <c r="H2216" t="inlineStr"/>
      <c r="I2216" t="inlineStr"/>
      <c r="J2216" t="inlineStr">
        <is>
          <t>suma de filas por código</t>
        </is>
      </c>
      <c r="K2216" t="inlineStr">
        <is>
          <t>Hornfels (hipótesis: siglas HG, HGS, HC)</t>
        </is>
      </c>
      <c r="L2216" t="inlineStr"/>
      <c r="M2216" t="n">
        <v>4858</v>
      </c>
      <c r="N2216" t="n">
        <v>29148000</v>
      </c>
      <c r="O2216" t="n">
        <v>78902244</v>
      </c>
      <c r="P2216" t="inlineStr"/>
      <c r="Q2216" t="n">
        <v>13.76</v>
      </c>
    </row>
    <row r="2217">
      <c r="A2217" t="inlineStr">
        <is>
          <t>MR24</t>
        </is>
      </c>
      <c r="B2217" t="inlineStr">
        <is>
          <t>SIMULACIONES_MR2024_V3</t>
        </is>
      </c>
      <c r="C2217" t="inlineStr">
        <is>
          <t>toneladas (6000 m3 x MR24_BD); pct sobre toneladas</t>
        </is>
      </c>
      <c r="D2217" t="inlineStr">
        <is>
          <t>periodo_XLE2WST_AMIN</t>
        </is>
      </c>
      <c r="E2217" t="inlineStr">
        <is>
          <t>203839</t>
        </is>
      </c>
      <c r="F2217" t="inlineStr">
        <is>
          <t>litologia_tentativa</t>
        </is>
      </c>
      <c r="G2217" t="inlineStr">
        <is>
          <t>Intrusivo</t>
        </is>
      </c>
      <c r="H2217" t="inlineStr"/>
      <c r="I2217" t="inlineStr"/>
      <c r="J2217" t="inlineStr">
        <is>
          <t>suma de filas por código</t>
        </is>
      </c>
      <c r="K2217" t="inlineStr">
        <is>
          <t>Intrusivo</t>
        </is>
      </c>
      <c r="L2217" t="inlineStr"/>
      <c r="M2217" t="n">
        <v>5275</v>
      </c>
      <c r="N2217" t="n">
        <v>31650000</v>
      </c>
      <c r="O2217" t="n">
        <v>78765900</v>
      </c>
      <c r="P2217" t="inlineStr"/>
      <c r="Q2217" t="n">
        <v>13.735</v>
      </c>
    </row>
    <row r="2218">
      <c r="A2218" t="inlineStr">
        <is>
          <t>MR24</t>
        </is>
      </c>
      <c r="B2218" t="inlineStr">
        <is>
          <t>SIMULACIONES_MR2024_V3</t>
        </is>
      </c>
      <c r="C2218" t="inlineStr">
        <is>
          <t>toneladas (6000 m3 x MR24_BD); pct sobre toneladas</t>
        </is>
      </c>
      <c r="D2218" t="inlineStr">
        <is>
          <t>periodo_XLE2WST_AMIN</t>
        </is>
      </c>
      <c r="E2218" t="inlineStr">
        <is>
          <t>203839</t>
        </is>
      </c>
      <c r="F2218" t="inlineStr">
        <is>
          <t>litologia_tentativa</t>
        </is>
      </c>
      <c r="G2218" t="inlineStr">
        <is>
          <t>Mármol (hipótesis: sigla MDP)</t>
        </is>
      </c>
      <c r="H2218" t="inlineStr"/>
      <c r="I2218" t="inlineStr"/>
      <c r="J2218" t="inlineStr">
        <is>
          <t>suma de filas por código</t>
        </is>
      </c>
      <c r="K2218" t="inlineStr">
        <is>
          <t>Mármol (hipótesis: sigla MDP)</t>
        </is>
      </c>
      <c r="L2218" t="inlineStr"/>
      <c r="M2218" t="n">
        <v>692</v>
      </c>
      <c r="N2218" t="n">
        <v>4152000</v>
      </c>
      <c r="O2218" t="n">
        <v>11802438</v>
      </c>
      <c r="P2218" t="inlineStr"/>
      <c r="Q2218" t="n">
        <v>2.058</v>
      </c>
    </row>
    <row r="2219">
      <c r="A2219" t="inlineStr">
        <is>
          <t>MR24</t>
        </is>
      </c>
      <c r="B2219" t="inlineStr">
        <is>
          <t>SIMULACIONES_MR2024_V3</t>
        </is>
      </c>
      <c r="C2219" t="inlineStr">
        <is>
          <t>toneladas (6000 m3 x MR24_BD); pct sobre toneladas</t>
        </is>
      </c>
      <c r="D2219" t="inlineStr">
        <is>
          <t>periodo_XLE2WST_AMIN</t>
        </is>
      </c>
      <c r="E2219" t="inlineStr">
        <is>
          <t>203839</t>
        </is>
      </c>
      <c r="F2219" t="inlineStr">
        <is>
          <t>litologia_tentativa</t>
        </is>
      </c>
      <c r="G2219" t="inlineStr">
        <is>
          <t>Mármol (hipótesis: siglas MC, MG, MGS, MPA, MCGB; 'Marble'~MCGB)</t>
        </is>
      </c>
      <c r="H2219" t="inlineStr"/>
      <c r="I2219" t="inlineStr"/>
      <c r="J2219" t="inlineStr">
        <is>
          <t>suma de filas por código</t>
        </is>
      </c>
      <c r="K2219" t="inlineStr">
        <is>
          <t>Mármol (hipótesis: siglas MC, MG, MGS, MPA, MCGB; 'Marble'~MCGB)</t>
        </is>
      </c>
      <c r="L2219" t="inlineStr"/>
      <c r="M2219" t="n">
        <v>12363</v>
      </c>
      <c r="N2219" t="n">
        <v>74178000</v>
      </c>
      <c r="O2219" t="n">
        <v>201476658</v>
      </c>
      <c r="P2219" t="inlineStr"/>
      <c r="Q2219" t="n">
        <v>35.135</v>
      </c>
    </row>
    <row r="2220">
      <c r="A2220" t="inlineStr">
        <is>
          <t>MR24</t>
        </is>
      </c>
      <c r="B2220" t="inlineStr">
        <is>
          <t>SIMULACIONES_MR2024_V3</t>
        </is>
      </c>
      <c r="C2220" t="inlineStr">
        <is>
          <t>toneladas (6000 m3 x MR24_BD); pct sobre toneladas</t>
        </is>
      </c>
      <c r="D2220" t="inlineStr">
        <is>
          <t>periodo_XLE2WST_AMIN</t>
        </is>
      </c>
      <c r="E2220" t="inlineStr">
        <is>
          <t>203839</t>
        </is>
      </c>
      <c r="F2220" t="inlineStr">
        <is>
          <t>litologia_tentativa</t>
        </is>
      </c>
      <c r="G2220" t="inlineStr">
        <is>
          <t>sin hipótesis</t>
        </is>
      </c>
      <c r="H2220" t="inlineStr"/>
      <c r="I2220" t="inlineStr"/>
      <c r="J2220" t="inlineStr">
        <is>
          <t>suma de filas por código</t>
        </is>
      </c>
      <c r="K2220" t="inlineStr">
        <is>
          <t>sin hipótesis</t>
        </is>
      </c>
      <c r="L2220" t="inlineStr"/>
      <c r="M2220" t="n">
        <v>12</v>
      </c>
      <c r="N2220" t="n">
        <v>72000</v>
      </c>
      <c r="O2220" t="n">
        <v>199272</v>
      </c>
      <c r="P2220" t="inlineStr"/>
      <c r="Q2220" t="n">
        <v>0.035</v>
      </c>
    </row>
    <row r="2221">
      <c r="A2221" t="inlineStr">
        <is>
          <t>MR24</t>
        </is>
      </c>
      <c r="B2221" t="inlineStr">
        <is>
          <t>SIMULACIONES_MR2024_V3</t>
        </is>
      </c>
      <c r="C2221" t="inlineStr">
        <is>
          <t>toneladas (6000 m3 x MR24_BD); pct sobre toneladas</t>
        </is>
      </c>
      <c r="D2221" t="inlineStr">
        <is>
          <t>periodo_XLE2WST_AMIN</t>
        </is>
      </c>
      <c r="E2221" t="inlineStr">
        <is>
          <t>204041</t>
        </is>
      </c>
      <c r="F2221" t="inlineStr">
        <is>
          <t>litologia_tentativa</t>
        </is>
      </c>
      <c r="G2221" t="inlineStr">
        <is>
          <t>Caliza (hipótesis: Sedimentario; RT11~NUMEQ10, siglas C*)</t>
        </is>
      </c>
      <c r="H2221" t="inlineStr"/>
      <c r="I2221" t="inlineStr"/>
      <c r="J2221" t="inlineStr">
        <is>
          <t>suma de filas por código</t>
        </is>
      </c>
      <c r="K2221" t="inlineStr">
        <is>
          <t>Caliza (hipótesis: Sedimentario; RT11~NUMEQ10, siglas C*)</t>
        </is>
      </c>
      <c r="L2221" t="inlineStr"/>
      <c r="M2221" t="n">
        <v>11209</v>
      </c>
      <c r="N2221" t="n">
        <v>67254000</v>
      </c>
      <c r="O2221" t="n">
        <v>182177388</v>
      </c>
      <c r="P2221" t="inlineStr"/>
      <c r="Q2221" t="n">
        <v>34.307</v>
      </c>
    </row>
    <row r="2222">
      <c r="A2222" t="inlineStr">
        <is>
          <t>MR24</t>
        </is>
      </c>
      <c r="B2222" t="inlineStr">
        <is>
          <t>SIMULACIONES_MR2024_V3</t>
        </is>
      </c>
      <c r="C2222" t="inlineStr">
        <is>
          <t>toneladas (6000 m3 x MR24_BD); pct sobre toneladas</t>
        </is>
      </c>
      <c r="D2222" t="inlineStr">
        <is>
          <t>periodo_XLE2WST_AMIN</t>
        </is>
      </c>
      <c r="E2222" t="inlineStr">
        <is>
          <t>204041</t>
        </is>
      </c>
      <c r="F2222" t="inlineStr">
        <is>
          <t>litologia_tentativa</t>
        </is>
      </c>
      <c r="G2222" t="inlineStr">
        <is>
          <t>Caliza (hipótesis: siglas C*)</t>
        </is>
      </c>
      <c r="H2222" t="inlineStr"/>
      <c r="I2222" t="inlineStr"/>
      <c r="J2222" t="inlineStr">
        <is>
          <t>suma de filas por código</t>
        </is>
      </c>
      <c r="K2222" t="inlineStr">
        <is>
          <t>Caliza (hipótesis: siglas C*)</t>
        </is>
      </c>
      <c r="L2222" t="inlineStr"/>
      <c r="M2222" t="n">
        <v>3924</v>
      </c>
      <c r="N2222" t="n">
        <v>23544000</v>
      </c>
      <c r="O2222" t="n">
        <v>63854064</v>
      </c>
      <c r="P2222" t="inlineStr"/>
      <c r="Q2222" t="n">
        <v>12.025</v>
      </c>
    </row>
    <row r="2223">
      <c r="A2223" t="inlineStr">
        <is>
          <t>MR24</t>
        </is>
      </c>
      <c r="B2223" t="inlineStr">
        <is>
          <t>SIMULACIONES_MR2024_V3</t>
        </is>
      </c>
      <c r="C2223" t="inlineStr">
        <is>
          <t>toneladas (6000 m3 x MR24_BD); pct sobre toneladas</t>
        </is>
      </c>
      <c r="D2223" t="inlineStr">
        <is>
          <t>periodo_XLE2WST_AMIN</t>
        </is>
      </c>
      <c r="E2223" t="inlineStr">
        <is>
          <t>204041</t>
        </is>
      </c>
      <c r="F2223" t="inlineStr">
        <is>
          <t>litologia_tentativa</t>
        </is>
      </c>
      <c r="G2223" t="inlineStr">
        <is>
          <t>Hornfels (hipótesis: siglas HBV, HGV, HCB, HDP; 'Diop. Hornfels'~HGV)</t>
        </is>
      </c>
      <c r="H2223" t="inlineStr"/>
      <c r="I2223" t="inlineStr"/>
      <c r="J2223" t="inlineStr">
        <is>
          <t>suma de filas por código</t>
        </is>
      </c>
      <c r="K2223" t="inlineStr">
        <is>
          <t>Hornfels (hipótesis: siglas HBV, HGV, HCB, HDP; 'Diop. Hornfels'~HGV)</t>
        </is>
      </c>
      <c r="L2223" t="inlineStr"/>
      <c r="M2223" t="n">
        <v>296</v>
      </c>
      <c r="N2223" t="n">
        <v>1776000</v>
      </c>
      <c r="O2223" t="n">
        <v>4894014</v>
      </c>
      <c r="P2223" t="inlineStr"/>
      <c r="Q2223" t="n">
        <v>0.922</v>
      </c>
    </row>
    <row r="2224">
      <c r="A2224" t="inlineStr">
        <is>
          <t>MR24</t>
        </is>
      </c>
      <c r="B2224" t="inlineStr">
        <is>
          <t>SIMULACIONES_MR2024_V3</t>
        </is>
      </c>
      <c r="C2224" t="inlineStr">
        <is>
          <t>toneladas (6000 m3 x MR24_BD); pct sobre toneladas</t>
        </is>
      </c>
      <c r="D2224" t="inlineStr">
        <is>
          <t>periodo_XLE2WST_AMIN</t>
        </is>
      </c>
      <c r="E2224" t="inlineStr">
        <is>
          <t>204041</t>
        </is>
      </c>
      <c r="F2224" t="inlineStr">
        <is>
          <t>litologia_tentativa</t>
        </is>
      </c>
      <c r="G2224" t="inlineStr">
        <is>
          <t>Hornfels (hipótesis: siglas HG, HGS, HC)</t>
        </is>
      </c>
      <c r="H2224" t="inlineStr"/>
      <c r="I2224" t="inlineStr"/>
      <c r="J2224" t="inlineStr">
        <is>
          <t>suma de filas por código</t>
        </is>
      </c>
      <c r="K2224" t="inlineStr">
        <is>
          <t>Hornfels (hipótesis: siglas HG, HGS, HC)</t>
        </is>
      </c>
      <c r="L2224" t="inlineStr"/>
      <c r="M2224" t="n">
        <v>5071</v>
      </c>
      <c r="N2224" t="n">
        <v>30426000</v>
      </c>
      <c r="O2224" t="n">
        <v>82058970</v>
      </c>
      <c r="P2224" t="inlineStr"/>
      <c r="Q2224" t="n">
        <v>15.453</v>
      </c>
    </row>
    <row r="2225">
      <c r="A2225" t="inlineStr">
        <is>
          <t>MR24</t>
        </is>
      </c>
      <c r="B2225" t="inlineStr">
        <is>
          <t>SIMULACIONES_MR2024_V3</t>
        </is>
      </c>
      <c r="C2225" t="inlineStr">
        <is>
          <t>toneladas (6000 m3 x MR24_BD); pct sobre toneladas</t>
        </is>
      </c>
      <c r="D2225" t="inlineStr">
        <is>
          <t>periodo_XLE2WST_AMIN</t>
        </is>
      </c>
      <c r="E2225" t="inlineStr">
        <is>
          <t>204041</t>
        </is>
      </c>
      <c r="F2225" t="inlineStr">
        <is>
          <t>litologia_tentativa</t>
        </is>
      </c>
      <c r="G2225" t="inlineStr">
        <is>
          <t>Intrusivo</t>
        </is>
      </c>
      <c r="H2225" t="inlineStr"/>
      <c r="I2225" t="inlineStr"/>
      <c r="J2225" t="inlineStr">
        <is>
          <t>suma de filas por código</t>
        </is>
      </c>
      <c r="K2225" t="inlineStr">
        <is>
          <t>Intrusivo</t>
        </is>
      </c>
      <c r="L2225" t="inlineStr"/>
      <c r="M2225" t="n">
        <v>7437</v>
      </c>
      <c r="N2225" t="n">
        <v>44622000</v>
      </c>
      <c r="O2225" t="n">
        <v>111334950</v>
      </c>
      <c r="P2225" t="inlineStr"/>
      <c r="Q2225" t="n">
        <v>20.966</v>
      </c>
    </row>
    <row r="2226">
      <c r="A2226" t="inlineStr">
        <is>
          <t>MR24</t>
        </is>
      </c>
      <c r="B2226" t="inlineStr">
        <is>
          <t>SIMULACIONES_MR2024_V3</t>
        </is>
      </c>
      <c r="C2226" t="inlineStr">
        <is>
          <t>toneladas (6000 m3 x MR24_BD); pct sobre toneladas</t>
        </is>
      </c>
      <c r="D2226" t="inlineStr">
        <is>
          <t>periodo_XLE2WST_AMIN</t>
        </is>
      </c>
      <c r="E2226" t="inlineStr">
        <is>
          <t>204041</t>
        </is>
      </c>
      <c r="F2226" t="inlineStr">
        <is>
          <t>litologia_tentativa</t>
        </is>
      </c>
      <c r="G2226" t="inlineStr">
        <is>
          <t>Mármol (hipótesis: sigla MDP)</t>
        </is>
      </c>
      <c r="H2226" t="inlineStr"/>
      <c r="I2226" t="inlineStr"/>
      <c r="J2226" t="inlineStr">
        <is>
          <t>suma de filas por código</t>
        </is>
      </c>
      <c r="K2226" t="inlineStr">
        <is>
          <t>Mármol (hipótesis: sigla MDP)</t>
        </is>
      </c>
      <c r="L2226" t="inlineStr"/>
      <c r="M2226" t="n">
        <v>57</v>
      </c>
      <c r="N2226" t="n">
        <v>342000</v>
      </c>
      <c r="O2226" t="n">
        <v>962508</v>
      </c>
      <c r="P2226" t="inlineStr"/>
      <c r="Q2226" t="n">
        <v>0.181</v>
      </c>
    </row>
    <row r="2227">
      <c r="A2227" t="inlineStr">
        <is>
          <t>MR24</t>
        </is>
      </c>
      <c r="B2227" t="inlineStr">
        <is>
          <t>SIMULACIONES_MR2024_V3</t>
        </is>
      </c>
      <c r="C2227" t="inlineStr">
        <is>
          <t>toneladas (6000 m3 x MR24_BD); pct sobre toneladas</t>
        </is>
      </c>
      <c r="D2227" t="inlineStr">
        <is>
          <t>periodo_XLE2WST_AMIN</t>
        </is>
      </c>
      <c r="E2227" t="inlineStr">
        <is>
          <t>204041</t>
        </is>
      </c>
      <c r="F2227" t="inlineStr">
        <is>
          <t>litologia_tentativa</t>
        </is>
      </c>
      <c r="G2227" t="inlineStr">
        <is>
          <t>Mármol (hipótesis: siglas MC, MG, MGS, MPA, MCGB; 'Marble'~MCGB)</t>
        </is>
      </c>
      <c r="H2227" t="inlineStr"/>
      <c r="I2227" t="inlineStr"/>
      <c r="J2227" t="inlineStr">
        <is>
          <t>suma de filas por código</t>
        </is>
      </c>
      <c r="K2227" t="inlineStr">
        <is>
          <t>Mármol (hipótesis: siglas MC, MG, MGS, MPA, MCGB; 'Marble'~MCGB)</t>
        </is>
      </c>
      <c r="L2227" t="inlineStr"/>
      <c r="M2227" t="n">
        <v>5256</v>
      </c>
      <c r="N2227" t="n">
        <v>31536000</v>
      </c>
      <c r="O2227" t="n">
        <v>85600872</v>
      </c>
      <c r="P2227" t="inlineStr"/>
      <c r="Q2227" t="n">
        <v>16.12</v>
      </c>
    </row>
    <row r="2228">
      <c r="A2228" t="inlineStr">
        <is>
          <t>MR24</t>
        </is>
      </c>
      <c r="B2228" t="inlineStr">
        <is>
          <t>SIMULACIONES_MR2024_V3</t>
        </is>
      </c>
      <c r="C2228" t="inlineStr">
        <is>
          <t>toneladas (6000 m3 x MR24_BD); pct sobre toneladas</t>
        </is>
      </c>
      <c r="D2228" t="inlineStr">
        <is>
          <t>periodo_XLE2WST_AMIN</t>
        </is>
      </c>
      <c r="E2228" t="inlineStr">
        <is>
          <t>204041</t>
        </is>
      </c>
      <c r="F2228" t="inlineStr">
        <is>
          <t>litologia_tentativa</t>
        </is>
      </c>
      <c r="G2228" t="inlineStr">
        <is>
          <t>sin hipótesis</t>
        </is>
      </c>
      <c r="H2228" t="inlineStr"/>
      <c r="I2228" t="inlineStr"/>
      <c r="J2228" t="inlineStr">
        <is>
          <t>suma de filas por código</t>
        </is>
      </c>
      <c r="K2228" t="inlineStr">
        <is>
          <t>sin hipótesis</t>
        </is>
      </c>
      <c r="L2228" t="inlineStr"/>
      <c r="M2228" t="n">
        <v>9</v>
      </c>
      <c r="N2228" t="n">
        <v>54000</v>
      </c>
      <c r="O2228" t="n">
        <v>145518</v>
      </c>
      <c r="P2228" t="inlineStr"/>
      <c r="Q2228" t="n">
        <v>0.027</v>
      </c>
    </row>
    <row r="2229">
      <c r="A2229" t="inlineStr">
        <is>
          <t>MR24</t>
        </is>
      </c>
      <c r="B2229" t="inlineStr">
        <is>
          <t>SIMULACIONES_MR2024_V3</t>
        </is>
      </c>
      <c r="C2229" t="inlineStr">
        <is>
          <t>toneladas (6000 m3 x MR24_BD); pct sobre toneladas</t>
        </is>
      </c>
      <c r="D2229" t="inlineStr">
        <is>
          <t>periodo_XLE2WST_AMIN</t>
        </is>
      </c>
      <c r="E2229" t="inlineStr">
        <is>
          <t>204245</t>
        </is>
      </c>
      <c r="F2229" t="inlineStr">
        <is>
          <t>litologia_tentativa</t>
        </is>
      </c>
      <c r="G2229" t="inlineStr">
        <is>
          <t>Caliza (hipótesis: Sedimentario; RT11~NUMEQ10, siglas C*)</t>
        </is>
      </c>
      <c r="H2229" t="inlineStr"/>
      <c r="I2229" t="inlineStr"/>
      <c r="J2229" t="inlineStr">
        <is>
          <t>suma de filas por código</t>
        </is>
      </c>
      <c r="K2229" t="inlineStr">
        <is>
          <t>Caliza (hipótesis: Sedimentario; RT11~NUMEQ10, siglas C*)</t>
        </is>
      </c>
      <c r="L2229" t="inlineStr"/>
      <c r="M2229" t="n">
        <v>4167</v>
      </c>
      <c r="N2229" t="n">
        <v>25002000</v>
      </c>
      <c r="O2229" t="n">
        <v>67747746</v>
      </c>
      <c r="P2229" t="inlineStr"/>
      <c r="Q2229" t="n">
        <v>9.423999999999999</v>
      </c>
    </row>
    <row r="2230">
      <c r="A2230" t="inlineStr">
        <is>
          <t>MR24</t>
        </is>
      </c>
      <c r="B2230" t="inlineStr">
        <is>
          <t>SIMULACIONES_MR2024_V3</t>
        </is>
      </c>
      <c r="C2230" t="inlineStr">
        <is>
          <t>toneladas (6000 m3 x MR24_BD); pct sobre toneladas</t>
        </is>
      </c>
      <c r="D2230" t="inlineStr">
        <is>
          <t>periodo_XLE2WST_AMIN</t>
        </is>
      </c>
      <c r="E2230" t="inlineStr">
        <is>
          <t>204245</t>
        </is>
      </c>
      <c r="F2230" t="inlineStr">
        <is>
          <t>litologia_tentativa</t>
        </is>
      </c>
      <c r="G2230" t="inlineStr">
        <is>
          <t>Caliza (hipótesis: siglas C*)</t>
        </is>
      </c>
      <c r="H2230" t="inlineStr"/>
      <c r="I2230" t="inlineStr"/>
      <c r="J2230" t="inlineStr">
        <is>
          <t>suma de filas por código</t>
        </is>
      </c>
      <c r="K2230" t="inlineStr">
        <is>
          <t>Caliza (hipótesis: siglas C*)</t>
        </is>
      </c>
      <c r="L2230" t="inlineStr"/>
      <c r="M2230" t="n">
        <v>5068</v>
      </c>
      <c r="N2230" t="n">
        <v>30408000</v>
      </c>
      <c r="O2230" t="n">
        <v>82462710</v>
      </c>
      <c r="P2230" t="inlineStr"/>
      <c r="Q2230" t="n">
        <v>11.47</v>
      </c>
    </row>
    <row r="2231">
      <c r="A2231" t="inlineStr">
        <is>
          <t>MR24</t>
        </is>
      </c>
      <c r="B2231" t="inlineStr">
        <is>
          <t>SIMULACIONES_MR2024_V3</t>
        </is>
      </c>
      <c r="C2231" t="inlineStr">
        <is>
          <t>toneladas (6000 m3 x MR24_BD); pct sobre toneladas</t>
        </is>
      </c>
      <c r="D2231" t="inlineStr">
        <is>
          <t>periodo_XLE2WST_AMIN</t>
        </is>
      </c>
      <c r="E2231" t="inlineStr">
        <is>
          <t>204245</t>
        </is>
      </c>
      <c r="F2231" t="inlineStr">
        <is>
          <t>litologia_tentativa</t>
        </is>
      </c>
      <c r="G2231" t="inlineStr">
        <is>
          <t>Hornfels (hipótesis: siglas HBV, HGV, HCB, HDP; 'Diop. Hornfels'~HGV)</t>
        </is>
      </c>
      <c r="H2231" t="inlineStr"/>
      <c r="I2231" t="inlineStr"/>
      <c r="J2231" t="inlineStr">
        <is>
          <t>suma de filas por código</t>
        </is>
      </c>
      <c r="K2231" t="inlineStr">
        <is>
          <t>Hornfels (hipótesis: siglas HBV, HGV, HCB, HDP; 'Diop. Hornfels'~HGV)</t>
        </is>
      </c>
      <c r="L2231" t="inlineStr"/>
      <c r="M2231" t="n">
        <v>864</v>
      </c>
      <c r="N2231" t="n">
        <v>5184000</v>
      </c>
      <c r="O2231" t="n">
        <v>14798730</v>
      </c>
      <c r="P2231" t="inlineStr"/>
      <c r="Q2231" t="n">
        <v>2.058</v>
      </c>
    </row>
    <row r="2232">
      <c r="A2232" t="inlineStr">
        <is>
          <t>MR24</t>
        </is>
      </c>
      <c r="B2232" t="inlineStr">
        <is>
          <t>SIMULACIONES_MR2024_V3</t>
        </is>
      </c>
      <c r="C2232" t="inlineStr">
        <is>
          <t>toneladas (6000 m3 x MR24_BD); pct sobre toneladas</t>
        </is>
      </c>
      <c r="D2232" t="inlineStr">
        <is>
          <t>periodo_XLE2WST_AMIN</t>
        </is>
      </c>
      <c r="E2232" t="inlineStr">
        <is>
          <t>204245</t>
        </is>
      </c>
      <c r="F2232" t="inlineStr">
        <is>
          <t>litologia_tentativa</t>
        </is>
      </c>
      <c r="G2232" t="inlineStr">
        <is>
          <t>Hornfels (hipótesis: siglas HG, HGS, HC)</t>
        </is>
      </c>
      <c r="H2232" t="inlineStr"/>
      <c r="I2232" t="inlineStr"/>
      <c r="J2232" t="inlineStr">
        <is>
          <t>suma de filas por código</t>
        </is>
      </c>
      <c r="K2232" t="inlineStr">
        <is>
          <t>Hornfels (hipótesis: siglas HG, HGS, HC)</t>
        </is>
      </c>
      <c r="L2232" t="inlineStr"/>
      <c r="M2232" t="n">
        <v>5619</v>
      </c>
      <c r="N2232" t="n">
        <v>33714000</v>
      </c>
      <c r="O2232" t="n">
        <v>91413960</v>
      </c>
      <c r="P2232" t="inlineStr"/>
      <c r="Q2232" t="n">
        <v>12.715</v>
      </c>
    </row>
    <row r="2233">
      <c r="A2233" t="inlineStr">
        <is>
          <t>MR24</t>
        </is>
      </c>
      <c r="B2233" t="inlineStr">
        <is>
          <t>SIMULACIONES_MR2024_V3</t>
        </is>
      </c>
      <c r="C2233" t="inlineStr">
        <is>
          <t>toneladas (6000 m3 x MR24_BD); pct sobre toneladas</t>
        </is>
      </c>
      <c r="D2233" t="inlineStr">
        <is>
          <t>periodo_XLE2WST_AMIN</t>
        </is>
      </c>
      <c r="E2233" t="inlineStr">
        <is>
          <t>204245</t>
        </is>
      </c>
      <c r="F2233" t="inlineStr">
        <is>
          <t>litologia_tentativa</t>
        </is>
      </c>
      <c r="G2233" t="inlineStr">
        <is>
          <t>Intrusivo</t>
        </is>
      </c>
      <c r="H2233" t="inlineStr"/>
      <c r="I2233" t="inlineStr"/>
      <c r="J2233" t="inlineStr">
        <is>
          <t>suma de filas por código</t>
        </is>
      </c>
      <c r="K2233" t="inlineStr">
        <is>
          <t>Intrusivo</t>
        </is>
      </c>
      <c r="L2233" t="inlineStr"/>
      <c r="M2233" t="n">
        <v>6334</v>
      </c>
      <c r="N2233" t="n">
        <v>38004000</v>
      </c>
      <c r="O2233" t="n">
        <v>93787296</v>
      </c>
      <c r="P2233" t="inlineStr"/>
      <c r="Q2233" t="n">
        <v>13.045</v>
      </c>
    </row>
    <row r="2234">
      <c r="A2234" t="inlineStr">
        <is>
          <t>MR24</t>
        </is>
      </c>
      <c r="B2234" t="inlineStr">
        <is>
          <t>SIMULACIONES_MR2024_V3</t>
        </is>
      </c>
      <c r="C2234" t="inlineStr">
        <is>
          <t>toneladas (6000 m3 x MR24_BD); pct sobre toneladas</t>
        </is>
      </c>
      <c r="D2234" t="inlineStr">
        <is>
          <t>periodo_XLE2WST_AMIN</t>
        </is>
      </c>
      <c r="E2234" t="inlineStr">
        <is>
          <t>204245</t>
        </is>
      </c>
      <c r="F2234" t="inlineStr">
        <is>
          <t>litologia_tentativa</t>
        </is>
      </c>
      <c r="G2234" t="inlineStr">
        <is>
          <t>Mármol (hipótesis: sigla MDP)</t>
        </is>
      </c>
      <c r="H2234" t="inlineStr"/>
      <c r="I2234" t="inlineStr"/>
      <c r="J2234" t="inlineStr">
        <is>
          <t>suma de filas por código</t>
        </is>
      </c>
      <c r="K2234" t="inlineStr">
        <is>
          <t>Mármol (hipótesis: sigla MDP)</t>
        </is>
      </c>
      <c r="L2234" t="inlineStr"/>
      <c r="M2234" t="n">
        <v>762</v>
      </c>
      <c r="N2234" t="n">
        <v>4572000</v>
      </c>
      <c r="O2234" t="n">
        <v>12829626</v>
      </c>
      <c r="P2234" t="inlineStr"/>
      <c r="Q2234" t="n">
        <v>1.785</v>
      </c>
    </row>
    <row r="2235">
      <c r="A2235" t="inlineStr">
        <is>
          <t>MR24</t>
        </is>
      </c>
      <c r="B2235" t="inlineStr">
        <is>
          <t>SIMULACIONES_MR2024_V3</t>
        </is>
      </c>
      <c r="C2235" t="inlineStr">
        <is>
          <t>toneladas (6000 m3 x MR24_BD); pct sobre toneladas</t>
        </is>
      </c>
      <c r="D2235" t="inlineStr">
        <is>
          <t>periodo_XLE2WST_AMIN</t>
        </is>
      </c>
      <c r="E2235" t="inlineStr">
        <is>
          <t>204245</t>
        </is>
      </c>
      <c r="F2235" t="inlineStr">
        <is>
          <t>litologia_tentativa</t>
        </is>
      </c>
      <c r="G2235" t="inlineStr">
        <is>
          <t>Mármol (hipótesis: siglas MC, MG, MGS, MPA, MCGB; 'Marble'~MCGB)</t>
        </is>
      </c>
      <c r="H2235" t="inlineStr"/>
      <c r="I2235" t="inlineStr"/>
      <c r="J2235" t="inlineStr">
        <is>
          <t>suma de filas por código</t>
        </is>
      </c>
      <c r="K2235" t="inlineStr">
        <is>
          <t>Mármol (hipótesis: siglas MC, MG, MGS, MPA, MCGB; 'Marble'~MCGB)</t>
        </is>
      </c>
      <c r="L2235" t="inlineStr"/>
      <c r="M2235" t="n">
        <v>21832</v>
      </c>
      <c r="N2235" t="n">
        <v>130992000</v>
      </c>
      <c r="O2235" t="n">
        <v>355604100</v>
      </c>
      <c r="P2235" t="inlineStr"/>
      <c r="Q2235" t="n">
        <v>49.464</v>
      </c>
    </row>
    <row r="2236">
      <c r="A2236" t="inlineStr">
        <is>
          <t>MR24</t>
        </is>
      </c>
      <c r="B2236" t="inlineStr">
        <is>
          <t>SIMULACIONES_MR2024_V3</t>
        </is>
      </c>
      <c r="C2236" t="inlineStr">
        <is>
          <t>toneladas (6000 m3 x MR24_BD); pct sobre toneladas</t>
        </is>
      </c>
      <c r="D2236" t="inlineStr">
        <is>
          <t>periodo_XLE2WST_AMIN</t>
        </is>
      </c>
      <c r="E2236" t="inlineStr">
        <is>
          <t>204245</t>
        </is>
      </c>
      <c r="F2236" t="inlineStr">
        <is>
          <t>litologia_tentativa</t>
        </is>
      </c>
      <c r="G2236" t="inlineStr">
        <is>
          <t>sin hipótesis</t>
        </is>
      </c>
      <c r="H2236" t="inlineStr"/>
      <c r="I2236" t="inlineStr"/>
      <c r="J2236" t="inlineStr">
        <is>
          <t>suma de filas por código</t>
        </is>
      </c>
      <c r="K2236" t="inlineStr">
        <is>
          <t>sin hipótesis</t>
        </is>
      </c>
      <c r="L2236" t="inlineStr"/>
      <c r="M2236" t="n">
        <v>17</v>
      </c>
      <c r="N2236" t="n">
        <v>102000</v>
      </c>
      <c r="O2236" t="n">
        <v>277608</v>
      </c>
      <c r="P2236" t="inlineStr"/>
      <c r="Q2236" t="n">
        <v>0.039</v>
      </c>
    </row>
    <row r="2237">
      <c r="A2237" t="inlineStr">
        <is>
          <t>MR24</t>
        </is>
      </c>
      <c r="B2237" t="inlineStr">
        <is>
          <t>SIMULACIONES_MR2024_V3</t>
        </is>
      </c>
      <c r="C2237" t="inlineStr">
        <is>
          <t>toneladas (6000 m3 x MR24_BD); pct sobre toneladas</t>
        </is>
      </c>
      <c r="D2237" t="inlineStr">
        <is>
          <t>periodo_XLE2WST_AMIN</t>
        </is>
      </c>
      <c r="E2237" t="inlineStr">
        <is>
          <t>204649</t>
        </is>
      </c>
      <c r="F2237" t="inlineStr">
        <is>
          <t>litologia_tentativa</t>
        </is>
      </c>
      <c r="G2237" t="inlineStr">
        <is>
          <t>Hornfels (hipótesis: siglas HBV, HGV, HCB, HDP; 'Diop. Hornfels'~HGV)</t>
        </is>
      </c>
      <c r="H2237" t="inlineStr"/>
      <c r="I2237" t="inlineStr"/>
      <c r="J2237" t="inlineStr">
        <is>
          <t>suma de filas por código</t>
        </is>
      </c>
      <c r="K2237" t="inlineStr">
        <is>
          <t>Hornfels (hipótesis: siglas HBV, HGV, HCB, HDP; 'Diop. Hornfels'~HGV)</t>
        </is>
      </c>
      <c r="L2237" t="inlineStr"/>
      <c r="M2237" t="n">
        <v>4</v>
      </c>
      <c r="N2237" t="n">
        <v>24000</v>
      </c>
      <c r="O2237" t="n">
        <v>68286</v>
      </c>
      <c r="P2237" t="inlineStr"/>
      <c r="Q2237" t="n">
        <v>0.037</v>
      </c>
    </row>
    <row r="2238">
      <c r="A2238" t="inlineStr">
        <is>
          <t>MR24</t>
        </is>
      </c>
      <c r="B2238" t="inlineStr">
        <is>
          <t>SIMULACIONES_MR2024_V3</t>
        </is>
      </c>
      <c r="C2238" t="inlineStr">
        <is>
          <t>toneladas (6000 m3 x MR24_BD); pct sobre toneladas</t>
        </is>
      </c>
      <c r="D2238" t="inlineStr">
        <is>
          <t>periodo_XLE2WST_AMIN</t>
        </is>
      </c>
      <c r="E2238" t="inlineStr">
        <is>
          <t>204649</t>
        </is>
      </c>
      <c r="F2238" t="inlineStr">
        <is>
          <t>litologia_tentativa</t>
        </is>
      </c>
      <c r="G2238" t="inlineStr">
        <is>
          <t>Hornfels (hipótesis: siglas HG, HGS, HC)</t>
        </is>
      </c>
      <c r="H2238" t="inlineStr"/>
      <c r="I2238" t="inlineStr"/>
      <c r="J2238" t="inlineStr">
        <is>
          <t>suma de filas por código</t>
        </is>
      </c>
      <c r="K2238" t="inlineStr">
        <is>
          <t>Hornfels (hipótesis: siglas HG, HGS, HC)</t>
        </is>
      </c>
      <c r="L2238" t="inlineStr"/>
      <c r="M2238" t="n">
        <v>33</v>
      </c>
      <c r="N2238" t="n">
        <v>198000</v>
      </c>
      <c r="O2238" t="n">
        <v>545148</v>
      </c>
      <c r="P2238" t="inlineStr"/>
      <c r="Q2238" t="n">
        <v>0.298</v>
      </c>
    </row>
    <row r="2239">
      <c r="A2239" t="inlineStr">
        <is>
          <t>MR24</t>
        </is>
      </c>
      <c r="B2239" t="inlineStr">
        <is>
          <t>SIMULACIONES_MR2024_V3</t>
        </is>
      </c>
      <c r="C2239" t="inlineStr">
        <is>
          <t>toneladas (6000 m3 x MR24_BD); pct sobre toneladas</t>
        </is>
      </c>
      <c r="D2239" t="inlineStr">
        <is>
          <t>periodo_XLE2WST_AMIN</t>
        </is>
      </c>
      <c r="E2239" t="inlineStr">
        <is>
          <t>204649</t>
        </is>
      </c>
      <c r="F2239" t="inlineStr">
        <is>
          <t>litologia_tentativa</t>
        </is>
      </c>
      <c r="G2239" t="inlineStr">
        <is>
          <t>Intrusivo</t>
        </is>
      </c>
      <c r="H2239" t="inlineStr"/>
      <c r="I2239" t="inlineStr"/>
      <c r="J2239" t="inlineStr">
        <is>
          <t>suma de filas por código</t>
        </is>
      </c>
      <c r="K2239" t="inlineStr">
        <is>
          <t>Intrusivo</t>
        </is>
      </c>
      <c r="L2239" t="inlineStr"/>
      <c r="M2239" t="n">
        <v>7352</v>
      </c>
      <c r="N2239" t="n">
        <v>44112000</v>
      </c>
      <c r="O2239" t="n">
        <v>108394590</v>
      </c>
      <c r="P2239" t="inlineStr"/>
      <c r="Q2239" t="n">
        <v>59.229</v>
      </c>
    </row>
    <row r="2240">
      <c r="A2240" t="inlineStr">
        <is>
          <t>MR24</t>
        </is>
      </c>
      <c r="B2240" t="inlineStr">
        <is>
          <t>SIMULACIONES_MR2024_V3</t>
        </is>
      </c>
      <c r="C2240" t="inlineStr">
        <is>
          <t>toneladas (6000 m3 x MR24_BD); pct sobre toneladas</t>
        </is>
      </c>
      <c r="D2240" t="inlineStr">
        <is>
          <t>periodo_XLE2WST_AMIN</t>
        </is>
      </c>
      <c r="E2240" t="inlineStr">
        <is>
          <t>204649</t>
        </is>
      </c>
      <c r="F2240" t="inlineStr">
        <is>
          <t>litologia_tentativa</t>
        </is>
      </c>
      <c r="G2240" t="inlineStr">
        <is>
          <t>Mármol (hipótesis: sigla MDP)</t>
        </is>
      </c>
      <c r="H2240" t="inlineStr"/>
      <c r="I2240" t="inlineStr"/>
      <c r="J2240" t="inlineStr">
        <is>
          <t>suma de filas por código</t>
        </is>
      </c>
      <c r="K2240" t="inlineStr">
        <is>
          <t>Mármol (hipótesis: sigla MDP)</t>
        </is>
      </c>
      <c r="L2240" t="inlineStr"/>
      <c r="M2240" t="n">
        <v>102</v>
      </c>
      <c r="N2240" t="n">
        <v>612000</v>
      </c>
      <c r="O2240" t="n">
        <v>1713972</v>
      </c>
      <c r="P2240" t="inlineStr"/>
      <c r="Q2240" t="n">
        <v>0.9370000000000001</v>
      </c>
    </row>
    <row r="2241">
      <c r="A2241" t="inlineStr">
        <is>
          <t>MR24</t>
        </is>
      </c>
      <c r="B2241" t="inlineStr">
        <is>
          <t>SIMULACIONES_MR2024_V3</t>
        </is>
      </c>
      <c r="C2241" t="inlineStr">
        <is>
          <t>toneladas (6000 m3 x MR24_BD); pct sobre toneladas</t>
        </is>
      </c>
      <c r="D2241" t="inlineStr">
        <is>
          <t>periodo_XLE2WST_AMIN</t>
        </is>
      </c>
      <c r="E2241" t="inlineStr">
        <is>
          <t>204649</t>
        </is>
      </c>
      <c r="F2241" t="inlineStr">
        <is>
          <t>litologia_tentativa</t>
        </is>
      </c>
      <c r="G2241" t="inlineStr">
        <is>
          <t>Mármol (hipótesis: siglas MC, MG, MGS, MPA, MCGB; 'Marble'~MCGB)</t>
        </is>
      </c>
      <c r="H2241" t="inlineStr"/>
      <c r="I2241" t="inlineStr"/>
      <c r="J2241" t="inlineStr">
        <is>
          <t>suma de filas por código</t>
        </is>
      </c>
      <c r="K2241" t="inlineStr">
        <is>
          <t>Mármol (hipótesis: siglas MC, MG, MGS, MPA, MCGB; 'Marble'~MCGB)</t>
        </is>
      </c>
      <c r="L2241" t="inlineStr"/>
      <c r="M2241" t="n">
        <v>4417</v>
      </c>
      <c r="N2241" t="n">
        <v>26502000</v>
      </c>
      <c r="O2241" t="n">
        <v>71958312</v>
      </c>
      <c r="P2241" t="inlineStr"/>
      <c r="Q2241" t="n">
        <v>39.32</v>
      </c>
    </row>
    <row r="2242">
      <c r="A2242" t="inlineStr">
        <is>
          <t>MR24</t>
        </is>
      </c>
      <c r="B2242" t="inlineStr">
        <is>
          <t>SIMULACIONES_MR2024_V3</t>
        </is>
      </c>
      <c r="C2242" t="inlineStr">
        <is>
          <t>toneladas (6000 m3 x MR24_BD); pct sobre toneladas</t>
        </is>
      </c>
      <c r="D2242" t="inlineStr">
        <is>
          <t>periodo_XLE2WST_AMIN</t>
        </is>
      </c>
      <c r="E2242" t="inlineStr">
        <is>
          <t>204649</t>
        </is>
      </c>
      <c r="F2242" t="inlineStr">
        <is>
          <t>litologia_tentativa</t>
        </is>
      </c>
      <c r="G2242" t="inlineStr">
        <is>
          <t>sin hipótesis</t>
        </is>
      </c>
      <c r="H2242" t="inlineStr"/>
      <c r="I2242" t="inlineStr"/>
      <c r="J2242" t="inlineStr">
        <is>
          <t>suma de filas por código</t>
        </is>
      </c>
      <c r="K2242" t="inlineStr">
        <is>
          <t>sin hipótesis</t>
        </is>
      </c>
      <c r="L2242" t="inlineStr"/>
      <c r="M2242" t="n">
        <v>20</v>
      </c>
      <c r="N2242" t="n">
        <v>120000</v>
      </c>
      <c r="O2242" t="n">
        <v>327894</v>
      </c>
      <c r="P2242" t="inlineStr"/>
      <c r="Q2242" t="n">
        <v>0.179</v>
      </c>
    </row>
    <row r="2243">
      <c r="A2243" t="inlineStr">
        <is>
          <t>MR24</t>
        </is>
      </c>
      <c r="B2243" t="inlineStr">
        <is>
          <t>SIMULACIONES_MR2024_V3</t>
        </is>
      </c>
      <c r="C2243" t="inlineStr">
        <is>
          <t>toneladas (6000 m3 x MR24_BD); pct sobre toneladas</t>
        </is>
      </c>
      <c r="D2243" t="inlineStr">
        <is>
          <t>total</t>
        </is>
      </c>
      <c r="E2243" t="inlineStr">
        <is>
          <t>total</t>
        </is>
      </c>
      <c r="F2243" t="inlineStr">
        <is>
          <t>litologia_tentativa</t>
        </is>
      </c>
      <c r="G2243" t="inlineStr">
        <is>
          <t>Caliza (hipótesis: Sedimentario; RT11~NUMEQ10, siglas C*)</t>
        </is>
      </c>
      <c r="H2243" t="inlineStr"/>
      <c r="I2243" t="inlineStr"/>
      <c r="J2243" t="inlineStr">
        <is>
          <t>suma de filas por código</t>
        </is>
      </c>
      <c r="K2243" t="inlineStr">
        <is>
          <t>Caliza (hipótesis: Sedimentario; RT11~NUMEQ10, siglas C*)</t>
        </is>
      </c>
      <c r="L2243" t="inlineStr"/>
      <c r="M2243" t="n">
        <v>58104</v>
      </c>
      <c r="N2243" t="n">
        <v>348624000</v>
      </c>
      <c r="O2243" t="n">
        <v>945099690</v>
      </c>
      <c r="P2243" t="inlineStr"/>
      <c r="Q2243" t="n">
        <v>18.949</v>
      </c>
    </row>
    <row r="2244">
      <c r="A2244" t="inlineStr">
        <is>
          <t>MR24</t>
        </is>
      </c>
      <c r="B2244" t="inlineStr">
        <is>
          <t>SIMULACIONES_MR2024_V3</t>
        </is>
      </c>
      <c r="C2244" t="inlineStr">
        <is>
          <t>toneladas (6000 m3 x MR24_BD); pct sobre toneladas</t>
        </is>
      </c>
      <c r="D2244" t="inlineStr">
        <is>
          <t>total</t>
        </is>
      </c>
      <c r="E2244" t="inlineStr">
        <is>
          <t>total</t>
        </is>
      </c>
      <c r="F2244" t="inlineStr">
        <is>
          <t>litologia_tentativa</t>
        </is>
      </c>
      <c r="G2244" t="inlineStr">
        <is>
          <t>Caliza (hipótesis: siglas C*)</t>
        </is>
      </c>
      <c r="H2244" t="inlineStr"/>
      <c r="I2244" t="inlineStr"/>
      <c r="J2244" t="inlineStr">
        <is>
          <t>suma de filas por código</t>
        </is>
      </c>
      <c r="K2244" t="inlineStr">
        <is>
          <t>Caliza (hipótesis: siglas C*)</t>
        </is>
      </c>
      <c r="L2244" t="inlineStr"/>
      <c r="M2244" t="n">
        <v>24434</v>
      </c>
      <c r="N2244" t="n">
        <v>146604000</v>
      </c>
      <c r="O2244" t="n">
        <v>397090530</v>
      </c>
      <c r="P2244" t="inlineStr"/>
      <c r="Q2244" t="n">
        <v>7.962</v>
      </c>
    </row>
    <row r="2245">
      <c r="A2245" t="inlineStr">
        <is>
          <t>MR24</t>
        </is>
      </c>
      <c r="B2245" t="inlineStr">
        <is>
          <t>SIMULACIONES_MR2024_V3</t>
        </is>
      </c>
      <c r="C2245" t="inlineStr">
        <is>
          <t>toneladas (6000 m3 x MR24_BD); pct sobre toneladas</t>
        </is>
      </c>
      <c r="D2245" t="inlineStr">
        <is>
          <t>total</t>
        </is>
      </c>
      <c r="E2245" t="inlineStr">
        <is>
          <t>total</t>
        </is>
      </c>
      <c r="F2245" t="inlineStr">
        <is>
          <t>litologia_tentativa</t>
        </is>
      </c>
      <c r="G2245" t="inlineStr">
        <is>
          <t>Hornfels (hipótesis: siglas HBV, HGV, HCB, HDP; 'Diop. Hornfels'~HGV)</t>
        </is>
      </c>
      <c r="H2245" t="inlineStr"/>
      <c r="I2245" t="inlineStr"/>
      <c r="J2245" t="inlineStr">
        <is>
          <t>suma de filas por código</t>
        </is>
      </c>
      <c r="K2245" t="inlineStr">
        <is>
          <t>Hornfels (hipótesis: siglas HBV, HGV, HCB, HDP; 'Diop. Hornfels'~HGV)</t>
        </is>
      </c>
      <c r="L2245" t="inlineStr"/>
      <c r="M2245" t="n">
        <v>9983</v>
      </c>
      <c r="N2245" t="n">
        <v>59898000</v>
      </c>
      <c r="O2245" t="n">
        <v>171283434</v>
      </c>
      <c r="P2245" t="inlineStr"/>
      <c r="Q2245" t="n">
        <v>3.434</v>
      </c>
    </row>
    <row r="2246">
      <c r="A2246" t="inlineStr">
        <is>
          <t>MR24</t>
        </is>
      </c>
      <c r="B2246" t="inlineStr">
        <is>
          <t>SIMULACIONES_MR2024_V3</t>
        </is>
      </c>
      <c r="C2246" t="inlineStr">
        <is>
          <t>toneladas (6000 m3 x MR24_BD); pct sobre toneladas</t>
        </is>
      </c>
      <c r="D2246" t="inlineStr">
        <is>
          <t>total</t>
        </is>
      </c>
      <c r="E2246" t="inlineStr">
        <is>
          <t>total</t>
        </is>
      </c>
      <c r="F2246" t="inlineStr">
        <is>
          <t>litologia_tentativa</t>
        </is>
      </c>
      <c r="G2246" t="inlineStr">
        <is>
          <t>Hornfels (hipótesis: siglas HG, HGS, HC)</t>
        </is>
      </c>
      <c r="H2246" t="inlineStr"/>
      <c r="I2246" t="inlineStr"/>
      <c r="J2246" t="inlineStr">
        <is>
          <t>suma de filas por código</t>
        </is>
      </c>
      <c r="K2246" t="inlineStr">
        <is>
          <t>Hornfels (hipótesis: siglas HG, HGS, HC)</t>
        </is>
      </c>
      <c r="L2246" t="inlineStr"/>
      <c r="M2246" t="n">
        <v>48510</v>
      </c>
      <c r="N2246" t="n">
        <v>291060000</v>
      </c>
      <c r="O2246" t="n">
        <v>787753656</v>
      </c>
      <c r="P2246" t="inlineStr"/>
      <c r="Q2246" t="n">
        <v>15.794</v>
      </c>
    </row>
    <row r="2247">
      <c r="A2247" t="inlineStr">
        <is>
          <t>MR24</t>
        </is>
      </c>
      <c r="B2247" t="inlineStr">
        <is>
          <t>SIMULACIONES_MR2024_V3</t>
        </is>
      </c>
      <c r="C2247" t="inlineStr">
        <is>
          <t>toneladas (6000 m3 x MR24_BD); pct sobre toneladas</t>
        </is>
      </c>
      <c r="D2247" t="inlineStr">
        <is>
          <t>total</t>
        </is>
      </c>
      <c r="E2247" t="inlineStr">
        <is>
          <t>total</t>
        </is>
      </c>
      <c r="F2247" t="inlineStr">
        <is>
          <t>litologia_tentativa</t>
        </is>
      </c>
      <c r="G2247" t="inlineStr">
        <is>
          <t>Intrusivo</t>
        </is>
      </c>
      <c r="H2247" t="inlineStr"/>
      <c r="I2247" t="inlineStr"/>
      <c r="J2247" t="inlineStr">
        <is>
          <t>suma de filas por código</t>
        </is>
      </c>
      <c r="K2247" t="inlineStr">
        <is>
          <t>Intrusivo</t>
        </is>
      </c>
      <c r="L2247" t="inlineStr"/>
      <c r="M2247" t="n">
        <v>49950</v>
      </c>
      <c r="N2247" t="n">
        <v>299700000</v>
      </c>
      <c r="O2247" t="n">
        <v>741851028</v>
      </c>
      <c r="P2247" t="inlineStr"/>
      <c r="Q2247" t="n">
        <v>14.874</v>
      </c>
    </row>
    <row r="2248">
      <c r="A2248" t="inlineStr">
        <is>
          <t>MR24</t>
        </is>
      </c>
      <c r="B2248" t="inlineStr">
        <is>
          <t>SIMULACIONES_MR2024_V3</t>
        </is>
      </c>
      <c r="C2248" t="inlineStr">
        <is>
          <t>toneladas (6000 m3 x MR24_BD); pct sobre toneladas</t>
        </is>
      </c>
      <c r="D2248" t="inlineStr">
        <is>
          <t>total</t>
        </is>
      </c>
      <c r="E2248" t="inlineStr">
        <is>
          <t>total</t>
        </is>
      </c>
      <c r="F2248" t="inlineStr">
        <is>
          <t>litologia_tentativa</t>
        </is>
      </c>
      <c r="G2248" t="inlineStr">
        <is>
          <t>Mármol (hipótesis: sigla MDP)</t>
        </is>
      </c>
      <c r="H2248" t="inlineStr"/>
      <c r="I2248" t="inlineStr"/>
      <c r="J2248" t="inlineStr">
        <is>
          <t>suma de filas por código</t>
        </is>
      </c>
      <c r="K2248" t="inlineStr">
        <is>
          <t>Mármol (hipótesis: sigla MDP)</t>
        </is>
      </c>
      <c r="L2248" t="inlineStr"/>
      <c r="M2248" t="n">
        <v>8020</v>
      </c>
      <c r="N2248" t="n">
        <v>48120000</v>
      </c>
      <c r="O2248" t="n">
        <v>137022624</v>
      </c>
      <c r="P2248" t="inlineStr"/>
      <c r="Q2248" t="n">
        <v>2.747</v>
      </c>
    </row>
    <row r="2249">
      <c r="A2249" t="inlineStr">
        <is>
          <t>MR24</t>
        </is>
      </c>
      <c r="B2249" t="inlineStr">
        <is>
          <t>SIMULACIONES_MR2024_V3</t>
        </is>
      </c>
      <c r="C2249" t="inlineStr">
        <is>
          <t>toneladas (6000 m3 x MR24_BD); pct sobre toneladas</t>
        </is>
      </c>
      <c r="D2249" t="inlineStr">
        <is>
          <t>total</t>
        </is>
      </c>
      <c r="E2249" t="inlineStr">
        <is>
          <t>total</t>
        </is>
      </c>
      <c r="F2249" t="inlineStr">
        <is>
          <t>litologia_tentativa</t>
        </is>
      </c>
      <c r="G2249" t="inlineStr">
        <is>
          <t>Mármol (hipótesis: siglas MC, MG, MGS, MPA, MCGB; 'Marble'~MCGB)</t>
        </is>
      </c>
      <c r="H2249" t="inlineStr"/>
      <c r="I2249" t="inlineStr"/>
      <c r="J2249" t="inlineStr">
        <is>
          <t>suma de filas por código</t>
        </is>
      </c>
      <c r="K2249" t="inlineStr">
        <is>
          <t>Mármol (hipótesis: siglas MC, MG, MGS, MPA, MCGB; 'Marble'~MCGB)</t>
        </is>
      </c>
      <c r="L2249" t="inlineStr"/>
      <c r="M2249" t="n">
        <v>110698</v>
      </c>
      <c r="N2249" t="n">
        <v>664188000</v>
      </c>
      <c r="O2249" t="n">
        <v>1801011150</v>
      </c>
      <c r="P2249" t="inlineStr"/>
      <c r="Q2249" t="n">
        <v>36.11</v>
      </c>
    </row>
    <row r="2250">
      <c r="A2250" t="inlineStr">
        <is>
          <t>MR24</t>
        </is>
      </c>
      <c r="B2250" t="inlineStr">
        <is>
          <t>SIMULACIONES_MR2024_V3</t>
        </is>
      </c>
      <c r="C2250" t="inlineStr">
        <is>
          <t>toneladas (6000 m3 x MR24_BD); pct sobre toneladas</t>
        </is>
      </c>
      <c r="D2250" t="inlineStr">
        <is>
          <t>total</t>
        </is>
      </c>
      <c r="E2250" t="inlineStr">
        <is>
          <t>total</t>
        </is>
      </c>
      <c r="F2250" t="inlineStr">
        <is>
          <t>litologia_tentativa</t>
        </is>
      </c>
      <c r="G2250" t="inlineStr">
        <is>
          <t>sin hipótesis</t>
        </is>
      </c>
      <c r="H2250" t="inlineStr"/>
      <c r="I2250" t="inlineStr"/>
      <c r="J2250" t="inlineStr">
        <is>
          <t>suma de filas por código</t>
        </is>
      </c>
      <c r="K2250" t="inlineStr">
        <is>
          <t>sin hipótesis</t>
        </is>
      </c>
      <c r="L2250" t="inlineStr"/>
      <c r="M2250" t="n">
        <v>403</v>
      </c>
      <c r="N2250" t="n">
        <v>2418000</v>
      </c>
      <c r="O2250" t="n">
        <v>6425370</v>
      </c>
      <c r="P2250" t="inlineStr"/>
      <c r="Q2250" t="n">
        <v>0.129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fuente_id</t>
        </is>
      </c>
      <c r="B1" s="1" t="inlineStr">
        <is>
          <t>archivo</t>
        </is>
      </c>
      <c r="C1" s="1" t="inlineStr">
        <is>
          <t>variable</t>
        </is>
      </c>
      <c r="D1" s="1" t="inlineStr">
        <is>
          <t>unidad</t>
        </is>
      </c>
      <c r="E1" s="1" t="inlineStr">
        <is>
          <t>codigo_tipo</t>
        </is>
      </c>
      <c r="F1" s="1" t="inlineStr">
        <is>
          <t>litologia_codigo</t>
        </is>
      </c>
      <c r="G1" s="1" t="inlineStr">
        <is>
          <t>litologia_normalizada</t>
        </is>
      </c>
      <c r="H1" s="1" t="inlineStr">
        <is>
          <t>subtipo</t>
        </is>
      </c>
      <c r="I1" s="1" t="inlineStr">
        <is>
          <t>criterio_asignacion</t>
        </is>
      </c>
      <c r="J1" s="1" t="inlineStr">
        <is>
          <t>litologia_tentativa</t>
        </is>
      </c>
      <c r="K1" s="1" t="inlineStr">
        <is>
          <t>grupo_geologia_2024</t>
        </is>
      </c>
      <c r="L1" s="1" t="inlineStr">
        <is>
          <t>nota</t>
        </is>
      </c>
      <c r="M1" s="1" t="inlineStr">
        <is>
          <t>n</t>
        </is>
      </c>
      <c r="N1" s="1" t="inlineStr">
        <is>
          <t>media</t>
        </is>
      </c>
      <c r="O1" s="1" t="inlineStr">
        <is>
          <t>desv_est</t>
        </is>
      </c>
      <c r="P1" s="1" t="inlineStr">
        <is>
          <t>cv</t>
        </is>
      </c>
      <c r="Q1" s="1" t="inlineStr">
        <is>
          <t>min</t>
        </is>
      </c>
      <c r="R1" s="1" t="inlineStr">
        <is>
          <t>p05</t>
        </is>
      </c>
      <c r="S1" s="1" t="inlineStr">
        <is>
          <t>p10</t>
        </is>
      </c>
      <c r="T1" s="1" t="inlineStr">
        <is>
          <t>p25</t>
        </is>
      </c>
      <c r="U1" s="1" t="inlineStr">
        <is>
          <t>p50</t>
        </is>
      </c>
      <c r="V1" s="1" t="inlineStr">
        <is>
          <t>p75</t>
        </is>
      </c>
      <c r="W1" s="1" t="inlineStr">
        <is>
          <t>p90</t>
        </is>
      </c>
      <c r="X1" s="1" t="inlineStr">
        <is>
          <t>p95</t>
        </is>
      </c>
      <c r="Y1" s="1" t="inlineStr">
        <is>
          <t>max</t>
        </is>
      </c>
      <c r="Z1" s="1" t="inlineStr">
        <is>
          <t>media_pond</t>
        </is>
      </c>
    </row>
    <row r="2">
      <c r="A2" t="inlineStr">
        <is>
          <t>MR24</t>
        </is>
      </c>
      <c r="B2" t="inlineStr">
        <is>
          <t>SIMULACIONES_MR2024_V3</t>
        </is>
      </c>
      <c r="C2" t="inlineStr">
        <is>
          <t>MR24_BD</t>
        </is>
      </c>
      <c r="D2" t="inlineStr">
        <is>
          <t>t/m3</t>
        </is>
      </c>
      <c r="E2" t="inlineStr">
        <is>
          <t>MR24_RT</t>
        </is>
      </c>
      <c r="F2" t="inlineStr">
        <is>
          <t>1</t>
        </is>
      </c>
      <c r="G2" t="inlineStr">
        <is>
          <t>Intrusivo</t>
        </is>
      </c>
      <c r="H2" t="inlineStr">
        <is>
          <t>RT1</t>
        </is>
      </c>
      <c r="I2" t="inlineStr">
        <is>
          <t>Geologia_2024=Intrusivo_1</t>
        </is>
      </c>
      <c r="J2" t="inlineStr">
        <is>
          <t>Intrusivo</t>
        </is>
      </c>
      <c r="K2" t="inlineStr">
        <is>
          <t>Intrusivo</t>
        </is>
      </c>
      <c r="L2" t="inlineStr">
        <is>
          <t>estadística sobre bloques del modelo (cada bloque 6000 m3); valores modelados, no ensayos</t>
        </is>
      </c>
      <c r="M2" t="n">
        <v>46813</v>
      </c>
      <c r="N2" t="n">
        <v>2.4609</v>
      </c>
      <c r="O2" t="n">
        <v>0.07580000000000001</v>
      </c>
      <c r="P2" t="n">
        <v>0.0308</v>
      </c>
      <c r="Q2" t="n">
        <v>2.166</v>
      </c>
      <c r="R2" t="n">
        <v>2.354</v>
      </c>
      <c r="S2" t="n">
        <v>2.384</v>
      </c>
      <c r="T2" t="n">
        <v>2.42</v>
      </c>
      <c r="U2" t="n">
        <v>2.452</v>
      </c>
      <c r="V2" t="n">
        <v>2.49</v>
      </c>
      <c r="W2" t="n">
        <v>2.556</v>
      </c>
      <c r="X2" t="n">
        <v>2.594</v>
      </c>
      <c r="Y2" t="n">
        <v>3.085</v>
      </c>
      <c r="Z2" t="inlineStr"/>
    </row>
    <row r="3">
      <c r="A3" t="inlineStr">
        <is>
          <t>MR24</t>
        </is>
      </c>
      <c r="B3" t="inlineStr">
        <is>
          <t>SIMULACIONES_MR2024_V3</t>
        </is>
      </c>
      <c r="C3" t="inlineStr">
        <is>
          <t>MR24_BD</t>
        </is>
      </c>
      <c r="D3" t="inlineStr">
        <is>
          <t>t/m3</t>
        </is>
      </c>
      <c r="E3" t="inlineStr">
        <is>
          <t>MR24_RT</t>
        </is>
      </c>
      <c r="F3" t="inlineStr">
        <is>
          <t>2</t>
        </is>
      </c>
      <c r="G3" t="inlineStr">
        <is>
          <t>Intrusivo</t>
        </is>
      </c>
      <c r="H3" t="inlineStr">
        <is>
          <t>RT2</t>
        </is>
      </c>
      <c r="I3" t="inlineStr">
        <is>
          <t>Geologia_2024=Intrusivo_2</t>
        </is>
      </c>
      <c r="J3" t="inlineStr">
        <is>
          <t>Intrusivo</t>
        </is>
      </c>
      <c r="K3" t="inlineStr">
        <is>
          <t>Intrusivo</t>
        </is>
      </c>
      <c r="L3" t="inlineStr">
        <is>
          <t>estadística sobre bloques del modelo (cada bloque 6000 m3); valores modelados, no ensayos</t>
        </is>
      </c>
      <c r="M3" t="n">
        <v>3137</v>
      </c>
      <c r="N3" t="n">
        <v>2.6903</v>
      </c>
      <c r="O3" t="n">
        <v>0.1003</v>
      </c>
      <c r="P3" t="n">
        <v>0.0373</v>
      </c>
      <c r="Q3" t="n">
        <v>2.542</v>
      </c>
      <c r="R3" t="n">
        <v>2.602</v>
      </c>
      <c r="S3" t="n">
        <v>2.619</v>
      </c>
      <c r="T3" t="n">
        <v>2.642</v>
      </c>
      <c r="U3" t="n">
        <v>2.667</v>
      </c>
      <c r="V3" t="n">
        <v>2.696</v>
      </c>
      <c r="W3" t="n">
        <v>2.7814</v>
      </c>
      <c r="X3" t="n">
        <v>2.9052</v>
      </c>
      <c r="Y3" t="n">
        <v>3.44</v>
      </c>
      <c r="Z3" t="inlineStr"/>
    </row>
    <row r="4">
      <c r="A4" t="inlineStr">
        <is>
          <t>MR24</t>
        </is>
      </c>
      <c r="B4" t="inlineStr">
        <is>
          <t>SIMULACIONES_MR2024_V3</t>
        </is>
      </c>
      <c r="C4" t="inlineStr">
        <is>
          <t>MR24_BD</t>
        </is>
      </c>
      <c r="D4" t="inlineStr">
        <is>
          <t>t/m3</t>
        </is>
      </c>
      <c r="E4" t="inlineStr">
        <is>
          <t>MR24_RT</t>
        </is>
      </c>
      <c r="F4" t="inlineStr">
        <is>
          <t>10</t>
        </is>
      </c>
      <c r="G4" t="inlineStr">
        <is>
          <t>sin asignar</t>
        </is>
      </c>
      <c r="H4" t="inlineStr">
        <is>
          <t>Sedimentario_10</t>
        </is>
      </c>
      <c r="I4" t="inlineStr">
        <is>
          <t>Geologia_2024=Sedimentario_10 (no especifica caliza)</t>
        </is>
      </c>
      <c r="J4" t="inlineStr">
        <is>
          <t>Caliza (hipótesis: siglas C*)</t>
        </is>
      </c>
      <c r="K4" t="inlineStr">
        <is>
          <t>Sedimentario</t>
        </is>
      </c>
      <c r="L4" t="inlineStr">
        <is>
          <t>estadística sobre bloques del modelo (cada bloque 6000 m3); valores modelados, no ensayos</t>
        </is>
      </c>
      <c r="M4" t="n">
        <v>24434</v>
      </c>
      <c r="N4" t="n">
        <v>2.7086</v>
      </c>
      <c r="O4" t="n">
        <v>0.0106</v>
      </c>
      <c r="P4" t="n">
        <v>0.0039</v>
      </c>
      <c r="Q4" t="n">
        <v>2.633</v>
      </c>
      <c r="R4" t="n">
        <v>2.689</v>
      </c>
      <c r="S4" t="n">
        <v>2.696</v>
      </c>
      <c r="T4" t="n">
        <v>2.705</v>
      </c>
      <c r="U4" t="n">
        <v>2.71</v>
      </c>
      <c r="V4" t="n">
        <v>2.715</v>
      </c>
      <c r="W4" t="n">
        <v>2.72</v>
      </c>
      <c r="X4" t="n">
        <v>2.723</v>
      </c>
      <c r="Y4" t="n">
        <v>2.752</v>
      </c>
      <c r="Z4" t="inlineStr"/>
    </row>
    <row r="5">
      <c r="A5" t="inlineStr">
        <is>
          <t>MR24</t>
        </is>
      </c>
      <c r="B5" t="inlineStr">
        <is>
          <t>SIMULACIONES_MR2024_V3</t>
        </is>
      </c>
      <c r="C5" t="inlineStr">
        <is>
          <t>MR24_BD</t>
        </is>
      </c>
      <c r="D5" t="inlineStr">
        <is>
          <t>t/m3</t>
        </is>
      </c>
      <c r="E5" t="inlineStr">
        <is>
          <t>MR24_RT</t>
        </is>
      </c>
      <c r="F5" t="inlineStr">
        <is>
          <t>11</t>
        </is>
      </c>
      <c r="G5" t="inlineStr">
        <is>
          <t>sin asignar</t>
        </is>
      </c>
      <c r="H5" t="inlineStr">
        <is>
          <t>Sedimentario_11</t>
        </is>
      </c>
      <c r="I5" t="inlineStr">
        <is>
          <t>Geologia_2024=Sedimentario_11 (no especifica caliza)</t>
        </is>
      </c>
      <c r="J5" t="inlineStr">
        <is>
          <t>Caliza (hipótesis: Sedimentario; RT11~NUMEQ10, siglas C*)</t>
        </is>
      </c>
      <c r="K5" t="inlineStr">
        <is>
          <t>Sedimentario</t>
        </is>
      </c>
      <c r="L5" t="inlineStr">
        <is>
          <t>estadística sobre bloques del modelo (cada bloque 6000 m3); valores modelados, no ensayos</t>
        </is>
      </c>
      <c r="M5" t="n">
        <v>58104</v>
      </c>
      <c r="N5" t="n">
        <v>2.7109</v>
      </c>
      <c r="O5" t="n">
        <v>0.0127</v>
      </c>
      <c r="P5" t="n">
        <v>0.0047</v>
      </c>
      <c r="Q5" t="n">
        <v>2.59</v>
      </c>
      <c r="R5" t="n">
        <v>2.686</v>
      </c>
      <c r="S5" t="n">
        <v>2.697</v>
      </c>
      <c r="T5" t="n">
        <v>2.706</v>
      </c>
      <c r="U5" t="n">
        <v>2.71</v>
      </c>
      <c r="V5" t="n">
        <v>2.718</v>
      </c>
      <c r="W5" t="n">
        <v>2.727</v>
      </c>
      <c r="X5" t="n">
        <v>2.731</v>
      </c>
      <c r="Y5" t="n">
        <v>2.77</v>
      </c>
      <c r="Z5" t="inlineStr"/>
    </row>
    <row r="6">
      <c r="A6" t="inlineStr">
        <is>
          <t>MR24</t>
        </is>
      </c>
      <c r="B6" t="inlineStr">
        <is>
          <t>SIMULACIONES_MR2024_V3</t>
        </is>
      </c>
      <c r="C6" t="inlineStr">
        <is>
          <t>MR24_BD</t>
        </is>
      </c>
      <c r="D6" t="inlineStr">
        <is>
          <t>t/m3</t>
        </is>
      </c>
      <c r="E6" t="inlineStr">
        <is>
          <t>MR24_RT</t>
        </is>
      </c>
      <c r="F6" t="inlineStr">
        <is>
          <t>13</t>
        </is>
      </c>
      <c r="G6" t="inlineStr">
        <is>
          <t>sin asignar</t>
        </is>
      </c>
      <c r="H6" t="inlineStr">
        <is>
          <t>Metamorfico_13</t>
        </is>
      </c>
      <c r="I6" t="inlineStr">
        <is>
          <t>Geologia_2024=Metamorfico_13 (no distingue hornfels/mármol)</t>
        </is>
      </c>
      <c r="J6" t="inlineStr">
        <is>
          <t>Hornfels (hipótesis: siglas HG, HGS, HC)</t>
        </is>
      </c>
      <c r="K6" t="inlineStr">
        <is>
          <t>Metamorfico</t>
        </is>
      </c>
      <c r="L6" t="inlineStr">
        <is>
          <t>estadística sobre bloques del modelo (cada bloque 6000 m3); valores modelados, no ensayos</t>
        </is>
      </c>
      <c r="M6" t="n">
        <v>48510</v>
      </c>
      <c r="N6" t="n">
        <v>2.7065</v>
      </c>
      <c r="O6" t="n">
        <v>0.0318</v>
      </c>
      <c r="P6" t="n">
        <v>0.0118</v>
      </c>
      <c r="Q6" t="n">
        <v>2.557</v>
      </c>
      <c r="R6" t="n">
        <v>2.673</v>
      </c>
      <c r="S6" t="n">
        <v>2.68</v>
      </c>
      <c r="T6" t="n">
        <v>2.69</v>
      </c>
      <c r="U6" t="n">
        <v>2.7</v>
      </c>
      <c r="V6" t="n">
        <v>2.715</v>
      </c>
      <c r="W6" t="n">
        <v>2.74</v>
      </c>
      <c r="X6" t="n">
        <v>2.76</v>
      </c>
      <c r="Y6" t="n">
        <v>3.21</v>
      </c>
      <c r="Z6" t="inlineStr"/>
    </row>
    <row r="7">
      <c r="A7" t="inlineStr">
        <is>
          <t>MR24</t>
        </is>
      </c>
      <c r="B7" t="inlineStr">
        <is>
          <t>SIMULACIONES_MR2024_V3</t>
        </is>
      </c>
      <c r="C7" t="inlineStr">
        <is>
          <t>MR24_BD</t>
        </is>
      </c>
      <c r="D7" t="inlineStr">
        <is>
          <t>t/m3</t>
        </is>
      </c>
      <c r="E7" t="inlineStr">
        <is>
          <t>MR24_RT</t>
        </is>
      </c>
      <c r="F7" t="inlineStr">
        <is>
          <t>14</t>
        </is>
      </c>
      <c r="G7" t="inlineStr">
        <is>
          <t>sin asignar</t>
        </is>
      </c>
      <c r="H7" t="inlineStr">
        <is>
          <t>Metamorfico_14</t>
        </is>
      </c>
      <c r="I7" t="inlineStr">
        <is>
          <t>Geologia_2024=Metamorfico_14 (no distingue hornfels/mármol)</t>
        </is>
      </c>
      <c r="J7" t="inlineStr">
        <is>
          <t>Hornfels (hipótesis: siglas HBV, HGV, HCB, HDP; 'Diop. Hornfels'~HGV)</t>
        </is>
      </c>
      <c r="K7" t="inlineStr">
        <is>
          <t>Metamorfico</t>
        </is>
      </c>
      <c r="L7" t="inlineStr">
        <is>
          <t>estadística sobre bloques del modelo (cada bloque 6000 m3); valores modelados, no ensayos</t>
        </is>
      </c>
      <c r="M7" t="n">
        <v>9983</v>
      </c>
      <c r="N7" t="n">
        <v>2.8596</v>
      </c>
      <c r="O7" t="n">
        <v>0.06610000000000001</v>
      </c>
      <c r="P7" t="n">
        <v>0.0231</v>
      </c>
      <c r="Q7" t="n">
        <v>2.591</v>
      </c>
      <c r="R7" t="n">
        <v>2.732</v>
      </c>
      <c r="S7" t="n">
        <v>2.758</v>
      </c>
      <c r="T7" t="n">
        <v>2.821</v>
      </c>
      <c r="U7" t="n">
        <v>2.87</v>
      </c>
      <c r="V7" t="n">
        <v>2.905</v>
      </c>
      <c r="W7" t="n">
        <v>2.936</v>
      </c>
      <c r="X7" t="n">
        <v>2.955</v>
      </c>
      <c r="Y7" t="n">
        <v>3.113</v>
      </c>
      <c r="Z7" t="inlineStr"/>
    </row>
    <row r="8">
      <c r="A8" t="inlineStr">
        <is>
          <t>MR24</t>
        </is>
      </c>
      <c r="B8" t="inlineStr">
        <is>
          <t>SIMULACIONES_MR2024_V3</t>
        </is>
      </c>
      <c r="C8" t="inlineStr">
        <is>
          <t>MR24_BD</t>
        </is>
      </c>
      <c r="D8" t="inlineStr">
        <is>
          <t>t/m3</t>
        </is>
      </c>
      <c r="E8" t="inlineStr">
        <is>
          <t>MR24_RT</t>
        </is>
      </c>
      <c r="F8" t="inlineStr">
        <is>
          <t>16</t>
        </is>
      </c>
      <c r="G8" t="inlineStr">
        <is>
          <t>sin asignar</t>
        </is>
      </c>
      <c r="H8" t="inlineStr">
        <is>
          <t>Metamorfico_16</t>
        </is>
      </c>
      <c r="I8" t="inlineStr">
        <is>
          <t>Geologia_2024=Metamorfico_16 (no distingue hornfels/mármol)</t>
        </is>
      </c>
      <c r="J8" t="inlineStr">
        <is>
          <t>Mármol (hipótesis: siglas MC, MG, MGS, MPA, MCGB; 'Marble'~MCGB)</t>
        </is>
      </c>
      <c r="K8" t="inlineStr">
        <is>
          <t>Metamorfico</t>
        </is>
      </c>
      <c r="L8" t="inlineStr">
        <is>
          <t>estadística sobre bloques del modelo (cada bloque 6000 m3); valores modelados, no ensayos</t>
        </is>
      </c>
      <c r="M8" t="n">
        <v>110698</v>
      </c>
      <c r="N8" t="n">
        <v>2.7116</v>
      </c>
      <c r="O8" t="n">
        <v>0.0432</v>
      </c>
      <c r="P8" t="n">
        <v>0.0159</v>
      </c>
      <c r="Q8" t="n">
        <v>2.559</v>
      </c>
      <c r="R8" t="n">
        <v>2.678</v>
      </c>
      <c r="S8" t="n">
        <v>2.683</v>
      </c>
      <c r="T8" t="n">
        <v>2.69</v>
      </c>
      <c r="U8" t="n">
        <v>2.7</v>
      </c>
      <c r="V8" t="n">
        <v>2.718</v>
      </c>
      <c r="W8" t="n">
        <v>2.746</v>
      </c>
      <c r="X8" t="n">
        <v>2.776</v>
      </c>
      <c r="Y8" t="n">
        <v>3.458</v>
      </c>
      <c r="Z8" t="inlineStr"/>
    </row>
    <row r="9">
      <c r="A9" t="inlineStr">
        <is>
          <t>MR24</t>
        </is>
      </c>
      <c r="B9" t="inlineStr">
        <is>
          <t>SIMULACIONES_MR2024_V3</t>
        </is>
      </c>
      <c r="C9" t="inlineStr">
        <is>
          <t>MR24_BD</t>
        </is>
      </c>
      <c r="D9" t="inlineStr">
        <is>
          <t>t/m3</t>
        </is>
      </c>
      <c r="E9" t="inlineStr">
        <is>
          <t>MR24_RT</t>
        </is>
      </c>
      <c r="F9" t="inlineStr">
        <is>
          <t>19</t>
        </is>
      </c>
      <c r="G9" t="inlineStr">
        <is>
          <t>sin asignar</t>
        </is>
      </c>
      <c r="H9" t="inlineStr">
        <is>
          <t>Metamorfico_19</t>
        </is>
      </c>
      <c r="I9" t="inlineStr">
        <is>
          <t>Geologia_2024=Metamorfico_19 (no distingue hornfels/mármol)</t>
        </is>
      </c>
      <c r="J9" t="inlineStr">
        <is>
          <t>Mármol (hipótesis: sigla MDP)</t>
        </is>
      </c>
      <c r="K9" t="inlineStr">
        <is>
          <t>Metamorfico</t>
        </is>
      </c>
      <c r="L9" t="inlineStr">
        <is>
          <t>estadística sobre bloques del modelo (cada bloque 6000 m3); valores modelados, no ensayos</t>
        </is>
      </c>
      <c r="M9" t="n">
        <v>8020</v>
      </c>
      <c r="N9" t="n">
        <v>2.8475</v>
      </c>
      <c r="O9" t="n">
        <v>0.0595</v>
      </c>
      <c r="P9" t="n">
        <v>0.0209</v>
      </c>
      <c r="Q9" t="n">
        <v>2.62</v>
      </c>
      <c r="R9" t="n">
        <v>2.739</v>
      </c>
      <c r="S9" t="n">
        <v>2.768</v>
      </c>
      <c r="T9" t="n">
        <v>2.811</v>
      </c>
      <c r="U9" t="n">
        <v>2.851</v>
      </c>
      <c r="V9" t="n">
        <v>2.887</v>
      </c>
      <c r="W9" t="n">
        <v>2.918</v>
      </c>
      <c r="X9" t="n">
        <v>2.936</v>
      </c>
      <c r="Y9" t="n">
        <v>3.195</v>
      </c>
      <c r="Z9" t="inlineStr"/>
    </row>
    <row r="10">
      <c r="A10" t="inlineStr">
        <is>
          <t>MR24</t>
        </is>
      </c>
      <c r="B10" t="inlineStr">
        <is>
          <t>SIMULACIONES_MR2024_V3</t>
        </is>
      </c>
      <c r="C10" t="inlineStr">
        <is>
          <t>MR24_BD</t>
        </is>
      </c>
      <c r="D10" t="inlineStr">
        <is>
          <t>t/m3</t>
        </is>
      </c>
      <c r="E10" t="inlineStr">
        <is>
          <t>MR24_RT</t>
        </is>
      </c>
      <c r="F10" t="inlineStr">
        <is>
          <t>53</t>
        </is>
      </c>
      <c r="G10" t="inlineStr">
        <is>
          <t>sin asignar</t>
        </is>
      </c>
      <c r="H10" t="inlineStr">
        <is>
          <t>RT53</t>
        </is>
      </c>
      <c r="I10" t="inlineStr">
        <is>
          <t>código sin etiqueta en los datos</t>
        </is>
      </c>
      <c r="J10" t="inlineStr">
        <is>
          <t>sin hipótesis</t>
        </is>
      </c>
      <c r="K10" t="inlineStr">
        <is>
          <t>sin leyenda</t>
        </is>
      </c>
      <c r="L10" t="inlineStr">
        <is>
          <t>estadística sobre bloques del modelo (cada bloque 6000 m3); valores modelados, no ensayos</t>
        </is>
      </c>
      <c r="M10" t="n">
        <v>403</v>
      </c>
      <c r="N10" t="n">
        <v>2.6573</v>
      </c>
      <c r="O10" t="n">
        <v>0.1679</v>
      </c>
      <c r="P10" t="n">
        <v>0.06320000000000001</v>
      </c>
      <c r="Q10" t="n">
        <v>2.368</v>
      </c>
      <c r="R10" t="n">
        <v>2.4523</v>
      </c>
      <c r="S10" t="n">
        <v>2.4772</v>
      </c>
      <c r="T10" t="n">
        <v>2.533</v>
      </c>
      <c r="U10" t="n">
        <v>2.619</v>
      </c>
      <c r="V10" t="n">
        <v>2.748</v>
      </c>
      <c r="W10" t="n">
        <v>2.8862</v>
      </c>
      <c r="X10" t="n">
        <v>3.0007</v>
      </c>
      <c r="Y10" t="n">
        <v>3.351</v>
      </c>
      <c r="Z10" t="inlineStr"/>
    </row>
    <row r="11">
      <c r="A11" t="inlineStr">
        <is>
          <t>MR24</t>
        </is>
      </c>
      <c r="B11" t="inlineStr">
        <is>
          <t>SIMULACIONES_MR2024_V3</t>
        </is>
      </c>
      <c r="C11" t="inlineStr">
        <is>
          <t>MR24_BD</t>
        </is>
      </c>
      <c r="D11" t="inlineStr">
        <is>
          <t>t/m3</t>
        </is>
      </c>
      <c r="E11" t="inlineStr">
        <is>
          <t>MR24_RT</t>
        </is>
      </c>
      <c r="F11" t="inlineStr">
        <is>
          <t>TODOS</t>
        </is>
      </c>
      <c r="G11" t="inlineStr"/>
      <c r="H11" t="inlineStr"/>
      <c r="I11" t="inlineStr"/>
      <c r="J11" t="inlineStr"/>
      <c r="K11" t="inlineStr"/>
      <c r="L11" t="inlineStr">
        <is>
          <t>estadística sobre bloques del modelo (cada bloque 6000 m3); valores modelados, no ensayos</t>
        </is>
      </c>
      <c r="M11" t="n">
        <v>310102</v>
      </c>
      <c r="N11" t="n">
        <v>2.6806</v>
      </c>
      <c r="O11" t="n">
        <v>0.1087</v>
      </c>
      <c r="P11" t="n">
        <v>0.0406</v>
      </c>
      <c r="Q11" t="n">
        <v>2.166</v>
      </c>
      <c r="R11" t="n">
        <v>2.432</v>
      </c>
      <c r="S11" t="n">
        <v>2.473</v>
      </c>
      <c r="T11" t="n">
        <v>2.686</v>
      </c>
      <c r="U11" t="n">
        <v>2.703</v>
      </c>
      <c r="V11" t="n">
        <v>2.717</v>
      </c>
      <c r="W11" t="n">
        <v>2.749</v>
      </c>
      <c r="X11" t="n">
        <v>2.834</v>
      </c>
      <c r="Y11" t="n">
        <v>3.458</v>
      </c>
      <c r="Z11" t="inlineStr"/>
    </row>
    <row r="12">
      <c r="A12" t="inlineStr">
        <is>
          <t>MR24</t>
        </is>
      </c>
      <c r="B12" t="inlineStr">
        <is>
          <t>SIMULACIONES_MR2024_V3</t>
        </is>
      </c>
      <c r="C12" t="inlineStr">
        <is>
          <t>MR24_UCS</t>
        </is>
      </c>
      <c r="D12" t="inlineStr">
        <is>
          <t>MPa</t>
        </is>
      </c>
      <c r="E12" t="inlineStr">
        <is>
          <t>MR24_RT</t>
        </is>
      </c>
      <c r="F12" t="inlineStr">
        <is>
          <t>1</t>
        </is>
      </c>
      <c r="G12" t="inlineStr">
        <is>
          <t>Intrusivo</t>
        </is>
      </c>
      <c r="H12" t="inlineStr">
        <is>
          <t>RT1</t>
        </is>
      </c>
      <c r="I12" t="inlineStr">
        <is>
          <t>Geologia_2024=Intrusivo_1</t>
        </is>
      </c>
      <c r="J12" t="inlineStr">
        <is>
          <t>Intrusivo</t>
        </is>
      </c>
      <c r="K12" t="inlineStr">
        <is>
          <t>Intrusivo</t>
        </is>
      </c>
      <c r="L12" t="inlineStr">
        <is>
          <t>estadística sobre bloques del modelo (cada bloque 6000 m3); valores modelados, no ensayos</t>
        </is>
      </c>
      <c r="M12" t="n">
        <v>46813</v>
      </c>
      <c r="N12" t="n">
        <v>63.2704</v>
      </c>
      <c r="O12" t="n">
        <v>14.1581</v>
      </c>
      <c r="P12" t="n">
        <v>0.2238</v>
      </c>
      <c r="Q12" t="n">
        <v>16.81</v>
      </c>
      <c r="R12" t="n">
        <v>40.91</v>
      </c>
      <c r="S12" t="n">
        <v>46.55</v>
      </c>
      <c r="T12" t="n">
        <v>54.08</v>
      </c>
      <c r="U12" t="n">
        <v>63.18</v>
      </c>
      <c r="V12" t="n">
        <v>71.39</v>
      </c>
      <c r="W12" t="n">
        <v>78.91</v>
      </c>
      <c r="X12" t="n">
        <v>85.504</v>
      </c>
      <c r="Y12" t="n">
        <v>153.34</v>
      </c>
      <c r="Z12" t="inlineStr"/>
    </row>
    <row r="13">
      <c r="A13" t="inlineStr">
        <is>
          <t>MR24</t>
        </is>
      </c>
      <c r="B13" t="inlineStr">
        <is>
          <t>SIMULACIONES_MR2024_V3</t>
        </is>
      </c>
      <c r="C13" t="inlineStr">
        <is>
          <t>MR24_UCS</t>
        </is>
      </c>
      <c r="D13" t="inlineStr">
        <is>
          <t>MPa</t>
        </is>
      </c>
      <c r="E13" t="inlineStr">
        <is>
          <t>MR24_RT</t>
        </is>
      </c>
      <c r="F13" t="inlineStr">
        <is>
          <t>2</t>
        </is>
      </c>
      <c r="G13" t="inlineStr">
        <is>
          <t>Intrusivo</t>
        </is>
      </c>
      <c r="H13" t="inlineStr">
        <is>
          <t>RT2</t>
        </is>
      </c>
      <c r="I13" t="inlineStr">
        <is>
          <t>Geologia_2024=Intrusivo_2</t>
        </is>
      </c>
      <c r="J13" t="inlineStr">
        <is>
          <t>Intrusivo</t>
        </is>
      </c>
      <c r="K13" t="inlineStr">
        <is>
          <t>Intrusivo</t>
        </is>
      </c>
      <c r="L13" t="inlineStr">
        <is>
          <t>estadística sobre bloques del modelo (cada bloque 6000 m3); valores modelados, no ensayos</t>
        </is>
      </c>
      <c r="M13" t="n">
        <v>3137</v>
      </c>
      <c r="N13" t="n">
        <v>104.4651</v>
      </c>
      <c r="O13" t="n">
        <v>19.3338</v>
      </c>
      <c r="P13" t="n">
        <v>0.1851</v>
      </c>
      <c r="Q13" t="n">
        <v>46.51</v>
      </c>
      <c r="R13" t="n">
        <v>75.83799999999999</v>
      </c>
      <c r="S13" t="n">
        <v>81.208</v>
      </c>
      <c r="T13" t="n">
        <v>92.40000000000001</v>
      </c>
      <c r="U13" t="n">
        <v>103.3</v>
      </c>
      <c r="V13" t="n">
        <v>113.28</v>
      </c>
      <c r="W13" t="n">
        <v>130.738</v>
      </c>
      <c r="X13" t="n">
        <v>140.484</v>
      </c>
      <c r="Y13" t="n">
        <v>196.41</v>
      </c>
      <c r="Z13" t="inlineStr"/>
    </row>
    <row r="14">
      <c r="A14" t="inlineStr">
        <is>
          <t>MR24</t>
        </is>
      </c>
      <c r="B14" t="inlineStr">
        <is>
          <t>SIMULACIONES_MR2024_V3</t>
        </is>
      </c>
      <c r="C14" t="inlineStr">
        <is>
          <t>MR24_UCS</t>
        </is>
      </c>
      <c r="D14" t="inlineStr">
        <is>
          <t>MPa</t>
        </is>
      </c>
      <c r="E14" t="inlineStr">
        <is>
          <t>MR24_RT</t>
        </is>
      </c>
      <c r="F14" t="inlineStr">
        <is>
          <t>10</t>
        </is>
      </c>
      <c r="G14" t="inlineStr">
        <is>
          <t>sin asignar</t>
        </is>
      </c>
      <c r="H14" t="inlineStr">
        <is>
          <t>Sedimentario_10</t>
        </is>
      </c>
      <c r="I14" t="inlineStr">
        <is>
          <t>Geologia_2024=Sedimentario_10 (no especifica caliza)</t>
        </is>
      </c>
      <c r="J14" t="inlineStr">
        <is>
          <t>Caliza (hipótesis: siglas C*)</t>
        </is>
      </c>
      <c r="K14" t="inlineStr">
        <is>
          <t>Sedimentario</t>
        </is>
      </c>
      <c r="L14" t="inlineStr">
        <is>
          <t>estadística sobre bloques del modelo (cada bloque 6000 m3); valores modelados, no ensayos</t>
        </is>
      </c>
      <c r="M14" t="n">
        <v>24434</v>
      </c>
      <c r="N14" t="n">
        <v>81.3158</v>
      </c>
      <c r="O14" t="n">
        <v>5.5011</v>
      </c>
      <c r="P14" t="n">
        <v>0.0677</v>
      </c>
      <c r="Q14" t="n">
        <v>51.35</v>
      </c>
      <c r="R14" t="n">
        <v>74.333</v>
      </c>
      <c r="S14" t="n">
        <v>76.39</v>
      </c>
      <c r="T14" t="n">
        <v>77.37</v>
      </c>
      <c r="U14" t="n">
        <v>82.54000000000001</v>
      </c>
      <c r="V14" t="n">
        <v>82.97</v>
      </c>
      <c r="W14" t="n">
        <v>83.31999999999999</v>
      </c>
      <c r="X14" t="n">
        <v>90.1035</v>
      </c>
      <c r="Y14" t="n">
        <v>123.98</v>
      </c>
      <c r="Z14" t="inlineStr"/>
    </row>
    <row r="15">
      <c r="A15" t="inlineStr">
        <is>
          <t>MR24</t>
        </is>
      </c>
      <c r="B15" t="inlineStr">
        <is>
          <t>SIMULACIONES_MR2024_V3</t>
        </is>
      </c>
      <c r="C15" t="inlineStr">
        <is>
          <t>MR24_UCS</t>
        </is>
      </c>
      <c r="D15" t="inlineStr">
        <is>
          <t>MPa</t>
        </is>
      </c>
      <c r="E15" t="inlineStr">
        <is>
          <t>MR24_RT</t>
        </is>
      </c>
      <c r="F15" t="inlineStr">
        <is>
          <t>11</t>
        </is>
      </c>
      <c r="G15" t="inlineStr">
        <is>
          <t>sin asignar</t>
        </is>
      </c>
      <c r="H15" t="inlineStr">
        <is>
          <t>Sedimentario_11</t>
        </is>
      </c>
      <c r="I15" t="inlineStr">
        <is>
          <t>Geologia_2024=Sedimentario_11 (no especifica caliza)</t>
        </is>
      </c>
      <c r="J15" t="inlineStr">
        <is>
          <t>Caliza (hipótesis: Sedimentario; RT11~NUMEQ10, siglas C*)</t>
        </is>
      </c>
      <c r="K15" t="inlineStr">
        <is>
          <t>Sedimentario</t>
        </is>
      </c>
      <c r="L15" t="inlineStr">
        <is>
          <t>estadística sobre bloques del modelo (cada bloque 6000 m3); valores modelados, no ensayos</t>
        </is>
      </c>
      <c r="M15" t="n">
        <v>58104</v>
      </c>
      <c r="N15" t="n">
        <v>70.0287</v>
      </c>
      <c r="O15" t="n">
        <v>7.8921</v>
      </c>
      <c r="P15" t="n">
        <v>0.1127</v>
      </c>
      <c r="Q15" t="n">
        <v>28.1</v>
      </c>
      <c r="R15" t="n">
        <v>55.54</v>
      </c>
      <c r="S15" t="n">
        <v>60.92</v>
      </c>
      <c r="T15" t="n">
        <v>68.31999999999999</v>
      </c>
      <c r="U15" t="n">
        <v>69.23999999999999</v>
      </c>
      <c r="V15" t="n">
        <v>72.17</v>
      </c>
      <c r="W15" t="n">
        <v>79.337</v>
      </c>
      <c r="X15" t="n">
        <v>84.38</v>
      </c>
      <c r="Y15" t="n">
        <v>121.52</v>
      </c>
      <c r="Z15" t="inlineStr"/>
    </row>
    <row r="16">
      <c r="A16" t="inlineStr">
        <is>
          <t>MR24</t>
        </is>
      </c>
      <c r="B16" t="inlineStr">
        <is>
          <t>SIMULACIONES_MR2024_V3</t>
        </is>
      </c>
      <c r="C16" t="inlineStr">
        <is>
          <t>MR24_UCS</t>
        </is>
      </c>
      <c r="D16" t="inlineStr">
        <is>
          <t>MPa</t>
        </is>
      </c>
      <c r="E16" t="inlineStr">
        <is>
          <t>MR24_RT</t>
        </is>
      </c>
      <c r="F16" t="inlineStr">
        <is>
          <t>13</t>
        </is>
      </c>
      <c r="G16" t="inlineStr">
        <is>
          <t>sin asignar</t>
        </is>
      </c>
      <c r="H16" t="inlineStr">
        <is>
          <t>Metamorfico_13</t>
        </is>
      </c>
      <c r="I16" t="inlineStr">
        <is>
          <t>Geologia_2024=Metamorfico_13 (no distingue hornfels/mármol)</t>
        </is>
      </c>
      <c r="J16" t="inlineStr">
        <is>
          <t>Hornfels (hipótesis: siglas HG, HGS, HC)</t>
        </is>
      </c>
      <c r="K16" t="inlineStr">
        <is>
          <t>Metamorfico</t>
        </is>
      </c>
      <c r="L16" t="inlineStr">
        <is>
          <t>estadística sobre bloques del modelo (cada bloque 6000 m3); valores modelados, no ensayos</t>
        </is>
      </c>
      <c r="M16" t="n">
        <v>48510</v>
      </c>
      <c r="N16" t="n">
        <v>105.8541</v>
      </c>
      <c r="O16" t="n">
        <v>16.5712</v>
      </c>
      <c r="P16" t="n">
        <v>0.1565</v>
      </c>
      <c r="Q16" t="n">
        <v>28.85</v>
      </c>
      <c r="R16" t="n">
        <v>79.89</v>
      </c>
      <c r="S16" t="n">
        <v>87.37</v>
      </c>
      <c r="T16" t="n">
        <v>97.2</v>
      </c>
      <c r="U16" t="n">
        <v>104.93</v>
      </c>
      <c r="V16" t="n">
        <v>115.31</v>
      </c>
      <c r="W16" t="n">
        <v>125.77</v>
      </c>
      <c r="X16" t="n">
        <v>136.84</v>
      </c>
      <c r="Y16" t="n">
        <v>200.24</v>
      </c>
      <c r="Z16" t="inlineStr"/>
    </row>
    <row r="17">
      <c r="A17" t="inlineStr">
        <is>
          <t>MR24</t>
        </is>
      </c>
      <c r="B17" t="inlineStr">
        <is>
          <t>SIMULACIONES_MR2024_V3</t>
        </is>
      </c>
      <c r="C17" t="inlineStr">
        <is>
          <t>MR24_UCS</t>
        </is>
      </c>
      <c r="D17" t="inlineStr">
        <is>
          <t>MPa</t>
        </is>
      </c>
      <c r="E17" t="inlineStr">
        <is>
          <t>MR24_RT</t>
        </is>
      </c>
      <c r="F17" t="inlineStr">
        <is>
          <t>14</t>
        </is>
      </c>
      <c r="G17" t="inlineStr">
        <is>
          <t>sin asignar</t>
        </is>
      </c>
      <c r="H17" t="inlineStr">
        <is>
          <t>Metamorfico_14</t>
        </is>
      </c>
      <c r="I17" t="inlineStr">
        <is>
          <t>Geologia_2024=Metamorfico_14 (no distingue hornfels/mármol)</t>
        </is>
      </c>
      <c r="J17" t="inlineStr">
        <is>
          <t>Hornfels (hipótesis: siglas HBV, HGV, HCB, HDP; 'Diop. Hornfels'~HGV)</t>
        </is>
      </c>
      <c r="K17" t="inlineStr">
        <is>
          <t>Metamorfico</t>
        </is>
      </c>
      <c r="L17" t="inlineStr">
        <is>
          <t>estadística sobre bloques del modelo (cada bloque 6000 m3); valores modelados, no ensayos</t>
        </is>
      </c>
      <c r="M17" t="n">
        <v>9983</v>
      </c>
      <c r="N17" t="n">
        <v>116.9647</v>
      </c>
      <c r="O17" t="n">
        <v>18.0013</v>
      </c>
      <c r="P17" t="n">
        <v>0.1539</v>
      </c>
      <c r="Q17" t="n">
        <v>57.13</v>
      </c>
      <c r="R17" t="n">
        <v>89.84099999999999</v>
      </c>
      <c r="S17" t="n">
        <v>95.122</v>
      </c>
      <c r="T17" t="n">
        <v>105.91</v>
      </c>
      <c r="U17" t="n">
        <v>114.95</v>
      </c>
      <c r="V17" t="n">
        <v>130.48</v>
      </c>
      <c r="W17" t="n">
        <v>132.27</v>
      </c>
      <c r="X17" t="n">
        <v>143.882</v>
      </c>
      <c r="Y17" t="n">
        <v>225.95</v>
      </c>
      <c r="Z17" t="inlineStr"/>
    </row>
    <row r="18">
      <c r="A18" t="inlineStr">
        <is>
          <t>MR24</t>
        </is>
      </c>
      <c r="B18" t="inlineStr">
        <is>
          <t>SIMULACIONES_MR2024_V3</t>
        </is>
      </c>
      <c r="C18" t="inlineStr">
        <is>
          <t>MR24_UCS</t>
        </is>
      </c>
      <c r="D18" t="inlineStr">
        <is>
          <t>MPa</t>
        </is>
      </c>
      <c r="E18" t="inlineStr">
        <is>
          <t>MR24_RT</t>
        </is>
      </c>
      <c r="F18" t="inlineStr">
        <is>
          <t>16</t>
        </is>
      </c>
      <c r="G18" t="inlineStr">
        <is>
          <t>sin asignar</t>
        </is>
      </c>
      <c r="H18" t="inlineStr">
        <is>
          <t>Metamorfico_16</t>
        </is>
      </c>
      <c r="I18" t="inlineStr">
        <is>
          <t>Geologia_2024=Metamorfico_16 (no distingue hornfels/mármol)</t>
        </is>
      </c>
      <c r="J18" t="inlineStr">
        <is>
          <t>Mármol (hipótesis: siglas MC, MG, MGS, MPA, MCGB; 'Marble'~MCGB)</t>
        </is>
      </c>
      <c r="K18" t="inlineStr">
        <is>
          <t>Metamorfico</t>
        </is>
      </c>
      <c r="L18" t="inlineStr">
        <is>
          <t>estadística sobre bloques del modelo (cada bloque 6000 m3); valores modelados, no ensayos</t>
        </is>
      </c>
      <c r="M18" t="n">
        <v>110698</v>
      </c>
      <c r="N18" t="n">
        <v>74.0282</v>
      </c>
      <c r="O18" t="n">
        <v>13.8658</v>
      </c>
      <c r="P18" t="n">
        <v>0.1873</v>
      </c>
      <c r="Q18" t="n">
        <v>26.58</v>
      </c>
      <c r="R18" t="n">
        <v>51.6</v>
      </c>
      <c r="S18" t="n">
        <v>56.44</v>
      </c>
      <c r="T18" t="n">
        <v>65.84</v>
      </c>
      <c r="U18" t="n">
        <v>74.14</v>
      </c>
      <c r="V18" t="n">
        <v>80.91</v>
      </c>
      <c r="W18" t="n">
        <v>89.29000000000001</v>
      </c>
      <c r="X18" t="n">
        <v>97.40000000000001</v>
      </c>
      <c r="Y18" t="n">
        <v>174.86</v>
      </c>
      <c r="Z18" t="inlineStr"/>
    </row>
    <row r="19">
      <c r="A19" t="inlineStr">
        <is>
          <t>MR24</t>
        </is>
      </c>
      <c r="B19" t="inlineStr">
        <is>
          <t>SIMULACIONES_MR2024_V3</t>
        </is>
      </c>
      <c r="C19" t="inlineStr">
        <is>
          <t>MR24_UCS</t>
        </is>
      </c>
      <c r="D19" t="inlineStr">
        <is>
          <t>MPa</t>
        </is>
      </c>
      <c r="E19" t="inlineStr">
        <is>
          <t>MR24_RT</t>
        </is>
      </c>
      <c r="F19" t="inlineStr">
        <is>
          <t>19</t>
        </is>
      </c>
      <c r="G19" t="inlineStr">
        <is>
          <t>sin asignar</t>
        </is>
      </c>
      <c r="H19" t="inlineStr">
        <is>
          <t>Metamorfico_19</t>
        </is>
      </c>
      <c r="I19" t="inlineStr">
        <is>
          <t>Geologia_2024=Metamorfico_19 (no distingue hornfels/mármol)</t>
        </is>
      </c>
      <c r="J19" t="inlineStr">
        <is>
          <t>Mármol (hipótesis: sigla MDP)</t>
        </is>
      </c>
      <c r="K19" t="inlineStr">
        <is>
          <t>Metamorfico</t>
        </is>
      </c>
      <c r="L19" t="inlineStr">
        <is>
          <t>estadística sobre bloques del modelo (cada bloque 6000 m3); valores modelados, no ensayos</t>
        </is>
      </c>
      <c r="M19" t="n">
        <v>8020</v>
      </c>
      <c r="N19" t="n">
        <v>94.9076</v>
      </c>
      <c r="O19" t="n">
        <v>11.1023</v>
      </c>
      <c r="P19" t="n">
        <v>0.117</v>
      </c>
      <c r="Q19" t="n">
        <v>39.93</v>
      </c>
      <c r="R19" t="n">
        <v>74.919</v>
      </c>
      <c r="S19" t="n">
        <v>81.79600000000001</v>
      </c>
      <c r="T19" t="n">
        <v>89.48</v>
      </c>
      <c r="U19" t="n">
        <v>94.66500000000001</v>
      </c>
      <c r="V19" t="n">
        <v>102.08</v>
      </c>
      <c r="W19" t="n">
        <v>108.08</v>
      </c>
      <c r="X19" t="n">
        <v>112.5805</v>
      </c>
      <c r="Y19" t="n">
        <v>153.71</v>
      </c>
      <c r="Z19" t="inlineStr"/>
    </row>
    <row r="20">
      <c r="A20" t="inlineStr">
        <is>
          <t>MR24</t>
        </is>
      </c>
      <c r="B20" t="inlineStr">
        <is>
          <t>SIMULACIONES_MR2024_V3</t>
        </is>
      </c>
      <c r="C20" t="inlineStr">
        <is>
          <t>MR24_UCS</t>
        </is>
      </c>
      <c r="D20" t="inlineStr">
        <is>
          <t>MPa</t>
        </is>
      </c>
      <c r="E20" t="inlineStr">
        <is>
          <t>MR24_RT</t>
        </is>
      </c>
      <c r="F20" t="inlineStr">
        <is>
          <t>53</t>
        </is>
      </c>
      <c r="G20" t="inlineStr">
        <is>
          <t>sin asignar</t>
        </is>
      </c>
      <c r="H20" t="inlineStr">
        <is>
          <t>RT53</t>
        </is>
      </c>
      <c r="I20" t="inlineStr">
        <is>
          <t>código sin etiqueta en los datos</t>
        </is>
      </c>
      <c r="J20" t="inlineStr">
        <is>
          <t>sin hipótesis</t>
        </is>
      </c>
      <c r="K20" t="inlineStr">
        <is>
          <t>sin leyenda</t>
        </is>
      </c>
      <c r="L20" t="inlineStr">
        <is>
          <t>estadística sobre bloques del modelo (cada bloque 6000 m3); valores modelados, no ensayos</t>
        </is>
      </c>
      <c r="M20" t="n">
        <v>403</v>
      </c>
      <c r="N20" t="n">
        <v>57.3654</v>
      </c>
      <c r="O20" t="n">
        <v>7.0621</v>
      </c>
      <c r="P20" t="n">
        <v>0.1231</v>
      </c>
      <c r="Q20" t="n">
        <v>40.11</v>
      </c>
      <c r="R20" t="n">
        <v>46.59</v>
      </c>
      <c r="S20" t="n">
        <v>49.726</v>
      </c>
      <c r="T20" t="n">
        <v>53.27</v>
      </c>
      <c r="U20" t="n">
        <v>56.68</v>
      </c>
      <c r="V20" t="n">
        <v>60.855</v>
      </c>
      <c r="W20" t="n">
        <v>65.902</v>
      </c>
      <c r="X20" t="n">
        <v>69.79900000000001</v>
      </c>
      <c r="Y20" t="n">
        <v>96.93000000000001</v>
      </c>
      <c r="Z20" t="inlineStr"/>
    </row>
    <row r="21">
      <c r="A21" t="inlineStr">
        <is>
          <t>MR24</t>
        </is>
      </c>
      <c r="B21" t="inlineStr">
        <is>
          <t>SIMULACIONES_MR2024_V3</t>
        </is>
      </c>
      <c r="C21" t="inlineStr">
        <is>
          <t>MR24_UCS</t>
        </is>
      </c>
      <c r="D21" t="inlineStr">
        <is>
          <t>MPa</t>
        </is>
      </c>
      <c r="E21" t="inlineStr">
        <is>
          <t>MR24_RT</t>
        </is>
      </c>
      <c r="F21" t="inlineStr">
        <is>
          <t>TODOS</t>
        </is>
      </c>
      <c r="G21" t="inlineStr"/>
      <c r="H21" t="inlineStr"/>
      <c r="I21" t="inlineStr"/>
      <c r="J21" t="inlineStr"/>
      <c r="K21" t="inlineStr"/>
      <c r="L21" t="inlineStr">
        <is>
          <t>estadística sobre bloques del modelo (cada bloque 6000 m3); valores modelados, no ensayos</t>
        </is>
      </c>
      <c r="M21" t="n">
        <v>310102</v>
      </c>
      <c r="N21" t="n">
        <v>79.4161</v>
      </c>
      <c r="O21" t="n">
        <v>20.1939</v>
      </c>
      <c r="P21" t="n">
        <v>0.2543</v>
      </c>
      <c r="Q21" t="n">
        <v>16.81</v>
      </c>
      <c r="R21" t="n">
        <v>51.42</v>
      </c>
      <c r="S21" t="n">
        <v>56.8</v>
      </c>
      <c r="T21" t="n">
        <v>68.31999999999999</v>
      </c>
      <c r="U21" t="n">
        <v>74.14</v>
      </c>
      <c r="V21" t="n">
        <v>88.73999999999999</v>
      </c>
      <c r="W21" t="n">
        <v>106.42</v>
      </c>
      <c r="X21" t="n">
        <v>115.6895</v>
      </c>
      <c r="Y21" t="n">
        <v>225.95</v>
      </c>
      <c r="Z21" t="inlineStr"/>
    </row>
    <row r="22">
      <c r="A22" t="inlineStr">
        <is>
          <t>MR24</t>
        </is>
      </c>
      <c r="B22" t="inlineStr">
        <is>
          <t>SIMULACIONES_MR2024_V3</t>
        </is>
      </c>
      <c r="C22" t="inlineStr">
        <is>
          <t>MR24_ABRA</t>
        </is>
      </c>
      <c r="D22" t="inlineStr">
        <is>
          <t>sin unidad declarada</t>
        </is>
      </c>
      <c r="E22" t="inlineStr">
        <is>
          <t>MR24_RT</t>
        </is>
      </c>
      <c r="F22" t="inlineStr">
        <is>
          <t>1</t>
        </is>
      </c>
      <c r="G22" t="inlineStr">
        <is>
          <t>Intrusivo</t>
        </is>
      </c>
      <c r="H22" t="inlineStr">
        <is>
          <t>RT1</t>
        </is>
      </c>
      <c r="I22" t="inlineStr">
        <is>
          <t>Geologia_2024=Intrusivo_1</t>
        </is>
      </c>
      <c r="J22" t="inlineStr">
        <is>
          <t>Intrusivo</t>
        </is>
      </c>
      <c r="K22" t="inlineStr">
        <is>
          <t>Intrusivo</t>
        </is>
      </c>
      <c r="L22" t="inlineStr">
        <is>
          <t>estadística sobre bloques del modelo (cada bloque 6000 m3); valores modelados, no ensayos</t>
        </is>
      </c>
      <c r="M22" t="n">
        <v>46813</v>
      </c>
      <c r="N22" t="n">
        <v>27.9132</v>
      </c>
      <c r="O22" t="n">
        <v>3.2602</v>
      </c>
      <c r="P22" t="n">
        <v>0.1168</v>
      </c>
      <c r="Q22" t="n">
        <v>23.52</v>
      </c>
      <c r="R22" t="n">
        <v>26.54</v>
      </c>
      <c r="S22" t="n">
        <v>26.54</v>
      </c>
      <c r="T22" t="n">
        <v>26.54</v>
      </c>
      <c r="U22" t="n">
        <v>26.54</v>
      </c>
      <c r="V22" t="n">
        <v>27.27</v>
      </c>
      <c r="W22" t="n">
        <v>30.736</v>
      </c>
      <c r="X22" t="n">
        <v>38.31</v>
      </c>
      <c r="Y22" t="n">
        <v>38.31</v>
      </c>
      <c r="Z22" t="inlineStr"/>
    </row>
    <row r="23">
      <c r="A23" t="inlineStr">
        <is>
          <t>MR24</t>
        </is>
      </c>
      <c r="B23" t="inlineStr">
        <is>
          <t>SIMULACIONES_MR2024_V3</t>
        </is>
      </c>
      <c r="C23" t="inlineStr">
        <is>
          <t>MR24_ABRA</t>
        </is>
      </c>
      <c r="D23" t="inlineStr">
        <is>
          <t>sin unidad declarada</t>
        </is>
      </c>
      <c r="E23" t="inlineStr">
        <is>
          <t>MR24_RT</t>
        </is>
      </c>
      <c r="F23" t="inlineStr">
        <is>
          <t>2</t>
        </is>
      </c>
      <c r="G23" t="inlineStr">
        <is>
          <t>Intrusivo</t>
        </is>
      </c>
      <c r="H23" t="inlineStr">
        <is>
          <t>RT2</t>
        </is>
      </c>
      <c r="I23" t="inlineStr">
        <is>
          <t>Geologia_2024=Intrusivo_2</t>
        </is>
      </c>
      <c r="J23" t="inlineStr">
        <is>
          <t>Intrusivo</t>
        </is>
      </c>
      <c r="K23" t="inlineStr">
        <is>
          <t>Intrusivo</t>
        </is>
      </c>
      <c r="L23" t="inlineStr">
        <is>
          <t>estadística sobre bloques del modelo (cada bloque 6000 m3); valores modelados, no ensayos</t>
        </is>
      </c>
      <c r="M23" t="n">
        <v>3137</v>
      </c>
      <c r="N23" t="n">
        <v>29.3313</v>
      </c>
      <c r="O23" t="n">
        <v>3.8479</v>
      </c>
      <c r="P23" t="n">
        <v>0.1312</v>
      </c>
      <c r="Q23" t="n">
        <v>17.01</v>
      </c>
      <c r="R23" t="n">
        <v>23.63</v>
      </c>
      <c r="S23" t="n">
        <v>24.866</v>
      </c>
      <c r="T23" t="n">
        <v>26.8</v>
      </c>
      <c r="U23" t="n">
        <v>28.93</v>
      </c>
      <c r="V23" t="n">
        <v>31.26</v>
      </c>
      <c r="W23" t="n">
        <v>34.77</v>
      </c>
      <c r="X23" t="n">
        <v>36.892</v>
      </c>
      <c r="Y23" t="n">
        <v>40.81</v>
      </c>
      <c r="Z23" t="inlineStr"/>
    </row>
    <row r="24">
      <c r="A24" t="inlineStr">
        <is>
          <t>MR24</t>
        </is>
      </c>
      <c r="B24" t="inlineStr">
        <is>
          <t>SIMULACIONES_MR2024_V3</t>
        </is>
      </c>
      <c r="C24" t="inlineStr">
        <is>
          <t>MR24_ABRA</t>
        </is>
      </c>
      <c r="D24" t="inlineStr">
        <is>
          <t>sin unidad declarada</t>
        </is>
      </c>
      <c r="E24" t="inlineStr">
        <is>
          <t>MR24_RT</t>
        </is>
      </c>
      <c r="F24" t="inlineStr">
        <is>
          <t>10</t>
        </is>
      </c>
      <c r="G24" t="inlineStr">
        <is>
          <t>sin asignar</t>
        </is>
      </c>
      <c r="H24" t="inlineStr">
        <is>
          <t>Sedimentario_10</t>
        </is>
      </c>
      <c r="I24" t="inlineStr">
        <is>
          <t>Geologia_2024=Sedimentario_10 (no especifica caliza)</t>
        </is>
      </c>
      <c r="J24" t="inlineStr">
        <is>
          <t>Caliza (hipótesis: siglas C*)</t>
        </is>
      </c>
      <c r="K24" t="inlineStr">
        <is>
          <t>Sedimentario</t>
        </is>
      </c>
      <c r="L24" t="inlineStr">
        <is>
          <t>estadística sobre bloques del modelo (cada bloque 6000 m3); valores modelados, no ensayos</t>
        </is>
      </c>
      <c r="M24" t="n">
        <v>24434</v>
      </c>
      <c r="N24" t="n">
        <v>27.2018</v>
      </c>
      <c r="O24" t="n">
        <v>1.6781</v>
      </c>
      <c r="P24" t="n">
        <v>0.0617</v>
      </c>
      <c r="Q24" t="n">
        <v>20.92</v>
      </c>
      <c r="R24" t="n">
        <v>25.45</v>
      </c>
      <c r="S24" t="n">
        <v>25.68</v>
      </c>
      <c r="T24" t="n">
        <v>26.13</v>
      </c>
      <c r="U24" t="n">
        <v>26.41</v>
      </c>
      <c r="V24" t="n">
        <v>28.49</v>
      </c>
      <c r="W24" t="n">
        <v>28.49</v>
      </c>
      <c r="X24" t="n">
        <v>29.23</v>
      </c>
      <c r="Y24" t="n">
        <v>48.82</v>
      </c>
      <c r="Z24" t="inlineStr"/>
    </row>
    <row r="25">
      <c r="A25" t="inlineStr">
        <is>
          <t>MR24</t>
        </is>
      </c>
      <c r="B25" t="inlineStr">
        <is>
          <t>SIMULACIONES_MR2024_V3</t>
        </is>
      </c>
      <c r="C25" t="inlineStr">
        <is>
          <t>MR24_ABRA</t>
        </is>
      </c>
      <c r="D25" t="inlineStr">
        <is>
          <t>sin unidad declarada</t>
        </is>
      </c>
      <c r="E25" t="inlineStr">
        <is>
          <t>MR24_RT</t>
        </is>
      </c>
      <c r="F25" t="inlineStr">
        <is>
          <t>11</t>
        </is>
      </c>
      <c r="G25" t="inlineStr">
        <is>
          <t>sin asignar</t>
        </is>
      </c>
      <c r="H25" t="inlineStr">
        <is>
          <t>Sedimentario_11</t>
        </is>
      </c>
      <c r="I25" t="inlineStr">
        <is>
          <t>Geologia_2024=Sedimentario_11 (no especifica caliza)</t>
        </is>
      </c>
      <c r="J25" t="inlineStr">
        <is>
          <t>Caliza (hipótesis: Sedimentario; RT11~NUMEQ10, siglas C*)</t>
        </is>
      </c>
      <c r="K25" t="inlineStr">
        <is>
          <t>Sedimentario</t>
        </is>
      </c>
      <c r="L25" t="inlineStr">
        <is>
          <t>estadística sobre bloques del modelo (cada bloque 6000 m3); valores modelados, no ensayos</t>
        </is>
      </c>
      <c r="M25" t="n">
        <v>58104</v>
      </c>
      <c r="N25" t="n">
        <v>25.436</v>
      </c>
      <c r="O25" t="n">
        <v>1.5749</v>
      </c>
      <c r="P25" t="n">
        <v>0.0619</v>
      </c>
      <c r="Q25" t="n">
        <v>15.08</v>
      </c>
      <c r="R25" t="n">
        <v>23.58</v>
      </c>
      <c r="S25" t="n">
        <v>24.69</v>
      </c>
      <c r="T25" t="n">
        <v>24.69</v>
      </c>
      <c r="U25" t="n">
        <v>25.09</v>
      </c>
      <c r="V25" t="n">
        <v>26.22</v>
      </c>
      <c r="W25" t="n">
        <v>26.91</v>
      </c>
      <c r="X25" t="n">
        <v>27.9</v>
      </c>
      <c r="Y25" t="n">
        <v>36.78</v>
      </c>
      <c r="Z25" t="inlineStr"/>
    </row>
    <row r="26">
      <c r="A26" t="inlineStr">
        <is>
          <t>MR24</t>
        </is>
      </c>
      <c r="B26" t="inlineStr">
        <is>
          <t>SIMULACIONES_MR2024_V3</t>
        </is>
      </c>
      <c r="C26" t="inlineStr">
        <is>
          <t>MR24_ABRA</t>
        </is>
      </c>
      <c r="D26" t="inlineStr">
        <is>
          <t>sin unidad declarada</t>
        </is>
      </c>
      <c r="E26" t="inlineStr">
        <is>
          <t>MR24_RT</t>
        </is>
      </c>
      <c r="F26" t="inlineStr">
        <is>
          <t>13</t>
        </is>
      </c>
      <c r="G26" t="inlineStr">
        <is>
          <t>sin asignar</t>
        </is>
      </c>
      <c r="H26" t="inlineStr">
        <is>
          <t>Metamorfico_13</t>
        </is>
      </c>
      <c r="I26" t="inlineStr">
        <is>
          <t>Geologia_2024=Metamorfico_13 (no distingue hornfels/mármol)</t>
        </is>
      </c>
      <c r="J26" t="inlineStr">
        <is>
          <t>Hornfels (hipótesis: siglas HG, HGS, HC)</t>
        </is>
      </c>
      <c r="K26" t="inlineStr">
        <is>
          <t>Metamorfico</t>
        </is>
      </c>
      <c r="L26" t="inlineStr">
        <is>
          <t>estadística sobre bloques del modelo (cada bloque 6000 m3); valores modelados, no ensayos</t>
        </is>
      </c>
      <c r="M26" t="n">
        <v>48510</v>
      </c>
      <c r="N26" t="n">
        <v>23.4593</v>
      </c>
      <c r="O26" t="n">
        <v>2.5752</v>
      </c>
      <c r="P26" t="n">
        <v>0.1098</v>
      </c>
      <c r="Q26" t="n">
        <v>12.47</v>
      </c>
      <c r="R26" t="n">
        <v>21.43</v>
      </c>
      <c r="S26" t="n">
        <v>21.43</v>
      </c>
      <c r="T26" t="n">
        <v>21.43</v>
      </c>
      <c r="U26" t="n">
        <v>23.07</v>
      </c>
      <c r="V26" t="n">
        <v>24.5</v>
      </c>
      <c r="W26" t="n">
        <v>26.611</v>
      </c>
      <c r="X26" t="n">
        <v>28.5455</v>
      </c>
      <c r="Y26" t="n">
        <v>43.09</v>
      </c>
      <c r="Z26" t="inlineStr"/>
    </row>
    <row r="27">
      <c r="A27" t="inlineStr">
        <is>
          <t>MR24</t>
        </is>
      </c>
      <c r="B27" t="inlineStr">
        <is>
          <t>SIMULACIONES_MR2024_V3</t>
        </is>
      </c>
      <c r="C27" t="inlineStr">
        <is>
          <t>MR24_ABRA</t>
        </is>
      </c>
      <c r="D27" t="inlineStr">
        <is>
          <t>sin unidad declarada</t>
        </is>
      </c>
      <c r="E27" t="inlineStr">
        <is>
          <t>MR24_RT</t>
        </is>
      </c>
      <c r="F27" t="inlineStr">
        <is>
          <t>14</t>
        </is>
      </c>
      <c r="G27" t="inlineStr">
        <is>
          <t>sin asignar</t>
        </is>
      </c>
      <c r="H27" t="inlineStr">
        <is>
          <t>Metamorfico_14</t>
        </is>
      </c>
      <c r="I27" t="inlineStr">
        <is>
          <t>Geologia_2024=Metamorfico_14 (no distingue hornfels/mármol)</t>
        </is>
      </c>
      <c r="J27" t="inlineStr">
        <is>
          <t>Hornfels (hipótesis: siglas HBV, HGV, HCB, HDP; 'Diop. Hornfels'~HGV)</t>
        </is>
      </c>
      <c r="K27" t="inlineStr">
        <is>
          <t>Metamorfico</t>
        </is>
      </c>
      <c r="L27" t="inlineStr">
        <is>
          <t>estadística sobre bloques del modelo (cada bloque 6000 m3); valores modelados, no ensayos</t>
        </is>
      </c>
      <c r="M27" t="n">
        <v>9983</v>
      </c>
      <c r="N27" t="n">
        <v>22.6984</v>
      </c>
      <c r="O27" t="n">
        <v>1.8159</v>
      </c>
      <c r="P27" t="n">
        <v>0.08</v>
      </c>
      <c r="Q27" t="n">
        <v>15.25</v>
      </c>
      <c r="R27" t="n">
        <v>20.33</v>
      </c>
      <c r="S27" t="n">
        <v>20.33</v>
      </c>
      <c r="T27" t="n">
        <v>21.09</v>
      </c>
      <c r="U27" t="n">
        <v>22.86</v>
      </c>
      <c r="V27" t="n">
        <v>23.58</v>
      </c>
      <c r="W27" t="n">
        <v>24.878</v>
      </c>
      <c r="X27" t="n">
        <v>25.859</v>
      </c>
      <c r="Y27" t="n">
        <v>32.38</v>
      </c>
      <c r="Z27" t="inlineStr"/>
    </row>
    <row r="28">
      <c r="A28" t="inlineStr">
        <is>
          <t>MR24</t>
        </is>
      </c>
      <c r="B28" t="inlineStr">
        <is>
          <t>SIMULACIONES_MR2024_V3</t>
        </is>
      </c>
      <c r="C28" t="inlineStr">
        <is>
          <t>MR24_ABRA</t>
        </is>
      </c>
      <c r="D28" t="inlineStr">
        <is>
          <t>sin unidad declarada</t>
        </is>
      </c>
      <c r="E28" t="inlineStr">
        <is>
          <t>MR24_RT</t>
        </is>
      </c>
      <c r="F28" t="inlineStr">
        <is>
          <t>16</t>
        </is>
      </c>
      <c r="G28" t="inlineStr">
        <is>
          <t>sin asignar</t>
        </is>
      </c>
      <c r="H28" t="inlineStr">
        <is>
          <t>Metamorfico_16</t>
        </is>
      </c>
      <c r="I28" t="inlineStr">
        <is>
          <t>Geologia_2024=Metamorfico_16 (no distingue hornfels/mármol)</t>
        </is>
      </c>
      <c r="J28" t="inlineStr">
        <is>
          <t>Mármol (hipótesis: siglas MC, MG, MGS, MPA, MCGB; 'Marble'~MCGB)</t>
        </is>
      </c>
      <c r="K28" t="inlineStr">
        <is>
          <t>Metamorfico</t>
        </is>
      </c>
      <c r="L28" t="inlineStr">
        <is>
          <t>estadística sobre bloques del modelo (cada bloque 6000 m3); valores modelados, no ensayos</t>
        </is>
      </c>
      <c r="M28" t="n">
        <v>110698</v>
      </c>
      <c r="N28" t="n">
        <v>39.0657</v>
      </c>
      <c r="O28" t="n">
        <v>7.3851</v>
      </c>
      <c r="P28" t="n">
        <v>0.189</v>
      </c>
      <c r="Q28" t="n">
        <v>15.54</v>
      </c>
      <c r="R28" t="n">
        <v>27.76</v>
      </c>
      <c r="S28" t="n">
        <v>30.25</v>
      </c>
      <c r="T28" t="n">
        <v>33.7225</v>
      </c>
      <c r="U28" t="n">
        <v>40.81</v>
      </c>
      <c r="V28" t="n">
        <v>40.81</v>
      </c>
      <c r="W28" t="n">
        <v>47.24</v>
      </c>
      <c r="X28" t="n">
        <v>53.93</v>
      </c>
      <c r="Y28" t="n">
        <v>66.84999999999999</v>
      </c>
      <c r="Z28" t="inlineStr"/>
    </row>
    <row r="29">
      <c r="A29" t="inlineStr">
        <is>
          <t>MR24</t>
        </is>
      </c>
      <c r="B29" t="inlineStr">
        <is>
          <t>SIMULACIONES_MR2024_V3</t>
        </is>
      </c>
      <c r="C29" t="inlineStr">
        <is>
          <t>MR24_ABRA</t>
        </is>
      </c>
      <c r="D29" t="inlineStr">
        <is>
          <t>sin unidad declarada</t>
        </is>
      </c>
      <c r="E29" t="inlineStr">
        <is>
          <t>MR24_RT</t>
        </is>
      </c>
      <c r="F29" t="inlineStr">
        <is>
          <t>19</t>
        </is>
      </c>
      <c r="G29" t="inlineStr">
        <is>
          <t>sin asignar</t>
        </is>
      </c>
      <c r="H29" t="inlineStr">
        <is>
          <t>Metamorfico_19</t>
        </is>
      </c>
      <c r="I29" t="inlineStr">
        <is>
          <t>Geologia_2024=Metamorfico_19 (no distingue hornfels/mármol)</t>
        </is>
      </c>
      <c r="J29" t="inlineStr">
        <is>
          <t>Mármol (hipótesis: sigla MDP)</t>
        </is>
      </c>
      <c r="K29" t="inlineStr">
        <is>
          <t>Metamorfico</t>
        </is>
      </c>
      <c r="L29" t="inlineStr">
        <is>
          <t>estadística sobre bloques del modelo (cada bloque 6000 m3); valores modelados, no ensayos</t>
        </is>
      </c>
      <c r="M29" t="n">
        <v>8020</v>
      </c>
      <c r="N29" t="n">
        <v>27.8635</v>
      </c>
      <c r="O29" t="n">
        <v>2.341</v>
      </c>
      <c r="P29" t="n">
        <v>0.08400000000000001</v>
      </c>
      <c r="Q29" t="n">
        <v>20.14</v>
      </c>
      <c r="R29" t="n">
        <v>24.72</v>
      </c>
      <c r="S29" t="n">
        <v>25.43</v>
      </c>
      <c r="T29" t="n">
        <v>26.6175</v>
      </c>
      <c r="U29" t="n">
        <v>27.45</v>
      </c>
      <c r="V29" t="n">
        <v>28.85</v>
      </c>
      <c r="W29" t="n">
        <v>30.23</v>
      </c>
      <c r="X29" t="n">
        <v>32.261</v>
      </c>
      <c r="Y29" t="n">
        <v>54.58</v>
      </c>
      <c r="Z29" t="inlineStr"/>
    </row>
    <row r="30">
      <c r="A30" t="inlineStr">
        <is>
          <t>MR24</t>
        </is>
      </c>
      <c r="B30" t="inlineStr">
        <is>
          <t>SIMULACIONES_MR2024_V3</t>
        </is>
      </c>
      <c r="C30" t="inlineStr">
        <is>
          <t>MR24_ABRA</t>
        </is>
      </c>
      <c r="D30" t="inlineStr">
        <is>
          <t>sin unidad declarada</t>
        </is>
      </c>
      <c r="E30" t="inlineStr">
        <is>
          <t>MR24_RT</t>
        </is>
      </c>
      <c r="F30" t="inlineStr">
        <is>
          <t>53</t>
        </is>
      </c>
      <c r="G30" t="inlineStr">
        <is>
          <t>sin asignar</t>
        </is>
      </c>
      <c r="H30" t="inlineStr">
        <is>
          <t>RT53</t>
        </is>
      </c>
      <c r="I30" t="inlineStr">
        <is>
          <t>código sin etiqueta en los datos</t>
        </is>
      </c>
      <c r="J30" t="inlineStr">
        <is>
          <t>sin hipótesis</t>
        </is>
      </c>
      <c r="K30" t="inlineStr">
        <is>
          <t>sin leyenda</t>
        </is>
      </c>
      <c r="L30" t="inlineStr">
        <is>
          <t>estadística sobre bloques del modelo (cada bloque 6000 m3); valores modelados, no ensayos</t>
        </is>
      </c>
      <c r="M30" t="n">
        <v>403</v>
      </c>
      <c r="N30" t="n">
        <v>29.4362</v>
      </c>
      <c r="O30" t="n">
        <v>2.9971</v>
      </c>
      <c r="P30" t="n">
        <v>0.1018</v>
      </c>
      <c r="Q30" t="n">
        <v>26.12</v>
      </c>
      <c r="R30" t="n">
        <v>27.112</v>
      </c>
      <c r="S30" t="n">
        <v>27.336</v>
      </c>
      <c r="T30" t="n">
        <v>27.76</v>
      </c>
      <c r="U30" t="n">
        <v>28.24</v>
      </c>
      <c r="V30" t="n">
        <v>29.265</v>
      </c>
      <c r="W30" t="n">
        <v>35.874</v>
      </c>
      <c r="X30" t="n">
        <v>37.078</v>
      </c>
      <c r="Y30" t="n">
        <v>38.03</v>
      </c>
      <c r="Z30" t="inlineStr"/>
    </row>
    <row r="31">
      <c r="A31" t="inlineStr">
        <is>
          <t>MR24</t>
        </is>
      </c>
      <c r="B31" t="inlineStr">
        <is>
          <t>SIMULACIONES_MR2024_V3</t>
        </is>
      </c>
      <c r="C31" t="inlineStr">
        <is>
          <t>MR24_ABRA</t>
        </is>
      </c>
      <c r="D31" t="inlineStr">
        <is>
          <t>sin unidad declarada</t>
        </is>
      </c>
      <c r="E31" t="inlineStr">
        <is>
          <t>MR24_RT</t>
        </is>
      </c>
      <c r="F31" t="inlineStr">
        <is>
          <t>TODOS</t>
        </is>
      </c>
      <c r="G31" t="inlineStr"/>
      <c r="H31" t="inlineStr"/>
      <c r="I31" t="inlineStr"/>
      <c r="J31" t="inlineStr"/>
      <c r="K31" t="inlineStr"/>
      <c r="L31" t="inlineStr">
        <is>
          <t>estadística sobre bloques del modelo (cada bloque 6000 m3); valores modelados, no ensayos</t>
        </is>
      </c>
      <c r="M31" t="n">
        <v>310102</v>
      </c>
      <c r="N31" t="n">
        <v>30.5246</v>
      </c>
      <c r="O31" t="n">
        <v>8.1227</v>
      </c>
      <c r="P31" t="n">
        <v>0.2661</v>
      </c>
      <c r="Q31" t="n">
        <v>12.47</v>
      </c>
      <c r="R31" t="n">
        <v>21.43</v>
      </c>
      <c r="S31" t="n">
        <v>22.77</v>
      </c>
      <c r="T31" t="n">
        <v>24.87</v>
      </c>
      <c r="U31" t="n">
        <v>26.58</v>
      </c>
      <c r="V31" t="n">
        <v>38.31</v>
      </c>
      <c r="W31" t="n">
        <v>40.81</v>
      </c>
      <c r="X31" t="n">
        <v>41.69</v>
      </c>
      <c r="Y31" t="n">
        <v>66.84999999999999</v>
      </c>
      <c r="Z31" t="inlineStr"/>
    </row>
    <row r="32">
      <c r="A32" t="inlineStr">
        <is>
          <t>MR24</t>
        </is>
      </c>
      <c r="B32" t="inlineStr">
        <is>
          <t>SIMULACIONES_MR2024_V3</t>
        </is>
      </c>
      <c r="C32" t="inlineStr">
        <is>
          <t>MR24_AXB</t>
        </is>
      </c>
      <c r="D32" t="inlineStr">
        <is>
          <t>sin unidad declarada</t>
        </is>
      </c>
      <c r="E32" t="inlineStr">
        <is>
          <t>MR24_RT</t>
        </is>
      </c>
      <c r="F32" t="inlineStr">
        <is>
          <t>1</t>
        </is>
      </c>
      <c r="G32" t="inlineStr">
        <is>
          <t>Intrusivo</t>
        </is>
      </c>
      <c r="H32" t="inlineStr">
        <is>
          <t>RT1</t>
        </is>
      </c>
      <c r="I32" t="inlineStr">
        <is>
          <t>Geologia_2024=Intrusivo_1</t>
        </is>
      </c>
      <c r="J32" t="inlineStr">
        <is>
          <t>Intrusivo</t>
        </is>
      </c>
      <c r="K32" t="inlineStr">
        <is>
          <t>Intrusivo</t>
        </is>
      </c>
      <c r="L32" t="inlineStr">
        <is>
          <t>estadística sobre bloques del modelo (cada bloque 6000 m3); valores modelados, no ensayos</t>
        </is>
      </c>
      <c r="M32" t="n">
        <v>46813</v>
      </c>
      <c r="N32" t="n">
        <v>85.76519999999999</v>
      </c>
      <c r="O32" t="n">
        <v>11.0257</v>
      </c>
      <c r="P32" t="n">
        <v>0.1286</v>
      </c>
      <c r="Q32" t="n">
        <v>43.62</v>
      </c>
      <c r="R32" t="n">
        <v>60.04</v>
      </c>
      <c r="S32" t="n">
        <v>71.56</v>
      </c>
      <c r="T32" t="n">
        <v>82.7</v>
      </c>
      <c r="U32" t="n">
        <v>87.03</v>
      </c>
      <c r="V32" t="n">
        <v>91.17</v>
      </c>
      <c r="W32" t="n">
        <v>96.33</v>
      </c>
      <c r="X32" t="n">
        <v>100.784</v>
      </c>
      <c r="Y32" t="n">
        <v>151.54</v>
      </c>
      <c r="Z32" t="inlineStr"/>
    </row>
    <row r="33">
      <c r="A33" t="inlineStr">
        <is>
          <t>MR24</t>
        </is>
      </c>
      <c r="B33" t="inlineStr">
        <is>
          <t>SIMULACIONES_MR2024_V3</t>
        </is>
      </c>
      <c r="C33" t="inlineStr">
        <is>
          <t>MR24_AXB</t>
        </is>
      </c>
      <c r="D33" t="inlineStr">
        <is>
          <t>sin unidad declarada</t>
        </is>
      </c>
      <c r="E33" t="inlineStr">
        <is>
          <t>MR24_RT</t>
        </is>
      </c>
      <c r="F33" t="inlineStr">
        <is>
          <t>2</t>
        </is>
      </c>
      <c r="G33" t="inlineStr">
        <is>
          <t>Intrusivo</t>
        </is>
      </c>
      <c r="H33" t="inlineStr">
        <is>
          <t>RT2</t>
        </is>
      </c>
      <c r="I33" t="inlineStr">
        <is>
          <t>Geologia_2024=Intrusivo_2</t>
        </is>
      </c>
      <c r="J33" t="inlineStr">
        <is>
          <t>Intrusivo</t>
        </is>
      </c>
      <c r="K33" t="inlineStr">
        <is>
          <t>Intrusivo</t>
        </is>
      </c>
      <c r="L33" t="inlineStr">
        <is>
          <t>estadística sobre bloques del modelo (cada bloque 6000 m3); valores modelados, no ensayos</t>
        </is>
      </c>
      <c r="M33" t="n">
        <v>3137</v>
      </c>
      <c r="N33" t="n">
        <v>57.1681</v>
      </c>
      <c r="O33" t="n">
        <v>16.1707</v>
      </c>
      <c r="P33" t="n">
        <v>0.2829</v>
      </c>
      <c r="Q33" t="n">
        <v>31.31</v>
      </c>
      <c r="R33" t="n">
        <v>41.098</v>
      </c>
      <c r="S33" t="n">
        <v>43.122</v>
      </c>
      <c r="T33" t="n">
        <v>46.9</v>
      </c>
      <c r="U33" t="n">
        <v>51.02</v>
      </c>
      <c r="V33" t="n">
        <v>64.66</v>
      </c>
      <c r="W33" t="n">
        <v>81.798</v>
      </c>
      <c r="X33" t="n">
        <v>89.52</v>
      </c>
      <c r="Y33" t="n">
        <v>143.2</v>
      </c>
      <c r="Z33" t="inlineStr"/>
    </row>
    <row r="34">
      <c r="A34" t="inlineStr">
        <is>
          <t>MR24</t>
        </is>
      </c>
      <c r="B34" t="inlineStr">
        <is>
          <t>SIMULACIONES_MR2024_V3</t>
        </is>
      </c>
      <c r="C34" t="inlineStr">
        <is>
          <t>MR24_AXB</t>
        </is>
      </c>
      <c r="D34" t="inlineStr">
        <is>
          <t>sin unidad declarada</t>
        </is>
      </c>
      <c r="E34" t="inlineStr">
        <is>
          <t>MR24_RT</t>
        </is>
      </c>
      <c r="F34" t="inlineStr">
        <is>
          <t>10</t>
        </is>
      </c>
      <c r="G34" t="inlineStr">
        <is>
          <t>sin asignar</t>
        </is>
      </c>
      <c r="H34" t="inlineStr">
        <is>
          <t>Sedimentario_10</t>
        </is>
      </c>
      <c r="I34" t="inlineStr">
        <is>
          <t>Geologia_2024=Sedimentario_10 (no especifica caliza)</t>
        </is>
      </c>
      <c r="J34" t="inlineStr">
        <is>
          <t>Caliza (hipótesis: siglas C*)</t>
        </is>
      </c>
      <c r="K34" t="inlineStr">
        <is>
          <t>Sedimentario</t>
        </is>
      </c>
      <c r="L34" t="inlineStr">
        <is>
          <t>estadística sobre bloques del modelo (cada bloque 6000 m3); valores modelados, no ensayos</t>
        </is>
      </c>
      <c r="M34" t="n">
        <v>24434</v>
      </c>
      <c r="N34" t="n">
        <v>42.9484</v>
      </c>
      <c r="O34" t="n">
        <v>3.7967</v>
      </c>
      <c r="P34" t="n">
        <v>0.08840000000000001</v>
      </c>
      <c r="Q34" t="n">
        <v>33.02</v>
      </c>
      <c r="R34" t="n">
        <v>39.7</v>
      </c>
      <c r="S34" t="n">
        <v>40.4</v>
      </c>
      <c r="T34" t="n">
        <v>41.93</v>
      </c>
      <c r="U34" t="n">
        <v>42.69</v>
      </c>
      <c r="V34" t="n">
        <v>42.69</v>
      </c>
      <c r="W34" t="n">
        <v>42.881</v>
      </c>
      <c r="X34" t="n">
        <v>48.99</v>
      </c>
      <c r="Y34" t="n">
        <v>82.41</v>
      </c>
      <c r="Z34" t="inlineStr"/>
    </row>
    <row r="35">
      <c r="A35" t="inlineStr">
        <is>
          <t>MR24</t>
        </is>
      </c>
      <c r="B35" t="inlineStr">
        <is>
          <t>SIMULACIONES_MR2024_V3</t>
        </is>
      </c>
      <c r="C35" t="inlineStr">
        <is>
          <t>MR24_AXB</t>
        </is>
      </c>
      <c r="D35" t="inlineStr">
        <is>
          <t>sin unidad declarada</t>
        </is>
      </c>
      <c r="E35" t="inlineStr">
        <is>
          <t>MR24_RT</t>
        </is>
      </c>
      <c r="F35" t="inlineStr">
        <is>
          <t>11</t>
        </is>
      </c>
      <c r="G35" t="inlineStr">
        <is>
          <t>sin asignar</t>
        </is>
      </c>
      <c r="H35" t="inlineStr">
        <is>
          <t>Sedimentario_11</t>
        </is>
      </c>
      <c r="I35" t="inlineStr">
        <is>
          <t>Geologia_2024=Sedimentario_11 (no especifica caliza)</t>
        </is>
      </c>
      <c r="J35" t="inlineStr">
        <is>
          <t>Caliza (hipótesis: Sedimentario; RT11~NUMEQ10, siglas C*)</t>
        </is>
      </c>
      <c r="K35" t="inlineStr">
        <is>
          <t>Sedimentario</t>
        </is>
      </c>
      <c r="L35" t="inlineStr">
        <is>
          <t>estadística sobre bloques del modelo (cada bloque 6000 m3); valores modelados, no ensayos</t>
        </is>
      </c>
      <c r="M35" t="n">
        <v>58104</v>
      </c>
      <c r="N35" t="n">
        <v>37.0814</v>
      </c>
      <c r="O35" t="n">
        <v>1.4666</v>
      </c>
      <c r="P35" t="n">
        <v>0.0396</v>
      </c>
      <c r="Q35" t="n">
        <v>31.19</v>
      </c>
      <c r="R35" t="n">
        <v>36.62</v>
      </c>
      <c r="S35" t="n">
        <v>36.62</v>
      </c>
      <c r="T35" t="n">
        <v>36.62</v>
      </c>
      <c r="U35" t="n">
        <v>36.62</v>
      </c>
      <c r="V35" t="n">
        <v>36.62</v>
      </c>
      <c r="W35" t="n">
        <v>38.7</v>
      </c>
      <c r="X35" t="n">
        <v>39.47</v>
      </c>
      <c r="Y35" t="n">
        <v>59.86</v>
      </c>
      <c r="Z35" t="inlineStr"/>
    </row>
    <row r="36">
      <c r="A36" t="inlineStr">
        <is>
          <t>MR24</t>
        </is>
      </c>
      <c r="B36" t="inlineStr">
        <is>
          <t>SIMULACIONES_MR2024_V3</t>
        </is>
      </c>
      <c r="C36" t="inlineStr">
        <is>
          <t>MR24_AXB</t>
        </is>
      </c>
      <c r="D36" t="inlineStr">
        <is>
          <t>sin unidad declarada</t>
        </is>
      </c>
      <c r="E36" t="inlineStr">
        <is>
          <t>MR24_RT</t>
        </is>
      </c>
      <c r="F36" t="inlineStr">
        <is>
          <t>13</t>
        </is>
      </c>
      <c r="G36" t="inlineStr">
        <is>
          <t>sin asignar</t>
        </is>
      </c>
      <c r="H36" t="inlineStr">
        <is>
          <t>Metamorfico_13</t>
        </is>
      </c>
      <c r="I36" t="inlineStr">
        <is>
          <t>Geologia_2024=Metamorfico_13 (no distingue hornfels/mármol)</t>
        </is>
      </c>
      <c r="J36" t="inlineStr">
        <is>
          <t>Hornfels (hipótesis: siglas HG, HGS, HC)</t>
        </is>
      </c>
      <c r="K36" t="inlineStr">
        <is>
          <t>Metamorfico</t>
        </is>
      </c>
      <c r="L36" t="inlineStr">
        <is>
          <t>estadística sobre bloques del modelo (cada bloque 6000 m3); valores modelados, no ensayos</t>
        </is>
      </c>
      <c r="M36" t="n">
        <v>48510</v>
      </c>
      <c r="N36" t="n">
        <v>46.1986</v>
      </c>
      <c r="O36" t="n">
        <v>7.9719</v>
      </c>
      <c r="P36" t="n">
        <v>0.1726</v>
      </c>
      <c r="Q36" t="n">
        <v>30.46</v>
      </c>
      <c r="R36" t="n">
        <v>35.2745</v>
      </c>
      <c r="S36" t="n">
        <v>42.18</v>
      </c>
      <c r="T36" t="n">
        <v>42.98</v>
      </c>
      <c r="U36" t="n">
        <v>42.98</v>
      </c>
      <c r="V36" t="n">
        <v>47.75</v>
      </c>
      <c r="W36" t="n">
        <v>58.89</v>
      </c>
      <c r="X36" t="n">
        <v>63.69</v>
      </c>
      <c r="Y36" t="n">
        <v>132.58</v>
      </c>
      <c r="Z36" t="inlineStr"/>
    </row>
    <row r="37">
      <c r="A37" t="inlineStr">
        <is>
          <t>MR24</t>
        </is>
      </c>
      <c r="B37" t="inlineStr">
        <is>
          <t>SIMULACIONES_MR2024_V3</t>
        </is>
      </c>
      <c r="C37" t="inlineStr">
        <is>
          <t>MR24_AXB</t>
        </is>
      </c>
      <c r="D37" t="inlineStr">
        <is>
          <t>sin unidad declarada</t>
        </is>
      </c>
      <c r="E37" t="inlineStr">
        <is>
          <t>MR24_RT</t>
        </is>
      </c>
      <c r="F37" t="inlineStr">
        <is>
          <t>14</t>
        </is>
      </c>
      <c r="G37" t="inlineStr">
        <is>
          <t>sin asignar</t>
        </is>
      </c>
      <c r="H37" t="inlineStr">
        <is>
          <t>Metamorfico_14</t>
        </is>
      </c>
      <c r="I37" t="inlineStr">
        <is>
          <t>Geologia_2024=Metamorfico_14 (no distingue hornfels/mármol)</t>
        </is>
      </c>
      <c r="J37" t="inlineStr">
        <is>
          <t>Hornfels (hipótesis: siglas HBV, HGV, HCB, HDP; 'Diop. Hornfels'~HGV)</t>
        </is>
      </c>
      <c r="K37" t="inlineStr">
        <is>
          <t>Metamorfico</t>
        </is>
      </c>
      <c r="L37" t="inlineStr">
        <is>
          <t>estadística sobre bloques del modelo (cada bloque 6000 m3); valores modelados, no ensayos</t>
        </is>
      </c>
      <c r="M37" t="n">
        <v>9983</v>
      </c>
      <c r="N37" t="n">
        <v>48.418</v>
      </c>
      <c r="O37" t="n">
        <v>9.2148</v>
      </c>
      <c r="P37" t="n">
        <v>0.1903</v>
      </c>
      <c r="Q37" t="n">
        <v>30.4</v>
      </c>
      <c r="R37" t="n">
        <v>35.61</v>
      </c>
      <c r="S37" t="n">
        <v>43.722</v>
      </c>
      <c r="T37" t="n">
        <v>44.08</v>
      </c>
      <c r="U37" t="n">
        <v>45.29</v>
      </c>
      <c r="V37" t="n">
        <v>50.84</v>
      </c>
      <c r="W37" t="n">
        <v>58.436</v>
      </c>
      <c r="X37" t="n">
        <v>69.068</v>
      </c>
      <c r="Y37" t="n">
        <v>124.13</v>
      </c>
      <c r="Z37" t="inlineStr"/>
    </row>
    <row r="38">
      <c r="A38" t="inlineStr">
        <is>
          <t>MR24</t>
        </is>
      </c>
      <c r="B38" t="inlineStr">
        <is>
          <t>SIMULACIONES_MR2024_V3</t>
        </is>
      </c>
      <c r="C38" t="inlineStr">
        <is>
          <t>MR24_AXB</t>
        </is>
      </c>
      <c r="D38" t="inlineStr">
        <is>
          <t>sin unidad declarada</t>
        </is>
      </c>
      <c r="E38" t="inlineStr">
        <is>
          <t>MR24_RT</t>
        </is>
      </c>
      <c r="F38" t="inlineStr">
        <is>
          <t>16</t>
        </is>
      </c>
      <c r="G38" t="inlineStr">
        <is>
          <t>sin asignar</t>
        </is>
      </c>
      <c r="H38" t="inlineStr">
        <is>
          <t>Metamorfico_16</t>
        </is>
      </c>
      <c r="I38" t="inlineStr">
        <is>
          <t>Geologia_2024=Metamorfico_16 (no distingue hornfels/mármol)</t>
        </is>
      </c>
      <c r="J38" t="inlineStr">
        <is>
          <t>Mármol (hipótesis: siglas MC, MG, MGS, MPA, MCGB; 'Marble'~MCGB)</t>
        </is>
      </c>
      <c r="K38" t="inlineStr">
        <is>
          <t>Metamorfico</t>
        </is>
      </c>
      <c r="L38" t="inlineStr">
        <is>
          <t>estadística sobre bloques del modelo (cada bloque 6000 m3); valores modelados, no ensayos</t>
        </is>
      </c>
      <c r="M38" t="n">
        <v>110698</v>
      </c>
      <c r="N38" t="n">
        <v>93.4362</v>
      </c>
      <c r="O38" t="n">
        <v>14.3613</v>
      </c>
      <c r="P38" t="n">
        <v>0.1537</v>
      </c>
      <c r="Q38" t="n">
        <v>40.42</v>
      </c>
      <c r="R38" t="n">
        <v>76.28</v>
      </c>
      <c r="S38" t="n">
        <v>83.95699999999999</v>
      </c>
      <c r="T38" t="n">
        <v>93.81999999999999</v>
      </c>
      <c r="U38" t="n">
        <v>93.81999999999999</v>
      </c>
      <c r="V38" t="n">
        <v>93.81999999999999</v>
      </c>
      <c r="W38" t="n">
        <v>93.81999999999999</v>
      </c>
      <c r="X38" t="n">
        <v>96.8015</v>
      </c>
      <c r="Y38" t="n">
        <v>304.96</v>
      </c>
      <c r="Z38" t="inlineStr"/>
    </row>
    <row r="39">
      <c r="A39" t="inlineStr">
        <is>
          <t>MR24</t>
        </is>
      </c>
      <c r="B39" t="inlineStr">
        <is>
          <t>SIMULACIONES_MR2024_V3</t>
        </is>
      </c>
      <c r="C39" t="inlineStr">
        <is>
          <t>MR24_AXB</t>
        </is>
      </c>
      <c r="D39" t="inlineStr">
        <is>
          <t>sin unidad declarada</t>
        </is>
      </c>
      <c r="E39" t="inlineStr">
        <is>
          <t>MR24_RT</t>
        </is>
      </c>
      <c r="F39" t="inlineStr">
        <is>
          <t>19</t>
        </is>
      </c>
      <c r="G39" t="inlineStr">
        <is>
          <t>sin asignar</t>
        </is>
      </c>
      <c r="H39" t="inlineStr">
        <is>
          <t>Metamorfico_19</t>
        </is>
      </c>
      <c r="I39" t="inlineStr">
        <is>
          <t>Geologia_2024=Metamorfico_19 (no distingue hornfels/mármol)</t>
        </is>
      </c>
      <c r="J39" t="inlineStr">
        <is>
          <t>Mármol (hipótesis: sigla MDP)</t>
        </is>
      </c>
      <c r="K39" t="inlineStr">
        <is>
          <t>Metamorfico</t>
        </is>
      </c>
      <c r="L39" t="inlineStr">
        <is>
          <t>estadística sobre bloques del modelo (cada bloque 6000 m3); valores modelados, no ensayos</t>
        </is>
      </c>
      <c r="M39" t="n">
        <v>8020</v>
      </c>
      <c r="N39" t="n">
        <v>67.9829</v>
      </c>
      <c r="O39" t="n">
        <v>8.706899999999999</v>
      </c>
      <c r="P39" t="n">
        <v>0.1281</v>
      </c>
      <c r="Q39" t="n">
        <v>44.08</v>
      </c>
      <c r="R39" t="n">
        <v>56.5495</v>
      </c>
      <c r="S39" t="n">
        <v>58.629</v>
      </c>
      <c r="T39" t="n">
        <v>63.24</v>
      </c>
      <c r="U39" t="n">
        <v>66.08</v>
      </c>
      <c r="V39" t="n">
        <v>71.4825</v>
      </c>
      <c r="W39" t="n">
        <v>78.83</v>
      </c>
      <c r="X39" t="n">
        <v>84.22</v>
      </c>
      <c r="Y39" t="n">
        <v>179.89</v>
      </c>
      <c r="Z39" t="inlineStr"/>
    </row>
    <row r="40">
      <c r="A40" t="inlineStr">
        <is>
          <t>MR24</t>
        </is>
      </c>
      <c r="B40" t="inlineStr">
        <is>
          <t>SIMULACIONES_MR2024_V3</t>
        </is>
      </c>
      <c r="C40" t="inlineStr">
        <is>
          <t>MR24_AXB</t>
        </is>
      </c>
      <c r="D40" t="inlineStr">
        <is>
          <t>sin unidad declarada</t>
        </is>
      </c>
      <c r="E40" t="inlineStr">
        <is>
          <t>MR24_RT</t>
        </is>
      </c>
      <c r="F40" t="inlineStr">
        <is>
          <t>53</t>
        </is>
      </c>
      <c r="G40" t="inlineStr">
        <is>
          <t>sin asignar</t>
        </is>
      </c>
      <c r="H40" t="inlineStr">
        <is>
          <t>RT53</t>
        </is>
      </c>
      <c r="I40" t="inlineStr">
        <is>
          <t>código sin etiqueta en los datos</t>
        </is>
      </c>
      <c r="J40" t="inlineStr">
        <is>
          <t>sin hipótesis</t>
        </is>
      </c>
      <c r="K40" t="inlineStr">
        <is>
          <t>sin leyenda</t>
        </is>
      </c>
      <c r="L40" t="inlineStr">
        <is>
          <t>estadística sobre bloques del modelo (cada bloque 6000 m3); valores modelados, no ensayos</t>
        </is>
      </c>
      <c r="M40" t="n">
        <v>403</v>
      </c>
      <c r="N40" t="n">
        <v>122.5058</v>
      </c>
      <c r="O40" t="n">
        <v>15.2354</v>
      </c>
      <c r="P40" t="n">
        <v>0.1244</v>
      </c>
      <c r="Q40" t="n">
        <v>78.31</v>
      </c>
      <c r="R40" t="n">
        <v>97.47</v>
      </c>
      <c r="S40" t="n">
        <v>101.962</v>
      </c>
      <c r="T40" t="n">
        <v>112.68</v>
      </c>
      <c r="U40" t="n">
        <v>123.1</v>
      </c>
      <c r="V40" t="n">
        <v>132.425</v>
      </c>
      <c r="W40" t="n">
        <v>140.896</v>
      </c>
      <c r="X40" t="n">
        <v>145.919</v>
      </c>
      <c r="Y40" t="n">
        <v>170.75</v>
      </c>
      <c r="Z40" t="inlineStr"/>
    </row>
    <row r="41">
      <c r="A41" t="inlineStr">
        <is>
          <t>MR24</t>
        </is>
      </c>
      <c r="B41" t="inlineStr">
        <is>
          <t>SIMULACIONES_MR2024_V3</t>
        </is>
      </c>
      <c r="C41" t="inlineStr">
        <is>
          <t>MR24_AXB</t>
        </is>
      </c>
      <c r="D41" t="inlineStr">
        <is>
          <t>sin unidad declarada</t>
        </is>
      </c>
      <c r="E41" t="inlineStr">
        <is>
          <t>MR24_RT</t>
        </is>
      </c>
      <c r="F41" t="inlineStr">
        <is>
          <t>TODOS</t>
        </is>
      </c>
      <c r="G41" t="inlineStr"/>
      <c r="H41" t="inlineStr"/>
      <c r="I41" t="inlineStr"/>
      <c r="J41" t="inlineStr"/>
      <c r="K41" t="inlineStr"/>
      <c r="L41" t="inlineStr">
        <is>
          <t>estadística sobre bloques del modelo (cada bloque 6000 m3); valores modelados, no ensayos</t>
        </is>
      </c>
      <c r="M41" t="n">
        <v>310102</v>
      </c>
      <c r="N41" t="n">
        <v>67.9147</v>
      </c>
      <c r="O41" t="n">
        <v>26.646</v>
      </c>
      <c r="P41" t="n">
        <v>0.3923</v>
      </c>
      <c r="Q41" t="n">
        <v>30.4</v>
      </c>
      <c r="R41" t="n">
        <v>36.62</v>
      </c>
      <c r="S41" t="n">
        <v>36.62</v>
      </c>
      <c r="T41" t="n">
        <v>42.69</v>
      </c>
      <c r="U41" t="n">
        <v>70.09999999999999</v>
      </c>
      <c r="V41" t="n">
        <v>93.81999999999999</v>
      </c>
      <c r="W41" t="n">
        <v>93.81999999999999</v>
      </c>
      <c r="X41" t="n">
        <v>93.81999999999999</v>
      </c>
      <c r="Y41" t="n">
        <v>304.96</v>
      </c>
      <c r="Z41" t="inlineStr"/>
    </row>
    <row r="42">
      <c r="A42" t="inlineStr">
        <is>
          <t>MR24</t>
        </is>
      </c>
      <c r="B42" t="inlineStr">
        <is>
          <t>SIMULACIONES_MR2024_V3</t>
        </is>
      </c>
      <c r="C42" t="inlineStr">
        <is>
          <t>MR24_BWI</t>
        </is>
      </c>
      <c r="D42" t="inlineStr">
        <is>
          <t>sin unidad declarada (kWh/t?)</t>
        </is>
      </c>
      <c r="E42" t="inlineStr">
        <is>
          <t>MR24_RT</t>
        </is>
      </c>
      <c r="F42" t="inlineStr">
        <is>
          <t>1</t>
        </is>
      </c>
      <c r="G42" t="inlineStr">
        <is>
          <t>Intrusivo</t>
        </is>
      </c>
      <c r="H42" t="inlineStr">
        <is>
          <t>RT1</t>
        </is>
      </c>
      <c r="I42" t="inlineStr">
        <is>
          <t>Geologia_2024=Intrusivo_1</t>
        </is>
      </c>
      <c r="J42" t="inlineStr">
        <is>
          <t>Intrusivo</t>
        </is>
      </c>
      <c r="K42" t="inlineStr">
        <is>
          <t>Intrusivo</t>
        </is>
      </c>
      <c r="L42" t="inlineStr">
        <is>
          <t>estadística sobre bloques del modelo (cada bloque 6000 m3); valores modelados, no ensayos</t>
        </is>
      </c>
      <c r="M42" t="n">
        <v>46813</v>
      </c>
      <c r="N42" t="n">
        <v>9.4419</v>
      </c>
      <c r="O42" t="n">
        <v>0.5082</v>
      </c>
      <c r="P42" t="n">
        <v>0.0538</v>
      </c>
      <c r="Q42" t="n">
        <v>8.609999999999999</v>
      </c>
      <c r="R42" t="n">
        <v>8.9</v>
      </c>
      <c r="S42" t="n">
        <v>8.960000000000001</v>
      </c>
      <c r="T42" t="n">
        <v>9.08</v>
      </c>
      <c r="U42" t="n">
        <v>9.279999999999999</v>
      </c>
      <c r="V42" t="n">
        <v>9.699999999999999</v>
      </c>
      <c r="W42" t="n">
        <v>10.17</v>
      </c>
      <c r="X42" t="n">
        <v>10.5</v>
      </c>
      <c r="Y42" t="n">
        <v>12.55</v>
      </c>
      <c r="Z42" t="inlineStr"/>
    </row>
    <row r="43">
      <c r="A43" t="inlineStr">
        <is>
          <t>MR24</t>
        </is>
      </c>
      <c r="B43" t="inlineStr">
        <is>
          <t>SIMULACIONES_MR2024_V3</t>
        </is>
      </c>
      <c r="C43" t="inlineStr">
        <is>
          <t>MR24_BWI</t>
        </is>
      </c>
      <c r="D43" t="inlineStr">
        <is>
          <t>sin unidad declarada (kWh/t?)</t>
        </is>
      </c>
      <c r="E43" t="inlineStr">
        <is>
          <t>MR24_RT</t>
        </is>
      </c>
      <c r="F43" t="inlineStr">
        <is>
          <t>2</t>
        </is>
      </c>
      <c r="G43" t="inlineStr">
        <is>
          <t>Intrusivo</t>
        </is>
      </c>
      <c r="H43" t="inlineStr">
        <is>
          <t>RT2</t>
        </is>
      </c>
      <c r="I43" t="inlineStr">
        <is>
          <t>Geologia_2024=Intrusivo_2</t>
        </is>
      </c>
      <c r="J43" t="inlineStr">
        <is>
          <t>Intrusivo</t>
        </is>
      </c>
      <c r="K43" t="inlineStr">
        <is>
          <t>Intrusivo</t>
        </is>
      </c>
      <c r="L43" t="inlineStr">
        <is>
          <t>estadística sobre bloques del modelo (cada bloque 6000 m3); valores modelados, no ensayos</t>
        </is>
      </c>
      <c r="M43" t="n">
        <v>3137</v>
      </c>
      <c r="N43" t="n">
        <v>13.0681</v>
      </c>
      <c r="O43" t="n">
        <v>2.1786</v>
      </c>
      <c r="P43" t="n">
        <v>0.1667</v>
      </c>
      <c r="Q43" t="n">
        <v>7.55</v>
      </c>
      <c r="R43" t="n">
        <v>9.598000000000001</v>
      </c>
      <c r="S43" t="n">
        <v>10.146</v>
      </c>
      <c r="T43" t="n">
        <v>11.25</v>
      </c>
      <c r="U43" t="n">
        <v>13.28</v>
      </c>
      <c r="V43" t="n">
        <v>14.65</v>
      </c>
      <c r="W43" t="n">
        <v>15.894</v>
      </c>
      <c r="X43" t="n">
        <v>16.67</v>
      </c>
      <c r="Y43" t="n">
        <v>20.12</v>
      </c>
      <c r="Z43" t="inlineStr"/>
    </row>
    <row r="44">
      <c r="A44" t="inlineStr">
        <is>
          <t>MR24</t>
        </is>
      </c>
      <c r="B44" t="inlineStr">
        <is>
          <t>SIMULACIONES_MR2024_V3</t>
        </is>
      </c>
      <c r="C44" t="inlineStr">
        <is>
          <t>MR24_BWI</t>
        </is>
      </c>
      <c r="D44" t="inlineStr">
        <is>
          <t>sin unidad declarada (kWh/t?)</t>
        </is>
      </c>
      <c r="E44" t="inlineStr">
        <is>
          <t>MR24_RT</t>
        </is>
      </c>
      <c r="F44" t="inlineStr">
        <is>
          <t>10</t>
        </is>
      </c>
      <c r="G44" t="inlineStr">
        <is>
          <t>sin asignar</t>
        </is>
      </c>
      <c r="H44" t="inlineStr">
        <is>
          <t>Sedimentario_10</t>
        </is>
      </c>
      <c r="I44" t="inlineStr">
        <is>
          <t>Geologia_2024=Sedimentario_10 (no especifica caliza)</t>
        </is>
      </c>
      <c r="J44" t="inlineStr">
        <is>
          <t>Caliza (hipótesis: siglas C*)</t>
        </is>
      </c>
      <c r="K44" t="inlineStr">
        <is>
          <t>Sedimentario</t>
        </is>
      </c>
      <c r="L44" t="inlineStr">
        <is>
          <t>estadística sobre bloques del modelo (cada bloque 6000 m3); valores modelados, no ensayos</t>
        </is>
      </c>
      <c r="M44" t="n">
        <v>24434</v>
      </c>
      <c r="N44" t="n">
        <v>14.7484</v>
      </c>
      <c r="O44" t="n">
        <v>1.0396</v>
      </c>
      <c r="P44" t="n">
        <v>0.07049999999999999</v>
      </c>
      <c r="Q44" t="n">
        <v>8.59</v>
      </c>
      <c r="R44" t="n">
        <v>13.25</v>
      </c>
      <c r="S44" t="n">
        <v>14.32</v>
      </c>
      <c r="T44" t="n">
        <v>14.49</v>
      </c>
      <c r="U44" t="n">
        <v>14.49</v>
      </c>
      <c r="V44" t="n">
        <v>15.04</v>
      </c>
      <c r="W44" t="n">
        <v>15.92</v>
      </c>
      <c r="X44" t="n">
        <v>16.43</v>
      </c>
      <c r="Y44" t="n">
        <v>19.59</v>
      </c>
      <c r="Z44" t="inlineStr"/>
    </row>
    <row r="45">
      <c r="A45" t="inlineStr">
        <is>
          <t>MR24</t>
        </is>
      </c>
      <c r="B45" t="inlineStr">
        <is>
          <t>SIMULACIONES_MR2024_V3</t>
        </is>
      </c>
      <c r="C45" t="inlineStr">
        <is>
          <t>MR24_BWI</t>
        </is>
      </c>
      <c r="D45" t="inlineStr">
        <is>
          <t>sin unidad declarada (kWh/t?)</t>
        </is>
      </c>
      <c r="E45" t="inlineStr">
        <is>
          <t>MR24_RT</t>
        </is>
      </c>
      <c r="F45" t="inlineStr">
        <is>
          <t>11</t>
        </is>
      </c>
      <c r="G45" t="inlineStr">
        <is>
          <t>sin asignar</t>
        </is>
      </c>
      <c r="H45" t="inlineStr">
        <is>
          <t>Sedimentario_11</t>
        </is>
      </c>
      <c r="I45" t="inlineStr">
        <is>
          <t>Geologia_2024=Sedimentario_11 (no especifica caliza)</t>
        </is>
      </c>
      <c r="J45" t="inlineStr">
        <is>
          <t>Caliza (hipótesis: Sedimentario; RT11~NUMEQ10, siglas C*)</t>
        </is>
      </c>
      <c r="K45" t="inlineStr">
        <is>
          <t>Sedimentario</t>
        </is>
      </c>
      <c r="L45" t="inlineStr">
        <is>
          <t>estadística sobre bloques del modelo (cada bloque 6000 m3); valores modelados, no ensayos</t>
        </is>
      </c>
      <c r="M45" t="n">
        <v>58104</v>
      </c>
      <c r="N45" t="n">
        <v>17.7667</v>
      </c>
      <c r="O45" t="n">
        <v>0.8742</v>
      </c>
      <c r="P45" t="n">
        <v>0.0492</v>
      </c>
      <c r="Q45" t="n">
        <v>8.890000000000001</v>
      </c>
      <c r="R45" t="n">
        <v>16.16</v>
      </c>
      <c r="S45" t="n">
        <v>16.69</v>
      </c>
      <c r="T45" t="n">
        <v>17.78</v>
      </c>
      <c r="U45" t="n">
        <v>18</v>
      </c>
      <c r="V45" t="n">
        <v>18</v>
      </c>
      <c r="W45" t="n">
        <v>18</v>
      </c>
      <c r="X45" t="n">
        <v>18.9985</v>
      </c>
      <c r="Y45" t="n">
        <v>20.71</v>
      </c>
      <c r="Z45" t="inlineStr"/>
    </row>
    <row r="46">
      <c r="A46" t="inlineStr">
        <is>
          <t>MR24</t>
        </is>
      </c>
      <c r="B46" t="inlineStr">
        <is>
          <t>SIMULACIONES_MR2024_V3</t>
        </is>
      </c>
      <c r="C46" t="inlineStr">
        <is>
          <t>MR24_BWI</t>
        </is>
      </c>
      <c r="D46" t="inlineStr">
        <is>
          <t>sin unidad declarada (kWh/t?)</t>
        </is>
      </c>
      <c r="E46" t="inlineStr">
        <is>
          <t>MR24_RT</t>
        </is>
      </c>
      <c r="F46" t="inlineStr">
        <is>
          <t>13</t>
        </is>
      </c>
      <c r="G46" t="inlineStr">
        <is>
          <t>sin asignar</t>
        </is>
      </c>
      <c r="H46" t="inlineStr">
        <is>
          <t>Metamorfico_13</t>
        </is>
      </c>
      <c r="I46" t="inlineStr">
        <is>
          <t>Geologia_2024=Metamorfico_13 (no distingue hornfels/mármol)</t>
        </is>
      </c>
      <c r="J46" t="inlineStr">
        <is>
          <t>Hornfels (hipótesis: siglas HG, HGS, HC)</t>
        </is>
      </c>
      <c r="K46" t="inlineStr">
        <is>
          <t>Metamorfico</t>
        </is>
      </c>
      <c r="L46" t="inlineStr">
        <is>
          <t>estadística sobre bloques del modelo (cada bloque 6000 m3); valores modelados, no ensayos</t>
        </is>
      </c>
      <c r="M46" t="n">
        <v>48510</v>
      </c>
      <c r="N46" t="n">
        <v>13.8885</v>
      </c>
      <c r="O46" t="n">
        <v>2.238</v>
      </c>
      <c r="P46" t="n">
        <v>0.1611</v>
      </c>
      <c r="Q46" t="n">
        <v>6.96</v>
      </c>
      <c r="R46" t="n">
        <v>9.140000000000001</v>
      </c>
      <c r="S46" t="n">
        <v>10.17</v>
      </c>
      <c r="T46" t="n">
        <v>13.13</v>
      </c>
      <c r="U46" t="n">
        <v>14.5</v>
      </c>
      <c r="V46" t="n">
        <v>14.72</v>
      </c>
      <c r="W46" t="n">
        <v>16.3</v>
      </c>
      <c r="X46" t="n">
        <v>17.17</v>
      </c>
      <c r="Y46" t="n">
        <v>22.19</v>
      </c>
      <c r="Z46" t="inlineStr"/>
    </row>
    <row r="47">
      <c r="A47" t="inlineStr">
        <is>
          <t>MR24</t>
        </is>
      </c>
      <c r="B47" t="inlineStr">
        <is>
          <t>SIMULACIONES_MR2024_V3</t>
        </is>
      </c>
      <c r="C47" t="inlineStr">
        <is>
          <t>MR24_BWI</t>
        </is>
      </c>
      <c r="D47" t="inlineStr">
        <is>
          <t>sin unidad declarada (kWh/t?)</t>
        </is>
      </c>
      <c r="E47" t="inlineStr">
        <is>
          <t>MR24_RT</t>
        </is>
      </c>
      <c r="F47" t="inlineStr">
        <is>
          <t>14</t>
        </is>
      </c>
      <c r="G47" t="inlineStr">
        <is>
          <t>sin asignar</t>
        </is>
      </c>
      <c r="H47" t="inlineStr">
        <is>
          <t>Metamorfico_14</t>
        </is>
      </c>
      <c r="I47" t="inlineStr">
        <is>
          <t>Geologia_2024=Metamorfico_14 (no distingue hornfels/mármol)</t>
        </is>
      </c>
      <c r="J47" t="inlineStr">
        <is>
          <t>Hornfels (hipótesis: siglas HBV, HGV, HCB, HDP; 'Diop. Hornfels'~HGV)</t>
        </is>
      </c>
      <c r="K47" t="inlineStr">
        <is>
          <t>Metamorfico</t>
        </is>
      </c>
      <c r="L47" t="inlineStr">
        <is>
          <t>estadística sobre bloques del modelo (cada bloque 6000 m3); valores modelados, no ensayos</t>
        </is>
      </c>
      <c r="M47" t="n">
        <v>9983</v>
      </c>
      <c r="N47" t="n">
        <v>10.22</v>
      </c>
      <c r="O47" t="n">
        <v>1.8834</v>
      </c>
      <c r="P47" t="n">
        <v>0.1843</v>
      </c>
      <c r="Q47" t="n">
        <v>6.7</v>
      </c>
      <c r="R47" t="n">
        <v>7.97</v>
      </c>
      <c r="S47" t="n">
        <v>8.252000000000001</v>
      </c>
      <c r="T47" t="n">
        <v>8.81</v>
      </c>
      <c r="U47" t="n">
        <v>10.17</v>
      </c>
      <c r="V47" t="n">
        <v>10.81</v>
      </c>
      <c r="W47" t="n">
        <v>12.178</v>
      </c>
      <c r="X47" t="n">
        <v>14.18</v>
      </c>
      <c r="Y47" t="n">
        <v>22.64</v>
      </c>
      <c r="Z47" t="inlineStr"/>
    </row>
    <row r="48">
      <c r="A48" t="inlineStr">
        <is>
          <t>MR24</t>
        </is>
      </c>
      <c r="B48" t="inlineStr">
        <is>
          <t>SIMULACIONES_MR2024_V3</t>
        </is>
      </c>
      <c r="C48" t="inlineStr">
        <is>
          <t>MR24_BWI</t>
        </is>
      </c>
      <c r="D48" t="inlineStr">
        <is>
          <t>sin unidad declarada (kWh/t?)</t>
        </is>
      </c>
      <c r="E48" t="inlineStr">
        <is>
          <t>MR24_RT</t>
        </is>
      </c>
      <c r="F48" t="inlineStr">
        <is>
          <t>16</t>
        </is>
      </c>
      <c r="G48" t="inlineStr">
        <is>
          <t>sin asignar</t>
        </is>
      </c>
      <c r="H48" t="inlineStr">
        <is>
          <t>Metamorfico_16</t>
        </is>
      </c>
      <c r="I48" t="inlineStr">
        <is>
          <t>Geologia_2024=Metamorfico_16 (no distingue hornfels/mármol)</t>
        </is>
      </c>
      <c r="J48" t="inlineStr">
        <is>
          <t>Mármol (hipótesis: siglas MC, MG, MGS, MPA, MCGB; 'Marble'~MCGB)</t>
        </is>
      </c>
      <c r="K48" t="inlineStr">
        <is>
          <t>Metamorfico</t>
        </is>
      </c>
      <c r="L48" t="inlineStr">
        <is>
          <t>estadística sobre bloques del modelo (cada bloque 6000 m3); valores modelados, no ensayos</t>
        </is>
      </c>
      <c r="M48" t="n">
        <v>110698</v>
      </c>
      <c r="N48" t="n">
        <v>9.163</v>
      </c>
      <c r="O48" t="n">
        <v>1.2901</v>
      </c>
      <c r="P48" t="n">
        <v>0.1408</v>
      </c>
      <c r="Q48" t="n">
        <v>6.69</v>
      </c>
      <c r="R48" t="n">
        <v>7.63</v>
      </c>
      <c r="S48" t="n">
        <v>7.85</v>
      </c>
      <c r="T48" t="n">
        <v>8.31</v>
      </c>
      <c r="U48" t="n">
        <v>9.039999999999999</v>
      </c>
      <c r="V48" t="n">
        <v>9.449999999999999</v>
      </c>
      <c r="W48" t="n">
        <v>10.8</v>
      </c>
      <c r="X48" t="n">
        <v>11.73</v>
      </c>
      <c r="Y48" t="n">
        <v>20.41</v>
      </c>
      <c r="Z48" t="inlineStr"/>
    </row>
    <row r="49">
      <c r="A49" t="inlineStr">
        <is>
          <t>MR24</t>
        </is>
      </c>
      <c r="B49" t="inlineStr">
        <is>
          <t>SIMULACIONES_MR2024_V3</t>
        </is>
      </c>
      <c r="C49" t="inlineStr">
        <is>
          <t>MR24_BWI</t>
        </is>
      </c>
      <c r="D49" t="inlineStr">
        <is>
          <t>sin unidad declarada (kWh/t?)</t>
        </is>
      </c>
      <c r="E49" t="inlineStr">
        <is>
          <t>MR24_RT</t>
        </is>
      </c>
      <c r="F49" t="inlineStr">
        <is>
          <t>19</t>
        </is>
      </c>
      <c r="G49" t="inlineStr">
        <is>
          <t>sin asignar</t>
        </is>
      </c>
      <c r="H49" t="inlineStr">
        <is>
          <t>Metamorfico_19</t>
        </is>
      </c>
      <c r="I49" t="inlineStr">
        <is>
          <t>Geologia_2024=Metamorfico_19 (no distingue hornfels/mármol)</t>
        </is>
      </c>
      <c r="J49" t="inlineStr">
        <is>
          <t>Mármol (hipótesis: sigla MDP)</t>
        </is>
      </c>
      <c r="K49" t="inlineStr">
        <is>
          <t>Metamorfico</t>
        </is>
      </c>
      <c r="L49" t="inlineStr">
        <is>
          <t>estadística sobre bloques del modelo (cada bloque 6000 m3); valores modelados, no ensayos</t>
        </is>
      </c>
      <c r="M49" t="n">
        <v>8020</v>
      </c>
      <c r="N49" t="n">
        <v>8.967000000000001</v>
      </c>
      <c r="O49" t="n">
        <v>0.8868</v>
      </c>
      <c r="P49" t="n">
        <v>0.0989</v>
      </c>
      <c r="Q49" t="n">
        <v>6.89</v>
      </c>
      <c r="R49" t="n">
        <v>7.65</v>
      </c>
      <c r="S49" t="n">
        <v>7.89</v>
      </c>
      <c r="T49" t="n">
        <v>8.390000000000001</v>
      </c>
      <c r="U49" t="n">
        <v>8.85</v>
      </c>
      <c r="V49" t="n">
        <v>9.449999999999999</v>
      </c>
      <c r="W49" t="n">
        <v>10.15</v>
      </c>
      <c r="X49" t="n">
        <v>10.62</v>
      </c>
      <c r="Y49" t="n">
        <v>13.5</v>
      </c>
      <c r="Z49" t="inlineStr"/>
    </row>
    <row r="50">
      <c r="A50" t="inlineStr">
        <is>
          <t>MR24</t>
        </is>
      </c>
      <c r="B50" t="inlineStr">
        <is>
          <t>SIMULACIONES_MR2024_V3</t>
        </is>
      </c>
      <c r="C50" t="inlineStr">
        <is>
          <t>MR24_BWI</t>
        </is>
      </c>
      <c r="D50" t="inlineStr">
        <is>
          <t>sin unidad declarada (kWh/t?)</t>
        </is>
      </c>
      <c r="E50" t="inlineStr">
        <is>
          <t>MR24_RT</t>
        </is>
      </c>
      <c r="F50" t="inlineStr">
        <is>
          <t>53</t>
        </is>
      </c>
      <c r="G50" t="inlineStr">
        <is>
          <t>sin asignar</t>
        </is>
      </c>
      <c r="H50" t="inlineStr">
        <is>
          <t>RT53</t>
        </is>
      </c>
      <c r="I50" t="inlineStr">
        <is>
          <t>código sin etiqueta en los datos</t>
        </is>
      </c>
      <c r="J50" t="inlineStr">
        <is>
          <t>sin hipótesis</t>
        </is>
      </c>
      <c r="K50" t="inlineStr">
        <is>
          <t>sin leyenda</t>
        </is>
      </c>
      <c r="L50" t="inlineStr">
        <is>
          <t>estadística sobre bloques del modelo (cada bloque 6000 m3); valores modelados, no ensayos</t>
        </is>
      </c>
      <c r="M50" t="n">
        <v>403</v>
      </c>
      <c r="N50" t="n">
        <v>10.4193</v>
      </c>
      <c r="O50" t="n">
        <v>0.4634</v>
      </c>
      <c r="P50" t="n">
        <v>0.0445</v>
      </c>
      <c r="Q50" t="n">
        <v>9.24</v>
      </c>
      <c r="R50" t="n">
        <v>9.641</v>
      </c>
      <c r="S50" t="n">
        <v>9.802</v>
      </c>
      <c r="T50" t="n">
        <v>10.12</v>
      </c>
      <c r="U50" t="n">
        <v>10.42</v>
      </c>
      <c r="V50" t="n">
        <v>10.735</v>
      </c>
      <c r="W50" t="n">
        <v>10.988</v>
      </c>
      <c r="X50" t="n">
        <v>11.11</v>
      </c>
      <c r="Y50" t="n">
        <v>11.83</v>
      </c>
      <c r="Z50" t="inlineStr"/>
    </row>
    <row r="51">
      <c r="A51" t="inlineStr">
        <is>
          <t>MR24</t>
        </is>
      </c>
      <c r="B51" t="inlineStr">
        <is>
          <t>SIMULACIONES_MR2024_V3</t>
        </is>
      </c>
      <c r="C51" t="inlineStr">
        <is>
          <t>MR24_BWI</t>
        </is>
      </c>
      <c r="D51" t="inlineStr">
        <is>
          <t>sin unidad declarada (kWh/t?)</t>
        </is>
      </c>
      <c r="E51" t="inlineStr">
        <is>
          <t>MR24_RT</t>
        </is>
      </c>
      <c r="F51" t="inlineStr">
        <is>
          <t>TODOS</t>
        </is>
      </c>
      <c r="G51" t="inlineStr"/>
      <c r="H51" t="inlineStr"/>
      <c r="I51" t="inlineStr"/>
      <c r="J51" t="inlineStr"/>
      <c r="K51" t="inlineStr"/>
      <c r="L51" t="inlineStr">
        <is>
          <t>estadística sobre bloques del modelo (cada bloque 6000 m3); valores modelados, no ensayos</t>
        </is>
      </c>
      <c r="M51" t="n">
        <v>310102</v>
      </c>
      <c r="N51" t="n">
        <v>12.0666</v>
      </c>
      <c r="O51" t="n">
        <v>3.6637</v>
      </c>
      <c r="P51" t="n">
        <v>0.3036</v>
      </c>
      <c r="Q51" t="n">
        <v>6.69</v>
      </c>
      <c r="R51" t="n">
        <v>7.94</v>
      </c>
      <c r="S51" t="n">
        <v>8.300000000000001</v>
      </c>
      <c r="T51" t="n">
        <v>9.07</v>
      </c>
      <c r="U51" t="n">
        <v>10.24</v>
      </c>
      <c r="V51" t="n">
        <v>14.82</v>
      </c>
      <c r="W51" t="n">
        <v>18</v>
      </c>
      <c r="X51" t="n">
        <v>18</v>
      </c>
      <c r="Y51" t="n">
        <v>22.64</v>
      </c>
      <c r="Z51" t="inlineStr"/>
    </row>
    <row r="52">
      <c r="A52" t="inlineStr">
        <is>
          <t>MR24</t>
        </is>
      </c>
      <c r="B52" t="inlineStr">
        <is>
          <t>Merged_Table_Assay_lito</t>
        </is>
      </c>
      <c r="C52" t="inlineStr">
        <is>
          <t>UCS_MPa</t>
        </is>
      </c>
      <c r="D52" t="inlineStr">
        <is>
          <t>MPa</t>
        </is>
      </c>
      <c r="E52" t="inlineStr">
        <is>
          <t>RT_UCS</t>
        </is>
      </c>
      <c r="F52" t="inlineStr">
        <is>
          <t>10_No_ZD</t>
        </is>
      </c>
      <c r="G52" t="inlineStr">
        <is>
          <t>sin asignar</t>
        </is>
      </c>
      <c r="H52" t="inlineStr">
        <is>
          <t>Sedimentario_10</t>
        </is>
      </c>
      <c r="I52" t="inlineStr">
        <is>
          <t>Geologia_2024=Sedimentario_10 (no especifica caliza)</t>
        </is>
      </c>
      <c r="J52" t="inlineStr">
        <is>
          <t>Caliza (hipótesis: siglas C*)</t>
        </is>
      </c>
      <c r="K52" t="inlineStr">
        <is>
          <t>Sedimentario</t>
        </is>
      </c>
      <c r="L52" t="inlineStr">
        <is>
          <t>todas las fuentes (Core_PLT + Core_UCS)</t>
        </is>
      </c>
      <c r="M52" t="n">
        <v>412</v>
      </c>
      <c r="N52" t="n">
        <v>82.05070000000001</v>
      </c>
      <c r="O52" t="n">
        <v>32.2123</v>
      </c>
      <c r="P52" t="n">
        <v>0.3926</v>
      </c>
      <c r="Q52" t="n">
        <v>18.2789</v>
      </c>
      <c r="R52" t="n">
        <v>30.932</v>
      </c>
      <c r="S52" t="n">
        <v>41.7378</v>
      </c>
      <c r="T52" t="n">
        <v>60.9</v>
      </c>
      <c r="U52" t="n">
        <v>79.306</v>
      </c>
      <c r="V52" t="n">
        <v>104.2428</v>
      </c>
      <c r="W52" t="n">
        <v>122.6499</v>
      </c>
      <c r="X52" t="n">
        <v>135.734</v>
      </c>
      <c r="Y52" t="n">
        <v>196.581</v>
      </c>
      <c r="Z52" t="inlineStr"/>
    </row>
    <row r="53">
      <c r="A53" t="inlineStr">
        <is>
          <t>MR24</t>
        </is>
      </c>
      <c r="B53" t="inlineStr">
        <is>
          <t>Merged_Table_Assay_lito</t>
        </is>
      </c>
      <c r="C53" t="inlineStr">
        <is>
          <t>UCS_MPa</t>
        </is>
      </c>
      <c r="D53" t="inlineStr">
        <is>
          <t>MPa</t>
        </is>
      </c>
      <c r="E53" t="inlineStr">
        <is>
          <t>RT_UCS</t>
        </is>
      </c>
      <c r="F53" t="inlineStr">
        <is>
          <t>10_ZD</t>
        </is>
      </c>
      <c r="G53" t="inlineStr">
        <is>
          <t>sin asignar</t>
        </is>
      </c>
      <c r="H53" t="inlineStr">
        <is>
          <t>Sedimentario_10</t>
        </is>
      </c>
      <c r="I53" t="inlineStr">
        <is>
          <t>Geologia_2024=Sedimentario_10 (no especifica caliza)</t>
        </is>
      </c>
      <c r="J53" t="inlineStr">
        <is>
          <t>Caliza (hipótesis: siglas C*)</t>
        </is>
      </c>
      <c r="K53" t="inlineStr">
        <is>
          <t>Sedimentario</t>
        </is>
      </c>
      <c r="L53" t="inlineStr">
        <is>
          <t>todas las fuentes (Core_PLT + Core_UCS)</t>
        </is>
      </c>
      <c r="M53" t="n">
        <v>45</v>
      </c>
      <c r="N53" t="n">
        <v>78.3026</v>
      </c>
      <c r="O53" t="n">
        <v>24.4515</v>
      </c>
      <c r="P53" t="n">
        <v>0.3123</v>
      </c>
      <c r="Q53" t="n">
        <v>29.1005</v>
      </c>
      <c r="R53" t="n">
        <v>42.1491</v>
      </c>
      <c r="S53" t="n">
        <v>53.5263</v>
      </c>
      <c r="T53" t="n">
        <v>59.015</v>
      </c>
      <c r="U53" t="n">
        <v>78.3475</v>
      </c>
      <c r="V53" t="n">
        <v>91.16800000000001</v>
      </c>
      <c r="W53" t="n">
        <v>107.082</v>
      </c>
      <c r="X53" t="n">
        <v>115.7472</v>
      </c>
      <c r="Y53" t="n">
        <v>151.811</v>
      </c>
      <c r="Z53" t="inlineStr"/>
    </row>
    <row r="54">
      <c r="A54" t="inlineStr">
        <is>
          <t>MR24</t>
        </is>
      </c>
      <c r="B54" t="inlineStr">
        <is>
          <t>Merged_Table_Assay_lito</t>
        </is>
      </c>
      <c r="C54" t="inlineStr">
        <is>
          <t>UCS_MPa</t>
        </is>
      </c>
      <c r="D54" t="inlineStr">
        <is>
          <t>MPa</t>
        </is>
      </c>
      <c r="E54" t="inlineStr">
        <is>
          <t>RT_UCS</t>
        </is>
      </c>
      <c r="F54" t="inlineStr">
        <is>
          <t>11_No_ZD</t>
        </is>
      </c>
      <c r="G54" t="inlineStr">
        <is>
          <t>sin asignar</t>
        </is>
      </c>
      <c r="H54" t="inlineStr">
        <is>
          <t>Sedimentario_11</t>
        </is>
      </c>
      <c r="I54" t="inlineStr">
        <is>
          <t>Geologia_2024=Sedimentario_11 (no especifica caliza)</t>
        </is>
      </c>
      <c r="J54" t="inlineStr">
        <is>
          <t>Caliza (hipótesis: Sedimentario; RT11~NUMEQ10, siglas C*)</t>
        </is>
      </c>
      <c r="K54" t="inlineStr">
        <is>
          <t>Sedimentario</t>
        </is>
      </c>
      <c r="L54" t="inlineStr">
        <is>
          <t>todas las fuentes (Core_PLT + Core_UCS)</t>
        </is>
      </c>
      <c r="M54" t="n">
        <v>1084</v>
      </c>
      <c r="N54" t="n">
        <v>73.4512</v>
      </c>
      <c r="O54" t="n">
        <v>31.135</v>
      </c>
      <c r="P54" t="n">
        <v>0.4239</v>
      </c>
      <c r="Q54" t="n">
        <v>8.98</v>
      </c>
      <c r="R54" t="n">
        <v>28.9068</v>
      </c>
      <c r="S54" t="n">
        <v>35.2132</v>
      </c>
      <c r="T54" t="n">
        <v>50.4171</v>
      </c>
      <c r="U54" t="n">
        <v>71.0215</v>
      </c>
      <c r="V54" t="n">
        <v>93.2516</v>
      </c>
      <c r="W54" t="n">
        <v>115.5075</v>
      </c>
      <c r="X54" t="n">
        <v>128.816</v>
      </c>
      <c r="Y54" t="n">
        <v>253.358</v>
      </c>
      <c r="Z54" t="inlineStr"/>
    </row>
    <row r="55">
      <c r="A55" t="inlineStr">
        <is>
          <t>MR24</t>
        </is>
      </c>
      <c r="B55" t="inlineStr">
        <is>
          <t>Merged_Table_Assay_lito</t>
        </is>
      </c>
      <c r="C55" t="inlineStr">
        <is>
          <t>UCS_MPa</t>
        </is>
      </c>
      <c r="D55" t="inlineStr">
        <is>
          <t>MPa</t>
        </is>
      </c>
      <c r="E55" t="inlineStr">
        <is>
          <t>RT_UCS</t>
        </is>
      </c>
      <c r="F55" t="inlineStr">
        <is>
          <t>11_ZD</t>
        </is>
      </c>
      <c r="G55" t="inlineStr">
        <is>
          <t>sin asignar</t>
        </is>
      </c>
      <c r="H55" t="inlineStr">
        <is>
          <t>Sedimentario_11</t>
        </is>
      </c>
      <c r="I55" t="inlineStr">
        <is>
          <t>Geologia_2024=Sedimentario_11 (no especifica caliza)</t>
        </is>
      </c>
      <c r="J55" t="inlineStr">
        <is>
          <t>Caliza (hipótesis: Sedimentario; RT11~NUMEQ10, siglas C*)</t>
        </is>
      </c>
      <c r="K55" t="inlineStr">
        <is>
          <t>Sedimentario</t>
        </is>
      </c>
      <c r="L55" t="inlineStr">
        <is>
          <t>todas las fuentes (Core_PLT + Core_UCS)</t>
        </is>
      </c>
      <c r="M55" t="n">
        <v>315</v>
      </c>
      <c r="N55" t="n">
        <v>70.2688</v>
      </c>
      <c r="O55" t="n">
        <v>27.8478</v>
      </c>
      <c r="P55" t="n">
        <v>0.3963</v>
      </c>
      <c r="Q55" t="n">
        <v>21.98</v>
      </c>
      <c r="R55" t="n">
        <v>32.6414</v>
      </c>
      <c r="S55" t="n">
        <v>38.42</v>
      </c>
      <c r="T55" t="n">
        <v>51.282</v>
      </c>
      <c r="U55" t="n">
        <v>64.97</v>
      </c>
      <c r="V55" t="n">
        <v>84.96129999999999</v>
      </c>
      <c r="W55" t="n">
        <v>106.4384</v>
      </c>
      <c r="X55" t="n">
        <v>119.1447</v>
      </c>
      <c r="Y55" t="n">
        <v>188.034</v>
      </c>
      <c r="Z55" t="inlineStr"/>
    </row>
    <row r="56">
      <c r="A56" t="inlineStr">
        <is>
          <t>MR24</t>
        </is>
      </c>
      <c r="B56" t="inlineStr">
        <is>
          <t>Merged_Table_Assay_lito</t>
        </is>
      </c>
      <c r="C56" t="inlineStr">
        <is>
          <t>UCS_MPa</t>
        </is>
      </c>
      <c r="D56" t="inlineStr">
        <is>
          <t>MPa</t>
        </is>
      </c>
      <c r="E56" t="inlineStr">
        <is>
          <t>RT_UCS</t>
        </is>
      </c>
      <c r="F56" t="inlineStr">
        <is>
          <t>13_No_ZD</t>
        </is>
      </c>
      <c r="G56" t="inlineStr">
        <is>
          <t>sin asignar</t>
        </is>
      </c>
      <c r="H56" t="inlineStr">
        <is>
          <t>Metamorfico_13</t>
        </is>
      </c>
      <c r="I56" t="inlineStr">
        <is>
          <t>Geologia_2024=Metamorfico_13 (no distingue hornfels/mármol)</t>
        </is>
      </c>
      <c r="J56" t="inlineStr">
        <is>
          <t>Hornfels (hipótesis: siglas HG, HGS, HC)</t>
        </is>
      </c>
      <c r="K56" t="inlineStr">
        <is>
          <t>Metamorfico</t>
        </is>
      </c>
      <c r="L56" t="inlineStr">
        <is>
          <t>todas las fuentes (Core_PLT + Core_UCS)</t>
        </is>
      </c>
      <c r="M56" t="n">
        <v>1999</v>
      </c>
      <c r="N56" t="n">
        <v>103.2553</v>
      </c>
      <c r="O56" t="n">
        <v>47.8845</v>
      </c>
      <c r="P56" t="n">
        <v>0.4637</v>
      </c>
      <c r="Q56" t="n">
        <v>9.800000000000001</v>
      </c>
      <c r="R56" t="n">
        <v>35.8725</v>
      </c>
      <c r="S56" t="n">
        <v>45.7423</v>
      </c>
      <c r="T56" t="n">
        <v>69.3355</v>
      </c>
      <c r="U56" t="n">
        <v>96.9687</v>
      </c>
      <c r="V56" t="n">
        <v>130.283</v>
      </c>
      <c r="W56" t="n">
        <v>166.4136</v>
      </c>
      <c r="X56" t="n">
        <v>192.6969</v>
      </c>
      <c r="Y56" t="n">
        <v>300</v>
      </c>
      <c r="Z56" t="inlineStr"/>
    </row>
    <row r="57">
      <c r="A57" t="inlineStr">
        <is>
          <t>MR24</t>
        </is>
      </c>
      <c r="B57" t="inlineStr">
        <is>
          <t>Merged_Table_Assay_lito</t>
        </is>
      </c>
      <c r="C57" t="inlineStr">
        <is>
          <t>UCS_MPa</t>
        </is>
      </c>
      <c r="D57" t="inlineStr">
        <is>
          <t>MPa</t>
        </is>
      </c>
      <c r="E57" t="inlineStr">
        <is>
          <t>RT_UCS</t>
        </is>
      </c>
      <c r="F57" t="inlineStr">
        <is>
          <t>13_ZD</t>
        </is>
      </c>
      <c r="G57" t="inlineStr">
        <is>
          <t>sin asignar</t>
        </is>
      </c>
      <c r="H57" t="inlineStr">
        <is>
          <t>Metamorfico_13</t>
        </is>
      </c>
      <c r="I57" t="inlineStr">
        <is>
          <t>Geologia_2024=Metamorfico_13 (no distingue hornfels/mármol)</t>
        </is>
      </c>
      <c r="J57" t="inlineStr">
        <is>
          <t>Hornfels (hipótesis: siglas HG, HGS, HC)</t>
        </is>
      </c>
      <c r="K57" t="inlineStr">
        <is>
          <t>Metamorfico</t>
        </is>
      </c>
      <c r="L57" t="inlineStr">
        <is>
          <t>todas las fuentes (Core_PLT + Core_UCS)</t>
        </is>
      </c>
      <c r="M57" t="n">
        <v>1382</v>
      </c>
      <c r="N57" t="n">
        <v>118.1527</v>
      </c>
      <c r="O57" t="n">
        <v>55.2763</v>
      </c>
      <c r="P57" t="n">
        <v>0.4678</v>
      </c>
      <c r="Q57" t="n">
        <v>20.2</v>
      </c>
      <c r="R57" t="n">
        <v>44.5</v>
      </c>
      <c r="S57" t="n">
        <v>57.7808</v>
      </c>
      <c r="T57" t="n">
        <v>80.1348</v>
      </c>
      <c r="U57" t="n">
        <v>108.2585</v>
      </c>
      <c r="V57" t="n">
        <v>144.164</v>
      </c>
      <c r="W57" t="n">
        <v>197.4871</v>
      </c>
      <c r="X57" t="n">
        <v>233.7701</v>
      </c>
      <c r="Y57" t="n">
        <v>300</v>
      </c>
      <c r="Z57" t="inlineStr"/>
    </row>
    <row r="58">
      <c r="A58" t="inlineStr">
        <is>
          <t>MR24</t>
        </is>
      </c>
      <c r="B58" t="inlineStr">
        <is>
          <t>Merged_Table_Assay_lito</t>
        </is>
      </c>
      <c r="C58" t="inlineStr">
        <is>
          <t>UCS_MPa</t>
        </is>
      </c>
      <c r="D58" t="inlineStr">
        <is>
          <t>MPa</t>
        </is>
      </c>
      <c r="E58" t="inlineStr">
        <is>
          <t>RT_UCS</t>
        </is>
      </c>
      <c r="F58" t="inlineStr">
        <is>
          <t>14_No_ZD</t>
        </is>
      </c>
      <c r="G58" t="inlineStr">
        <is>
          <t>sin asignar</t>
        </is>
      </c>
      <c r="H58" t="inlineStr">
        <is>
          <t>Metamorfico_14</t>
        </is>
      </c>
      <c r="I58" t="inlineStr">
        <is>
          <t>Geologia_2024=Metamorfico_14 (no distingue hornfels/mármol)</t>
        </is>
      </c>
      <c r="J58" t="inlineStr">
        <is>
          <t>Hornfels (hipótesis: siglas HBV, HGV, HCB, HDP; 'Diop. Hornfels'~HGV)</t>
        </is>
      </c>
      <c r="K58" t="inlineStr">
        <is>
          <t>Metamorfico</t>
        </is>
      </c>
      <c r="L58" t="inlineStr">
        <is>
          <t>todas las fuentes (Core_PLT + Core_UCS)</t>
        </is>
      </c>
      <c r="M58" t="n">
        <v>567</v>
      </c>
      <c r="N58" t="n">
        <v>104.7896</v>
      </c>
      <c r="O58" t="n">
        <v>50.078</v>
      </c>
      <c r="P58" t="n">
        <v>0.4779</v>
      </c>
      <c r="Q58" t="n">
        <v>18.9</v>
      </c>
      <c r="R58" t="n">
        <v>38.8795</v>
      </c>
      <c r="S58" t="n">
        <v>48.6628</v>
      </c>
      <c r="T58" t="n">
        <v>71.7846</v>
      </c>
      <c r="U58" t="n">
        <v>98.1585</v>
      </c>
      <c r="V58" t="n">
        <v>125.96</v>
      </c>
      <c r="W58" t="n">
        <v>167.6972</v>
      </c>
      <c r="X58" t="n">
        <v>194.2549</v>
      </c>
      <c r="Y58" t="n">
        <v>300</v>
      </c>
      <c r="Z58" t="inlineStr"/>
    </row>
    <row r="59">
      <c r="A59" t="inlineStr">
        <is>
          <t>MR24</t>
        </is>
      </c>
      <c r="B59" t="inlineStr">
        <is>
          <t>Merged_Table_Assay_lito</t>
        </is>
      </c>
      <c r="C59" t="inlineStr">
        <is>
          <t>UCS_MPa</t>
        </is>
      </c>
      <c r="D59" t="inlineStr">
        <is>
          <t>MPa</t>
        </is>
      </c>
      <c r="E59" t="inlineStr">
        <is>
          <t>RT_UCS</t>
        </is>
      </c>
      <c r="F59" t="inlineStr">
        <is>
          <t>14_ZD</t>
        </is>
      </c>
      <c r="G59" t="inlineStr">
        <is>
          <t>sin asignar</t>
        </is>
      </c>
      <c r="H59" t="inlineStr">
        <is>
          <t>Metamorfico_14</t>
        </is>
      </c>
      <c r="I59" t="inlineStr">
        <is>
          <t>Geologia_2024=Metamorfico_14 (no distingue hornfels/mármol)</t>
        </is>
      </c>
      <c r="J59" t="inlineStr">
        <is>
          <t>Hornfels (hipótesis: siglas HBV, HGV, HCB, HDP; 'Diop. Hornfels'~HGV)</t>
        </is>
      </c>
      <c r="K59" t="inlineStr">
        <is>
          <t>Metamorfico</t>
        </is>
      </c>
      <c r="L59" t="inlineStr">
        <is>
          <t>todas las fuentes (Core_PLT + Core_UCS)</t>
        </is>
      </c>
      <c r="M59" t="n">
        <v>424</v>
      </c>
      <c r="N59" t="n">
        <v>125.507</v>
      </c>
      <c r="O59" t="n">
        <v>68.11799999999999</v>
      </c>
      <c r="P59" t="n">
        <v>0.5427</v>
      </c>
      <c r="Q59" t="n">
        <v>20.4249</v>
      </c>
      <c r="R59" t="n">
        <v>38.3016</v>
      </c>
      <c r="S59" t="n">
        <v>48.1472</v>
      </c>
      <c r="T59" t="n">
        <v>78.8738</v>
      </c>
      <c r="U59" t="n">
        <v>112.535</v>
      </c>
      <c r="V59" t="n">
        <v>155.6978</v>
      </c>
      <c r="W59" t="n">
        <v>234.1083</v>
      </c>
      <c r="X59" t="n">
        <v>275.6795</v>
      </c>
      <c r="Y59" t="n">
        <v>300</v>
      </c>
      <c r="Z59" t="inlineStr"/>
    </row>
    <row r="60">
      <c r="A60" t="inlineStr">
        <is>
          <t>MR24</t>
        </is>
      </c>
      <c r="B60" t="inlineStr">
        <is>
          <t>Merged_Table_Assay_lito</t>
        </is>
      </c>
      <c r="C60" t="inlineStr">
        <is>
          <t>UCS_MPa</t>
        </is>
      </c>
      <c r="D60" t="inlineStr">
        <is>
          <t>MPa</t>
        </is>
      </c>
      <c r="E60" t="inlineStr">
        <is>
          <t>RT_UCS</t>
        </is>
      </c>
      <c r="F60" t="inlineStr">
        <is>
          <t>16_No_ZD</t>
        </is>
      </c>
      <c r="G60" t="inlineStr">
        <is>
          <t>sin asignar</t>
        </is>
      </c>
      <c r="H60" t="inlineStr">
        <is>
          <t>Metamorfico_16</t>
        </is>
      </c>
      <c r="I60" t="inlineStr">
        <is>
          <t>Geologia_2024=Metamorfico_16 (no distingue hornfels/mármol)</t>
        </is>
      </c>
      <c r="J60" t="inlineStr">
        <is>
          <t>Mármol (hipótesis: siglas MC, MG, MGS, MPA, MCGB; 'Marble'~MCGB)</t>
        </is>
      </c>
      <c r="K60" t="inlineStr">
        <is>
          <t>Metamorfico</t>
        </is>
      </c>
      <c r="L60" t="inlineStr">
        <is>
          <t>todas las fuentes (Core_PLT + Core_UCS)</t>
        </is>
      </c>
      <c r="M60" t="n">
        <v>4602</v>
      </c>
      <c r="N60" t="n">
        <v>73.1011</v>
      </c>
      <c r="O60" t="n">
        <v>37.8654</v>
      </c>
      <c r="P60" t="n">
        <v>0.518</v>
      </c>
      <c r="Q60" t="n">
        <v>10.1</v>
      </c>
      <c r="R60" t="n">
        <v>27.8795</v>
      </c>
      <c r="S60" t="n">
        <v>33.4019</v>
      </c>
      <c r="T60" t="n">
        <v>45.584</v>
      </c>
      <c r="U60" t="n">
        <v>64.9165</v>
      </c>
      <c r="V60" t="n">
        <v>92.5925</v>
      </c>
      <c r="W60" t="n">
        <v>124.4524</v>
      </c>
      <c r="X60" t="n">
        <v>146.724</v>
      </c>
      <c r="Y60" t="n">
        <v>300</v>
      </c>
      <c r="Z60" t="inlineStr"/>
    </row>
    <row r="61">
      <c r="A61" t="inlineStr">
        <is>
          <t>MR24</t>
        </is>
      </c>
      <c r="B61" t="inlineStr">
        <is>
          <t>Merged_Table_Assay_lito</t>
        </is>
      </c>
      <c r="C61" t="inlineStr">
        <is>
          <t>UCS_MPa</t>
        </is>
      </c>
      <c r="D61" t="inlineStr">
        <is>
          <t>MPa</t>
        </is>
      </c>
      <c r="E61" t="inlineStr">
        <is>
          <t>RT_UCS</t>
        </is>
      </c>
      <c r="F61" t="inlineStr">
        <is>
          <t>16_ZD</t>
        </is>
      </c>
      <c r="G61" t="inlineStr">
        <is>
          <t>sin asignar</t>
        </is>
      </c>
      <c r="H61" t="inlineStr">
        <is>
          <t>Metamorfico_16</t>
        </is>
      </c>
      <c r="I61" t="inlineStr">
        <is>
          <t>Geologia_2024=Metamorfico_16 (no distingue hornfels/mármol)</t>
        </is>
      </c>
      <c r="J61" t="inlineStr">
        <is>
          <t>Mármol (hipótesis: siglas MC, MG, MGS, MPA, MCGB; 'Marble'~MCGB)</t>
        </is>
      </c>
      <c r="K61" t="inlineStr">
        <is>
          <t>Metamorfico</t>
        </is>
      </c>
      <c r="L61" t="inlineStr">
        <is>
          <t>todas las fuentes (Core_PLT + Core_UCS)</t>
        </is>
      </c>
      <c r="M61" t="n">
        <v>861</v>
      </c>
      <c r="N61" t="n">
        <v>89.51560000000001</v>
      </c>
      <c r="O61" t="n">
        <v>41.6288</v>
      </c>
      <c r="P61" t="n">
        <v>0.465</v>
      </c>
      <c r="Q61" t="n">
        <v>20.4381</v>
      </c>
      <c r="R61" t="n">
        <v>33.4098</v>
      </c>
      <c r="S61" t="n">
        <v>41.3</v>
      </c>
      <c r="T61" t="n">
        <v>58.201</v>
      </c>
      <c r="U61" t="n">
        <v>84.09999999999999</v>
      </c>
      <c r="V61" t="n">
        <v>115.507</v>
      </c>
      <c r="W61" t="n">
        <v>145.795</v>
      </c>
      <c r="X61" t="n">
        <v>168.857</v>
      </c>
      <c r="Y61" t="n">
        <v>300</v>
      </c>
      <c r="Z61" t="inlineStr"/>
    </row>
    <row r="62">
      <c r="A62" t="inlineStr">
        <is>
          <t>MR24</t>
        </is>
      </c>
      <c r="B62" t="inlineStr">
        <is>
          <t>Merged_Table_Assay_lito</t>
        </is>
      </c>
      <c r="C62" t="inlineStr">
        <is>
          <t>UCS_MPa</t>
        </is>
      </c>
      <c r="D62" t="inlineStr">
        <is>
          <t>MPa</t>
        </is>
      </c>
      <c r="E62" t="inlineStr">
        <is>
          <t>RT_UCS</t>
        </is>
      </c>
      <c r="F62" t="inlineStr">
        <is>
          <t>19_No_ZD</t>
        </is>
      </c>
      <c r="G62" t="inlineStr">
        <is>
          <t>sin asignar</t>
        </is>
      </c>
      <c r="H62" t="inlineStr">
        <is>
          <t>Metamorfico_19</t>
        </is>
      </c>
      <c r="I62" t="inlineStr">
        <is>
          <t>Geologia_2024=Metamorfico_19 (no distingue hornfels/mármol)</t>
        </is>
      </c>
      <c r="J62" t="inlineStr">
        <is>
          <t>Mármol (hipótesis: sigla MDP)</t>
        </is>
      </c>
      <c r="K62" t="inlineStr">
        <is>
          <t>Metamorfico</t>
        </is>
      </c>
      <c r="L62" t="inlineStr">
        <is>
          <t>todas las fuentes (Core_PLT + Core_UCS)</t>
        </is>
      </c>
      <c r="M62" t="n">
        <v>767</v>
      </c>
      <c r="N62" t="n">
        <v>88.2655</v>
      </c>
      <c r="O62" t="n">
        <v>38.7459</v>
      </c>
      <c r="P62" t="n">
        <v>0.439</v>
      </c>
      <c r="Q62" t="n">
        <v>15.47</v>
      </c>
      <c r="R62" t="n">
        <v>32.46</v>
      </c>
      <c r="S62" t="n">
        <v>42.1347</v>
      </c>
      <c r="T62" t="n">
        <v>58.5</v>
      </c>
      <c r="U62" t="n">
        <v>86.691</v>
      </c>
      <c r="V62" t="n">
        <v>111.87</v>
      </c>
      <c r="W62" t="n">
        <v>135.4094</v>
      </c>
      <c r="X62" t="n">
        <v>154.0907</v>
      </c>
      <c r="Y62" t="n">
        <v>300</v>
      </c>
      <c r="Z62" t="inlineStr"/>
    </row>
    <row r="63">
      <c r="A63" t="inlineStr">
        <is>
          <t>MR24</t>
        </is>
      </c>
      <c r="B63" t="inlineStr">
        <is>
          <t>Merged_Table_Assay_lito</t>
        </is>
      </c>
      <c r="C63" t="inlineStr">
        <is>
          <t>UCS_MPa</t>
        </is>
      </c>
      <c r="D63" t="inlineStr">
        <is>
          <t>MPa</t>
        </is>
      </c>
      <c r="E63" t="inlineStr">
        <is>
          <t>RT_UCS</t>
        </is>
      </c>
      <c r="F63" t="inlineStr">
        <is>
          <t>19_ZD</t>
        </is>
      </c>
      <c r="G63" t="inlineStr">
        <is>
          <t>sin asignar</t>
        </is>
      </c>
      <c r="H63" t="inlineStr">
        <is>
          <t>Metamorfico_19</t>
        </is>
      </c>
      <c r="I63" t="inlineStr">
        <is>
          <t>Geologia_2024=Metamorfico_19 (no distingue hornfels/mármol)</t>
        </is>
      </c>
      <c r="J63" t="inlineStr">
        <is>
          <t>Mármol (hipótesis: sigla MDP)</t>
        </is>
      </c>
      <c r="K63" t="inlineStr">
        <is>
          <t>Metamorfico</t>
        </is>
      </c>
      <c r="L63" t="inlineStr">
        <is>
          <t>todas las fuentes (Core_PLT + Core_UCS)</t>
        </is>
      </c>
      <c r="M63" t="n">
        <v>207</v>
      </c>
      <c r="N63" t="n">
        <v>101.1921</v>
      </c>
      <c r="O63" t="n">
        <v>42.8979</v>
      </c>
      <c r="P63" t="n">
        <v>0.4239</v>
      </c>
      <c r="Q63" t="n">
        <v>20.5535</v>
      </c>
      <c r="R63" t="n">
        <v>42.0055</v>
      </c>
      <c r="S63" t="n">
        <v>50.9971</v>
      </c>
      <c r="T63" t="n">
        <v>71.0215</v>
      </c>
      <c r="U63" t="n">
        <v>97.68000000000001</v>
      </c>
      <c r="V63" t="n">
        <v>124.1355</v>
      </c>
      <c r="W63" t="n">
        <v>147.8808</v>
      </c>
      <c r="X63" t="n">
        <v>165.4241</v>
      </c>
      <c r="Y63" t="n">
        <v>300</v>
      </c>
      <c r="Z63" t="inlineStr"/>
    </row>
    <row r="64">
      <c r="A64" t="inlineStr">
        <is>
          <t>MR24</t>
        </is>
      </c>
      <c r="B64" t="inlineStr">
        <is>
          <t>Merged_Table_Assay_lito</t>
        </is>
      </c>
      <c r="C64" t="inlineStr">
        <is>
          <t>UCS_MPa</t>
        </is>
      </c>
      <c r="D64" t="inlineStr">
        <is>
          <t>MPa</t>
        </is>
      </c>
      <c r="E64" t="inlineStr">
        <is>
          <t>RT_UCS</t>
        </is>
      </c>
      <c r="F64" t="inlineStr">
        <is>
          <t>1_No_ZD</t>
        </is>
      </c>
      <c r="G64" t="inlineStr">
        <is>
          <t>Intrusivo</t>
        </is>
      </c>
      <c r="H64" t="inlineStr">
        <is>
          <t>RT1</t>
        </is>
      </c>
      <c r="I64" t="inlineStr">
        <is>
          <t>Geologia_2024=Intrusivo_1</t>
        </is>
      </c>
      <c r="J64" t="inlineStr">
        <is>
          <t>Intrusivo</t>
        </is>
      </c>
      <c r="K64" t="inlineStr">
        <is>
          <t>Intrusivo</t>
        </is>
      </c>
      <c r="L64" t="inlineStr">
        <is>
          <t>todas las fuentes (Core_PLT + Core_UCS)</t>
        </is>
      </c>
      <c r="M64" t="n">
        <v>1562</v>
      </c>
      <c r="N64" t="n">
        <v>66.0934</v>
      </c>
      <c r="O64" t="n">
        <v>40.1381</v>
      </c>
      <c r="P64" t="n">
        <v>0.6073</v>
      </c>
      <c r="Q64" t="n">
        <v>4.8</v>
      </c>
      <c r="R64" t="n">
        <v>18.6981</v>
      </c>
      <c r="S64" t="n">
        <v>22.4051</v>
      </c>
      <c r="T64" t="n">
        <v>34.5567</v>
      </c>
      <c r="U64" t="n">
        <v>57.0032</v>
      </c>
      <c r="V64" t="n">
        <v>87.2961</v>
      </c>
      <c r="W64" t="n">
        <v>124.8901</v>
      </c>
      <c r="X64" t="n">
        <v>142.8972</v>
      </c>
      <c r="Y64" t="n">
        <v>260.943</v>
      </c>
      <c r="Z64" t="inlineStr"/>
    </row>
    <row r="65">
      <c r="A65" t="inlineStr">
        <is>
          <t>MR24</t>
        </is>
      </c>
      <c r="B65" t="inlineStr">
        <is>
          <t>Merged_Table_Assay_lito</t>
        </is>
      </c>
      <c r="C65" t="inlineStr">
        <is>
          <t>UCS_MPa</t>
        </is>
      </c>
      <c r="D65" t="inlineStr">
        <is>
          <t>MPa</t>
        </is>
      </c>
      <c r="E65" t="inlineStr">
        <is>
          <t>RT_UCS</t>
        </is>
      </c>
      <c r="F65" t="inlineStr">
        <is>
          <t>1_ZD</t>
        </is>
      </c>
      <c r="G65" t="inlineStr">
        <is>
          <t>Intrusivo</t>
        </is>
      </c>
      <c r="H65" t="inlineStr">
        <is>
          <t>RT1</t>
        </is>
      </c>
      <c r="I65" t="inlineStr">
        <is>
          <t>Geologia_2024=Intrusivo_1</t>
        </is>
      </c>
      <c r="J65" t="inlineStr">
        <is>
          <t>Intrusivo</t>
        </is>
      </c>
      <c r="K65" t="inlineStr">
        <is>
          <t>Intrusivo</t>
        </is>
      </c>
      <c r="L65" t="inlineStr">
        <is>
          <t>todas las fuentes (Core_PLT + Core_UCS)</t>
        </is>
      </c>
      <c r="M65" t="n">
        <v>170</v>
      </c>
      <c r="N65" t="n">
        <v>77.2389</v>
      </c>
      <c r="O65" t="n">
        <v>48.1935</v>
      </c>
      <c r="P65" t="n">
        <v>0.624</v>
      </c>
      <c r="Q65" t="n">
        <v>10.59</v>
      </c>
      <c r="R65" t="n">
        <v>18.0913</v>
      </c>
      <c r="S65" t="n">
        <v>25.2309</v>
      </c>
      <c r="T65" t="n">
        <v>37.8924</v>
      </c>
      <c r="U65" t="n">
        <v>64.7392</v>
      </c>
      <c r="V65" t="n">
        <v>110.029</v>
      </c>
      <c r="W65" t="n">
        <v>138.9572</v>
      </c>
      <c r="X65" t="n">
        <v>174.4674</v>
      </c>
      <c r="Y65" t="n">
        <v>218.369</v>
      </c>
      <c r="Z65" t="inlineStr"/>
    </row>
    <row r="66">
      <c r="A66" t="inlineStr">
        <is>
          <t>MR24</t>
        </is>
      </c>
      <c r="B66" t="inlineStr">
        <is>
          <t>Merged_Table_Assay_lito</t>
        </is>
      </c>
      <c r="C66" t="inlineStr">
        <is>
          <t>UCS_MPa</t>
        </is>
      </c>
      <c r="D66" t="inlineStr">
        <is>
          <t>MPa</t>
        </is>
      </c>
      <c r="E66" t="inlineStr">
        <is>
          <t>RT_UCS</t>
        </is>
      </c>
      <c r="F66" t="inlineStr">
        <is>
          <t>20_No_ZD</t>
        </is>
      </c>
      <c r="G66" t="inlineStr">
        <is>
          <t>Skarn</t>
        </is>
      </c>
      <c r="H66" t="inlineStr">
        <is>
          <t>Endoskarn_20</t>
        </is>
      </c>
      <c r="I66" t="inlineStr">
        <is>
          <t>Geologia_2024=Endoskarn_20</t>
        </is>
      </c>
      <c r="J66" t="inlineStr">
        <is>
          <t>Skarn</t>
        </is>
      </c>
      <c r="K66" t="inlineStr">
        <is>
          <t>Endoskarn</t>
        </is>
      </c>
      <c r="L66" t="inlineStr">
        <is>
          <t>todas las fuentes (Core_PLT + Core_UCS)</t>
        </is>
      </c>
      <c r="M66" t="n">
        <v>6</v>
      </c>
      <c r="N66" t="n">
        <v>46.8264</v>
      </c>
      <c r="O66" t="n">
        <v>37.4778</v>
      </c>
      <c r="P66" t="n">
        <v>0.8004</v>
      </c>
      <c r="Q66" t="n">
        <v>15</v>
      </c>
      <c r="R66" t="n">
        <v>15</v>
      </c>
      <c r="S66" t="n">
        <v>15</v>
      </c>
      <c r="T66" t="n">
        <v>18.2574</v>
      </c>
      <c r="U66" t="n">
        <v>33.1591</v>
      </c>
      <c r="V66" t="n">
        <v>67.7954</v>
      </c>
      <c r="W66" t="n">
        <v>92.31999999999999</v>
      </c>
      <c r="X66" t="n">
        <v>99.6645</v>
      </c>
      <c r="Y66" t="n">
        <v>107.009</v>
      </c>
      <c r="Z66" t="inlineStr"/>
    </row>
    <row r="67">
      <c r="A67" t="inlineStr">
        <is>
          <t>MR24</t>
        </is>
      </c>
      <c r="B67" t="inlineStr">
        <is>
          <t>Merged_Table_Assay_lito</t>
        </is>
      </c>
      <c r="C67" t="inlineStr">
        <is>
          <t>UCS_MPa</t>
        </is>
      </c>
      <c r="D67" t="inlineStr">
        <is>
          <t>MPa</t>
        </is>
      </c>
      <c r="E67" t="inlineStr">
        <is>
          <t>RT_UCS</t>
        </is>
      </c>
      <c r="F67" t="inlineStr">
        <is>
          <t>22_No_ZD</t>
        </is>
      </c>
      <c r="G67" t="inlineStr">
        <is>
          <t>Skarn</t>
        </is>
      </c>
      <c r="H67" t="inlineStr">
        <is>
          <t>Endoskarn_22</t>
        </is>
      </c>
      <c r="I67" t="inlineStr">
        <is>
          <t>Geologia_2024=Endoskarn_22</t>
        </is>
      </c>
      <c r="J67" t="inlineStr">
        <is>
          <t>Skarn</t>
        </is>
      </c>
      <c r="K67" t="inlineStr">
        <is>
          <t>Endoskarn</t>
        </is>
      </c>
      <c r="L67" t="inlineStr">
        <is>
          <t>todas las fuentes (Core_PLT + Core_UCS)</t>
        </is>
      </c>
      <c r="M67" t="n">
        <v>59</v>
      </c>
      <c r="N67" t="n">
        <v>44.9241</v>
      </c>
      <c r="O67" t="n">
        <v>30.4435</v>
      </c>
      <c r="P67" t="n">
        <v>0.6777</v>
      </c>
      <c r="Q67" t="n">
        <v>7.18</v>
      </c>
      <c r="R67" t="n">
        <v>14.74</v>
      </c>
      <c r="S67" t="n">
        <v>15.311</v>
      </c>
      <c r="T67" t="n">
        <v>20.1906</v>
      </c>
      <c r="U67" t="n">
        <v>35.7</v>
      </c>
      <c r="V67" t="n">
        <v>58.5597</v>
      </c>
      <c r="W67" t="n">
        <v>99.92</v>
      </c>
      <c r="X67" t="n">
        <v>106.1216</v>
      </c>
      <c r="Y67" t="n">
        <v>127.929</v>
      </c>
      <c r="Z67" t="inlineStr"/>
    </row>
    <row r="68">
      <c r="A68" t="inlineStr">
        <is>
          <t>MR24</t>
        </is>
      </c>
      <c r="B68" t="inlineStr">
        <is>
          <t>Merged_Table_Assay_lito</t>
        </is>
      </c>
      <c r="C68" t="inlineStr">
        <is>
          <t>UCS_MPa</t>
        </is>
      </c>
      <c r="D68" t="inlineStr">
        <is>
          <t>MPa</t>
        </is>
      </c>
      <c r="E68" t="inlineStr">
        <is>
          <t>RT_UCS</t>
        </is>
      </c>
      <c r="F68" t="inlineStr">
        <is>
          <t>22_ZD</t>
        </is>
      </c>
      <c r="G68" t="inlineStr">
        <is>
          <t>Skarn</t>
        </is>
      </c>
      <c r="H68" t="inlineStr">
        <is>
          <t>Endoskarn_22</t>
        </is>
      </c>
      <c r="I68" t="inlineStr">
        <is>
          <t>Geologia_2024=Endoskarn_22</t>
        </is>
      </c>
      <c r="J68" t="inlineStr">
        <is>
          <t>Skarn</t>
        </is>
      </c>
      <c r="K68" t="inlineStr">
        <is>
          <t>Endoskarn</t>
        </is>
      </c>
      <c r="L68" t="inlineStr">
        <is>
          <t>todas las fuentes (Core_PLT + Core_UCS)</t>
        </is>
      </c>
      <c r="M68" t="n">
        <v>6</v>
      </c>
      <c r="N68" t="n">
        <v>53.2389</v>
      </c>
      <c r="O68" t="n">
        <v>29.778</v>
      </c>
      <c r="P68" t="n">
        <v>0.5593</v>
      </c>
      <c r="Q68" t="n">
        <v>21.0677</v>
      </c>
      <c r="R68" t="n">
        <v>23.2204</v>
      </c>
      <c r="S68" t="n">
        <v>25.373</v>
      </c>
      <c r="T68" t="n">
        <v>30.1882</v>
      </c>
      <c r="U68" t="n">
        <v>48.9722</v>
      </c>
      <c r="V68" t="n">
        <v>74.1617</v>
      </c>
      <c r="W68" t="n">
        <v>85.3715</v>
      </c>
      <c r="X68" t="n">
        <v>89.654</v>
      </c>
      <c r="Y68" t="n">
        <v>93.93640000000001</v>
      </c>
      <c r="Z68" t="inlineStr"/>
    </row>
    <row r="69">
      <c r="A69" t="inlineStr">
        <is>
          <t>MR24</t>
        </is>
      </c>
      <c r="B69" t="inlineStr">
        <is>
          <t>Merged_Table_Assay_lito</t>
        </is>
      </c>
      <c r="C69" t="inlineStr">
        <is>
          <t>UCS_MPa</t>
        </is>
      </c>
      <c r="D69" t="inlineStr">
        <is>
          <t>MPa</t>
        </is>
      </c>
      <c r="E69" t="inlineStr">
        <is>
          <t>RT_UCS</t>
        </is>
      </c>
      <c r="F69" t="inlineStr">
        <is>
          <t>23_No_ZD</t>
        </is>
      </c>
      <c r="G69" t="inlineStr">
        <is>
          <t>Skarn</t>
        </is>
      </c>
      <c r="H69" t="inlineStr">
        <is>
          <t>Endoskarn_23</t>
        </is>
      </c>
      <c r="I69" t="inlineStr">
        <is>
          <t>Geologia_2024=Endoskarn_23</t>
        </is>
      </c>
      <c r="J69" t="inlineStr">
        <is>
          <t>Skarn</t>
        </is>
      </c>
      <c r="K69" t="inlineStr">
        <is>
          <t>Endoskarn</t>
        </is>
      </c>
      <c r="L69" t="inlineStr">
        <is>
          <t>todas las fuentes (Core_PLT + Core_UCS)</t>
        </is>
      </c>
      <c r="M69" t="n">
        <v>6</v>
      </c>
      <c r="N69" t="n">
        <v>55.4164</v>
      </c>
      <c r="O69" t="n">
        <v>25.7632</v>
      </c>
      <c r="P69" t="n">
        <v>0.4649</v>
      </c>
      <c r="Q69" t="n">
        <v>18.8842</v>
      </c>
      <c r="R69" t="n">
        <v>21.8832</v>
      </c>
      <c r="S69" t="n">
        <v>24.8821</v>
      </c>
      <c r="T69" t="n">
        <v>37.2092</v>
      </c>
      <c r="U69" t="n">
        <v>61.0826</v>
      </c>
      <c r="V69" t="n">
        <v>73.646</v>
      </c>
      <c r="W69" t="n">
        <v>80.28440000000001</v>
      </c>
      <c r="X69" t="n">
        <v>82.324</v>
      </c>
      <c r="Y69" t="n">
        <v>84.36360000000001</v>
      </c>
      <c r="Z69" t="inlineStr"/>
    </row>
    <row r="70">
      <c r="A70" t="inlineStr">
        <is>
          <t>MR24</t>
        </is>
      </c>
      <c r="B70" t="inlineStr">
        <is>
          <t>Merged_Table_Assay_lito</t>
        </is>
      </c>
      <c r="C70" t="inlineStr">
        <is>
          <t>UCS_MPa</t>
        </is>
      </c>
      <c r="D70" t="inlineStr">
        <is>
          <t>MPa</t>
        </is>
      </c>
      <c r="E70" t="inlineStr">
        <is>
          <t>RT_UCS</t>
        </is>
      </c>
      <c r="F70" t="inlineStr">
        <is>
          <t>2_No_ZD</t>
        </is>
      </c>
      <c r="G70" t="inlineStr">
        <is>
          <t>Intrusivo</t>
        </is>
      </c>
      <c r="H70" t="inlineStr">
        <is>
          <t>RT2</t>
        </is>
      </c>
      <c r="I70" t="inlineStr">
        <is>
          <t>Geologia_2024=Intrusivo_2</t>
        </is>
      </c>
      <c r="J70" t="inlineStr">
        <is>
          <t>Intrusivo</t>
        </is>
      </c>
      <c r="K70" t="inlineStr">
        <is>
          <t>Intrusivo</t>
        </is>
      </c>
      <c r="L70" t="inlineStr">
        <is>
          <t>todas las fuentes (Core_PLT + Core_UCS)</t>
        </is>
      </c>
      <c r="M70" t="n">
        <v>231</v>
      </c>
      <c r="N70" t="n">
        <v>121.6387</v>
      </c>
      <c r="O70" t="n">
        <v>51.8424</v>
      </c>
      <c r="P70" t="n">
        <v>0.4262</v>
      </c>
      <c r="Q70" t="n">
        <v>30.3203</v>
      </c>
      <c r="R70" t="n">
        <v>50.7433</v>
      </c>
      <c r="S70" t="n">
        <v>57.4986</v>
      </c>
      <c r="T70" t="n">
        <v>79.9639</v>
      </c>
      <c r="U70" t="n">
        <v>112.798</v>
      </c>
      <c r="V70" t="n">
        <v>164.661</v>
      </c>
      <c r="W70" t="n">
        <v>200.774</v>
      </c>
      <c r="X70" t="n">
        <v>210.687</v>
      </c>
      <c r="Y70" t="n">
        <v>297.1</v>
      </c>
      <c r="Z70" t="inlineStr"/>
    </row>
    <row r="71">
      <c r="A71" t="inlineStr">
        <is>
          <t>MR24</t>
        </is>
      </c>
      <c r="B71" t="inlineStr">
        <is>
          <t>Merged_Table_Assay_lito</t>
        </is>
      </c>
      <c r="C71" t="inlineStr">
        <is>
          <t>UCS_MPa</t>
        </is>
      </c>
      <c r="D71" t="inlineStr">
        <is>
          <t>MPa</t>
        </is>
      </c>
      <c r="E71" t="inlineStr">
        <is>
          <t>RT_UCS</t>
        </is>
      </c>
      <c r="F71" t="inlineStr">
        <is>
          <t>2_ZD</t>
        </is>
      </c>
      <c r="G71" t="inlineStr">
        <is>
          <t>Intrusivo</t>
        </is>
      </c>
      <c r="H71" t="inlineStr">
        <is>
          <t>RT2</t>
        </is>
      </c>
      <c r="I71" t="inlineStr">
        <is>
          <t>Geologia_2024=Intrusivo_2</t>
        </is>
      </c>
      <c r="J71" t="inlineStr">
        <is>
          <t>Intrusivo</t>
        </is>
      </c>
      <c r="K71" t="inlineStr">
        <is>
          <t>Intrusivo</t>
        </is>
      </c>
      <c r="L71" t="inlineStr">
        <is>
          <t>todas las fuentes (Core_PLT + Core_UCS)</t>
        </is>
      </c>
      <c r="M71" t="n">
        <v>123</v>
      </c>
      <c r="N71" t="n">
        <v>135.3359</v>
      </c>
      <c r="O71" t="n">
        <v>56.763</v>
      </c>
      <c r="P71" t="n">
        <v>0.4194</v>
      </c>
      <c r="Q71" t="n">
        <v>25.2929</v>
      </c>
      <c r="R71" t="n">
        <v>47.8066</v>
      </c>
      <c r="S71" t="n">
        <v>55.0796</v>
      </c>
      <c r="T71" t="n">
        <v>96.0667</v>
      </c>
      <c r="U71" t="n">
        <v>133.692</v>
      </c>
      <c r="V71" t="n">
        <v>175.89</v>
      </c>
      <c r="W71" t="n">
        <v>205.0784</v>
      </c>
      <c r="X71" t="n">
        <v>225.0775</v>
      </c>
      <c r="Y71" t="n">
        <v>300</v>
      </c>
      <c r="Z71" t="inlineStr"/>
    </row>
    <row r="72">
      <c r="A72" t="inlineStr">
        <is>
          <t>MR24</t>
        </is>
      </c>
      <c r="B72" t="inlineStr">
        <is>
          <t>Merged_Table_Assay_lito</t>
        </is>
      </c>
      <c r="C72" t="inlineStr">
        <is>
          <t>UCS_MPa</t>
        </is>
      </c>
      <c r="D72" t="inlineStr">
        <is>
          <t>MPa</t>
        </is>
      </c>
      <c r="E72" t="inlineStr">
        <is>
          <t>RT_UCS</t>
        </is>
      </c>
      <c r="F72" t="inlineStr">
        <is>
          <t>31_No_ZD</t>
        </is>
      </c>
      <c r="G72" t="inlineStr">
        <is>
          <t>Skarn</t>
        </is>
      </c>
      <c r="H72" t="inlineStr">
        <is>
          <t>Exoskarn_31</t>
        </is>
      </c>
      <c r="I72" t="inlineStr">
        <is>
          <t>Geologia_2024=Exoskarn_31</t>
        </is>
      </c>
      <c r="J72" t="inlineStr">
        <is>
          <t>Skarn</t>
        </is>
      </c>
      <c r="K72" t="inlineStr">
        <is>
          <t>Exoskarn</t>
        </is>
      </c>
      <c r="L72" t="inlineStr">
        <is>
          <t>todas las fuentes (Core_PLT + Core_UCS)</t>
        </is>
      </c>
      <c r="M72" t="n">
        <v>2</v>
      </c>
      <c r="N72" t="n">
        <v>20.2833</v>
      </c>
      <c r="O72" t="n">
        <v>1.3366</v>
      </c>
      <c r="P72" t="n">
        <v>0.0659</v>
      </c>
      <c r="Q72" t="n">
        <v>19.3382</v>
      </c>
      <c r="R72" t="n">
        <v>19.4327</v>
      </c>
      <c r="S72" t="n">
        <v>19.5272</v>
      </c>
      <c r="T72" t="n">
        <v>19.8108</v>
      </c>
      <c r="U72" t="n">
        <v>20.2833</v>
      </c>
      <c r="V72" t="n">
        <v>20.7559</v>
      </c>
      <c r="W72" t="n">
        <v>21.0394</v>
      </c>
      <c r="X72" t="n">
        <v>21.1339</v>
      </c>
      <c r="Y72" t="n">
        <v>21.2284</v>
      </c>
      <c r="Z72" t="inlineStr"/>
    </row>
    <row r="73">
      <c r="A73" t="inlineStr">
        <is>
          <t>MR24</t>
        </is>
      </c>
      <c r="B73" t="inlineStr">
        <is>
          <t>Merged_Table_Assay_lito</t>
        </is>
      </c>
      <c r="C73" t="inlineStr">
        <is>
          <t>UCS_MPa</t>
        </is>
      </c>
      <c r="D73" t="inlineStr">
        <is>
          <t>MPa</t>
        </is>
      </c>
      <c r="E73" t="inlineStr">
        <is>
          <t>RT_UCS</t>
        </is>
      </c>
      <c r="F73" t="inlineStr">
        <is>
          <t>32_No_ZD</t>
        </is>
      </c>
      <c r="G73" t="inlineStr">
        <is>
          <t>Skarn</t>
        </is>
      </c>
      <c r="H73" t="inlineStr">
        <is>
          <t>Exoskarn_32</t>
        </is>
      </c>
      <c r="I73" t="inlineStr">
        <is>
          <t>Geologia_2024=Exoskarn_32</t>
        </is>
      </c>
      <c r="J73" t="inlineStr">
        <is>
          <t>Skarn</t>
        </is>
      </c>
      <c r="K73" t="inlineStr">
        <is>
          <t>Exoskarn</t>
        </is>
      </c>
      <c r="L73" t="inlineStr">
        <is>
          <t>todas las fuentes (Core_PLT + Core_UCS)</t>
        </is>
      </c>
      <c r="M73" t="n">
        <v>13</v>
      </c>
      <c r="N73" t="n">
        <v>59.9081</v>
      </c>
      <c r="O73" t="n">
        <v>30.7007</v>
      </c>
      <c r="P73" t="n">
        <v>0.5125</v>
      </c>
      <c r="Q73" t="n">
        <v>26.6328</v>
      </c>
      <c r="R73" t="n">
        <v>32.4631</v>
      </c>
      <c r="S73" t="n">
        <v>36.76</v>
      </c>
      <c r="T73" t="n">
        <v>41.2</v>
      </c>
      <c r="U73" t="n">
        <v>52.9256</v>
      </c>
      <c r="V73" t="n">
        <v>72.8454</v>
      </c>
      <c r="W73" t="n">
        <v>76.1024</v>
      </c>
      <c r="X73" t="n">
        <v>105.2912</v>
      </c>
      <c r="Y73" t="n">
        <v>147.853</v>
      </c>
      <c r="Z73" t="inlineStr"/>
    </row>
    <row r="74">
      <c r="A74" t="inlineStr">
        <is>
          <t>MR24</t>
        </is>
      </c>
      <c r="B74" t="inlineStr">
        <is>
          <t>Merged_Table_Assay_lito</t>
        </is>
      </c>
      <c r="C74" t="inlineStr">
        <is>
          <t>UCS_MPa</t>
        </is>
      </c>
      <c r="D74" t="inlineStr">
        <is>
          <t>MPa</t>
        </is>
      </c>
      <c r="E74" t="inlineStr">
        <is>
          <t>RT_UCS</t>
        </is>
      </c>
      <c r="F74" t="inlineStr">
        <is>
          <t>32_ZD</t>
        </is>
      </c>
      <c r="G74" t="inlineStr">
        <is>
          <t>Skarn</t>
        </is>
      </c>
      <c r="H74" t="inlineStr">
        <is>
          <t>Exoskarn_32</t>
        </is>
      </c>
      <c r="I74" t="inlineStr">
        <is>
          <t>Geologia_2024=Exoskarn_32</t>
        </is>
      </c>
      <c r="J74" t="inlineStr">
        <is>
          <t>Skarn</t>
        </is>
      </c>
      <c r="K74" t="inlineStr">
        <is>
          <t>Exoskarn</t>
        </is>
      </c>
      <c r="L74" t="inlineStr">
        <is>
          <t>todas las fuentes (Core_PLT + Core_UCS)</t>
        </is>
      </c>
      <c r="M74" t="n">
        <v>1</v>
      </c>
      <c r="N74" t="n">
        <v>74.5932</v>
      </c>
      <c r="O74" t="inlineStr"/>
      <c r="P74" t="inlineStr"/>
      <c r="Q74" t="n">
        <v>74.5932</v>
      </c>
      <c r="R74" t="n">
        <v>74.5932</v>
      </c>
      <c r="S74" t="n">
        <v>74.5932</v>
      </c>
      <c r="T74" t="n">
        <v>74.5932</v>
      </c>
      <c r="U74" t="n">
        <v>74.5932</v>
      </c>
      <c r="V74" t="n">
        <v>74.5932</v>
      </c>
      <c r="W74" t="n">
        <v>74.5932</v>
      </c>
      <c r="X74" t="n">
        <v>74.5932</v>
      </c>
      <c r="Y74" t="n">
        <v>74.5932</v>
      </c>
      <c r="Z74" t="inlineStr"/>
    </row>
    <row r="75">
      <c r="A75" t="inlineStr">
        <is>
          <t>MR24</t>
        </is>
      </c>
      <c r="B75" t="inlineStr">
        <is>
          <t>Merged_Table_Assay_lito</t>
        </is>
      </c>
      <c r="C75" t="inlineStr">
        <is>
          <t>UCS_MPa</t>
        </is>
      </c>
      <c r="D75" t="inlineStr">
        <is>
          <t>MPa</t>
        </is>
      </c>
      <c r="E75" t="inlineStr">
        <is>
          <t>RT_UCS</t>
        </is>
      </c>
      <c r="F75" t="inlineStr">
        <is>
          <t>34_No_ZD</t>
        </is>
      </c>
      <c r="G75" t="inlineStr">
        <is>
          <t>Skarn</t>
        </is>
      </c>
      <c r="H75" t="inlineStr">
        <is>
          <t>Exoskarn_34</t>
        </is>
      </c>
      <c r="I75" t="inlineStr">
        <is>
          <t>Geologia_2024=Exoskarn_34</t>
        </is>
      </c>
      <c r="J75" t="inlineStr">
        <is>
          <t>Skarn</t>
        </is>
      </c>
      <c r="K75" t="inlineStr">
        <is>
          <t>Exoskarn</t>
        </is>
      </c>
      <c r="L75" t="inlineStr">
        <is>
          <t>todas las fuentes (Core_PLT + Core_UCS)</t>
        </is>
      </c>
      <c r="M75" t="n">
        <v>15</v>
      </c>
      <c r="N75" t="n">
        <v>102.2453</v>
      </c>
      <c r="O75" t="n">
        <v>41.2941</v>
      </c>
      <c r="P75" t="n">
        <v>0.4039</v>
      </c>
      <c r="Q75" t="n">
        <v>58.1298</v>
      </c>
      <c r="R75" t="n">
        <v>58.1298</v>
      </c>
      <c r="S75" t="n">
        <v>62.8136</v>
      </c>
      <c r="T75" t="n">
        <v>72.1395</v>
      </c>
      <c r="U75" t="n">
        <v>86.428</v>
      </c>
      <c r="V75" t="n">
        <v>128.806</v>
      </c>
      <c r="W75" t="n">
        <v>156.351</v>
      </c>
      <c r="X75" t="n">
        <v>167.1268</v>
      </c>
      <c r="Y75" t="n">
        <v>188.887</v>
      </c>
      <c r="Z75" t="inlineStr"/>
    </row>
    <row r="76">
      <c r="A76" t="inlineStr">
        <is>
          <t>MR24</t>
        </is>
      </c>
      <c r="B76" t="inlineStr">
        <is>
          <t>Merged_Table_Assay_lito</t>
        </is>
      </c>
      <c r="C76" t="inlineStr">
        <is>
          <t>UCS_MPa</t>
        </is>
      </c>
      <c r="D76" t="inlineStr">
        <is>
          <t>MPa</t>
        </is>
      </c>
      <c r="E76" t="inlineStr">
        <is>
          <t>RT_UCS</t>
        </is>
      </c>
      <c r="F76" t="inlineStr">
        <is>
          <t>34_ZD</t>
        </is>
      </c>
      <c r="G76" t="inlineStr">
        <is>
          <t>Skarn</t>
        </is>
      </c>
      <c r="H76" t="inlineStr">
        <is>
          <t>Exoskarn_34</t>
        </is>
      </c>
      <c r="I76" t="inlineStr">
        <is>
          <t>Geologia_2024=Exoskarn_34</t>
        </is>
      </c>
      <c r="J76" t="inlineStr">
        <is>
          <t>Skarn</t>
        </is>
      </c>
      <c r="K76" t="inlineStr">
        <is>
          <t>Exoskarn</t>
        </is>
      </c>
      <c r="L76" t="inlineStr">
        <is>
          <t>todas las fuentes (Core_PLT + Core_UCS)</t>
        </is>
      </c>
      <c r="M76" t="n">
        <v>20</v>
      </c>
      <c r="N76" t="n">
        <v>129.754</v>
      </c>
      <c r="O76" t="n">
        <v>45.6732</v>
      </c>
      <c r="P76" t="n">
        <v>0.352</v>
      </c>
      <c r="Q76" t="n">
        <v>27.183</v>
      </c>
      <c r="R76" t="n">
        <v>55.523</v>
      </c>
      <c r="S76" t="n">
        <v>70.746</v>
      </c>
      <c r="T76" t="n">
        <v>106.1878</v>
      </c>
      <c r="U76" t="n">
        <v>136.282</v>
      </c>
      <c r="V76" t="n">
        <v>159.892</v>
      </c>
      <c r="W76" t="n">
        <v>177.5956</v>
      </c>
      <c r="X76" t="n">
        <v>184.0133</v>
      </c>
      <c r="Y76" t="n">
        <v>210.6</v>
      </c>
      <c r="Z76" t="inlineStr"/>
    </row>
    <row r="77">
      <c r="A77" t="inlineStr">
        <is>
          <t>MR24</t>
        </is>
      </c>
      <c r="B77" t="inlineStr">
        <is>
          <t>Merged_Table_Assay_lito</t>
        </is>
      </c>
      <c r="C77" t="inlineStr">
        <is>
          <t>UCS_MPa</t>
        </is>
      </c>
      <c r="D77" t="inlineStr">
        <is>
          <t>MPa</t>
        </is>
      </c>
      <c r="E77" t="inlineStr">
        <is>
          <t>RT_UCS</t>
        </is>
      </c>
      <c r="F77" t="inlineStr">
        <is>
          <t>35_No_ZD</t>
        </is>
      </c>
      <c r="G77" t="inlineStr">
        <is>
          <t>Skarn</t>
        </is>
      </c>
      <c r="H77" t="inlineStr">
        <is>
          <t>Exoskarn_35</t>
        </is>
      </c>
      <c r="I77" t="inlineStr">
        <is>
          <t>Geologia_2024=Exoskarn_35</t>
        </is>
      </c>
      <c r="J77" t="inlineStr">
        <is>
          <t>Skarn</t>
        </is>
      </c>
      <c r="K77" t="inlineStr">
        <is>
          <t>Exoskarn</t>
        </is>
      </c>
      <c r="L77" t="inlineStr">
        <is>
          <t>todas las fuentes (Core_PLT + Core_UCS)</t>
        </is>
      </c>
      <c r="M77" t="n">
        <v>12</v>
      </c>
      <c r="N77" t="n">
        <v>65.402</v>
      </c>
      <c r="O77" t="n">
        <v>16.5564</v>
      </c>
      <c r="P77" t="n">
        <v>0.2531</v>
      </c>
      <c r="Q77" t="n">
        <v>42.9352</v>
      </c>
      <c r="R77" t="n">
        <v>47.1601</v>
      </c>
      <c r="S77" t="n">
        <v>51.0196</v>
      </c>
      <c r="T77" t="n">
        <v>55.4812</v>
      </c>
      <c r="U77" t="n">
        <v>61.3994</v>
      </c>
      <c r="V77" t="n">
        <v>70.8152</v>
      </c>
      <c r="W77" t="n">
        <v>91.51609999999999</v>
      </c>
      <c r="X77" t="n">
        <v>94.1926</v>
      </c>
      <c r="Y77" t="n">
        <v>96.18600000000001</v>
      </c>
      <c r="Z77" t="inlineStr"/>
    </row>
    <row r="78">
      <c r="A78" t="inlineStr">
        <is>
          <t>MR24</t>
        </is>
      </c>
      <c r="B78" t="inlineStr">
        <is>
          <t>Merged_Table_Assay_lito</t>
        </is>
      </c>
      <c r="C78" t="inlineStr">
        <is>
          <t>UCS_MPa</t>
        </is>
      </c>
      <c r="D78" t="inlineStr">
        <is>
          <t>MPa</t>
        </is>
      </c>
      <c r="E78" t="inlineStr">
        <is>
          <t>RT_UCS</t>
        </is>
      </c>
      <c r="F78" t="inlineStr">
        <is>
          <t>35_ZD</t>
        </is>
      </c>
      <c r="G78" t="inlineStr">
        <is>
          <t>Skarn</t>
        </is>
      </c>
      <c r="H78" t="inlineStr">
        <is>
          <t>Exoskarn_35</t>
        </is>
      </c>
      <c r="I78" t="inlineStr">
        <is>
          <t>Geologia_2024=Exoskarn_35</t>
        </is>
      </c>
      <c r="J78" t="inlineStr">
        <is>
          <t>Skarn</t>
        </is>
      </c>
      <c r="K78" t="inlineStr">
        <is>
          <t>Exoskarn</t>
        </is>
      </c>
      <c r="L78" t="inlineStr">
        <is>
          <t>todas las fuentes (Core_PLT + Core_UCS)</t>
        </is>
      </c>
      <c r="M78" t="n">
        <v>1</v>
      </c>
      <c r="N78" t="n">
        <v>42.3776</v>
      </c>
      <c r="O78" t="inlineStr"/>
      <c r="P78" t="inlineStr"/>
      <c r="Q78" t="n">
        <v>42.3776</v>
      </c>
      <c r="R78" t="n">
        <v>42.3776</v>
      </c>
      <c r="S78" t="n">
        <v>42.3776</v>
      </c>
      <c r="T78" t="n">
        <v>42.3776</v>
      </c>
      <c r="U78" t="n">
        <v>42.3776</v>
      </c>
      <c r="V78" t="n">
        <v>42.3776</v>
      </c>
      <c r="W78" t="n">
        <v>42.3776</v>
      </c>
      <c r="X78" t="n">
        <v>42.3776</v>
      </c>
      <c r="Y78" t="n">
        <v>42.3776</v>
      </c>
      <c r="Z78" t="inlineStr"/>
    </row>
    <row r="79">
      <c r="A79" t="inlineStr">
        <is>
          <t>MR24</t>
        </is>
      </c>
      <c r="B79" t="inlineStr">
        <is>
          <t>Merged_Table_Assay_lito</t>
        </is>
      </c>
      <c r="C79" t="inlineStr">
        <is>
          <t>UCS_MPa</t>
        </is>
      </c>
      <c r="D79" t="inlineStr">
        <is>
          <t>MPa</t>
        </is>
      </c>
      <c r="E79" t="inlineStr">
        <is>
          <t>RT_UCS</t>
        </is>
      </c>
      <c r="F79" t="inlineStr">
        <is>
          <t>36_No_ZD</t>
        </is>
      </c>
      <c r="G79" t="inlineStr">
        <is>
          <t>Skarn</t>
        </is>
      </c>
      <c r="H79" t="inlineStr">
        <is>
          <t>Exoskarn_36</t>
        </is>
      </c>
      <c r="I79" t="inlineStr">
        <is>
          <t>Geologia_2024=Exoskarn_36</t>
        </is>
      </c>
      <c r="J79" t="inlineStr">
        <is>
          <t>Skarn</t>
        </is>
      </c>
      <c r="K79" t="inlineStr">
        <is>
          <t>Exoskarn</t>
        </is>
      </c>
      <c r="L79" t="inlineStr">
        <is>
          <t>todas las fuentes (Core_PLT + Core_UCS)</t>
        </is>
      </c>
      <c r="M79" t="n">
        <v>1</v>
      </c>
      <c r="N79" t="n">
        <v>100.181</v>
      </c>
      <c r="O79" t="inlineStr"/>
      <c r="P79" t="inlineStr"/>
      <c r="Q79" t="n">
        <v>100.181</v>
      </c>
      <c r="R79" t="n">
        <v>100.181</v>
      </c>
      <c r="S79" t="n">
        <v>100.181</v>
      </c>
      <c r="T79" t="n">
        <v>100.181</v>
      </c>
      <c r="U79" t="n">
        <v>100.181</v>
      </c>
      <c r="V79" t="n">
        <v>100.181</v>
      </c>
      <c r="W79" t="n">
        <v>100.181</v>
      </c>
      <c r="X79" t="n">
        <v>100.181</v>
      </c>
      <c r="Y79" t="n">
        <v>100.181</v>
      </c>
      <c r="Z79" t="inlineStr"/>
    </row>
    <row r="80">
      <c r="A80" t="inlineStr">
        <is>
          <t>MR24</t>
        </is>
      </c>
      <c r="B80" t="inlineStr">
        <is>
          <t>Merged_Table_Assay_lito</t>
        </is>
      </c>
      <c r="C80" t="inlineStr">
        <is>
          <t>UCS_MPa</t>
        </is>
      </c>
      <c r="D80" t="inlineStr">
        <is>
          <t>MPa</t>
        </is>
      </c>
      <c r="E80" t="inlineStr">
        <is>
          <t>RT_UCS</t>
        </is>
      </c>
      <c r="F80" t="inlineStr">
        <is>
          <t>36_ZD</t>
        </is>
      </c>
      <c r="G80" t="inlineStr">
        <is>
          <t>Skarn</t>
        </is>
      </c>
      <c r="H80" t="inlineStr">
        <is>
          <t>Exoskarn_36</t>
        </is>
      </c>
      <c r="I80" t="inlineStr">
        <is>
          <t>Geologia_2024=Exoskarn_36</t>
        </is>
      </c>
      <c r="J80" t="inlineStr">
        <is>
          <t>Skarn</t>
        </is>
      </c>
      <c r="K80" t="inlineStr">
        <is>
          <t>Exoskarn</t>
        </is>
      </c>
      <c r="L80" t="inlineStr">
        <is>
          <t>todas las fuentes (Core_PLT + Core_UCS)</t>
        </is>
      </c>
      <c r="M80" t="n">
        <v>5</v>
      </c>
      <c r="N80" t="n">
        <v>100.7608</v>
      </c>
      <c r="O80" t="n">
        <v>46.5952</v>
      </c>
      <c r="P80" t="n">
        <v>0.4624</v>
      </c>
      <c r="Q80" t="n">
        <v>41.7</v>
      </c>
      <c r="R80" t="n">
        <v>51.34</v>
      </c>
      <c r="S80" t="n">
        <v>60.98</v>
      </c>
      <c r="T80" t="n">
        <v>89.90000000000001</v>
      </c>
      <c r="U80" t="n">
        <v>99.3</v>
      </c>
      <c r="V80" t="n">
        <v>100.896</v>
      </c>
      <c r="W80" t="n">
        <v>143.5632</v>
      </c>
      <c r="X80" t="n">
        <v>157.7856</v>
      </c>
      <c r="Y80" t="n">
        <v>172.008</v>
      </c>
      <c r="Z80" t="inlineStr"/>
    </row>
    <row r="81">
      <c r="A81" t="inlineStr">
        <is>
          <t>MR24</t>
        </is>
      </c>
      <c r="B81" t="inlineStr">
        <is>
          <t>Merged_Table_Assay_lito</t>
        </is>
      </c>
      <c r="C81" t="inlineStr">
        <is>
          <t>UCS_MPa</t>
        </is>
      </c>
      <c r="D81" t="inlineStr">
        <is>
          <t>MPa</t>
        </is>
      </c>
      <c r="E81" t="inlineStr">
        <is>
          <t>RT_UCS</t>
        </is>
      </c>
      <c r="F81" t="inlineStr">
        <is>
          <t>37_No_ZD</t>
        </is>
      </c>
      <c r="G81" t="inlineStr">
        <is>
          <t>Skarn</t>
        </is>
      </c>
      <c r="H81" t="inlineStr">
        <is>
          <t>Exoskarn_37</t>
        </is>
      </c>
      <c r="I81" t="inlineStr">
        <is>
          <t>Geologia_2024=Exoskarn_37</t>
        </is>
      </c>
      <c r="J81" t="inlineStr">
        <is>
          <t>Skarn</t>
        </is>
      </c>
      <c r="K81" t="inlineStr">
        <is>
          <t>Exoskarn</t>
        </is>
      </c>
      <c r="L81" t="inlineStr">
        <is>
          <t>todas las fuentes (Core_PLT + Core_UCS)</t>
        </is>
      </c>
      <c r="M81" t="n">
        <v>7</v>
      </c>
      <c r="N81" t="n">
        <v>59.5501</v>
      </c>
      <c r="O81" t="n">
        <v>22.486</v>
      </c>
      <c r="P81" t="n">
        <v>0.3776</v>
      </c>
      <c r="Q81" t="n">
        <v>25.8</v>
      </c>
      <c r="R81" t="n">
        <v>30.84</v>
      </c>
      <c r="S81" t="n">
        <v>35.88</v>
      </c>
      <c r="T81" t="n">
        <v>44.3</v>
      </c>
      <c r="U81" t="n">
        <v>58.4802</v>
      </c>
      <c r="V81" t="n">
        <v>81.20050000000001</v>
      </c>
      <c r="W81" t="n">
        <v>81.5668</v>
      </c>
      <c r="X81" t="n">
        <v>81.5681</v>
      </c>
      <c r="Y81" t="n">
        <v>81.5694</v>
      </c>
      <c r="Z81" t="inlineStr"/>
    </row>
    <row r="82">
      <c r="A82" t="inlineStr">
        <is>
          <t>MR24</t>
        </is>
      </c>
      <c r="B82" t="inlineStr">
        <is>
          <t>Merged_Table_Assay_lito</t>
        </is>
      </c>
      <c r="C82" t="inlineStr">
        <is>
          <t>UCS_MPa</t>
        </is>
      </c>
      <c r="D82" t="inlineStr">
        <is>
          <t>MPa</t>
        </is>
      </c>
      <c r="E82" t="inlineStr">
        <is>
          <t>RT_UCS</t>
        </is>
      </c>
      <c r="F82" t="inlineStr">
        <is>
          <t>37_ZD</t>
        </is>
      </c>
      <c r="G82" t="inlineStr">
        <is>
          <t>Skarn</t>
        </is>
      </c>
      <c r="H82" t="inlineStr">
        <is>
          <t>Exoskarn_37</t>
        </is>
      </c>
      <c r="I82" t="inlineStr">
        <is>
          <t>Geologia_2024=Exoskarn_37</t>
        </is>
      </c>
      <c r="J82" t="inlineStr">
        <is>
          <t>Skarn</t>
        </is>
      </c>
      <c r="K82" t="inlineStr">
        <is>
          <t>Exoskarn</t>
        </is>
      </c>
      <c r="L82" t="inlineStr">
        <is>
          <t>todas las fuentes (Core_PLT + Core_UCS)</t>
        </is>
      </c>
      <c r="M82" t="n">
        <v>4</v>
      </c>
      <c r="N82" t="n">
        <v>45.4516</v>
      </c>
      <c r="O82" t="n">
        <v>38.0253</v>
      </c>
      <c r="P82" t="n">
        <v>0.8366</v>
      </c>
      <c r="Q82" t="n">
        <v>15.59</v>
      </c>
      <c r="R82" t="n">
        <v>15.59</v>
      </c>
      <c r="S82" t="n">
        <v>15.59</v>
      </c>
      <c r="T82" t="n">
        <v>15.59</v>
      </c>
      <c r="U82" t="n">
        <v>35.635</v>
      </c>
      <c r="V82" t="n">
        <v>65.4966</v>
      </c>
      <c r="W82" t="n">
        <v>83.16630000000001</v>
      </c>
      <c r="X82" t="n">
        <v>89.05629999999999</v>
      </c>
      <c r="Y82" t="n">
        <v>94.9462</v>
      </c>
      <c r="Z82" t="inlineStr"/>
    </row>
    <row r="83">
      <c r="A83" t="inlineStr">
        <is>
          <t>MR24</t>
        </is>
      </c>
      <c r="B83" t="inlineStr">
        <is>
          <t>Merged_Table_Assay_lito</t>
        </is>
      </c>
      <c r="C83" t="inlineStr">
        <is>
          <t>UCS_MPa</t>
        </is>
      </c>
      <c r="D83" t="inlineStr">
        <is>
          <t>MPa</t>
        </is>
      </c>
      <c r="E83" t="inlineStr">
        <is>
          <t>RT_UCS</t>
        </is>
      </c>
      <c r="F83" t="inlineStr">
        <is>
          <t>50_No_ZD</t>
        </is>
      </c>
      <c r="G83" t="inlineStr">
        <is>
          <t>Otra</t>
        </is>
      </c>
      <c r="H83" t="inlineStr">
        <is>
          <t>Brechas_50</t>
        </is>
      </c>
      <c r="I83" t="inlineStr">
        <is>
          <t>Geologia_2024=Brechas_50</t>
        </is>
      </c>
      <c r="J83" t="inlineStr">
        <is>
          <t>Otra (Brechas)</t>
        </is>
      </c>
      <c r="K83" t="inlineStr">
        <is>
          <t>Brechas</t>
        </is>
      </c>
      <c r="L83" t="inlineStr">
        <is>
          <t>todas las fuentes (Core_PLT + Core_UCS)</t>
        </is>
      </c>
      <c r="M83" t="n">
        <v>1</v>
      </c>
      <c r="N83" t="n">
        <v>43.1436</v>
      </c>
      <c r="O83" t="inlineStr"/>
      <c r="P83" t="inlineStr"/>
      <c r="Q83" t="n">
        <v>43.1436</v>
      </c>
      <c r="R83" t="n">
        <v>43.1436</v>
      </c>
      <c r="S83" t="n">
        <v>43.1436</v>
      </c>
      <c r="T83" t="n">
        <v>43.1436</v>
      </c>
      <c r="U83" t="n">
        <v>43.1436</v>
      </c>
      <c r="V83" t="n">
        <v>43.1436</v>
      </c>
      <c r="W83" t="n">
        <v>43.1436</v>
      </c>
      <c r="X83" t="n">
        <v>43.1436</v>
      </c>
      <c r="Y83" t="n">
        <v>43.1436</v>
      </c>
      <c r="Z83" t="inlineStr"/>
    </row>
    <row r="84">
      <c r="A84" t="inlineStr">
        <is>
          <t>MR24</t>
        </is>
      </c>
      <c r="B84" t="inlineStr">
        <is>
          <t>Merged_Table_Assay_lito</t>
        </is>
      </c>
      <c r="C84" t="inlineStr">
        <is>
          <t>UCS_MPa</t>
        </is>
      </c>
      <c r="D84" t="inlineStr">
        <is>
          <t>MPa</t>
        </is>
      </c>
      <c r="E84" t="inlineStr">
        <is>
          <t>RT_UCS</t>
        </is>
      </c>
      <c r="F84" t="inlineStr">
        <is>
          <t>TODOS</t>
        </is>
      </c>
      <c r="G84" t="inlineStr"/>
      <c r="H84" t="inlineStr"/>
      <c r="I84" t="inlineStr"/>
      <c r="J84" t="inlineStr"/>
      <c r="K84" t="inlineStr"/>
      <c r="L84" t="inlineStr">
        <is>
          <t>todas las fuentes (Core_PLT + Core_UCS)</t>
        </is>
      </c>
      <c r="M84" t="n">
        <v>14910</v>
      </c>
      <c r="N84" t="n">
        <v>86.8768</v>
      </c>
      <c r="O84" t="n">
        <v>47.0569</v>
      </c>
      <c r="P84" t="n">
        <v>0.5417</v>
      </c>
      <c r="Q84" t="n">
        <v>4.8</v>
      </c>
      <c r="R84" t="n">
        <v>27.7989</v>
      </c>
      <c r="S84" t="n">
        <v>35.4081</v>
      </c>
      <c r="T84" t="n">
        <v>52.2035</v>
      </c>
      <c r="U84" t="n">
        <v>78.8712</v>
      </c>
      <c r="V84" t="n">
        <v>111.111</v>
      </c>
      <c r="W84" t="n">
        <v>146.544</v>
      </c>
      <c r="X84" t="n">
        <v>174.5611</v>
      </c>
      <c r="Y84" t="n">
        <v>300</v>
      </c>
      <c r="Z84" t="inlineStr"/>
    </row>
    <row r="85">
      <c r="A85" t="inlineStr">
        <is>
          <t>MR24</t>
        </is>
      </c>
      <c r="B85" t="inlineStr">
        <is>
          <t>Merged_Table_Assay_lito</t>
        </is>
      </c>
      <c r="C85" t="inlineStr">
        <is>
          <t>UCS_MPa</t>
        </is>
      </c>
      <c r="D85" t="inlineStr">
        <is>
          <t>MPa</t>
        </is>
      </c>
      <c r="E85" t="inlineStr">
        <is>
          <t>RT_UCS|Fuente</t>
        </is>
      </c>
      <c r="F85" t="inlineStr">
        <is>
          <t>10_No_ZD|Core_PLT</t>
        </is>
      </c>
      <c r="G85" t="inlineStr">
        <is>
          <t>sin asignar</t>
        </is>
      </c>
      <c r="H85" t="inlineStr">
        <is>
          <t>Sedimentario_10</t>
        </is>
      </c>
      <c r="I85" t="inlineStr">
        <is>
          <t>Geologia_2024=Sedimentario_10 (no especifica caliza)</t>
        </is>
      </c>
      <c r="J85" t="inlineStr">
        <is>
          <t>Caliza (hipótesis: siglas C*)</t>
        </is>
      </c>
      <c r="K85" t="inlineStr">
        <is>
          <t>Sedimentario</t>
        </is>
      </c>
      <c r="L85" t="inlineStr">
        <is>
          <t>separado por fuente: Core_PLT (carga puntual) / Core_UCS</t>
        </is>
      </c>
      <c r="M85" t="n">
        <v>366</v>
      </c>
      <c r="N85" t="n">
        <v>84.24339999999999</v>
      </c>
      <c r="O85" t="n">
        <v>32.5671</v>
      </c>
      <c r="P85" t="n">
        <v>0.3866</v>
      </c>
      <c r="Q85" t="n">
        <v>18.2789</v>
      </c>
      <c r="R85" t="n">
        <v>30.932</v>
      </c>
      <c r="S85" t="n">
        <v>42.2133</v>
      </c>
      <c r="T85" t="n">
        <v>62.4682</v>
      </c>
      <c r="U85" t="n">
        <v>81.29819999999999</v>
      </c>
      <c r="V85" t="n">
        <v>108.211</v>
      </c>
      <c r="W85" t="n">
        <v>123.2195</v>
      </c>
      <c r="X85" t="n">
        <v>137.108</v>
      </c>
      <c r="Y85" t="n">
        <v>196.581</v>
      </c>
      <c r="Z85" t="inlineStr"/>
    </row>
    <row r="86">
      <c r="A86" t="inlineStr">
        <is>
          <t>MR24</t>
        </is>
      </c>
      <c r="B86" t="inlineStr">
        <is>
          <t>Merged_Table_Assay_lito</t>
        </is>
      </c>
      <c r="C86" t="inlineStr">
        <is>
          <t>UCS_MPa</t>
        </is>
      </c>
      <c r="D86" t="inlineStr">
        <is>
          <t>MPa</t>
        </is>
      </c>
      <c r="E86" t="inlineStr">
        <is>
          <t>RT_UCS|Fuente</t>
        </is>
      </c>
      <c r="F86" t="inlineStr">
        <is>
          <t>10_No_ZD|Core_UCS</t>
        </is>
      </c>
      <c r="G86" t="inlineStr">
        <is>
          <t>sin asignar</t>
        </is>
      </c>
      <c r="H86" t="inlineStr">
        <is>
          <t>Sedimentario_10</t>
        </is>
      </c>
      <c r="I86" t="inlineStr">
        <is>
          <t>Geologia_2024=Sedimentario_10 (no especifica caliza)</t>
        </is>
      </c>
      <c r="J86" t="inlineStr">
        <is>
          <t>Caliza (hipótesis: siglas C*)</t>
        </is>
      </c>
      <c r="K86" t="inlineStr">
        <is>
          <t>Sedimentario</t>
        </is>
      </c>
      <c r="L86" t="inlineStr">
        <is>
          <t>separado por fuente: Core_PLT (carga puntual) / Core_UCS</t>
        </is>
      </c>
      <c r="M86" t="n">
        <v>46</v>
      </c>
      <c r="N86" t="n">
        <v>64.60429999999999</v>
      </c>
      <c r="O86" t="n">
        <v>22.892</v>
      </c>
      <c r="P86" t="n">
        <v>0.3543</v>
      </c>
      <c r="Q86" t="n">
        <v>24.39</v>
      </c>
      <c r="R86" t="n">
        <v>31.225</v>
      </c>
      <c r="S86" t="n">
        <v>38.695</v>
      </c>
      <c r="T86" t="n">
        <v>48.5</v>
      </c>
      <c r="U86" t="n">
        <v>64.075</v>
      </c>
      <c r="V86" t="n">
        <v>72.52500000000001</v>
      </c>
      <c r="W86" t="n">
        <v>93.39</v>
      </c>
      <c r="X86" t="n">
        <v>99.34999999999999</v>
      </c>
      <c r="Y86" t="n">
        <v>135.9</v>
      </c>
      <c r="Z86" t="inlineStr"/>
    </row>
    <row r="87">
      <c r="A87" t="inlineStr">
        <is>
          <t>MR24</t>
        </is>
      </c>
      <c r="B87" t="inlineStr">
        <is>
          <t>Merged_Table_Assay_lito</t>
        </is>
      </c>
      <c r="C87" t="inlineStr">
        <is>
          <t>UCS_MPa</t>
        </is>
      </c>
      <c r="D87" t="inlineStr">
        <is>
          <t>MPa</t>
        </is>
      </c>
      <c r="E87" t="inlineStr">
        <is>
          <t>RT_UCS|Fuente</t>
        </is>
      </c>
      <c r="F87" t="inlineStr">
        <is>
          <t>10_ZD|Core_PLT</t>
        </is>
      </c>
      <c r="G87" t="inlineStr">
        <is>
          <t>sin asignar</t>
        </is>
      </c>
      <c r="H87" t="inlineStr">
        <is>
          <t>Sedimentario_10</t>
        </is>
      </c>
      <c r="I87" t="inlineStr">
        <is>
          <t>Geologia_2024=Sedimentario_10 (no especifica caliza)</t>
        </is>
      </c>
      <c r="J87" t="inlineStr">
        <is>
          <t>Caliza (hipótesis: siglas C*)</t>
        </is>
      </c>
      <c r="K87" t="inlineStr">
        <is>
          <t>Sedimentario</t>
        </is>
      </c>
      <c r="L87" t="inlineStr">
        <is>
          <t>separado por fuente: Core_PLT (carga puntual) / Core_UCS</t>
        </is>
      </c>
      <c r="M87" t="n">
        <v>40</v>
      </c>
      <c r="N87" t="n">
        <v>78.93170000000001</v>
      </c>
      <c r="O87" t="n">
        <v>24.7137</v>
      </c>
      <c r="P87" t="n">
        <v>0.3131</v>
      </c>
      <c r="Q87" t="n">
        <v>29.1005</v>
      </c>
      <c r="R87" t="n">
        <v>40.8018</v>
      </c>
      <c r="S87" t="n">
        <v>52.8868</v>
      </c>
      <c r="T87" t="n">
        <v>62.9832</v>
      </c>
      <c r="U87" t="n">
        <v>80.2808</v>
      </c>
      <c r="V87" t="n">
        <v>91.47329999999999</v>
      </c>
      <c r="W87" t="n">
        <v>104.3345</v>
      </c>
      <c r="X87" t="n">
        <v>117.1757</v>
      </c>
      <c r="Y87" t="n">
        <v>151.811</v>
      </c>
      <c r="Z87" t="inlineStr"/>
    </row>
    <row r="88">
      <c r="A88" t="inlineStr">
        <is>
          <t>MR24</t>
        </is>
      </c>
      <c r="B88" t="inlineStr">
        <is>
          <t>Merged_Table_Assay_lito</t>
        </is>
      </c>
      <c r="C88" t="inlineStr">
        <is>
          <t>UCS_MPa</t>
        </is>
      </c>
      <c r="D88" t="inlineStr">
        <is>
          <t>MPa</t>
        </is>
      </c>
      <c r="E88" t="inlineStr">
        <is>
          <t>RT_UCS|Fuente</t>
        </is>
      </c>
      <c r="F88" t="inlineStr">
        <is>
          <t>10_ZD|Core_UCS</t>
        </is>
      </c>
      <c r="G88" t="inlineStr">
        <is>
          <t>sin asignar</t>
        </is>
      </c>
      <c r="H88" t="inlineStr">
        <is>
          <t>Sedimentario_10</t>
        </is>
      </c>
      <c r="I88" t="inlineStr">
        <is>
          <t>Geologia_2024=Sedimentario_10 (no especifica caliza)</t>
        </is>
      </c>
      <c r="J88" t="inlineStr">
        <is>
          <t>Caliza (hipótesis: siglas C*)</t>
        </is>
      </c>
      <c r="K88" t="inlineStr">
        <is>
          <t>Sedimentario</t>
        </is>
      </c>
      <c r="L88" t="inlineStr">
        <is>
          <t>separado por fuente: Core_PLT (carga puntual) / Core_UCS</t>
        </is>
      </c>
      <c r="M88" t="n">
        <v>5</v>
      </c>
      <c r="N88" t="n">
        <v>73.27</v>
      </c>
      <c r="O88" t="n">
        <v>24.2073</v>
      </c>
      <c r="P88" t="n">
        <v>0.3304</v>
      </c>
      <c r="Q88" t="n">
        <v>58.2</v>
      </c>
      <c r="R88" t="n">
        <v>58.22</v>
      </c>
      <c r="S88" t="n">
        <v>58.24</v>
      </c>
      <c r="T88" t="n">
        <v>58.3</v>
      </c>
      <c r="U88" t="n">
        <v>58.41</v>
      </c>
      <c r="V88" t="n">
        <v>77.5</v>
      </c>
      <c r="W88" t="n">
        <v>99.364</v>
      </c>
      <c r="X88" t="n">
        <v>106.652</v>
      </c>
      <c r="Y88" t="n">
        <v>113.94</v>
      </c>
      <c r="Z88" t="inlineStr"/>
    </row>
    <row r="89">
      <c r="A89" t="inlineStr">
        <is>
          <t>MR24</t>
        </is>
      </c>
      <c r="B89" t="inlineStr">
        <is>
          <t>Merged_Table_Assay_lito</t>
        </is>
      </c>
      <c r="C89" t="inlineStr">
        <is>
          <t>UCS_MPa</t>
        </is>
      </c>
      <c r="D89" t="inlineStr">
        <is>
          <t>MPa</t>
        </is>
      </c>
      <c r="E89" t="inlineStr">
        <is>
          <t>RT_UCS|Fuente</t>
        </is>
      </c>
      <c r="F89" t="inlineStr">
        <is>
          <t>11_No_ZD|Core_PLT</t>
        </is>
      </c>
      <c r="G89" t="inlineStr">
        <is>
          <t>sin asignar</t>
        </is>
      </c>
      <c r="H89" t="inlineStr">
        <is>
          <t>Sedimentario_11</t>
        </is>
      </c>
      <c r="I89" t="inlineStr">
        <is>
          <t>Geologia_2024=Sedimentario_11 (no especifica caliza)</t>
        </is>
      </c>
      <c r="J89" t="inlineStr">
        <is>
          <t>Caliza (hipótesis: Sedimentario; RT11~NUMEQ10, siglas C*)</t>
        </is>
      </c>
      <c r="K89" t="inlineStr">
        <is>
          <t>Sedimentario</t>
        </is>
      </c>
      <c r="L89" t="inlineStr">
        <is>
          <t>separado por fuente: Core_PLT (carga puntual) / Core_UCS</t>
        </is>
      </c>
      <c r="M89" t="n">
        <v>949</v>
      </c>
      <c r="N89" t="n">
        <v>75.2663</v>
      </c>
      <c r="O89" t="n">
        <v>30.8777</v>
      </c>
      <c r="P89" t="n">
        <v>0.4102</v>
      </c>
      <c r="Q89" t="n">
        <v>20.5535</v>
      </c>
      <c r="R89" t="n">
        <v>30.0732</v>
      </c>
      <c r="S89" t="n">
        <v>37.444</v>
      </c>
      <c r="T89" t="n">
        <v>53.1135</v>
      </c>
      <c r="U89" t="n">
        <v>72.6495</v>
      </c>
      <c r="V89" t="n">
        <v>94.017</v>
      </c>
      <c r="W89" t="n">
        <v>115.8326</v>
      </c>
      <c r="X89" t="n">
        <v>129.019</v>
      </c>
      <c r="Y89" t="n">
        <v>253.358</v>
      </c>
      <c r="Z89" t="inlineStr"/>
    </row>
    <row r="90">
      <c r="A90" t="inlineStr">
        <is>
          <t>MR24</t>
        </is>
      </c>
      <c r="B90" t="inlineStr">
        <is>
          <t>Merged_Table_Assay_lito</t>
        </is>
      </c>
      <c r="C90" t="inlineStr">
        <is>
          <t>UCS_MPa</t>
        </is>
      </c>
      <c r="D90" t="inlineStr">
        <is>
          <t>MPa</t>
        </is>
      </c>
      <c r="E90" t="inlineStr">
        <is>
          <t>RT_UCS|Fuente</t>
        </is>
      </c>
      <c r="F90" t="inlineStr">
        <is>
          <t>11_No_ZD|Core_UCS</t>
        </is>
      </c>
      <c r="G90" t="inlineStr">
        <is>
          <t>sin asignar</t>
        </is>
      </c>
      <c r="H90" t="inlineStr">
        <is>
          <t>Sedimentario_11</t>
        </is>
      </c>
      <c r="I90" t="inlineStr">
        <is>
          <t>Geologia_2024=Sedimentario_11 (no especifica caliza)</t>
        </is>
      </c>
      <c r="J90" t="inlineStr">
        <is>
          <t>Caliza (hipótesis: Sedimentario; RT11~NUMEQ10, siglas C*)</t>
        </is>
      </c>
      <c r="K90" t="inlineStr">
        <is>
          <t>Sedimentario</t>
        </is>
      </c>
      <c r="L90" t="inlineStr">
        <is>
          <t>separado por fuente: Core_PLT (carga puntual) / Core_UCS</t>
        </is>
      </c>
      <c r="M90" t="n">
        <v>135</v>
      </c>
      <c r="N90" t="n">
        <v>60.6923</v>
      </c>
      <c r="O90" t="n">
        <v>30.0362</v>
      </c>
      <c r="P90" t="n">
        <v>0.4949</v>
      </c>
      <c r="Q90" t="n">
        <v>8.98</v>
      </c>
      <c r="R90" t="n">
        <v>22.42</v>
      </c>
      <c r="S90" t="n">
        <v>25.134</v>
      </c>
      <c r="T90" t="n">
        <v>38.91</v>
      </c>
      <c r="U90" t="n">
        <v>55.49</v>
      </c>
      <c r="V90" t="n">
        <v>77.425</v>
      </c>
      <c r="W90" t="n">
        <v>113.5</v>
      </c>
      <c r="X90" t="n">
        <v>120.089</v>
      </c>
      <c r="Y90" t="n">
        <v>143.34</v>
      </c>
      <c r="Z90" t="inlineStr"/>
    </row>
    <row r="91">
      <c r="A91" t="inlineStr">
        <is>
          <t>MR24</t>
        </is>
      </c>
      <c r="B91" t="inlineStr">
        <is>
          <t>Merged_Table_Assay_lito</t>
        </is>
      </c>
      <c r="C91" t="inlineStr">
        <is>
          <t>UCS_MPa</t>
        </is>
      </c>
      <c r="D91" t="inlineStr">
        <is>
          <t>MPa</t>
        </is>
      </c>
      <c r="E91" t="inlineStr">
        <is>
          <t>RT_UCS|Fuente</t>
        </is>
      </c>
      <c r="F91" t="inlineStr">
        <is>
          <t>11_ZD|Core_PLT</t>
        </is>
      </c>
      <c r="G91" t="inlineStr">
        <is>
          <t>sin asignar</t>
        </is>
      </c>
      <c r="H91" t="inlineStr">
        <is>
          <t>Sedimentario_11</t>
        </is>
      </c>
      <c r="I91" t="inlineStr">
        <is>
          <t>Geologia_2024=Sedimentario_11 (no especifica caliza)</t>
        </is>
      </c>
      <c r="J91" t="inlineStr">
        <is>
          <t>Caliza (hipótesis: Sedimentario; RT11~NUMEQ10, siglas C*)</t>
        </is>
      </c>
      <c r="K91" t="inlineStr">
        <is>
          <t>Sedimentario</t>
        </is>
      </c>
      <c r="L91" t="inlineStr">
        <is>
          <t>separado por fuente: Core_PLT (carga puntual) / Core_UCS</t>
        </is>
      </c>
      <c r="M91" t="n">
        <v>236</v>
      </c>
      <c r="N91" t="n">
        <v>72.824</v>
      </c>
      <c r="O91" t="n">
        <v>28.5609</v>
      </c>
      <c r="P91" t="n">
        <v>0.3922</v>
      </c>
      <c r="Q91" t="n">
        <v>22.5885</v>
      </c>
      <c r="R91" t="n">
        <v>31.4916</v>
      </c>
      <c r="S91" t="n">
        <v>38.665</v>
      </c>
      <c r="T91" t="n">
        <v>53.9275</v>
      </c>
      <c r="U91" t="n">
        <v>70.818</v>
      </c>
      <c r="V91" t="n">
        <v>87.4508</v>
      </c>
      <c r="W91" t="n">
        <v>107.1005</v>
      </c>
      <c r="X91" t="n">
        <v>119.0628</v>
      </c>
      <c r="Y91" t="n">
        <v>188.034</v>
      </c>
      <c r="Z91" t="inlineStr"/>
    </row>
    <row r="92">
      <c r="A92" t="inlineStr">
        <is>
          <t>MR24</t>
        </is>
      </c>
      <c r="B92" t="inlineStr">
        <is>
          <t>Merged_Table_Assay_lito</t>
        </is>
      </c>
      <c r="C92" t="inlineStr">
        <is>
          <t>UCS_MPa</t>
        </is>
      </c>
      <c r="D92" t="inlineStr">
        <is>
          <t>MPa</t>
        </is>
      </c>
      <c r="E92" t="inlineStr">
        <is>
          <t>RT_UCS|Fuente</t>
        </is>
      </c>
      <c r="F92" t="inlineStr">
        <is>
          <t>11_ZD|Core_UCS</t>
        </is>
      </c>
      <c r="G92" t="inlineStr">
        <is>
          <t>sin asignar</t>
        </is>
      </c>
      <c r="H92" t="inlineStr">
        <is>
          <t>Sedimentario_11</t>
        </is>
      </c>
      <c r="I92" t="inlineStr">
        <is>
          <t>Geologia_2024=Sedimentario_11 (no especifica caliza)</t>
        </is>
      </c>
      <c r="J92" t="inlineStr">
        <is>
          <t>Caliza (hipótesis: Sedimentario; RT11~NUMEQ10, siglas C*)</t>
        </is>
      </c>
      <c r="K92" t="inlineStr">
        <is>
          <t>Sedimentario</t>
        </is>
      </c>
      <c r="L92" t="inlineStr">
        <is>
          <t>separado por fuente: Core_PLT (carga puntual) / Core_UCS</t>
        </is>
      </c>
      <c r="M92" t="n">
        <v>79</v>
      </c>
      <c r="N92" t="n">
        <v>62.6354</v>
      </c>
      <c r="O92" t="n">
        <v>24.1968</v>
      </c>
      <c r="P92" t="n">
        <v>0.3863</v>
      </c>
      <c r="Q92" t="n">
        <v>21.98</v>
      </c>
      <c r="R92" t="n">
        <v>34.086</v>
      </c>
      <c r="S92" t="n">
        <v>37.85</v>
      </c>
      <c r="T92" t="n">
        <v>45.86</v>
      </c>
      <c r="U92" t="n">
        <v>58.72</v>
      </c>
      <c r="V92" t="n">
        <v>72.41500000000001</v>
      </c>
      <c r="W92" t="n">
        <v>82.16200000000001</v>
      </c>
      <c r="X92" t="n">
        <v>115.643</v>
      </c>
      <c r="Y92" t="n">
        <v>142.26</v>
      </c>
      <c r="Z92" t="inlineStr"/>
    </row>
    <row r="93">
      <c r="A93" t="inlineStr">
        <is>
          <t>MR24</t>
        </is>
      </c>
      <c r="B93" t="inlineStr">
        <is>
          <t>Merged_Table_Assay_lito</t>
        </is>
      </c>
      <c r="C93" t="inlineStr">
        <is>
          <t>UCS_MPa</t>
        </is>
      </c>
      <c r="D93" t="inlineStr">
        <is>
          <t>MPa</t>
        </is>
      </c>
      <c r="E93" t="inlineStr">
        <is>
          <t>RT_UCS|Fuente</t>
        </is>
      </c>
      <c r="F93" t="inlineStr">
        <is>
          <t>13_No_ZD|Core_PLT</t>
        </is>
      </c>
      <c r="G93" t="inlineStr">
        <is>
          <t>sin asignar</t>
        </is>
      </c>
      <c r="H93" t="inlineStr">
        <is>
          <t>Metamorfico_13</t>
        </is>
      </c>
      <c r="I93" t="inlineStr">
        <is>
          <t>Geologia_2024=Metamorfico_13 (no distingue hornfels/mármol)</t>
        </is>
      </c>
      <c r="J93" t="inlineStr">
        <is>
          <t>Hornfels (hipótesis: siglas HG, HGS, HC)</t>
        </is>
      </c>
      <c r="K93" t="inlineStr">
        <is>
          <t>Metamorfico</t>
        </is>
      </c>
      <c r="L93" t="inlineStr">
        <is>
          <t>separado por fuente: Core_PLT (carga puntual) / Core_UCS</t>
        </is>
      </c>
      <c r="M93" t="n">
        <v>1704</v>
      </c>
      <c r="N93" t="n">
        <v>109.2454</v>
      </c>
      <c r="O93" t="n">
        <v>47.1867</v>
      </c>
      <c r="P93" t="n">
        <v>0.4319</v>
      </c>
      <c r="Q93" t="n">
        <v>19.83</v>
      </c>
      <c r="R93" t="n">
        <v>40.3139</v>
      </c>
      <c r="S93" t="n">
        <v>53.3427</v>
      </c>
      <c r="T93" t="n">
        <v>77.7307</v>
      </c>
      <c r="U93" t="n">
        <v>103.4005</v>
      </c>
      <c r="V93" t="n">
        <v>134.6955</v>
      </c>
      <c r="W93" t="n">
        <v>169.2204</v>
      </c>
      <c r="X93" t="n">
        <v>197.6753</v>
      </c>
      <c r="Y93" t="n">
        <v>300</v>
      </c>
      <c r="Z93" t="inlineStr"/>
    </row>
    <row r="94">
      <c r="A94" t="inlineStr">
        <is>
          <t>MR24</t>
        </is>
      </c>
      <c r="B94" t="inlineStr">
        <is>
          <t>Merged_Table_Assay_lito</t>
        </is>
      </c>
      <c r="C94" t="inlineStr">
        <is>
          <t>UCS_MPa</t>
        </is>
      </c>
      <c r="D94" t="inlineStr">
        <is>
          <t>MPa</t>
        </is>
      </c>
      <c r="E94" t="inlineStr">
        <is>
          <t>RT_UCS|Fuente</t>
        </is>
      </c>
      <c r="F94" t="inlineStr">
        <is>
          <t>13_No_ZD|Core_UCS</t>
        </is>
      </c>
      <c r="G94" t="inlineStr">
        <is>
          <t>sin asignar</t>
        </is>
      </c>
      <c r="H94" t="inlineStr">
        <is>
          <t>Metamorfico_13</t>
        </is>
      </c>
      <c r="I94" t="inlineStr">
        <is>
          <t>Geologia_2024=Metamorfico_13 (no distingue hornfels/mármol)</t>
        </is>
      </c>
      <c r="J94" t="inlineStr">
        <is>
          <t>Hornfels (hipótesis: siglas HG, HGS, HC)</t>
        </is>
      </c>
      <c r="K94" t="inlineStr">
        <is>
          <t>Metamorfico</t>
        </is>
      </c>
      <c r="L94" t="inlineStr">
        <is>
          <t>separado por fuente: Core_PLT (carga puntual) / Core_UCS</t>
        </is>
      </c>
      <c r="M94" t="n">
        <v>295</v>
      </c>
      <c r="N94" t="n">
        <v>68.655</v>
      </c>
      <c r="O94" t="n">
        <v>35.7174</v>
      </c>
      <c r="P94" t="n">
        <v>0.5202</v>
      </c>
      <c r="Q94" t="n">
        <v>9.800000000000001</v>
      </c>
      <c r="R94" t="n">
        <v>26.98</v>
      </c>
      <c r="S94" t="n">
        <v>32.28</v>
      </c>
      <c r="T94" t="n">
        <v>42.9</v>
      </c>
      <c r="U94" t="n">
        <v>62.95</v>
      </c>
      <c r="V94" t="n">
        <v>83.795</v>
      </c>
      <c r="W94" t="n">
        <v>109.67</v>
      </c>
      <c r="X94" t="n">
        <v>140.63</v>
      </c>
      <c r="Y94" t="n">
        <v>227.91</v>
      </c>
      <c r="Z94" t="inlineStr"/>
    </row>
    <row r="95">
      <c r="A95" t="inlineStr">
        <is>
          <t>MR24</t>
        </is>
      </c>
      <c r="B95" t="inlineStr">
        <is>
          <t>Merged_Table_Assay_lito</t>
        </is>
      </c>
      <c r="C95" t="inlineStr">
        <is>
          <t>UCS_MPa</t>
        </is>
      </c>
      <c r="D95" t="inlineStr">
        <is>
          <t>MPa</t>
        </is>
      </c>
      <c r="E95" t="inlineStr">
        <is>
          <t>RT_UCS|Fuente</t>
        </is>
      </c>
      <c r="F95" t="inlineStr">
        <is>
          <t>13_ZD|Core_PLT</t>
        </is>
      </c>
      <c r="G95" t="inlineStr">
        <is>
          <t>sin asignar</t>
        </is>
      </c>
      <c r="H95" t="inlineStr">
        <is>
          <t>Metamorfico_13</t>
        </is>
      </c>
      <c r="I95" t="inlineStr">
        <is>
          <t>Geologia_2024=Metamorfico_13 (no distingue hornfels/mármol)</t>
        </is>
      </c>
      <c r="J95" t="inlineStr">
        <is>
          <t>Hornfels (hipótesis: siglas HG, HGS, HC)</t>
        </is>
      </c>
      <c r="K95" t="inlineStr">
        <is>
          <t>Metamorfico</t>
        </is>
      </c>
      <c r="L95" t="inlineStr">
        <is>
          <t>separado por fuente: Core_PLT (carga puntual) / Core_UCS</t>
        </is>
      </c>
      <c r="M95" t="n">
        <v>1198</v>
      </c>
      <c r="N95" t="n">
        <v>124.3206</v>
      </c>
      <c r="O95" t="n">
        <v>54.9662</v>
      </c>
      <c r="P95" t="n">
        <v>0.4421</v>
      </c>
      <c r="Q95" t="n">
        <v>20.8215</v>
      </c>
      <c r="R95" t="n">
        <v>54.6921</v>
      </c>
      <c r="S95" t="n">
        <v>66.69410000000001</v>
      </c>
      <c r="T95" t="n">
        <v>87.82340000000001</v>
      </c>
      <c r="U95" t="n">
        <v>112.291</v>
      </c>
      <c r="V95" t="n">
        <v>147.8078</v>
      </c>
      <c r="W95" t="n">
        <v>202.1274</v>
      </c>
      <c r="X95" t="n">
        <v>241.1049</v>
      </c>
      <c r="Y95" t="n">
        <v>300</v>
      </c>
      <c r="Z95" t="inlineStr"/>
    </row>
    <row r="96">
      <c r="A96" t="inlineStr">
        <is>
          <t>MR24</t>
        </is>
      </c>
      <c r="B96" t="inlineStr">
        <is>
          <t>Merged_Table_Assay_lito</t>
        </is>
      </c>
      <c r="C96" t="inlineStr">
        <is>
          <t>UCS_MPa</t>
        </is>
      </c>
      <c r="D96" t="inlineStr">
        <is>
          <t>MPa</t>
        </is>
      </c>
      <c r="E96" t="inlineStr">
        <is>
          <t>RT_UCS|Fuente</t>
        </is>
      </c>
      <c r="F96" t="inlineStr">
        <is>
          <t>13_ZD|Core_UCS</t>
        </is>
      </c>
      <c r="G96" t="inlineStr">
        <is>
          <t>sin asignar</t>
        </is>
      </c>
      <c r="H96" t="inlineStr">
        <is>
          <t>Metamorfico_13</t>
        </is>
      </c>
      <c r="I96" t="inlineStr">
        <is>
          <t>Geologia_2024=Metamorfico_13 (no distingue hornfels/mármol)</t>
        </is>
      </c>
      <c r="J96" t="inlineStr">
        <is>
          <t>Hornfels (hipótesis: siglas HG, HGS, HC)</t>
        </is>
      </c>
      <c r="K96" t="inlineStr">
        <is>
          <t>Metamorfico</t>
        </is>
      </c>
      <c r="L96" t="inlineStr">
        <is>
          <t>separado por fuente: Core_PLT (carga puntual) / Core_UCS</t>
        </is>
      </c>
      <c r="M96" t="n">
        <v>184</v>
      </c>
      <c r="N96" t="n">
        <v>77.9941</v>
      </c>
      <c r="O96" t="n">
        <v>37.7515</v>
      </c>
      <c r="P96" t="n">
        <v>0.484</v>
      </c>
      <c r="Q96" t="n">
        <v>20.2</v>
      </c>
      <c r="R96" t="n">
        <v>38.645</v>
      </c>
      <c r="S96" t="n">
        <v>42.2</v>
      </c>
      <c r="T96" t="n">
        <v>49.4125</v>
      </c>
      <c r="U96" t="n">
        <v>68.3334</v>
      </c>
      <c r="V96" t="n">
        <v>92.95</v>
      </c>
      <c r="W96" t="n">
        <v>124.12</v>
      </c>
      <c r="X96" t="n">
        <v>151.6375</v>
      </c>
      <c r="Y96" t="n">
        <v>225.48</v>
      </c>
      <c r="Z96" t="inlineStr"/>
    </row>
    <row r="97">
      <c r="A97" t="inlineStr">
        <is>
          <t>MR24</t>
        </is>
      </c>
      <c r="B97" t="inlineStr">
        <is>
          <t>Merged_Table_Assay_lito</t>
        </is>
      </c>
      <c r="C97" t="inlineStr">
        <is>
          <t>UCS_MPa</t>
        </is>
      </c>
      <c r="D97" t="inlineStr">
        <is>
          <t>MPa</t>
        </is>
      </c>
      <c r="E97" t="inlineStr">
        <is>
          <t>RT_UCS|Fuente</t>
        </is>
      </c>
      <c r="F97" t="inlineStr">
        <is>
          <t>14_No_ZD|Core_PLT</t>
        </is>
      </c>
      <c r="G97" t="inlineStr">
        <is>
          <t>sin asignar</t>
        </is>
      </c>
      <c r="H97" t="inlineStr">
        <is>
          <t>Metamorfico_14</t>
        </is>
      </c>
      <c r="I97" t="inlineStr">
        <is>
          <t>Geologia_2024=Metamorfico_14 (no distingue hornfels/mármol)</t>
        </is>
      </c>
      <c r="J97" t="inlineStr">
        <is>
          <t>Hornfels (hipótesis: siglas HBV, HGV, HCB, HDP; 'Diop. Hornfels'~HGV)</t>
        </is>
      </c>
      <c r="K97" t="inlineStr">
        <is>
          <t>Metamorfico</t>
        </is>
      </c>
      <c r="L97" t="inlineStr">
        <is>
          <t>separado por fuente: Core_PLT (carga puntual) / Core_UCS</t>
        </is>
      </c>
      <c r="M97" t="n">
        <v>471</v>
      </c>
      <c r="N97" t="n">
        <v>110.871</v>
      </c>
      <c r="O97" t="n">
        <v>48.576</v>
      </c>
      <c r="P97" t="n">
        <v>0.4381</v>
      </c>
      <c r="Q97" t="n">
        <v>20.2266</v>
      </c>
      <c r="R97" t="n">
        <v>46.7988</v>
      </c>
      <c r="S97" t="n">
        <v>58.2607</v>
      </c>
      <c r="T97" t="n">
        <v>80.8668</v>
      </c>
      <c r="U97" t="n">
        <v>104.901</v>
      </c>
      <c r="V97" t="n">
        <v>130.44</v>
      </c>
      <c r="W97" t="n">
        <v>171.529</v>
      </c>
      <c r="X97" t="n">
        <v>203.7065</v>
      </c>
      <c r="Y97" t="n">
        <v>300</v>
      </c>
      <c r="Z97" t="inlineStr"/>
    </row>
    <row r="98">
      <c r="A98" t="inlineStr">
        <is>
          <t>MR24</t>
        </is>
      </c>
      <c r="B98" t="inlineStr">
        <is>
          <t>Merged_Table_Assay_lito</t>
        </is>
      </c>
      <c r="C98" t="inlineStr">
        <is>
          <t>UCS_MPa</t>
        </is>
      </c>
      <c r="D98" t="inlineStr">
        <is>
          <t>MPa</t>
        </is>
      </c>
      <c r="E98" t="inlineStr">
        <is>
          <t>RT_UCS|Fuente</t>
        </is>
      </c>
      <c r="F98" t="inlineStr">
        <is>
          <t>14_No_ZD|Core_UCS</t>
        </is>
      </c>
      <c r="G98" t="inlineStr">
        <is>
          <t>sin asignar</t>
        </is>
      </c>
      <c r="H98" t="inlineStr">
        <is>
          <t>Metamorfico_14</t>
        </is>
      </c>
      <c r="I98" t="inlineStr">
        <is>
          <t>Geologia_2024=Metamorfico_14 (no distingue hornfels/mármol)</t>
        </is>
      </c>
      <c r="J98" t="inlineStr">
        <is>
          <t>Hornfels (hipótesis: siglas HBV, HGV, HCB, HDP; 'Diop. Hornfels'~HGV)</t>
        </is>
      </c>
      <c r="K98" t="inlineStr">
        <is>
          <t>Metamorfico</t>
        </is>
      </c>
      <c r="L98" t="inlineStr">
        <is>
          <t>separado por fuente: Core_PLT (carga puntual) / Core_UCS</t>
        </is>
      </c>
      <c r="M98" t="n">
        <v>96</v>
      </c>
      <c r="N98" t="n">
        <v>74.953</v>
      </c>
      <c r="O98" t="n">
        <v>46.737</v>
      </c>
      <c r="P98" t="n">
        <v>0.6236</v>
      </c>
      <c r="Q98" t="n">
        <v>18.9</v>
      </c>
      <c r="R98" t="n">
        <v>25.45</v>
      </c>
      <c r="S98" t="n">
        <v>34.5</v>
      </c>
      <c r="T98" t="n">
        <v>47.35</v>
      </c>
      <c r="U98" t="n">
        <v>60.55</v>
      </c>
      <c r="V98" t="n">
        <v>92.2225</v>
      </c>
      <c r="W98" t="n">
        <v>124.26</v>
      </c>
      <c r="X98" t="n">
        <v>155.54</v>
      </c>
      <c r="Y98" t="n">
        <v>289.9</v>
      </c>
      <c r="Z98" t="inlineStr"/>
    </row>
    <row r="99">
      <c r="A99" t="inlineStr">
        <is>
          <t>MR24</t>
        </is>
      </c>
      <c r="B99" t="inlineStr">
        <is>
          <t>Merged_Table_Assay_lito</t>
        </is>
      </c>
      <c r="C99" t="inlineStr">
        <is>
          <t>UCS_MPa</t>
        </is>
      </c>
      <c r="D99" t="inlineStr">
        <is>
          <t>MPa</t>
        </is>
      </c>
      <c r="E99" t="inlineStr">
        <is>
          <t>RT_UCS|Fuente</t>
        </is>
      </c>
      <c r="F99" t="inlineStr">
        <is>
          <t>14_ZD|Core_PLT</t>
        </is>
      </c>
      <c r="G99" t="inlineStr">
        <is>
          <t>sin asignar</t>
        </is>
      </c>
      <c r="H99" t="inlineStr">
        <is>
          <t>Metamorfico_14</t>
        </is>
      </c>
      <c r="I99" t="inlineStr">
        <is>
          <t>Geologia_2024=Metamorfico_14 (no distingue hornfels/mármol)</t>
        </is>
      </c>
      <c r="J99" t="inlineStr">
        <is>
          <t>Hornfels (hipótesis: siglas HBV, HGV, HCB, HDP; 'Diop. Hornfels'~HGV)</t>
        </is>
      </c>
      <c r="K99" t="inlineStr">
        <is>
          <t>Metamorfico</t>
        </is>
      </c>
      <c r="L99" t="inlineStr">
        <is>
          <t>separado por fuente: Core_PLT (carga puntual) / Core_UCS</t>
        </is>
      </c>
      <c r="M99" t="n">
        <v>403</v>
      </c>
      <c r="N99" t="n">
        <v>128.6979</v>
      </c>
      <c r="O99" t="n">
        <v>68.08159999999999</v>
      </c>
      <c r="P99" t="n">
        <v>0.529</v>
      </c>
      <c r="Q99" t="n">
        <v>20.4249</v>
      </c>
      <c r="R99" t="n">
        <v>38.0934</v>
      </c>
      <c r="S99" t="n">
        <v>50.0113</v>
      </c>
      <c r="T99" t="n">
        <v>82.19540000000001</v>
      </c>
      <c r="U99" t="n">
        <v>114.419</v>
      </c>
      <c r="V99" t="n">
        <v>159.334</v>
      </c>
      <c r="W99" t="n">
        <v>235.9694</v>
      </c>
      <c r="X99" t="n">
        <v>276.5689</v>
      </c>
      <c r="Y99" t="n">
        <v>300</v>
      </c>
      <c r="Z99" t="inlineStr"/>
    </row>
    <row r="100">
      <c r="A100" t="inlineStr">
        <is>
          <t>MR24</t>
        </is>
      </c>
      <c r="B100" t="inlineStr">
        <is>
          <t>Merged_Table_Assay_lito</t>
        </is>
      </c>
      <c r="C100" t="inlineStr">
        <is>
          <t>UCS_MPa</t>
        </is>
      </c>
      <c r="D100" t="inlineStr">
        <is>
          <t>MPa</t>
        </is>
      </c>
      <c r="E100" t="inlineStr">
        <is>
          <t>RT_UCS|Fuente</t>
        </is>
      </c>
      <c r="F100" t="inlineStr">
        <is>
          <t>14_ZD|Core_UCS</t>
        </is>
      </c>
      <c r="G100" t="inlineStr">
        <is>
          <t>sin asignar</t>
        </is>
      </c>
      <c r="H100" t="inlineStr">
        <is>
          <t>Metamorfico_14</t>
        </is>
      </c>
      <c r="I100" t="inlineStr">
        <is>
          <t>Geologia_2024=Metamorfico_14 (no distingue hornfels/mármol)</t>
        </is>
      </c>
      <c r="J100" t="inlineStr">
        <is>
          <t>Hornfels (hipótesis: siglas HBV, HGV, HCB, HDP; 'Diop. Hornfels'~HGV)</t>
        </is>
      </c>
      <c r="K100" t="inlineStr">
        <is>
          <t>Metamorfico</t>
        </is>
      </c>
      <c r="L100" t="inlineStr">
        <is>
          <t>separado por fuente: Core_PLT (carga puntual) / Core_UCS</t>
        </is>
      </c>
      <c r="M100" t="n">
        <v>21</v>
      </c>
      <c r="N100" t="n">
        <v>64.2719</v>
      </c>
      <c r="O100" t="n">
        <v>28.7982</v>
      </c>
      <c r="P100" t="n">
        <v>0.4481</v>
      </c>
      <c r="Q100" t="n">
        <v>39.2</v>
      </c>
      <c r="R100" t="n">
        <v>41</v>
      </c>
      <c r="S100" t="n">
        <v>44.1</v>
      </c>
      <c r="T100" t="n">
        <v>49</v>
      </c>
      <c r="U100" t="n">
        <v>58.5</v>
      </c>
      <c r="V100" t="n">
        <v>64.5</v>
      </c>
      <c r="W100" t="n">
        <v>82</v>
      </c>
      <c r="X100" t="n">
        <v>125.9</v>
      </c>
      <c r="Y100" t="n">
        <v>160.17</v>
      </c>
      <c r="Z100" t="inlineStr"/>
    </row>
    <row r="101">
      <c r="A101" t="inlineStr">
        <is>
          <t>MR24</t>
        </is>
      </c>
      <c r="B101" t="inlineStr">
        <is>
          <t>Merged_Table_Assay_lito</t>
        </is>
      </c>
      <c r="C101" t="inlineStr">
        <is>
          <t>UCS_MPa</t>
        </is>
      </c>
      <c r="D101" t="inlineStr">
        <is>
          <t>MPa</t>
        </is>
      </c>
      <c r="E101" t="inlineStr">
        <is>
          <t>RT_UCS|Fuente</t>
        </is>
      </c>
      <c r="F101" t="inlineStr">
        <is>
          <t>16_No_ZD|Core_PLT</t>
        </is>
      </c>
      <c r="G101" t="inlineStr">
        <is>
          <t>sin asignar</t>
        </is>
      </c>
      <c r="H101" t="inlineStr">
        <is>
          <t>Metamorfico_16</t>
        </is>
      </c>
      <c r="I101" t="inlineStr">
        <is>
          <t>Geologia_2024=Metamorfico_16 (no distingue hornfels/mármol)</t>
        </is>
      </c>
      <c r="J101" t="inlineStr">
        <is>
          <t>Mármol (hipótesis: siglas MC, MG, MGS, MPA, MCGB; 'Marble'~MCGB)</t>
        </is>
      </c>
      <c r="K101" t="inlineStr">
        <is>
          <t>Metamorfico</t>
        </is>
      </c>
      <c r="L101" t="inlineStr">
        <is>
          <t>separado por fuente: Core_PLT (carga puntual) / Core_UCS</t>
        </is>
      </c>
      <c r="M101" t="n">
        <v>3999</v>
      </c>
      <c r="N101" t="n">
        <v>76.00749999999999</v>
      </c>
      <c r="O101" t="n">
        <v>38.6524</v>
      </c>
      <c r="P101" t="n">
        <v>0.5085</v>
      </c>
      <c r="Q101" t="n">
        <v>15</v>
      </c>
      <c r="R101" t="n">
        <v>29.2933</v>
      </c>
      <c r="S101" t="n">
        <v>35.0963</v>
      </c>
      <c r="T101" t="n">
        <v>47.6126</v>
      </c>
      <c r="U101" t="n">
        <v>67.562</v>
      </c>
      <c r="V101" t="n">
        <v>95.0241</v>
      </c>
      <c r="W101" t="n">
        <v>128.0292</v>
      </c>
      <c r="X101" t="n">
        <v>150.4199</v>
      </c>
      <c r="Y101" t="n">
        <v>300</v>
      </c>
      <c r="Z101" t="inlineStr"/>
    </row>
    <row r="102">
      <c r="A102" t="inlineStr">
        <is>
          <t>MR24</t>
        </is>
      </c>
      <c r="B102" t="inlineStr">
        <is>
          <t>Merged_Table_Assay_lito</t>
        </is>
      </c>
      <c r="C102" t="inlineStr">
        <is>
          <t>UCS_MPa</t>
        </is>
      </c>
      <c r="D102" t="inlineStr">
        <is>
          <t>MPa</t>
        </is>
      </c>
      <c r="E102" t="inlineStr">
        <is>
          <t>RT_UCS|Fuente</t>
        </is>
      </c>
      <c r="F102" t="inlineStr">
        <is>
          <t>16_No_ZD|Core_UCS</t>
        </is>
      </c>
      <c r="G102" t="inlineStr">
        <is>
          <t>sin asignar</t>
        </is>
      </c>
      <c r="H102" t="inlineStr">
        <is>
          <t>Metamorfico_16</t>
        </is>
      </c>
      <c r="I102" t="inlineStr">
        <is>
          <t>Geologia_2024=Metamorfico_16 (no distingue hornfels/mármol)</t>
        </is>
      </c>
      <c r="J102" t="inlineStr">
        <is>
          <t>Mármol (hipótesis: siglas MC, MG, MGS, MPA, MCGB; 'Marble'~MCGB)</t>
        </is>
      </c>
      <c r="K102" t="inlineStr">
        <is>
          <t>Metamorfico</t>
        </is>
      </c>
      <c r="L102" t="inlineStr">
        <is>
          <t>separado por fuente: Core_PLT (carga puntual) / Core_UCS</t>
        </is>
      </c>
      <c r="M102" t="n">
        <v>603</v>
      </c>
      <c r="N102" t="n">
        <v>53.8264</v>
      </c>
      <c r="O102" t="n">
        <v>24.6571</v>
      </c>
      <c r="P102" t="n">
        <v>0.4581</v>
      </c>
      <c r="Q102" t="n">
        <v>10.1</v>
      </c>
      <c r="R102" t="n">
        <v>22.407</v>
      </c>
      <c r="S102" t="n">
        <v>26.476</v>
      </c>
      <c r="T102" t="n">
        <v>36.3</v>
      </c>
      <c r="U102" t="n">
        <v>47.8</v>
      </c>
      <c r="V102" t="n">
        <v>67.67</v>
      </c>
      <c r="W102" t="n">
        <v>90.812</v>
      </c>
      <c r="X102" t="n">
        <v>100.6</v>
      </c>
      <c r="Y102" t="n">
        <v>174.4</v>
      </c>
      <c r="Z102" t="inlineStr"/>
    </row>
    <row r="103">
      <c r="A103" t="inlineStr">
        <is>
          <t>MR24</t>
        </is>
      </c>
      <c r="B103" t="inlineStr">
        <is>
          <t>Merged_Table_Assay_lito</t>
        </is>
      </c>
      <c r="C103" t="inlineStr">
        <is>
          <t>UCS_MPa</t>
        </is>
      </c>
      <c r="D103" t="inlineStr">
        <is>
          <t>MPa</t>
        </is>
      </c>
      <c r="E103" t="inlineStr">
        <is>
          <t>RT_UCS|Fuente</t>
        </is>
      </c>
      <c r="F103" t="inlineStr">
        <is>
          <t>16_ZD|Core_PLT</t>
        </is>
      </c>
      <c r="G103" t="inlineStr">
        <is>
          <t>sin asignar</t>
        </is>
      </c>
      <c r="H103" t="inlineStr">
        <is>
          <t>Metamorfico_16</t>
        </is>
      </c>
      <c r="I103" t="inlineStr">
        <is>
          <t>Geologia_2024=Metamorfico_16 (no distingue hornfels/mármol)</t>
        </is>
      </c>
      <c r="J103" t="inlineStr">
        <is>
          <t>Mármol (hipótesis: siglas MC, MG, MGS, MPA, MCGB; 'Marble'~MCGB)</t>
        </is>
      </c>
      <c r="K103" t="inlineStr">
        <is>
          <t>Metamorfico</t>
        </is>
      </c>
      <c r="L103" t="inlineStr">
        <is>
          <t>separado por fuente: Core_PLT (carga puntual) / Core_UCS</t>
        </is>
      </c>
      <c r="M103" t="n">
        <v>758</v>
      </c>
      <c r="N103" t="n">
        <v>93.28660000000001</v>
      </c>
      <c r="O103" t="n">
        <v>41.4468</v>
      </c>
      <c r="P103" t="n">
        <v>0.4443</v>
      </c>
      <c r="Q103" t="n">
        <v>20.4381</v>
      </c>
      <c r="R103" t="n">
        <v>35.3785</v>
      </c>
      <c r="S103" t="n">
        <v>44.9124</v>
      </c>
      <c r="T103" t="n">
        <v>62.1089</v>
      </c>
      <c r="U103" t="n">
        <v>87.4299</v>
      </c>
      <c r="V103" t="n">
        <v>118.59</v>
      </c>
      <c r="W103" t="n">
        <v>147.3037</v>
      </c>
      <c r="X103" t="n">
        <v>169.7518</v>
      </c>
      <c r="Y103" t="n">
        <v>300</v>
      </c>
      <c r="Z103" t="inlineStr"/>
    </row>
    <row r="104">
      <c r="A104" t="inlineStr">
        <is>
          <t>MR24</t>
        </is>
      </c>
      <c r="B104" t="inlineStr">
        <is>
          <t>Merged_Table_Assay_lito</t>
        </is>
      </c>
      <c r="C104" t="inlineStr">
        <is>
          <t>UCS_MPa</t>
        </is>
      </c>
      <c r="D104" t="inlineStr">
        <is>
          <t>MPa</t>
        </is>
      </c>
      <c r="E104" t="inlineStr">
        <is>
          <t>RT_UCS|Fuente</t>
        </is>
      </c>
      <c r="F104" t="inlineStr">
        <is>
          <t>16_ZD|Core_UCS</t>
        </is>
      </c>
      <c r="G104" t="inlineStr">
        <is>
          <t>sin asignar</t>
        </is>
      </c>
      <c r="H104" t="inlineStr">
        <is>
          <t>Metamorfico_16</t>
        </is>
      </c>
      <c r="I104" t="inlineStr">
        <is>
          <t>Geologia_2024=Metamorfico_16 (no distingue hornfels/mármol)</t>
        </is>
      </c>
      <c r="J104" t="inlineStr">
        <is>
          <t>Mármol (hipótesis: siglas MC, MG, MGS, MPA, MCGB; 'Marble'~MCGB)</t>
        </is>
      </c>
      <c r="K104" t="inlineStr">
        <is>
          <t>Metamorfico</t>
        </is>
      </c>
      <c r="L104" t="inlineStr">
        <is>
          <t>separado por fuente: Core_PLT (carga puntual) / Core_UCS</t>
        </is>
      </c>
      <c r="M104" t="n">
        <v>103</v>
      </c>
      <c r="N104" t="n">
        <v>61.7647</v>
      </c>
      <c r="O104" t="n">
        <v>31.2861</v>
      </c>
      <c r="P104" t="n">
        <v>0.5065</v>
      </c>
      <c r="Q104" t="n">
        <v>21.01</v>
      </c>
      <c r="R104" t="n">
        <v>26.002</v>
      </c>
      <c r="S104" t="n">
        <v>29.54</v>
      </c>
      <c r="T104" t="n">
        <v>37.96</v>
      </c>
      <c r="U104" t="n">
        <v>58.7</v>
      </c>
      <c r="V104" t="n">
        <v>80.3</v>
      </c>
      <c r="W104" t="n">
        <v>95.514</v>
      </c>
      <c r="X104" t="n">
        <v>108.12</v>
      </c>
      <c r="Y104" t="n">
        <v>179.695</v>
      </c>
      <c r="Z104" t="inlineStr"/>
    </row>
    <row r="105">
      <c r="A105" t="inlineStr">
        <is>
          <t>MR24</t>
        </is>
      </c>
      <c r="B105" t="inlineStr">
        <is>
          <t>Merged_Table_Assay_lito</t>
        </is>
      </c>
      <c r="C105" t="inlineStr">
        <is>
          <t>UCS_MPa</t>
        </is>
      </c>
      <c r="D105" t="inlineStr">
        <is>
          <t>MPa</t>
        </is>
      </c>
      <c r="E105" t="inlineStr">
        <is>
          <t>RT_UCS|Fuente</t>
        </is>
      </c>
      <c r="F105" t="inlineStr">
        <is>
          <t>19_No_ZD|Core_PLT</t>
        </is>
      </c>
      <c r="G105" t="inlineStr">
        <is>
          <t>sin asignar</t>
        </is>
      </c>
      <c r="H105" t="inlineStr">
        <is>
          <t>Metamorfico_19</t>
        </is>
      </c>
      <c r="I105" t="inlineStr">
        <is>
          <t>Geologia_2024=Metamorfico_19 (no distingue hornfels/mármol)</t>
        </is>
      </c>
      <c r="J105" t="inlineStr">
        <is>
          <t>Mármol (hipótesis: sigla MDP)</t>
        </is>
      </c>
      <c r="K105" t="inlineStr">
        <is>
          <t>Metamorfico</t>
        </is>
      </c>
      <c r="L105" t="inlineStr">
        <is>
          <t>separado por fuente: Core_PLT (carga puntual) / Core_UCS</t>
        </is>
      </c>
      <c r="M105" t="n">
        <v>625</v>
      </c>
      <c r="N105" t="n">
        <v>95.304</v>
      </c>
      <c r="O105" t="n">
        <v>37.858</v>
      </c>
      <c r="P105" t="n">
        <v>0.3972</v>
      </c>
      <c r="Q105" t="n">
        <v>20.9605</v>
      </c>
      <c r="R105" t="n">
        <v>41.5444</v>
      </c>
      <c r="S105" t="n">
        <v>49.1249</v>
      </c>
      <c r="T105" t="n">
        <v>67.96899999999999</v>
      </c>
      <c r="U105" t="n">
        <v>94.831</v>
      </c>
      <c r="V105" t="n">
        <v>116.809</v>
      </c>
      <c r="W105" t="n">
        <v>138.99</v>
      </c>
      <c r="X105" t="n">
        <v>162.0674</v>
      </c>
      <c r="Y105" t="n">
        <v>300</v>
      </c>
      <c r="Z105" t="inlineStr"/>
    </row>
    <row r="106">
      <c r="A106" t="inlineStr">
        <is>
          <t>MR24</t>
        </is>
      </c>
      <c r="B106" t="inlineStr">
        <is>
          <t>Merged_Table_Assay_lito</t>
        </is>
      </c>
      <c r="C106" t="inlineStr">
        <is>
          <t>UCS_MPa</t>
        </is>
      </c>
      <c r="D106" t="inlineStr">
        <is>
          <t>MPa</t>
        </is>
      </c>
      <c r="E106" t="inlineStr">
        <is>
          <t>RT_UCS|Fuente</t>
        </is>
      </c>
      <c r="F106" t="inlineStr">
        <is>
          <t>19_No_ZD|Core_UCS</t>
        </is>
      </c>
      <c r="G106" t="inlineStr">
        <is>
          <t>sin asignar</t>
        </is>
      </c>
      <c r="H106" t="inlineStr">
        <is>
          <t>Metamorfico_19</t>
        </is>
      </c>
      <c r="I106" t="inlineStr">
        <is>
          <t>Geologia_2024=Metamorfico_19 (no distingue hornfels/mármol)</t>
        </is>
      </c>
      <c r="J106" t="inlineStr">
        <is>
          <t>Mármol (hipótesis: sigla MDP)</t>
        </is>
      </c>
      <c r="K106" t="inlineStr">
        <is>
          <t>Metamorfico</t>
        </is>
      </c>
      <c r="L106" t="inlineStr">
        <is>
          <t>separado por fuente: Core_PLT (carga puntual) / Core_UCS</t>
        </is>
      </c>
      <c r="M106" t="n">
        <v>142</v>
      </c>
      <c r="N106" t="n">
        <v>57.2861</v>
      </c>
      <c r="O106" t="n">
        <v>25.0357</v>
      </c>
      <c r="P106" t="n">
        <v>0.437</v>
      </c>
      <c r="Q106" t="n">
        <v>15.47</v>
      </c>
      <c r="R106" t="n">
        <v>24.882</v>
      </c>
      <c r="S106" t="n">
        <v>29.772</v>
      </c>
      <c r="T106" t="n">
        <v>38.74</v>
      </c>
      <c r="U106" t="n">
        <v>49.48</v>
      </c>
      <c r="V106" t="n">
        <v>71.2</v>
      </c>
      <c r="W106" t="n">
        <v>93.48999999999999</v>
      </c>
      <c r="X106" t="n">
        <v>110.41</v>
      </c>
      <c r="Y106" t="n">
        <v>111.87</v>
      </c>
      <c r="Z106" t="inlineStr"/>
    </row>
    <row r="107">
      <c r="A107" t="inlineStr">
        <is>
          <t>MR24</t>
        </is>
      </c>
      <c r="B107" t="inlineStr">
        <is>
          <t>Merged_Table_Assay_lito</t>
        </is>
      </c>
      <c r="C107" t="inlineStr">
        <is>
          <t>UCS_MPa</t>
        </is>
      </c>
      <c r="D107" t="inlineStr">
        <is>
          <t>MPa</t>
        </is>
      </c>
      <c r="E107" t="inlineStr">
        <is>
          <t>RT_UCS|Fuente</t>
        </is>
      </c>
      <c r="F107" t="inlineStr">
        <is>
          <t>19_ZD|Core_PLT</t>
        </is>
      </c>
      <c r="G107" t="inlineStr">
        <is>
          <t>sin asignar</t>
        </is>
      </c>
      <c r="H107" t="inlineStr">
        <is>
          <t>Metamorfico_19</t>
        </is>
      </c>
      <c r="I107" t="inlineStr">
        <is>
          <t>Geologia_2024=Metamorfico_19 (no distingue hornfels/mármol)</t>
        </is>
      </c>
      <c r="J107" t="inlineStr">
        <is>
          <t>Mármol (hipótesis: sigla MDP)</t>
        </is>
      </c>
      <c r="K107" t="inlineStr">
        <is>
          <t>Metamorfico</t>
        </is>
      </c>
      <c r="L107" t="inlineStr">
        <is>
          <t>separado por fuente: Core_PLT (carga puntual) / Core_UCS</t>
        </is>
      </c>
      <c r="M107" t="n">
        <v>194</v>
      </c>
      <c r="N107" t="n">
        <v>103.3006</v>
      </c>
      <c r="O107" t="n">
        <v>42.9055</v>
      </c>
      <c r="P107" t="n">
        <v>0.4153</v>
      </c>
      <c r="Q107" t="n">
        <v>20.5535</v>
      </c>
      <c r="R107" t="n">
        <v>45.1902</v>
      </c>
      <c r="S107" t="n">
        <v>55.4538</v>
      </c>
      <c r="T107" t="n">
        <v>73.81959999999999</v>
      </c>
      <c r="U107" t="n">
        <v>98.494</v>
      </c>
      <c r="V107" t="n">
        <v>125.763</v>
      </c>
      <c r="W107" t="n">
        <v>149.1857</v>
      </c>
      <c r="X107" t="n">
        <v>171.9376</v>
      </c>
      <c r="Y107" t="n">
        <v>300</v>
      </c>
      <c r="Z107" t="inlineStr"/>
    </row>
    <row r="108">
      <c r="A108" t="inlineStr">
        <is>
          <t>MR24</t>
        </is>
      </c>
      <c r="B108" t="inlineStr">
        <is>
          <t>Merged_Table_Assay_lito</t>
        </is>
      </c>
      <c r="C108" t="inlineStr">
        <is>
          <t>UCS_MPa</t>
        </is>
      </c>
      <c r="D108" t="inlineStr">
        <is>
          <t>MPa</t>
        </is>
      </c>
      <c r="E108" t="inlineStr">
        <is>
          <t>RT_UCS|Fuente</t>
        </is>
      </c>
      <c r="F108" t="inlineStr">
        <is>
          <t>19_ZD|Core_UCS</t>
        </is>
      </c>
      <c r="G108" t="inlineStr">
        <is>
          <t>sin asignar</t>
        </is>
      </c>
      <c r="H108" t="inlineStr">
        <is>
          <t>Metamorfico_19</t>
        </is>
      </c>
      <c r="I108" t="inlineStr">
        <is>
          <t>Geologia_2024=Metamorfico_19 (no distingue hornfels/mármol)</t>
        </is>
      </c>
      <c r="J108" t="inlineStr">
        <is>
          <t>Mármol (hipótesis: sigla MDP)</t>
        </is>
      </c>
      <c r="K108" t="inlineStr">
        <is>
          <t>Metamorfico</t>
        </is>
      </c>
      <c r="L108" t="inlineStr">
        <is>
          <t>separado por fuente: Core_PLT (carga puntual) / Core_UCS</t>
        </is>
      </c>
      <c r="M108" t="n">
        <v>13</v>
      </c>
      <c r="N108" t="n">
        <v>69.72620000000001</v>
      </c>
      <c r="O108" t="n">
        <v>28.9602</v>
      </c>
      <c r="P108" t="n">
        <v>0.4153</v>
      </c>
      <c r="Q108" t="n">
        <v>31.84</v>
      </c>
      <c r="R108" t="n">
        <v>37.156</v>
      </c>
      <c r="S108" t="n">
        <v>40.916</v>
      </c>
      <c r="T108" t="n">
        <v>43.28</v>
      </c>
      <c r="U108" t="n">
        <v>62.1</v>
      </c>
      <c r="V108" t="n">
        <v>96.34</v>
      </c>
      <c r="W108" t="n">
        <v>97.66</v>
      </c>
      <c r="X108" t="n">
        <v>107.434</v>
      </c>
      <c r="Y108" t="n">
        <v>121.6</v>
      </c>
      <c r="Z108" t="inlineStr"/>
    </row>
    <row r="109">
      <c r="A109" t="inlineStr">
        <is>
          <t>MR24</t>
        </is>
      </c>
      <c r="B109" t="inlineStr">
        <is>
          <t>Merged_Table_Assay_lito</t>
        </is>
      </c>
      <c r="C109" t="inlineStr">
        <is>
          <t>UCS_MPa</t>
        </is>
      </c>
      <c r="D109" t="inlineStr">
        <is>
          <t>MPa</t>
        </is>
      </c>
      <c r="E109" t="inlineStr">
        <is>
          <t>RT_UCS|Fuente</t>
        </is>
      </c>
      <c r="F109" t="inlineStr">
        <is>
          <t>1_No_ZD|Core_PLT</t>
        </is>
      </c>
      <c r="G109" t="inlineStr">
        <is>
          <t>Intrusivo</t>
        </is>
      </c>
      <c r="H109" t="inlineStr">
        <is>
          <t>RT1</t>
        </is>
      </c>
      <c r="I109" t="inlineStr">
        <is>
          <t>Geologia_2024=Intrusivo_1</t>
        </is>
      </c>
      <c r="J109" t="inlineStr">
        <is>
          <t>Intrusivo</t>
        </is>
      </c>
      <c r="K109" t="inlineStr">
        <is>
          <t>Intrusivo</t>
        </is>
      </c>
      <c r="L109" t="inlineStr">
        <is>
          <t>separado por fuente: Core_PLT (carga puntual) / Core_UCS</t>
        </is>
      </c>
      <c r="M109" t="n">
        <v>1235</v>
      </c>
      <c r="N109" t="n">
        <v>68.06570000000001</v>
      </c>
      <c r="O109" t="n">
        <v>41.7678</v>
      </c>
      <c r="P109" t="n">
        <v>0.6136</v>
      </c>
      <c r="Q109" t="n">
        <v>15.7519</v>
      </c>
      <c r="R109" t="n">
        <v>19.4804</v>
      </c>
      <c r="S109" t="n">
        <v>22.6476</v>
      </c>
      <c r="T109" t="n">
        <v>34.8762</v>
      </c>
      <c r="U109" t="n">
        <v>58.7554</v>
      </c>
      <c r="V109" t="n">
        <v>90.8824</v>
      </c>
      <c r="W109" t="n">
        <v>128.194</v>
      </c>
      <c r="X109" t="n">
        <v>146.9492</v>
      </c>
      <c r="Y109" t="n">
        <v>260.943</v>
      </c>
      <c r="Z109" t="inlineStr"/>
    </row>
    <row r="110">
      <c r="A110" t="inlineStr">
        <is>
          <t>MR24</t>
        </is>
      </c>
      <c r="B110" t="inlineStr">
        <is>
          <t>Merged_Table_Assay_lito</t>
        </is>
      </c>
      <c r="C110" t="inlineStr">
        <is>
          <t>UCS_MPa</t>
        </is>
      </c>
      <c r="D110" t="inlineStr">
        <is>
          <t>MPa</t>
        </is>
      </c>
      <c r="E110" t="inlineStr">
        <is>
          <t>RT_UCS|Fuente</t>
        </is>
      </c>
      <c r="F110" t="inlineStr">
        <is>
          <t>1_No_ZD|Core_UCS</t>
        </is>
      </c>
      <c r="G110" t="inlineStr">
        <is>
          <t>Intrusivo</t>
        </is>
      </c>
      <c r="H110" t="inlineStr">
        <is>
          <t>RT1</t>
        </is>
      </c>
      <c r="I110" t="inlineStr">
        <is>
          <t>Geologia_2024=Intrusivo_1</t>
        </is>
      </c>
      <c r="J110" t="inlineStr">
        <is>
          <t>Intrusivo</t>
        </is>
      </c>
      <c r="K110" t="inlineStr">
        <is>
          <t>Intrusivo</t>
        </is>
      </c>
      <c r="L110" t="inlineStr">
        <is>
          <t>separado por fuente: Core_PLT (carga puntual) / Core_UCS</t>
        </is>
      </c>
      <c r="M110" t="n">
        <v>327</v>
      </c>
      <c r="N110" t="n">
        <v>58.6444</v>
      </c>
      <c r="O110" t="n">
        <v>32.2545</v>
      </c>
      <c r="P110" t="n">
        <v>0.55</v>
      </c>
      <c r="Q110" t="n">
        <v>4.8</v>
      </c>
      <c r="R110" t="n">
        <v>15</v>
      </c>
      <c r="S110" t="n">
        <v>21.06</v>
      </c>
      <c r="T110" t="n">
        <v>33.665</v>
      </c>
      <c r="U110" t="n">
        <v>52.6</v>
      </c>
      <c r="V110" t="n">
        <v>78.94499999999999</v>
      </c>
      <c r="W110" t="n">
        <v>105.448</v>
      </c>
      <c r="X110" t="n">
        <v>121.48</v>
      </c>
      <c r="Y110" t="n">
        <v>168.48</v>
      </c>
      <c r="Z110" t="inlineStr"/>
    </row>
    <row r="111">
      <c r="A111" t="inlineStr">
        <is>
          <t>MR24</t>
        </is>
      </c>
      <c r="B111" t="inlineStr">
        <is>
          <t>Merged_Table_Assay_lito</t>
        </is>
      </c>
      <c r="C111" t="inlineStr">
        <is>
          <t>UCS_MPa</t>
        </is>
      </c>
      <c r="D111" t="inlineStr">
        <is>
          <t>MPa</t>
        </is>
      </c>
      <c r="E111" t="inlineStr">
        <is>
          <t>RT_UCS|Fuente</t>
        </is>
      </c>
      <c r="F111" t="inlineStr">
        <is>
          <t>1_ZD|Core_PLT</t>
        </is>
      </c>
      <c r="G111" t="inlineStr">
        <is>
          <t>Intrusivo</t>
        </is>
      </c>
      <c r="H111" t="inlineStr">
        <is>
          <t>RT1</t>
        </is>
      </c>
      <c r="I111" t="inlineStr">
        <is>
          <t>Geologia_2024=Intrusivo_1</t>
        </is>
      </c>
      <c r="J111" t="inlineStr">
        <is>
          <t>Intrusivo</t>
        </is>
      </c>
      <c r="K111" t="inlineStr">
        <is>
          <t>Intrusivo</t>
        </is>
      </c>
      <c r="L111" t="inlineStr">
        <is>
          <t>separado por fuente: Core_PLT (carga puntual) / Core_UCS</t>
        </is>
      </c>
      <c r="M111" t="n">
        <v>149</v>
      </c>
      <c r="N111" t="n">
        <v>81.8308</v>
      </c>
      <c r="O111" t="n">
        <v>48.5431</v>
      </c>
      <c r="P111" t="n">
        <v>0.5931999999999999</v>
      </c>
      <c r="Q111" t="n">
        <v>16.1047</v>
      </c>
      <c r="R111" t="n">
        <v>23.2508</v>
      </c>
      <c r="S111" t="n">
        <v>29.5034</v>
      </c>
      <c r="T111" t="n">
        <v>41.1759</v>
      </c>
      <c r="U111" t="n">
        <v>73.9854</v>
      </c>
      <c r="V111" t="n">
        <v>112.124</v>
      </c>
      <c r="W111" t="n">
        <v>141.5482</v>
      </c>
      <c r="X111" t="n">
        <v>175.432</v>
      </c>
      <c r="Y111" t="n">
        <v>218.369</v>
      </c>
      <c r="Z111" t="inlineStr"/>
    </row>
    <row r="112">
      <c r="A112" t="inlineStr">
        <is>
          <t>MR24</t>
        </is>
      </c>
      <c r="B112" t="inlineStr">
        <is>
          <t>Merged_Table_Assay_lito</t>
        </is>
      </c>
      <c r="C112" t="inlineStr">
        <is>
          <t>UCS_MPa</t>
        </is>
      </c>
      <c r="D112" t="inlineStr">
        <is>
          <t>MPa</t>
        </is>
      </c>
      <c r="E112" t="inlineStr">
        <is>
          <t>RT_UCS|Fuente</t>
        </is>
      </c>
      <c r="F112" t="inlineStr">
        <is>
          <t>1_ZD|Core_UCS</t>
        </is>
      </c>
      <c r="G112" t="inlineStr">
        <is>
          <t>Intrusivo</t>
        </is>
      </c>
      <c r="H112" t="inlineStr">
        <is>
          <t>RT1</t>
        </is>
      </c>
      <c r="I112" t="inlineStr">
        <is>
          <t>Geologia_2024=Intrusivo_1</t>
        </is>
      </c>
      <c r="J112" t="inlineStr">
        <is>
          <t>Intrusivo</t>
        </is>
      </c>
      <c r="K112" t="inlineStr">
        <is>
          <t>Intrusivo</t>
        </is>
      </c>
      <c r="L112" t="inlineStr">
        <is>
          <t>separado por fuente: Core_PLT (carga puntual) / Core_UCS</t>
        </is>
      </c>
      <c r="M112" t="n">
        <v>21</v>
      </c>
      <c r="N112" t="n">
        <v>44.6586</v>
      </c>
      <c r="O112" t="n">
        <v>30.2791</v>
      </c>
      <c r="P112" t="n">
        <v>0.678</v>
      </c>
      <c r="Q112" t="n">
        <v>10.59</v>
      </c>
      <c r="R112" t="n">
        <v>11.45</v>
      </c>
      <c r="S112" t="n">
        <v>11.45</v>
      </c>
      <c r="T112" t="n">
        <v>17.1</v>
      </c>
      <c r="U112" t="n">
        <v>50.35</v>
      </c>
      <c r="V112" t="n">
        <v>52.6</v>
      </c>
      <c r="W112" t="n">
        <v>94</v>
      </c>
      <c r="X112" t="n">
        <v>99.58</v>
      </c>
      <c r="Y112" t="n">
        <v>105.65</v>
      </c>
      <c r="Z112" t="inlineStr"/>
    </row>
    <row r="113">
      <c r="A113" t="inlineStr">
        <is>
          <t>MR24</t>
        </is>
      </c>
      <c r="B113" t="inlineStr">
        <is>
          <t>Merged_Table_Assay_lito</t>
        </is>
      </c>
      <c r="C113" t="inlineStr">
        <is>
          <t>UCS_MPa</t>
        </is>
      </c>
      <c r="D113" t="inlineStr">
        <is>
          <t>MPa</t>
        </is>
      </c>
      <c r="E113" t="inlineStr">
        <is>
          <t>RT_UCS|Fuente</t>
        </is>
      </c>
      <c r="F113" t="inlineStr">
        <is>
          <t>20_No_ZD|Core_PLT</t>
        </is>
      </c>
      <c r="G113" t="inlineStr">
        <is>
          <t>Skarn</t>
        </is>
      </c>
      <c r="H113" t="inlineStr">
        <is>
          <t>Endoskarn_20</t>
        </is>
      </c>
      <c r="I113" t="inlineStr">
        <is>
          <t>Geologia_2024=Endoskarn_20</t>
        </is>
      </c>
      <c r="J113" t="inlineStr">
        <is>
          <t>Skarn</t>
        </is>
      </c>
      <c r="K113" t="inlineStr">
        <is>
          <t>Endoskarn</t>
        </is>
      </c>
      <c r="L113" t="inlineStr">
        <is>
          <t>separado por fuente: Core_PLT (carga puntual) / Core_UCS</t>
        </is>
      </c>
      <c r="M113" t="n">
        <v>6</v>
      </c>
      <c r="N113" t="n">
        <v>46.8264</v>
      </c>
      <c r="O113" t="n">
        <v>37.4778</v>
      </c>
      <c r="P113" t="n">
        <v>0.8004</v>
      </c>
      <c r="Q113" t="n">
        <v>15</v>
      </c>
      <c r="R113" t="n">
        <v>15</v>
      </c>
      <c r="S113" t="n">
        <v>15</v>
      </c>
      <c r="T113" t="n">
        <v>18.2574</v>
      </c>
      <c r="U113" t="n">
        <v>33.1591</v>
      </c>
      <c r="V113" t="n">
        <v>67.7954</v>
      </c>
      <c r="W113" t="n">
        <v>92.31999999999999</v>
      </c>
      <c r="X113" t="n">
        <v>99.6645</v>
      </c>
      <c r="Y113" t="n">
        <v>107.009</v>
      </c>
      <c r="Z113" t="inlineStr"/>
    </row>
    <row r="114">
      <c r="A114" t="inlineStr">
        <is>
          <t>MR24</t>
        </is>
      </c>
      <c r="B114" t="inlineStr">
        <is>
          <t>Merged_Table_Assay_lito</t>
        </is>
      </c>
      <c r="C114" t="inlineStr">
        <is>
          <t>UCS_MPa</t>
        </is>
      </c>
      <c r="D114" t="inlineStr">
        <is>
          <t>MPa</t>
        </is>
      </c>
      <c r="E114" t="inlineStr">
        <is>
          <t>RT_UCS|Fuente</t>
        </is>
      </c>
      <c r="F114" t="inlineStr">
        <is>
          <t>22_No_ZD|Core_PLT</t>
        </is>
      </c>
      <c r="G114" t="inlineStr">
        <is>
          <t>Skarn</t>
        </is>
      </c>
      <c r="H114" t="inlineStr">
        <is>
          <t>Endoskarn_22</t>
        </is>
      </c>
      <c r="I114" t="inlineStr">
        <is>
          <t>Geologia_2024=Endoskarn_22</t>
        </is>
      </c>
      <c r="J114" t="inlineStr">
        <is>
          <t>Skarn</t>
        </is>
      </c>
      <c r="K114" t="inlineStr">
        <is>
          <t>Endoskarn</t>
        </is>
      </c>
      <c r="L114" t="inlineStr">
        <is>
          <t>separado por fuente: Core_PLT (carga puntual) / Core_UCS</t>
        </is>
      </c>
      <c r="M114" t="n">
        <v>42</v>
      </c>
      <c r="N114" t="n">
        <v>44.9807</v>
      </c>
      <c r="O114" t="n">
        <v>29.97</v>
      </c>
      <c r="P114" t="n">
        <v>0.6663</v>
      </c>
      <c r="Q114" t="n">
        <v>15</v>
      </c>
      <c r="R114" t="n">
        <v>15.0194</v>
      </c>
      <c r="S114" t="n">
        <v>15.5415</v>
      </c>
      <c r="T114" t="n">
        <v>20.9192</v>
      </c>
      <c r="U114" t="n">
        <v>36.2512</v>
      </c>
      <c r="V114" t="n">
        <v>58.5167</v>
      </c>
      <c r="W114" t="n">
        <v>73.38760000000001</v>
      </c>
      <c r="X114" t="n">
        <v>111.7662</v>
      </c>
      <c r="Y114" t="n">
        <v>127.929</v>
      </c>
      <c r="Z114" t="inlineStr"/>
    </row>
    <row r="115">
      <c r="A115" t="inlineStr">
        <is>
          <t>MR24</t>
        </is>
      </c>
      <c r="B115" t="inlineStr">
        <is>
          <t>Merged_Table_Assay_lito</t>
        </is>
      </c>
      <c r="C115" t="inlineStr">
        <is>
          <t>UCS_MPa</t>
        </is>
      </c>
      <c r="D115" t="inlineStr">
        <is>
          <t>MPa</t>
        </is>
      </c>
      <c r="E115" t="inlineStr">
        <is>
          <t>RT_UCS|Fuente</t>
        </is>
      </c>
      <c r="F115" t="inlineStr">
        <is>
          <t>22_No_ZD|Core_UCS</t>
        </is>
      </c>
      <c r="G115" t="inlineStr">
        <is>
          <t>Skarn</t>
        </is>
      </c>
      <c r="H115" t="inlineStr">
        <is>
          <t>Endoskarn_22</t>
        </is>
      </c>
      <c r="I115" t="inlineStr">
        <is>
          <t>Geologia_2024=Endoskarn_22</t>
        </is>
      </c>
      <c r="J115" t="inlineStr">
        <is>
          <t>Skarn</t>
        </is>
      </c>
      <c r="K115" t="inlineStr">
        <is>
          <t>Endoskarn</t>
        </is>
      </c>
      <c r="L115" t="inlineStr">
        <is>
          <t>separado por fuente: Core_PLT (carga puntual) / Core_UCS</t>
        </is>
      </c>
      <c r="M115" t="n">
        <v>17</v>
      </c>
      <c r="N115" t="n">
        <v>44.7841</v>
      </c>
      <c r="O115" t="n">
        <v>32.5271</v>
      </c>
      <c r="P115" t="n">
        <v>0.7262999999999999</v>
      </c>
      <c r="Q115" t="n">
        <v>7.18</v>
      </c>
      <c r="R115" t="n">
        <v>11.356</v>
      </c>
      <c r="S115" t="n">
        <v>12.4</v>
      </c>
      <c r="T115" t="n">
        <v>17.86</v>
      </c>
      <c r="U115" t="n">
        <v>35.7</v>
      </c>
      <c r="V115" t="n">
        <v>57.9</v>
      </c>
      <c r="W115" t="n">
        <v>100.17</v>
      </c>
      <c r="X115" t="n">
        <v>101.824</v>
      </c>
      <c r="Y115" t="n">
        <v>105.44</v>
      </c>
      <c r="Z115" t="inlineStr"/>
    </row>
    <row r="116">
      <c r="A116" t="inlineStr">
        <is>
          <t>MR24</t>
        </is>
      </c>
      <c r="B116" t="inlineStr">
        <is>
          <t>Merged_Table_Assay_lito</t>
        </is>
      </c>
      <c r="C116" t="inlineStr">
        <is>
          <t>UCS_MPa</t>
        </is>
      </c>
      <c r="D116" t="inlineStr">
        <is>
          <t>MPa</t>
        </is>
      </c>
      <c r="E116" t="inlineStr">
        <is>
          <t>RT_UCS|Fuente</t>
        </is>
      </c>
      <c r="F116" t="inlineStr">
        <is>
          <t>22_ZD|Core_PLT</t>
        </is>
      </c>
      <c r="G116" t="inlineStr">
        <is>
          <t>Skarn</t>
        </is>
      </c>
      <c r="H116" t="inlineStr">
        <is>
          <t>Endoskarn_22</t>
        </is>
      </c>
      <c r="I116" t="inlineStr">
        <is>
          <t>Geologia_2024=Endoskarn_22</t>
        </is>
      </c>
      <c r="J116" t="inlineStr">
        <is>
          <t>Skarn</t>
        </is>
      </c>
      <c r="K116" t="inlineStr">
        <is>
          <t>Endoskarn</t>
        </is>
      </c>
      <c r="L116" t="inlineStr">
        <is>
          <t>separado por fuente: Core_PLT (carga puntual) / Core_UCS</t>
        </is>
      </c>
      <c r="M116" t="n">
        <v>6</v>
      </c>
      <c r="N116" t="n">
        <v>53.2389</v>
      </c>
      <c r="O116" t="n">
        <v>29.778</v>
      </c>
      <c r="P116" t="n">
        <v>0.5593</v>
      </c>
      <c r="Q116" t="n">
        <v>21.0677</v>
      </c>
      <c r="R116" t="n">
        <v>23.2204</v>
      </c>
      <c r="S116" t="n">
        <v>25.373</v>
      </c>
      <c r="T116" t="n">
        <v>30.1882</v>
      </c>
      <c r="U116" t="n">
        <v>48.9722</v>
      </c>
      <c r="V116" t="n">
        <v>74.1617</v>
      </c>
      <c r="W116" t="n">
        <v>85.3715</v>
      </c>
      <c r="X116" t="n">
        <v>89.654</v>
      </c>
      <c r="Y116" t="n">
        <v>93.93640000000001</v>
      </c>
      <c r="Z116" t="inlineStr"/>
    </row>
    <row r="117">
      <c r="A117" t="inlineStr">
        <is>
          <t>MR24</t>
        </is>
      </c>
      <c r="B117" t="inlineStr">
        <is>
          <t>Merged_Table_Assay_lito</t>
        </is>
      </c>
      <c r="C117" t="inlineStr">
        <is>
          <t>UCS_MPa</t>
        </is>
      </c>
      <c r="D117" t="inlineStr">
        <is>
          <t>MPa</t>
        </is>
      </c>
      <c r="E117" t="inlineStr">
        <is>
          <t>RT_UCS|Fuente</t>
        </is>
      </c>
      <c r="F117" t="inlineStr">
        <is>
          <t>23_No_ZD|Core_PLT</t>
        </is>
      </c>
      <c r="G117" t="inlineStr">
        <is>
          <t>Skarn</t>
        </is>
      </c>
      <c r="H117" t="inlineStr">
        <is>
          <t>Endoskarn_23</t>
        </is>
      </c>
      <c r="I117" t="inlineStr">
        <is>
          <t>Geologia_2024=Endoskarn_23</t>
        </is>
      </c>
      <c r="J117" t="inlineStr">
        <is>
          <t>Skarn</t>
        </is>
      </c>
      <c r="K117" t="inlineStr">
        <is>
          <t>Endoskarn</t>
        </is>
      </c>
      <c r="L117" t="inlineStr">
        <is>
          <t>separado por fuente: Core_PLT (carga puntual) / Core_UCS</t>
        </is>
      </c>
      <c r="M117" t="n">
        <v>5</v>
      </c>
      <c r="N117" t="n">
        <v>60.3236</v>
      </c>
      <c r="O117" t="n">
        <v>25.4768</v>
      </c>
      <c r="P117" t="n">
        <v>0.4223</v>
      </c>
      <c r="Q117" t="n">
        <v>18.8842</v>
      </c>
      <c r="R117" t="n">
        <v>26.3467</v>
      </c>
      <c r="S117" t="n">
        <v>33.8092</v>
      </c>
      <c r="T117" t="n">
        <v>56.1966</v>
      </c>
      <c r="U117" t="n">
        <v>65.9686</v>
      </c>
      <c r="V117" t="n">
        <v>76.2051</v>
      </c>
      <c r="W117" t="n">
        <v>81.1002</v>
      </c>
      <c r="X117" t="n">
        <v>82.7319</v>
      </c>
      <c r="Y117" t="n">
        <v>84.36360000000001</v>
      </c>
      <c r="Z117" t="inlineStr"/>
    </row>
    <row r="118">
      <c r="A118" t="inlineStr">
        <is>
          <t>MR24</t>
        </is>
      </c>
      <c r="B118" t="inlineStr">
        <is>
          <t>Merged_Table_Assay_lito</t>
        </is>
      </c>
      <c r="C118" t="inlineStr">
        <is>
          <t>UCS_MPa</t>
        </is>
      </c>
      <c r="D118" t="inlineStr">
        <is>
          <t>MPa</t>
        </is>
      </c>
      <c r="E118" t="inlineStr">
        <is>
          <t>RT_UCS|Fuente</t>
        </is>
      </c>
      <c r="F118" t="inlineStr">
        <is>
          <t>23_No_ZD|Core_UCS</t>
        </is>
      </c>
      <c r="G118" t="inlineStr">
        <is>
          <t>Skarn</t>
        </is>
      </c>
      <c r="H118" t="inlineStr">
        <is>
          <t>Endoskarn_23</t>
        </is>
      </c>
      <c r="I118" t="inlineStr">
        <is>
          <t>Geologia_2024=Endoskarn_23</t>
        </is>
      </c>
      <c r="J118" t="inlineStr">
        <is>
          <t>Skarn</t>
        </is>
      </c>
      <c r="K118" t="inlineStr">
        <is>
          <t>Endoskarn</t>
        </is>
      </c>
      <c r="L118" t="inlineStr">
        <is>
          <t>separado por fuente: Core_PLT (carga puntual) / Core_UCS</t>
        </is>
      </c>
      <c r="M118" t="n">
        <v>1</v>
      </c>
      <c r="N118" t="n">
        <v>30.88</v>
      </c>
      <c r="O118" t="inlineStr"/>
      <c r="P118" t="inlineStr"/>
      <c r="Q118" t="n">
        <v>30.88</v>
      </c>
      <c r="R118" t="n">
        <v>30.88</v>
      </c>
      <c r="S118" t="n">
        <v>30.88</v>
      </c>
      <c r="T118" t="n">
        <v>30.88</v>
      </c>
      <c r="U118" t="n">
        <v>30.88</v>
      </c>
      <c r="V118" t="n">
        <v>30.88</v>
      </c>
      <c r="W118" t="n">
        <v>30.88</v>
      </c>
      <c r="X118" t="n">
        <v>30.88</v>
      </c>
      <c r="Y118" t="n">
        <v>30.88</v>
      </c>
      <c r="Z118" t="inlineStr"/>
    </row>
    <row r="119">
      <c r="A119" t="inlineStr">
        <is>
          <t>MR24</t>
        </is>
      </c>
      <c r="B119" t="inlineStr">
        <is>
          <t>Merged_Table_Assay_lito</t>
        </is>
      </c>
      <c r="C119" t="inlineStr">
        <is>
          <t>UCS_MPa</t>
        </is>
      </c>
      <c r="D119" t="inlineStr">
        <is>
          <t>MPa</t>
        </is>
      </c>
      <c r="E119" t="inlineStr">
        <is>
          <t>RT_UCS|Fuente</t>
        </is>
      </c>
      <c r="F119" t="inlineStr">
        <is>
          <t>2_No_ZD|Core_PLT</t>
        </is>
      </c>
      <c r="G119" t="inlineStr">
        <is>
          <t>Intrusivo</t>
        </is>
      </c>
      <c r="H119" t="inlineStr">
        <is>
          <t>RT2</t>
        </is>
      </c>
      <c r="I119" t="inlineStr">
        <is>
          <t>Geologia_2024=Intrusivo_2</t>
        </is>
      </c>
      <c r="J119" t="inlineStr">
        <is>
          <t>Intrusivo</t>
        </is>
      </c>
      <c r="K119" t="inlineStr">
        <is>
          <t>Intrusivo</t>
        </is>
      </c>
      <c r="L119" t="inlineStr">
        <is>
          <t>separado por fuente: Core_PLT (carga puntual) / Core_UCS</t>
        </is>
      </c>
      <c r="M119" t="n">
        <v>119</v>
      </c>
      <c r="N119" t="n">
        <v>142.1179</v>
      </c>
      <c r="O119" t="n">
        <v>51.3611</v>
      </c>
      <c r="P119" t="n">
        <v>0.3614</v>
      </c>
      <c r="Q119" t="n">
        <v>30.3203</v>
      </c>
      <c r="R119" t="n">
        <v>51.7802</v>
      </c>
      <c r="S119" t="n">
        <v>71.3548</v>
      </c>
      <c r="T119" t="n">
        <v>104.472</v>
      </c>
      <c r="U119" t="n">
        <v>144.547</v>
      </c>
      <c r="V119" t="n">
        <v>176.3445</v>
      </c>
      <c r="W119" t="n">
        <v>210.135</v>
      </c>
      <c r="X119" t="n">
        <v>214.3498</v>
      </c>
      <c r="Y119" t="n">
        <v>243.672</v>
      </c>
      <c r="Z119" t="inlineStr"/>
    </row>
    <row r="120">
      <c r="A120" t="inlineStr">
        <is>
          <t>MR24</t>
        </is>
      </c>
      <c r="B120" t="inlineStr">
        <is>
          <t>Merged_Table_Assay_lito</t>
        </is>
      </c>
      <c r="C120" t="inlineStr">
        <is>
          <t>UCS_MPa</t>
        </is>
      </c>
      <c r="D120" t="inlineStr">
        <is>
          <t>MPa</t>
        </is>
      </c>
      <c r="E120" t="inlineStr">
        <is>
          <t>RT_UCS|Fuente</t>
        </is>
      </c>
      <c r="F120" t="inlineStr">
        <is>
          <t>2_No_ZD|Core_UCS</t>
        </is>
      </c>
      <c r="G120" t="inlineStr">
        <is>
          <t>Intrusivo</t>
        </is>
      </c>
      <c r="H120" t="inlineStr">
        <is>
          <t>RT2</t>
        </is>
      </c>
      <c r="I120" t="inlineStr">
        <is>
          <t>Geologia_2024=Intrusivo_2</t>
        </is>
      </c>
      <c r="J120" t="inlineStr">
        <is>
          <t>Intrusivo</t>
        </is>
      </c>
      <c r="K120" t="inlineStr">
        <is>
          <t>Intrusivo</t>
        </is>
      </c>
      <c r="L120" t="inlineStr">
        <is>
          <t>separado por fuente: Core_PLT (carga puntual) / Core_UCS</t>
        </is>
      </c>
      <c r="M120" t="n">
        <v>112</v>
      </c>
      <c r="N120" t="n">
        <v>99.87949999999999</v>
      </c>
      <c r="O120" t="n">
        <v>42.8638</v>
      </c>
      <c r="P120" t="n">
        <v>0.4292</v>
      </c>
      <c r="Q120" t="n">
        <v>36.1</v>
      </c>
      <c r="R120" t="n">
        <v>49.096</v>
      </c>
      <c r="S120" t="n">
        <v>53.54</v>
      </c>
      <c r="T120" t="n">
        <v>73.875</v>
      </c>
      <c r="U120" t="n">
        <v>88.89</v>
      </c>
      <c r="V120" t="n">
        <v>117.605</v>
      </c>
      <c r="W120" t="n">
        <v>171.31</v>
      </c>
      <c r="X120" t="n">
        <v>171.7</v>
      </c>
      <c r="Y120" t="n">
        <v>297.1</v>
      </c>
      <c r="Z120" t="inlineStr"/>
    </row>
    <row r="121">
      <c r="A121" t="inlineStr">
        <is>
          <t>MR24</t>
        </is>
      </c>
      <c r="B121" t="inlineStr">
        <is>
          <t>Merged_Table_Assay_lito</t>
        </is>
      </c>
      <c r="C121" t="inlineStr">
        <is>
          <t>UCS_MPa</t>
        </is>
      </c>
      <c r="D121" t="inlineStr">
        <is>
          <t>MPa</t>
        </is>
      </c>
      <c r="E121" t="inlineStr">
        <is>
          <t>RT_UCS|Fuente</t>
        </is>
      </c>
      <c r="F121" t="inlineStr">
        <is>
          <t>2_ZD|Core_PLT</t>
        </is>
      </c>
      <c r="G121" t="inlineStr">
        <is>
          <t>Intrusivo</t>
        </is>
      </c>
      <c r="H121" t="inlineStr">
        <is>
          <t>RT2</t>
        </is>
      </c>
      <c r="I121" t="inlineStr">
        <is>
          <t>Geologia_2024=Intrusivo_2</t>
        </is>
      </c>
      <c r="J121" t="inlineStr">
        <is>
          <t>Intrusivo</t>
        </is>
      </c>
      <c r="K121" t="inlineStr">
        <is>
          <t>Intrusivo</t>
        </is>
      </c>
      <c r="L121" t="inlineStr">
        <is>
          <t>separado por fuente: Core_PLT (carga puntual) / Core_UCS</t>
        </is>
      </c>
      <c r="M121" t="n">
        <v>80</v>
      </c>
      <c r="N121" t="n">
        <v>147.7958</v>
      </c>
      <c r="O121" t="n">
        <v>52.2626</v>
      </c>
      <c r="P121" t="n">
        <v>0.3536</v>
      </c>
      <c r="Q121" t="n">
        <v>25.2929</v>
      </c>
      <c r="R121" t="n">
        <v>53.8774</v>
      </c>
      <c r="S121" t="n">
        <v>78.0159</v>
      </c>
      <c r="T121" t="n">
        <v>119.1605</v>
      </c>
      <c r="U121" t="n">
        <v>149.8065</v>
      </c>
      <c r="V121" t="n">
        <v>182.1182</v>
      </c>
      <c r="W121" t="n">
        <v>209.807</v>
      </c>
      <c r="X121" t="n">
        <v>220.6702</v>
      </c>
      <c r="Y121" t="n">
        <v>300</v>
      </c>
      <c r="Z121" t="inlineStr"/>
    </row>
    <row r="122">
      <c r="A122" t="inlineStr">
        <is>
          <t>MR24</t>
        </is>
      </c>
      <c r="B122" t="inlineStr">
        <is>
          <t>Merged_Table_Assay_lito</t>
        </is>
      </c>
      <c r="C122" t="inlineStr">
        <is>
          <t>UCS_MPa</t>
        </is>
      </c>
      <c r="D122" t="inlineStr">
        <is>
          <t>MPa</t>
        </is>
      </c>
      <c r="E122" t="inlineStr">
        <is>
          <t>RT_UCS|Fuente</t>
        </is>
      </c>
      <c r="F122" t="inlineStr">
        <is>
          <t>2_ZD|Core_UCS</t>
        </is>
      </c>
      <c r="G122" t="inlineStr">
        <is>
          <t>Intrusivo</t>
        </is>
      </c>
      <c r="H122" t="inlineStr">
        <is>
          <t>RT2</t>
        </is>
      </c>
      <c r="I122" t="inlineStr">
        <is>
          <t>Geologia_2024=Intrusivo_2</t>
        </is>
      </c>
      <c r="J122" t="inlineStr">
        <is>
          <t>Intrusivo</t>
        </is>
      </c>
      <c r="K122" t="inlineStr">
        <is>
          <t>Intrusivo</t>
        </is>
      </c>
      <c r="L122" t="inlineStr">
        <is>
          <t>separado por fuente: Core_PLT (carga puntual) / Core_UCS</t>
        </is>
      </c>
      <c r="M122" t="n">
        <v>43</v>
      </c>
      <c r="N122" t="n">
        <v>112.1547</v>
      </c>
      <c r="O122" t="n">
        <v>58.1013</v>
      </c>
      <c r="P122" t="n">
        <v>0.518</v>
      </c>
      <c r="Q122" t="n">
        <v>33.24</v>
      </c>
      <c r="R122" t="n">
        <v>43.704</v>
      </c>
      <c r="S122" t="n">
        <v>49.54</v>
      </c>
      <c r="T122" t="n">
        <v>60.995</v>
      </c>
      <c r="U122" t="n">
        <v>109.2</v>
      </c>
      <c r="V122" t="n">
        <v>154.9</v>
      </c>
      <c r="W122" t="n">
        <v>189.818</v>
      </c>
      <c r="X122" t="n">
        <v>224.64</v>
      </c>
      <c r="Y122" t="n">
        <v>263</v>
      </c>
      <c r="Z122" t="inlineStr"/>
    </row>
    <row r="123">
      <c r="A123" t="inlineStr">
        <is>
          <t>MR24</t>
        </is>
      </c>
      <c r="B123" t="inlineStr">
        <is>
          <t>Merged_Table_Assay_lito</t>
        </is>
      </c>
      <c r="C123" t="inlineStr">
        <is>
          <t>UCS_MPa</t>
        </is>
      </c>
      <c r="D123" t="inlineStr">
        <is>
          <t>MPa</t>
        </is>
      </c>
      <c r="E123" t="inlineStr">
        <is>
          <t>RT_UCS|Fuente</t>
        </is>
      </c>
      <c r="F123" t="inlineStr">
        <is>
          <t>31_No_ZD|Core_PLT</t>
        </is>
      </c>
      <c r="G123" t="inlineStr">
        <is>
          <t>Skarn</t>
        </is>
      </c>
      <c r="H123" t="inlineStr">
        <is>
          <t>Exoskarn_31</t>
        </is>
      </c>
      <c r="I123" t="inlineStr">
        <is>
          <t>Geologia_2024=Exoskarn_31</t>
        </is>
      </c>
      <c r="J123" t="inlineStr">
        <is>
          <t>Skarn</t>
        </is>
      </c>
      <c r="K123" t="inlineStr">
        <is>
          <t>Exoskarn</t>
        </is>
      </c>
      <c r="L123" t="inlineStr">
        <is>
          <t>separado por fuente: Core_PLT (carga puntual) / Core_UCS</t>
        </is>
      </c>
      <c r="M123" t="n">
        <v>2</v>
      </c>
      <c r="N123" t="n">
        <v>20.2833</v>
      </c>
      <c r="O123" t="n">
        <v>1.3366</v>
      </c>
      <c r="P123" t="n">
        <v>0.0659</v>
      </c>
      <c r="Q123" t="n">
        <v>19.3382</v>
      </c>
      <c r="R123" t="n">
        <v>19.4327</v>
      </c>
      <c r="S123" t="n">
        <v>19.5272</v>
      </c>
      <c r="T123" t="n">
        <v>19.8108</v>
      </c>
      <c r="U123" t="n">
        <v>20.2833</v>
      </c>
      <c r="V123" t="n">
        <v>20.7559</v>
      </c>
      <c r="W123" t="n">
        <v>21.0394</v>
      </c>
      <c r="X123" t="n">
        <v>21.1339</v>
      </c>
      <c r="Y123" t="n">
        <v>21.2284</v>
      </c>
      <c r="Z123" t="inlineStr"/>
    </row>
    <row r="124">
      <c r="A124" t="inlineStr">
        <is>
          <t>MR24</t>
        </is>
      </c>
      <c r="B124" t="inlineStr">
        <is>
          <t>Merged_Table_Assay_lito</t>
        </is>
      </c>
      <c r="C124" t="inlineStr">
        <is>
          <t>UCS_MPa</t>
        </is>
      </c>
      <c r="D124" t="inlineStr">
        <is>
          <t>MPa</t>
        </is>
      </c>
      <c r="E124" t="inlineStr">
        <is>
          <t>RT_UCS|Fuente</t>
        </is>
      </c>
      <c r="F124" t="inlineStr">
        <is>
          <t>32_No_ZD|Core_PLT</t>
        </is>
      </c>
      <c r="G124" t="inlineStr">
        <is>
          <t>Skarn</t>
        </is>
      </c>
      <c r="H124" t="inlineStr">
        <is>
          <t>Exoskarn_32</t>
        </is>
      </c>
      <c r="I124" t="inlineStr">
        <is>
          <t>Geologia_2024=Exoskarn_32</t>
        </is>
      </c>
      <c r="J124" t="inlineStr">
        <is>
          <t>Skarn</t>
        </is>
      </c>
      <c r="K124" t="inlineStr">
        <is>
          <t>Exoskarn</t>
        </is>
      </c>
      <c r="L124" t="inlineStr">
        <is>
          <t>separado por fuente: Core_PLT (carga puntual) / Core_UCS</t>
        </is>
      </c>
      <c r="M124" t="n">
        <v>10</v>
      </c>
      <c r="N124" t="n">
        <v>65.7705</v>
      </c>
      <c r="O124" t="n">
        <v>33.0241</v>
      </c>
      <c r="P124" t="n">
        <v>0.5021</v>
      </c>
      <c r="Q124" t="n">
        <v>26.6328</v>
      </c>
      <c r="R124" t="n">
        <v>31.0055</v>
      </c>
      <c r="S124" t="n">
        <v>35.3783</v>
      </c>
      <c r="T124" t="n">
        <v>52.5658</v>
      </c>
      <c r="U124" t="n">
        <v>59.4452</v>
      </c>
      <c r="V124" t="n">
        <v>72.8454</v>
      </c>
      <c r="W124" t="n">
        <v>84.0102</v>
      </c>
      <c r="X124" t="n">
        <v>115.9316</v>
      </c>
      <c r="Y124" t="n">
        <v>147.853</v>
      </c>
      <c r="Z124" t="inlineStr"/>
    </row>
    <row r="125">
      <c r="A125" t="inlineStr">
        <is>
          <t>MR24</t>
        </is>
      </c>
      <c r="B125" t="inlineStr">
        <is>
          <t>Merged_Table_Assay_lito</t>
        </is>
      </c>
      <c r="C125" t="inlineStr">
        <is>
          <t>UCS_MPa</t>
        </is>
      </c>
      <c r="D125" t="inlineStr">
        <is>
          <t>MPa</t>
        </is>
      </c>
      <c r="E125" t="inlineStr">
        <is>
          <t>RT_UCS|Fuente</t>
        </is>
      </c>
      <c r="F125" t="inlineStr">
        <is>
          <t>32_No_ZD|Core_UCS</t>
        </is>
      </c>
      <c r="G125" t="inlineStr">
        <is>
          <t>Skarn</t>
        </is>
      </c>
      <c r="H125" t="inlineStr">
        <is>
          <t>Exoskarn_32</t>
        </is>
      </c>
      <c r="I125" t="inlineStr">
        <is>
          <t>Geologia_2024=Exoskarn_32</t>
        </is>
      </c>
      <c r="J125" t="inlineStr">
        <is>
          <t>Skarn</t>
        </is>
      </c>
      <c r="K125" t="inlineStr">
        <is>
          <t>Exoskarn</t>
        </is>
      </c>
      <c r="L125" t="inlineStr">
        <is>
          <t>separado por fuente: Core_PLT (carga puntual) / Core_UCS</t>
        </is>
      </c>
      <c r="M125" t="n">
        <v>3</v>
      </c>
      <c r="N125" t="n">
        <v>40.3667</v>
      </c>
      <c r="O125" t="n">
        <v>1.7098</v>
      </c>
      <c r="P125" t="n">
        <v>0.0424</v>
      </c>
      <c r="Q125" t="n">
        <v>38.4</v>
      </c>
      <c r="R125" t="n">
        <v>38.68</v>
      </c>
      <c r="S125" t="n">
        <v>38.96</v>
      </c>
      <c r="T125" t="n">
        <v>39.8</v>
      </c>
      <c r="U125" t="n">
        <v>41.2</v>
      </c>
      <c r="V125" t="n">
        <v>41.35</v>
      </c>
      <c r="W125" t="n">
        <v>41.44</v>
      </c>
      <c r="X125" t="n">
        <v>41.47</v>
      </c>
      <c r="Y125" t="n">
        <v>41.5</v>
      </c>
      <c r="Z125" t="inlineStr"/>
    </row>
    <row r="126">
      <c r="A126" t="inlineStr">
        <is>
          <t>MR24</t>
        </is>
      </c>
      <c r="B126" t="inlineStr">
        <is>
          <t>Merged_Table_Assay_lito</t>
        </is>
      </c>
      <c r="C126" t="inlineStr">
        <is>
          <t>UCS_MPa</t>
        </is>
      </c>
      <c r="D126" t="inlineStr">
        <is>
          <t>MPa</t>
        </is>
      </c>
      <c r="E126" t="inlineStr">
        <is>
          <t>RT_UCS|Fuente</t>
        </is>
      </c>
      <c r="F126" t="inlineStr">
        <is>
          <t>32_ZD|Core_PLT</t>
        </is>
      </c>
      <c r="G126" t="inlineStr">
        <is>
          <t>Skarn</t>
        </is>
      </c>
      <c r="H126" t="inlineStr">
        <is>
          <t>Exoskarn_32</t>
        </is>
      </c>
      <c r="I126" t="inlineStr">
        <is>
          <t>Geologia_2024=Exoskarn_32</t>
        </is>
      </c>
      <c r="J126" t="inlineStr">
        <is>
          <t>Skarn</t>
        </is>
      </c>
      <c r="K126" t="inlineStr">
        <is>
          <t>Exoskarn</t>
        </is>
      </c>
      <c r="L126" t="inlineStr">
        <is>
          <t>separado por fuente: Core_PLT (carga puntual) / Core_UCS</t>
        </is>
      </c>
      <c r="M126" t="n">
        <v>1</v>
      </c>
      <c r="N126" t="n">
        <v>74.5932</v>
      </c>
      <c r="O126" t="inlineStr"/>
      <c r="P126" t="inlineStr"/>
      <c r="Q126" t="n">
        <v>74.5932</v>
      </c>
      <c r="R126" t="n">
        <v>74.5932</v>
      </c>
      <c r="S126" t="n">
        <v>74.5932</v>
      </c>
      <c r="T126" t="n">
        <v>74.5932</v>
      </c>
      <c r="U126" t="n">
        <v>74.5932</v>
      </c>
      <c r="V126" t="n">
        <v>74.5932</v>
      </c>
      <c r="W126" t="n">
        <v>74.5932</v>
      </c>
      <c r="X126" t="n">
        <v>74.5932</v>
      </c>
      <c r="Y126" t="n">
        <v>74.5932</v>
      </c>
      <c r="Z126" t="inlineStr"/>
    </row>
    <row r="127">
      <c r="A127" t="inlineStr">
        <is>
          <t>MR24</t>
        </is>
      </c>
      <c r="B127" t="inlineStr">
        <is>
          <t>Merged_Table_Assay_lito</t>
        </is>
      </c>
      <c r="C127" t="inlineStr">
        <is>
          <t>UCS_MPa</t>
        </is>
      </c>
      <c r="D127" t="inlineStr">
        <is>
          <t>MPa</t>
        </is>
      </c>
      <c r="E127" t="inlineStr">
        <is>
          <t>RT_UCS|Fuente</t>
        </is>
      </c>
      <c r="F127" t="inlineStr">
        <is>
          <t>34_No_ZD|Core_PLT</t>
        </is>
      </c>
      <c r="G127" t="inlineStr">
        <is>
          <t>Skarn</t>
        </is>
      </c>
      <c r="H127" t="inlineStr">
        <is>
          <t>Exoskarn_34</t>
        </is>
      </c>
      <c r="I127" t="inlineStr">
        <is>
          <t>Geologia_2024=Exoskarn_34</t>
        </is>
      </c>
      <c r="J127" t="inlineStr">
        <is>
          <t>Skarn</t>
        </is>
      </c>
      <c r="K127" t="inlineStr">
        <is>
          <t>Exoskarn</t>
        </is>
      </c>
      <c r="L127" t="inlineStr">
        <is>
          <t>separado por fuente: Core_PLT (carga puntual) / Core_UCS</t>
        </is>
      </c>
      <c r="M127" t="n">
        <v>15</v>
      </c>
      <c r="N127" t="n">
        <v>102.2453</v>
      </c>
      <c r="O127" t="n">
        <v>41.2941</v>
      </c>
      <c r="P127" t="n">
        <v>0.4039</v>
      </c>
      <c r="Q127" t="n">
        <v>58.1298</v>
      </c>
      <c r="R127" t="n">
        <v>58.1298</v>
      </c>
      <c r="S127" t="n">
        <v>62.8136</v>
      </c>
      <c r="T127" t="n">
        <v>72.1395</v>
      </c>
      <c r="U127" t="n">
        <v>86.428</v>
      </c>
      <c r="V127" t="n">
        <v>128.806</v>
      </c>
      <c r="W127" t="n">
        <v>156.351</v>
      </c>
      <c r="X127" t="n">
        <v>167.1268</v>
      </c>
      <c r="Y127" t="n">
        <v>188.887</v>
      </c>
      <c r="Z127" t="inlineStr"/>
    </row>
    <row r="128">
      <c r="A128" t="inlineStr">
        <is>
          <t>MR24</t>
        </is>
      </c>
      <c r="B128" t="inlineStr">
        <is>
          <t>Merged_Table_Assay_lito</t>
        </is>
      </c>
      <c r="C128" t="inlineStr">
        <is>
          <t>UCS_MPa</t>
        </is>
      </c>
      <c r="D128" t="inlineStr">
        <is>
          <t>MPa</t>
        </is>
      </c>
      <c r="E128" t="inlineStr">
        <is>
          <t>RT_UCS|Fuente</t>
        </is>
      </c>
      <c r="F128" t="inlineStr">
        <is>
          <t>34_ZD|Core_PLT</t>
        </is>
      </c>
      <c r="G128" t="inlineStr">
        <is>
          <t>Skarn</t>
        </is>
      </c>
      <c r="H128" t="inlineStr">
        <is>
          <t>Exoskarn_34</t>
        </is>
      </c>
      <c r="I128" t="inlineStr">
        <is>
          <t>Geologia_2024=Exoskarn_34</t>
        </is>
      </c>
      <c r="J128" t="inlineStr">
        <is>
          <t>Skarn</t>
        </is>
      </c>
      <c r="K128" t="inlineStr">
        <is>
          <t>Exoskarn</t>
        </is>
      </c>
      <c r="L128" t="inlineStr">
        <is>
          <t>separado por fuente: Core_PLT (carga puntual) / Core_UCS</t>
        </is>
      </c>
      <c r="M128" t="n">
        <v>17</v>
      </c>
      <c r="N128" t="n">
        <v>123.0694</v>
      </c>
      <c r="O128" t="n">
        <v>44.3749</v>
      </c>
      <c r="P128" t="n">
        <v>0.3606</v>
      </c>
      <c r="Q128" t="n">
        <v>27.183</v>
      </c>
      <c r="R128" t="n">
        <v>51.0483</v>
      </c>
      <c r="S128" t="n">
        <v>66.16889999999999</v>
      </c>
      <c r="T128" t="n">
        <v>97.30119999999999</v>
      </c>
      <c r="U128" t="n">
        <v>133.685</v>
      </c>
      <c r="V128" t="n">
        <v>159.892</v>
      </c>
      <c r="W128" t="n">
        <v>166.7504</v>
      </c>
      <c r="X128" t="n">
        <v>178.1532</v>
      </c>
      <c r="Y128" t="n">
        <v>182.614</v>
      </c>
      <c r="Z128" t="inlineStr"/>
    </row>
    <row r="129">
      <c r="A129" t="inlineStr">
        <is>
          <t>MR24</t>
        </is>
      </c>
      <c r="B129" t="inlineStr">
        <is>
          <t>Merged_Table_Assay_lito</t>
        </is>
      </c>
      <c r="C129" t="inlineStr">
        <is>
          <t>UCS_MPa</t>
        </is>
      </c>
      <c r="D129" t="inlineStr">
        <is>
          <t>MPa</t>
        </is>
      </c>
      <c r="E129" t="inlineStr">
        <is>
          <t>RT_UCS|Fuente</t>
        </is>
      </c>
      <c r="F129" t="inlineStr">
        <is>
          <t>34_ZD|Core_UCS</t>
        </is>
      </c>
      <c r="G129" t="inlineStr">
        <is>
          <t>Skarn</t>
        </is>
      </c>
      <c r="H129" t="inlineStr">
        <is>
          <t>Exoskarn_34</t>
        </is>
      </c>
      <c r="I129" t="inlineStr">
        <is>
          <t>Geologia_2024=Exoskarn_34</t>
        </is>
      </c>
      <c r="J129" t="inlineStr">
        <is>
          <t>Skarn</t>
        </is>
      </c>
      <c r="K129" t="inlineStr">
        <is>
          <t>Exoskarn</t>
        </is>
      </c>
      <c r="L129" t="inlineStr">
        <is>
          <t>separado por fuente: Core_PLT (carga puntual) / Core_UCS</t>
        </is>
      </c>
      <c r="M129" t="n">
        <v>3</v>
      </c>
      <c r="N129" t="n">
        <v>167.6333</v>
      </c>
      <c r="O129" t="n">
        <v>39.1436</v>
      </c>
      <c r="P129" t="n">
        <v>0.2335</v>
      </c>
      <c r="Q129" t="n">
        <v>134</v>
      </c>
      <c r="R129" t="n">
        <v>136.43</v>
      </c>
      <c r="S129" t="n">
        <v>138.86</v>
      </c>
      <c r="T129" t="n">
        <v>146.15</v>
      </c>
      <c r="U129" t="n">
        <v>158.3</v>
      </c>
      <c r="V129" t="n">
        <v>184.45</v>
      </c>
      <c r="W129" t="n">
        <v>200.14</v>
      </c>
      <c r="X129" t="n">
        <v>205.37</v>
      </c>
      <c r="Y129" t="n">
        <v>210.6</v>
      </c>
      <c r="Z129" t="inlineStr"/>
    </row>
    <row r="130">
      <c r="A130" t="inlineStr">
        <is>
          <t>MR24</t>
        </is>
      </c>
      <c r="B130" t="inlineStr">
        <is>
          <t>Merged_Table_Assay_lito</t>
        </is>
      </c>
      <c r="C130" t="inlineStr">
        <is>
          <t>UCS_MPa</t>
        </is>
      </c>
      <c r="D130" t="inlineStr">
        <is>
          <t>MPa</t>
        </is>
      </c>
      <c r="E130" t="inlineStr">
        <is>
          <t>RT_UCS|Fuente</t>
        </is>
      </c>
      <c r="F130" t="inlineStr">
        <is>
          <t>35_No_ZD|Core_PLT</t>
        </is>
      </c>
      <c r="G130" t="inlineStr">
        <is>
          <t>Skarn</t>
        </is>
      </c>
      <c r="H130" t="inlineStr">
        <is>
          <t>Exoskarn_35</t>
        </is>
      </c>
      <c r="I130" t="inlineStr">
        <is>
          <t>Geologia_2024=Exoskarn_35</t>
        </is>
      </c>
      <c r="J130" t="inlineStr">
        <is>
          <t>Skarn</t>
        </is>
      </c>
      <c r="K130" t="inlineStr">
        <is>
          <t>Exoskarn</t>
        </is>
      </c>
      <c r="L130" t="inlineStr">
        <is>
          <t>separado por fuente: Core_PLT (carga puntual) / Core_UCS</t>
        </is>
      </c>
      <c r="M130" t="n">
        <v>12</v>
      </c>
      <c r="N130" t="n">
        <v>65.402</v>
      </c>
      <c r="O130" t="n">
        <v>16.5564</v>
      </c>
      <c r="P130" t="n">
        <v>0.2531</v>
      </c>
      <c r="Q130" t="n">
        <v>42.9352</v>
      </c>
      <c r="R130" t="n">
        <v>47.1601</v>
      </c>
      <c r="S130" t="n">
        <v>51.0196</v>
      </c>
      <c r="T130" t="n">
        <v>55.4812</v>
      </c>
      <c r="U130" t="n">
        <v>61.3994</v>
      </c>
      <c r="V130" t="n">
        <v>70.8152</v>
      </c>
      <c r="W130" t="n">
        <v>91.51609999999999</v>
      </c>
      <c r="X130" t="n">
        <v>94.1926</v>
      </c>
      <c r="Y130" t="n">
        <v>96.18600000000001</v>
      </c>
      <c r="Z130" t="inlineStr"/>
    </row>
    <row r="131">
      <c r="A131" t="inlineStr">
        <is>
          <t>MR24</t>
        </is>
      </c>
      <c r="B131" t="inlineStr">
        <is>
          <t>Merged_Table_Assay_lito</t>
        </is>
      </c>
      <c r="C131" t="inlineStr">
        <is>
          <t>UCS_MPa</t>
        </is>
      </c>
      <c r="D131" t="inlineStr">
        <is>
          <t>MPa</t>
        </is>
      </c>
      <c r="E131" t="inlineStr">
        <is>
          <t>RT_UCS|Fuente</t>
        </is>
      </c>
      <c r="F131" t="inlineStr">
        <is>
          <t>35_ZD|Core_PLT</t>
        </is>
      </c>
      <c r="G131" t="inlineStr">
        <is>
          <t>Skarn</t>
        </is>
      </c>
      <c r="H131" t="inlineStr">
        <is>
          <t>Exoskarn_35</t>
        </is>
      </c>
      <c r="I131" t="inlineStr">
        <is>
          <t>Geologia_2024=Exoskarn_35</t>
        </is>
      </c>
      <c r="J131" t="inlineStr">
        <is>
          <t>Skarn</t>
        </is>
      </c>
      <c r="K131" t="inlineStr">
        <is>
          <t>Exoskarn</t>
        </is>
      </c>
      <c r="L131" t="inlineStr">
        <is>
          <t>separado por fuente: Core_PLT (carga puntual) / Core_UCS</t>
        </is>
      </c>
      <c r="M131" t="n">
        <v>1</v>
      </c>
      <c r="N131" t="n">
        <v>42.3776</v>
      </c>
      <c r="O131" t="inlineStr"/>
      <c r="P131" t="inlineStr"/>
      <c r="Q131" t="n">
        <v>42.3776</v>
      </c>
      <c r="R131" t="n">
        <v>42.3776</v>
      </c>
      <c r="S131" t="n">
        <v>42.3776</v>
      </c>
      <c r="T131" t="n">
        <v>42.3776</v>
      </c>
      <c r="U131" t="n">
        <v>42.3776</v>
      </c>
      <c r="V131" t="n">
        <v>42.3776</v>
      </c>
      <c r="W131" t="n">
        <v>42.3776</v>
      </c>
      <c r="X131" t="n">
        <v>42.3776</v>
      </c>
      <c r="Y131" t="n">
        <v>42.3776</v>
      </c>
      <c r="Z131" t="inlineStr"/>
    </row>
    <row r="132">
      <c r="A132" t="inlineStr">
        <is>
          <t>MR24</t>
        </is>
      </c>
      <c r="B132" t="inlineStr">
        <is>
          <t>Merged_Table_Assay_lito</t>
        </is>
      </c>
      <c r="C132" t="inlineStr">
        <is>
          <t>UCS_MPa</t>
        </is>
      </c>
      <c r="D132" t="inlineStr">
        <is>
          <t>MPa</t>
        </is>
      </c>
      <c r="E132" t="inlineStr">
        <is>
          <t>RT_UCS|Fuente</t>
        </is>
      </c>
      <c r="F132" t="inlineStr">
        <is>
          <t>36_No_ZD|Core_PLT</t>
        </is>
      </c>
      <c r="G132" t="inlineStr">
        <is>
          <t>Skarn</t>
        </is>
      </c>
      <c r="H132" t="inlineStr">
        <is>
          <t>Exoskarn_36</t>
        </is>
      </c>
      <c r="I132" t="inlineStr">
        <is>
          <t>Geologia_2024=Exoskarn_36</t>
        </is>
      </c>
      <c r="J132" t="inlineStr">
        <is>
          <t>Skarn</t>
        </is>
      </c>
      <c r="K132" t="inlineStr">
        <is>
          <t>Exoskarn</t>
        </is>
      </c>
      <c r="L132" t="inlineStr">
        <is>
          <t>separado por fuente: Core_PLT (carga puntual) / Core_UCS</t>
        </is>
      </c>
      <c r="M132" t="n">
        <v>1</v>
      </c>
      <c r="N132" t="n">
        <v>100.181</v>
      </c>
      <c r="O132" t="inlineStr"/>
      <c r="P132" t="inlineStr"/>
      <c r="Q132" t="n">
        <v>100.181</v>
      </c>
      <c r="R132" t="n">
        <v>100.181</v>
      </c>
      <c r="S132" t="n">
        <v>100.181</v>
      </c>
      <c r="T132" t="n">
        <v>100.181</v>
      </c>
      <c r="U132" t="n">
        <v>100.181</v>
      </c>
      <c r="V132" t="n">
        <v>100.181</v>
      </c>
      <c r="W132" t="n">
        <v>100.181</v>
      </c>
      <c r="X132" t="n">
        <v>100.181</v>
      </c>
      <c r="Y132" t="n">
        <v>100.181</v>
      </c>
      <c r="Z132" t="inlineStr"/>
    </row>
    <row r="133">
      <c r="A133" t="inlineStr">
        <is>
          <t>MR24</t>
        </is>
      </c>
      <c r="B133" t="inlineStr">
        <is>
          <t>Merged_Table_Assay_lito</t>
        </is>
      </c>
      <c r="C133" t="inlineStr">
        <is>
          <t>UCS_MPa</t>
        </is>
      </c>
      <c r="D133" t="inlineStr">
        <is>
          <t>MPa</t>
        </is>
      </c>
      <c r="E133" t="inlineStr">
        <is>
          <t>RT_UCS|Fuente</t>
        </is>
      </c>
      <c r="F133" t="inlineStr">
        <is>
          <t>36_ZD|Core_PLT</t>
        </is>
      </c>
      <c r="G133" t="inlineStr">
        <is>
          <t>Skarn</t>
        </is>
      </c>
      <c r="H133" t="inlineStr">
        <is>
          <t>Exoskarn_36</t>
        </is>
      </c>
      <c r="I133" t="inlineStr">
        <is>
          <t>Geologia_2024=Exoskarn_36</t>
        </is>
      </c>
      <c r="J133" t="inlineStr">
        <is>
          <t>Skarn</t>
        </is>
      </c>
      <c r="K133" t="inlineStr">
        <is>
          <t>Exoskarn</t>
        </is>
      </c>
      <c r="L133" t="inlineStr">
        <is>
          <t>separado por fuente: Core_PLT (carga puntual) / Core_UCS</t>
        </is>
      </c>
      <c r="M133" t="n">
        <v>2</v>
      </c>
      <c r="N133" t="n">
        <v>136.452</v>
      </c>
      <c r="O133" t="n">
        <v>50.2838</v>
      </c>
      <c r="P133" t="n">
        <v>0.3685</v>
      </c>
      <c r="Q133" t="n">
        <v>100.896</v>
      </c>
      <c r="R133" t="n">
        <v>104.4516</v>
      </c>
      <c r="S133" t="n">
        <v>108.0072</v>
      </c>
      <c r="T133" t="n">
        <v>118.674</v>
      </c>
      <c r="U133" t="n">
        <v>136.452</v>
      </c>
      <c r="V133" t="n">
        <v>154.23</v>
      </c>
      <c r="W133" t="n">
        <v>164.8968</v>
      </c>
      <c r="X133" t="n">
        <v>168.4524</v>
      </c>
      <c r="Y133" t="n">
        <v>172.008</v>
      </c>
      <c r="Z133" t="inlineStr"/>
    </row>
    <row r="134">
      <c r="A134" t="inlineStr">
        <is>
          <t>MR24</t>
        </is>
      </c>
      <c r="B134" t="inlineStr">
        <is>
          <t>Merged_Table_Assay_lito</t>
        </is>
      </c>
      <c r="C134" t="inlineStr">
        <is>
          <t>UCS_MPa</t>
        </is>
      </c>
      <c r="D134" t="inlineStr">
        <is>
          <t>MPa</t>
        </is>
      </c>
      <c r="E134" t="inlineStr">
        <is>
          <t>RT_UCS|Fuente</t>
        </is>
      </c>
      <c r="F134" t="inlineStr">
        <is>
          <t>36_ZD|Core_UCS</t>
        </is>
      </c>
      <c r="G134" t="inlineStr">
        <is>
          <t>Skarn</t>
        </is>
      </c>
      <c r="H134" t="inlineStr">
        <is>
          <t>Exoskarn_36</t>
        </is>
      </c>
      <c r="I134" t="inlineStr">
        <is>
          <t>Geologia_2024=Exoskarn_36</t>
        </is>
      </c>
      <c r="J134" t="inlineStr">
        <is>
          <t>Skarn</t>
        </is>
      </c>
      <c r="K134" t="inlineStr">
        <is>
          <t>Exoskarn</t>
        </is>
      </c>
      <c r="L134" t="inlineStr">
        <is>
          <t>separado por fuente: Core_PLT (carga puntual) / Core_UCS</t>
        </is>
      </c>
      <c r="M134" t="n">
        <v>3</v>
      </c>
      <c r="N134" t="n">
        <v>76.9667</v>
      </c>
      <c r="O134" t="n">
        <v>30.9013</v>
      </c>
      <c r="P134" t="n">
        <v>0.4015</v>
      </c>
      <c r="Q134" t="n">
        <v>41.7</v>
      </c>
      <c r="R134" t="n">
        <v>46.52</v>
      </c>
      <c r="S134" t="n">
        <v>51.34</v>
      </c>
      <c r="T134" t="n">
        <v>65.8</v>
      </c>
      <c r="U134" t="n">
        <v>89.90000000000001</v>
      </c>
      <c r="V134" t="n">
        <v>94.59999999999999</v>
      </c>
      <c r="W134" t="n">
        <v>97.42</v>
      </c>
      <c r="X134" t="n">
        <v>98.36</v>
      </c>
      <c r="Y134" t="n">
        <v>99.3</v>
      </c>
      <c r="Z134" t="inlineStr"/>
    </row>
    <row r="135">
      <c r="A135" t="inlineStr">
        <is>
          <t>MR24</t>
        </is>
      </c>
      <c r="B135" t="inlineStr">
        <is>
          <t>Merged_Table_Assay_lito</t>
        </is>
      </c>
      <c r="C135" t="inlineStr">
        <is>
          <t>UCS_MPa</t>
        </is>
      </c>
      <c r="D135" t="inlineStr">
        <is>
          <t>MPa</t>
        </is>
      </c>
      <c r="E135" t="inlineStr">
        <is>
          <t>RT_UCS|Fuente</t>
        </is>
      </c>
      <c r="F135" t="inlineStr">
        <is>
          <t>37_No_ZD|Core_PLT</t>
        </is>
      </c>
      <c r="G135" t="inlineStr">
        <is>
          <t>Skarn</t>
        </is>
      </c>
      <c r="H135" t="inlineStr">
        <is>
          <t>Exoskarn_37</t>
        </is>
      </c>
      <c r="I135" t="inlineStr">
        <is>
          <t>Geologia_2024=Exoskarn_37</t>
        </is>
      </c>
      <c r="J135" t="inlineStr">
        <is>
          <t>Skarn</t>
        </is>
      </c>
      <c r="K135" t="inlineStr">
        <is>
          <t>Exoskarn</t>
        </is>
      </c>
      <c r="L135" t="inlineStr">
        <is>
          <t>separado por fuente: Core_PLT (carga puntual) / Core_UCS</t>
        </is>
      </c>
      <c r="M135" t="n">
        <v>4</v>
      </c>
      <c r="N135" t="n">
        <v>75.6127</v>
      </c>
      <c r="O135" t="n">
        <v>11.4269</v>
      </c>
      <c r="P135" t="n">
        <v>0.1511</v>
      </c>
      <c r="Q135" t="n">
        <v>58.4802</v>
      </c>
      <c r="R135" t="n">
        <v>61.8336</v>
      </c>
      <c r="S135" t="n">
        <v>65.18689999999999</v>
      </c>
      <c r="T135" t="n">
        <v>75.247</v>
      </c>
      <c r="U135" t="n">
        <v>81.20050000000001</v>
      </c>
      <c r="V135" t="n">
        <v>81.56619999999999</v>
      </c>
      <c r="W135" t="n">
        <v>81.5681</v>
      </c>
      <c r="X135" t="n">
        <v>81.5688</v>
      </c>
      <c r="Y135" t="n">
        <v>81.5694</v>
      </c>
      <c r="Z135" t="inlineStr"/>
    </row>
    <row r="136">
      <c r="A136" t="inlineStr">
        <is>
          <t>MR24</t>
        </is>
      </c>
      <c r="B136" t="inlineStr">
        <is>
          <t>Merged_Table_Assay_lito</t>
        </is>
      </c>
      <c r="C136" t="inlineStr">
        <is>
          <t>UCS_MPa</t>
        </is>
      </c>
      <c r="D136" t="inlineStr">
        <is>
          <t>MPa</t>
        </is>
      </c>
      <c r="E136" t="inlineStr">
        <is>
          <t>RT_UCS|Fuente</t>
        </is>
      </c>
      <c r="F136" t="inlineStr">
        <is>
          <t>37_No_ZD|Core_UCS</t>
        </is>
      </c>
      <c r="G136" t="inlineStr">
        <is>
          <t>Skarn</t>
        </is>
      </c>
      <c r="H136" t="inlineStr">
        <is>
          <t>Exoskarn_37</t>
        </is>
      </c>
      <c r="I136" t="inlineStr">
        <is>
          <t>Geologia_2024=Exoskarn_37</t>
        </is>
      </c>
      <c r="J136" t="inlineStr">
        <is>
          <t>Skarn</t>
        </is>
      </c>
      <c r="K136" t="inlineStr">
        <is>
          <t>Exoskarn</t>
        </is>
      </c>
      <c r="L136" t="inlineStr">
        <is>
          <t>separado por fuente: Core_PLT (carga puntual) / Core_UCS</t>
        </is>
      </c>
      <c r="M136" t="n">
        <v>3</v>
      </c>
      <c r="N136" t="n">
        <v>38.1333</v>
      </c>
      <c r="O136" t="n">
        <v>10.8154</v>
      </c>
      <c r="P136" t="n">
        <v>0.2836</v>
      </c>
      <c r="Q136" t="n">
        <v>25.8</v>
      </c>
      <c r="R136" t="n">
        <v>27.48</v>
      </c>
      <c r="S136" t="n">
        <v>29.16</v>
      </c>
      <c r="T136" t="n">
        <v>34.2</v>
      </c>
      <c r="U136" t="n">
        <v>42.6</v>
      </c>
      <c r="V136" t="n">
        <v>44.3</v>
      </c>
      <c r="W136" t="n">
        <v>45.32</v>
      </c>
      <c r="X136" t="n">
        <v>45.66</v>
      </c>
      <c r="Y136" t="n">
        <v>46</v>
      </c>
      <c r="Z136" t="inlineStr"/>
    </row>
    <row r="137">
      <c r="A137" t="inlineStr">
        <is>
          <t>MR24</t>
        </is>
      </c>
      <c r="B137" t="inlineStr">
        <is>
          <t>Merged_Table_Assay_lito</t>
        </is>
      </c>
      <c r="C137" t="inlineStr">
        <is>
          <t>UCS_MPa</t>
        </is>
      </c>
      <c r="D137" t="inlineStr">
        <is>
          <t>MPa</t>
        </is>
      </c>
      <c r="E137" t="inlineStr">
        <is>
          <t>RT_UCS|Fuente</t>
        </is>
      </c>
      <c r="F137" t="inlineStr">
        <is>
          <t>37_ZD|Core_PLT</t>
        </is>
      </c>
      <c r="G137" t="inlineStr">
        <is>
          <t>Skarn</t>
        </is>
      </c>
      <c r="H137" t="inlineStr">
        <is>
          <t>Exoskarn_37</t>
        </is>
      </c>
      <c r="I137" t="inlineStr">
        <is>
          <t>Geologia_2024=Exoskarn_37</t>
        </is>
      </c>
      <c r="J137" t="inlineStr">
        <is>
          <t>Skarn</t>
        </is>
      </c>
      <c r="K137" t="inlineStr">
        <is>
          <t>Exoskarn</t>
        </is>
      </c>
      <c r="L137" t="inlineStr">
        <is>
          <t>separado por fuente: Core_PLT (carga puntual) / Core_UCS</t>
        </is>
      </c>
      <c r="M137" t="n">
        <v>1</v>
      </c>
      <c r="N137" t="n">
        <v>94.9462</v>
      </c>
      <c r="O137" t="inlineStr"/>
      <c r="P137" t="inlineStr"/>
      <c r="Q137" t="n">
        <v>94.9462</v>
      </c>
      <c r="R137" t="n">
        <v>94.9462</v>
      </c>
      <c r="S137" t="n">
        <v>94.9462</v>
      </c>
      <c r="T137" t="n">
        <v>94.9462</v>
      </c>
      <c r="U137" t="n">
        <v>94.9462</v>
      </c>
      <c r="V137" t="n">
        <v>94.9462</v>
      </c>
      <c r="W137" t="n">
        <v>94.9462</v>
      </c>
      <c r="X137" t="n">
        <v>94.9462</v>
      </c>
      <c r="Y137" t="n">
        <v>94.9462</v>
      </c>
      <c r="Z137" t="inlineStr"/>
    </row>
    <row r="138">
      <c r="A138" t="inlineStr">
        <is>
          <t>MR24</t>
        </is>
      </c>
      <c r="B138" t="inlineStr">
        <is>
          <t>Merged_Table_Assay_lito</t>
        </is>
      </c>
      <c r="C138" t="inlineStr">
        <is>
          <t>UCS_MPa</t>
        </is>
      </c>
      <c r="D138" t="inlineStr">
        <is>
          <t>MPa</t>
        </is>
      </c>
      <c r="E138" t="inlineStr">
        <is>
          <t>RT_UCS|Fuente</t>
        </is>
      </c>
      <c r="F138" t="inlineStr">
        <is>
          <t>37_ZD|Core_UCS</t>
        </is>
      </c>
      <c r="G138" t="inlineStr">
        <is>
          <t>Skarn</t>
        </is>
      </c>
      <c r="H138" t="inlineStr">
        <is>
          <t>Exoskarn_37</t>
        </is>
      </c>
      <c r="I138" t="inlineStr">
        <is>
          <t>Geologia_2024=Exoskarn_37</t>
        </is>
      </c>
      <c r="J138" t="inlineStr">
        <is>
          <t>Skarn</t>
        </is>
      </c>
      <c r="K138" t="inlineStr">
        <is>
          <t>Exoskarn</t>
        </is>
      </c>
      <c r="L138" t="inlineStr">
        <is>
          <t>separado por fuente: Core_PLT (carga puntual) / Core_UCS</t>
        </is>
      </c>
      <c r="M138" t="n">
        <v>3</v>
      </c>
      <c r="N138" t="n">
        <v>28.9533</v>
      </c>
      <c r="O138" t="n">
        <v>23.146</v>
      </c>
      <c r="P138" t="n">
        <v>0.7994</v>
      </c>
      <c r="Q138" t="n">
        <v>15.59</v>
      </c>
      <c r="R138" t="n">
        <v>15.59</v>
      </c>
      <c r="S138" t="n">
        <v>15.59</v>
      </c>
      <c r="T138" t="n">
        <v>15.59</v>
      </c>
      <c r="U138" t="n">
        <v>15.59</v>
      </c>
      <c r="V138" t="n">
        <v>35.635</v>
      </c>
      <c r="W138" t="n">
        <v>47.662</v>
      </c>
      <c r="X138" t="n">
        <v>51.671</v>
      </c>
      <c r="Y138" t="n">
        <v>55.68</v>
      </c>
      <c r="Z138" t="inlineStr"/>
    </row>
    <row r="139">
      <c r="A139" t="inlineStr">
        <is>
          <t>MR24</t>
        </is>
      </c>
      <c r="B139" t="inlineStr">
        <is>
          <t>Merged_Table_Assay_lito</t>
        </is>
      </c>
      <c r="C139" t="inlineStr">
        <is>
          <t>UCS_MPa</t>
        </is>
      </c>
      <c r="D139" t="inlineStr">
        <is>
          <t>MPa</t>
        </is>
      </c>
      <c r="E139" t="inlineStr">
        <is>
          <t>RT_UCS|Fuente</t>
        </is>
      </c>
      <c r="F139" t="inlineStr">
        <is>
          <t>50_No_ZD|Core_PLT</t>
        </is>
      </c>
      <c r="G139" t="inlineStr">
        <is>
          <t>Otra</t>
        </is>
      </c>
      <c r="H139" t="inlineStr">
        <is>
          <t>Brechas_50</t>
        </is>
      </c>
      <c r="I139" t="inlineStr">
        <is>
          <t>Geologia_2024=Brechas_50</t>
        </is>
      </c>
      <c r="J139" t="inlineStr">
        <is>
          <t>Otra (Brechas)</t>
        </is>
      </c>
      <c r="K139" t="inlineStr">
        <is>
          <t>Brechas</t>
        </is>
      </c>
      <c r="L139" t="inlineStr">
        <is>
          <t>separado por fuente: Core_PLT (carga puntual) / Core_UCS</t>
        </is>
      </c>
      <c r="M139" t="n">
        <v>1</v>
      </c>
      <c r="N139" t="n">
        <v>43.1436</v>
      </c>
      <c r="O139" t="inlineStr"/>
      <c r="P139" t="inlineStr"/>
      <c r="Q139" t="n">
        <v>43.1436</v>
      </c>
      <c r="R139" t="n">
        <v>43.1436</v>
      </c>
      <c r="S139" t="n">
        <v>43.1436</v>
      </c>
      <c r="T139" t="n">
        <v>43.1436</v>
      </c>
      <c r="U139" t="n">
        <v>43.1436</v>
      </c>
      <c r="V139" t="n">
        <v>43.1436</v>
      </c>
      <c r="W139" t="n">
        <v>43.1436</v>
      </c>
      <c r="X139" t="n">
        <v>43.1436</v>
      </c>
      <c r="Y139" t="n">
        <v>43.1436</v>
      </c>
      <c r="Z139" t="inlineStr"/>
    </row>
    <row r="140">
      <c r="A140" t="inlineStr">
        <is>
          <t>MR24</t>
        </is>
      </c>
      <c r="B140" t="inlineStr">
        <is>
          <t>Merged_Table_Assay_lito</t>
        </is>
      </c>
      <c r="C140" t="inlineStr">
        <is>
          <t>UCS_MPa</t>
        </is>
      </c>
      <c r="D140" t="inlineStr">
        <is>
          <t>MPa</t>
        </is>
      </c>
      <c r="E140" t="inlineStr">
        <is>
          <t>RT_UCS|Fuente</t>
        </is>
      </c>
      <c r="F140" t="inlineStr">
        <is>
          <t>TODOS</t>
        </is>
      </c>
      <c r="G140" t="inlineStr"/>
      <c r="H140" t="inlineStr"/>
      <c r="I140" t="inlineStr"/>
      <c r="J140" t="inlineStr"/>
      <c r="K140" t="inlineStr"/>
      <c r="L140" t="inlineStr">
        <is>
          <t>separado por fuente: Core_PLT (carga puntual) / Core_UCS</t>
        </is>
      </c>
      <c r="M140" t="n">
        <v>14910</v>
      </c>
      <c r="N140" t="n">
        <v>86.8768</v>
      </c>
      <c r="O140" t="n">
        <v>47.0569</v>
      </c>
      <c r="P140" t="n">
        <v>0.5417</v>
      </c>
      <c r="Q140" t="n">
        <v>4.8</v>
      </c>
      <c r="R140" t="n">
        <v>27.7989</v>
      </c>
      <c r="S140" t="n">
        <v>35.4081</v>
      </c>
      <c r="T140" t="n">
        <v>52.2035</v>
      </c>
      <c r="U140" t="n">
        <v>78.8712</v>
      </c>
      <c r="V140" t="n">
        <v>111.111</v>
      </c>
      <c r="W140" t="n">
        <v>146.544</v>
      </c>
      <c r="X140" t="n">
        <v>174.5611</v>
      </c>
      <c r="Y140" t="n">
        <v>300</v>
      </c>
      <c r="Z140" t="inlineStr"/>
    </row>
    <row r="141">
      <c r="A141" t="inlineStr">
        <is>
          <t>MR24</t>
        </is>
      </c>
      <c r="B141" t="inlineStr">
        <is>
          <t>Merged_Table_Assay_lito</t>
        </is>
      </c>
      <c r="C141" t="inlineStr">
        <is>
          <t>UCS_MPa</t>
        </is>
      </c>
      <c r="D141" t="inlineStr">
        <is>
          <t>MPa</t>
        </is>
      </c>
      <c r="E141" t="inlineStr">
        <is>
          <t>Lithology</t>
        </is>
      </c>
      <c r="F141" t="inlineStr">
        <is>
          <t>C</t>
        </is>
      </c>
      <c r="G141" t="inlineStr">
        <is>
          <t>sin asignar</t>
        </is>
      </c>
      <c r="H141" t="inlineStr">
        <is>
          <t>C</t>
        </is>
      </c>
      <c r="I141" t="inlineStr">
        <is>
          <t>ROCKCODE agrupado en ROCKCODE_NUMEQ=10; sigla sin leyenda</t>
        </is>
      </c>
      <c r="J141" t="inlineStr">
        <is>
          <t>Caliza (hipótesis: siglas C*)</t>
        </is>
      </c>
      <c r="K141" t="inlineStr">
        <is>
          <t>Sedimentario</t>
        </is>
      </c>
      <c r="L141" t="inlineStr">
        <is>
          <t>UCS por código Lithology (texto libre de la base geotécnica)</t>
        </is>
      </c>
      <c r="M141" t="n">
        <v>19</v>
      </c>
      <c r="N141" t="n">
        <v>76.13039999999999</v>
      </c>
      <c r="O141" t="n">
        <v>26.8312</v>
      </c>
      <c r="P141" t="n">
        <v>0.3524</v>
      </c>
      <c r="Q141" t="n">
        <v>42.1245</v>
      </c>
      <c r="R141" t="n">
        <v>42.674</v>
      </c>
      <c r="S141" t="n">
        <v>43.549</v>
      </c>
      <c r="T141" t="n">
        <v>59.1168</v>
      </c>
      <c r="U141" t="n">
        <v>73.0565</v>
      </c>
      <c r="V141" t="n">
        <v>82.8245</v>
      </c>
      <c r="W141" t="n">
        <v>110.5004</v>
      </c>
      <c r="X141" t="n">
        <v>132.7019</v>
      </c>
      <c r="Y141" t="n">
        <v>134.717</v>
      </c>
      <c r="Z141" t="inlineStr"/>
    </row>
    <row r="142">
      <c r="A142" t="inlineStr">
        <is>
          <t>MR24</t>
        </is>
      </c>
      <c r="B142" t="inlineStr">
        <is>
          <t>Merged_Table_Assay_lito</t>
        </is>
      </c>
      <c r="C142" t="inlineStr">
        <is>
          <t>UCS_MPa</t>
        </is>
      </c>
      <c r="D142" t="inlineStr">
        <is>
          <t>MPa</t>
        </is>
      </c>
      <c r="E142" t="inlineStr">
        <is>
          <t>Lithology</t>
        </is>
      </c>
      <c r="F142" t="inlineStr">
        <is>
          <t>CA</t>
        </is>
      </c>
      <c r="G142" t="inlineStr">
        <is>
          <t>sin asignar</t>
        </is>
      </c>
      <c r="H142" t="inlineStr">
        <is>
          <t>CA</t>
        </is>
      </c>
      <c r="I142" t="inlineStr">
        <is>
          <t>ROCKCODE agrupado en ROCKCODE_NUMEQ=10; sigla sin leyenda</t>
        </is>
      </c>
      <c r="J142" t="inlineStr">
        <is>
          <t>Caliza (hipótesis: siglas C*)</t>
        </is>
      </c>
      <c r="K142" t="inlineStr">
        <is>
          <t>Sedimentario</t>
        </is>
      </c>
      <c r="L142" t="inlineStr">
        <is>
          <t>UCS por código Lithology (texto libre de la base geotécnica)</t>
        </is>
      </c>
      <c r="M142" t="n">
        <v>96</v>
      </c>
      <c r="N142" t="n">
        <v>54.8658</v>
      </c>
      <c r="O142" t="n">
        <v>21.8855</v>
      </c>
      <c r="P142" t="n">
        <v>0.3989</v>
      </c>
      <c r="Q142" t="n">
        <v>21.571</v>
      </c>
      <c r="R142" t="n">
        <v>25.2199</v>
      </c>
      <c r="S142" t="n">
        <v>27.4725</v>
      </c>
      <c r="T142" t="n">
        <v>37.851</v>
      </c>
      <c r="U142" t="n">
        <v>54.4362</v>
      </c>
      <c r="V142" t="n">
        <v>66.03579999999999</v>
      </c>
      <c r="W142" t="n">
        <v>82.214</v>
      </c>
      <c r="X142" t="n">
        <v>93.9152</v>
      </c>
      <c r="Y142" t="n">
        <v>143.34</v>
      </c>
      <c r="Z142" t="inlineStr"/>
    </row>
    <row r="143">
      <c r="A143" t="inlineStr">
        <is>
          <t>MR24</t>
        </is>
      </c>
      <c r="B143" t="inlineStr">
        <is>
          <t>Merged_Table_Assay_lito</t>
        </is>
      </c>
      <c r="C143" t="inlineStr">
        <is>
          <t>UCS_MPa</t>
        </is>
      </c>
      <c r="D143" t="inlineStr">
        <is>
          <t>MPa</t>
        </is>
      </c>
      <c r="E143" t="inlineStr">
        <is>
          <t>Lithology</t>
        </is>
      </c>
      <c r="F143" t="inlineStr">
        <is>
          <t>CBMN</t>
        </is>
      </c>
      <c r="G143" t="inlineStr">
        <is>
          <t>sin asignar</t>
        </is>
      </c>
      <c r="H143" t="inlineStr">
        <is>
          <t>CBMN</t>
        </is>
      </c>
      <c r="I143" t="inlineStr">
        <is>
          <t>ROCKCODE agrupado en ROCKCODE_NUMEQ=10; sigla sin leyenda</t>
        </is>
      </c>
      <c r="J143" t="inlineStr">
        <is>
          <t>Caliza (hipótesis: siglas C*)</t>
        </is>
      </c>
      <c r="K143" t="inlineStr">
        <is>
          <t>Sedimentario</t>
        </is>
      </c>
      <c r="L143" t="inlineStr">
        <is>
          <t>UCS por código Lithology (texto libre de la base geotécnica)</t>
        </is>
      </c>
      <c r="M143" t="n">
        <v>13</v>
      </c>
      <c r="N143" t="n">
        <v>64.3182</v>
      </c>
      <c r="O143" t="n">
        <v>20.2019</v>
      </c>
      <c r="P143" t="n">
        <v>0.3141</v>
      </c>
      <c r="Q143" t="n">
        <v>25.8445</v>
      </c>
      <c r="R143" t="n">
        <v>34.2694</v>
      </c>
      <c r="S143" t="n">
        <v>41.7175</v>
      </c>
      <c r="T143" t="n">
        <v>51.689</v>
      </c>
      <c r="U143" t="n">
        <v>67.35850000000001</v>
      </c>
      <c r="V143" t="n">
        <v>75.702</v>
      </c>
      <c r="W143" t="n">
        <v>84.508</v>
      </c>
      <c r="X143" t="n">
        <v>92.6044</v>
      </c>
      <c r="Y143" t="n">
        <v>102.361</v>
      </c>
      <c r="Z143" t="inlineStr"/>
    </row>
    <row r="144">
      <c r="A144" t="inlineStr">
        <is>
          <t>MR24</t>
        </is>
      </c>
      <c r="B144" t="inlineStr">
        <is>
          <t>Merged_Table_Assay_lito</t>
        </is>
      </c>
      <c r="C144" t="inlineStr">
        <is>
          <t>UCS_MPa</t>
        </is>
      </c>
      <c r="D144" t="inlineStr">
        <is>
          <t>MPa</t>
        </is>
      </c>
      <c r="E144" t="inlineStr">
        <is>
          <t>Lithology</t>
        </is>
      </c>
      <c r="F144" t="inlineStr">
        <is>
          <t>CF</t>
        </is>
      </c>
      <c r="G144" t="inlineStr">
        <is>
          <t>sin asignar</t>
        </is>
      </c>
      <c r="H144" t="inlineStr">
        <is>
          <t>CF</t>
        </is>
      </c>
      <c r="I144" t="inlineStr">
        <is>
          <t>ROCKCODE agrupado en ROCKCODE_NUMEQ=10; sigla sin leyenda</t>
        </is>
      </c>
      <c r="J144" t="inlineStr">
        <is>
          <t>Caliza (hipótesis: siglas C*)</t>
        </is>
      </c>
      <c r="K144" t="inlineStr">
        <is>
          <t>Sedimentario</t>
        </is>
      </c>
      <c r="L144" t="inlineStr">
        <is>
          <t>UCS por código Lithology (texto libre de la base geotécnica)</t>
        </is>
      </c>
      <c r="M144" t="n">
        <v>15</v>
      </c>
      <c r="N144" t="n">
        <v>73.1682</v>
      </c>
      <c r="O144" t="n">
        <v>36.8259</v>
      </c>
      <c r="P144" t="n">
        <v>0.5033</v>
      </c>
      <c r="Q144" t="n">
        <v>26.5476</v>
      </c>
      <c r="R144" t="n">
        <v>33.3665</v>
      </c>
      <c r="S144" t="n">
        <v>36.413</v>
      </c>
      <c r="T144" t="n">
        <v>46.8184</v>
      </c>
      <c r="U144" t="n">
        <v>58.201</v>
      </c>
      <c r="V144" t="n">
        <v>100.3258</v>
      </c>
      <c r="W144" t="n">
        <v>125.5436</v>
      </c>
      <c r="X144" t="n">
        <v>138.9905</v>
      </c>
      <c r="Y144" t="n">
        <v>140.415</v>
      </c>
      <c r="Z144" t="inlineStr"/>
    </row>
    <row r="145">
      <c r="A145" t="inlineStr">
        <is>
          <t>MR24</t>
        </is>
      </c>
      <c r="B145" t="inlineStr">
        <is>
          <t>Merged_Table_Assay_lito</t>
        </is>
      </c>
      <c r="C145" t="inlineStr">
        <is>
          <t>UCS_MPa</t>
        </is>
      </c>
      <c r="D145" t="inlineStr">
        <is>
          <t>MPa</t>
        </is>
      </c>
      <c r="E145" t="inlineStr">
        <is>
          <t>Lithology</t>
        </is>
      </c>
      <c r="F145" t="inlineStr">
        <is>
          <t>CG</t>
        </is>
      </c>
      <c r="G145" t="inlineStr">
        <is>
          <t>sin asignar</t>
        </is>
      </c>
      <c r="H145" t="inlineStr">
        <is>
          <t>CG</t>
        </is>
      </c>
      <c r="I145" t="inlineStr">
        <is>
          <t>ROCKCODE agrupado en ROCKCODE_NUMEQ=10; sigla sin leyenda</t>
        </is>
      </c>
      <c r="J145" t="inlineStr">
        <is>
          <t>Caliza (hipótesis: siglas C*)</t>
        </is>
      </c>
      <c r="K145" t="inlineStr">
        <is>
          <t>Sedimentario</t>
        </is>
      </c>
      <c r="L145" t="inlineStr">
        <is>
          <t>UCS por código Lithology (texto libre de la base geotécnica)</t>
        </is>
      </c>
      <c r="M145" t="n">
        <v>1005</v>
      </c>
      <c r="N145" t="n">
        <v>78.11409999999999</v>
      </c>
      <c r="O145" t="n">
        <v>33.4311</v>
      </c>
      <c r="P145" t="n">
        <v>0.428</v>
      </c>
      <c r="Q145" t="n">
        <v>8.98</v>
      </c>
      <c r="R145" t="n">
        <v>30.3572</v>
      </c>
      <c r="S145" t="n">
        <v>38.759</v>
      </c>
      <c r="T145" t="n">
        <v>53</v>
      </c>
      <c r="U145" t="n">
        <v>73.94370000000001</v>
      </c>
      <c r="V145" t="n">
        <v>99.5115</v>
      </c>
      <c r="W145" t="n">
        <v>122.2234</v>
      </c>
      <c r="X145" t="n">
        <v>135.9028</v>
      </c>
      <c r="Y145" t="n">
        <v>253.358</v>
      </c>
      <c r="Z145" t="inlineStr"/>
    </row>
    <row r="146">
      <c r="A146" t="inlineStr">
        <is>
          <t>MR24</t>
        </is>
      </c>
      <c r="B146" t="inlineStr">
        <is>
          <t>Merged_Table_Assay_lito</t>
        </is>
      </c>
      <c r="C146" t="inlineStr">
        <is>
          <t>UCS_MPa</t>
        </is>
      </c>
      <c r="D146" t="inlineStr">
        <is>
          <t>MPa</t>
        </is>
      </c>
      <c r="E146" t="inlineStr">
        <is>
          <t>Lithology</t>
        </is>
      </c>
      <c r="F146" t="inlineStr">
        <is>
          <t>CG &amp; NGR3</t>
        </is>
      </c>
      <c r="G146" t="inlineStr">
        <is>
          <t>sin asignar</t>
        </is>
      </c>
      <c r="H146" t="inlineStr">
        <is>
          <t>CG &amp; NGR3</t>
        </is>
      </c>
      <c r="I146" t="inlineStr">
        <is>
          <t>texto Lithology compuesto</t>
        </is>
      </c>
      <c r="J146" t="inlineStr">
        <is>
          <t>Caliza (hipótesis: siglas C*) (mezcla)</t>
        </is>
      </c>
      <c r="K146" t="inlineStr">
        <is>
          <t>sin leyenda</t>
        </is>
      </c>
      <c r="L146" t="inlineStr">
        <is>
          <t>UCS por código Lithology (texto libre de la base geotécnica)</t>
        </is>
      </c>
      <c r="M146" t="n">
        <v>1</v>
      </c>
      <c r="N146" t="n">
        <v>60.59</v>
      </c>
      <c r="O146" t="inlineStr"/>
      <c r="P146" t="inlineStr"/>
      <c r="Q146" t="n">
        <v>60.59</v>
      </c>
      <c r="R146" t="n">
        <v>60.59</v>
      </c>
      <c r="S146" t="n">
        <v>60.59</v>
      </c>
      <c r="T146" t="n">
        <v>60.59</v>
      </c>
      <c r="U146" t="n">
        <v>60.59</v>
      </c>
      <c r="V146" t="n">
        <v>60.59</v>
      </c>
      <c r="W146" t="n">
        <v>60.59</v>
      </c>
      <c r="X146" t="n">
        <v>60.59</v>
      </c>
      <c r="Y146" t="n">
        <v>60.59</v>
      </c>
      <c r="Z146" t="inlineStr"/>
    </row>
    <row r="147">
      <c r="A147" t="inlineStr">
        <is>
          <t>MR24</t>
        </is>
      </c>
      <c r="B147" t="inlineStr">
        <is>
          <t>Merged_Table_Assay_lito</t>
        </is>
      </c>
      <c r="C147" t="inlineStr">
        <is>
          <t>UCS_MPa</t>
        </is>
      </c>
      <c r="D147" t="inlineStr">
        <is>
          <t>MPa</t>
        </is>
      </c>
      <c r="E147" t="inlineStr">
        <is>
          <t>Lithology</t>
        </is>
      </c>
      <c r="F147" t="inlineStr">
        <is>
          <t>CGS</t>
        </is>
      </c>
      <c r="G147" t="inlineStr">
        <is>
          <t>sin asignar</t>
        </is>
      </c>
      <c r="H147" t="inlineStr">
        <is>
          <t>CGS</t>
        </is>
      </c>
      <c r="I147" t="inlineStr">
        <is>
          <t>ROCKCODE agrupado en ROCKCODE_NUMEQ=10; sigla sin leyenda</t>
        </is>
      </c>
      <c r="J147" t="inlineStr">
        <is>
          <t>Caliza (hipótesis: siglas C*)</t>
        </is>
      </c>
      <c r="K147" t="inlineStr">
        <is>
          <t>Sedimentario</t>
        </is>
      </c>
      <c r="L147" t="inlineStr">
        <is>
          <t>UCS por código Lithology (texto libre de la base geotécnica)</t>
        </is>
      </c>
      <c r="M147" t="n">
        <v>770</v>
      </c>
      <c r="N147" t="n">
        <v>75.1542</v>
      </c>
      <c r="O147" t="n">
        <v>28.8209</v>
      </c>
      <c r="P147" t="n">
        <v>0.3835</v>
      </c>
      <c r="Q147" t="n">
        <v>19</v>
      </c>
      <c r="R147" t="n">
        <v>30.118</v>
      </c>
      <c r="S147" t="n">
        <v>37.6948</v>
      </c>
      <c r="T147" t="n">
        <v>54.5785</v>
      </c>
      <c r="U147" t="n">
        <v>73.9722</v>
      </c>
      <c r="V147" t="n">
        <v>93.8135</v>
      </c>
      <c r="W147" t="n">
        <v>112.5563</v>
      </c>
      <c r="X147" t="n">
        <v>124.0129</v>
      </c>
      <c r="Y147" t="n">
        <v>186.72</v>
      </c>
      <c r="Z147" t="inlineStr"/>
    </row>
    <row r="148">
      <c r="A148" t="inlineStr">
        <is>
          <t>MR24</t>
        </is>
      </c>
      <c r="B148" t="inlineStr">
        <is>
          <t>Merged_Table_Assay_lito</t>
        </is>
      </c>
      <c r="C148" t="inlineStr">
        <is>
          <t>UCS_MPa</t>
        </is>
      </c>
      <c r="D148" t="inlineStr">
        <is>
          <t>MPa</t>
        </is>
      </c>
      <c r="E148" t="inlineStr">
        <is>
          <t>Lithology</t>
        </is>
      </c>
      <c r="F148" t="inlineStr">
        <is>
          <t>CGS &amp; MGS</t>
        </is>
      </c>
      <c r="G148" t="inlineStr">
        <is>
          <t>sin asignar</t>
        </is>
      </c>
      <c r="H148" t="inlineStr">
        <is>
          <t>CGS &amp; MGS</t>
        </is>
      </c>
      <c r="I148" t="inlineStr">
        <is>
          <t>texto Lithology compuesto</t>
        </is>
      </c>
      <c r="J148" t="inlineStr">
        <is>
          <t>Caliza (hipótesis: siglas C*) (mezcla)</t>
        </is>
      </c>
      <c r="K148" t="inlineStr">
        <is>
          <t>sin leyenda</t>
        </is>
      </c>
      <c r="L148" t="inlineStr">
        <is>
          <t>UCS por código Lithology (texto libre de la base geotécnica)</t>
        </is>
      </c>
      <c r="M148" t="n">
        <v>1</v>
      </c>
      <c r="N148" t="n">
        <v>159.39</v>
      </c>
      <c r="O148" t="inlineStr"/>
      <c r="P148" t="inlineStr"/>
      <c r="Q148" t="n">
        <v>159.39</v>
      </c>
      <c r="R148" t="n">
        <v>159.39</v>
      </c>
      <c r="S148" t="n">
        <v>159.39</v>
      </c>
      <c r="T148" t="n">
        <v>159.39</v>
      </c>
      <c r="U148" t="n">
        <v>159.39</v>
      </c>
      <c r="V148" t="n">
        <v>159.39</v>
      </c>
      <c r="W148" t="n">
        <v>159.39</v>
      </c>
      <c r="X148" t="n">
        <v>159.39</v>
      </c>
      <c r="Y148" t="n">
        <v>159.39</v>
      </c>
      <c r="Z148" t="inlineStr"/>
    </row>
    <row r="149">
      <c r="A149" t="inlineStr">
        <is>
          <t>MR24</t>
        </is>
      </c>
      <c r="B149" t="inlineStr">
        <is>
          <t>Merged_Table_Assay_lito</t>
        </is>
      </c>
      <c r="C149" t="inlineStr">
        <is>
          <t>UCS_MPa</t>
        </is>
      </c>
      <c r="D149" t="inlineStr">
        <is>
          <t>MPa</t>
        </is>
      </c>
      <c r="E149" t="inlineStr">
        <is>
          <t>Lithology</t>
        </is>
      </c>
      <c r="F149" t="inlineStr">
        <is>
          <t>CN</t>
        </is>
      </c>
      <c r="G149" t="inlineStr">
        <is>
          <t>sin asignar</t>
        </is>
      </c>
      <c r="H149" t="inlineStr">
        <is>
          <t>CN</t>
        </is>
      </c>
      <c r="I149" t="inlineStr">
        <is>
          <t>ROCKCODE agrupado en ROCKCODE_NUMEQ=10; sigla sin leyenda</t>
        </is>
      </c>
      <c r="J149" t="inlineStr">
        <is>
          <t>Caliza (hipótesis: siglas C*)</t>
        </is>
      </c>
      <c r="K149" t="inlineStr">
        <is>
          <t>Sedimentario</t>
        </is>
      </c>
      <c r="L149" t="inlineStr">
        <is>
          <t>UCS por código Lithology (texto libre de la base geotécnica)</t>
        </is>
      </c>
      <c r="M149" t="n">
        <v>126</v>
      </c>
      <c r="N149" t="n">
        <v>73.3288</v>
      </c>
      <c r="O149" t="n">
        <v>30.8821</v>
      </c>
      <c r="P149" t="n">
        <v>0.4211</v>
      </c>
      <c r="Q149" t="n">
        <v>20.5757</v>
      </c>
      <c r="R149" t="n">
        <v>29.5075</v>
      </c>
      <c r="S149" t="n">
        <v>35.409</v>
      </c>
      <c r="T149" t="n">
        <v>48.2446</v>
      </c>
      <c r="U149" t="n">
        <v>69.59699999999999</v>
      </c>
      <c r="V149" t="n">
        <v>94.6063</v>
      </c>
      <c r="W149" t="n">
        <v>117.5855</v>
      </c>
      <c r="X149" t="n">
        <v>125.407</v>
      </c>
      <c r="Y149" t="n">
        <v>145.261</v>
      </c>
      <c r="Z149" t="inlineStr"/>
    </row>
    <row r="150">
      <c r="A150" t="inlineStr">
        <is>
          <t>MR24</t>
        </is>
      </c>
      <c r="B150" t="inlineStr">
        <is>
          <t>Merged_Table_Assay_lito</t>
        </is>
      </c>
      <c r="C150" t="inlineStr">
        <is>
          <t>UCS_MPa</t>
        </is>
      </c>
      <c r="D150" t="inlineStr">
        <is>
          <t>MPa</t>
        </is>
      </c>
      <c r="E150" t="inlineStr">
        <is>
          <t>Lithology</t>
        </is>
      </c>
      <c r="F150" t="inlineStr">
        <is>
          <t>Diop. Hornfels</t>
        </is>
      </c>
      <c r="G150" t="inlineStr">
        <is>
          <t>Hornfels</t>
        </is>
      </c>
      <c r="H150" t="inlineStr">
        <is>
          <t>Diop. Hornfels</t>
        </is>
      </c>
      <c r="I150" t="inlineStr">
        <is>
          <t>texto Lithology explícito</t>
        </is>
      </c>
      <c r="J150" t="inlineStr">
        <is>
          <t>Hornfels</t>
        </is>
      </c>
      <c r="K150" t="inlineStr">
        <is>
          <t>sin leyenda</t>
        </is>
      </c>
      <c r="L150" t="inlineStr">
        <is>
          <t>UCS por código Lithology (texto libre de la base geotécnica)</t>
        </is>
      </c>
      <c r="M150" t="n">
        <v>1</v>
      </c>
      <c r="N150" t="n">
        <v>59.21</v>
      </c>
      <c r="O150" t="inlineStr"/>
      <c r="P150" t="inlineStr"/>
      <c r="Q150" t="n">
        <v>59.21</v>
      </c>
      <c r="R150" t="n">
        <v>59.21</v>
      </c>
      <c r="S150" t="n">
        <v>59.21</v>
      </c>
      <c r="T150" t="n">
        <v>59.21</v>
      </c>
      <c r="U150" t="n">
        <v>59.21</v>
      </c>
      <c r="V150" t="n">
        <v>59.21</v>
      </c>
      <c r="W150" t="n">
        <v>59.21</v>
      </c>
      <c r="X150" t="n">
        <v>59.21</v>
      </c>
      <c r="Y150" t="n">
        <v>59.21</v>
      </c>
      <c r="Z150" t="inlineStr"/>
    </row>
    <row r="151">
      <c r="A151" t="inlineStr">
        <is>
          <t>MR24</t>
        </is>
      </c>
      <c r="B151" t="inlineStr">
        <is>
          <t>Merged_Table_Assay_lito</t>
        </is>
      </c>
      <c r="C151" t="inlineStr">
        <is>
          <t>UCS_MPa</t>
        </is>
      </c>
      <c r="D151" t="inlineStr">
        <is>
          <t>MPa</t>
        </is>
      </c>
      <c r="E151" t="inlineStr">
        <is>
          <t>Lithology</t>
        </is>
      </c>
      <c r="F151" t="inlineStr">
        <is>
          <t>EXO</t>
        </is>
      </c>
      <c r="G151" t="inlineStr">
        <is>
          <t>sin asignar</t>
        </is>
      </c>
      <c r="H151" t="inlineStr">
        <is>
          <t>EXO</t>
        </is>
      </c>
      <c r="I151" t="inlineStr">
        <is>
          <t>texto Lithology sin equivalente ROCKCODE</t>
        </is>
      </c>
      <c r="J151" t="inlineStr">
        <is>
          <t>sin hipótesis</t>
        </is>
      </c>
      <c r="K151" t="inlineStr">
        <is>
          <t>sin leyenda</t>
        </is>
      </c>
      <c r="L151" t="inlineStr">
        <is>
          <t>UCS por código Lithology (texto libre de la base geotécnica)</t>
        </is>
      </c>
      <c r="M151" t="n">
        <v>14</v>
      </c>
      <c r="N151" t="n">
        <v>98.7308</v>
      </c>
      <c r="O151" t="n">
        <v>64.8939</v>
      </c>
      <c r="P151" t="n">
        <v>0.6573</v>
      </c>
      <c r="Q151" t="n">
        <v>29.6784</v>
      </c>
      <c r="R151" t="n">
        <v>33.9324</v>
      </c>
      <c r="S151" t="n">
        <v>37.3219</v>
      </c>
      <c r="T151" t="n">
        <v>57.9056</v>
      </c>
      <c r="U151" t="n">
        <v>80.2637</v>
      </c>
      <c r="V151" t="n">
        <v>99.61360000000001</v>
      </c>
      <c r="W151" t="n">
        <v>209.5872</v>
      </c>
      <c r="X151" t="n">
        <v>213.9782</v>
      </c>
      <c r="Y151" t="n">
        <v>218.369</v>
      </c>
      <c r="Z151" t="inlineStr"/>
    </row>
    <row r="152">
      <c r="A152" t="inlineStr">
        <is>
          <t>MR24</t>
        </is>
      </c>
      <c r="B152" t="inlineStr">
        <is>
          <t>Merged_Table_Assay_lito</t>
        </is>
      </c>
      <c r="C152" t="inlineStr">
        <is>
          <t>UCS_MPa</t>
        </is>
      </c>
      <c r="D152" t="inlineStr">
        <is>
          <t>MPa</t>
        </is>
      </c>
      <c r="E152" t="inlineStr">
        <is>
          <t>Lithology</t>
        </is>
      </c>
      <c r="F152" t="inlineStr">
        <is>
          <t>HBV</t>
        </is>
      </c>
      <c r="G152" t="inlineStr">
        <is>
          <t>sin asignar</t>
        </is>
      </c>
      <c r="H152" t="inlineStr">
        <is>
          <t>HBV</t>
        </is>
      </c>
      <c r="I152" t="inlineStr">
        <is>
          <t>ROCKCODE agrupado en ROCKCODE_NUMEQ=14; sigla sin leyenda</t>
        </is>
      </c>
      <c r="J152" t="inlineStr">
        <is>
          <t>Hornfels (hipótesis: siglas H*)</t>
        </is>
      </c>
      <c r="K152" t="inlineStr">
        <is>
          <t>Metamorfico</t>
        </is>
      </c>
      <c r="L152" t="inlineStr">
        <is>
          <t>UCS por código Lithology (texto libre de la base geotécnica)</t>
        </is>
      </c>
      <c r="M152" t="n">
        <v>100</v>
      </c>
      <c r="N152" t="n">
        <v>169.9393</v>
      </c>
      <c r="O152" t="n">
        <v>75.0275</v>
      </c>
      <c r="P152" t="n">
        <v>0.4415</v>
      </c>
      <c r="Q152" t="n">
        <v>36.2889</v>
      </c>
      <c r="R152" t="n">
        <v>48.8699</v>
      </c>
      <c r="S152" t="n">
        <v>89.9342</v>
      </c>
      <c r="T152" t="n">
        <v>116.2675</v>
      </c>
      <c r="U152" t="n">
        <v>151.4945</v>
      </c>
      <c r="V152" t="n">
        <v>230.6228</v>
      </c>
      <c r="W152" t="n">
        <v>289.5874</v>
      </c>
      <c r="X152" t="n">
        <v>296.973</v>
      </c>
      <c r="Y152" t="n">
        <v>300</v>
      </c>
      <c r="Z152" t="inlineStr"/>
    </row>
    <row r="153">
      <c r="A153" t="inlineStr">
        <is>
          <t>MR24</t>
        </is>
      </c>
      <c r="B153" t="inlineStr">
        <is>
          <t>Merged_Table_Assay_lito</t>
        </is>
      </c>
      <c r="C153" t="inlineStr">
        <is>
          <t>UCS_MPa</t>
        </is>
      </c>
      <c r="D153" t="inlineStr">
        <is>
          <t>MPa</t>
        </is>
      </c>
      <c r="E153" t="inlineStr">
        <is>
          <t>Lithology</t>
        </is>
      </c>
      <c r="F153" t="inlineStr">
        <is>
          <t>HC</t>
        </is>
      </c>
      <c r="G153" t="inlineStr">
        <is>
          <t>sin asignar</t>
        </is>
      </c>
      <c r="H153" t="inlineStr">
        <is>
          <t>HC</t>
        </is>
      </c>
      <c r="I153" t="inlineStr">
        <is>
          <t>ROCKCODE agrupado en ROCKCODE_NUMEQ=13; sigla sin leyenda</t>
        </is>
      </c>
      <c r="J153" t="inlineStr">
        <is>
          <t>Hornfels (hipótesis: siglas H*)</t>
        </is>
      </c>
      <c r="K153" t="inlineStr">
        <is>
          <t>Metamorfico</t>
        </is>
      </c>
      <c r="L153" t="inlineStr">
        <is>
          <t>UCS por código Lithology (texto libre de la base geotécnica)</t>
        </is>
      </c>
      <c r="M153" t="n">
        <v>515</v>
      </c>
      <c r="N153" t="n">
        <v>120.2779</v>
      </c>
      <c r="O153" t="n">
        <v>52.4725</v>
      </c>
      <c r="P153" t="n">
        <v>0.4363</v>
      </c>
      <c r="Q153" t="n">
        <v>22.036</v>
      </c>
      <c r="R153" t="n">
        <v>46.4122</v>
      </c>
      <c r="S153" t="n">
        <v>58.7381</v>
      </c>
      <c r="T153" t="n">
        <v>84.07989999999999</v>
      </c>
      <c r="U153" t="n">
        <v>113.372</v>
      </c>
      <c r="V153" t="n">
        <v>148.4675</v>
      </c>
      <c r="W153" t="n">
        <v>198.4028</v>
      </c>
      <c r="X153" t="n">
        <v>218.1104</v>
      </c>
      <c r="Y153" t="n">
        <v>300</v>
      </c>
      <c r="Z153" t="inlineStr"/>
    </row>
    <row r="154">
      <c r="A154" t="inlineStr">
        <is>
          <t>MR24</t>
        </is>
      </c>
      <c r="B154" t="inlineStr">
        <is>
          <t>Merged_Table_Assay_lito</t>
        </is>
      </c>
      <c r="C154" t="inlineStr">
        <is>
          <t>UCS_MPa</t>
        </is>
      </c>
      <c r="D154" t="inlineStr">
        <is>
          <t>MPa</t>
        </is>
      </c>
      <c r="E154" t="inlineStr">
        <is>
          <t>Lithology</t>
        </is>
      </c>
      <c r="F154" t="inlineStr">
        <is>
          <t>HC &amp; HGS</t>
        </is>
      </c>
      <c r="G154" t="inlineStr">
        <is>
          <t>sin asignar</t>
        </is>
      </c>
      <c r="H154" t="inlineStr">
        <is>
          <t>HC &amp; HGS</t>
        </is>
      </c>
      <c r="I154" t="inlineStr">
        <is>
          <t>texto Lithology compuesto</t>
        </is>
      </c>
      <c r="J154" t="inlineStr">
        <is>
          <t>Hornfels (hipótesis: siglas H*) (mezcla)</t>
        </is>
      </c>
      <c r="K154" t="inlineStr">
        <is>
          <t>sin leyenda</t>
        </is>
      </c>
      <c r="L154" t="inlineStr">
        <is>
          <t>UCS por código Lithology (texto libre de la base geotécnica)</t>
        </is>
      </c>
      <c r="M154" t="n">
        <v>2</v>
      </c>
      <c r="N154" t="n">
        <v>108.28</v>
      </c>
      <c r="O154" t="n">
        <v>0</v>
      </c>
      <c r="P154" t="n">
        <v>0</v>
      </c>
      <c r="Q154" t="n">
        <v>108.28</v>
      </c>
      <c r="R154" t="n">
        <v>108.28</v>
      </c>
      <c r="S154" t="n">
        <v>108.28</v>
      </c>
      <c r="T154" t="n">
        <v>108.28</v>
      </c>
      <c r="U154" t="n">
        <v>108.28</v>
      </c>
      <c r="V154" t="n">
        <v>108.28</v>
      </c>
      <c r="W154" t="n">
        <v>108.28</v>
      </c>
      <c r="X154" t="n">
        <v>108.28</v>
      </c>
      <c r="Y154" t="n">
        <v>108.28</v>
      </c>
      <c r="Z154" t="inlineStr"/>
    </row>
    <row r="155">
      <c r="A155" t="inlineStr">
        <is>
          <t>MR24</t>
        </is>
      </c>
      <c r="B155" t="inlineStr">
        <is>
          <t>Merged_Table_Assay_lito</t>
        </is>
      </c>
      <c r="C155" t="inlineStr">
        <is>
          <t>UCS_MPa</t>
        </is>
      </c>
      <c r="D155" t="inlineStr">
        <is>
          <t>MPa</t>
        </is>
      </c>
      <c r="E155" t="inlineStr">
        <is>
          <t>Lithology</t>
        </is>
      </c>
      <c r="F155" t="inlineStr">
        <is>
          <t>HCB</t>
        </is>
      </c>
      <c r="G155" t="inlineStr">
        <is>
          <t>sin asignar</t>
        </is>
      </c>
      <c r="H155" t="inlineStr">
        <is>
          <t>HCB</t>
        </is>
      </c>
      <c r="I155" t="inlineStr">
        <is>
          <t>ROCKCODE agrupado en ROCKCODE_NUMEQ=14; sigla sin leyenda</t>
        </is>
      </c>
      <c r="J155" t="inlineStr">
        <is>
          <t>Hornfels (hipótesis: siglas H*)</t>
        </is>
      </c>
      <c r="K155" t="inlineStr">
        <is>
          <t>Metamorfico</t>
        </is>
      </c>
      <c r="L155" t="inlineStr">
        <is>
          <t>UCS por código Lithology (texto libre de la base geotécnica)</t>
        </is>
      </c>
      <c r="M155" t="n">
        <v>57</v>
      </c>
      <c r="N155" t="n">
        <v>151.315</v>
      </c>
      <c r="O155" t="n">
        <v>73.893</v>
      </c>
      <c r="P155" t="n">
        <v>0.4883</v>
      </c>
      <c r="Q155" t="n">
        <v>24.2165</v>
      </c>
      <c r="R155" t="n">
        <v>51.68</v>
      </c>
      <c r="S155" t="n">
        <v>61.2306</v>
      </c>
      <c r="T155" t="n">
        <v>93.1001</v>
      </c>
      <c r="U155" t="n">
        <v>134.646</v>
      </c>
      <c r="V155" t="n">
        <v>193.585</v>
      </c>
      <c r="W155" t="n">
        <v>268.762</v>
      </c>
      <c r="X155" t="n">
        <v>284.045</v>
      </c>
      <c r="Y155" t="n">
        <v>300</v>
      </c>
      <c r="Z155" t="inlineStr"/>
    </row>
    <row r="156">
      <c r="A156" t="inlineStr">
        <is>
          <t>MR24</t>
        </is>
      </c>
      <c r="B156" t="inlineStr">
        <is>
          <t>Merged_Table_Assay_lito</t>
        </is>
      </c>
      <c r="C156" t="inlineStr">
        <is>
          <t>UCS_MPa</t>
        </is>
      </c>
      <c r="D156" t="inlineStr">
        <is>
          <t>MPa</t>
        </is>
      </c>
      <c r="E156" t="inlineStr">
        <is>
          <t>Lithology</t>
        </is>
      </c>
      <c r="F156" t="inlineStr">
        <is>
          <t>HDP</t>
        </is>
      </c>
      <c r="G156" t="inlineStr">
        <is>
          <t>sin asignar</t>
        </is>
      </c>
      <c r="H156" t="inlineStr">
        <is>
          <t>HDP</t>
        </is>
      </c>
      <c r="I156" t="inlineStr">
        <is>
          <t>ROCKCODE agrupado en ROCKCODE_NUMEQ=14; sigla sin leyenda</t>
        </is>
      </c>
      <c r="J156" t="inlineStr">
        <is>
          <t>Hornfels (hipótesis: siglas H*)</t>
        </is>
      </c>
      <c r="K156" t="inlineStr">
        <is>
          <t>Metamorfico</t>
        </is>
      </c>
      <c r="L156" t="inlineStr">
        <is>
          <t>UCS por código Lithology (texto libre de la base geotécnica)</t>
        </is>
      </c>
      <c r="M156" t="n">
        <v>33</v>
      </c>
      <c r="N156" t="n">
        <v>161.1816</v>
      </c>
      <c r="O156" t="n">
        <v>59.0859</v>
      </c>
      <c r="P156" t="n">
        <v>0.3666</v>
      </c>
      <c r="Q156" t="n">
        <v>37.6475</v>
      </c>
      <c r="R156" t="n">
        <v>64.67230000000001</v>
      </c>
      <c r="S156" t="n">
        <v>99.9388</v>
      </c>
      <c r="T156" t="n">
        <v>120.423</v>
      </c>
      <c r="U156" t="n">
        <v>160.41</v>
      </c>
      <c r="V156" t="n">
        <v>201.274</v>
      </c>
      <c r="W156" t="n">
        <v>238.2</v>
      </c>
      <c r="X156" t="n">
        <v>253.3238</v>
      </c>
      <c r="Y156" t="n">
        <v>286.588</v>
      </c>
      <c r="Z156" t="inlineStr"/>
    </row>
    <row r="157">
      <c r="A157" t="inlineStr">
        <is>
          <t>MR24</t>
        </is>
      </c>
      <c r="B157" t="inlineStr">
        <is>
          <t>Merged_Table_Assay_lito</t>
        </is>
      </c>
      <c r="C157" t="inlineStr">
        <is>
          <t>UCS_MPa</t>
        </is>
      </c>
      <c r="D157" t="inlineStr">
        <is>
          <t>MPa</t>
        </is>
      </c>
      <c r="E157" t="inlineStr">
        <is>
          <t>Lithology</t>
        </is>
      </c>
      <c r="F157" t="inlineStr">
        <is>
          <t>HDV</t>
        </is>
      </c>
      <c r="G157" t="inlineStr">
        <is>
          <t>sin asignar</t>
        </is>
      </c>
      <c r="H157" t="inlineStr">
        <is>
          <t>HDV</t>
        </is>
      </c>
      <c r="I157" t="inlineStr">
        <is>
          <t>texto Lithology sin equivalente ROCKCODE</t>
        </is>
      </c>
      <c r="J157" t="inlineStr">
        <is>
          <t>sin hipótesis</t>
        </is>
      </c>
      <c r="K157" t="inlineStr">
        <is>
          <t>sin leyenda</t>
        </is>
      </c>
      <c r="L157" t="inlineStr">
        <is>
          <t>UCS por código Lithology (texto libre de la base geotécnica)</t>
        </is>
      </c>
      <c r="M157" t="n">
        <v>1</v>
      </c>
      <c r="N157" t="n">
        <v>161.813</v>
      </c>
      <c r="O157" t="inlineStr"/>
      <c r="P157" t="inlineStr"/>
      <c r="Q157" t="n">
        <v>161.813</v>
      </c>
      <c r="R157" t="n">
        <v>161.813</v>
      </c>
      <c r="S157" t="n">
        <v>161.813</v>
      </c>
      <c r="T157" t="n">
        <v>161.813</v>
      </c>
      <c r="U157" t="n">
        <v>161.813</v>
      </c>
      <c r="V157" t="n">
        <v>161.813</v>
      </c>
      <c r="W157" t="n">
        <v>161.813</v>
      </c>
      <c r="X157" t="n">
        <v>161.813</v>
      </c>
      <c r="Y157" t="n">
        <v>161.813</v>
      </c>
      <c r="Z157" t="inlineStr"/>
    </row>
    <row r="158">
      <c r="A158" t="inlineStr">
        <is>
          <t>MR24</t>
        </is>
      </c>
      <c r="B158" t="inlineStr">
        <is>
          <t>Merged_Table_Assay_lito</t>
        </is>
      </c>
      <c r="C158" t="inlineStr">
        <is>
          <t>UCS_MPa</t>
        </is>
      </c>
      <c r="D158" t="inlineStr">
        <is>
          <t>MPa</t>
        </is>
      </c>
      <c r="E158" t="inlineStr">
        <is>
          <t>Lithology</t>
        </is>
      </c>
      <c r="F158" t="inlineStr">
        <is>
          <t>HG</t>
        </is>
      </c>
      <c r="G158" t="inlineStr">
        <is>
          <t>sin asignar</t>
        </is>
      </c>
      <c r="H158" t="inlineStr">
        <is>
          <t>HG</t>
        </is>
      </c>
      <c r="I158" t="inlineStr">
        <is>
          <t>ROCKCODE agrupado en ROCKCODE_NUMEQ=13; sigla sin leyenda</t>
        </is>
      </c>
      <c r="J158" t="inlineStr">
        <is>
          <t>Hornfels (hipótesis: siglas H*)</t>
        </is>
      </c>
      <c r="K158" t="inlineStr">
        <is>
          <t>Metamorfico</t>
        </is>
      </c>
      <c r="L158" t="inlineStr">
        <is>
          <t>UCS por código Lithology (texto libre de la base geotécnica)</t>
        </is>
      </c>
      <c r="M158" t="n">
        <v>1383</v>
      </c>
      <c r="N158" t="n">
        <v>115.8886</v>
      </c>
      <c r="O158" t="n">
        <v>51.1683</v>
      </c>
      <c r="P158" t="n">
        <v>0.4415</v>
      </c>
      <c r="Q158" t="n">
        <v>20.8</v>
      </c>
      <c r="R158" t="n">
        <v>45.8662</v>
      </c>
      <c r="S158" t="n">
        <v>60.2079</v>
      </c>
      <c r="T158" t="n">
        <v>81.93389999999999</v>
      </c>
      <c r="U158" t="n">
        <v>106.838</v>
      </c>
      <c r="V158" t="n">
        <v>139.527</v>
      </c>
      <c r="W158" t="n">
        <v>185.101</v>
      </c>
      <c r="X158" t="n">
        <v>220.906</v>
      </c>
      <c r="Y158" t="n">
        <v>300</v>
      </c>
      <c r="Z158" t="inlineStr"/>
    </row>
    <row r="159">
      <c r="A159" t="inlineStr">
        <is>
          <t>MR24</t>
        </is>
      </c>
      <c r="B159" t="inlineStr">
        <is>
          <t>Merged_Table_Assay_lito</t>
        </is>
      </c>
      <c r="C159" t="inlineStr">
        <is>
          <t>UCS_MPa</t>
        </is>
      </c>
      <c r="D159" t="inlineStr">
        <is>
          <t>MPa</t>
        </is>
      </c>
      <c r="E159" t="inlineStr">
        <is>
          <t>Lithology</t>
        </is>
      </c>
      <c r="F159" t="inlineStr">
        <is>
          <t>HG &amp; HGS</t>
        </is>
      </c>
      <c r="G159" t="inlineStr">
        <is>
          <t>sin asignar</t>
        </is>
      </c>
      <c r="H159" t="inlineStr">
        <is>
          <t>HG &amp; HGS</t>
        </is>
      </c>
      <c r="I159" t="inlineStr">
        <is>
          <t>texto Lithology compuesto</t>
        </is>
      </c>
      <c r="J159" t="inlineStr">
        <is>
          <t>Hornfels (hipótesis: siglas H*) (mezcla)</t>
        </is>
      </c>
      <c r="K159" t="inlineStr">
        <is>
          <t>sin leyenda</t>
        </is>
      </c>
      <c r="L159" t="inlineStr">
        <is>
          <t>UCS por código Lithology (texto libre de la base geotécnica)</t>
        </is>
      </c>
      <c r="M159" t="n">
        <v>2</v>
      </c>
      <c r="N159" t="n">
        <v>59.4722</v>
      </c>
      <c r="O159" t="n">
        <v>0</v>
      </c>
      <c r="P159" t="n">
        <v>0</v>
      </c>
      <c r="Q159" t="n">
        <v>59.4722</v>
      </c>
      <c r="R159" t="n">
        <v>59.4722</v>
      </c>
      <c r="S159" t="n">
        <v>59.4722</v>
      </c>
      <c r="T159" t="n">
        <v>59.4722</v>
      </c>
      <c r="U159" t="n">
        <v>59.4722</v>
      </c>
      <c r="V159" t="n">
        <v>59.4722</v>
      </c>
      <c r="W159" t="n">
        <v>59.4722</v>
      </c>
      <c r="X159" t="n">
        <v>59.4722</v>
      </c>
      <c r="Y159" t="n">
        <v>59.4722</v>
      </c>
      <c r="Z159" t="inlineStr"/>
    </row>
    <row r="160">
      <c r="A160" t="inlineStr">
        <is>
          <t>MR24</t>
        </is>
      </c>
      <c r="B160" t="inlineStr">
        <is>
          <t>Merged_Table_Assay_lito</t>
        </is>
      </c>
      <c r="C160" t="inlineStr">
        <is>
          <t>UCS_MPa</t>
        </is>
      </c>
      <c r="D160" t="inlineStr">
        <is>
          <t>MPa</t>
        </is>
      </c>
      <c r="E160" t="inlineStr">
        <is>
          <t>Lithology</t>
        </is>
      </c>
      <c r="F160" t="inlineStr">
        <is>
          <t>HG/HGS</t>
        </is>
      </c>
      <c r="G160" t="inlineStr">
        <is>
          <t>sin asignar</t>
        </is>
      </c>
      <c r="H160" t="inlineStr">
        <is>
          <t>HG/HGS</t>
        </is>
      </c>
      <c r="I160" t="inlineStr">
        <is>
          <t>texto Lithology compuesto</t>
        </is>
      </c>
      <c r="J160" t="inlineStr">
        <is>
          <t>Hornfels (hipótesis: siglas H*) (mezcla)</t>
        </is>
      </c>
      <c r="K160" t="inlineStr">
        <is>
          <t>sin leyenda</t>
        </is>
      </c>
      <c r="L160" t="inlineStr">
        <is>
          <t>UCS por código Lithology (texto libre de la base geotécnica)</t>
        </is>
      </c>
      <c r="M160" t="n">
        <v>3</v>
      </c>
      <c r="N160" t="n">
        <v>118.4333</v>
      </c>
      <c r="O160" t="n">
        <v>8.224600000000001</v>
      </c>
      <c r="P160" t="n">
        <v>0.0694</v>
      </c>
      <c r="Q160" t="n">
        <v>112</v>
      </c>
      <c r="R160" t="n">
        <v>112.36</v>
      </c>
      <c r="S160" t="n">
        <v>112.72</v>
      </c>
      <c r="T160" t="n">
        <v>113.8</v>
      </c>
      <c r="U160" t="n">
        <v>115.6</v>
      </c>
      <c r="V160" t="n">
        <v>121.65</v>
      </c>
      <c r="W160" t="n">
        <v>125.28</v>
      </c>
      <c r="X160" t="n">
        <v>126.49</v>
      </c>
      <c r="Y160" t="n">
        <v>127.7</v>
      </c>
      <c r="Z160" t="inlineStr"/>
    </row>
    <row r="161">
      <c r="A161" t="inlineStr">
        <is>
          <t>MR24</t>
        </is>
      </c>
      <c r="B161" t="inlineStr">
        <is>
          <t>Merged_Table_Assay_lito</t>
        </is>
      </c>
      <c r="C161" t="inlineStr">
        <is>
          <t>UCS_MPa</t>
        </is>
      </c>
      <c r="D161" t="inlineStr">
        <is>
          <t>MPa</t>
        </is>
      </c>
      <c r="E161" t="inlineStr">
        <is>
          <t>Lithology</t>
        </is>
      </c>
      <c r="F161" t="inlineStr">
        <is>
          <t>HGS</t>
        </is>
      </c>
      <c r="G161" t="inlineStr">
        <is>
          <t>sin asignar</t>
        </is>
      </c>
      <c r="H161" t="inlineStr">
        <is>
          <t>HGS</t>
        </is>
      </c>
      <c r="I161" t="inlineStr">
        <is>
          <t>ROCKCODE agrupado en ROCKCODE_NUMEQ=13; sigla sin leyenda</t>
        </is>
      </c>
      <c r="J161" t="inlineStr">
        <is>
          <t>Hornfels (hipótesis: siglas H*)</t>
        </is>
      </c>
      <c r="K161" t="inlineStr">
        <is>
          <t>Metamorfico</t>
        </is>
      </c>
      <c r="L161" t="inlineStr">
        <is>
          <t>UCS por código Lithology (texto libre de la base geotécnica)</t>
        </is>
      </c>
      <c r="M161" t="n">
        <v>513</v>
      </c>
      <c r="N161" t="n">
        <v>99.58280000000001</v>
      </c>
      <c r="O161" t="n">
        <v>37.7379</v>
      </c>
      <c r="P161" t="n">
        <v>0.379</v>
      </c>
      <c r="Q161" t="n">
        <v>23.054</v>
      </c>
      <c r="R161" t="n">
        <v>48.5459</v>
      </c>
      <c r="S161" t="n">
        <v>57.022</v>
      </c>
      <c r="T161" t="n">
        <v>75.295</v>
      </c>
      <c r="U161" t="n">
        <v>95.184</v>
      </c>
      <c r="V161" t="n">
        <v>117.394</v>
      </c>
      <c r="W161" t="n">
        <v>146.4952</v>
      </c>
      <c r="X161" t="n">
        <v>168.67</v>
      </c>
      <c r="Y161" t="n">
        <v>300</v>
      </c>
      <c r="Z161" t="inlineStr"/>
    </row>
    <row r="162">
      <c r="A162" t="inlineStr">
        <is>
          <t>MR24</t>
        </is>
      </c>
      <c r="B162" t="inlineStr">
        <is>
          <t>Merged_Table_Assay_lito</t>
        </is>
      </c>
      <c r="C162" t="inlineStr">
        <is>
          <t>UCS_MPa</t>
        </is>
      </c>
      <c r="D162" t="inlineStr">
        <is>
          <t>MPa</t>
        </is>
      </c>
      <c r="E162" t="inlineStr">
        <is>
          <t>Lithology</t>
        </is>
      </c>
      <c r="F162" t="inlineStr">
        <is>
          <t>HGS/HC</t>
        </is>
      </c>
      <c r="G162" t="inlineStr">
        <is>
          <t>sin asignar</t>
        </is>
      </c>
      <c r="H162" t="inlineStr">
        <is>
          <t>HGS/HC</t>
        </is>
      </c>
      <c r="I162" t="inlineStr">
        <is>
          <t>texto Lithology compuesto</t>
        </is>
      </c>
      <c r="J162" t="inlineStr">
        <is>
          <t>Hornfels (hipótesis: siglas H*) (mezcla)</t>
        </is>
      </c>
      <c r="K162" t="inlineStr">
        <is>
          <t>sin leyenda</t>
        </is>
      </c>
      <c r="L162" t="inlineStr">
        <is>
          <t>UCS por código Lithology (texto libre de la base geotécnica)</t>
        </is>
      </c>
      <c r="M162" t="n">
        <v>3</v>
      </c>
      <c r="N162" t="n">
        <v>87.4667</v>
      </c>
      <c r="O162" t="n">
        <v>21.8532</v>
      </c>
      <c r="P162" t="n">
        <v>0.2498</v>
      </c>
      <c r="Q162" t="n">
        <v>65.40000000000001</v>
      </c>
      <c r="R162" t="n">
        <v>67.65000000000001</v>
      </c>
      <c r="S162" t="n">
        <v>69.90000000000001</v>
      </c>
      <c r="T162" t="n">
        <v>76.65000000000001</v>
      </c>
      <c r="U162" t="n">
        <v>87.90000000000001</v>
      </c>
      <c r="V162" t="n">
        <v>98.5</v>
      </c>
      <c r="W162" t="n">
        <v>104.86</v>
      </c>
      <c r="X162" t="n">
        <v>106.98</v>
      </c>
      <c r="Y162" t="n">
        <v>109.1</v>
      </c>
      <c r="Z162" t="inlineStr"/>
    </row>
    <row r="163">
      <c r="A163" t="inlineStr">
        <is>
          <t>MR24</t>
        </is>
      </c>
      <c r="B163" t="inlineStr">
        <is>
          <t>Merged_Table_Assay_lito</t>
        </is>
      </c>
      <c r="C163" t="inlineStr">
        <is>
          <t>UCS_MPa</t>
        </is>
      </c>
      <c r="D163" t="inlineStr">
        <is>
          <t>MPa</t>
        </is>
      </c>
      <c r="E163" t="inlineStr">
        <is>
          <t>Lithology</t>
        </is>
      </c>
      <c r="F163" t="inlineStr">
        <is>
          <t>HGV</t>
        </is>
      </c>
      <c r="G163" t="inlineStr">
        <is>
          <t>sin asignar</t>
        </is>
      </c>
      <c r="H163" t="inlineStr">
        <is>
          <t>HGV</t>
        </is>
      </c>
      <c r="I163" t="inlineStr">
        <is>
          <t>ROCKCODE agrupado en ROCKCODE_NUMEQ=14; sigla sin leyenda</t>
        </is>
      </c>
      <c r="J163" t="inlineStr">
        <is>
          <t>Hornfels (hipótesis: siglas H*)</t>
        </is>
      </c>
      <c r="K163" t="inlineStr">
        <is>
          <t>Metamorfico</t>
        </is>
      </c>
      <c r="L163" t="inlineStr">
        <is>
          <t>UCS por código Lithology (texto libre de la base geotécnica)</t>
        </is>
      </c>
      <c r="M163" t="n">
        <v>126</v>
      </c>
      <c r="N163" t="n">
        <v>140.2285</v>
      </c>
      <c r="O163" t="n">
        <v>64.4431</v>
      </c>
      <c r="P163" t="n">
        <v>0.4596</v>
      </c>
      <c r="Q163" t="n">
        <v>24.7925</v>
      </c>
      <c r="R163" t="n">
        <v>55.3652</v>
      </c>
      <c r="S163" t="n">
        <v>61.6748</v>
      </c>
      <c r="T163" t="n">
        <v>91.6146</v>
      </c>
      <c r="U163" t="n">
        <v>130.3805</v>
      </c>
      <c r="V163" t="n">
        <v>184.8648</v>
      </c>
      <c r="W163" t="n">
        <v>224.178</v>
      </c>
      <c r="X163" t="n">
        <v>265.8207</v>
      </c>
      <c r="Y163" t="n">
        <v>300</v>
      </c>
      <c r="Z163" t="inlineStr"/>
    </row>
    <row r="164">
      <c r="A164" t="inlineStr">
        <is>
          <t>MR24</t>
        </is>
      </c>
      <c r="B164" t="inlineStr">
        <is>
          <t>Merged_Table_Assay_lito</t>
        </is>
      </c>
      <c r="C164" t="inlineStr">
        <is>
          <t>UCS_MPa</t>
        </is>
      </c>
      <c r="D164" t="inlineStr">
        <is>
          <t>MPa</t>
        </is>
      </c>
      <c r="E164" t="inlineStr">
        <is>
          <t>Lithology</t>
        </is>
      </c>
      <c r="F164" t="inlineStr">
        <is>
          <t>HMGV</t>
        </is>
      </c>
      <c r="G164" t="inlineStr">
        <is>
          <t>sin asignar</t>
        </is>
      </c>
      <c r="H164" t="inlineStr">
        <is>
          <t>HMGV</t>
        </is>
      </c>
      <c r="I164" t="inlineStr">
        <is>
          <t>ROCKCODE agrupado en ROCKCODE_NUMEQ=14; sigla sin leyenda</t>
        </is>
      </c>
      <c r="J164" t="inlineStr">
        <is>
          <t>Hornfels (hipótesis: siglas H*)</t>
        </is>
      </c>
      <c r="K164" t="inlineStr">
        <is>
          <t>Metamorfico</t>
        </is>
      </c>
      <c r="L164" t="inlineStr">
        <is>
          <t>UCS por código Lithology (texto libre de la base geotécnica)</t>
        </is>
      </c>
      <c r="M164" t="n">
        <v>27</v>
      </c>
      <c r="N164" t="n">
        <v>215.0932</v>
      </c>
      <c r="O164" t="n">
        <v>66.3967</v>
      </c>
      <c r="P164" t="n">
        <v>0.3087</v>
      </c>
      <c r="Q164" t="n">
        <v>37.1401</v>
      </c>
      <c r="R164" t="n">
        <v>96.6481</v>
      </c>
      <c r="S164" t="n">
        <v>132.7552</v>
      </c>
      <c r="T164" t="n">
        <v>175.887</v>
      </c>
      <c r="U164" t="n">
        <v>226.657</v>
      </c>
      <c r="V164" t="n">
        <v>266.317</v>
      </c>
      <c r="W164" t="n">
        <v>285.0194</v>
      </c>
      <c r="X164" t="n">
        <v>296.8272</v>
      </c>
      <c r="Y164" t="n">
        <v>300</v>
      </c>
      <c r="Z164" t="inlineStr"/>
    </row>
    <row r="165">
      <c r="A165" t="inlineStr">
        <is>
          <t>MR24</t>
        </is>
      </c>
      <c r="B165" t="inlineStr">
        <is>
          <t>Merged_Table_Assay_lito</t>
        </is>
      </c>
      <c r="C165" t="inlineStr">
        <is>
          <t>UCS_MPa</t>
        </is>
      </c>
      <c r="D165" t="inlineStr">
        <is>
          <t>MPa</t>
        </is>
      </c>
      <c r="E165" t="inlineStr">
        <is>
          <t>Lithology</t>
        </is>
      </c>
      <c r="F165" t="inlineStr">
        <is>
          <t>HV</t>
        </is>
      </c>
      <c r="G165" t="inlineStr">
        <is>
          <t>sin asignar</t>
        </is>
      </c>
      <c r="H165" t="inlineStr">
        <is>
          <t>HV</t>
        </is>
      </c>
      <c r="I165" t="inlineStr">
        <is>
          <t>ROCKCODE agrupado en ROCKCODE_NUMEQ=14; sigla sin leyenda</t>
        </is>
      </c>
      <c r="J165" t="inlineStr">
        <is>
          <t>Hornfels (hipótesis: siglas H*)</t>
        </is>
      </c>
      <c r="K165" t="inlineStr">
        <is>
          <t>Metamorfico</t>
        </is>
      </c>
      <c r="L165" t="inlineStr">
        <is>
          <t>UCS por código Lithology (texto libre de la base geotécnica)</t>
        </is>
      </c>
      <c r="M165" t="n">
        <v>1</v>
      </c>
      <c r="N165" t="n">
        <v>192.537</v>
      </c>
      <c r="O165" t="inlineStr"/>
      <c r="P165" t="inlineStr"/>
      <c r="Q165" t="n">
        <v>192.537</v>
      </c>
      <c r="R165" t="n">
        <v>192.537</v>
      </c>
      <c r="S165" t="n">
        <v>192.537</v>
      </c>
      <c r="T165" t="n">
        <v>192.537</v>
      </c>
      <c r="U165" t="n">
        <v>192.537</v>
      </c>
      <c r="V165" t="n">
        <v>192.537</v>
      </c>
      <c r="W165" t="n">
        <v>192.537</v>
      </c>
      <c r="X165" t="n">
        <v>192.537</v>
      </c>
      <c r="Y165" t="n">
        <v>192.537</v>
      </c>
      <c r="Z165" t="inlineStr"/>
    </row>
    <row r="166">
      <c r="A166" t="inlineStr">
        <is>
          <t>MR24</t>
        </is>
      </c>
      <c r="B166" t="inlineStr">
        <is>
          <t>Merged_Table_Assay_lito</t>
        </is>
      </c>
      <c r="C166" t="inlineStr">
        <is>
          <t>UCS_MPa</t>
        </is>
      </c>
      <c r="D166" t="inlineStr">
        <is>
          <t>MPa</t>
        </is>
      </c>
      <c r="E166" t="inlineStr">
        <is>
          <t>Lithology</t>
        </is>
      </c>
      <c r="F166" t="inlineStr">
        <is>
          <t>INT</t>
        </is>
      </c>
      <c r="G166" t="inlineStr">
        <is>
          <t>sin asignar</t>
        </is>
      </c>
      <c r="H166" t="inlineStr">
        <is>
          <t>INT</t>
        </is>
      </c>
      <c r="I166" t="inlineStr">
        <is>
          <t>texto Lithology sin equivalente ROCKCODE</t>
        </is>
      </c>
      <c r="J166" t="inlineStr">
        <is>
          <t>sin hipótesis</t>
        </is>
      </c>
      <c r="K166" t="inlineStr">
        <is>
          <t>sin leyenda</t>
        </is>
      </c>
      <c r="L166" t="inlineStr">
        <is>
          <t>UCS por código Lithology (texto libre de la base geotécnica)</t>
        </is>
      </c>
      <c r="M166" t="n">
        <v>132</v>
      </c>
      <c r="N166" t="n">
        <v>82.1469</v>
      </c>
      <c r="O166" t="n">
        <v>56.0311</v>
      </c>
      <c r="P166" t="n">
        <v>0.6821</v>
      </c>
      <c r="Q166" t="n">
        <v>12.5</v>
      </c>
      <c r="R166" t="n">
        <v>18.5378</v>
      </c>
      <c r="S166" t="n">
        <v>19.9674</v>
      </c>
      <c r="T166" t="n">
        <v>34.6798</v>
      </c>
      <c r="U166" t="n">
        <v>68.26000000000001</v>
      </c>
      <c r="V166" t="n">
        <v>123.1</v>
      </c>
      <c r="W166" t="n">
        <v>171.5439</v>
      </c>
      <c r="X166" t="n">
        <v>171.9876</v>
      </c>
      <c r="Y166" t="n">
        <v>260.943</v>
      </c>
      <c r="Z166" t="inlineStr"/>
    </row>
    <row r="167">
      <c r="A167" t="inlineStr">
        <is>
          <t>MR24</t>
        </is>
      </c>
      <c r="B167" t="inlineStr">
        <is>
          <t>Merged_Table_Assay_lito</t>
        </is>
      </c>
      <c r="C167" t="inlineStr">
        <is>
          <t>UCS_MPa</t>
        </is>
      </c>
      <c r="D167" t="inlineStr">
        <is>
          <t>MPa</t>
        </is>
      </c>
      <c r="E167" t="inlineStr">
        <is>
          <t>Lithology</t>
        </is>
      </c>
      <c r="F167" t="inlineStr">
        <is>
          <t>IPHPE</t>
        </is>
      </c>
      <c r="G167" t="inlineStr">
        <is>
          <t>Intrusivo</t>
        </is>
      </c>
      <c r="H167" t="inlineStr">
        <is>
          <t>IPHPE</t>
        </is>
      </c>
      <c r="I167" t="inlineStr">
        <is>
          <t>ROCKCODE agrupado en ROCKCODE_NUMEQ=1 (Intrusivo_1)</t>
        </is>
      </c>
      <c r="J167" t="inlineStr">
        <is>
          <t>Intrusivo</t>
        </is>
      </c>
      <c r="K167" t="inlineStr">
        <is>
          <t>Intrusivo</t>
        </is>
      </c>
      <c r="L167" t="inlineStr">
        <is>
          <t>UCS por código Lithology (texto libre de la base geotécnica)</t>
        </is>
      </c>
      <c r="M167" t="n">
        <v>10</v>
      </c>
      <c r="N167" t="n">
        <v>123.9766</v>
      </c>
      <c r="O167" t="n">
        <v>66.2273</v>
      </c>
      <c r="P167" t="n">
        <v>0.5342</v>
      </c>
      <c r="Q167" t="n">
        <v>43.2</v>
      </c>
      <c r="R167" t="n">
        <v>50.13</v>
      </c>
      <c r="S167" t="n">
        <v>57.06</v>
      </c>
      <c r="T167" t="n">
        <v>60.6</v>
      </c>
      <c r="U167" t="n">
        <v>129.133</v>
      </c>
      <c r="V167" t="n">
        <v>159.2</v>
      </c>
      <c r="W167" t="n">
        <v>212.35</v>
      </c>
      <c r="X167" t="n">
        <v>220.225</v>
      </c>
      <c r="Y167" t="n">
        <v>228.1</v>
      </c>
      <c r="Z167" t="inlineStr"/>
    </row>
    <row r="168">
      <c r="A168" t="inlineStr">
        <is>
          <t>MR24</t>
        </is>
      </c>
      <c r="B168" t="inlineStr">
        <is>
          <t>Merged_Table_Assay_lito</t>
        </is>
      </c>
      <c r="C168" t="inlineStr">
        <is>
          <t>UCS_MPa</t>
        </is>
      </c>
      <c r="D168" t="inlineStr">
        <is>
          <t>MPa</t>
        </is>
      </c>
      <c r="E168" t="inlineStr">
        <is>
          <t>Lithology</t>
        </is>
      </c>
      <c r="F168" t="inlineStr">
        <is>
          <t>IPP4</t>
        </is>
      </c>
      <c r="G168" t="inlineStr">
        <is>
          <t>sin asignar</t>
        </is>
      </c>
      <c r="H168" t="inlineStr">
        <is>
          <t>IPP4</t>
        </is>
      </c>
      <c r="I168" t="inlineStr">
        <is>
          <t>texto Lithology sin equivalente ROCKCODE</t>
        </is>
      </c>
      <c r="J168" t="inlineStr">
        <is>
          <t>sin hipótesis</t>
        </is>
      </c>
      <c r="K168" t="inlineStr">
        <is>
          <t>sin leyenda</t>
        </is>
      </c>
      <c r="L168" t="inlineStr">
        <is>
          <t>UCS por código Lithology (texto libre de la base geotécnica)</t>
        </is>
      </c>
      <c r="M168" t="n">
        <v>3</v>
      </c>
      <c r="N168" t="n">
        <v>68.2167</v>
      </c>
      <c r="O168" t="n">
        <v>5.6437</v>
      </c>
      <c r="P168" t="n">
        <v>0.0827</v>
      </c>
      <c r="Q168" t="n">
        <v>64.09999999999999</v>
      </c>
      <c r="R168" t="n">
        <v>64.28</v>
      </c>
      <c r="S168" t="n">
        <v>64.45999999999999</v>
      </c>
      <c r="T168" t="n">
        <v>65</v>
      </c>
      <c r="U168" t="n">
        <v>65.90000000000001</v>
      </c>
      <c r="V168" t="n">
        <v>70.27500000000001</v>
      </c>
      <c r="W168" t="n">
        <v>72.90000000000001</v>
      </c>
      <c r="X168" t="n">
        <v>73.77500000000001</v>
      </c>
      <c r="Y168" t="n">
        <v>74.65000000000001</v>
      </c>
      <c r="Z168" t="inlineStr"/>
    </row>
    <row r="169">
      <c r="A169" t="inlineStr">
        <is>
          <t>MR24</t>
        </is>
      </c>
      <c r="B169" t="inlineStr">
        <is>
          <t>Merged_Table_Assay_lito</t>
        </is>
      </c>
      <c r="C169" t="inlineStr">
        <is>
          <t>UCS_MPa</t>
        </is>
      </c>
      <c r="D169" t="inlineStr">
        <is>
          <t>MPa</t>
        </is>
      </c>
      <c r="E169" t="inlineStr">
        <is>
          <t>Lithology</t>
        </is>
      </c>
      <c r="F169" t="inlineStr">
        <is>
          <t>IPPA</t>
        </is>
      </c>
      <c r="G169" t="inlineStr">
        <is>
          <t>Intrusivo</t>
        </is>
      </c>
      <c r="H169" t="inlineStr">
        <is>
          <t>IPPA</t>
        </is>
      </c>
      <c r="I169" t="inlineStr">
        <is>
          <t>ROCKCODE agrupado en ROCKCODE_NUMEQ=1 (Intrusivo_1)</t>
        </is>
      </c>
      <c r="J169" t="inlineStr">
        <is>
          <t>Intrusivo</t>
        </is>
      </c>
      <c r="K169" t="inlineStr">
        <is>
          <t>Intrusivo</t>
        </is>
      </c>
      <c r="L169" t="inlineStr">
        <is>
          <t>UCS por código Lithology (texto libre de la base geotécnica)</t>
        </is>
      </c>
      <c r="M169" t="n">
        <v>1338</v>
      </c>
      <c r="N169" t="n">
        <v>77.8913</v>
      </c>
      <c r="O169" t="n">
        <v>50.7388</v>
      </c>
      <c r="P169" t="n">
        <v>0.6514</v>
      </c>
      <c r="Q169" t="n">
        <v>4.8</v>
      </c>
      <c r="R169" t="n">
        <v>19.4256</v>
      </c>
      <c r="S169" t="n">
        <v>22.8491</v>
      </c>
      <c r="T169" t="n">
        <v>37.7159</v>
      </c>
      <c r="U169" t="n">
        <v>64.8389</v>
      </c>
      <c r="V169" t="n">
        <v>106.0035</v>
      </c>
      <c r="W169" t="n">
        <v>153.0479</v>
      </c>
      <c r="X169" t="n">
        <v>180.2651</v>
      </c>
      <c r="Y169" t="n">
        <v>300</v>
      </c>
      <c r="Z169" t="inlineStr"/>
    </row>
    <row r="170">
      <c r="A170" t="inlineStr">
        <is>
          <t>MR24</t>
        </is>
      </c>
      <c r="B170" t="inlineStr">
        <is>
          <t>Merged_Table_Assay_lito</t>
        </is>
      </c>
      <c r="C170" t="inlineStr">
        <is>
          <t>UCS_MPa</t>
        </is>
      </c>
      <c r="D170" t="inlineStr">
        <is>
          <t>MPa</t>
        </is>
      </c>
      <c r="E170" t="inlineStr">
        <is>
          <t>Lithology</t>
        </is>
      </c>
      <c r="F170" t="inlineStr">
        <is>
          <t>IPPA/NPL</t>
        </is>
      </c>
      <c r="G170" t="inlineStr">
        <is>
          <t>sin asignar</t>
        </is>
      </c>
      <c r="H170" t="inlineStr">
        <is>
          <t>IPPA/NPL</t>
        </is>
      </c>
      <c r="I170" t="inlineStr">
        <is>
          <t>texto Lithology compuesto</t>
        </is>
      </c>
      <c r="J170" t="inlineStr">
        <is>
          <t>Intrusivo (mezcla)</t>
        </is>
      </c>
      <c r="K170" t="inlineStr">
        <is>
          <t>sin leyenda</t>
        </is>
      </c>
      <c r="L170" t="inlineStr">
        <is>
          <t>UCS por código Lithology (texto libre de la base geotécnica)</t>
        </is>
      </c>
      <c r="M170" t="n">
        <v>3</v>
      </c>
      <c r="N170" t="n">
        <v>100.9333</v>
      </c>
      <c r="O170" t="n">
        <v>35.3483</v>
      </c>
      <c r="P170" t="n">
        <v>0.3502</v>
      </c>
      <c r="Q170" t="n">
        <v>61.7</v>
      </c>
      <c r="R170" t="n">
        <v>66.61</v>
      </c>
      <c r="S170" t="n">
        <v>71.52</v>
      </c>
      <c r="T170" t="n">
        <v>86.25</v>
      </c>
      <c r="U170" t="n">
        <v>110.8</v>
      </c>
      <c r="V170" t="n">
        <v>120.55</v>
      </c>
      <c r="W170" t="n">
        <v>126.4</v>
      </c>
      <c r="X170" t="n">
        <v>128.35</v>
      </c>
      <c r="Y170" t="n">
        <v>130.3</v>
      </c>
      <c r="Z170" t="inlineStr"/>
    </row>
    <row r="171">
      <c r="A171" t="inlineStr">
        <is>
          <t>MR24</t>
        </is>
      </c>
      <c r="B171" t="inlineStr">
        <is>
          <t>Merged_Table_Assay_lito</t>
        </is>
      </c>
      <c r="C171" t="inlineStr">
        <is>
          <t>UCS_MPa</t>
        </is>
      </c>
      <c r="D171" t="inlineStr">
        <is>
          <t>MPa</t>
        </is>
      </c>
      <c r="E171" t="inlineStr">
        <is>
          <t>Lithology</t>
        </is>
      </c>
      <c r="F171" t="inlineStr">
        <is>
          <t>IPPAMO</t>
        </is>
      </c>
      <c r="G171" t="inlineStr">
        <is>
          <t>Intrusivo</t>
        </is>
      </c>
      <c r="H171" t="inlineStr">
        <is>
          <t>IPPAMO</t>
        </is>
      </c>
      <c r="I171" t="inlineStr">
        <is>
          <t>ROCKCODE agrupado en ROCKCODE_NUMEQ=1 (Intrusivo_1)</t>
        </is>
      </c>
      <c r="J171" t="inlineStr">
        <is>
          <t>Intrusivo</t>
        </is>
      </c>
      <c r="K171" t="inlineStr">
        <is>
          <t>Intrusivo</t>
        </is>
      </c>
      <c r="L171" t="inlineStr">
        <is>
          <t>UCS por código Lithology (texto libre de la base geotécnica)</t>
        </is>
      </c>
      <c r="M171" t="n">
        <v>181</v>
      </c>
      <c r="N171" t="n">
        <v>66.2479</v>
      </c>
      <c r="O171" t="n">
        <v>33.8021</v>
      </c>
      <c r="P171" t="n">
        <v>0.5102</v>
      </c>
      <c r="Q171" t="n">
        <v>14.9</v>
      </c>
      <c r="R171" t="n">
        <v>17.5952</v>
      </c>
      <c r="S171" t="n">
        <v>23.4079</v>
      </c>
      <c r="T171" t="n">
        <v>37.6855</v>
      </c>
      <c r="U171" t="n">
        <v>65.2786</v>
      </c>
      <c r="V171" t="n">
        <v>87.3014</v>
      </c>
      <c r="W171" t="n">
        <v>111.506</v>
      </c>
      <c r="X171" t="n">
        <v>127.679</v>
      </c>
      <c r="Y171" t="n">
        <v>153.986</v>
      </c>
      <c r="Z171" t="inlineStr"/>
    </row>
    <row r="172">
      <c r="A172" t="inlineStr">
        <is>
          <t>MR24</t>
        </is>
      </c>
      <c r="B172" t="inlineStr">
        <is>
          <t>Merged_Table_Assay_lito</t>
        </is>
      </c>
      <c r="C172" t="inlineStr">
        <is>
          <t>UCS_MPa</t>
        </is>
      </c>
      <c r="D172" t="inlineStr">
        <is>
          <t>MPa</t>
        </is>
      </c>
      <c r="E172" t="inlineStr">
        <is>
          <t>Lithology</t>
        </is>
      </c>
      <c r="F172" t="inlineStr">
        <is>
          <t>IPPAO</t>
        </is>
      </c>
      <c r="G172" t="inlineStr">
        <is>
          <t>Intrusivo</t>
        </is>
      </c>
      <c r="H172" t="inlineStr">
        <is>
          <t>IPPAO</t>
        </is>
      </c>
      <c r="I172" t="inlineStr">
        <is>
          <t>ROCKCODE agrupado en ROCKCODE_NUMEQ=1 (Intrusivo_1)</t>
        </is>
      </c>
      <c r="J172" t="inlineStr">
        <is>
          <t>Intrusivo</t>
        </is>
      </c>
      <c r="K172" t="inlineStr">
        <is>
          <t>Intrusivo</t>
        </is>
      </c>
      <c r="L172" t="inlineStr">
        <is>
          <t>UCS por código Lithology (texto libre de la base geotécnica)</t>
        </is>
      </c>
      <c r="M172" t="n">
        <v>466</v>
      </c>
      <c r="N172" t="n">
        <v>71.2462</v>
      </c>
      <c r="O172" t="n">
        <v>44.8309</v>
      </c>
      <c r="P172" t="n">
        <v>0.6292</v>
      </c>
      <c r="Q172" t="n">
        <v>7.18</v>
      </c>
      <c r="R172" t="n">
        <v>19.005</v>
      </c>
      <c r="S172" t="n">
        <v>24.1094</v>
      </c>
      <c r="T172" t="n">
        <v>38.0822</v>
      </c>
      <c r="U172" t="n">
        <v>60.3168</v>
      </c>
      <c r="V172" t="n">
        <v>93.77679999999999</v>
      </c>
      <c r="W172" t="n">
        <v>130.079</v>
      </c>
      <c r="X172" t="n">
        <v>148.924</v>
      </c>
      <c r="Y172" t="n">
        <v>267.507</v>
      </c>
      <c r="Z172" t="inlineStr"/>
    </row>
    <row r="173">
      <c r="A173" t="inlineStr">
        <is>
          <t>MR24</t>
        </is>
      </c>
      <c r="B173" t="inlineStr">
        <is>
          <t>Merged_Table_Assay_lito</t>
        </is>
      </c>
      <c r="C173" t="inlineStr">
        <is>
          <t>UCS_MPa</t>
        </is>
      </c>
      <c r="D173" t="inlineStr">
        <is>
          <t>MPa</t>
        </is>
      </c>
      <c r="E173" t="inlineStr">
        <is>
          <t>Lithology</t>
        </is>
      </c>
      <c r="F173" t="inlineStr">
        <is>
          <t>IPPAO &amp; MGS</t>
        </is>
      </c>
      <c r="G173" t="inlineStr">
        <is>
          <t>sin asignar</t>
        </is>
      </c>
      <c r="H173" t="inlineStr">
        <is>
          <t>IPPAO &amp; MGS</t>
        </is>
      </c>
      <c r="I173" t="inlineStr">
        <is>
          <t>texto Lithology compuesto</t>
        </is>
      </c>
      <c r="J173" t="inlineStr">
        <is>
          <t>Intrusivo (mezcla)</t>
        </is>
      </c>
      <c r="K173" t="inlineStr">
        <is>
          <t>sin leyenda</t>
        </is>
      </c>
      <c r="L173" t="inlineStr">
        <is>
          <t>UCS por código Lithology (texto libre de la base geotécnica)</t>
        </is>
      </c>
      <c r="M173" t="n">
        <v>1</v>
      </c>
      <c r="N173" t="n">
        <v>159.88</v>
      </c>
      <c r="O173" t="inlineStr"/>
      <c r="P173" t="inlineStr"/>
      <c r="Q173" t="n">
        <v>159.88</v>
      </c>
      <c r="R173" t="n">
        <v>159.88</v>
      </c>
      <c r="S173" t="n">
        <v>159.88</v>
      </c>
      <c r="T173" t="n">
        <v>159.88</v>
      </c>
      <c r="U173" t="n">
        <v>159.88</v>
      </c>
      <c r="V173" t="n">
        <v>159.88</v>
      </c>
      <c r="W173" t="n">
        <v>159.88</v>
      </c>
      <c r="X173" t="n">
        <v>159.88</v>
      </c>
      <c r="Y173" t="n">
        <v>159.88</v>
      </c>
      <c r="Z173" t="inlineStr"/>
    </row>
    <row r="174">
      <c r="A174" t="inlineStr">
        <is>
          <t>MR24</t>
        </is>
      </c>
      <c r="B174" t="inlineStr">
        <is>
          <t>Merged_Table_Assay_lito</t>
        </is>
      </c>
      <c r="C174" t="inlineStr">
        <is>
          <t>UCS_MPa</t>
        </is>
      </c>
      <c r="D174" t="inlineStr">
        <is>
          <t>MPa</t>
        </is>
      </c>
      <c r="E174" t="inlineStr">
        <is>
          <t>Lithology</t>
        </is>
      </c>
      <c r="F174" t="inlineStr">
        <is>
          <t>IPPEO</t>
        </is>
      </c>
      <c r="G174" t="inlineStr">
        <is>
          <t>Intrusivo</t>
        </is>
      </c>
      <c r="H174" t="inlineStr">
        <is>
          <t>IPPEO</t>
        </is>
      </c>
      <c r="I174" t="inlineStr">
        <is>
          <t>ROCKCODE agrupado en ROCKCODE_NUMEQ=1 (Intrusivo_1)</t>
        </is>
      </c>
      <c r="J174" t="inlineStr">
        <is>
          <t>Intrusivo</t>
        </is>
      </c>
      <c r="K174" t="inlineStr">
        <is>
          <t>Intrusivo</t>
        </is>
      </c>
      <c r="L174" t="inlineStr">
        <is>
          <t>UCS por código Lithology (texto libre de la base geotécnica)</t>
        </is>
      </c>
      <c r="M174" t="n">
        <v>63</v>
      </c>
      <c r="N174" t="n">
        <v>125.815</v>
      </c>
      <c r="O174" t="n">
        <v>62.7889</v>
      </c>
      <c r="P174" t="n">
        <v>0.4991</v>
      </c>
      <c r="Q174" t="n">
        <v>25.2929</v>
      </c>
      <c r="R174" t="n">
        <v>33.9108</v>
      </c>
      <c r="S174" t="n">
        <v>49.902</v>
      </c>
      <c r="T174" t="n">
        <v>84.947</v>
      </c>
      <c r="U174" t="n">
        <v>118.453</v>
      </c>
      <c r="V174" t="n">
        <v>165.2285</v>
      </c>
      <c r="W174" t="n">
        <v>190.1744</v>
      </c>
      <c r="X174" t="n">
        <v>244.4475</v>
      </c>
      <c r="Y174" t="n">
        <v>300</v>
      </c>
      <c r="Z174" t="inlineStr"/>
    </row>
    <row r="175">
      <c r="A175" t="inlineStr">
        <is>
          <t>MR24</t>
        </is>
      </c>
      <c r="B175" t="inlineStr">
        <is>
          <t>Merged_Table_Assay_lito</t>
        </is>
      </c>
      <c r="C175" t="inlineStr">
        <is>
          <t>UCS_MPa</t>
        </is>
      </c>
      <c r="D175" t="inlineStr">
        <is>
          <t>MPa</t>
        </is>
      </c>
      <c r="E175" t="inlineStr">
        <is>
          <t>Lithology</t>
        </is>
      </c>
      <c r="F175" t="inlineStr">
        <is>
          <t>IQM</t>
        </is>
      </c>
      <c r="G175" t="inlineStr">
        <is>
          <t>sin asignar</t>
        </is>
      </c>
      <c r="H175" t="inlineStr">
        <is>
          <t>IQM</t>
        </is>
      </c>
      <c r="I175" t="inlineStr">
        <is>
          <t>texto Lithology sin equivalente ROCKCODE</t>
        </is>
      </c>
      <c r="J175" t="inlineStr">
        <is>
          <t>sin hipótesis</t>
        </is>
      </c>
      <c r="K175" t="inlineStr">
        <is>
          <t>sin leyenda</t>
        </is>
      </c>
      <c r="L175" t="inlineStr">
        <is>
          <t>UCS por código Lithology (texto libre de la base geotécnica)</t>
        </is>
      </c>
      <c r="M175" t="n">
        <v>3</v>
      </c>
      <c r="N175" t="n">
        <v>173.805</v>
      </c>
      <c r="O175" t="n">
        <v>17.57</v>
      </c>
      <c r="P175" t="n">
        <v>0.1011</v>
      </c>
      <c r="Q175" t="n">
        <v>153.644</v>
      </c>
      <c r="R175" t="n">
        <v>156.4718</v>
      </c>
      <c r="S175" t="n">
        <v>159.2996</v>
      </c>
      <c r="T175" t="n">
        <v>167.783</v>
      </c>
      <c r="U175" t="n">
        <v>181.922</v>
      </c>
      <c r="V175" t="n">
        <v>183.8855</v>
      </c>
      <c r="W175" t="n">
        <v>185.0636</v>
      </c>
      <c r="X175" t="n">
        <v>185.4563</v>
      </c>
      <c r="Y175" t="n">
        <v>185.849</v>
      </c>
      <c r="Z175" t="inlineStr"/>
    </row>
    <row r="176">
      <c r="A176" t="inlineStr">
        <is>
          <t>MR24</t>
        </is>
      </c>
      <c r="B176" t="inlineStr">
        <is>
          <t>Merged_Table_Assay_lito</t>
        </is>
      </c>
      <c r="C176" t="inlineStr">
        <is>
          <t>UCS_MPa</t>
        </is>
      </c>
      <c r="D176" t="inlineStr">
        <is>
          <t>MPa</t>
        </is>
      </c>
      <c r="E176" t="inlineStr">
        <is>
          <t>Lithology</t>
        </is>
      </c>
      <c r="F176" t="inlineStr">
        <is>
          <t>LMH</t>
        </is>
      </c>
      <c r="G176" t="inlineStr">
        <is>
          <t>sin asignar</t>
        </is>
      </c>
      <c r="H176" t="inlineStr">
        <is>
          <t>LMH</t>
        </is>
      </c>
      <c r="I176" t="inlineStr">
        <is>
          <t>texto Lithology sin equivalente ROCKCODE</t>
        </is>
      </c>
      <c r="J176" t="inlineStr">
        <is>
          <t>sin hipótesis</t>
        </is>
      </c>
      <c r="K176" t="inlineStr">
        <is>
          <t>sin leyenda</t>
        </is>
      </c>
      <c r="L176" t="inlineStr">
        <is>
          <t>UCS por código Lithology (texto libre de la base geotécnica)</t>
        </is>
      </c>
      <c r="M176" t="n">
        <v>362</v>
      </c>
      <c r="N176" t="n">
        <v>91.8562</v>
      </c>
      <c r="O176" t="n">
        <v>36.0001</v>
      </c>
      <c r="P176" t="n">
        <v>0.3919</v>
      </c>
      <c r="Q176" t="n">
        <v>21.978</v>
      </c>
      <c r="R176" t="n">
        <v>44.1697</v>
      </c>
      <c r="S176" t="n">
        <v>48.2295</v>
      </c>
      <c r="T176" t="n">
        <v>64.9165</v>
      </c>
      <c r="U176" t="n">
        <v>88.0138</v>
      </c>
      <c r="V176" t="n">
        <v>117.394</v>
      </c>
      <c r="W176" t="n">
        <v>138.99</v>
      </c>
      <c r="X176" t="n">
        <v>157.509</v>
      </c>
      <c r="Y176" t="n">
        <v>231.583</v>
      </c>
      <c r="Z176" t="inlineStr"/>
    </row>
    <row r="177">
      <c r="A177" t="inlineStr">
        <is>
          <t>MR24</t>
        </is>
      </c>
      <c r="B177" t="inlineStr">
        <is>
          <t>Merged_Table_Assay_lito</t>
        </is>
      </c>
      <c r="C177" t="inlineStr">
        <is>
          <t>UCS_MPa</t>
        </is>
      </c>
      <c r="D177" t="inlineStr">
        <is>
          <t>MPa</t>
        </is>
      </c>
      <c r="E177" t="inlineStr">
        <is>
          <t>Lithology</t>
        </is>
      </c>
      <c r="F177" t="inlineStr">
        <is>
          <t>M</t>
        </is>
      </c>
      <c r="G177" t="inlineStr">
        <is>
          <t>sin asignar</t>
        </is>
      </c>
      <c r="H177" t="inlineStr">
        <is>
          <t>M</t>
        </is>
      </c>
      <c r="I177" t="inlineStr">
        <is>
          <t>ROCKCODE agrupado en ROCKCODE_NUMEQ=16; sigla sin leyenda</t>
        </is>
      </c>
      <c r="J177" t="inlineStr">
        <is>
          <t>Mármol (hipótesis: siglas M*)</t>
        </is>
      </c>
      <c r="K177" t="inlineStr">
        <is>
          <t>Metamorfico</t>
        </is>
      </c>
      <c r="L177" t="inlineStr">
        <is>
          <t>UCS por código Lithology (texto libre de la base geotécnica)</t>
        </is>
      </c>
      <c r="M177" t="n">
        <v>66</v>
      </c>
      <c r="N177" t="n">
        <v>91.8828</v>
      </c>
      <c r="O177" t="n">
        <v>42.8155</v>
      </c>
      <c r="P177" t="n">
        <v>0.466</v>
      </c>
      <c r="Q177" t="n">
        <v>22.9955</v>
      </c>
      <c r="R177" t="n">
        <v>39.1177</v>
      </c>
      <c r="S177" t="n">
        <v>44.8158</v>
      </c>
      <c r="T177" t="n">
        <v>62.4745</v>
      </c>
      <c r="U177" t="n">
        <v>86.55670000000001</v>
      </c>
      <c r="V177" t="n">
        <v>114.794</v>
      </c>
      <c r="W177" t="n">
        <v>140.008</v>
      </c>
      <c r="X177" t="n">
        <v>156.848</v>
      </c>
      <c r="Y177" t="n">
        <v>259.463</v>
      </c>
      <c r="Z177" t="inlineStr"/>
    </row>
    <row r="178">
      <c r="A178" t="inlineStr">
        <is>
          <t>MR24</t>
        </is>
      </c>
      <c r="B178" t="inlineStr">
        <is>
          <t>Merged_Table_Assay_lito</t>
        </is>
      </c>
      <c r="C178" t="inlineStr">
        <is>
          <t>UCS_MPa</t>
        </is>
      </c>
      <c r="D178" t="inlineStr">
        <is>
          <t>MPa</t>
        </is>
      </c>
      <c r="E178" t="inlineStr">
        <is>
          <t>Lithology</t>
        </is>
      </c>
      <c r="F178" t="inlineStr">
        <is>
          <t>MC</t>
        </is>
      </c>
      <c r="G178" t="inlineStr">
        <is>
          <t>sin asignar</t>
        </is>
      </c>
      <c r="H178" t="inlineStr">
        <is>
          <t>MC</t>
        </is>
      </c>
      <c r="I178" t="inlineStr">
        <is>
          <t>ROCKCODE agrupado en ROCKCODE_NUMEQ=16; sigla sin leyenda</t>
        </is>
      </c>
      <c r="J178" t="inlineStr">
        <is>
          <t>Mármol (hipótesis: siglas M*)</t>
        </is>
      </c>
      <c r="K178" t="inlineStr">
        <is>
          <t>Metamorfico</t>
        </is>
      </c>
      <c r="L178" t="inlineStr">
        <is>
          <t>UCS por código Lithology (texto libre de la base geotécnica)</t>
        </is>
      </c>
      <c r="M178" t="n">
        <v>2053</v>
      </c>
      <c r="N178" t="n">
        <v>71.5596</v>
      </c>
      <c r="O178" t="n">
        <v>37.3684</v>
      </c>
      <c r="P178" t="n">
        <v>0.5222</v>
      </c>
      <c r="Q178" t="n">
        <v>11.95</v>
      </c>
      <c r="R178" t="n">
        <v>28.2907</v>
      </c>
      <c r="S178" t="n">
        <v>34.188</v>
      </c>
      <c r="T178" t="n">
        <v>45.08</v>
      </c>
      <c r="U178" t="n">
        <v>62.6628</v>
      </c>
      <c r="V178" t="n">
        <v>89.54000000000001</v>
      </c>
      <c r="W178" t="n">
        <v>120.2678</v>
      </c>
      <c r="X178" t="n">
        <v>141.848</v>
      </c>
      <c r="Y178" t="n">
        <v>300</v>
      </c>
      <c r="Z178" t="inlineStr"/>
    </row>
    <row r="179">
      <c r="A179" t="inlineStr">
        <is>
          <t>MR24</t>
        </is>
      </c>
      <c r="B179" t="inlineStr">
        <is>
          <t>Merged_Table_Assay_lito</t>
        </is>
      </c>
      <c r="C179" t="inlineStr">
        <is>
          <t>UCS_MPa</t>
        </is>
      </c>
      <c r="D179" t="inlineStr">
        <is>
          <t>MPa</t>
        </is>
      </c>
      <c r="E179" t="inlineStr">
        <is>
          <t>Lithology</t>
        </is>
      </c>
      <c r="F179" t="inlineStr">
        <is>
          <t>MCB</t>
        </is>
      </c>
      <c r="G179" t="inlineStr">
        <is>
          <t>sin asignar</t>
        </is>
      </c>
      <c r="H179" t="inlineStr">
        <is>
          <t>MCB</t>
        </is>
      </c>
      <c r="I179" t="inlineStr">
        <is>
          <t>ROCKCODE agrupado en ROCKCODE_NUMEQ=16; sigla sin leyenda</t>
        </is>
      </c>
      <c r="J179" t="inlineStr">
        <is>
          <t>Mármol (hipótesis: siglas M*)</t>
        </is>
      </c>
      <c r="K179" t="inlineStr">
        <is>
          <t>Metamorfico</t>
        </is>
      </c>
      <c r="L179" t="inlineStr">
        <is>
          <t>UCS por código Lithology (texto libre de la base geotécnica)</t>
        </is>
      </c>
      <c r="M179" t="n">
        <v>198</v>
      </c>
      <c r="N179" t="n">
        <v>57.9765</v>
      </c>
      <c r="O179" t="n">
        <v>30.6204</v>
      </c>
      <c r="P179" t="n">
        <v>0.5282</v>
      </c>
      <c r="Q179" t="n">
        <v>19.3382</v>
      </c>
      <c r="R179" t="n">
        <v>24.8489</v>
      </c>
      <c r="S179" t="n">
        <v>29.711</v>
      </c>
      <c r="T179" t="n">
        <v>37.1388</v>
      </c>
      <c r="U179" t="n">
        <v>51.7252</v>
      </c>
      <c r="V179" t="n">
        <v>71.88639999999999</v>
      </c>
      <c r="W179" t="n">
        <v>91.7989</v>
      </c>
      <c r="X179" t="n">
        <v>109.3308</v>
      </c>
      <c r="Y179" t="n">
        <v>258.445</v>
      </c>
      <c r="Z179" t="inlineStr"/>
    </row>
    <row r="180">
      <c r="A180" t="inlineStr">
        <is>
          <t>MR24</t>
        </is>
      </c>
      <c r="B180" t="inlineStr">
        <is>
          <t>Merged_Table_Assay_lito</t>
        </is>
      </c>
      <c r="C180" t="inlineStr">
        <is>
          <t>UCS_MPa</t>
        </is>
      </c>
      <c r="D180" t="inlineStr">
        <is>
          <t>MPa</t>
        </is>
      </c>
      <c r="E180" t="inlineStr">
        <is>
          <t>Lithology</t>
        </is>
      </c>
      <c r="F180" t="inlineStr">
        <is>
          <t>MCD</t>
        </is>
      </c>
      <c r="G180" t="inlineStr">
        <is>
          <t>sin asignar</t>
        </is>
      </c>
      <c r="H180" t="inlineStr">
        <is>
          <t>MCD</t>
        </is>
      </c>
      <c r="I180" t="inlineStr">
        <is>
          <t>texto Lithology sin equivalente ROCKCODE</t>
        </is>
      </c>
      <c r="J180" t="inlineStr">
        <is>
          <t>sin hipótesis</t>
        </is>
      </c>
      <c r="K180" t="inlineStr">
        <is>
          <t>sin leyenda</t>
        </is>
      </c>
      <c r="L180" t="inlineStr">
        <is>
          <t>UCS por código Lithology (texto libre de la base geotécnica)</t>
        </is>
      </c>
      <c r="M180" t="n">
        <v>4</v>
      </c>
      <c r="N180" t="n">
        <v>62.05</v>
      </c>
      <c r="O180" t="n">
        <v>0</v>
      </c>
      <c r="P180" t="n">
        <v>0</v>
      </c>
      <c r="Q180" t="n">
        <v>62.05</v>
      </c>
      <c r="R180" t="n">
        <v>62.05</v>
      </c>
      <c r="S180" t="n">
        <v>62.05</v>
      </c>
      <c r="T180" t="n">
        <v>62.05</v>
      </c>
      <c r="U180" t="n">
        <v>62.05</v>
      </c>
      <c r="V180" t="n">
        <v>62.05</v>
      </c>
      <c r="W180" t="n">
        <v>62.05</v>
      </c>
      <c r="X180" t="n">
        <v>62.05</v>
      </c>
      <c r="Y180" t="n">
        <v>62.05</v>
      </c>
      <c r="Z180" t="inlineStr"/>
    </row>
    <row r="181">
      <c r="A181" t="inlineStr">
        <is>
          <t>MR24</t>
        </is>
      </c>
      <c r="B181" t="inlineStr">
        <is>
          <t>Merged_Table_Assay_lito</t>
        </is>
      </c>
      <c r="C181" t="inlineStr">
        <is>
          <t>UCS_MPa</t>
        </is>
      </c>
      <c r="D181" t="inlineStr">
        <is>
          <t>MPa</t>
        </is>
      </c>
      <c r="E181" t="inlineStr">
        <is>
          <t>Lithology</t>
        </is>
      </c>
      <c r="F181" t="inlineStr">
        <is>
          <t>MCG</t>
        </is>
      </c>
      <c r="G181" t="inlineStr">
        <is>
          <t>sin asignar</t>
        </is>
      </c>
      <c r="H181" t="inlineStr">
        <is>
          <t>MCG</t>
        </is>
      </c>
      <c r="I181" t="inlineStr">
        <is>
          <t>texto Lithology sin equivalente ROCKCODE</t>
        </is>
      </c>
      <c r="J181" t="inlineStr">
        <is>
          <t>sin hipótesis</t>
        </is>
      </c>
      <c r="K181" t="inlineStr">
        <is>
          <t>sin leyenda</t>
        </is>
      </c>
      <c r="L181" t="inlineStr">
        <is>
          <t>UCS por código Lithology (texto libre de la base geotécnica)</t>
        </is>
      </c>
      <c r="M181" t="n">
        <v>30</v>
      </c>
      <c r="N181" t="n">
        <v>56.6206</v>
      </c>
      <c r="O181" t="n">
        <v>19.6082</v>
      </c>
      <c r="P181" t="n">
        <v>0.3463</v>
      </c>
      <c r="Q181" t="n">
        <v>22.5885</v>
      </c>
      <c r="R181" t="n">
        <v>32.1225</v>
      </c>
      <c r="S181" t="n">
        <v>36.7318</v>
      </c>
      <c r="T181" t="n">
        <v>43.2946</v>
      </c>
      <c r="U181" t="n">
        <v>54.6398</v>
      </c>
      <c r="V181" t="n">
        <v>64.6621</v>
      </c>
      <c r="W181" t="n">
        <v>78.2548</v>
      </c>
      <c r="X181" t="n">
        <v>86.6707</v>
      </c>
      <c r="Y181" t="n">
        <v>115.746</v>
      </c>
      <c r="Z181" t="inlineStr"/>
    </row>
    <row r="182">
      <c r="A182" t="inlineStr">
        <is>
          <t>MR24</t>
        </is>
      </c>
      <c r="B182" t="inlineStr">
        <is>
          <t>Merged_Table_Assay_lito</t>
        </is>
      </c>
      <c r="C182" t="inlineStr">
        <is>
          <t>UCS_MPa</t>
        </is>
      </c>
      <c r="D182" t="inlineStr">
        <is>
          <t>MPa</t>
        </is>
      </c>
      <c r="E182" t="inlineStr">
        <is>
          <t>Lithology</t>
        </is>
      </c>
      <c r="F182" t="inlineStr">
        <is>
          <t>MCGB</t>
        </is>
      </c>
      <c r="G182" t="inlineStr">
        <is>
          <t>sin asignar</t>
        </is>
      </c>
      <c r="H182" t="inlineStr">
        <is>
          <t>MCGB</t>
        </is>
      </c>
      <c r="I182" t="inlineStr">
        <is>
          <t>ROCKCODE agrupado en ROCKCODE_NUMEQ=16; sigla sin leyenda</t>
        </is>
      </c>
      <c r="J182" t="inlineStr">
        <is>
          <t>Mármol (hipótesis: siglas M*)</t>
        </is>
      </c>
      <c r="K182" t="inlineStr">
        <is>
          <t>Metamorfico</t>
        </is>
      </c>
      <c r="L182" t="inlineStr">
        <is>
          <t>UCS por código Lithology (texto libre de la base geotécnica)</t>
        </is>
      </c>
      <c r="M182" t="n">
        <v>783</v>
      </c>
      <c r="N182" t="n">
        <v>57.4884</v>
      </c>
      <c r="O182" t="n">
        <v>30.4739</v>
      </c>
      <c r="P182" t="n">
        <v>0.5301</v>
      </c>
      <c r="Q182" t="n">
        <v>10.1</v>
      </c>
      <c r="R182" t="n">
        <v>24.1801</v>
      </c>
      <c r="S182" t="n">
        <v>28.7127</v>
      </c>
      <c r="T182" t="n">
        <v>37.2087</v>
      </c>
      <c r="U182" t="n">
        <v>49.4516</v>
      </c>
      <c r="V182" t="n">
        <v>70.611</v>
      </c>
      <c r="W182" t="n">
        <v>94.28230000000001</v>
      </c>
      <c r="X182" t="n">
        <v>113.4318</v>
      </c>
      <c r="Y182" t="n">
        <v>278.816</v>
      </c>
      <c r="Z182" t="inlineStr"/>
    </row>
    <row r="183">
      <c r="A183" t="inlineStr">
        <is>
          <t>MR24</t>
        </is>
      </c>
      <c r="B183" t="inlineStr">
        <is>
          <t>Merged_Table_Assay_lito</t>
        </is>
      </c>
      <c r="C183" t="inlineStr">
        <is>
          <t>UCS_MPa</t>
        </is>
      </c>
      <c r="D183" t="inlineStr">
        <is>
          <t>MPa</t>
        </is>
      </c>
      <c r="E183" t="inlineStr">
        <is>
          <t>Lithology</t>
        </is>
      </c>
      <c r="F183" t="inlineStr">
        <is>
          <t>MDP</t>
        </is>
      </c>
      <c r="G183" t="inlineStr">
        <is>
          <t>sin asignar</t>
        </is>
      </c>
      <c r="H183" t="inlineStr">
        <is>
          <t>MDP</t>
        </is>
      </c>
      <c r="I183" t="inlineStr">
        <is>
          <t>ROCKCODE agrupado en ROCKCODE_NUMEQ=19; sigla sin leyenda</t>
        </is>
      </c>
      <c r="J183" t="inlineStr">
        <is>
          <t>Mármol (hipótesis: sigla MDP)</t>
        </is>
      </c>
      <c r="K183" t="inlineStr">
        <is>
          <t>Metamorfico</t>
        </is>
      </c>
      <c r="L183" t="inlineStr">
        <is>
          <t>UCS por código Lithology (texto libre de la base geotécnica)</t>
        </is>
      </c>
      <c r="M183" t="n">
        <v>1753</v>
      </c>
      <c r="N183" t="n">
        <v>93.7518</v>
      </c>
      <c r="O183" t="n">
        <v>40.4153</v>
      </c>
      <c r="P183" t="n">
        <v>0.4311</v>
      </c>
      <c r="Q183" t="n">
        <v>15</v>
      </c>
      <c r="R183" t="n">
        <v>35.4983</v>
      </c>
      <c r="S183" t="n">
        <v>44</v>
      </c>
      <c r="T183" t="n">
        <v>63.4689</v>
      </c>
      <c r="U183" t="n">
        <v>92.5616</v>
      </c>
      <c r="V183" t="n">
        <v>116.809</v>
      </c>
      <c r="W183" t="n">
        <v>143.6258</v>
      </c>
      <c r="X183" t="n">
        <v>161.588</v>
      </c>
      <c r="Y183" t="n">
        <v>300</v>
      </c>
      <c r="Z183" t="inlineStr"/>
    </row>
    <row r="184">
      <c r="A184" t="inlineStr">
        <is>
          <t>MR24</t>
        </is>
      </c>
      <c r="B184" t="inlineStr">
        <is>
          <t>Merged_Table_Assay_lito</t>
        </is>
      </c>
      <c r="C184" t="inlineStr">
        <is>
          <t>UCS_MPa</t>
        </is>
      </c>
      <c r="D184" t="inlineStr">
        <is>
          <t>MPa</t>
        </is>
      </c>
      <c r="E184" t="inlineStr">
        <is>
          <t>Lithology</t>
        </is>
      </c>
      <c r="F184" t="inlineStr">
        <is>
          <t>MG</t>
        </is>
      </c>
      <c r="G184" t="inlineStr">
        <is>
          <t>sin asignar</t>
        </is>
      </c>
      <c r="H184" t="inlineStr">
        <is>
          <t>MG</t>
        </is>
      </c>
      <c r="I184" t="inlineStr">
        <is>
          <t>ROCKCODE agrupado en ROCKCODE_NUMEQ=16; sigla sin leyenda</t>
        </is>
      </c>
      <c r="J184" t="inlineStr">
        <is>
          <t>Mármol (hipótesis: siglas M*)</t>
        </is>
      </c>
      <c r="K184" t="inlineStr">
        <is>
          <t>Metamorfico</t>
        </is>
      </c>
      <c r="L184" t="inlineStr">
        <is>
          <t>UCS por código Lithology (texto libre de la base geotécnica)</t>
        </is>
      </c>
      <c r="M184" t="n">
        <v>896</v>
      </c>
      <c r="N184" t="n">
        <v>79.5187</v>
      </c>
      <c r="O184" t="n">
        <v>43.0521</v>
      </c>
      <c r="P184" t="n">
        <v>0.5414</v>
      </c>
      <c r="Q184" t="n">
        <v>20.757</v>
      </c>
      <c r="R184" t="n">
        <v>29.9186</v>
      </c>
      <c r="S184" t="n">
        <v>35.4062</v>
      </c>
      <c r="T184" t="n">
        <v>49.0376</v>
      </c>
      <c r="U184" t="n">
        <v>68.8931</v>
      </c>
      <c r="V184" t="n">
        <v>96.14149999999999</v>
      </c>
      <c r="W184" t="n">
        <v>141.4325</v>
      </c>
      <c r="X184" t="n">
        <v>166.104</v>
      </c>
      <c r="Y184" t="n">
        <v>300</v>
      </c>
      <c r="Z184" t="inlineStr"/>
    </row>
    <row r="185">
      <c r="A185" t="inlineStr">
        <is>
          <t>MR24</t>
        </is>
      </c>
      <c r="B185" t="inlineStr">
        <is>
          <t>Merged_Table_Assay_lito</t>
        </is>
      </c>
      <c r="C185" t="inlineStr">
        <is>
          <t>UCS_MPa</t>
        </is>
      </c>
      <c r="D185" t="inlineStr">
        <is>
          <t>MPa</t>
        </is>
      </c>
      <c r="E185" t="inlineStr">
        <is>
          <t>Lithology</t>
        </is>
      </c>
      <c r="F185" t="inlineStr">
        <is>
          <t>MG &amp; MGS</t>
        </is>
      </c>
      <c r="G185" t="inlineStr">
        <is>
          <t>sin asignar</t>
        </is>
      </c>
      <c r="H185" t="inlineStr">
        <is>
          <t>MG &amp; MGS</t>
        </is>
      </c>
      <c r="I185" t="inlineStr">
        <is>
          <t>texto Lithology compuesto</t>
        </is>
      </c>
      <c r="J185" t="inlineStr">
        <is>
          <t>Mármol (hipótesis: siglas M*) (mezcla)</t>
        </is>
      </c>
      <c r="K185" t="inlineStr">
        <is>
          <t>sin leyenda</t>
        </is>
      </c>
      <c r="L185" t="inlineStr">
        <is>
          <t>UCS por código Lithology (texto libre de la base geotécnica)</t>
        </is>
      </c>
      <c r="M185" t="n">
        <v>1</v>
      </c>
      <c r="N185" t="n">
        <v>179.695</v>
      </c>
      <c r="O185" t="inlineStr"/>
      <c r="P185" t="inlineStr"/>
      <c r="Q185" t="n">
        <v>179.695</v>
      </c>
      <c r="R185" t="n">
        <v>179.695</v>
      </c>
      <c r="S185" t="n">
        <v>179.695</v>
      </c>
      <c r="T185" t="n">
        <v>179.695</v>
      </c>
      <c r="U185" t="n">
        <v>179.695</v>
      </c>
      <c r="V185" t="n">
        <v>179.695</v>
      </c>
      <c r="W185" t="n">
        <v>179.695</v>
      </c>
      <c r="X185" t="n">
        <v>179.695</v>
      </c>
      <c r="Y185" t="n">
        <v>179.695</v>
      </c>
      <c r="Z185" t="inlineStr"/>
    </row>
    <row r="186">
      <c r="A186" t="inlineStr">
        <is>
          <t>MR24</t>
        </is>
      </c>
      <c r="B186" t="inlineStr">
        <is>
          <t>Merged_Table_Assay_lito</t>
        </is>
      </c>
      <c r="C186" t="inlineStr">
        <is>
          <t>UCS_MPa</t>
        </is>
      </c>
      <c r="D186" t="inlineStr">
        <is>
          <t>MPa</t>
        </is>
      </c>
      <c r="E186" t="inlineStr">
        <is>
          <t>Lithology</t>
        </is>
      </c>
      <c r="F186" t="inlineStr">
        <is>
          <t>MG/MC</t>
        </is>
      </c>
      <c r="G186" t="inlineStr">
        <is>
          <t>sin asignar</t>
        </is>
      </c>
      <c r="H186" t="inlineStr">
        <is>
          <t>MG/MC</t>
        </is>
      </c>
      <c r="I186" t="inlineStr">
        <is>
          <t>texto Lithology compuesto</t>
        </is>
      </c>
      <c r="J186" t="inlineStr">
        <is>
          <t>Mármol (hipótesis: siglas M*) (mezcla)</t>
        </is>
      </c>
      <c r="K186" t="inlineStr">
        <is>
          <t>sin leyenda</t>
        </is>
      </c>
      <c r="L186" t="inlineStr">
        <is>
          <t>UCS por código Lithology (texto libre de la base geotécnica)</t>
        </is>
      </c>
      <c r="M186" t="n">
        <v>3</v>
      </c>
      <c r="N186" t="n">
        <v>37.9667</v>
      </c>
      <c r="O186" t="n">
        <v>22.5965</v>
      </c>
      <c r="P186" t="n">
        <v>0.5952</v>
      </c>
      <c r="Q186" t="n">
        <v>19.6</v>
      </c>
      <c r="R186" t="n">
        <v>20.75</v>
      </c>
      <c r="S186" t="n">
        <v>21.9</v>
      </c>
      <c r="T186" t="n">
        <v>25.35</v>
      </c>
      <c r="U186" t="n">
        <v>31.1</v>
      </c>
      <c r="V186" t="n">
        <v>47.15</v>
      </c>
      <c r="W186" t="n">
        <v>56.78</v>
      </c>
      <c r="X186" t="n">
        <v>59.99</v>
      </c>
      <c r="Y186" t="n">
        <v>63.2</v>
      </c>
      <c r="Z186" t="inlineStr"/>
    </row>
    <row r="187">
      <c r="A187" t="inlineStr">
        <is>
          <t>MR24</t>
        </is>
      </c>
      <c r="B187" t="inlineStr">
        <is>
          <t>Merged_Table_Assay_lito</t>
        </is>
      </c>
      <c r="C187" t="inlineStr">
        <is>
          <t>UCS_MPa</t>
        </is>
      </c>
      <c r="D187" t="inlineStr">
        <is>
          <t>MPa</t>
        </is>
      </c>
      <c r="E187" t="inlineStr">
        <is>
          <t>Lithology</t>
        </is>
      </c>
      <c r="F187" t="inlineStr">
        <is>
          <t>MGCB</t>
        </is>
      </c>
      <c r="G187" t="inlineStr">
        <is>
          <t>sin asignar</t>
        </is>
      </c>
      <c r="H187" t="inlineStr">
        <is>
          <t>MGCB</t>
        </is>
      </c>
      <c r="I187" t="inlineStr">
        <is>
          <t>texto Lithology sin equivalente ROCKCODE</t>
        </is>
      </c>
      <c r="J187" t="inlineStr">
        <is>
          <t>sin hipótesis</t>
        </is>
      </c>
      <c r="K187" t="inlineStr">
        <is>
          <t>sin leyenda</t>
        </is>
      </c>
      <c r="L187" t="inlineStr">
        <is>
          <t>UCS por código Lithology (texto libre de la base geotécnica)</t>
        </is>
      </c>
      <c r="M187" t="n">
        <v>3</v>
      </c>
      <c r="N187" t="n">
        <v>30.97</v>
      </c>
      <c r="O187" t="n">
        <v>8.074400000000001</v>
      </c>
      <c r="P187" t="n">
        <v>0.2607</v>
      </c>
      <c r="Q187" t="n">
        <v>22.68</v>
      </c>
      <c r="R187" t="n">
        <v>23.554</v>
      </c>
      <c r="S187" t="n">
        <v>24.428</v>
      </c>
      <c r="T187" t="n">
        <v>27.05</v>
      </c>
      <c r="U187" t="n">
        <v>31.42</v>
      </c>
      <c r="V187" t="n">
        <v>35.115</v>
      </c>
      <c r="W187" t="n">
        <v>37.332</v>
      </c>
      <c r="X187" t="n">
        <v>38.071</v>
      </c>
      <c r="Y187" t="n">
        <v>38.81</v>
      </c>
      <c r="Z187" t="inlineStr"/>
    </row>
    <row r="188">
      <c r="A188" t="inlineStr">
        <is>
          <t>MR24</t>
        </is>
      </c>
      <c r="B188" t="inlineStr">
        <is>
          <t>Merged_Table_Assay_lito</t>
        </is>
      </c>
      <c r="C188" t="inlineStr">
        <is>
          <t>UCS_MPa</t>
        </is>
      </c>
      <c r="D188" t="inlineStr">
        <is>
          <t>MPa</t>
        </is>
      </c>
      <c r="E188" t="inlineStr">
        <is>
          <t>Lithology</t>
        </is>
      </c>
      <c r="F188" t="inlineStr">
        <is>
          <t>MGS</t>
        </is>
      </c>
      <c r="G188" t="inlineStr">
        <is>
          <t>sin asignar</t>
        </is>
      </c>
      <c r="H188" t="inlineStr">
        <is>
          <t>MGS</t>
        </is>
      </c>
      <c r="I188" t="inlineStr">
        <is>
          <t>ROCKCODE agrupado en ROCKCODE_NUMEQ=16; sigla sin leyenda</t>
        </is>
      </c>
      <c r="J188" t="inlineStr">
        <is>
          <t>Mármol (hipótesis: siglas M*)</t>
        </is>
      </c>
      <c r="K188" t="inlineStr">
        <is>
          <t>Metamorfico</t>
        </is>
      </c>
      <c r="L188" t="inlineStr">
        <is>
          <t>UCS por código Lithology (texto libre de la base geotécnica)</t>
        </is>
      </c>
      <c r="M188" t="n">
        <v>696</v>
      </c>
      <c r="N188" t="n">
        <v>84.6503</v>
      </c>
      <c r="O188" t="n">
        <v>39.2248</v>
      </c>
      <c r="P188" t="n">
        <v>0.4634</v>
      </c>
      <c r="Q188" t="n">
        <v>19.2</v>
      </c>
      <c r="R188" t="n">
        <v>30.2525</v>
      </c>
      <c r="S188" t="n">
        <v>37.0405</v>
      </c>
      <c r="T188" t="n">
        <v>53.2496</v>
      </c>
      <c r="U188" t="n">
        <v>79.5685</v>
      </c>
      <c r="V188" t="n">
        <v>110.1342</v>
      </c>
      <c r="W188" t="n">
        <v>138.462</v>
      </c>
      <c r="X188" t="n">
        <v>152.7405</v>
      </c>
      <c r="Y188" t="n">
        <v>288.626</v>
      </c>
      <c r="Z188" t="inlineStr"/>
    </row>
    <row r="189">
      <c r="A189" t="inlineStr">
        <is>
          <t>MR24</t>
        </is>
      </c>
      <c r="B189" t="inlineStr">
        <is>
          <t>Merged_Table_Assay_lito</t>
        </is>
      </c>
      <c r="C189" t="inlineStr">
        <is>
          <t>UCS_MPa</t>
        </is>
      </c>
      <c r="D189" t="inlineStr">
        <is>
          <t>MPa</t>
        </is>
      </c>
      <c r="E189" t="inlineStr">
        <is>
          <t>Lithology</t>
        </is>
      </c>
      <c r="F189" t="inlineStr">
        <is>
          <t>MGS/MC</t>
        </is>
      </c>
      <c r="G189" t="inlineStr">
        <is>
          <t>sin asignar</t>
        </is>
      </c>
      <c r="H189" t="inlineStr">
        <is>
          <t>MGS/MC</t>
        </is>
      </c>
      <c r="I189" t="inlineStr">
        <is>
          <t>texto Lithology compuesto</t>
        </is>
      </c>
      <c r="J189" t="inlineStr">
        <is>
          <t>Mármol (hipótesis: siglas M*) (mezcla)</t>
        </is>
      </c>
      <c r="K189" t="inlineStr">
        <is>
          <t>sin leyenda</t>
        </is>
      </c>
      <c r="L189" t="inlineStr">
        <is>
          <t>UCS por código Lithology (texto libre de la base geotécnica)</t>
        </is>
      </c>
      <c r="M189" t="n">
        <v>3</v>
      </c>
      <c r="N189" t="n">
        <v>47.4667</v>
      </c>
      <c r="O189" t="n">
        <v>6.5363</v>
      </c>
      <c r="P189" t="n">
        <v>0.1377</v>
      </c>
      <c r="Q189" t="n">
        <v>40.3</v>
      </c>
      <c r="R189" t="n">
        <v>41.17</v>
      </c>
      <c r="S189" t="n">
        <v>42.04</v>
      </c>
      <c r="T189" t="n">
        <v>44.65</v>
      </c>
      <c r="U189" t="n">
        <v>49</v>
      </c>
      <c r="V189" t="n">
        <v>51.05</v>
      </c>
      <c r="W189" t="n">
        <v>52.28</v>
      </c>
      <c r="X189" t="n">
        <v>52.69</v>
      </c>
      <c r="Y189" t="n">
        <v>53.1</v>
      </c>
      <c r="Z189" t="inlineStr"/>
    </row>
    <row r="190">
      <c r="A190" t="inlineStr">
        <is>
          <t>MR24</t>
        </is>
      </c>
      <c r="B190" t="inlineStr">
        <is>
          <t>Merged_Table_Assay_lito</t>
        </is>
      </c>
      <c r="C190" t="inlineStr">
        <is>
          <t>UCS_MPa</t>
        </is>
      </c>
      <c r="D190" t="inlineStr">
        <is>
          <t>MPa</t>
        </is>
      </c>
      <c r="E190" t="inlineStr">
        <is>
          <t>Lithology</t>
        </is>
      </c>
      <c r="F190" t="inlineStr">
        <is>
          <t>MPA</t>
        </is>
      </c>
      <c r="G190" t="inlineStr">
        <is>
          <t>sin asignar</t>
        </is>
      </c>
      <c r="H190" t="inlineStr">
        <is>
          <t>MPA</t>
        </is>
      </c>
      <c r="I190" t="inlineStr">
        <is>
          <t>ROCKCODE agrupado en ROCKCODE_NUMEQ=16; sigla sin leyenda</t>
        </is>
      </c>
      <c r="J190" t="inlineStr">
        <is>
          <t>Mármol (hipótesis: siglas M*)</t>
        </is>
      </c>
      <c r="K190" t="inlineStr">
        <is>
          <t>Metamorfico</t>
        </is>
      </c>
      <c r="L190" t="inlineStr">
        <is>
          <t>UCS por código Lithology (texto libre de la base geotécnica)</t>
        </is>
      </c>
      <c r="M190" t="n">
        <v>925</v>
      </c>
      <c r="N190" t="n">
        <v>95.5492</v>
      </c>
      <c r="O190" t="n">
        <v>44.4665</v>
      </c>
      <c r="P190" t="n">
        <v>0.4654</v>
      </c>
      <c r="Q190" t="n">
        <v>19.83</v>
      </c>
      <c r="R190" t="n">
        <v>31.911</v>
      </c>
      <c r="S190" t="n">
        <v>43.6044</v>
      </c>
      <c r="T190" t="n">
        <v>62.9021</v>
      </c>
      <c r="U190" t="n">
        <v>90.2893</v>
      </c>
      <c r="V190" t="n">
        <v>121.013</v>
      </c>
      <c r="W190" t="n">
        <v>151.3146</v>
      </c>
      <c r="X190" t="n">
        <v>177.0178</v>
      </c>
      <c r="Y190" t="n">
        <v>300</v>
      </c>
      <c r="Z190" t="inlineStr"/>
    </row>
    <row r="191">
      <c r="A191" t="inlineStr">
        <is>
          <t>MR24</t>
        </is>
      </c>
      <c r="B191" t="inlineStr">
        <is>
          <t>Merged_Table_Assay_lito</t>
        </is>
      </c>
      <c r="C191" t="inlineStr">
        <is>
          <t>UCS_MPa</t>
        </is>
      </c>
      <c r="D191" t="inlineStr">
        <is>
          <t>MPa</t>
        </is>
      </c>
      <c r="E191" t="inlineStr">
        <is>
          <t>Lithology</t>
        </is>
      </c>
      <c r="F191" t="inlineStr">
        <is>
          <t>MPA &amp; XGVDP</t>
        </is>
      </c>
      <c r="G191" t="inlineStr">
        <is>
          <t>sin asignar</t>
        </is>
      </c>
      <c r="H191" t="inlineStr">
        <is>
          <t>MPA &amp; XGVDP</t>
        </is>
      </c>
      <c r="I191" t="inlineStr">
        <is>
          <t>texto Lithology compuesto</t>
        </is>
      </c>
      <c r="J191" t="inlineStr">
        <is>
          <t>Mármol (hipótesis: siglas M*) (mezcla)</t>
        </is>
      </c>
      <c r="K191" t="inlineStr">
        <is>
          <t>sin leyenda</t>
        </is>
      </c>
      <c r="L191" t="inlineStr">
        <is>
          <t>UCS por código Lithology (texto libre de la base geotécnica)</t>
        </is>
      </c>
      <c r="M191" t="n">
        <v>3</v>
      </c>
      <c r="N191" t="n">
        <v>103.2333</v>
      </c>
      <c r="O191" t="n">
        <v>4.5611</v>
      </c>
      <c r="P191" t="n">
        <v>0.0442</v>
      </c>
      <c r="Q191" t="n">
        <v>100.6</v>
      </c>
      <c r="R191" t="n">
        <v>100.6</v>
      </c>
      <c r="S191" t="n">
        <v>100.6</v>
      </c>
      <c r="T191" t="n">
        <v>100.6</v>
      </c>
      <c r="U191" t="n">
        <v>100.6</v>
      </c>
      <c r="V191" t="n">
        <v>104.55</v>
      </c>
      <c r="W191" t="n">
        <v>106.92</v>
      </c>
      <c r="X191" t="n">
        <v>107.71</v>
      </c>
      <c r="Y191" t="n">
        <v>108.5</v>
      </c>
      <c r="Z191" t="inlineStr"/>
    </row>
    <row r="192">
      <c r="A192" t="inlineStr">
        <is>
          <t>MR24</t>
        </is>
      </c>
      <c r="B192" t="inlineStr">
        <is>
          <t>Merged_Table_Assay_lito</t>
        </is>
      </c>
      <c r="C192" t="inlineStr">
        <is>
          <t>UCS_MPa</t>
        </is>
      </c>
      <c r="D192" t="inlineStr">
        <is>
          <t>MPa</t>
        </is>
      </c>
      <c r="E192" t="inlineStr">
        <is>
          <t>Lithology</t>
        </is>
      </c>
      <c r="F192" t="inlineStr">
        <is>
          <t>Marble</t>
        </is>
      </c>
      <c r="G192" t="inlineStr">
        <is>
          <t>Mármol</t>
        </is>
      </c>
      <c r="H192" t="inlineStr">
        <is>
          <t>Marble</t>
        </is>
      </c>
      <c r="I192" t="inlineStr">
        <is>
          <t>texto Lithology explícito</t>
        </is>
      </c>
      <c r="J192" t="inlineStr">
        <is>
          <t>Mármol</t>
        </is>
      </c>
      <c r="K192" t="inlineStr">
        <is>
          <t>sin leyenda</t>
        </is>
      </c>
      <c r="L192" t="inlineStr">
        <is>
          <t>UCS por código Lithology (texto libre de la base geotécnica)</t>
        </is>
      </c>
      <c r="M192" t="n">
        <v>4</v>
      </c>
      <c r="N192" t="n">
        <v>65.5025</v>
      </c>
      <c r="O192" t="n">
        <v>16.9444</v>
      </c>
      <c r="P192" t="n">
        <v>0.2587</v>
      </c>
      <c r="Q192" t="n">
        <v>44.27</v>
      </c>
      <c r="R192" t="n">
        <v>46.55</v>
      </c>
      <c r="S192" t="n">
        <v>48.83</v>
      </c>
      <c r="T192" t="n">
        <v>55.67</v>
      </c>
      <c r="U192" t="n">
        <v>68.75</v>
      </c>
      <c r="V192" t="n">
        <v>78.5825</v>
      </c>
      <c r="W192" t="n">
        <v>79.577</v>
      </c>
      <c r="X192" t="n">
        <v>79.9085</v>
      </c>
      <c r="Y192" t="n">
        <v>80.23999999999999</v>
      </c>
      <c r="Z192" t="inlineStr"/>
    </row>
    <row r="193">
      <c r="A193" t="inlineStr">
        <is>
          <t>MR24</t>
        </is>
      </c>
      <c r="B193" t="inlineStr">
        <is>
          <t>Merged_Table_Assay_lito</t>
        </is>
      </c>
      <c r="C193" t="inlineStr">
        <is>
          <t>UCS_MPa</t>
        </is>
      </c>
      <c r="D193" t="inlineStr">
        <is>
          <t>MPa</t>
        </is>
      </c>
      <c r="E193" t="inlineStr">
        <is>
          <t>Lithology</t>
        </is>
      </c>
      <c r="F193" t="inlineStr">
        <is>
          <t>NC</t>
        </is>
      </c>
      <c r="G193" t="inlineStr">
        <is>
          <t>sin asignar</t>
        </is>
      </c>
      <c r="H193" t="inlineStr">
        <is>
          <t>NC</t>
        </is>
      </c>
      <c r="I193" t="inlineStr">
        <is>
          <t>texto Lithology sin equivalente ROCKCODE</t>
        </is>
      </c>
      <c r="J193" t="inlineStr">
        <is>
          <t>sin hipótesis</t>
        </is>
      </c>
      <c r="K193" t="inlineStr">
        <is>
          <t>sin leyenda</t>
        </is>
      </c>
      <c r="L193" t="inlineStr">
        <is>
          <t>UCS por código Lithology (texto libre de la base geotécnica)</t>
        </is>
      </c>
      <c r="M193" t="n">
        <v>1</v>
      </c>
      <c r="N193" t="n">
        <v>78.9234</v>
      </c>
      <c r="O193" t="inlineStr"/>
      <c r="P193" t="inlineStr"/>
      <c r="Q193" t="n">
        <v>78.9234</v>
      </c>
      <c r="R193" t="n">
        <v>78.9234</v>
      </c>
      <c r="S193" t="n">
        <v>78.9234</v>
      </c>
      <c r="T193" t="n">
        <v>78.9234</v>
      </c>
      <c r="U193" t="n">
        <v>78.9234</v>
      </c>
      <c r="V193" t="n">
        <v>78.9234</v>
      </c>
      <c r="W193" t="n">
        <v>78.9234</v>
      </c>
      <c r="X193" t="n">
        <v>78.9234</v>
      </c>
      <c r="Y193" t="n">
        <v>78.9234</v>
      </c>
      <c r="Z193" t="inlineStr"/>
    </row>
    <row r="194">
      <c r="A194" t="inlineStr">
        <is>
          <t>MR24</t>
        </is>
      </c>
      <c r="B194" t="inlineStr">
        <is>
          <t>Merged_Table_Assay_lito</t>
        </is>
      </c>
      <c r="C194" t="inlineStr">
        <is>
          <t>UCS_MPa</t>
        </is>
      </c>
      <c r="D194" t="inlineStr">
        <is>
          <t>MPa</t>
        </is>
      </c>
      <c r="E194" t="inlineStr">
        <is>
          <t>Lithology</t>
        </is>
      </c>
      <c r="F194" t="inlineStr">
        <is>
          <t>NG</t>
        </is>
      </c>
      <c r="G194" t="inlineStr">
        <is>
          <t>sin asignar</t>
        </is>
      </c>
      <c r="H194" t="inlineStr">
        <is>
          <t>NG</t>
        </is>
      </c>
      <c r="I194" t="inlineStr">
        <is>
          <t>texto Lithology sin equivalente ROCKCODE</t>
        </is>
      </c>
      <c r="J194" t="inlineStr">
        <is>
          <t>sin hipótesis</t>
        </is>
      </c>
      <c r="K194" t="inlineStr">
        <is>
          <t>sin leyenda</t>
        </is>
      </c>
      <c r="L194" t="inlineStr">
        <is>
          <t>UCS por código Lithology (texto libre de la base geotécnica)</t>
        </is>
      </c>
      <c r="M194" t="n">
        <v>2</v>
      </c>
      <c r="N194" t="n">
        <v>142.44</v>
      </c>
      <c r="O194" t="n">
        <v>0</v>
      </c>
      <c r="P194" t="n">
        <v>0</v>
      </c>
      <c r="Q194" t="n">
        <v>142.44</v>
      </c>
      <c r="R194" t="n">
        <v>142.44</v>
      </c>
      <c r="S194" t="n">
        <v>142.44</v>
      </c>
      <c r="T194" t="n">
        <v>142.44</v>
      </c>
      <c r="U194" t="n">
        <v>142.44</v>
      </c>
      <c r="V194" t="n">
        <v>142.44</v>
      </c>
      <c r="W194" t="n">
        <v>142.44</v>
      </c>
      <c r="X194" t="n">
        <v>142.44</v>
      </c>
      <c r="Y194" t="n">
        <v>142.44</v>
      </c>
      <c r="Z194" t="inlineStr"/>
    </row>
    <row r="195">
      <c r="A195" t="inlineStr">
        <is>
          <t>MR24</t>
        </is>
      </c>
      <c r="B195" t="inlineStr">
        <is>
          <t>Merged_Table_Assay_lito</t>
        </is>
      </c>
      <c r="C195" t="inlineStr">
        <is>
          <t>UCS_MPa</t>
        </is>
      </c>
      <c r="D195" t="inlineStr">
        <is>
          <t>MPa</t>
        </is>
      </c>
      <c r="E195" t="inlineStr">
        <is>
          <t>Lithology</t>
        </is>
      </c>
      <c r="F195" t="inlineStr">
        <is>
          <t>NGR3</t>
        </is>
      </c>
      <c r="G195" t="inlineStr">
        <is>
          <t>sin asignar</t>
        </is>
      </c>
      <c r="H195" t="inlineStr">
        <is>
          <t>NGR3</t>
        </is>
      </c>
      <c r="I195" t="inlineStr">
        <is>
          <t>texto Lithology sin equivalente ROCKCODE</t>
        </is>
      </c>
      <c r="J195" t="inlineStr">
        <is>
          <t>sin hipótesis</t>
        </is>
      </c>
      <c r="K195" t="inlineStr">
        <is>
          <t>sin leyenda</t>
        </is>
      </c>
      <c r="L195" t="inlineStr">
        <is>
          <t>UCS por código Lithology (texto libre de la base geotécnica)</t>
        </is>
      </c>
      <c r="M195" t="n">
        <v>2</v>
      </c>
      <c r="N195" t="n">
        <v>69.925</v>
      </c>
      <c r="O195" t="n">
        <v>5.8619</v>
      </c>
      <c r="P195" t="n">
        <v>0.0838</v>
      </c>
      <c r="Q195" t="n">
        <v>65.78</v>
      </c>
      <c r="R195" t="n">
        <v>66.19450000000001</v>
      </c>
      <c r="S195" t="n">
        <v>66.60899999999999</v>
      </c>
      <c r="T195" t="n">
        <v>67.85250000000001</v>
      </c>
      <c r="U195" t="n">
        <v>69.925</v>
      </c>
      <c r="V195" t="n">
        <v>71.9975</v>
      </c>
      <c r="W195" t="n">
        <v>73.241</v>
      </c>
      <c r="X195" t="n">
        <v>73.6555</v>
      </c>
      <c r="Y195" t="n">
        <v>74.06999999999999</v>
      </c>
      <c r="Z195" t="inlineStr"/>
    </row>
    <row r="196">
      <c r="A196" t="inlineStr">
        <is>
          <t>MR24</t>
        </is>
      </c>
      <c r="B196" t="inlineStr">
        <is>
          <t>Merged_Table_Assay_lito</t>
        </is>
      </c>
      <c r="C196" t="inlineStr">
        <is>
          <t>UCS_MPa</t>
        </is>
      </c>
      <c r="D196" t="inlineStr">
        <is>
          <t>MPa</t>
        </is>
      </c>
      <c r="E196" t="inlineStr">
        <is>
          <t>Lithology</t>
        </is>
      </c>
      <c r="F196" t="inlineStr">
        <is>
          <t>NGRD</t>
        </is>
      </c>
      <c r="G196" t="inlineStr">
        <is>
          <t>sin asignar</t>
        </is>
      </c>
      <c r="H196" t="inlineStr">
        <is>
          <t>NGRD</t>
        </is>
      </c>
      <c r="I196" t="inlineStr">
        <is>
          <t>texto Lithology sin equivalente ROCKCODE</t>
        </is>
      </c>
      <c r="J196" t="inlineStr">
        <is>
          <t>sin hipótesis</t>
        </is>
      </c>
      <c r="K196" t="inlineStr">
        <is>
          <t>sin leyenda</t>
        </is>
      </c>
      <c r="L196" t="inlineStr">
        <is>
          <t>UCS por código Lithology (texto libre de la base geotécnica)</t>
        </is>
      </c>
      <c r="M196" t="n">
        <v>2</v>
      </c>
      <c r="N196" t="n">
        <v>37.4071</v>
      </c>
      <c r="O196" t="n">
        <v>14.1946</v>
      </c>
      <c r="P196" t="n">
        <v>0.3795</v>
      </c>
      <c r="Q196" t="n">
        <v>27.37</v>
      </c>
      <c r="R196" t="n">
        <v>28.3737</v>
      </c>
      <c r="S196" t="n">
        <v>29.3774</v>
      </c>
      <c r="T196" t="n">
        <v>32.3886</v>
      </c>
      <c r="U196" t="n">
        <v>37.4071</v>
      </c>
      <c r="V196" t="n">
        <v>42.4257</v>
      </c>
      <c r="W196" t="n">
        <v>45.4368</v>
      </c>
      <c r="X196" t="n">
        <v>46.4405</v>
      </c>
      <c r="Y196" t="n">
        <v>47.4442</v>
      </c>
      <c r="Z196" t="inlineStr"/>
    </row>
    <row r="197">
      <c r="A197" t="inlineStr">
        <is>
          <t>MR24</t>
        </is>
      </c>
      <c r="B197" t="inlineStr">
        <is>
          <t>Merged_Table_Assay_lito</t>
        </is>
      </c>
      <c r="C197" t="inlineStr">
        <is>
          <t>UCS_MPa</t>
        </is>
      </c>
      <c r="D197" t="inlineStr">
        <is>
          <t>MPa</t>
        </is>
      </c>
      <c r="E197" t="inlineStr">
        <is>
          <t>Lithology</t>
        </is>
      </c>
      <c r="F197" t="inlineStr">
        <is>
          <t>NGRDW</t>
        </is>
      </c>
      <c r="G197" t="inlineStr">
        <is>
          <t>sin asignar</t>
        </is>
      </c>
      <c r="H197" t="inlineStr">
        <is>
          <t>NGRDW</t>
        </is>
      </c>
      <c r="I197" t="inlineStr">
        <is>
          <t>texto Lithology sin equivalente ROCKCODE</t>
        </is>
      </c>
      <c r="J197" t="inlineStr">
        <is>
          <t>sin hipótesis</t>
        </is>
      </c>
      <c r="K197" t="inlineStr">
        <is>
          <t>sin leyenda</t>
        </is>
      </c>
      <c r="L197" t="inlineStr">
        <is>
          <t>UCS por código Lithology (texto libre de la base geotécnica)</t>
        </is>
      </c>
      <c r="M197" t="n">
        <v>4</v>
      </c>
      <c r="N197" t="n">
        <v>18.005</v>
      </c>
      <c r="O197" t="n">
        <v>10.2713</v>
      </c>
      <c r="P197" t="n">
        <v>0.5705</v>
      </c>
      <c r="Q197" t="n">
        <v>9.800000000000001</v>
      </c>
      <c r="R197" t="n">
        <v>10.31</v>
      </c>
      <c r="S197" t="n">
        <v>10.82</v>
      </c>
      <c r="T197" t="n">
        <v>12.35</v>
      </c>
      <c r="U197" t="n">
        <v>14.65</v>
      </c>
      <c r="V197" t="n">
        <v>20.305</v>
      </c>
      <c r="W197" t="n">
        <v>27.874</v>
      </c>
      <c r="X197" t="n">
        <v>30.397</v>
      </c>
      <c r="Y197" t="n">
        <v>32.92</v>
      </c>
      <c r="Z197" t="inlineStr"/>
    </row>
    <row r="198">
      <c r="A198" t="inlineStr">
        <is>
          <t>MR24</t>
        </is>
      </c>
      <c r="B198" t="inlineStr">
        <is>
          <t>Merged_Table_Assay_lito</t>
        </is>
      </c>
      <c r="C198" t="inlineStr">
        <is>
          <t>UCS_MPa</t>
        </is>
      </c>
      <c r="D198" t="inlineStr">
        <is>
          <t>MPa</t>
        </is>
      </c>
      <c r="E198" t="inlineStr">
        <is>
          <t>Lithology</t>
        </is>
      </c>
      <c r="F198" t="inlineStr">
        <is>
          <t>NPL</t>
        </is>
      </c>
      <c r="G198" t="inlineStr">
        <is>
          <t>sin asignar</t>
        </is>
      </c>
      <c r="H198" t="inlineStr">
        <is>
          <t>NPL</t>
        </is>
      </c>
      <c r="I198" t="inlineStr">
        <is>
          <t>texto Lithology sin equivalente ROCKCODE</t>
        </is>
      </c>
      <c r="J198" t="inlineStr">
        <is>
          <t>sin hipótesis</t>
        </is>
      </c>
      <c r="K198" t="inlineStr">
        <is>
          <t>sin leyenda</t>
        </is>
      </c>
      <c r="L198" t="inlineStr">
        <is>
          <t>UCS por código Lithology (texto libre de la base geotécnica)</t>
        </is>
      </c>
      <c r="M198" t="n">
        <v>5</v>
      </c>
      <c r="N198" t="n">
        <v>75.16500000000001</v>
      </c>
      <c r="O198" t="n">
        <v>41.4724</v>
      </c>
      <c r="P198" t="n">
        <v>0.5518</v>
      </c>
      <c r="Q198" t="n">
        <v>35.1125</v>
      </c>
      <c r="R198" t="n">
        <v>35.1125</v>
      </c>
      <c r="S198" t="n">
        <v>35.1125</v>
      </c>
      <c r="T198" t="n">
        <v>35.1125</v>
      </c>
      <c r="U198" t="n">
        <v>71.7</v>
      </c>
      <c r="V198" t="n">
        <v>107.8</v>
      </c>
      <c r="W198" t="n">
        <v>118.78</v>
      </c>
      <c r="X198" t="n">
        <v>122.44</v>
      </c>
      <c r="Y198" t="n">
        <v>126.1</v>
      </c>
      <c r="Z198" t="inlineStr"/>
    </row>
    <row r="199">
      <c r="A199" t="inlineStr">
        <is>
          <t>MR24</t>
        </is>
      </c>
      <c r="B199" t="inlineStr">
        <is>
          <t>Merged_Table_Assay_lito</t>
        </is>
      </c>
      <c r="C199" t="inlineStr">
        <is>
          <t>UCS_MPa</t>
        </is>
      </c>
      <c r="D199" t="inlineStr">
        <is>
          <t>MPa</t>
        </is>
      </c>
      <c r="E199" t="inlineStr">
        <is>
          <t>Lithology</t>
        </is>
      </c>
      <c r="F199" t="inlineStr">
        <is>
          <t>XBV</t>
        </is>
      </c>
      <c r="G199" t="inlineStr">
        <is>
          <t>sin asignar</t>
        </is>
      </c>
      <c r="H199" t="inlineStr">
        <is>
          <t>XBV</t>
        </is>
      </c>
      <c r="I199" t="inlineStr">
        <is>
          <t>texto Lithology sin equivalente ROCKCODE</t>
        </is>
      </c>
      <c r="J199" t="inlineStr">
        <is>
          <t>sin hipótesis</t>
        </is>
      </c>
      <c r="K199" t="inlineStr">
        <is>
          <t>sin leyenda</t>
        </is>
      </c>
      <c r="L199" t="inlineStr">
        <is>
          <t>UCS por código Lithology (texto libre de la base geotécnica)</t>
        </is>
      </c>
      <c r="M199" t="n">
        <v>1</v>
      </c>
      <c r="N199" t="n">
        <v>251.444</v>
      </c>
      <c r="O199" t="inlineStr"/>
      <c r="P199" t="inlineStr"/>
      <c r="Q199" t="n">
        <v>251.444</v>
      </c>
      <c r="R199" t="n">
        <v>251.444</v>
      </c>
      <c r="S199" t="n">
        <v>251.444</v>
      </c>
      <c r="T199" t="n">
        <v>251.444</v>
      </c>
      <c r="U199" t="n">
        <v>251.444</v>
      </c>
      <c r="V199" t="n">
        <v>251.444</v>
      </c>
      <c r="W199" t="n">
        <v>251.444</v>
      </c>
      <c r="X199" t="n">
        <v>251.444</v>
      </c>
      <c r="Y199" t="n">
        <v>251.444</v>
      </c>
      <c r="Z199" t="inlineStr"/>
    </row>
    <row r="200">
      <c r="A200" t="inlineStr">
        <is>
          <t>MR24</t>
        </is>
      </c>
      <c r="B200" t="inlineStr">
        <is>
          <t>Merged_Table_Assay_lito</t>
        </is>
      </c>
      <c r="C200" t="inlineStr">
        <is>
          <t>UCS_MPa</t>
        </is>
      </c>
      <c r="D200" t="inlineStr">
        <is>
          <t>MPa</t>
        </is>
      </c>
      <c r="E200" t="inlineStr">
        <is>
          <t>Lithology</t>
        </is>
      </c>
      <c r="F200" t="inlineStr">
        <is>
          <t>XGRD</t>
        </is>
      </c>
      <c r="G200" t="inlineStr">
        <is>
          <t>sin asignar</t>
        </is>
      </c>
      <c r="H200" t="inlineStr">
        <is>
          <t>XGRD</t>
        </is>
      </c>
      <c r="I200" t="inlineStr">
        <is>
          <t>texto Lithology sin equivalente ROCKCODE</t>
        </is>
      </c>
      <c r="J200" t="inlineStr">
        <is>
          <t>sin hipótesis</t>
        </is>
      </c>
      <c r="K200" t="inlineStr">
        <is>
          <t>sin leyenda</t>
        </is>
      </c>
      <c r="L200" t="inlineStr">
        <is>
          <t>UCS por código Lithology (texto libre de la base geotécnica)</t>
        </is>
      </c>
      <c r="M200" t="n">
        <v>2</v>
      </c>
      <c r="N200" t="n">
        <v>289.9</v>
      </c>
      <c r="O200" t="n">
        <v>0</v>
      </c>
      <c r="P200" t="n">
        <v>0</v>
      </c>
      <c r="Q200" t="n">
        <v>289.9</v>
      </c>
      <c r="R200" t="n">
        <v>289.9</v>
      </c>
      <c r="S200" t="n">
        <v>289.9</v>
      </c>
      <c r="T200" t="n">
        <v>289.9</v>
      </c>
      <c r="U200" t="n">
        <v>289.9</v>
      </c>
      <c r="V200" t="n">
        <v>289.9</v>
      </c>
      <c r="W200" t="n">
        <v>289.9</v>
      </c>
      <c r="X200" t="n">
        <v>289.9</v>
      </c>
      <c r="Y200" t="n">
        <v>289.9</v>
      </c>
      <c r="Z200" t="inlineStr"/>
    </row>
    <row r="201">
      <c r="A201" t="inlineStr">
        <is>
          <t>MR24</t>
        </is>
      </c>
      <c r="B201" t="inlineStr">
        <is>
          <t>Merged_Table_Assay_lito</t>
        </is>
      </c>
      <c r="C201" t="inlineStr">
        <is>
          <t>UCS_MPa</t>
        </is>
      </c>
      <c r="D201" t="inlineStr">
        <is>
          <t>MPa</t>
        </is>
      </c>
      <c r="E201" t="inlineStr">
        <is>
          <t>Lithology</t>
        </is>
      </c>
      <c r="F201" t="inlineStr">
        <is>
          <t>XGRDP</t>
        </is>
      </c>
      <c r="G201" t="inlineStr">
        <is>
          <t>sin asignar</t>
        </is>
      </c>
      <c r="H201" t="inlineStr">
        <is>
          <t>XGRDP</t>
        </is>
      </c>
      <c r="I201" t="inlineStr">
        <is>
          <t>texto Lithology sin equivalente ROCKCODE</t>
        </is>
      </c>
      <c r="J201" t="inlineStr">
        <is>
          <t>sin hipótesis</t>
        </is>
      </c>
      <c r="K201" t="inlineStr">
        <is>
          <t>sin leyenda</t>
        </is>
      </c>
      <c r="L201" t="inlineStr">
        <is>
          <t>UCS por código Lithology (texto libre de la base geotécnica)</t>
        </is>
      </c>
      <c r="M201" t="n">
        <v>1</v>
      </c>
      <c r="N201" t="n">
        <v>148.71</v>
      </c>
      <c r="O201" t="inlineStr"/>
      <c r="P201" t="inlineStr"/>
      <c r="Q201" t="n">
        <v>148.71</v>
      </c>
      <c r="R201" t="n">
        <v>148.71</v>
      </c>
      <c r="S201" t="n">
        <v>148.71</v>
      </c>
      <c r="T201" t="n">
        <v>148.71</v>
      </c>
      <c r="U201" t="n">
        <v>148.71</v>
      </c>
      <c r="V201" t="n">
        <v>148.71</v>
      </c>
      <c r="W201" t="n">
        <v>148.71</v>
      </c>
      <c r="X201" t="n">
        <v>148.71</v>
      </c>
      <c r="Y201" t="n">
        <v>148.71</v>
      </c>
      <c r="Z201" t="inlineStr"/>
    </row>
    <row r="202">
      <c r="A202" t="inlineStr">
        <is>
          <t>MR24</t>
        </is>
      </c>
      <c r="B202" t="inlineStr">
        <is>
          <t>Merged_Table_Assay_lito</t>
        </is>
      </c>
      <c r="C202" t="inlineStr">
        <is>
          <t>UCS_MPa</t>
        </is>
      </c>
      <c r="D202" t="inlineStr">
        <is>
          <t>MPa</t>
        </is>
      </c>
      <c r="E202" t="inlineStr">
        <is>
          <t>Lithology</t>
        </is>
      </c>
      <c r="F202" t="inlineStr">
        <is>
          <t>XGRDW</t>
        </is>
      </c>
      <c r="G202" t="inlineStr">
        <is>
          <t>sin asignar</t>
        </is>
      </c>
      <c r="H202" t="inlineStr">
        <is>
          <t>XGRDW</t>
        </is>
      </c>
      <c r="I202" t="inlineStr">
        <is>
          <t>texto Lithology sin equivalente ROCKCODE</t>
        </is>
      </c>
      <c r="J202" t="inlineStr">
        <is>
          <t>sin hipótesis</t>
        </is>
      </c>
      <c r="K202" t="inlineStr">
        <is>
          <t>sin leyenda</t>
        </is>
      </c>
      <c r="L202" t="inlineStr">
        <is>
          <t>UCS por código Lithology (texto libre de la base geotécnica)</t>
        </is>
      </c>
      <c r="M202" t="n">
        <v>63</v>
      </c>
      <c r="N202" t="n">
        <v>121.5147</v>
      </c>
      <c r="O202" t="n">
        <v>46.75</v>
      </c>
      <c r="P202" t="n">
        <v>0.3847</v>
      </c>
      <c r="Q202" t="n">
        <v>46.398</v>
      </c>
      <c r="R202" t="n">
        <v>50.8045</v>
      </c>
      <c r="S202" t="n">
        <v>66.4216</v>
      </c>
      <c r="T202" t="n">
        <v>97.9853</v>
      </c>
      <c r="U202" t="n">
        <v>112.238</v>
      </c>
      <c r="V202" t="n">
        <v>152.592</v>
      </c>
      <c r="W202" t="n">
        <v>173.7426</v>
      </c>
      <c r="X202" t="n">
        <v>202.4786</v>
      </c>
      <c r="Y202" t="n">
        <v>284.362</v>
      </c>
      <c r="Z202" t="inlineStr"/>
    </row>
    <row r="203">
      <c r="A203" t="inlineStr">
        <is>
          <t>MR24</t>
        </is>
      </c>
      <c r="B203" t="inlineStr">
        <is>
          <t>Merged_Table_Assay_lito</t>
        </is>
      </c>
      <c r="C203" t="inlineStr">
        <is>
          <t>UCS_MPa</t>
        </is>
      </c>
      <c r="D203" t="inlineStr">
        <is>
          <t>MPa</t>
        </is>
      </c>
      <c r="E203" t="inlineStr">
        <is>
          <t>Lithology</t>
        </is>
      </c>
      <c r="F203" t="inlineStr">
        <is>
          <t>XGVDP</t>
        </is>
      </c>
      <c r="G203" t="inlineStr">
        <is>
          <t>sin asignar</t>
        </is>
      </c>
      <c r="H203" t="inlineStr">
        <is>
          <t>XGVDP</t>
        </is>
      </c>
      <c r="I203" t="inlineStr">
        <is>
          <t>texto Lithology sin equivalente ROCKCODE</t>
        </is>
      </c>
      <c r="J203" t="inlineStr">
        <is>
          <t>sin hipótesis</t>
        </is>
      </c>
      <c r="K203" t="inlineStr">
        <is>
          <t>sin leyenda</t>
        </is>
      </c>
      <c r="L203" t="inlineStr">
        <is>
          <t>UCS por código Lithology (texto libre de la base geotécnica)</t>
        </is>
      </c>
      <c r="M203" t="n">
        <v>7</v>
      </c>
      <c r="N203" t="n">
        <v>125.1408</v>
      </c>
      <c r="O203" t="n">
        <v>75.202</v>
      </c>
      <c r="P203" t="n">
        <v>0.6009</v>
      </c>
      <c r="Q203" t="n">
        <v>43.0311</v>
      </c>
      <c r="R203" t="n">
        <v>48.3257</v>
      </c>
      <c r="S203" t="n">
        <v>53.6203</v>
      </c>
      <c r="T203" t="n">
        <v>66.8271</v>
      </c>
      <c r="U203" t="n">
        <v>132.464</v>
      </c>
      <c r="V203" t="n">
        <v>154.2255</v>
      </c>
      <c r="W203" t="n">
        <v>207.994</v>
      </c>
      <c r="X203" t="n">
        <v>233.1895</v>
      </c>
      <c r="Y203" t="n">
        <v>258.385</v>
      </c>
      <c r="Z203" t="inlineStr"/>
    </row>
    <row r="204">
      <c r="A204" t="inlineStr">
        <is>
          <t>MR24</t>
        </is>
      </c>
      <c r="B204" t="inlineStr">
        <is>
          <t>Merged_Table_Assay_lito</t>
        </is>
      </c>
      <c r="C204" t="inlineStr">
        <is>
          <t>UCS_MPa</t>
        </is>
      </c>
      <c r="D204" t="inlineStr">
        <is>
          <t>MPa</t>
        </is>
      </c>
      <c r="E204" t="inlineStr">
        <is>
          <t>Lithology</t>
        </is>
      </c>
      <c r="F204" t="inlineStr">
        <is>
          <t>XWGCV</t>
        </is>
      </c>
      <c r="G204" t="inlineStr">
        <is>
          <t>sin asignar</t>
        </is>
      </c>
      <c r="H204" t="inlineStr">
        <is>
          <t>XWGCV</t>
        </is>
      </c>
      <c r="I204" t="inlineStr">
        <is>
          <t>texto Lithology sin equivalente ROCKCODE</t>
        </is>
      </c>
      <c r="J204" t="inlineStr">
        <is>
          <t>sin hipótesis</t>
        </is>
      </c>
      <c r="K204" t="inlineStr">
        <is>
          <t>sin leyenda</t>
        </is>
      </c>
      <c r="L204" t="inlineStr">
        <is>
          <t>UCS por código Lithology (texto libre de la base geotécnica)</t>
        </is>
      </c>
      <c r="M204" t="n">
        <v>1</v>
      </c>
      <c r="N204" t="n">
        <v>100.181</v>
      </c>
      <c r="O204" t="inlineStr"/>
      <c r="P204" t="inlineStr"/>
      <c r="Q204" t="n">
        <v>100.181</v>
      </c>
      <c r="R204" t="n">
        <v>100.181</v>
      </c>
      <c r="S204" t="n">
        <v>100.181</v>
      </c>
      <c r="T204" t="n">
        <v>100.181</v>
      </c>
      <c r="U204" t="n">
        <v>100.181</v>
      </c>
      <c r="V204" t="n">
        <v>100.181</v>
      </c>
      <c r="W204" t="n">
        <v>100.181</v>
      </c>
      <c r="X204" t="n">
        <v>100.181</v>
      </c>
      <c r="Y204" t="n">
        <v>100.181</v>
      </c>
      <c r="Z204" t="inlineStr"/>
    </row>
    <row r="205">
      <c r="A205" t="inlineStr">
        <is>
          <t>MR24</t>
        </is>
      </c>
      <c r="B205" t="inlineStr">
        <is>
          <t>Merged_Table_Assay_lito</t>
        </is>
      </c>
      <c r="C205" t="inlineStr">
        <is>
          <t>UCS_MPa</t>
        </is>
      </c>
      <c r="D205" t="inlineStr">
        <is>
          <t>MPa</t>
        </is>
      </c>
      <c r="E205" t="inlineStr">
        <is>
          <t>Lithology</t>
        </is>
      </c>
      <c r="F205" t="inlineStr">
        <is>
          <t>XWGV</t>
        </is>
      </c>
      <c r="G205" t="inlineStr">
        <is>
          <t>sin asignar</t>
        </is>
      </c>
      <c r="H205" t="inlineStr">
        <is>
          <t>XWGV</t>
        </is>
      </c>
      <c r="I205" t="inlineStr">
        <is>
          <t>texto Lithology sin equivalente ROCKCODE</t>
        </is>
      </c>
      <c r="J205" t="inlineStr">
        <is>
          <t>sin hipótesis</t>
        </is>
      </c>
      <c r="K205" t="inlineStr">
        <is>
          <t>sin leyenda</t>
        </is>
      </c>
      <c r="L205" t="inlineStr">
        <is>
          <t>UCS por código Lithology (texto libre de la base geotécnica)</t>
        </is>
      </c>
      <c r="M205" t="n">
        <v>8</v>
      </c>
      <c r="N205" t="n">
        <v>42.19</v>
      </c>
      <c r="O205" t="n">
        <v>19.2921</v>
      </c>
      <c r="P205" t="n">
        <v>0.4573</v>
      </c>
      <c r="Q205" t="n">
        <v>15.59</v>
      </c>
      <c r="R205" t="n">
        <v>15.59</v>
      </c>
      <c r="S205" t="n">
        <v>15.59</v>
      </c>
      <c r="T205" t="n">
        <v>32.3975</v>
      </c>
      <c r="U205" t="n">
        <v>41.5</v>
      </c>
      <c r="V205" t="n">
        <v>59.3875</v>
      </c>
      <c r="W205" t="n">
        <v>62.737</v>
      </c>
      <c r="X205" t="n">
        <v>63.8535</v>
      </c>
      <c r="Y205" t="n">
        <v>64.97</v>
      </c>
      <c r="Z205" t="inlineStr"/>
    </row>
    <row r="206">
      <c r="A206" t="inlineStr">
        <is>
          <t>MR24</t>
        </is>
      </c>
      <c r="B206" t="inlineStr">
        <is>
          <t>Merged_Table_Assay_lito</t>
        </is>
      </c>
      <c r="C206" t="inlineStr">
        <is>
          <t>UCS_MPa</t>
        </is>
      </c>
      <c r="D206" t="inlineStr">
        <is>
          <t>MPa</t>
        </is>
      </c>
      <c r="E206" t="inlineStr">
        <is>
          <t>Lithology</t>
        </is>
      </c>
      <c r="F206" t="inlineStr">
        <is>
          <t>XWGVC</t>
        </is>
      </c>
      <c r="G206" t="inlineStr">
        <is>
          <t>sin asignar</t>
        </is>
      </c>
      <c r="H206" t="inlineStr">
        <is>
          <t>XWGVC</t>
        </is>
      </c>
      <c r="I206" t="inlineStr">
        <is>
          <t>texto Lithology sin equivalente ROCKCODE</t>
        </is>
      </c>
      <c r="J206" t="inlineStr">
        <is>
          <t>sin hipótesis</t>
        </is>
      </c>
      <c r="K206" t="inlineStr">
        <is>
          <t>sin leyenda</t>
        </is>
      </c>
      <c r="L206" t="inlineStr">
        <is>
          <t>UCS por código Lithology (texto libre de la base geotécnica)</t>
        </is>
      </c>
      <c r="M206" t="n">
        <v>1</v>
      </c>
      <c r="N206" t="n">
        <v>138.75</v>
      </c>
      <c r="O206" t="inlineStr"/>
      <c r="P206" t="inlineStr"/>
      <c r="Q206" t="n">
        <v>138.75</v>
      </c>
      <c r="R206" t="n">
        <v>138.75</v>
      </c>
      <c r="S206" t="n">
        <v>138.75</v>
      </c>
      <c r="T206" t="n">
        <v>138.75</v>
      </c>
      <c r="U206" t="n">
        <v>138.75</v>
      </c>
      <c r="V206" t="n">
        <v>138.75</v>
      </c>
      <c r="W206" t="n">
        <v>138.75</v>
      </c>
      <c r="X206" t="n">
        <v>138.75</v>
      </c>
      <c r="Y206" t="n">
        <v>138.75</v>
      </c>
      <c r="Z206" t="inlineStr"/>
    </row>
    <row r="207">
      <c r="A207" t="inlineStr">
        <is>
          <t>MR24</t>
        </is>
      </c>
      <c r="B207" t="inlineStr">
        <is>
          <t>Merged_Table_Assay_lito</t>
        </is>
      </c>
      <c r="C207" t="inlineStr">
        <is>
          <t>UCS_MPa</t>
        </is>
      </c>
      <c r="D207" t="inlineStr">
        <is>
          <t>MPa</t>
        </is>
      </c>
      <c r="E207" t="inlineStr">
        <is>
          <t>Lithology</t>
        </is>
      </c>
      <c r="F207" t="inlineStr">
        <is>
          <t>TODOS</t>
        </is>
      </c>
      <c r="G207" t="inlineStr"/>
      <c r="H207" t="inlineStr"/>
      <c r="I207" t="inlineStr"/>
      <c r="J207" t="inlineStr"/>
      <c r="K207" t="inlineStr">
        <is>
          <t>sin leyenda</t>
        </is>
      </c>
      <c r="L207" t="inlineStr">
        <is>
          <t>UCS por código Lithology (texto libre de la base geotécnica)</t>
        </is>
      </c>
      <c r="M207" t="n">
        <v>14910</v>
      </c>
      <c r="N207" t="n">
        <v>86.8768</v>
      </c>
      <c r="O207" t="n">
        <v>47.0569</v>
      </c>
      <c r="P207" t="n">
        <v>0.5417</v>
      </c>
      <c r="Q207" t="n">
        <v>4.8</v>
      </c>
      <c r="R207" t="n">
        <v>27.7989</v>
      </c>
      <c r="S207" t="n">
        <v>35.4081</v>
      </c>
      <c r="T207" t="n">
        <v>52.2035</v>
      </c>
      <c r="U207" t="n">
        <v>78.8712</v>
      </c>
      <c r="V207" t="n">
        <v>111.111</v>
      </c>
      <c r="W207" t="n">
        <v>146.544</v>
      </c>
      <c r="X207" t="n">
        <v>174.5611</v>
      </c>
      <c r="Y207" t="n">
        <v>300</v>
      </c>
      <c r="Z207" t="inlineStr"/>
    </row>
    <row r="208">
      <c r="A208" t="inlineStr">
        <is>
          <t>MR24</t>
        </is>
      </c>
      <c r="B208" t="inlineStr">
        <is>
          <t>Merged_Table_Assay_lito</t>
        </is>
      </c>
      <c r="C208" t="inlineStr">
        <is>
          <t>RQD_pc</t>
        </is>
      </c>
      <c r="D208" t="inlineStr">
        <is>
          <t>%</t>
        </is>
      </c>
      <c r="E208" t="inlineStr">
        <is>
          <t>RT_RQD</t>
        </is>
      </c>
      <c r="F208" t="inlineStr">
        <is>
          <t>10_No_ZD</t>
        </is>
      </c>
      <c r="G208" t="inlineStr">
        <is>
          <t>sin asignar</t>
        </is>
      </c>
      <c r="H208" t="inlineStr">
        <is>
          <t>Sedimentario_10</t>
        </is>
      </c>
      <c r="I208" t="inlineStr">
        <is>
          <t>Geologia_2024=Sedimentario_10 (no especifica caliza)</t>
        </is>
      </c>
      <c r="J208" t="inlineStr">
        <is>
          <t>Caliza (hipótesis: siglas C*)</t>
        </is>
      </c>
      <c r="K208" t="inlineStr">
        <is>
          <t>Sedimentario</t>
        </is>
      </c>
      <c r="L208" t="inlineStr">
        <is>
          <t>media_pond = ponderada por largo de intervalo</t>
        </is>
      </c>
      <c r="M208" t="n">
        <v>4062</v>
      </c>
      <c r="N208" t="n">
        <v>96.34820000000001</v>
      </c>
      <c r="O208" t="n">
        <v>10.4305</v>
      </c>
      <c r="P208" t="n">
        <v>0.1083</v>
      </c>
      <c r="Q208" t="n">
        <v>0</v>
      </c>
      <c r="R208" t="n">
        <v>79.694</v>
      </c>
      <c r="S208" t="n">
        <v>90</v>
      </c>
      <c r="T208" t="n">
        <v>97.78</v>
      </c>
      <c r="U208" t="n">
        <v>100</v>
      </c>
      <c r="V208" t="n">
        <v>100</v>
      </c>
      <c r="W208" t="n">
        <v>100</v>
      </c>
      <c r="X208" t="n">
        <v>100</v>
      </c>
      <c r="Y208" t="n">
        <v>100</v>
      </c>
      <c r="Z208" t="n">
        <v>95.9131</v>
      </c>
    </row>
    <row r="209">
      <c r="A209" t="inlineStr">
        <is>
          <t>MR24</t>
        </is>
      </c>
      <c r="B209" t="inlineStr">
        <is>
          <t>Merged_Table_Assay_lito</t>
        </is>
      </c>
      <c r="C209" t="inlineStr">
        <is>
          <t>RQD_pc</t>
        </is>
      </c>
      <c r="D209" t="inlineStr">
        <is>
          <t>%</t>
        </is>
      </c>
      <c r="E209" t="inlineStr">
        <is>
          <t>RT_RQD</t>
        </is>
      </c>
      <c r="F209" t="inlineStr">
        <is>
          <t>10_ZD</t>
        </is>
      </c>
      <c r="G209" t="inlineStr">
        <is>
          <t>sin asignar</t>
        </is>
      </c>
      <c r="H209" t="inlineStr">
        <is>
          <t>Sedimentario_10</t>
        </is>
      </c>
      <c r="I209" t="inlineStr">
        <is>
          <t>Geologia_2024=Sedimentario_10 (no especifica caliza)</t>
        </is>
      </c>
      <c r="J209" t="inlineStr">
        <is>
          <t>Caliza (hipótesis: siglas C*)</t>
        </is>
      </c>
      <c r="K209" t="inlineStr">
        <is>
          <t>Sedimentario</t>
        </is>
      </c>
      <c r="L209" t="inlineStr">
        <is>
          <t>media_pond = ponderada por largo de intervalo</t>
        </is>
      </c>
      <c r="M209" t="n">
        <v>517</v>
      </c>
      <c r="N209" t="n">
        <v>97.777</v>
      </c>
      <c r="O209" t="n">
        <v>9.3277</v>
      </c>
      <c r="P209" t="n">
        <v>0.0954</v>
      </c>
      <c r="Q209" t="n">
        <v>15</v>
      </c>
      <c r="R209" t="n">
        <v>91.67</v>
      </c>
      <c r="S209" t="n">
        <v>96.43000000000001</v>
      </c>
      <c r="T209" t="n">
        <v>99.33329999999999</v>
      </c>
      <c r="U209" t="n">
        <v>100</v>
      </c>
      <c r="V209" t="n">
        <v>100</v>
      </c>
      <c r="W209" t="n">
        <v>100</v>
      </c>
      <c r="X209" t="n">
        <v>100</v>
      </c>
      <c r="Y209" t="n">
        <v>100</v>
      </c>
      <c r="Z209" t="n">
        <v>97.5138</v>
      </c>
    </row>
    <row r="210">
      <c r="A210" t="inlineStr">
        <is>
          <t>MR24</t>
        </is>
      </c>
      <c r="B210" t="inlineStr">
        <is>
          <t>Merged_Table_Assay_lito</t>
        </is>
      </c>
      <c r="C210" t="inlineStr">
        <is>
          <t>RQD_pc</t>
        </is>
      </c>
      <c r="D210" t="inlineStr">
        <is>
          <t>%</t>
        </is>
      </c>
      <c r="E210" t="inlineStr">
        <is>
          <t>RT_RQD</t>
        </is>
      </c>
      <c r="F210" t="inlineStr">
        <is>
          <t>11_No_ZD</t>
        </is>
      </c>
      <c r="G210" t="inlineStr">
        <is>
          <t>sin asignar</t>
        </is>
      </c>
      <c r="H210" t="inlineStr">
        <is>
          <t>Sedimentario_11</t>
        </is>
      </c>
      <c r="I210" t="inlineStr">
        <is>
          <t>Geologia_2024=Sedimentario_11 (no especifica caliza)</t>
        </is>
      </c>
      <c r="J210" t="inlineStr">
        <is>
          <t>Caliza (hipótesis: Sedimentario; RT11~NUMEQ10, siglas C*)</t>
        </is>
      </c>
      <c r="K210" t="inlineStr">
        <is>
          <t>Sedimentario</t>
        </is>
      </c>
      <c r="L210" t="inlineStr">
        <is>
          <t>media_pond = ponderada por largo de intervalo</t>
        </is>
      </c>
      <c r="M210" t="n">
        <v>11913</v>
      </c>
      <c r="N210" t="n">
        <v>97.107</v>
      </c>
      <c r="O210" t="n">
        <v>8.0761</v>
      </c>
      <c r="P210" t="n">
        <v>0.0832</v>
      </c>
      <c r="Q210" t="n">
        <v>0</v>
      </c>
      <c r="R210" t="n">
        <v>84.258</v>
      </c>
      <c r="S210" t="n">
        <v>91.38930000000001</v>
      </c>
      <c r="T210" t="n">
        <v>98.096</v>
      </c>
      <c r="U210" t="n">
        <v>100</v>
      </c>
      <c r="V210" t="n">
        <v>100</v>
      </c>
      <c r="W210" t="n">
        <v>100</v>
      </c>
      <c r="X210" t="n">
        <v>100</v>
      </c>
      <c r="Y210" t="n">
        <v>100</v>
      </c>
      <c r="Z210" t="n">
        <v>97.0127</v>
      </c>
    </row>
    <row r="211">
      <c r="A211" t="inlineStr">
        <is>
          <t>MR24</t>
        </is>
      </c>
      <c r="B211" t="inlineStr">
        <is>
          <t>Merged_Table_Assay_lito</t>
        </is>
      </c>
      <c r="C211" t="inlineStr">
        <is>
          <t>RQD_pc</t>
        </is>
      </c>
      <c r="D211" t="inlineStr">
        <is>
          <t>%</t>
        </is>
      </c>
      <c r="E211" t="inlineStr">
        <is>
          <t>RT_RQD</t>
        </is>
      </c>
      <c r="F211" t="inlineStr">
        <is>
          <t>11_ZD</t>
        </is>
      </c>
      <c r="G211" t="inlineStr">
        <is>
          <t>sin asignar</t>
        </is>
      </c>
      <c r="H211" t="inlineStr">
        <is>
          <t>Sedimentario_11</t>
        </is>
      </c>
      <c r="I211" t="inlineStr">
        <is>
          <t>Geologia_2024=Sedimentario_11 (no especifica caliza)</t>
        </is>
      </c>
      <c r="J211" t="inlineStr">
        <is>
          <t>Caliza (hipótesis: Sedimentario; RT11~NUMEQ10, siglas C*)</t>
        </is>
      </c>
      <c r="K211" t="inlineStr">
        <is>
          <t>Sedimentario</t>
        </is>
      </c>
      <c r="L211" t="inlineStr">
        <is>
          <t>media_pond = ponderada por largo de intervalo</t>
        </is>
      </c>
      <c r="M211" t="n">
        <v>7924</v>
      </c>
      <c r="N211" t="n">
        <v>96.8708</v>
      </c>
      <c r="O211" t="n">
        <v>8.6029</v>
      </c>
      <c r="P211" t="n">
        <v>0.0888</v>
      </c>
      <c r="Q211" t="n">
        <v>0</v>
      </c>
      <c r="R211" t="n">
        <v>86</v>
      </c>
      <c r="S211" t="n">
        <v>92.11</v>
      </c>
      <c r="T211" t="n">
        <v>97.2225</v>
      </c>
      <c r="U211" t="n">
        <v>100</v>
      </c>
      <c r="V211" t="n">
        <v>100</v>
      </c>
      <c r="W211" t="n">
        <v>100</v>
      </c>
      <c r="X211" t="n">
        <v>100</v>
      </c>
      <c r="Y211" t="n">
        <v>100</v>
      </c>
      <c r="Z211" t="n">
        <v>96.67610000000001</v>
      </c>
    </row>
    <row r="212">
      <c r="A212" t="inlineStr">
        <is>
          <t>MR24</t>
        </is>
      </c>
      <c r="B212" t="inlineStr">
        <is>
          <t>Merged_Table_Assay_lito</t>
        </is>
      </c>
      <c r="C212" t="inlineStr">
        <is>
          <t>RQD_pc</t>
        </is>
      </c>
      <c r="D212" t="inlineStr">
        <is>
          <t>%</t>
        </is>
      </c>
      <c r="E212" t="inlineStr">
        <is>
          <t>RT_RQD</t>
        </is>
      </c>
      <c r="F212" t="inlineStr">
        <is>
          <t>13_No_ZD</t>
        </is>
      </c>
      <c r="G212" t="inlineStr">
        <is>
          <t>sin asignar</t>
        </is>
      </c>
      <c r="H212" t="inlineStr">
        <is>
          <t>Metamorfico_13</t>
        </is>
      </c>
      <c r="I212" t="inlineStr">
        <is>
          <t>Geologia_2024=Metamorfico_13 (no distingue hornfels/mármol)</t>
        </is>
      </c>
      <c r="J212" t="inlineStr">
        <is>
          <t>Hornfels (hipótesis: siglas HG, HGS, HC)</t>
        </is>
      </c>
      <c r="K212" t="inlineStr">
        <is>
          <t>Metamorfico</t>
        </is>
      </c>
      <c r="L212" t="inlineStr">
        <is>
          <t>media_pond = ponderada por largo de intervalo</t>
        </is>
      </c>
      <c r="M212" t="n">
        <v>23927</v>
      </c>
      <c r="N212" t="n">
        <v>95.8793</v>
      </c>
      <c r="O212" t="n">
        <v>10.2005</v>
      </c>
      <c r="P212" t="n">
        <v>0.1064</v>
      </c>
      <c r="Q212" t="n">
        <v>0</v>
      </c>
      <c r="R212" t="n">
        <v>80</v>
      </c>
      <c r="S212" t="n">
        <v>89.1264</v>
      </c>
      <c r="T212" t="n">
        <v>96.5517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95.4997</v>
      </c>
    </row>
    <row r="213">
      <c r="A213" t="inlineStr">
        <is>
          <t>MR24</t>
        </is>
      </c>
      <c r="B213" t="inlineStr">
        <is>
          <t>Merged_Table_Assay_lito</t>
        </is>
      </c>
      <c r="C213" t="inlineStr">
        <is>
          <t>RQD_pc</t>
        </is>
      </c>
      <c r="D213" t="inlineStr">
        <is>
          <t>%</t>
        </is>
      </c>
      <c r="E213" t="inlineStr">
        <is>
          <t>RT_RQD</t>
        </is>
      </c>
      <c r="F213" t="inlineStr">
        <is>
          <t>13_ZD</t>
        </is>
      </c>
      <c r="G213" t="inlineStr">
        <is>
          <t>sin asignar</t>
        </is>
      </c>
      <c r="H213" t="inlineStr">
        <is>
          <t>Metamorfico_13</t>
        </is>
      </c>
      <c r="I213" t="inlineStr">
        <is>
          <t>Geologia_2024=Metamorfico_13 (no distingue hornfels/mármol)</t>
        </is>
      </c>
      <c r="J213" t="inlineStr">
        <is>
          <t>Hornfels (hipótesis: siglas HG, HGS, HC)</t>
        </is>
      </c>
      <c r="K213" t="inlineStr">
        <is>
          <t>Metamorfico</t>
        </is>
      </c>
      <c r="L213" t="inlineStr">
        <is>
          <t>media_pond = ponderada por largo de intervalo</t>
        </is>
      </c>
      <c r="M213" t="n">
        <v>20614</v>
      </c>
      <c r="N213" t="n">
        <v>95.1978</v>
      </c>
      <c r="O213" t="n">
        <v>10.6245</v>
      </c>
      <c r="P213" t="n">
        <v>0.1116</v>
      </c>
      <c r="Q213" t="n">
        <v>0</v>
      </c>
      <c r="R213" t="n">
        <v>76.1926</v>
      </c>
      <c r="S213" t="n">
        <v>86.86279999999999</v>
      </c>
      <c r="T213" t="n">
        <v>95.33329999999999</v>
      </c>
      <c r="U213" t="n">
        <v>99.5547</v>
      </c>
      <c r="V213" t="n">
        <v>100</v>
      </c>
      <c r="W213" t="n">
        <v>100</v>
      </c>
      <c r="X213" t="n">
        <v>100</v>
      </c>
      <c r="Y213" t="n">
        <v>100</v>
      </c>
      <c r="Z213" t="n">
        <v>94.86839999999999</v>
      </c>
    </row>
    <row r="214">
      <c r="A214" t="inlineStr">
        <is>
          <t>MR24</t>
        </is>
      </c>
      <c r="B214" t="inlineStr">
        <is>
          <t>Merged_Table_Assay_lito</t>
        </is>
      </c>
      <c r="C214" t="inlineStr">
        <is>
          <t>RQD_pc</t>
        </is>
      </c>
      <c r="D214" t="inlineStr">
        <is>
          <t>%</t>
        </is>
      </c>
      <c r="E214" t="inlineStr">
        <is>
          <t>RT_RQD</t>
        </is>
      </c>
      <c r="F214" t="inlineStr">
        <is>
          <t>14_No_ZD</t>
        </is>
      </c>
      <c r="G214" t="inlineStr">
        <is>
          <t>sin asignar</t>
        </is>
      </c>
      <c r="H214" t="inlineStr">
        <is>
          <t>Metamorfico_14</t>
        </is>
      </c>
      <c r="I214" t="inlineStr">
        <is>
          <t>Geologia_2024=Metamorfico_14 (no distingue hornfels/mármol)</t>
        </is>
      </c>
      <c r="J214" t="inlineStr">
        <is>
          <t>Hornfels (hipótesis: siglas HBV, HGV, HCB, HDP; 'Diop. Hornfels'~HGV)</t>
        </is>
      </c>
      <c r="K214" t="inlineStr">
        <is>
          <t>Metamorfico</t>
        </is>
      </c>
      <c r="L214" t="inlineStr">
        <is>
          <t>media_pond = ponderada por largo de intervalo</t>
        </is>
      </c>
      <c r="M214" t="n">
        <v>8704</v>
      </c>
      <c r="N214" t="n">
        <v>94.276</v>
      </c>
      <c r="O214" t="n">
        <v>12.884</v>
      </c>
      <c r="P214" t="n">
        <v>0.1367</v>
      </c>
      <c r="Q214" t="n">
        <v>0</v>
      </c>
      <c r="R214" t="n">
        <v>70.28</v>
      </c>
      <c r="S214" t="n">
        <v>83.33</v>
      </c>
      <c r="T214" t="n">
        <v>95</v>
      </c>
      <c r="U214" t="n">
        <v>100</v>
      </c>
      <c r="V214" t="n">
        <v>100</v>
      </c>
      <c r="W214" t="n">
        <v>100</v>
      </c>
      <c r="X214" t="n">
        <v>100</v>
      </c>
      <c r="Y214" t="n">
        <v>100</v>
      </c>
      <c r="Z214" t="n">
        <v>93.6544</v>
      </c>
    </row>
    <row r="215">
      <c r="A215" t="inlineStr">
        <is>
          <t>MR24</t>
        </is>
      </c>
      <c r="B215" t="inlineStr">
        <is>
          <t>Merged_Table_Assay_lito</t>
        </is>
      </c>
      <c r="C215" t="inlineStr">
        <is>
          <t>RQD_pc</t>
        </is>
      </c>
      <c r="D215" t="inlineStr">
        <is>
          <t>%</t>
        </is>
      </c>
      <c r="E215" t="inlineStr">
        <is>
          <t>RT_RQD</t>
        </is>
      </c>
      <c r="F215" t="inlineStr">
        <is>
          <t>14_ZD</t>
        </is>
      </c>
      <c r="G215" t="inlineStr">
        <is>
          <t>sin asignar</t>
        </is>
      </c>
      <c r="H215" t="inlineStr">
        <is>
          <t>Metamorfico_14</t>
        </is>
      </c>
      <c r="I215" t="inlineStr">
        <is>
          <t>Geologia_2024=Metamorfico_14 (no distingue hornfels/mármol)</t>
        </is>
      </c>
      <c r="J215" t="inlineStr">
        <is>
          <t>Hornfels (hipótesis: siglas HBV, HGV, HCB, HDP; 'Diop. Hornfels'~HGV)</t>
        </is>
      </c>
      <c r="K215" t="inlineStr">
        <is>
          <t>Metamorfico</t>
        </is>
      </c>
      <c r="L215" t="inlineStr">
        <is>
          <t>media_pond = ponderada por largo de intervalo</t>
        </is>
      </c>
      <c r="M215" t="n">
        <v>6711</v>
      </c>
      <c r="N215" t="n">
        <v>94.1001</v>
      </c>
      <c r="O215" t="n">
        <v>13.2468</v>
      </c>
      <c r="P215" t="n">
        <v>0.1408</v>
      </c>
      <c r="Q215" t="n">
        <v>0</v>
      </c>
      <c r="R215" t="n">
        <v>67.22329999999999</v>
      </c>
      <c r="S215" t="n">
        <v>82.616</v>
      </c>
      <c r="T215" t="n">
        <v>95</v>
      </c>
      <c r="U215" t="n">
        <v>100</v>
      </c>
      <c r="V215" t="n">
        <v>100</v>
      </c>
      <c r="W215" t="n">
        <v>100</v>
      </c>
      <c r="X215" t="n">
        <v>100</v>
      </c>
      <c r="Y215" t="n">
        <v>100</v>
      </c>
      <c r="Z215" t="n">
        <v>93.61879999999999</v>
      </c>
    </row>
    <row r="216">
      <c r="A216" t="inlineStr">
        <is>
          <t>MR24</t>
        </is>
      </c>
      <c r="B216" t="inlineStr">
        <is>
          <t>Merged_Table_Assay_lito</t>
        </is>
      </c>
      <c r="C216" t="inlineStr">
        <is>
          <t>RQD_pc</t>
        </is>
      </c>
      <c r="D216" t="inlineStr">
        <is>
          <t>%</t>
        </is>
      </c>
      <c r="E216" t="inlineStr">
        <is>
          <t>RT_RQD</t>
        </is>
      </c>
      <c r="F216" t="inlineStr">
        <is>
          <t>16_No_ZD</t>
        </is>
      </c>
      <c r="G216" t="inlineStr">
        <is>
          <t>sin asignar</t>
        </is>
      </c>
      <c r="H216" t="inlineStr">
        <is>
          <t>Metamorfico_16</t>
        </is>
      </c>
      <c r="I216" t="inlineStr">
        <is>
          <t>Geologia_2024=Metamorfico_16 (no distingue hornfels/mármol)</t>
        </is>
      </c>
      <c r="J216" t="inlineStr">
        <is>
          <t>Mármol (hipótesis: siglas MC, MG, MGS, MPA, MCGB; 'Marble'~MCGB)</t>
        </is>
      </c>
      <c r="K216" t="inlineStr">
        <is>
          <t>Metamorfico</t>
        </is>
      </c>
      <c r="L216" t="inlineStr">
        <is>
          <t>media_pond = ponderada por largo de intervalo</t>
        </is>
      </c>
      <c r="M216" t="n">
        <v>48363</v>
      </c>
      <c r="N216" t="n">
        <v>96.9336</v>
      </c>
      <c r="O216" t="n">
        <v>8.530200000000001</v>
      </c>
      <c r="P216" t="n">
        <v>0.08799999999999999</v>
      </c>
      <c r="Q216" t="n">
        <v>0</v>
      </c>
      <c r="R216" t="n">
        <v>83.81</v>
      </c>
      <c r="S216" t="n">
        <v>91.9824</v>
      </c>
      <c r="T216" t="n">
        <v>97.8467</v>
      </c>
      <c r="U216" t="n">
        <v>100</v>
      </c>
      <c r="V216" t="n">
        <v>100</v>
      </c>
      <c r="W216" t="n">
        <v>100</v>
      </c>
      <c r="X216" t="n">
        <v>100</v>
      </c>
      <c r="Y216" t="n">
        <v>100</v>
      </c>
      <c r="Z216" t="n">
        <v>96.7867</v>
      </c>
    </row>
    <row r="217">
      <c r="A217" t="inlineStr">
        <is>
          <t>MR24</t>
        </is>
      </c>
      <c r="B217" t="inlineStr">
        <is>
          <t>Merged_Table_Assay_lito</t>
        </is>
      </c>
      <c r="C217" t="inlineStr">
        <is>
          <t>RQD_pc</t>
        </is>
      </c>
      <c r="D217" t="inlineStr">
        <is>
          <t>%</t>
        </is>
      </c>
      <c r="E217" t="inlineStr">
        <is>
          <t>RT_RQD</t>
        </is>
      </c>
      <c r="F217" t="inlineStr">
        <is>
          <t>16_ZD</t>
        </is>
      </c>
      <c r="G217" t="inlineStr">
        <is>
          <t>sin asignar</t>
        </is>
      </c>
      <c r="H217" t="inlineStr">
        <is>
          <t>Metamorfico_16</t>
        </is>
      </c>
      <c r="I217" t="inlineStr">
        <is>
          <t>Geologia_2024=Metamorfico_16 (no distingue hornfels/mármol)</t>
        </is>
      </c>
      <c r="J217" t="inlineStr">
        <is>
          <t>Mármol (hipótesis: siglas MC, MG, MGS, MPA, MCGB; 'Marble'~MCGB)</t>
        </is>
      </c>
      <c r="K217" t="inlineStr">
        <is>
          <t>Metamorfico</t>
        </is>
      </c>
      <c r="L217" t="inlineStr">
        <is>
          <t>media_pond = ponderada por largo de intervalo</t>
        </is>
      </c>
      <c r="M217" t="n">
        <v>8920</v>
      </c>
      <c r="N217" t="n">
        <v>96.5561</v>
      </c>
      <c r="O217" t="n">
        <v>8.914199999999999</v>
      </c>
      <c r="P217" t="n">
        <v>0.09229999999999999</v>
      </c>
      <c r="Q217" t="n">
        <v>0</v>
      </c>
      <c r="R217" t="n">
        <v>83.33</v>
      </c>
      <c r="S217" t="n">
        <v>90.61960000000001</v>
      </c>
      <c r="T217" t="n">
        <v>96.8767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96.1491</v>
      </c>
    </row>
    <row r="218">
      <c r="A218" t="inlineStr">
        <is>
          <t>MR24</t>
        </is>
      </c>
      <c r="B218" t="inlineStr">
        <is>
          <t>Merged_Table_Assay_lito</t>
        </is>
      </c>
      <c r="C218" t="inlineStr">
        <is>
          <t>RQD_pc</t>
        </is>
      </c>
      <c r="D218" t="inlineStr">
        <is>
          <t>%</t>
        </is>
      </c>
      <c r="E218" t="inlineStr">
        <is>
          <t>RT_RQD</t>
        </is>
      </c>
      <c r="F218" t="inlineStr">
        <is>
          <t>19_No_ZD</t>
        </is>
      </c>
      <c r="G218" t="inlineStr">
        <is>
          <t>sin asignar</t>
        </is>
      </c>
      <c r="H218" t="inlineStr">
        <is>
          <t>Metamorfico_19</t>
        </is>
      </c>
      <c r="I218" t="inlineStr">
        <is>
          <t>Geologia_2024=Metamorfico_19 (no distingue hornfels/mármol)</t>
        </is>
      </c>
      <c r="J218" t="inlineStr">
        <is>
          <t>Mármol (hipótesis: sigla MDP)</t>
        </is>
      </c>
      <c r="K218" t="inlineStr">
        <is>
          <t>Metamorfico</t>
        </is>
      </c>
      <c r="L218" t="inlineStr">
        <is>
          <t>media_pond = ponderada por largo de intervalo</t>
        </is>
      </c>
      <c r="M218" t="n">
        <v>12262</v>
      </c>
      <c r="N218" t="n">
        <v>94.48690000000001</v>
      </c>
      <c r="O218" t="n">
        <v>12.6071</v>
      </c>
      <c r="P218" t="n">
        <v>0.1334</v>
      </c>
      <c r="Q218" t="n">
        <v>0</v>
      </c>
      <c r="R218" t="n">
        <v>69.5196</v>
      </c>
      <c r="S218" t="n">
        <v>83.67</v>
      </c>
      <c r="T218" t="n">
        <v>95.23999999999999</v>
      </c>
      <c r="U218" t="n">
        <v>100</v>
      </c>
      <c r="V218" t="n">
        <v>100</v>
      </c>
      <c r="W218" t="n">
        <v>100</v>
      </c>
      <c r="X218" t="n">
        <v>100</v>
      </c>
      <c r="Y218" t="n">
        <v>100</v>
      </c>
      <c r="Z218" t="n">
        <v>94.0823</v>
      </c>
    </row>
    <row r="219">
      <c r="A219" t="inlineStr">
        <is>
          <t>MR24</t>
        </is>
      </c>
      <c r="B219" t="inlineStr">
        <is>
          <t>Merged_Table_Assay_lito</t>
        </is>
      </c>
      <c r="C219" t="inlineStr">
        <is>
          <t>RQD_pc</t>
        </is>
      </c>
      <c r="D219" t="inlineStr">
        <is>
          <t>%</t>
        </is>
      </c>
      <c r="E219" t="inlineStr">
        <is>
          <t>RT_RQD</t>
        </is>
      </c>
      <c r="F219" t="inlineStr">
        <is>
          <t>19_ZD</t>
        </is>
      </c>
      <c r="G219" t="inlineStr">
        <is>
          <t>sin asignar</t>
        </is>
      </c>
      <c r="H219" t="inlineStr">
        <is>
          <t>Metamorfico_19</t>
        </is>
      </c>
      <c r="I219" t="inlineStr">
        <is>
          <t>Geologia_2024=Metamorfico_19 (no distingue hornfels/mármol)</t>
        </is>
      </c>
      <c r="J219" t="inlineStr">
        <is>
          <t>Mármol (hipótesis: sigla MDP)</t>
        </is>
      </c>
      <c r="K219" t="inlineStr">
        <is>
          <t>Metamorfico</t>
        </is>
      </c>
      <c r="L219" t="inlineStr">
        <is>
          <t>media_pond = ponderada por largo de intervalo</t>
        </is>
      </c>
      <c r="M219" t="n">
        <v>3179</v>
      </c>
      <c r="N219" t="n">
        <v>95.9032</v>
      </c>
      <c r="O219" t="n">
        <v>9.586600000000001</v>
      </c>
      <c r="P219" t="n">
        <v>0.1</v>
      </c>
      <c r="Q219" t="n">
        <v>0</v>
      </c>
      <c r="R219" t="n">
        <v>81.67</v>
      </c>
      <c r="S219" t="n">
        <v>89</v>
      </c>
      <c r="T219" t="n">
        <v>95.8567</v>
      </c>
      <c r="U219" t="n">
        <v>100</v>
      </c>
      <c r="V219" t="n">
        <v>100</v>
      </c>
      <c r="W219" t="n">
        <v>100</v>
      </c>
      <c r="X219" t="n">
        <v>100</v>
      </c>
      <c r="Y219" t="n">
        <v>100</v>
      </c>
      <c r="Z219" t="n">
        <v>95.6508</v>
      </c>
    </row>
    <row r="220">
      <c r="A220" t="inlineStr">
        <is>
          <t>MR24</t>
        </is>
      </c>
      <c r="B220" t="inlineStr">
        <is>
          <t>Merged_Table_Assay_lito</t>
        </is>
      </c>
      <c r="C220" t="inlineStr">
        <is>
          <t>RQD_pc</t>
        </is>
      </c>
      <c r="D220" t="inlineStr">
        <is>
          <t>%</t>
        </is>
      </c>
      <c r="E220" t="inlineStr">
        <is>
          <t>RT_RQD</t>
        </is>
      </c>
      <c r="F220" t="inlineStr">
        <is>
          <t>1_No_ZD</t>
        </is>
      </c>
      <c r="G220" t="inlineStr">
        <is>
          <t>Intrusivo</t>
        </is>
      </c>
      <c r="H220" t="inlineStr">
        <is>
          <t>RT1</t>
        </is>
      </c>
      <c r="I220" t="inlineStr">
        <is>
          <t>Geologia_2024=Intrusivo_1</t>
        </is>
      </c>
      <c r="J220" t="inlineStr">
        <is>
          <t>Intrusivo</t>
        </is>
      </c>
      <c r="K220" t="inlineStr">
        <is>
          <t>Intrusivo</t>
        </is>
      </c>
      <c r="L220" t="inlineStr">
        <is>
          <t>media_pond = ponderada por largo de intervalo</t>
        </is>
      </c>
      <c r="M220" t="n">
        <v>29431</v>
      </c>
      <c r="N220" t="n">
        <v>81.1583</v>
      </c>
      <c r="O220" t="n">
        <v>28.3369</v>
      </c>
      <c r="P220" t="n">
        <v>0.3492</v>
      </c>
      <c r="Q220" t="n">
        <v>0</v>
      </c>
      <c r="R220" t="n">
        <v>8.666700000000001</v>
      </c>
      <c r="S220" t="n">
        <v>31.1358</v>
      </c>
      <c r="T220" t="n">
        <v>75</v>
      </c>
      <c r="U220" t="n">
        <v>95.30719999999999</v>
      </c>
      <c r="V220" t="n">
        <v>100</v>
      </c>
      <c r="W220" t="n">
        <v>100</v>
      </c>
      <c r="X220" t="n">
        <v>100</v>
      </c>
      <c r="Y220" t="n">
        <v>100</v>
      </c>
      <c r="Z220" t="n">
        <v>79.3391</v>
      </c>
    </row>
    <row r="221">
      <c r="A221" t="inlineStr">
        <is>
          <t>MR24</t>
        </is>
      </c>
      <c r="B221" t="inlineStr">
        <is>
          <t>Merged_Table_Assay_lito</t>
        </is>
      </c>
      <c r="C221" t="inlineStr">
        <is>
          <t>RQD_pc</t>
        </is>
      </c>
      <c r="D221" t="inlineStr">
        <is>
          <t>%</t>
        </is>
      </c>
      <c r="E221" t="inlineStr">
        <is>
          <t>RT_RQD</t>
        </is>
      </c>
      <c r="F221" t="inlineStr">
        <is>
          <t>1_ZD</t>
        </is>
      </c>
      <c r="G221" t="inlineStr">
        <is>
          <t>Intrusivo</t>
        </is>
      </c>
      <c r="H221" t="inlineStr">
        <is>
          <t>RT1</t>
        </is>
      </c>
      <c r="I221" t="inlineStr">
        <is>
          <t>Geologia_2024=Intrusivo_1</t>
        </is>
      </c>
      <c r="J221" t="inlineStr">
        <is>
          <t>Intrusivo</t>
        </is>
      </c>
      <c r="K221" t="inlineStr">
        <is>
          <t>Intrusivo</t>
        </is>
      </c>
      <c r="L221" t="inlineStr">
        <is>
          <t>media_pond = ponderada por largo de intervalo</t>
        </is>
      </c>
      <c r="M221" t="n">
        <v>2528</v>
      </c>
      <c r="N221" t="n">
        <v>85.30889999999999</v>
      </c>
      <c r="O221" t="n">
        <v>24.6966</v>
      </c>
      <c r="P221" t="n">
        <v>0.2895</v>
      </c>
      <c r="Q221" t="n">
        <v>0</v>
      </c>
      <c r="R221" t="n">
        <v>24.666</v>
      </c>
      <c r="S221" t="n">
        <v>45.967</v>
      </c>
      <c r="T221" t="n">
        <v>83.84820000000001</v>
      </c>
      <c r="U221" t="n">
        <v>96.88890000000001</v>
      </c>
      <c r="V221" t="n">
        <v>100</v>
      </c>
      <c r="W221" t="n">
        <v>100</v>
      </c>
      <c r="X221" t="n">
        <v>100</v>
      </c>
      <c r="Y221" t="n">
        <v>100</v>
      </c>
      <c r="Z221" t="n">
        <v>83.2542</v>
      </c>
    </row>
    <row r="222">
      <c r="A222" t="inlineStr">
        <is>
          <t>MR24</t>
        </is>
      </c>
      <c r="B222" t="inlineStr">
        <is>
          <t>Merged_Table_Assay_lito</t>
        </is>
      </c>
      <c r="C222" t="inlineStr">
        <is>
          <t>RQD_pc</t>
        </is>
      </c>
      <c r="D222" t="inlineStr">
        <is>
          <t>%</t>
        </is>
      </c>
      <c r="E222" t="inlineStr">
        <is>
          <t>RT_RQD</t>
        </is>
      </c>
      <c r="F222" t="inlineStr">
        <is>
          <t>20_No_ZD</t>
        </is>
      </c>
      <c r="G222" t="inlineStr">
        <is>
          <t>Skarn</t>
        </is>
      </c>
      <c r="H222" t="inlineStr">
        <is>
          <t>Endoskarn_20</t>
        </is>
      </c>
      <c r="I222" t="inlineStr">
        <is>
          <t>Geologia_2024=Endoskarn_20</t>
        </is>
      </c>
      <c r="J222" t="inlineStr">
        <is>
          <t>Skarn</t>
        </is>
      </c>
      <c r="K222" t="inlineStr">
        <is>
          <t>Endoskarn</t>
        </is>
      </c>
      <c r="L222" t="inlineStr">
        <is>
          <t>media_pond = ponderada por largo de intervalo</t>
        </is>
      </c>
      <c r="M222" t="n">
        <v>698</v>
      </c>
      <c r="N222" t="n">
        <v>57.6359</v>
      </c>
      <c r="O222" t="n">
        <v>35.8028</v>
      </c>
      <c r="P222" t="n">
        <v>0.6212</v>
      </c>
      <c r="Q222" t="n">
        <v>0</v>
      </c>
      <c r="R222" t="n">
        <v>0</v>
      </c>
      <c r="S222" t="n">
        <v>1.3333</v>
      </c>
      <c r="T222" t="n">
        <v>25.1</v>
      </c>
      <c r="U222" t="n">
        <v>64.645</v>
      </c>
      <c r="V222" t="n">
        <v>93.33</v>
      </c>
      <c r="W222" t="n">
        <v>100</v>
      </c>
      <c r="X222" t="n">
        <v>100</v>
      </c>
      <c r="Y222" t="n">
        <v>100</v>
      </c>
      <c r="Z222" t="n">
        <v>56.5813</v>
      </c>
    </row>
    <row r="223">
      <c r="A223" t="inlineStr">
        <is>
          <t>MR24</t>
        </is>
      </c>
      <c r="B223" t="inlineStr">
        <is>
          <t>Merged_Table_Assay_lito</t>
        </is>
      </c>
      <c r="C223" t="inlineStr">
        <is>
          <t>RQD_pc</t>
        </is>
      </c>
      <c r="D223" t="inlineStr">
        <is>
          <t>%</t>
        </is>
      </c>
      <c r="E223" t="inlineStr">
        <is>
          <t>RT_RQD</t>
        </is>
      </c>
      <c r="F223" t="inlineStr">
        <is>
          <t>20_ZD</t>
        </is>
      </c>
      <c r="G223" t="inlineStr">
        <is>
          <t>Skarn</t>
        </is>
      </c>
      <c r="H223" t="inlineStr">
        <is>
          <t>Endoskarn_20</t>
        </is>
      </c>
      <c r="I223" t="inlineStr">
        <is>
          <t>Geologia_2024=Endoskarn_20</t>
        </is>
      </c>
      <c r="J223" t="inlineStr">
        <is>
          <t>Skarn</t>
        </is>
      </c>
      <c r="K223" t="inlineStr">
        <is>
          <t>Endoskarn</t>
        </is>
      </c>
      <c r="L223" t="inlineStr">
        <is>
          <t>media_pond = ponderada por largo de intervalo</t>
        </is>
      </c>
      <c r="M223" t="n">
        <v>74</v>
      </c>
      <c r="N223" t="n">
        <v>78.9739</v>
      </c>
      <c r="O223" t="n">
        <v>24.538</v>
      </c>
      <c r="P223" t="n">
        <v>0.3107</v>
      </c>
      <c r="Q223" t="n">
        <v>0</v>
      </c>
      <c r="R223" t="n">
        <v>30.956</v>
      </c>
      <c r="S223" t="n">
        <v>40</v>
      </c>
      <c r="T223" t="n">
        <v>66.9525</v>
      </c>
      <c r="U223" t="n">
        <v>88.19199999999999</v>
      </c>
      <c r="V223" t="n">
        <v>100</v>
      </c>
      <c r="W223" t="n">
        <v>100</v>
      </c>
      <c r="X223" t="n">
        <v>100</v>
      </c>
      <c r="Y223" t="n">
        <v>100</v>
      </c>
      <c r="Z223" t="n">
        <v>78.2843</v>
      </c>
    </row>
    <row r="224">
      <c r="A224" t="inlineStr">
        <is>
          <t>MR24</t>
        </is>
      </c>
      <c r="B224" t="inlineStr">
        <is>
          <t>Merged_Table_Assay_lito</t>
        </is>
      </c>
      <c r="C224" t="inlineStr">
        <is>
          <t>RQD_pc</t>
        </is>
      </c>
      <c r="D224" t="inlineStr">
        <is>
          <t>%</t>
        </is>
      </c>
      <c r="E224" t="inlineStr">
        <is>
          <t>RT_RQD</t>
        </is>
      </c>
      <c r="F224" t="inlineStr">
        <is>
          <t>22_No_ZD</t>
        </is>
      </c>
      <c r="G224" t="inlineStr">
        <is>
          <t>Skarn</t>
        </is>
      </c>
      <c r="H224" t="inlineStr">
        <is>
          <t>Endoskarn_22</t>
        </is>
      </c>
      <c r="I224" t="inlineStr">
        <is>
          <t>Geologia_2024=Endoskarn_22</t>
        </is>
      </c>
      <c r="J224" t="inlineStr">
        <is>
          <t>Skarn</t>
        </is>
      </c>
      <c r="K224" t="inlineStr">
        <is>
          <t>Endoskarn</t>
        </is>
      </c>
      <c r="L224" t="inlineStr">
        <is>
          <t>media_pond = ponderada por largo de intervalo</t>
        </is>
      </c>
      <c r="M224" t="n">
        <v>1722</v>
      </c>
      <c r="N224" t="n">
        <v>78.45820000000001</v>
      </c>
      <c r="O224" t="n">
        <v>28.1086</v>
      </c>
      <c r="P224" t="n">
        <v>0.3583</v>
      </c>
      <c r="Q224" t="n">
        <v>0</v>
      </c>
      <c r="R224" t="n">
        <v>8.983499999999999</v>
      </c>
      <c r="S224" t="n">
        <v>31.03</v>
      </c>
      <c r="T224" t="n">
        <v>68.02249999999999</v>
      </c>
      <c r="U224" t="n">
        <v>91.33</v>
      </c>
      <c r="V224" t="n">
        <v>100</v>
      </c>
      <c r="W224" t="n">
        <v>100</v>
      </c>
      <c r="X224" t="n">
        <v>100</v>
      </c>
      <c r="Y224" t="n">
        <v>100</v>
      </c>
      <c r="Z224" t="n">
        <v>76.2396</v>
      </c>
    </row>
    <row r="225">
      <c r="A225" t="inlineStr">
        <is>
          <t>MR24</t>
        </is>
      </c>
      <c r="B225" t="inlineStr">
        <is>
          <t>Merged_Table_Assay_lito</t>
        </is>
      </c>
      <c r="C225" t="inlineStr">
        <is>
          <t>RQD_pc</t>
        </is>
      </c>
      <c r="D225" t="inlineStr">
        <is>
          <t>%</t>
        </is>
      </c>
      <c r="E225" t="inlineStr">
        <is>
          <t>RT_RQD</t>
        </is>
      </c>
      <c r="F225" t="inlineStr">
        <is>
          <t>22_ZD</t>
        </is>
      </c>
      <c r="G225" t="inlineStr">
        <is>
          <t>Skarn</t>
        </is>
      </c>
      <c r="H225" t="inlineStr">
        <is>
          <t>Endoskarn_22</t>
        </is>
      </c>
      <c r="I225" t="inlineStr">
        <is>
          <t>Geologia_2024=Endoskarn_22</t>
        </is>
      </c>
      <c r="J225" t="inlineStr">
        <is>
          <t>Skarn</t>
        </is>
      </c>
      <c r="K225" t="inlineStr">
        <is>
          <t>Endoskarn</t>
        </is>
      </c>
      <c r="L225" t="inlineStr">
        <is>
          <t>media_pond = ponderada por largo de intervalo</t>
        </is>
      </c>
      <c r="M225" t="n">
        <v>92</v>
      </c>
      <c r="N225" t="n">
        <v>86.2783</v>
      </c>
      <c r="O225" t="n">
        <v>22.7226</v>
      </c>
      <c r="P225" t="n">
        <v>0.2634</v>
      </c>
      <c r="Q225" t="n">
        <v>3.636</v>
      </c>
      <c r="R225" t="n">
        <v>27.32</v>
      </c>
      <c r="S225" t="n">
        <v>65</v>
      </c>
      <c r="T225" t="n">
        <v>86.08499999999999</v>
      </c>
      <c r="U225" t="n">
        <v>95.8824</v>
      </c>
      <c r="V225" t="n">
        <v>100</v>
      </c>
      <c r="W225" t="n">
        <v>100</v>
      </c>
      <c r="X225" t="n">
        <v>100</v>
      </c>
      <c r="Y225" t="n">
        <v>100</v>
      </c>
      <c r="Z225" t="n">
        <v>84.1617</v>
      </c>
    </row>
    <row r="226">
      <c r="A226" t="inlineStr">
        <is>
          <t>MR24</t>
        </is>
      </c>
      <c r="B226" t="inlineStr">
        <is>
          <t>Merged_Table_Assay_lito</t>
        </is>
      </c>
      <c r="C226" t="inlineStr">
        <is>
          <t>RQD_pc</t>
        </is>
      </c>
      <c r="D226" t="inlineStr">
        <is>
          <t>%</t>
        </is>
      </c>
      <c r="E226" t="inlineStr">
        <is>
          <t>RT_RQD</t>
        </is>
      </c>
      <c r="F226" t="inlineStr">
        <is>
          <t>23_No_ZD</t>
        </is>
      </c>
      <c r="G226" t="inlineStr">
        <is>
          <t>Skarn</t>
        </is>
      </c>
      <c r="H226" t="inlineStr">
        <is>
          <t>Endoskarn_23</t>
        </is>
      </c>
      <c r="I226" t="inlineStr">
        <is>
          <t>Geologia_2024=Endoskarn_23</t>
        </is>
      </c>
      <c r="J226" t="inlineStr">
        <is>
          <t>Skarn</t>
        </is>
      </c>
      <c r="K226" t="inlineStr">
        <is>
          <t>Endoskarn</t>
        </is>
      </c>
      <c r="L226" t="inlineStr">
        <is>
          <t>media_pond = ponderada por largo de intervalo</t>
        </is>
      </c>
      <c r="M226" t="n">
        <v>156</v>
      </c>
      <c r="N226" t="n">
        <v>90.0792</v>
      </c>
      <c r="O226" t="n">
        <v>20.1948</v>
      </c>
      <c r="P226" t="n">
        <v>0.2242</v>
      </c>
      <c r="Q226" t="n">
        <v>0</v>
      </c>
      <c r="R226" t="n">
        <v>43.1225</v>
      </c>
      <c r="S226" t="n">
        <v>66.67</v>
      </c>
      <c r="T226" t="n">
        <v>92.6675</v>
      </c>
      <c r="U226" t="n">
        <v>100</v>
      </c>
      <c r="V226" t="n">
        <v>100</v>
      </c>
      <c r="W226" t="n">
        <v>100</v>
      </c>
      <c r="X226" t="n">
        <v>100</v>
      </c>
      <c r="Y226" t="n">
        <v>100</v>
      </c>
      <c r="Z226" t="n">
        <v>89.22929999999999</v>
      </c>
    </row>
    <row r="227">
      <c r="A227" t="inlineStr">
        <is>
          <t>MR24</t>
        </is>
      </c>
      <c r="B227" t="inlineStr">
        <is>
          <t>Merged_Table_Assay_lito</t>
        </is>
      </c>
      <c r="C227" t="inlineStr">
        <is>
          <t>RQD_pc</t>
        </is>
      </c>
      <c r="D227" t="inlineStr">
        <is>
          <t>%</t>
        </is>
      </c>
      <c r="E227" t="inlineStr">
        <is>
          <t>RT_RQD</t>
        </is>
      </c>
      <c r="F227" t="inlineStr">
        <is>
          <t>23_ZD</t>
        </is>
      </c>
      <c r="G227" t="inlineStr">
        <is>
          <t>Skarn</t>
        </is>
      </c>
      <c r="H227" t="inlineStr">
        <is>
          <t>Endoskarn_23</t>
        </is>
      </c>
      <c r="I227" t="inlineStr">
        <is>
          <t>Geologia_2024=Endoskarn_23</t>
        </is>
      </c>
      <c r="J227" t="inlineStr">
        <is>
          <t>Skarn</t>
        </is>
      </c>
      <c r="K227" t="inlineStr">
        <is>
          <t>Endoskarn</t>
        </is>
      </c>
      <c r="L227" t="inlineStr">
        <is>
          <t>media_pond = ponderada por largo de intervalo</t>
        </is>
      </c>
      <c r="M227" t="n">
        <v>62</v>
      </c>
      <c r="N227" t="n">
        <v>92.7987</v>
      </c>
      <c r="O227" t="n">
        <v>18.8322</v>
      </c>
      <c r="P227" t="n">
        <v>0.2029</v>
      </c>
      <c r="Q227" t="n">
        <v>6.67</v>
      </c>
      <c r="R227" t="n">
        <v>50.197</v>
      </c>
      <c r="S227" t="n">
        <v>88.33</v>
      </c>
      <c r="T227" t="n">
        <v>95.905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92.6032</v>
      </c>
    </row>
    <row r="228">
      <c r="A228" t="inlineStr">
        <is>
          <t>MR24</t>
        </is>
      </c>
      <c r="B228" t="inlineStr">
        <is>
          <t>Merged_Table_Assay_lito</t>
        </is>
      </c>
      <c r="C228" t="inlineStr">
        <is>
          <t>RQD_pc</t>
        </is>
      </c>
      <c r="D228" t="inlineStr">
        <is>
          <t>%</t>
        </is>
      </c>
      <c r="E228" t="inlineStr">
        <is>
          <t>RT_RQD</t>
        </is>
      </c>
      <c r="F228" t="inlineStr">
        <is>
          <t>2_No_ZD</t>
        </is>
      </c>
      <c r="G228" t="inlineStr">
        <is>
          <t>Intrusivo</t>
        </is>
      </c>
      <c r="H228" t="inlineStr">
        <is>
          <t>RT2</t>
        </is>
      </c>
      <c r="I228" t="inlineStr">
        <is>
          <t>Geologia_2024=Intrusivo_2</t>
        </is>
      </c>
      <c r="J228" t="inlineStr">
        <is>
          <t>Intrusivo</t>
        </is>
      </c>
      <c r="K228" t="inlineStr">
        <is>
          <t>Intrusivo</t>
        </is>
      </c>
      <c r="L228" t="inlineStr">
        <is>
          <t>media_pond = ponderada por largo de intervalo</t>
        </is>
      </c>
      <c r="M228" t="n">
        <v>2870</v>
      </c>
      <c r="N228" t="n">
        <v>96.5059</v>
      </c>
      <c r="O228" t="n">
        <v>9.420299999999999</v>
      </c>
      <c r="P228" t="n">
        <v>0.09760000000000001</v>
      </c>
      <c r="Q228" t="n">
        <v>0</v>
      </c>
      <c r="R228" t="n">
        <v>80.264</v>
      </c>
      <c r="S228" t="n">
        <v>90</v>
      </c>
      <c r="T228" t="n">
        <v>97.67</v>
      </c>
      <c r="U228" t="n">
        <v>100</v>
      </c>
      <c r="V228" t="n">
        <v>100</v>
      </c>
      <c r="W228" t="n">
        <v>100</v>
      </c>
      <c r="X228" t="n">
        <v>100</v>
      </c>
      <c r="Y228" t="n">
        <v>100</v>
      </c>
      <c r="Z228" t="n">
        <v>96.3428</v>
      </c>
    </row>
    <row r="229">
      <c r="A229" t="inlineStr">
        <is>
          <t>MR24</t>
        </is>
      </c>
      <c r="B229" t="inlineStr">
        <is>
          <t>Merged_Table_Assay_lito</t>
        </is>
      </c>
      <c r="C229" t="inlineStr">
        <is>
          <t>RQD_pc</t>
        </is>
      </c>
      <c r="D229" t="inlineStr">
        <is>
          <t>%</t>
        </is>
      </c>
      <c r="E229" t="inlineStr">
        <is>
          <t>RT_RQD</t>
        </is>
      </c>
      <c r="F229" t="inlineStr">
        <is>
          <t>2_ZD</t>
        </is>
      </c>
      <c r="G229" t="inlineStr">
        <is>
          <t>Intrusivo</t>
        </is>
      </c>
      <c r="H229" t="inlineStr">
        <is>
          <t>RT2</t>
        </is>
      </c>
      <c r="I229" t="inlineStr">
        <is>
          <t>Geologia_2024=Intrusivo_2</t>
        </is>
      </c>
      <c r="J229" t="inlineStr">
        <is>
          <t>Intrusivo</t>
        </is>
      </c>
      <c r="K229" t="inlineStr">
        <is>
          <t>Intrusivo</t>
        </is>
      </c>
      <c r="L229" t="inlineStr">
        <is>
          <t>media_pond = ponderada por largo de intervalo</t>
        </is>
      </c>
      <c r="M229" t="n">
        <v>1591</v>
      </c>
      <c r="N229" t="n">
        <v>93.9362</v>
      </c>
      <c r="O229" t="n">
        <v>15.1586</v>
      </c>
      <c r="P229" t="n">
        <v>0.1614</v>
      </c>
      <c r="Q229" t="n">
        <v>0</v>
      </c>
      <c r="R229" t="n">
        <v>68</v>
      </c>
      <c r="S229" t="n">
        <v>82.76000000000001</v>
      </c>
      <c r="T229" t="n">
        <v>95.2367</v>
      </c>
      <c r="U229" t="n">
        <v>100</v>
      </c>
      <c r="V229" t="n">
        <v>100</v>
      </c>
      <c r="W229" t="n">
        <v>100</v>
      </c>
      <c r="X229" t="n">
        <v>100</v>
      </c>
      <c r="Y229" t="n">
        <v>100</v>
      </c>
      <c r="Z229" t="n">
        <v>93.1242</v>
      </c>
    </row>
    <row r="230">
      <c r="A230" t="inlineStr">
        <is>
          <t>MR24</t>
        </is>
      </c>
      <c r="B230" t="inlineStr">
        <is>
          <t>Merged_Table_Assay_lito</t>
        </is>
      </c>
      <c r="C230" t="inlineStr">
        <is>
          <t>RQD_pc</t>
        </is>
      </c>
      <c r="D230" t="inlineStr">
        <is>
          <t>%</t>
        </is>
      </c>
      <c r="E230" t="inlineStr">
        <is>
          <t>RT_RQD</t>
        </is>
      </c>
      <c r="F230" t="inlineStr">
        <is>
          <t>31_No_ZD</t>
        </is>
      </c>
      <c r="G230" t="inlineStr">
        <is>
          <t>Skarn</t>
        </is>
      </c>
      <c r="H230" t="inlineStr">
        <is>
          <t>Exoskarn_31</t>
        </is>
      </c>
      <c r="I230" t="inlineStr">
        <is>
          <t>Geologia_2024=Exoskarn_31</t>
        </is>
      </c>
      <c r="J230" t="inlineStr">
        <is>
          <t>Skarn</t>
        </is>
      </c>
      <c r="K230" t="inlineStr">
        <is>
          <t>Exoskarn</t>
        </is>
      </c>
      <c r="L230" t="inlineStr">
        <is>
          <t>media_pond = ponderada por largo de intervalo</t>
        </is>
      </c>
      <c r="M230" t="n">
        <v>136</v>
      </c>
      <c r="N230" t="n">
        <v>78.539</v>
      </c>
      <c r="O230" t="n">
        <v>28.8768</v>
      </c>
      <c r="P230" t="n">
        <v>0.3677</v>
      </c>
      <c r="Q230" t="n">
        <v>0</v>
      </c>
      <c r="R230" t="n">
        <v>14.412</v>
      </c>
      <c r="S230" t="n">
        <v>33.33</v>
      </c>
      <c r="T230" t="n">
        <v>64.29000000000001</v>
      </c>
      <c r="U230" t="n">
        <v>93.215</v>
      </c>
      <c r="V230" t="n">
        <v>100</v>
      </c>
      <c r="W230" t="n">
        <v>100</v>
      </c>
      <c r="X230" t="n">
        <v>100</v>
      </c>
      <c r="Y230" t="n">
        <v>100</v>
      </c>
      <c r="Z230" t="n">
        <v>82.3691</v>
      </c>
    </row>
    <row r="231">
      <c r="A231" t="inlineStr">
        <is>
          <t>MR24</t>
        </is>
      </c>
      <c r="B231" t="inlineStr">
        <is>
          <t>Merged_Table_Assay_lito</t>
        </is>
      </c>
      <c r="C231" t="inlineStr">
        <is>
          <t>RQD_pc</t>
        </is>
      </c>
      <c r="D231" t="inlineStr">
        <is>
          <t>%</t>
        </is>
      </c>
      <c r="E231" t="inlineStr">
        <is>
          <t>RT_RQD</t>
        </is>
      </c>
      <c r="F231" t="inlineStr">
        <is>
          <t>31_ZD</t>
        </is>
      </c>
      <c r="G231" t="inlineStr">
        <is>
          <t>Skarn</t>
        </is>
      </c>
      <c r="H231" t="inlineStr">
        <is>
          <t>Exoskarn_31</t>
        </is>
      </c>
      <c r="I231" t="inlineStr">
        <is>
          <t>Geologia_2024=Exoskarn_31</t>
        </is>
      </c>
      <c r="J231" t="inlineStr">
        <is>
          <t>Skarn</t>
        </is>
      </c>
      <c r="K231" t="inlineStr">
        <is>
          <t>Exoskarn</t>
        </is>
      </c>
      <c r="L231" t="inlineStr">
        <is>
          <t>media_pond = ponderada por largo de intervalo</t>
        </is>
      </c>
      <c r="M231" t="n">
        <v>58</v>
      </c>
      <c r="N231" t="n">
        <v>86.98990000000001</v>
      </c>
      <c r="O231" t="n">
        <v>22.8748</v>
      </c>
      <c r="P231" t="n">
        <v>0.263</v>
      </c>
      <c r="Q231" t="n">
        <v>12.6954</v>
      </c>
      <c r="R231" t="n">
        <v>34.286</v>
      </c>
      <c r="S231" t="n">
        <v>49.669</v>
      </c>
      <c r="T231" t="n">
        <v>84.6675</v>
      </c>
      <c r="U231" t="n">
        <v>100</v>
      </c>
      <c r="V231" t="n">
        <v>100</v>
      </c>
      <c r="W231" t="n">
        <v>100</v>
      </c>
      <c r="X231" t="n">
        <v>100</v>
      </c>
      <c r="Y231" t="n">
        <v>100</v>
      </c>
      <c r="Z231" t="n">
        <v>87.73309999999999</v>
      </c>
    </row>
    <row r="232">
      <c r="A232" t="inlineStr">
        <is>
          <t>MR24</t>
        </is>
      </c>
      <c r="B232" t="inlineStr">
        <is>
          <t>Merged_Table_Assay_lito</t>
        </is>
      </c>
      <c r="C232" t="inlineStr">
        <is>
          <t>RQD_pc</t>
        </is>
      </c>
      <c r="D232" t="inlineStr">
        <is>
          <t>%</t>
        </is>
      </c>
      <c r="E232" t="inlineStr">
        <is>
          <t>RT_RQD</t>
        </is>
      </c>
      <c r="F232" t="inlineStr">
        <is>
          <t>32_No_ZD</t>
        </is>
      </c>
      <c r="G232" t="inlineStr">
        <is>
          <t>Skarn</t>
        </is>
      </c>
      <c r="H232" t="inlineStr">
        <is>
          <t>Exoskarn_32</t>
        </is>
      </c>
      <c r="I232" t="inlineStr">
        <is>
          <t>Geologia_2024=Exoskarn_32</t>
        </is>
      </c>
      <c r="J232" t="inlineStr">
        <is>
          <t>Skarn</t>
        </is>
      </c>
      <c r="K232" t="inlineStr">
        <is>
          <t>Exoskarn</t>
        </is>
      </c>
      <c r="L232" t="inlineStr">
        <is>
          <t>media_pond = ponderada por largo de intervalo</t>
        </is>
      </c>
      <c r="M232" t="n">
        <v>257</v>
      </c>
      <c r="N232" t="n">
        <v>85.8995</v>
      </c>
      <c r="O232" t="n">
        <v>20.9879</v>
      </c>
      <c r="P232" t="n">
        <v>0.2443</v>
      </c>
      <c r="Q232" t="n">
        <v>8.7967</v>
      </c>
      <c r="R232" t="n">
        <v>33.33</v>
      </c>
      <c r="S232" t="n">
        <v>53.516</v>
      </c>
      <c r="T232" t="n">
        <v>81.67</v>
      </c>
      <c r="U232" t="n">
        <v>95.2381</v>
      </c>
      <c r="V232" t="n">
        <v>100</v>
      </c>
      <c r="W232" t="n">
        <v>100</v>
      </c>
      <c r="X232" t="n">
        <v>100</v>
      </c>
      <c r="Y232" t="n">
        <v>100</v>
      </c>
      <c r="Z232" t="n">
        <v>87.0883</v>
      </c>
    </row>
    <row r="233">
      <c r="A233" t="inlineStr">
        <is>
          <t>MR24</t>
        </is>
      </c>
      <c r="B233" t="inlineStr">
        <is>
          <t>Merged_Table_Assay_lito</t>
        </is>
      </c>
      <c r="C233" t="inlineStr">
        <is>
          <t>RQD_pc</t>
        </is>
      </c>
      <c r="D233" t="inlineStr">
        <is>
          <t>%</t>
        </is>
      </c>
      <c r="E233" t="inlineStr">
        <is>
          <t>RT_RQD</t>
        </is>
      </c>
      <c r="F233" t="inlineStr">
        <is>
          <t>32_ZD</t>
        </is>
      </c>
      <c r="G233" t="inlineStr">
        <is>
          <t>Skarn</t>
        </is>
      </c>
      <c r="H233" t="inlineStr">
        <is>
          <t>Exoskarn_32</t>
        </is>
      </c>
      <c r="I233" t="inlineStr">
        <is>
          <t>Geologia_2024=Exoskarn_32</t>
        </is>
      </c>
      <c r="J233" t="inlineStr">
        <is>
          <t>Skarn</t>
        </is>
      </c>
      <c r="K233" t="inlineStr">
        <is>
          <t>Exoskarn</t>
        </is>
      </c>
      <c r="L233" t="inlineStr">
        <is>
          <t>media_pond = ponderada por largo de intervalo</t>
        </is>
      </c>
      <c r="M233" t="n">
        <v>50</v>
      </c>
      <c r="N233" t="n">
        <v>78.8434</v>
      </c>
      <c r="O233" t="n">
        <v>27.5466</v>
      </c>
      <c r="P233" t="n">
        <v>0.3494</v>
      </c>
      <c r="Q233" t="n">
        <v>19.8413</v>
      </c>
      <c r="R233" t="n">
        <v>26.67</v>
      </c>
      <c r="S233" t="n">
        <v>32.5471</v>
      </c>
      <c r="T233" t="n">
        <v>56.738</v>
      </c>
      <c r="U233" t="n">
        <v>96.0016</v>
      </c>
      <c r="V233" t="n">
        <v>100</v>
      </c>
      <c r="W233" t="n">
        <v>100</v>
      </c>
      <c r="X233" t="n">
        <v>100</v>
      </c>
      <c r="Y233" t="n">
        <v>100</v>
      </c>
      <c r="Z233" t="n">
        <v>76.2681</v>
      </c>
    </row>
    <row r="234">
      <c r="A234" t="inlineStr">
        <is>
          <t>MR24</t>
        </is>
      </c>
      <c r="B234" t="inlineStr">
        <is>
          <t>Merged_Table_Assay_lito</t>
        </is>
      </c>
      <c r="C234" t="inlineStr">
        <is>
          <t>RQD_pc</t>
        </is>
      </c>
      <c r="D234" t="inlineStr">
        <is>
          <t>%</t>
        </is>
      </c>
      <c r="E234" t="inlineStr">
        <is>
          <t>RT_RQD</t>
        </is>
      </c>
      <c r="F234" t="inlineStr">
        <is>
          <t>34_No_ZD</t>
        </is>
      </c>
      <c r="G234" t="inlineStr">
        <is>
          <t>Skarn</t>
        </is>
      </c>
      <c r="H234" t="inlineStr">
        <is>
          <t>Exoskarn_34</t>
        </is>
      </c>
      <c r="I234" t="inlineStr">
        <is>
          <t>Geologia_2024=Exoskarn_34</t>
        </is>
      </c>
      <c r="J234" t="inlineStr">
        <is>
          <t>Skarn</t>
        </is>
      </c>
      <c r="K234" t="inlineStr">
        <is>
          <t>Exoskarn</t>
        </is>
      </c>
      <c r="L234" t="inlineStr">
        <is>
          <t>media_pond = ponderada por largo de intervalo</t>
        </is>
      </c>
      <c r="M234" t="n">
        <v>567</v>
      </c>
      <c r="N234" t="n">
        <v>94.7187</v>
      </c>
      <c r="O234" t="n">
        <v>11.7763</v>
      </c>
      <c r="P234" t="n">
        <v>0.1243</v>
      </c>
      <c r="Q234" t="n">
        <v>14.2857</v>
      </c>
      <c r="R234" t="n">
        <v>68.75</v>
      </c>
      <c r="S234" t="n">
        <v>84.6193</v>
      </c>
      <c r="T234" t="n">
        <v>95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95.1133</v>
      </c>
    </row>
    <row r="235">
      <c r="A235" t="inlineStr">
        <is>
          <t>MR24</t>
        </is>
      </c>
      <c r="B235" t="inlineStr">
        <is>
          <t>Merged_Table_Assay_lito</t>
        </is>
      </c>
      <c r="C235" t="inlineStr">
        <is>
          <t>RQD_pc</t>
        </is>
      </c>
      <c r="D235" t="inlineStr">
        <is>
          <t>%</t>
        </is>
      </c>
      <c r="E235" t="inlineStr">
        <is>
          <t>RT_RQD</t>
        </is>
      </c>
      <c r="F235" t="inlineStr">
        <is>
          <t>34_ZD</t>
        </is>
      </c>
      <c r="G235" t="inlineStr">
        <is>
          <t>Skarn</t>
        </is>
      </c>
      <c r="H235" t="inlineStr">
        <is>
          <t>Exoskarn_34</t>
        </is>
      </c>
      <c r="I235" t="inlineStr">
        <is>
          <t>Geologia_2024=Exoskarn_34</t>
        </is>
      </c>
      <c r="J235" t="inlineStr">
        <is>
          <t>Skarn</t>
        </is>
      </c>
      <c r="K235" t="inlineStr">
        <is>
          <t>Exoskarn</t>
        </is>
      </c>
      <c r="L235" t="inlineStr">
        <is>
          <t>media_pond = ponderada por largo de intervalo</t>
        </is>
      </c>
      <c r="M235" t="n">
        <v>652</v>
      </c>
      <c r="N235" t="n">
        <v>95.4645</v>
      </c>
      <c r="O235" t="n">
        <v>10.7118</v>
      </c>
      <c r="P235" t="n">
        <v>0.1122</v>
      </c>
      <c r="Q235" t="n">
        <v>9.17</v>
      </c>
      <c r="R235" t="n">
        <v>77.129</v>
      </c>
      <c r="S235" t="n">
        <v>87.5</v>
      </c>
      <c r="T235" t="n">
        <v>95.889</v>
      </c>
      <c r="U235" t="n">
        <v>100</v>
      </c>
      <c r="V235" t="n">
        <v>100</v>
      </c>
      <c r="W235" t="n">
        <v>100</v>
      </c>
      <c r="X235" t="n">
        <v>100</v>
      </c>
      <c r="Y235" t="n">
        <v>100</v>
      </c>
      <c r="Z235" t="n">
        <v>95.65389999999999</v>
      </c>
    </row>
    <row r="236">
      <c r="A236" t="inlineStr">
        <is>
          <t>MR24</t>
        </is>
      </c>
      <c r="B236" t="inlineStr">
        <is>
          <t>Merged_Table_Assay_lito</t>
        </is>
      </c>
      <c r="C236" t="inlineStr">
        <is>
          <t>RQD_pc</t>
        </is>
      </c>
      <c r="D236" t="inlineStr">
        <is>
          <t>%</t>
        </is>
      </c>
      <c r="E236" t="inlineStr">
        <is>
          <t>RT_RQD</t>
        </is>
      </c>
      <c r="F236" t="inlineStr">
        <is>
          <t>35_No_ZD</t>
        </is>
      </c>
      <c r="G236" t="inlineStr">
        <is>
          <t>Skarn</t>
        </is>
      </c>
      <c r="H236" t="inlineStr">
        <is>
          <t>Exoskarn_35</t>
        </is>
      </c>
      <c r="I236" t="inlineStr">
        <is>
          <t>Geologia_2024=Exoskarn_35</t>
        </is>
      </c>
      <c r="J236" t="inlineStr">
        <is>
          <t>Skarn</t>
        </is>
      </c>
      <c r="K236" t="inlineStr">
        <is>
          <t>Exoskarn</t>
        </is>
      </c>
      <c r="L236" t="inlineStr">
        <is>
          <t>media_pond = ponderada por largo de intervalo</t>
        </is>
      </c>
      <c r="M236" t="n">
        <v>199</v>
      </c>
      <c r="N236" t="n">
        <v>97.85299999999999</v>
      </c>
      <c r="O236" t="n">
        <v>4.9887</v>
      </c>
      <c r="P236" t="n">
        <v>0.051</v>
      </c>
      <c r="Q236" t="n">
        <v>50</v>
      </c>
      <c r="R236" t="n">
        <v>91.60299999999999</v>
      </c>
      <c r="S236" t="n">
        <v>93.26000000000001</v>
      </c>
      <c r="T236" t="n">
        <v>96.67</v>
      </c>
      <c r="U236" t="n">
        <v>100</v>
      </c>
      <c r="V236" t="n">
        <v>100</v>
      </c>
      <c r="W236" t="n">
        <v>100</v>
      </c>
      <c r="X236" t="n">
        <v>100</v>
      </c>
      <c r="Y236" t="n">
        <v>100</v>
      </c>
      <c r="Z236" t="n">
        <v>97.7912</v>
      </c>
    </row>
    <row r="237">
      <c r="A237" t="inlineStr">
        <is>
          <t>MR24</t>
        </is>
      </c>
      <c r="B237" t="inlineStr">
        <is>
          <t>Merged_Table_Assay_lito</t>
        </is>
      </c>
      <c r="C237" t="inlineStr">
        <is>
          <t>RQD_pc</t>
        </is>
      </c>
      <c r="D237" t="inlineStr">
        <is>
          <t>%</t>
        </is>
      </c>
      <c r="E237" t="inlineStr">
        <is>
          <t>RT_RQD</t>
        </is>
      </c>
      <c r="F237" t="inlineStr">
        <is>
          <t>35_ZD</t>
        </is>
      </c>
      <c r="G237" t="inlineStr">
        <is>
          <t>Skarn</t>
        </is>
      </c>
      <c r="H237" t="inlineStr">
        <is>
          <t>Exoskarn_35</t>
        </is>
      </c>
      <c r="I237" t="inlineStr">
        <is>
          <t>Geologia_2024=Exoskarn_35</t>
        </is>
      </c>
      <c r="J237" t="inlineStr">
        <is>
          <t>Skarn</t>
        </is>
      </c>
      <c r="K237" t="inlineStr">
        <is>
          <t>Exoskarn</t>
        </is>
      </c>
      <c r="L237" t="inlineStr">
        <is>
          <t>media_pond = ponderada por largo de intervalo</t>
        </is>
      </c>
      <c r="M237" t="n">
        <v>53</v>
      </c>
      <c r="N237" t="n">
        <v>93.3385</v>
      </c>
      <c r="O237" t="n">
        <v>15.1711</v>
      </c>
      <c r="P237" t="n">
        <v>0.1625</v>
      </c>
      <c r="Q237" t="n">
        <v>21.498</v>
      </c>
      <c r="R237" t="n">
        <v>64.998</v>
      </c>
      <c r="S237" t="n">
        <v>78.37439999999999</v>
      </c>
      <c r="T237" t="n">
        <v>93.33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94.5307</v>
      </c>
    </row>
    <row r="238">
      <c r="A238" t="inlineStr">
        <is>
          <t>MR24</t>
        </is>
      </c>
      <c r="B238" t="inlineStr">
        <is>
          <t>Merged_Table_Assay_lito</t>
        </is>
      </c>
      <c r="C238" t="inlineStr">
        <is>
          <t>RQD_pc</t>
        </is>
      </c>
      <c r="D238" t="inlineStr">
        <is>
          <t>%</t>
        </is>
      </c>
      <c r="E238" t="inlineStr">
        <is>
          <t>RT_RQD</t>
        </is>
      </c>
      <c r="F238" t="inlineStr">
        <is>
          <t>36_No_ZD</t>
        </is>
      </c>
      <c r="G238" t="inlineStr">
        <is>
          <t>Skarn</t>
        </is>
      </c>
      <c r="H238" t="inlineStr">
        <is>
          <t>Exoskarn_36</t>
        </is>
      </c>
      <c r="I238" t="inlineStr">
        <is>
          <t>Geologia_2024=Exoskarn_36</t>
        </is>
      </c>
      <c r="J238" t="inlineStr">
        <is>
          <t>Skarn</t>
        </is>
      </c>
      <c r="K238" t="inlineStr">
        <is>
          <t>Exoskarn</t>
        </is>
      </c>
      <c r="L238" t="inlineStr">
        <is>
          <t>media_pond = ponderada por largo de intervalo</t>
        </is>
      </c>
      <c r="M238" t="n">
        <v>64</v>
      </c>
      <c r="N238" t="n">
        <v>91.98390000000001</v>
      </c>
      <c r="O238" t="n">
        <v>14.0315</v>
      </c>
      <c r="P238" t="n">
        <v>0.1525</v>
      </c>
      <c r="Q238" t="n">
        <v>36.67</v>
      </c>
      <c r="R238" t="n">
        <v>58.986</v>
      </c>
      <c r="S238" t="n">
        <v>69.729</v>
      </c>
      <c r="T238" t="n">
        <v>91.5518</v>
      </c>
      <c r="U238" t="n">
        <v>98.33</v>
      </c>
      <c r="V238" t="n">
        <v>100</v>
      </c>
      <c r="W238" t="n">
        <v>100</v>
      </c>
      <c r="X238" t="n">
        <v>100</v>
      </c>
      <c r="Y238" t="n">
        <v>100</v>
      </c>
      <c r="Z238" t="n">
        <v>90.2743</v>
      </c>
    </row>
    <row r="239">
      <c r="A239" t="inlineStr">
        <is>
          <t>MR24</t>
        </is>
      </c>
      <c r="B239" t="inlineStr">
        <is>
          <t>Merged_Table_Assay_lito</t>
        </is>
      </c>
      <c r="C239" t="inlineStr">
        <is>
          <t>RQD_pc</t>
        </is>
      </c>
      <c r="D239" t="inlineStr">
        <is>
          <t>%</t>
        </is>
      </c>
      <c r="E239" t="inlineStr">
        <is>
          <t>RT_RQD</t>
        </is>
      </c>
      <c r="F239" t="inlineStr">
        <is>
          <t>36_ZD</t>
        </is>
      </c>
      <c r="G239" t="inlineStr">
        <is>
          <t>Skarn</t>
        </is>
      </c>
      <c r="H239" t="inlineStr">
        <is>
          <t>Exoskarn_36</t>
        </is>
      </c>
      <c r="I239" t="inlineStr">
        <is>
          <t>Geologia_2024=Exoskarn_36</t>
        </is>
      </c>
      <c r="J239" t="inlineStr">
        <is>
          <t>Skarn</t>
        </is>
      </c>
      <c r="K239" t="inlineStr">
        <is>
          <t>Exoskarn</t>
        </is>
      </c>
      <c r="L239" t="inlineStr">
        <is>
          <t>media_pond = ponderada por largo de intervalo</t>
        </is>
      </c>
      <c r="M239" t="n">
        <v>66</v>
      </c>
      <c r="N239" t="n">
        <v>97.4216</v>
      </c>
      <c r="O239" t="n">
        <v>5.2255</v>
      </c>
      <c r="P239" t="n">
        <v>0.0536</v>
      </c>
      <c r="Q239" t="n">
        <v>70.6897</v>
      </c>
      <c r="R239" t="n">
        <v>88.21429999999999</v>
      </c>
      <c r="S239" t="n">
        <v>93.1818</v>
      </c>
      <c r="T239" t="n">
        <v>96.04000000000001</v>
      </c>
      <c r="U239" t="n">
        <v>100</v>
      </c>
      <c r="V239" t="n">
        <v>100</v>
      </c>
      <c r="W239" t="n">
        <v>100</v>
      </c>
      <c r="X239" t="n">
        <v>100</v>
      </c>
      <c r="Y239" t="n">
        <v>100</v>
      </c>
      <c r="Z239" t="n">
        <v>97.22629999999999</v>
      </c>
    </row>
    <row r="240">
      <c r="A240" t="inlineStr">
        <is>
          <t>MR24</t>
        </is>
      </c>
      <c r="B240" t="inlineStr">
        <is>
          <t>Merged_Table_Assay_lito</t>
        </is>
      </c>
      <c r="C240" t="inlineStr">
        <is>
          <t>RQD_pc</t>
        </is>
      </c>
      <c r="D240" t="inlineStr">
        <is>
          <t>%</t>
        </is>
      </c>
      <c r="E240" t="inlineStr">
        <is>
          <t>RT_RQD</t>
        </is>
      </c>
      <c r="F240" t="inlineStr">
        <is>
          <t>37_No_ZD</t>
        </is>
      </c>
      <c r="G240" t="inlineStr">
        <is>
          <t>Skarn</t>
        </is>
      </c>
      <c r="H240" t="inlineStr">
        <is>
          <t>Exoskarn_37</t>
        </is>
      </c>
      <c r="I240" t="inlineStr">
        <is>
          <t>Geologia_2024=Exoskarn_37</t>
        </is>
      </c>
      <c r="J240" t="inlineStr">
        <is>
          <t>Skarn</t>
        </is>
      </c>
      <c r="K240" t="inlineStr">
        <is>
          <t>Exoskarn</t>
        </is>
      </c>
      <c r="L240" t="inlineStr">
        <is>
          <t>media_pond = ponderada por largo de intervalo</t>
        </is>
      </c>
      <c r="M240" t="n">
        <v>355</v>
      </c>
      <c r="N240" t="n">
        <v>93.3874</v>
      </c>
      <c r="O240" t="n">
        <v>15.9251</v>
      </c>
      <c r="P240" t="n">
        <v>0.1705</v>
      </c>
      <c r="Q240" t="n">
        <v>0</v>
      </c>
      <c r="R240" t="n">
        <v>59.301</v>
      </c>
      <c r="S240" t="n">
        <v>80.14400000000001</v>
      </c>
      <c r="T240" t="n">
        <v>95.4984</v>
      </c>
      <c r="U240" t="n">
        <v>100</v>
      </c>
      <c r="V240" t="n">
        <v>100</v>
      </c>
      <c r="W240" t="n">
        <v>100</v>
      </c>
      <c r="X240" t="n">
        <v>100</v>
      </c>
      <c r="Y240" t="n">
        <v>100</v>
      </c>
      <c r="Z240" t="n">
        <v>94.0316</v>
      </c>
    </row>
    <row r="241">
      <c r="A241" t="inlineStr">
        <is>
          <t>MR24</t>
        </is>
      </c>
      <c r="B241" t="inlineStr">
        <is>
          <t>Merged_Table_Assay_lito</t>
        </is>
      </c>
      <c r="C241" t="inlineStr">
        <is>
          <t>RQD_pc</t>
        </is>
      </c>
      <c r="D241" t="inlineStr">
        <is>
          <t>%</t>
        </is>
      </c>
      <c r="E241" t="inlineStr">
        <is>
          <t>RT_RQD</t>
        </is>
      </c>
      <c r="F241" t="inlineStr">
        <is>
          <t>37_ZD</t>
        </is>
      </c>
      <c r="G241" t="inlineStr">
        <is>
          <t>Skarn</t>
        </is>
      </c>
      <c r="H241" t="inlineStr">
        <is>
          <t>Exoskarn_37</t>
        </is>
      </c>
      <c r="I241" t="inlineStr">
        <is>
          <t>Geologia_2024=Exoskarn_37</t>
        </is>
      </c>
      <c r="J241" t="inlineStr">
        <is>
          <t>Skarn</t>
        </is>
      </c>
      <c r="K241" t="inlineStr">
        <is>
          <t>Exoskarn</t>
        </is>
      </c>
      <c r="L241" t="inlineStr">
        <is>
          <t>media_pond = ponderada por largo de intervalo</t>
        </is>
      </c>
      <c r="M241" t="n">
        <v>129</v>
      </c>
      <c r="N241" t="n">
        <v>92.0568</v>
      </c>
      <c r="O241" t="n">
        <v>11.8584</v>
      </c>
      <c r="P241" t="n">
        <v>0.1288</v>
      </c>
      <c r="Q241" t="n">
        <v>33.33</v>
      </c>
      <c r="R241" t="n">
        <v>67.67</v>
      </c>
      <c r="S241" t="n">
        <v>73.33</v>
      </c>
      <c r="T241" t="n">
        <v>89.23399999999999</v>
      </c>
      <c r="U241" t="n">
        <v>98.33</v>
      </c>
      <c r="V241" t="n">
        <v>100</v>
      </c>
      <c r="W241" t="n">
        <v>100</v>
      </c>
      <c r="X241" t="n">
        <v>100</v>
      </c>
      <c r="Y241" t="n">
        <v>100</v>
      </c>
      <c r="Z241" t="n">
        <v>93.8715</v>
      </c>
    </row>
    <row r="242">
      <c r="A242" t="inlineStr">
        <is>
          <t>MR24</t>
        </is>
      </c>
      <c r="B242" t="inlineStr">
        <is>
          <t>Merged_Table_Assay_lito</t>
        </is>
      </c>
      <c r="C242" t="inlineStr">
        <is>
          <t>RQD_pc</t>
        </is>
      </c>
      <c r="D242" t="inlineStr">
        <is>
          <t>%</t>
        </is>
      </c>
      <c r="E242" t="inlineStr">
        <is>
          <t>RT_RQD</t>
        </is>
      </c>
      <c r="F242" t="inlineStr">
        <is>
          <t>50_No_ZD</t>
        </is>
      </c>
      <c r="G242" t="inlineStr">
        <is>
          <t>Otra</t>
        </is>
      </c>
      <c r="H242" t="inlineStr">
        <is>
          <t>Brechas_50</t>
        </is>
      </c>
      <c r="I242" t="inlineStr">
        <is>
          <t>Geologia_2024=Brechas_50</t>
        </is>
      </c>
      <c r="J242" t="inlineStr">
        <is>
          <t>Otra (Brechas)</t>
        </is>
      </c>
      <c r="K242" t="inlineStr">
        <is>
          <t>Brechas</t>
        </is>
      </c>
      <c r="L242" t="inlineStr">
        <is>
          <t>media_pond = ponderada por largo de intervalo</t>
        </is>
      </c>
      <c r="M242" t="n">
        <v>46</v>
      </c>
      <c r="N242" t="n">
        <v>43.2979</v>
      </c>
      <c r="O242" t="n">
        <v>35.0303</v>
      </c>
      <c r="P242" t="n">
        <v>0.8091</v>
      </c>
      <c r="Q242" t="n">
        <v>0</v>
      </c>
      <c r="R242" t="n">
        <v>0</v>
      </c>
      <c r="S242" t="n">
        <v>0</v>
      </c>
      <c r="T242" t="n">
        <v>18.33</v>
      </c>
      <c r="U242" t="n">
        <v>29.984</v>
      </c>
      <c r="V242" t="n">
        <v>82.6725</v>
      </c>
      <c r="W242" t="n">
        <v>95</v>
      </c>
      <c r="X242" t="n">
        <v>98.75</v>
      </c>
      <c r="Y242" t="n">
        <v>100</v>
      </c>
      <c r="Z242" t="n">
        <v>36.7516</v>
      </c>
    </row>
    <row r="243">
      <c r="A243" t="inlineStr">
        <is>
          <t>MR24</t>
        </is>
      </c>
      <c r="B243" t="inlineStr">
        <is>
          <t>Merged_Table_Assay_lito</t>
        </is>
      </c>
      <c r="C243" t="inlineStr">
        <is>
          <t>RQD_pc</t>
        </is>
      </c>
      <c r="D243" t="inlineStr">
        <is>
          <t>%</t>
        </is>
      </c>
      <c r="E243" t="inlineStr">
        <is>
          <t>RT_RQD</t>
        </is>
      </c>
      <c r="F243" t="inlineStr">
        <is>
          <t>51_No_ZD</t>
        </is>
      </c>
      <c r="G243" t="inlineStr">
        <is>
          <t>sin asignar</t>
        </is>
      </c>
      <c r="H243" t="inlineStr">
        <is>
          <t>RT51</t>
        </is>
      </c>
      <c r="I243" t="inlineStr">
        <is>
          <t>código sin etiqueta en los datos</t>
        </is>
      </c>
      <c r="J243" t="inlineStr">
        <is>
          <t>sin hipótesis</t>
        </is>
      </c>
      <c r="K243" t="inlineStr">
        <is>
          <t>sin leyenda</t>
        </is>
      </c>
      <c r="L243" t="inlineStr">
        <is>
          <t>media_pond = ponderada por largo de intervalo</t>
        </is>
      </c>
      <c r="M243" t="n">
        <v>13</v>
      </c>
      <c r="N243" t="n">
        <v>71.256</v>
      </c>
      <c r="O243" t="n">
        <v>32.6465</v>
      </c>
      <c r="P243" t="n">
        <v>0.4582</v>
      </c>
      <c r="Q243" t="n">
        <v>3.7931</v>
      </c>
      <c r="R243" t="n">
        <v>12.0412</v>
      </c>
      <c r="S243" t="n">
        <v>21.032</v>
      </c>
      <c r="T243" t="n">
        <v>57.931</v>
      </c>
      <c r="U243" t="n">
        <v>85</v>
      </c>
      <c r="V243" t="n">
        <v>90.35469999999999</v>
      </c>
      <c r="W243" t="n">
        <v>100</v>
      </c>
      <c r="X243" t="n">
        <v>100</v>
      </c>
      <c r="Y243" t="n">
        <v>100</v>
      </c>
      <c r="Z243" t="n">
        <v>78.2059</v>
      </c>
    </row>
    <row r="244">
      <c r="A244" t="inlineStr">
        <is>
          <t>MR24</t>
        </is>
      </c>
      <c r="B244" t="inlineStr">
        <is>
          <t>Merged_Table_Assay_lito</t>
        </is>
      </c>
      <c r="C244" t="inlineStr">
        <is>
          <t>RQD_pc</t>
        </is>
      </c>
      <c r="D244" t="inlineStr">
        <is>
          <t>%</t>
        </is>
      </c>
      <c r="E244" t="inlineStr">
        <is>
          <t>RT_RQD</t>
        </is>
      </c>
      <c r="F244" t="inlineStr">
        <is>
          <t>51_ZD</t>
        </is>
      </c>
      <c r="G244" t="inlineStr">
        <is>
          <t>sin asignar</t>
        </is>
      </c>
      <c r="H244" t="inlineStr">
        <is>
          <t>RT51</t>
        </is>
      </c>
      <c r="I244" t="inlineStr">
        <is>
          <t>código sin etiqueta en los datos</t>
        </is>
      </c>
      <c r="J244" t="inlineStr">
        <is>
          <t>sin hipótesis</t>
        </is>
      </c>
      <c r="K244" t="inlineStr">
        <is>
          <t>sin leyenda</t>
        </is>
      </c>
      <c r="L244" t="inlineStr">
        <is>
          <t>media_pond = ponderada por largo de intervalo</t>
        </is>
      </c>
      <c r="M244" t="n">
        <v>12</v>
      </c>
      <c r="N244" t="n">
        <v>70.5946</v>
      </c>
      <c r="O244" t="n">
        <v>26.7067</v>
      </c>
      <c r="P244" t="n">
        <v>0.3783</v>
      </c>
      <c r="Q244" t="n">
        <v>16</v>
      </c>
      <c r="R244" t="n">
        <v>24.9048</v>
      </c>
      <c r="S244" t="n">
        <v>33.8237</v>
      </c>
      <c r="T244" t="n">
        <v>54.1305</v>
      </c>
      <c r="U244" t="n">
        <v>81.4881</v>
      </c>
      <c r="V244" t="n">
        <v>87.1267</v>
      </c>
      <c r="W244" t="n">
        <v>96.41970000000001</v>
      </c>
      <c r="X244" t="n">
        <v>98.16849999999999</v>
      </c>
      <c r="Y244" t="n">
        <v>100</v>
      </c>
      <c r="Z244" t="n">
        <v>73.682</v>
      </c>
    </row>
    <row r="245">
      <c r="A245" t="inlineStr">
        <is>
          <t>MR24</t>
        </is>
      </c>
      <c r="B245" t="inlineStr">
        <is>
          <t>Merged_Table_Assay_lito</t>
        </is>
      </c>
      <c r="C245" t="inlineStr">
        <is>
          <t>RQD_pc</t>
        </is>
      </c>
      <c r="D245" t="inlineStr">
        <is>
          <t>%</t>
        </is>
      </c>
      <c r="E245" t="inlineStr">
        <is>
          <t>RT_RQD</t>
        </is>
      </c>
      <c r="F245" t="inlineStr">
        <is>
          <t>52_No_ZD</t>
        </is>
      </c>
      <c r="G245" t="inlineStr">
        <is>
          <t>sin asignar</t>
        </is>
      </c>
      <c r="H245" t="inlineStr">
        <is>
          <t>RT52</t>
        </is>
      </c>
      <c r="I245" t="inlineStr">
        <is>
          <t>código sin etiqueta en los datos</t>
        </is>
      </c>
      <c r="J245" t="inlineStr">
        <is>
          <t>sin hipótesis</t>
        </is>
      </c>
      <c r="K245" t="inlineStr">
        <is>
          <t>sin leyenda</t>
        </is>
      </c>
      <c r="L245" t="inlineStr">
        <is>
          <t>media_pond = ponderada por largo de intervalo</t>
        </is>
      </c>
      <c r="M245" t="n">
        <v>14</v>
      </c>
      <c r="N245" t="n">
        <v>51.7203</v>
      </c>
      <c r="O245" t="n">
        <v>31.7767</v>
      </c>
      <c r="P245" t="n">
        <v>0.6143999999999999</v>
      </c>
      <c r="Q245" t="n">
        <v>0</v>
      </c>
      <c r="R245" t="n">
        <v>0</v>
      </c>
      <c r="S245" t="n">
        <v>4.3762</v>
      </c>
      <c r="T245" t="n">
        <v>28.33</v>
      </c>
      <c r="U245" t="n">
        <v>60.9087</v>
      </c>
      <c r="V245" t="n">
        <v>72.68000000000001</v>
      </c>
      <c r="W245" t="n">
        <v>86.40000000000001</v>
      </c>
      <c r="X245" t="n">
        <v>89.5655</v>
      </c>
      <c r="Y245" t="n">
        <v>94.33</v>
      </c>
      <c r="Z245" t="n">
        <v>52.9745</v>
      </c>
    </row>
    <row r="246">
      <c r="A246" t="inlineStr">
        <is>
          <t>MR24</t>
        </is>
      </c>
      <c r="B246" t="inlineStr">
        <is>
          <t>Merged_Table_Assay_lito</t>
        </is>
      </c>
      <c r="C246" t="inlineStr">
        <is>
          <t>RQD_pc</t>
        </is>
      </c>
      <c r="D246" t="inlineStr">
        <is>
          <t>%</t>
        </is>
      </c>
      <c r="E246" t="inlineStr">
        <is>
          <t>RT_RQD</t>
        </is>
      </c>
      <c r="F246" t="inlineStr">
        <is>
          <t>52_ZD</t>
        </is>
      </c>
      <c r="G246" t="inlineStr">
        <is>
          <t>sin asignar</t>
        </is>
      </c>
      <c r="H246" t="inlineStr">
        <is>
          <t>RT52</t>
        </is>
      </c>
      <c r="I246" t="inlineStr">
        <is>
          <t>código sin etiqueta en los datos</t>
        </is>
      </c>
      <c r="J246" t="inlineStr">
        <is>
          <t>sin hipótesis</t>
        </is>
      </c>
      <c r="K246" t="inlineStr">
        <is>
          <t>sin leyenda</t>
        </is>
      </c>
      <c r="L246" t="inlineStr">
        <is>
          <t>media_pond = ponderada por largo de intervalo</t>
        </is>
      </c>
      <c r="M246" t="n">
        <v>2</v>
      </c>
      <c r="N246" t="n">
        <v>21.9556</v>
      </c>
      <c r="O246" t="n">
        <v>31.0499</v>
      </c>
      <c r="P246" t="n">
        <v>1.4142</v>
      </c>
      <c r="Q246" t="n">
        <v>0</v>
      </c>
      <c r="R246" t="n">
        <v>2.1956</v>
      </c>
      <c r="S246" t="n">
        <v>4.3911</v>
      </c>
      <c r="T246" t="n">
        <v>10.9778</v>
      </c>
      <c r="U246" t="n">
        <v>21.9556</v>
      </c>
      <c r="V246" t="n">
        <v>32.9334</v>
      </c>
      <c r="W246" t="n">
        <v>39.52</v>
      </c>
      <c r="X246" t="n">
        <v>41.7156</v>
      </c>
      <c r="Y246" t="n">
        <v>43.9111</v>
      </c>
      <c r="Z246" t="n">
        <v>22.6209</v>
      </c>
    </row>
    <row r="247">
      <c r="A247" t="inlineStr">
        <is>
          <t>MR24</t>
        </is>
      </c>
      <c r="B247" t="inlineStr">
        <is>
          <t>Merged_Table_Assay_lito</t>
        </is>
      </c>
      <c r="C247" t="inlineStr">
        <is>
          <t>RQD_pc</t>
        </is>
      </c>
      <c r="D247" t="inlineStr">
        <is>
          <t>%</t>
        </is>
      </c>
      <c r="E247" t="inlineStr">
        <is>
          <t>RT_RQD</t>
        </is>
      </c>
      <c r="F247" t="inlineStr">
        <is>
          <t>53_No_ZD</t>
        </is>
      </c>
      <c r="G247" t="inlineStr">
        <is>
          <t>sin asignar</t>
        </is>
      </c>
      <c r="H247" t="inlineStr">
        <is>
          <t>RT53</t>
        </is>
      </c>
      <c r="I247" t="inlineStr">
        <is>
          <t>código sin etiqueta en los datos</t>
        </is>
      </c>
      <c r="J247" t="inlineStr">
        <is>
          <t>sin hipótesis</t>
        </is>
      </c>
      <c r="K247" t="inlineStr">
        <is>
          <t>sin leyenda</t>
        </is>
      </c>
      <c r="L247" t="inlineStr">
        <is>
          <t>media_pond = ponderada por largo de intervalo</t>
        </is>
      </c>
      <c r="M247" t="n">
        <v>79</v>
      </c>
      <c r="N247" t="n">
        <v>41.7596</v>
      </c>
      <c r="O247" t="n">
        <v>40.6751</v>
      </c>
      <c r="P247" t="n">
        <v>0.974</v>
      </c>
      <c r="Q247" t="n">
        <v>0</v>
      </c>
      <c r="R247" t="n">
        <v>0</v>
      </c>
      <c r="S247" t="n">
        <v>0</v>
      </c>
      <c r="T247" t="n">
        <v>0</v>
      </c>
      <c r="U247" t="n">
        <v>30</v>
      </c>
      <c r="V247" t="n">
        <v>80.4783</v>
      </c>
      <c r="W247" t="n">
        <v>100</v>
      </c>
      <c r="X247" t="n">
        <v>100</v>
      </c>
      <c r="Y247" t="n">
        <v>100</v>
      </c>
      <c r="Z247" t="n">
        <v>38.3547</v>
      </c>
    </row>
    <row r="248">
      <c r="A248" t="inlineStr">
        <is>
          <t>MR24</t>
        </is>
      </c>
      <c r="B248" t="inlineStr">
        <is>
          <t>Merged_Table_Assay_lito</t>
        </is>
      </c>
      <c r="C248" t="inlineStr">
        <is>
          <t>RQD_pc</t>
        </is>
      </c>
      <c r="D248" t="inlineStr">
        <is>
          <t>%</t>
        </is>
      </c>
      <c r="E248" t="inlineStr">
        <is>
          <t>RT_RQD</t>
        </is>
      </c>
      <c r="F248" t="inlineStr">
        <is>
          <t>53_ZD</t>
        </is>
      </c>
      <c r="G248" t="inlineStr">
        <is>
          <t>sin asignar</t>
        </is>
      </c>
      <c r="H248" t="inlineStr">
        <is>
          <t>RT53</t>
        </is>
      </c>
      <c r="I248" t="inlineStr">
        <is>
          <t>código sin etiqueta en los datos</t>
        </is>
      </c>
      <c r="J248" t="inlineStr">
        <is>
          <t>sin hipótesis</t>
        </is>
      </c>
      <c r="K248" t="inlineStr">
        <is>
          <t>sin leyenda</t>
        </is>
      </c>
      <c r="L248" t="inlineStr">
        <is>
          <t>media_pond = ponderada por largo de intervalo</t>
        </is>
      </c>
      <c r="M248" t="n">
        <v>4</v>
      </c>
      <c r="N248" t="n">
        <v>40.5</v>
      </c>
      <c r="O248" t="n">
        <v>46.7654</v>
      </c>
      <c r="P248" t="n">
        <v>1.1547</v>
      </c>
      <c r="Q248" t="n">
        <v>0</v>
      </c>
      <c r="R248" t="n">
        <v>0</v>
      </c>
      <c r="S248" t="n">
        <v>0</v>
      </c>
      <c r="T248" t="n">
        <v>0</v>
      </c>
      <c r="U248" t="n">
        <v>40.5</v>
      </c>
      <c r="V248" t="n">
        <v>81</v>
      </c>
      <c r="W248" t="n">
        <v>81</v>
      </c>
      <c r="X248" t="n">
        <v>81</v>
      </c>
      <c r="Y248" t="n">
        <v>81</v>
      </c>
      <c r="Z248" t="n">
        <v>50.3514</v>
      </c>
    </row>
    <row r="249">
      <c r="A249" t="inlineStr">
        <is>
          <t>MR24</t>
        </is>
      </c>
      <c r="B249" t="inlineStr">
        <is>
          <t>Merged_Table_Assay_lito</t>
        </is>
      </c>
      <c r="C249" t="inlineStr">
        <is>
          <t>RQD_pc</t>
        </is>
      </c>
      <c r="D249" t="inlineStr">
        <is>
          <t>%</t>
        </is>
      </c>
      <c r="E249" t="inlineStr">
        <is>
          <t>RT_RQD</t>
        </is>
      </c>
      <c r="F249" t="inlineStr">
        <is>
          <t>TODOS</t>
        </is>
      </c>
      <c r="G249" t="inlineStr"/>
      <c r="H249" t="inlineStr"/>
      <c r="I249" t="inlineStr"/>
      <c r="J249" t="inlineStr"/>
      <c r="K249" t="inlineStr"/>
      <c r="L249" t="inlineStr">
        <is>
          <t>media_pond = ponderada por largo de intervalo</t>
        </is>
      </c>
      <c r="M249" t="n">
        <v>199076</v>
      </c>
      <c r="N249" t="n">
        <v>93.3047</v>
      </c>
      <c r="O249" t="n">
        <v>16.2235</v>
      </c>
      <c r="P249" t="n">
        <v>0.1739</v>
      </c>
      <c r="Q249" t="n">
        <v>0</v>
      </c>
      <c r="R249" t="n">
        <v>60.74</v>
      </c>
      <c r="S249" t="n">
        <v>81.4808</v>
      </c>
      <c r="T249" t="n">
        <v>95.044</v>
      </c>
      <c r="U249" t="n">
        <v>100</v>
      </c>
      <c r="V249" t="n">
        <v>100</v>
      </c>
      <c r="W249" t="n">
        <v>100</v>
      </c>
      <c r="X249" t="n">
        <v>100</v>
      </c>
      <c r="Y249" t="n">
        <v>100</v>
      </c>
      <c r="Z249" t="n">
        <v>92.6272</v>
      </c>
    </row>
    <row r="250">
      <c r="A250" t="inlineStr">
        <is>
          <t>MR24</t>
        </is>
      </c>
      <c r="B250" t="inlineStr">
        <is>
          <t>Merged_Table_Assay_lito</t>
        </is>
      </c>
      <c r="C250" t="inlineStr">
        <is>
          <t>RQD_pc</t>
        </is>
      </c>
      <c r="D250" t="inlineStr">
        <is>
          <t>%</t>
        </is>
      </c>
      <c r="E250" t="inlineStr">
        <is>
          <t>ROCKCODE</t>
        </is>
      </c>
      <c r="F250" t="inlineStr">
        <is>
          <t>BCHG</t>
        </is>
      </c>
      <c r="G250" t="inlineStr">
        <is>
          <t>sin asignar</t>
        </is>
      </c>
      <c r="H250" t="inlineStr">
        <is>
          <t>BCHG</t>
        </is>
      </c>
      <c r="I250" t="inlineStr">
        <is>
          <t>ROCKCODE agrupado en ROCKCODE_NUMEQ=13; sigla sin leyenda</t>
        </is>
      </c>
      <c r="J250" t="inlineStr">
        <is>
          <t>Hornfels (hipótesis: siglas H*)</t>
        </is>
      </c>
      <c r="K250" t="inlineStr">
        <is>
          <t>Metamorfico</t>
        </is>
      </c>
      <c r="L250" t="inlineStr">
        <is>
          <t>media_pond = ponderada por largo de intervalo</t>
        </is>
      </c>
      <c r="M250" t="n">
        <v>4</v>
      </c>
      <c r="N250" t="n">
        <v>98.0775</v>
      </c>
      <c r="O250" t="n">
        <v>3.845</v>
      </c>
      <c r="P250" t="n">
        <v>0.0392</v>
      </c>
      <c r="Q250" t="n">
        <v>92.31</v>
      </c>
      <c r="R250" t="n">
        <v>93.4635</v>
      </c>
      <c r="S250" t="n">
        <v>94.617</v>
      </c>
      <c r="T250" t="n">
        <v>98.0775</v>
      </c>
      <c r="U250" t="n">
        <v>100</v>
      </c>
      <c r="V250" t="n">
        <v>100</v>
      </c>
      <c r="W250" t="n">
        <v>100</v>
      </c>
      <c r="X250" t="n">
        <v>100</v>
      </c>
      <c r="Y250" t="n">
        <v>100</v>
      </c>
      <c r="Z250" t="n">
        <v>97.5089</v>
      </c>
    </row>
    <row r="251">
      <c r="A251" t="inlineStr">
        <is>
          <t>MR24</t>
        </is>
      </c>
      <c r="B251" t="inlineStr">
        <is>
          <t>Merged_Table_Assay_lito</t>
        </is>
      </c>
      <c r="C251" t="inlineStr">
        <is>
          <t>RQD_pc</t>
        </is>
      </c>
      <c r="D251" t="inlineStr">
        <is>
          <t>%</t>
        </is>
      </c>
      <c r="E251" t="inlineStr">
        <is>
          <t>ROCKCODE</t>
        </is>
      </c>
      <c r="F251" t="inlineStr">
        <is>
          <t>BCIPPA</t>
        </is>
      </c>
      <c r="G251" t="inlineStr">
        <is>
          <t>Intrusivo</t>
        </is>
      </c>
      <c r="H251" t="inlineStr">
        <is>
          <t>BCIPPA</t>
        </is>
      </c>
      <c r="I251" t="inlineStr">
        <is>
          <t>ROCKCODE agrupado en ROCKCODE_NUMEQ=1 (Intrusivo_1)</t>
        </is>
      </c>
      <c r="J251" t="inlineStr">
        <is>
          <t>Intrusivo</t>
        </is>
      </c>
      <c r="K251" t="inlineStr">
        <is>
          <t>Intrusivo</t>
        </is>
      </c>
      <c r="L251" t="inlineStr">
        <is>
          <t>media_pond = ponderada por largo de intervalo</t>
        </is>
      </c>
      <c r="M251" t="n">
        <v>6</v>
      </c>
      <c r="N251" t="n">
        <v>40.9504</v>
      </c>
      <c r="O251" t="n">
        <v>34.9113</v>
      </c>
      <c r="P251" t="n">
        <v>0.8525</v>
      </c>
      <c r="Q251" t="n">
        <v>0</v>
      </c>
      <c r="R251" t="n">
        <v>6.465</v>
      </c>
      <c r="S251" t="n">
        <v>12.93</v>
      </c>
      <c r="T251" t="n">
        <v>25.86</v>
      </c>
      <c r="U251" t="n">
        <v>25.86</v>
      </c>
      <c r="V251" t="n">
        <v>67.337</v>
      </c>
      <c r="W251" t="n">
        <v>84.0613</v>
      </c>
      <c r="X251" t="n">
        <v>85.5107</v>
      </c>
      <c r="Y251" t="n">
        <v>86.95999999999999</v>
      </c>
      <c r="Z251" t="n">
        <v>36.2639</v>
      </c>
    </row>
    <row r="252">
      <c r="A252" t="inlineStr">
        <is>
          <t>MR24</t>
        </is>
      </c>
      <c r="B252" t="inlineStr">
        <is>
          <t>Merged_Table_Assay_lito</t>
        </is>
      </c>
      <c r="C252" t="inlineStr">
        <is>
          <t>RQD_pc</t>
        </is>
      </c>
      <c r="D252" t="inlineStr">
        <is>
          <t>%</t>
        </is>
      </c>
      <c r="E252" t="inlineStr">
        <is>
          <t>ROCKCODE</t>
        </is>
      </c>
      <c r="F252" t="inlineStr">
        <is>
          <t>BCIPPAO</t>
        </is>
      </c>
      <c r="G252" t="inlineStr">
        <is>
          <t>Intrusivo</t>
        </is>
      </c>
      <c r="H252" t="inlineStr">
        <is>
          <t>BCIPPAO</t>
        </is>
      </c>
      <c r="I252" t="inlineStr">
        <is>
          <t>ROCKCODE agrupado en ROCKCODE_NUMEQ=1 (Intrusivo_1)</t>
        </is>
      </c>
      <c r="J252" t="inlineStr">
        <is>
          <t>Intrusivo</t>
        </is>
      </c>
      <c r="K252" t="inlineStr">
        <is>
          <t>Intrusivo</t>
        </is>
      </c>
      <c r="L252" t="inlineStr">
        <is>
          <t>media_pond = ponderada por largo de intervalo</t>
        </is>
      </c>
      <c r="M252" t="n">
        <v>10</v>
      </c>
      <c r="N252" t="n">
        <v>32.5103</v>
      </c>
      <c r="O252" t="n">
        <v>29.5578</v>
      </c>
      <c r="P252" t="n">
        <v>0.9092</v>
      </c>
      <c r="Q252" t="n">
        <v>2.7778</v>
      </c>
      <c r="R252" t="n">
        <v>4.928</v>
      </c>
      <c r="S252" t="n">
        <v>7.0782</v>
      </c>
      <c r="T252" t="n">
        <v>10</v>
      </c>
      <c r="U252" t="n">
        <v>15.1895</v>
      </c>
      <c r="V252" t="n">
        <v>60.4875</v>
      </c>
      <c r="W252" t="n">
        <v>70.02800000000001</v>
      </c>
      <c r="X252" t="n">
        <v>73.349</v>
      </c>
      <c r="Y252" t="n">
        <v>76.67</v>
      </c>
      <c r="Z252" t="n">
        <v>27.6146</v>
      </c>
    </row>
    <row r="253">
      <c r="A253" t="inlineStr">
        <is>
          <t>MR24</t>
        </is>
      </c>
      <c r="B253" t="inlineStr">
        <is>
          <t>Merged_Table_Assay_lito</t>
        </is>
      </c>
      <c r="C253" t="inlineStr">
        <is>
          <t>RQD_pc</t>
        </is>
      </c>
      <c r="D253" t="inlineStr">
        <is>
          <t>%</t>
        </is>
      </c>
      <c r="E253" t="inlineStr">
        <is>
          <t>ROCKCODE</t>
        </is>
      </c>
      <c r="F253" t="inlineStr">
        <is>
          <t>BCIPPEO</t>
        </is>
      </c>
      <c r="G253" t="inlineStr">
        <is>
          <t>Intrusivo</t>
        </is>
      </c>
      <c r="H253" t="inlineStr">
        <is>
          <t>BCIPPEO</t>
        </is>
      </c>
      <c r="I253" t="inlineStr">
        <is>
          <t>ROCKCODE agrupado en ROCKCODE_NUMEQ=1 (Intrusivo_1)</t>
        </is>
      </c>
      <c r="J253" t="inlineStr">
        <is>
          <t>Intrusivo</t>
        </is>
      </c>
      <c r="K253" t="inlineStr">
        <is>
          <t>Intrusivo</t>
        </is>
      </c>
      <c r="L253" t="inlineStr">
        <is>
          <t>media_pond = ponderada por largo de intervalo</t>
        </is>
      </c>
      <c r="M253" t="n">
        <v>4</v>
      </c>
      <c r="N253" t="n">
        <v>48.6148</v>
      </c>
      <c r="O253" t="n">
        <v>36.9382</v>
      </c>
      <c r="P253" t="n">
        <v>0.7598</v>
      </c>
      <c r="Q253" t="n">
        <v>5.1107</v>
      </c>
      <c r="R253" t="n">
        <v>10.0436</v>
      </c>
      <c r="S253" t="n">
        <v>14.9765</v>
      </c>
      <c r="T253" t="n">
        <v>29.7752</v>
      </c>
      <c r="U253" t="n">
        <v>48.0093</v>
      </c>
      <c r="V253" t="n">
        <v>66.849</v>
      </c>
      <c r="W253" t="n">
        <v>82.7376</v>
      </c>
      <c r="X253" t="n">
        <v>88.0338</v>
      </c>
      <c r="Y253" t="n">
        <v>93.33</v>
      </c>
      <c r="Z253" t="n">
        <v>47.9126</v>
      </c>
    </row>
    <row r="254">
      <c r="A254" t="inlineStr">
        <is>
          <t>MR24</t>
        </is>
      </c>
      <c r="B254" t="inlineStr">
        <is>
          <t>Merged_Table_Assay_lito</t>
        </is>
      </c>
      <c r="C254" t="inlineStr">
        <is>
          <t>RQD_pc</t>
        </is>
      </c>
      <c r="D254" t="inlineStr">
        <is>
          <t>%</t>
        </is>
      </c>
      <c r="E254" t="inlineStr">
        <is>
          <t>ROCKCODE</t>
        </is>
      </c>
      <c r="F254" t="inlineStr">
        <is>
          <t>BCM</t>
        </is>
      </c>
      <c r="G254" t="inlineStr">
        <is>
          <t>sin asignar</t>
        </is>
      </c>
      <c r="H254" t="inlineStr">
        <is>
          <t>BCM</t>
        </is>
      </c>
      <c r="I254" t="inlineStr">
        <is>
          <t>ROCKCODE agrupado en ROCKCODE_NUMEQ=16; sigla sin leyenda</t>
        </is>
      </c>
      <c r="J254" t="inlineStr">
        <is>
          <t>Mármol (hipótesis: siglas M*)</t>
        </is>
      </c>
      <c r="K254" t="inlineStr">
        <is>
          <t>Metamorfico</t>
        </is>
      </c>
      <c r="L254" t="inlineStr">
        <is>
          <t>media_pond = ponderada por largo de intervalo</t>
        </is>
      </c>
      <c r="M254" t="n">
        <v>13</v>
      </c>
      <c r="N254" t="n">
        <v>71.3938</v>
      </c>
      <c r="O254" t="n">
        <v>38.6383</v>
      </c>
      <c r="P254" t="n">
        <v>0.5412</v>
      </c>
      <c r="Q254" t="n">
        <v>0</v>
      </c>
      <c r="R254" t="n">
        <v>0</v>
      </c>
      <c r="S254" t="n">
        <v>5.0711</v>
      </c>
      <c r="T254" t="n">
        <v>58.06</v>
      </c>
      <c r="U254" t="n">
        <v>96.664</v>
      </c>
      <c r="V254" t="n">
        <v>100</v>
      </c>
      <c r="W254" t="n">
        <v>100</v>
      </c>
      <c r="X254" t="n">
        <v>100</v>
      </c>
      <c r="Y254" t="n">
        <v>100</v>
      </c>
      <c r="Z254" t="n">
        <v>63.1344</v>
      </c>
    </row>
    <row r="255">
      <c r="A255" t="inlineStr">
        <is>
          <t>MR24</t>
        </is>
      </c>
      <c r="B255" t="inlineStr">
        <is>
          <t>Merged_Table_Assay_lito</t>
        </is>
      </c>
      <c r="C255" t="inlineStr">
        <is>
          <t>RQD_pc</t>
        </is>
      </c>
      <c r="D255" t="inlineStr">
        <is>
          <t>%</t>
        </is>
      </c>
      <c r="E255" t="inlineStr">
        <is>
          <t>ROCKCODE</t>
        </is>
      </c>
      <c r="F255" t="inlineStr">
        <is>
          <t>BMHG</t>
        </is>
      </c>
      <c r="G255" t="inlineStr">
        <is>
          <t>sin asignar</t>
        </is>
      </c>
      <c r="H255" t="inlineStr">
        <is>
          <t>BMHG</t>
        </is>
      </c>
      <c r="I255" t="inlineStr">
        <is>
          <t>ROCKCODE agrupado en ROCKCODE_NUMEQ=13; sigla sin leyenda</t>
        </is>
      </c>
      <c r="J255" t="inlineStr">
        <is>
          <t>Hornfels (hipótesis: siglas H*)</t>
        </is>
      </c>
      <c r="K255" t="inlineStr">
        <is>
          <t>Metamorfico</t>
        </is>
      </c>
      <c r="L255" t="inlineStr">
        <is>
          <t>media_pond = ponderada por largo de intervalo</t>
        </is>
      </c>
      <c r="M255" t="n">
        <v>9</v>
      </c>
      <c r="N255" t="n">
        <v>97.37569999999999</v>
      </c>
      <c r="O255" t="n">
        <v>2.948</v>
      </c>
      <c r="P255" t="n">
        <v>0.0303</v>
      </c>
      <c r="Q255" t="n">
        <v>92.31</v>
      </c>
      <c r="R255" t="n">
        <v>92.31</v>
      </c>
      <c r="S255" t="n">
        <v>92.31</v>
      </c>
      <c r="T255" t="n">
        <v>98.33</v>
      </c>
      <c r="U255" t="n">
        <v>98.33</v>
      </c>
      <c r="V255" t="n">
        <v>98.4413</v>
      </c>
      <c r="W255" t="n">
        <v>99.9109</v>
      </c>
      <c r="X255" t="n">
        <v>99.9555</v>
      </c>
      <c r="Y255" t="n">
        <v>100</v>
      </c>
      <c r="Z255" t="n">
        <v>97.4136</v>
      </c>
    </row>
    <row r="256">
      <c r="A256" t="inlineStr">
        <is>
          <t>MR24</t>
        </is>
      </c>
      <c r="B256" t="inlineStr">
        <is>
          <t>Merged_Table_Assay_lito</t>
        </is>
      </c>
      <c r="C256" t="inlineStr">
        <is>
          <t>RQD_pc</t>
        </is>
      </c>
      <c r="D256" t="inlineStr">
        <is>
          <t>%</t>
        </is>
      </c>
      <c r="E256" t="inlineStr">
        <is>
          <t>ROCKCODE</t>
        </is>
      </c>
      <c r="F256" t="inlineStr">
        <is>
          <t>BMIPPA</t>
        </is>
      </c>
      <c r="G256" t="inlineStr">
        <is>
          <t>Intrusivo</t>
        </is>
      </c>
      <c r="H256" t="inlineStr">
        <is>
          <t>BMIPPA</t>
        </is>
      </c>
      <c r="I256" t="inlineStr">
        <is>
          <t>ROCKCODE agrupado en ROCKCODE_NUMEQ=1 (Intrusivo_1)</t>
        </is>
      </c>
      <c r="J256" t="inlineStr">
        <is>
          <t>Intrusivo</t>
        </is>
      </c>
      <c r="K256" t="inlineStr">
        <is>
          <t>Intrusivo</t>
        </is>
      </c>
      <c r="L256" t="inlineStr">
        <is>
          <t>media_pond = ponderada por largo de intervalo</t>
        </is>
      </c>
      <c r="M256" t="n">
        <v>1</v>
      </c>
      <c r="N256" t="n">
        <v>54.84</v>
      </c>
      <c r="O256" t="inlineStr"/>
      <c r="P256" t="inlineStr"/>
      <c r="Q256" t="n">
        <v>54.84</v>
      </c>
      <c r="R256" t="n">
        <v>54.84</v>
      </c>
      <c r="S256" t="n">
        <v>54.84</v>
      </c>
      <c r="T256" t="n">
        <v>54.84</v>
      </c>
      <c r="U256" t="n">
        <v>54.84</v>
      </c>
      <c r="V256" t="n">
        <v>54.84</v>
      </c>
      <c r="W256" t="n">
        <v>54.84</v>
      </c>
      <c r="X256" t="n">
        <v>54.84</v>
      </c>
      <c r="Y256" t="n">
        <v>54.84</v>
      </c>
      <c r="Z256" t="n">
        <v>54.84</v>
      </c>
    </row>
    <row r="257">
      <c r="A257" t="inlineStr">
        <is>
          <t>MR24</t>
        </is>
      </c>
      <c r="B257" t="inlineStr">
        <is>
          <t>Merged_Table_Assay_lito</t>
        </is>
      </c>
      <c r="C257" t="inlineStr">
        <is>
          <t>RQD_pc</t>
        </is>
      </c>
      <c r="D257" t="inlineStr">
        <is>
          <t>%</t>
        </is>
      </c>
      <c r="E257" t="inlineStr">
        <is>
          <t>ROCKCODE</t>
        </is>
      </c>
      <c r="F257" t="inlineStr">
        <is>
          <t>CA</t>
        </is>
      </c>
      <c r="G257" t="inlineStr">
        <is>
          <t>sin asignar</t>
        </is>
      </c>
      <c r="H257" t="inlineStr">
        <is>
          <t>CA</t>
        </is>
      </c>
      <c r="I257" t="inlineStr">
        <is>
          <t>ROCKCODE agrupado en ROCKCODE_NUMEQ=10; sigla sin leyenda</t>
        </is>
      </c>
      <c r="J257" t="inlineStr">
        <is>
          <t>Caliza (hipótesis: siglas C*)</t>
        </is>
      </c>
      <c r="K257" t="inlineStr">
        <is>
          <t>Sedimentario</t>
        </is>
      </c>
      <c r="L257" t="inlineStr">
        <is>
          <t>media_pond = ponderada por largo de intervalo</t>
        </is>
      </c>
      <c r="M257" t="n">
        <v>1491</v>
      </c>
      <c r="N257" t="n">
        <v>97.6258</v>
      </c>
      <c r="O257" t="n">
        <v>7.6713</v>
      </c>
      <c r="P257" t="n">
        <v>0.0786</v>
      </c>
      <c r="Q257" t="n">
        <v>25.948</v>
      </c>
      <c r="R257" t="n">
        <v>86.6153</v>
      </c>
      <c r="S257" t="n">
        <v>93.33</v>
      </c>
      <c r="T257" t="n">
        <v>99.72199999999999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97.4037</v>
      </c>
    </row>
    <row r="258">
      <c r="A258" t="inlineStr">
        <is>
          <t>MR24</t>
        </is>
      </c>
      <c r="B258" t="inlineStr">
        <is>
          <t>Merged_Table_Assay_lito</t>
        </is>
      </c>
      <c r="C258" t="inlineStr">
        <is>
          <t>RQD_pc</t>
        </is>
      </c>
      <c r="D258" t="inlineStr">
        <is>
          <t>%</t>
        </is>
      </c>
      <c r="E258" t="inlineStr">
        <is>
          <t>ROCKCODE</t>
        </is>
      </c>
      <c r="F258" t="inlineStr">
        <is>
          <t>CBMN</t>
        </is>
      </c>
      <c r="G258" t="inlineStr">
        <is>
          <t>sin asignar</t>
        </is>
      </c>
      <c r="H258" t="inlineStr">
        <is>
          <t>CBMN</t>
        </is>
      </c>
      <c r="I258" t="inlineStr">
        <is>
          <t>ROCKCODE agrupado en ROCKCODE_NUMEQ=10; sigla sin leyenda</t>
        </is>
      </c>
      <c r="J258" t="inlineStr">
        <is>
          <t>Caliza (hipótesis: siglas C*)</t>
        </is>
      </c>
      <c r="K258" t="inlineStr">
        <is>
          <t>Sedimentario</t>
        </is>
      </c>
      <c r="L258" t="inlineStr">
        <is>
          <t>media_pond = ponderada por largo de intervalo</t>
        </is>
      </c>
      <c r="M258" t="n">
        <v>220</v>
      </c>
      <c r="N258" t="n">
        <v>93.946</v>
      </c>
      <c r="O258" t="n">
        <v>14.4183</v>
      </c>
      <c r="P258" t="n">
        <v>0.1535</v>
      </c>
      <c r="Q258" t="n">
        <v>0</v>
      </c>
      <c r="R258" t="n">
        <v>66.5</v>
      </c>
      <c r="S258" t="n">
        <v>82.98390000000001</v>
      </c>
      <c r="T258" t="n">
        <v>95.83329999999999</v>
      </c>
      <c r="U258" t="n">
        <v>100</v>
      </c>
      <c r="V258" t="n">
        <v>100</v>
      </c>
      <c r="W258" t="n">
        <v>100</v>
      </c>
      <c r="X258" t="n">
        <v>100</v>
      </c>
      <c r="Y258" t="n">
        <v>100</v>
      </c>
      <c r="Z258" t="n">
        <v>92.7111</v>
      </c>
    </row>
    <row r="259">
      <c r="A259" t="inlineStr">
        <is>
          <t>MR24</t>
        </is>
      </c>
      <c r="B259" t="inlineStr">
        <is>
          <t>Merged_Table_Assay_lito</t>
        </is>
      </c>
      <c r="C259" t="inlineStr">
        <is>
          <t>RQD_pc</t>
        </is>
      </c>
      <c r="D259" t="inlineStr">
        <is>
          <t>%</t>
        </is>
      </c>
      <c r="E259" t="inlineStr">
        <is>
          <t>ROCKCODE</t>
        </is>
      </c>
      <c r="F259" t="inlineStr">
        <is>
          <t>CF</t>
        </is>
      </c>
      <c r="G259" t="inlineStr">
        <is>
          <t>sin asignar</t>
        </is>
      </c>
      <c r="H259" t="inlineStr">
        <is>
          <t>CF</t>
        </is>
      </c>
      <c r="I259" t="inlineStr">
        <is>
          <t>ROCKCODE agrupado en ROCKCODE_NUMEQ=10; sigla sin leyenda</t>
        </is>
      </c>
      <c r="J259" t="inlineStr">
        <is>
          <t>Caliza (hipótesis: siglas C*)</t>
        </is>
      </c>
      <c r="K259" t="inlineStr">
        <is>
          <t>Sedimentario</t>
        </is>
      </c>
      <c r="L259" t="inlineStr">
        <is>
          <t>media_pond = ponderada por largo de intervalo</t>
        </is>
      </c>
      <c r="M259" t="n">
        <v>149</v>
      </c>
      <c r="N259" t="n">
        <v>97.4055</v>
      </c>
      <c r="O259" t="n">
        <v>11.7287</v>
      </c>
      <c r="P259" t="n">
        <v>0.1204</v>
      </c>
      <c r="Q259" t="n">
        <v>0</v>
      </c>
      <c r="R259" t="n">
        <v>94.58669999999999</v>
      </c>
      <c r="S259" t="n">
        <v>96.59990000000001</v>
      </c>
      <c r="T259" t="n">
        <v>98.664</v>
      </c>
      <c r="U259" t="n">
        <v>100</v>
      </c>
      <c r="V259" t="n">
        <v>100</v>
      </c>
      <c r="W259" t="n">
        <v>100</v>
      </c>
      <c r="X259" t="n">
        <v>100</v>
      </c>
      <c r="Y259" t="n">
        <v>100</v>
      </c>
      <c r="Z259" t="n">
        <v>95.97539999999999</v>
      </c>
    </row>
    <row r="260">
      <c r="A260" t="inlineStr">
        <is>
          <t>MR24</t>
        </is>
      </c>
      <c r="B260" t="inlineStr">
        <is>
          <t>Merged_Table_Assay_lito</t>
        </is>
      </c>
      <c r="C260" t="inlineStr">
        <is>
          <t>RQD_pc</t>
        </is>
      </c>
      <c r="D260" t="inlineStr">
        <is>
          <t>%</t>
        </is>
      </c>
      <c r="E260" t="inlineStr">
        <is>
          <t>ROCKCODE</t>
        </is>
      </c>
      <c r="F260" t="inlineStr">
        <is>
          <t>CG</t>
        </is>
      </c>
      <c r="G260" t="inlineStr">
        <is>
          <t>sin asignar</t>
        </is>
      </c>
      <c r="H260" t="inlineStr">
        <is>
          <t>CG</t>
        </is>
      </c>
      <c r="I260" t="inlineStr">
        <is>
          <t>ROCKCODE agrupado en ROCKCODE_NUMEQ=10; sigla sin leyenda</t>
        </is>
      </c>
      <c r="J260" t="inlineStr">
        <is>
          <t>Caliza (hipótesis: siglas C*)</t>
        </is>
      </c>
      <c r="K260" t="inlineStr">
        <is>
          <t>Sedimentario</t>
        </is>
      </c>
      <c r="L260" t="inlineStr">
        <is>
          <t>media_pond = ponderada por largo de intervalo</t>
        </is>
      </c>
      <c r="M260" t="n">
        <v>14412</v>
      </c>
      <c r="N260" t="n">
        <v>96.721</v>
      </c>
      <c r="O260" t="n">
        <v>8.974</v>
      </c>
      <c r="P260" t="n">
        <v>0.09279999999999999</v>
      </c>
      <c r="Q260" t="n">
        <v>0</v>
      </c>
      <c r="R260" t="n">
        <v>83.18680000000001</v>
      </c>
      <c r="S260" t="n">
        <v>90.9092</v>
      </c>
      <c r="T260" t="n">
        <v>97.4358</v>
      </c>
      <c r="U260" t="n">
        <v>100</v>
      </c>
      <c r="V260" t="n">
        <v>100</v>
      </c>
      <c r="W260" t="n">
        <v>100</v>
      </c>
      <c r="X260" t="n">
        <v>100</v>
      </c>
      <c r="Y260" t="n">
        <v>100</v>
      </c>
      <c r="Z260" t="n">
        <v>96.5342</v>
      </c>
    </row>
    <row r="261">
      <c r="A261" t="inlineStr">
        <is>
          <t>MR24</t>
        </is>
      </c>
      <c r="B261" t="inlineStr">
        <is>
          <t>Merged_Table_Assay_lito</t>
        </is>
      </c>
      <c r="C261" t="inlineStr">
        <is>
          <t>RQD_pc</t>
        </is>
      </c>
      <c r="D261" t="inlineStr">
        <is>
          <t>%</t>
        </is>
      </c>
      <c r="E261" t="inlineStr">
        <is>
          <t>ROCKCODE</t>
        </is>
      </c>
      <c r="F261" t="inlineStr">
        <is>
          <t>CGS</t>
        </is>
      </c>
      <c r="G261" t="inlineStr">
        <is>
          <t>sin asignar</t>
        </is>
      </c>
      <c r="H261" t="inlineStr">
        <is>
          <t>CGS</t>
        </is>
      </c>
      <c r="I261" t="inlineStr">
        <is>
          <t>ROCKCODE agrupado en ROCKCODE_NUMEQ=10; sigla sin leyenda</t>
        </is>
      </c>
      <c r="J261" t="inlineStr">
        <is>
          <t>Caliza (hipótesis: siglas C*)</t>
        </is>
      </c>
      <c r="K261" t="inlineStr">
        <is>
          <t>Sedimentario</t>
        </is>
      </c>
      <c r="L261" t="inlineStr">
        <is>
          <t>media_pond = ponderada por largo de intervalo</t>
        </is>
      </c>
      <c r="M261" t="n">
        <v>8488</v>
      </c>
      <c r="N261" t="n">
        <v>97.15949999999999</v>
      </c>
      <c r="O261" t="n">
        <v>7.8121</v>
      </c>
      <c r="P261" t="n">
        <v>0.0804</v>
      </c>
      <c r="Q261" t="n">
        <v>0</v>
      </c>
      <c r="R261" t="n">
        <v>86</v>
      </c>
      <c r="S261" t="n">
        <v>91.8</v>
      </c>
      <c r="T261" t="n">
        <v>97.7041</v>
      </c>
      <c r="U261" t="n">
        <v>100</v>
      </c>
      <c r="V261" t="n">
        <v>100</v>
      </c>
      <c r="W261" t="n">
        <v>100</v>
      </c>
      <c r="X261" t="n">
        <v>100</v>
      </c>
      <c r="Y261" t="n">
        <v>100</v>
      </c>
      <c r="Z261" t="n">
        <v>97.0517</v>
      </c>
    </row>
    <row r="262">
      <c r="A262" t="inlineStr">
        <is>
          <t>MR24</t>
        </is>
      </c>
      <c r="B262" t="inlineStr">
        <is>
          <t>Merged_Table_Assay_lito</t>
        </is>
      </c>
      <c r="C262" t="inlineStr">
        <is>
          <t>RQD_pc</t>
        </is>
      </c>
      <c r="D262" t="inlineStr">
        <is>
          <t>%</t>
        </is>
      </c>
      <c r="E262" t="inlineStr">
        <is>
          <t>ROCKCODE</t>
        </is>
      </c>
      <c r="F262" t="inlineStr">
        <is>
          <t>CN</t>
        </is>
      </c>
      <c r="G262" t="inlineStr">
        <is>
          <t>sin asignar</t>
        </is>
      </c>
      <c r="H262" t="inlineStr">
        <is>
          <t>CN</t>
        </is>
      </c>
      <c r="I262" t="inlineStr">
        <is>
          <t>ROCKCODE agrupado en ROCKCODE_NUMEQ=10; sigla sin leyenda</t>
        </is>
      </c>
      <c r="J262" t="inlineStr">
        <is>
          <t>Caliza (hipótesis: siglas C*)</t>
        </is>
      </c>
      <c r="K262" t="inlineStr">
        <is>
          <t>Sedimentario</t>
        </is>
      </c>
      <c r="L262" t="inlineStr">
        <is>
          <t>media_pond = ponderada por largo de intervalo</t>
        </is>
      </c>
      <c r="M262" t="n">
        <v>1716</v>
      </c>
      <c r="N262" t="n">
        <v>97.36069999999999</v>
      </c>
      <c r="O262" t="n">
        <v>8.2096</v>
      </c>
      <c r="P262" t="n">
        <v>0.0843</v>
      </c>
      <c r="Q262" t="n">
        <v>0</v>
      </c>
      <c r="R262" t="n">
        <v>84.0975</v>
      </c>
      <c r="S262" t="n">
        <v>92.855</v>
      </c>
      <c r="T262" t="n">
        <v>99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97.11969999999999</v>
      </c>
    </row>
    <row r="263">
      <c r="A263" t="inlineStr">
        <is>
          <t>MR24</t>
        </is>
      </c>
      <c r="B263" t="inlineStr">
        <is>
          <t>Merged_Table_Assay_lito</t>
        </is>
      </c>
      <c r="C263" t="inlineStr">
        <is>
          <t>RQD_pc</t>
        </is>
      </c>
      <c r="D263" t="inlineStr">
        <is>
          <t>%</t>
        </is>
      </c>
      <c r="E263" t="inlineStr">
        <is>
          <t>ROCKCODE</t>
        </is>
      </c>
      <c r="F263" t="inlineStr">
        <is>
          <t>DI</t>
        </is>
      </c>
      <c r="G263" t="inlineStr">
        <is>
          <t>Intrusivo</t>
        </is>
      </c>
      <c r="H263" t="inlineStr">
        <is>
          <t>DI</t>
        </is>
      </c>
      <c r="I263" t="inlineStr">
        <is>
          <t>ROCKCODE agrupado en ROCKCODE_NUMEQ=1 (Intrusivo_1)</t>
        </is>
      </c>
      <c r="J263" t="inlineStr">
        <is>
          <t>Intrusivo</t>
        </is>
      </c>
      <c r="K263" t="inlineStr">
        <is>
          <t>Intrusivo</t>
        </is>
      </c>
      <c r="L263" t="inlineStr">
        <is>
          <t>media_pond = ponderada por largo de intervalo</t>
        </is>
      </c>
      <c r="M263" t="n">
        <v>6</v>
      </c>
      <c r="N263" t="n">
        <v>97.9019</v>
      </c>
      <c r="O263" t="n">
        <v>1.6583</v>
      </c>
      <c r="P263" t="n">
        <v>0.0169</v>
      </c>
      <c r="Q263" t="n">
        <v>96.4444</v>
      </c>
      <c r="R263" t="n">
        <v>96.4953</v>
      </c>
      <c r="S263" t="n">
        <v>96.5462</v>
      </c>
      <c r="T263" t="n">
        <v>96.70820000000001</v>
      </c>
      <c r="U263" t="n">
        <v>97.15940000000001</v>
      </c>
      <c r="V263" t="n">
        <v>99.3575</v>
      </c>
      <c r="W263" t="n">
        <v>100</v>
      </c>
      <c r="X263" t="n">
        <v>100</v>
      </c>
      <c r="Y263" t="n">
        <v>100</v>
      </c>
      <c r="Z263" t="n">
        <v>97.9016</v>
      </c>
    </row>
    <row r="264">
      <c r="A264" t="inlineStr">
        <is>
          <t>MR24</t>
        </is>
      </c>
      <c r="B264" t="inlineStr">
        <is>
          <t>Merged_Table_Assay_lito</t>
        </is>
      </c>
      <c r="C264" t="inlineStr">
        <is>
          <t>RQD_pc</t>
        </is>
      </c>
      <c r="D264" t="inlineStr">
        <is>
          <t>%</t>
        </is>
      </c>
      <c r="E264" t="inlineStr">
        <is>
          <t>ROCKCODE</t>
        </is>
      </c>
      <c r="F264" t="inlineStr">
        <is>
          <t>HBV</t>
        </is>
      </c>
      <c r="G264" t="inlineStr">
        <is>
          <t>sin asignar</t>
        </is>
      </c>
      <c r="H264" t="inlineStr">
        <is>
          <t>HBV</t>
        </is>
      </c>
      <c r="I264" t="inlineStr">
        <is>
          <t>ROCKCODE agrupado en ROCKCODE_NUMEQ=14; sigla sin leyenda</t>
        </is>
      </c>
      <c r="J264" t="inlineStr">
        <is>
          <t>Hornfels (hipótesis: siglas H*)</t>
        </is>
      </c>
      <c r="K264" t="inlineStr">
        <is>
          <t>Metamorfico</t>
        </is>
      </c>
      <c r="L264" t="inlineStr">
        <is>
          <t>media_pond = ponderada por largo de intervalo</t>
        </is>
      </c>
      <c r="M264" t="n">
        <v>1845</v>
      </c>
      <c r="N264" t="n">
        <v>94.9028</v>
      </c>
      <c r="O264" t="n">
        <v>11.2803</v>
      </c>
      <c r="P264" t="n">
        <v>0.1189</v>
      </c>
      <c r="Q264" t="n">
        <v>0</v>
      </c>
      <c r="R264" t="n">
        <v>73.6575</v>
      </c>
      <c r="S264" t="n">
        <v>83.9286</v>
      </c>
      <c r="T264" t="n">
        <v>95.33329999999999</v>
      </c>
      <c r="U264" t="n">
        <v>100</v>
      </c>
      <c r="V264" t="n">
        <v>100</v>
      </c>
      <c r="W264" t="n">
        <v>100</v>
      </c>
      <c r="X264" t="n">
        <v>100</v>
      </c>
      <c r="Y264" t="n">
        <v>100</v>
      </c>
      <c r="Z264" t="n">
        <v>94.6785</v>
      </c>
    </row>
    <row r="265">
      <c r="A265" t="inlineStr">
        <is>
          <t>MR24</t>
        </is>
      </c>
      <c r="B265" t="inlineStr">
        <is>
          <t>Merged_Table_Assay_lito</t>
        </is>
      </c>
      <c r="C265" t="inlineStr">
        <is>
          <t>RQD_pc</t>
        </is>
      </c>
      <c r="D265" t="inlineStr">
        <is>
          <t>%</t>
        </is>
      </c>
      <c r="E265" t="inlineStr">
        <is>
          <t>ROCKCODE</t>
        </is>
      </c>
      <c r="F265" t="inlineStr">
        <is>
          <t>HC</t>
        </is>
      </c>
      <c r="G265" t="inlineStr">
        <is>
          <t>sin asignar</t>
        </is>
      </c>
      <c r="H265" t="inlineStr">
        <is>
          <t>HC</t>
        </is>
      </c>
      <c r="I265" t="inlineStr">
        <is>
          <t>ROCKCODE agrupado en ROCKCODE_NUMEQ=13; sigla sin leyenda</t>
        </is>
      </c>
      <c r="J265" t="inlineStr">
        <is>
          <t>Hornfels (hipótesis: siglas H*)</t>
        </is>
      </c>
      <c r="K265" t="inlineStr">
        <is>
          <t>Metamorfico</t>
        </is>
      </c>
      <c r="L265" t="inlineStr">
        <is>
          <t>media_pond = ponderada por largo de intervalo</t>
        </is>
      </c>
      <c r="M265" t="n">
        <v>6377</v>
      </c>
      <c r="N265" t="n">
        <v>95.5896</v>
      </c>
      <c r="O265" t="n">
        <v>9.4366</v>
      </c>
      <c r="P265" t="n">
        <v>0.0987</v>
      </c>
      <c r="Q265" t="n">
        <v>0</v>
      </c>
      <c r="R265" t="n">
        <v>78.65049999999999</v>
      </c>
      <c r="S265" t="n">
        <v>87.5</v>
      </c>
      <c r="T265" t="n">
        <v>95.55549999999999</v>
      </c>
      <c r="U265" t="n">
        <v>99.4444</v>
      </c>
      <c r="V265" t="n">
        <v>100</v>
      </c>
      <c r="W265" t="n">
        <v>100</v>
      </c>
      <c r="X265" t="n">
        <v>100</v>
      </c>
      <c r="Y265" t="n">
        <v>100</v>
      </c>
      <c r="Z265" t="n">
        <v>95.2179</v>
      </c>
    </row>
    <row r="266">
      <c r="A266" t="inlineStr">
        <is>
          <t>MR24</t>
        </is>
      </c>
      <c r="B266" t="inlineStr">
        <is>
          <t>Merged_Table_Assay_lito</t>
        </is>
      </c>
      <c r="C266" t="inlineStr">
        <is>
          <t>RQD_pc</t>
        </is>
      </c>
      <c r="D266" t="inlineStr">
        <is>
          <t>%</t>
        </is>
      </c>
      <c r="E266" t="inlineStr">
        <is>
          <t>ROCKCODE</t>
        </is>
      </c>
      <c r="F266" t="inlineStr">
        <is>
          <t>HCB</t>
        </is>
      </c>
      <c r="G266" t="inlineStr">
        <is>
          <t>sin asignar</t>
        </is>
      </c>
      <c r="H266" t="inlineStr">
        <is>
          <t>HCB</t>
        </is>
      </c>
      <c r="I266" t="inlineStr">
        <is>
          <t>ROCKCODE agrupado en ROCKCODE_NUMEQ=14; sigla sin leyenda</t>
        </is>
      </c>
      <c r="J266" t="inlineStr">
        <is>
          <t>Hornfels (hipótesis: siglas H*)</t>
        </is>
      </c>
      <c r="K266" t="inlineStr">
        <is>
          <t>Metamorfico</t>
        </is>
      </c>
      <c r="L266" t="inlineStr">
        <is>
          <t>media_pond = ponderada por largo de intervalo</t>
        </is>
      </c>
      <c r="M266" t="n">
        <v>792</v>
      </c>
      <c r="N266" t="n">
        <v>94.8485</v>
      </c>
      <c r="O266" t="n">
        <v>11.6583</v>
      </c>
      <c r="P266" t="n">
        <v>0.1229</v>
      </c>
      <c r="Q266" t="n">
        <v>0</v>
      </c>
      <c r="R266" t="n">
        <v>71.562</v>
      </c>
      <c r="S266" t="n">
        <v>84.3447</v>
      </c>
      <c r="T266" t="n">
        <v>95.307</v>
      </c>
      <c r="U266" t="n">
        <v>100</v>
      </c>
      <c r="V266" t="n">
        <v>100</v>
      </c>
      <c r="W266" t="n">
        <v>100</v>
      </c>
      <c r="X266" t="n">
        <v>100</v>
      </c>
      <c r="Y266" t="n">
        <v>100</v>
      </c>
      <c r="Z266" t="n">
        <v>94.1687</v>
      </c>
    </row>
    <row r="267">
      <c r="A267" t="inlineStr">
        <is>
          <t>MR24</t>
        </is>
      </c>
      <c r="B267" t="inlineStr">
        <is>
          <t>Merged_Table_Assay_lito</t>
        </is>
      </c>
      <c r="C267" t="inlineStr">
        <is>
          <t>RQD_pc</t>
        </is>
      </c>
      <c r="D267" t="inlineStr">
        <is>
          <t>%</t>
        </is>
      </c>
      <c r="E267" t="inlineStr">
        <is>
          <t>ROCKCODE</t>
        </is>
      </c>
      <c r="F267" t="inlineStr">
        <is>
          <t>HDP</t>
        </is>
      </c>
      <c r="G267" t="inlineStr">
        <is>
          <t>sin asignar</t>
        </is>
      </c>
      <c r="H267" t="inlineStr">
        <is>
          <t>HDP</t>
        </is>
      </c>
      <c r="I267" t="inlineStr">
        <is>
          <t>ROCKCODE agrupado en ROCKCODE_NUMEQ=14; sigla sin leyenda</t>
        </is>
      </c>
      <c r="J267" t="inlineStr">
        <is>
          <t>Hornfels (hipótesis: siglas H*)</t>
        </is>
      </c>
      <c r="K267" t="inlineStr">
        <is>
          <t>Metamorfico</t>
        </is>
      </c>
      <c r="L267" t="inlineStr">
        <is>
          <t>media_pond = ponderada por largo de intervalo</t>
        </is>
      </c>
      <c r="M267" t="n">
        <v>401</v>
      </c>
      <c r="N267" t="n">
        <v>95.2488</v>
      </c>
      <c r="O267" t="n">
        <v>10.8885</v>
      </c>
      <c r="P267" t="n">
        <v>0.1143</v>
      </c>
      <c r="Q267" t="n">
        <v>26.4178</v>
      </c>
      <c r="R267" t="n">
        <v>74.67</v>
      </c>
      <c r="S267" t="n">
        <v>86.0715</v>
      </c>
      <c r="T267" t="n">
        <v>95.114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95.14619999999999</v>
      </c>
    </row>
    <row r="268">
      <c r="A268" t="inlineStr">
        <is>
          <t>MR24</t>
        </is>
      </c>
      <c r="B268" t="inlineStr">
        <is>
          <t>Merged_Table_Assay_lito</t>
        </is>
      </c>
      <c r="C268" t="inlineStr">
        <is>
          <t>RQD_pc</t>
        </is>
      </c>
      <c r="D268" t="inlineStr">
        <is>
          <t>%</t>
        </is>
      </c>
      <c r="E268" t="inlineStr">
        <is>
          <t>ROCKCODE</t>
        </is>
      </c>
      <c r="F268" t="inlineStr">
        <is>
          <t>HG</t>
        </is>
      </c>
      <c r="G268" t="inlineStr">
        <is>
          <t>sin asignar</t>
        </is>
      </c>
      <c r="H268" t="inlineStr">
        <is>
          <t>HG</t>
        </is>
      </c>
      <c r="I268" t="inlineStr">
        <is>
          <t>ROCKCODE agrupado en ROCKCODE_NUMEQ=13; sigla sin leyenda</t>
        </is>
      </c>
      <c r="J268" t="inlineStr">
        <is>
          <t>Hornfels (hipótesis: siglas H*)</t>
        </is>
      </c>
      <c r="K268" t="inlineStr">
        <is>
          <t>Metamorfico</t>
        </is>
      </c>
      <c r="L268" t="inlineStr">
        <is>
          <t>media_pond = ponderada por largo de intervalo</t>
        </is>
      </c>
      <c r="M268" t="n">
        <v>20396</v>
      </c>
      <c r="N268" t="n">
        <v>95.22029999999999</v>
      </c>
      <c r="O268" t="n">
        <v>10.3999</v>
      </c>
      <c r="P268" t="n">
        <v>0.1092</v>
      </c>
      <c r="Q268" t="n">
        <v>0</v>
      </c>
      <c r="R268" t="n">
        <v>76.7834</v>
      </c>
      <c r="S268" t="n">
        <v>87.002</v>
      </c>
      <c r="T268" t="n">
        <v>95</v>
      </c>
      <c r="U268" t="n">
        <v>99.334</v>
      </c>
      <c r="V268" t="n">
        <v>100</v>
      </c>
      <c r="W268" t="n">
        <v>100</v>
      </c>
      <c r="X268" t="n">
        <v>100</v>
      </c>
      <c r="Y268" t="n">
        <v>100</v>
      </c>
      <c r="Z268" t="n">
        <v>94.9353</v>
      </c>
    </row>
    <row r="269">
      <c r="A269" t="inlineStr">
        <is>
          <t>MR24</t>
        </is>
      </c>
      <c r="B269" t="inlineStr">
        <is>
          <t>Merged_Table_Assay_lito</t>
        </is>
      </c>
      <c r="C269" t="inlineStr">
        <is>
          <t>RQD_pc</t>
        </is>
      </c>
      <c r="D269" t="inlineStr">
        <is>
          <t>%</t>
        </is>
      </c>
      <c r="E269" t="inlineStr">
        <is>
          <t>ROCKCODE</t>
        </is>
      </c>
      <c r="F269" t="inlineStr">
        <is>
          <t>HGS</t>
        </is>
      </c>
      <c r="G269" t="inlineStr">
        <is>
          <t>sin asignar</t>
        </is>
      </c>
      <c r="H269" t="inlineStr">
        <is>
          <t>HGS</t>
        </is>
      </c>
      <c r="I269" t="inlineStr">
        <is>
          <t>ROCKCODE agrupado en ROCKCODE_NUMEQ=13; sigla sin leyenda</t>
        </is>
      </c>
      <c r="J269" t="inlineStr">
        <is>
          <t>Hornfels (hipótesis: siglas H*)</t>
        </is>
      </c>
      <c r="K269" t="inlineStr">
        <is>
          <t>Metamorfico</t>
        </is>
      </c>
      <c r="L269" t="inlineStr">
        <is>
          <t>media_pond = ponderada por largo de intervalo</t>
        </is>
      </c>
      <c r="M269" t="n">
        <v>7212</v>
      </c>
      <c r="N269" t="n">
        <v>96.9312</v>
      </c>
      <c r="O269" t="n">
        <v>7.9061</v>
      </c>
      <c r="P269" t="n">
        <v>0.08160000000000001</v>
      </c>
      <c r="Q269" t="n">
        <v>0</v>
      </c>
      <c r="R269" t="n">
        <v>85.6528</v>
      </c>
      <c r="S269" t="n">
        <v>92</v>
      </c>
      <c r="T269" t="n">
        <v>96.9191</v>
      </c>
      <c r="U269" t="n">
        <v>100</v>
      </c>
      <c r="V269" t="n">
        <v>100</v>
      </c>
      <c r="W269" t="n">
        <v>100</v>
      </c>
      <c r="X269" t="n">
        <v>100</v>
      </c>
      <c r="Y269" t="n">
        <v>100</v>
      </c>
      <c r="Z269" t="n">
        <v>96.7984</v>
      </c>
    </row>
    <row r="270">
      <c r="A270" t="inlineStr">
        <is>
          <t>MR24</t>
        </is>
      </c>
      <c r="B270" t="inlineStr">
        <is>
          <t>Merged_Table_Assay_lito</t>
        </is>
      </c>
      <c r="C270" t="inlineStr">
        <is>
          <t>RQD_pc</t>
        </is>
      </c>
      <c r="D270" t="inlineStr">
        <is>
          <t>%</t>
        </is>
      </c>
      <c r="E270" t="inlineStr">
        <is>
          <t>ROCKCODE</t>
        </is>
      </c>
      <c r="F270" t="inlineStr">
        <is>
          <t>HGV</t>
        </is>
      </c>
      <c r="G270" t="inlineStr">
        <is>
          <t>sin asignar</t>
        </is>
      </c>
      <c r="H270" t="inlineStr">
        <is>
          <t>HGV</t>
        </is>
      </c>
      <c r="I270" t="inlineStr">
        <is>
          <t>ROCKCODE agrupado en ROCKCODE_NUMEQ=14; sigla sin leyenda</t>
        </is>
      </c>
      <c r="J270" t="inlineStr">
        <is>
          <t>Hornfels (hipótesis: siglas H*)</t>
        </is>
      </c>
      <c r="K270" t="inlineStr">
        <is>
          <t>Metamorfico</t>
        </is>
      </c>
      <c r="L270" t="inlineStr">
        <is>
          <t>media_pond = ponderada por largo de intervalo</t>
        </is>
      </c>
      <c r="M270" t="n">
        <v>1800</v>
      </c>
      <c r="N270" t="n">
        <v>95.85760000000001</v>
      </c>
      <c r="O270" t="n">
        <v>10.3264</v>
      </c>
      <c r="P270" t="n">
        <v>0.1077</v>
      </c>
      <c r="Q270" t="n">
        <v>0</v>
      </c>
      <c r="R270" t="n">
        <v>80</v>
      </c>
      <c r="S270" t="n">
        <v>88.878</v>
      </c>
      <c r="T270" t="n">
        <v>96.14239999999999</v>
      </c>
      <c r="U270" t="n">
        <v>100</v>
      </c>
      <c r="V270" t="n">
        <v>100</v>
      </c>
      <c r="W270" t="n">
        <v>100</v>
      </c>
      <c r="X270" t="n">
        <v>100</v>
      </c>
      <c r="Y270" t="n">
        <v>100</v>
      </c>
      <c r="Z270" t="n">
        <v>95.31229999999999</v>
      </c>
    </row>
    <row r="271">
      <c r="A271" t="inlineStr">
        <is>
          <t>MR24</t>
        </is>
      </c>
      <c r="B271" t="inlineStr">
        <is>
          <t>Merged_Table_Assay_lito</t>
        </is>
      </c>
      <c r="C271" t="inlineStr">
        <is>
          <t>RQD_pc</t>
        </is>
      </c>
      <c r="D271" t="inlineStr">
        <is>
          <t>%</t>
        </is>
      </c>
      <c r="E271" t="inlineStr">
        <is>
          <t>ROCKCODE</t>
        </is>
      </c>
      <c r="F271" t="inlineStr">
        <is>
          <t>HMGV</t>
        </is>
      </c>
      <c r="G271" t="inlineStr">
        <is>
          <t>sin asignar</t>
        </is>
      </c>
      <c r="H271" t="inlineStr">
        <is>
          <t>HMGV</t>
        </is>
      </c>
      <c r="I271" t="inlineStr">
        <is>
          <t>ROCKCODE agrupado en ROCKCODE_NUMEQ=14; sigla sin leyenda</t>
        </is>
      </c>
      <c r="J271" t="inlineStr">
        <is>
          <t>Hornfels (hipótesis: siglas H*)</t>
        </is>
      </c>
      <c r="K271" t="inlineStr">
        <is>
          <t>Metamorfico</t>
        </is>
      </c>
      <c r="L271" t="inlineStr">
        <is>
          <t>media_pond = ponderada por largo de intervalo</t>
        </is>
      </c>
      <c r="M271" t="n">
        <v>210</v>
      </c>
      <c r="N271" t="n">
        <v>96.8959</v>
      </c>
      <c r="O271" t="n">
        <v>7.1496</v>
      </c>
      <c r="P271" t="n">
        <v>0.0738</v>
      </c>
      <c r="Q271" t="n">
        <v>54.5455</v>
      </c>
      <c r="R271" t="n">
        <v>77.7681</v>
      </c>
      <c r="S271" t="n">
        <v>83.822</v>
      </c>
      <c r="T271" t="n">
        <v>100</v>
      </c>
      <c r="U271" t="n">
        <v>100</v>
      </c>
      <c r="V271" t="n">
        <v>100</v>
      </c>
      <c r="W271" t="n">
        <v>100</v>
      </c>
      <c r="X271" t="n">
        <v>100</v>
      </c>
      <c r="Y271" t="n">
        <v>100</v>
      </c>
      <c r="Z271" t="n">
        <v>96.9109</v>
      </c>
    </row>
    <row r="272">
      <c r="A272" t="inlineStr">
        <is>
          <t>MR24</t>
        </is>
      </c>
      <c r="B272" t="inlineStr">
        <is>
          <t>Merged_Table_Assay_lito</t>
        </is>
      </c>
      <c r="C272" t="inlineStr">
        <is>
          <t>RQD_pc</t>
        </is>
      </c>
      <c r="D272" t="inlineStr">
        <is>
          <t>%</t>
        </is>
      </c>
      <c r="E272" t="inlineStr">
        <is>
          <t>ROCKCODE</t>
        </is>
      </c>
      <c r="F272" t="inlineStr">
        <is>
          <t>HV</t>
        </is>
      </c>
      <c r="G272" t="inlineStr">
        <is>
          <t>sin asignar</t>
        </is>
      </c>
      <c r="H272" t="inlineStr">
        <is>
          <t>HV</t>
        </is>
      </c>
      <c r="I272" t="inlineStr">
        <is>
          <t>ROCKCODE agrupado en ROCKCODE_NUMEQ=14; sigla sin leyenda</t>
        </is>
      </c>
      <c r="J272" t="inlineStr">
        <is>
          <t>Hornfels (hipótesis: siglas H*)</t>
        </is>
      </c>
      <c r="K272" t="inlineStr">
        <is>
          <t>Metamorfico</t>
        </is>
      </c>
      <c r="L272" t="inlineStr">
        <is>
          <t>media_pond = ponderada por largo de intervalo</t>
        </is>
      </c>
      <c r="M272" t="n">
        <v>62</v>
      </c>
      <c r="N272" t="n">
        <v>98.9936</v>
      </c>
      <c r="O272" t="n">
        <v>2.9495</v>
      </c>
      <c r="P272" t="n">
        <v>0.0298</v>
      </c>
      <c r="Q272" t="n">
        <v>86.714</v>
      </c>
      <c r="R272" t="n">
        <v>89.6036</v>
      </c>
      <c r="S272" t="n">
        <v>97.956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98.762</v>
      </c>
    </row>
    <row r="273">
      <c r="A273" t="inlineStr">
        <is>
          <t>MR24</t>
        </is>
      </c>
      <c r="B273" t="inlineStr">
        <is>
          <t>Merged_Table_Assay_lito</t>
        </is>
      </c>
      <c r="C273" t="inlineStr">
        <is>
          <t>RQD_pc</t>
        </is>
      </c>
      <c r="D273" t="inlineStr">
        <is>
          <t>%</t>
        </is>
      </c>
      <c r="E273" t="inlineStr">
        <is>
          <t>ROCKCODE</t>
        </is>
      </c>
      <c r="F273" t="inlineStr">
        <is>
          <t>IPHPE</t>
        </is>
      </c>
      <c r="G273" t="inlineStr">
        <is>
          <t>Intrusivo</t>
        </is>
      </c>
      <c r="H273" t="inlineStr">
        <is>
          <t>IPHPE</t>
        </is>
      </c>
      <c r="I273" t="inlineStr">
        <is>
          <t>ROCKCODE agrupado en ROCKCODE_NUMEQ=1 (Intrusivo_1)</t>
        </is>
      </c>
      <c r="J273" t="inlineStr">
        <is>
          <t>Intrusivo</t>
        </is>
      </c>
      <c r="K273" t="inlineStr">
        <is>
          <t>Intrusivo</t>
        </is>
      </c>
      <c r="L273" t="inlineStr">
        <is>
          <t>media_pond = ponderada por largo de intervalo</t>
        </is>
      </c>
      <c r="M273" t="n">
        <v>99</v>
      </c>
      <c r="N273" t="n">
        <v>98.6204</v>
      </c>
      <c r="O273" t="n">
        <v>3.9763</v>
      </c>
      <c r="P273" t="n">
        <v>0.0403</v>
      </c>
      <c r="Q273" t="n">
        <v>71.11109999999999</v>
      </c>
      <c r="R273" t="n">
        <v>92.5937</v>
      </c>
      <c r="S273" t="n">
        <v>96.14409999999999</v>
      </c>
      <c r="T273" t="n">
        <v>100</v>
      </c>
      <c r="U273" t="n">
        <v>100</v>
      </c>
      <c r="V273" t="n">
        <v>100</v>
      </c>
      <c r="W273" t="n">
        <v>100</v>
      </c>
      <c r="X273" t="n">
        <v>100</v>
      </c>
      <c r="Y273" t="n">
        <v>100</v>
      </c>
      <c r="Z273" t="n">
        <v>98.0536</v>
      </c>
    </row>
    <row r="274">
      <c r="A274" t="inlineStr">
        <is>
          <t>MR24</t>
        </is>
      </c>
      <c r="B274" t="inlineStr">
        <is>
          <t>Merged_Table_Assay_lito</t>
        </is>
      </c>
      <c r="C274" t="inlineStr">
        <is>
          <t>RQD_pc</t>
        </is>
      </c>
      <c r="D274" t="inlineStr">
        <is>
          <t>%</t>
        </is>
      </c>
      <c r="E274" t="inlineStr">
        <is>
          <t>ROCKCODE</t>
        </is>
      </c>
      <c r="F274" t="inlineStr">
        <is>
          <t>IPPA</t>
        </is>
      </c>
      <c r="G274" t="inlineStr">
        <is>
          <t>Intrusivo</t>
        </is>
      </c>
      <c r="H274" t="inlineStr">
        <is>
          <t>IPPA</t>
        </is>
      </c>
      <c r="I274" t="inlineStr">
        <is>
          <t>ROCKCODE agrupado en ROCKCODE_NUMEQ=1 (Intrusivo_1)</t>
        </is>
      </c>
      <c r="J274" t="inlineStr">
        <is>
          <t>Intrusivo</t>
        </is>
      </c>
      <c r="K274" t="inlineStr">
        <is>
          <t>Intrusivo</t>
        </is>
      </c>
      <c r="L274" t="inlineStr">
        <is>
          <t>media_pond = ponderada por largo de intervalo</t>
        </is>
      </c>
      <c r="M274" t="n">
        <v>21886</v>
      </c>
      <c r="N274" t="n">
        <v>83.038</v>
      </c>
      <c r="O274" t="n">
        <v>28.0166</v>
      </c>
      <c r="P274" t="n">
        <v>0.3374</v>
      </c>
      <c r="Q274" t="n">
        <v>0</v>
      </c>
      <c r="R274" t="n">
        <v>7</v>
      </c>
      <c r="S274" t="n">
        <v>33.3333</v>
      </c>
      <c r="T274" t="n">
        <v>81</v>
      </c>
      <c r="U274" t="n">
        <v>96.67</v>
      </c>
      <c r="V274" t="n">
        <v>100</v>
      </c>
      <c r="W274" t="n">
        <v>100</v>
      </c>
      <c r="X274" t="n">
        <v>100</v>
      </c>
      <c r="Y274" t="n">
        <v>100</v>
      </c>
      <c r="Z274" t="n">
        <v>80.93040000000001</v>
      </c>
    </row>
    <row r="275">
      <c r="A275" t="inlineStr">
        <is>
          <t>MR24</t>
        </is>
      </c>
      <c r="B275" t="inlineStr">
        <is>
          <t>Merged_Table_Assay_lito</t>
        </is>
      </c>
      <c r="C275" t="inlineStr">
        <is>
          <t>RQD_pc</t>
        </is>
      </c>
      <c r="D275" t="inlineStr">
        <is>
          <t>%</t>
        </is>
      </c>
      <c r="E275" t="inlineStr">
        <is>
          <t>ROCKCODE</t>
        </is>
      </c>
      <c r="F275" t="inlineStr">
        <is>
          <t>IPPAMO</t>
        </is>
      </c>
      <c r="G275" t="inlineStr">
        <is>
          <t>Intrusivo</t>
        </is>
      </c>
      <c r="H275" t="inlineStr">
        <is>
          <t>IPPAMO</t>
        </is>
      </c>
      <c r="I275" t="inlineStr">
        <is>
          <t>ROCKCODE agrupado en ROCKCODE_NUMEQ=1 (Intrusivo_1)</t>
        </is>
      </c>
      <c r="J275" t="inlineStr">
        <is>
          <t>Intrusivo</t>
        </is>
      </c>
      <c r="K275" t="inlineStr">
        <is>
          <t>Intrusivo</t>
        </is>
      </c>
      <c r="L275" t="inlineStr">
        <is>
          <t>media_pond = ponderada por largo de intervalo</t>
        </is>
      </c>
      <c r="M275" t="n">
        <v>3244</v>
      </c>
      <c r="N275" t="n">
        <v>87.1553</v>
      </c>
      <c r="O275" t="n">
        <v>20.3463</v>
      </c>
      <c r="P275" t="n">
        <v>0.2334</v>
      </c>
      <c r="Q275" t="n">
        <v>0</v>
      </c>
      <c r="R275" t="n">
        <v>40</v>
      </c>
      <c r="S275" t="n">
        <v>56.6677</v>
      </c>
      <c r="T275" t="n">
        <v>84</v>
      </c>
      <c r="U275" t="n">
        <v>96.44450000000001</v>
      </c>
      <c r="V275" t="n">
        <v>100</v>
      </c>
      <c r="W275" t="n">
        <v>100</v>
      </c>
      <c r="X275" t="n">
        <v>100</v>
      </c>
      <c r="Y275" t="n">
        <v>100</v>
      </c>
      <c r="Z275" t="n">
        <v>86.40179999999999</v>
      </c>
    </row>
    <row r="276">
      <c r="A276" t="inlineStr">
        <is>
          <t>MR24</t>
        </is>
      </c>
      <c r="B276" t="inlineStr">
        <is>
          <t>Merged_Table_Assay_lito</t>
        </is>
      </c>
      <c r="C276" t="inlineStr">
        <is>
          <t>RQD_pc</t>
        </is>
      </c>
      <c r="D276" t="inlineStr">
        <is>
          <t>%</t>
        </is>
      </c>
      <c r="E276" t="inlineStr">
        <is>
          <t>ROCKCODE</t>
        </is>
      </c>
      <c r="F276" t="inlineStr">
        <is>
          <t>IPPAO</t>
        </is>
      </c>
      <c r="G276" t="inlineStr">
        <is>
          <t>Intrusivo</t>
        </is>
      </c>
      <c r="H276" t="inlineStr">
        <is>
          <t>IPPAO</t>
        </is>
      </c>
      <c r="I276" t="inlineStr">
        <is>
          <t>ROCKCODE agrupado en ROCKCODE_NUMEQ=1 (Intrusivo_1)</t>
        </is>
      </c>
      <c r="J276" t="inlineStr">
        <is>
          <t>Intrusivo</t>
        </is>
      </c>
      <c r="K276" t="inlineStr">
        <is>
          <t>Intrusivo</t>
        </is>
      </c>
      <c r="L276" t="inlineStr">
        <is>
          <t>media_pond = ponderada por largo de intervalo</t>
        </is>
      </c>
      <c r="M276" t="n">
        <v>13556</v>
      </c>
      <c r="N276" t="n">
        <v>79.9246</v>
      </c>
      <c r="O276" t="n">
        <v>28.4171</v>
      </c>
      <c r="P276" t="n">
        <v>0.3555</v>
      </c>
      <c r="Q276" t="n">
        <v>0</v>
      </c>
      <c r="R276" t="n">
        <v>10.8873</v>
      </c>
      <c r="S276" t="n">
        <v>31.225</v>
      </c>
      <c r="T276" t="n">
        <v>70</v>
      </c>
      <c r="U276" t="n">
        <v>94.4777</v>
      </c>
      <c r="V276" t="n">
        <v>100</v>
      </c>
      <c r="W276" t="n">
        <v>100</v>
      </c>
      <c r="X276" t="n">
        <v>100</v>
      </c>
      <c r="Y276" t="n">
        <v>100</v>
      </c>
      <c r="Z276" t="n">
        <v>78.72369999999999</v>
      </c>
    </row>
    <row r="277">
      <c r="A277" t="inlineStr">
        <is>
          <t>MR24</t>
        </is>
      </c>
      <c r="B277" t="inlineStr">
        <is>
          <t>Merged_Table_Assay_lito</t>
        </is>
      </c>
      <c r="C277" t="inlineStr">
        <is>
          <t>RQD_pc</t>
        </is>
      </c>
      <c r="D277" t="inlineStr">
        <is>
          <t>%</t>
        </is>
      </c>
      <c r="E277" t="inlineStr">
        <is>
          <t>ROCKCODE</t>
        </is>
      </c>
      <c r="F277" t="inlineStr">
        <is>
          <t>IPPEO</t>
        </is>
      </c>
      <c r="G277" t="inlineStr">
        <is>
          <t>Intrusivo</t>
        </is>
      </c>
      <c r="H277" t="inlineStr">
        <is>
          <t>IPPEO</t>
        </is>
      </c>
      <c r="I277" t="inlineStr">
        <is>
          <t>ROCKCODE agrupado en ROCKCODE_NUMEQ=1 (Intrusivo_1)</t>
        </is>
      </c>
      <c r="J277" t="inlineStr">
        <is>
          <t>Intrusivo</t>
        </is>
      </c>
      <c r="K277" t="inlineStr">
        <is>
          <t>Intrusivo</t>
        </is>
      </c>
      <c r="L277" t="inlineStr">
        <is>
          <t>media_pond = ponderada por largo de intervalo</t>
        </is>
      </c>
      <c r="M277" t="n">
        <v>946</v>
      </c>
      <c r="N277" t="n">
        <v>92.7962</v>
      </c>
      <c r="O277" t="n">
        <v>17.9874</v>
      </c>
      <c r="P277" t="n">
        <v>0.1938</v>
      </c>
      <c r="Q277" t="n">
        <v>0</v>
      </c>
      <c r="R277" t="n">
        <v>49.336</v>
      </c>
      <c r="S277" t="n">
        <v>80</v>
      </c>
      <c r="T277" t="n">
        <v>95.33329999999999</v>
      </c>
      <c r="U277" t="n">
        <v>100</v>
      </c>
      <c r="V277" t="n">
        <v>100</v>
      </c>
      <c r="W277" t="n">
        <v>100</v>
      </c>
      <c r="X277" t="n">
        <v>100</v>
      </c>
      <c r="Y277" t="n">
        <v>100</v>
      </c>
      <c r="Z277" t="n">
        <v>92.10590000000001</v>
      </c>
    </row>
    <row r="278">
      <c r="A278" t="inlineStr">
        <is>
          <t>MR24</t>
        </is>
      </c>
      <c r="B278" t="inlineStr">
        <is>
          <t>Merged_Table_Assay_lito</t>
        </is>
      </c>
      <c r="C278" t="inlineStr">
        <is>
          <t>RQD_pc</t>
        </is>
      </c>
      <c r="D278" t="inlineStr">
        <is>
          <t>%</t>
        </is>
      </c>
      <c r="E278" t="inlineStr">
        <is>
          <t>ROCKCODE</t>
        </is>
      </c>
      <c r="F278" t="inlineStr">
        <is>
          <t>M</t>
        </is>
      </c>
      <c r="G278" t="inlineStr">
        <is>
          <t>sin asignar</t>
        </is>
      </c>
      <c r="H278" t="inlineStr">
        <is>
          <t>M</t>
        </is>
      </c>
      <c r="I278" t="inlineStr">
        <is>
          <t>ROCKCODE agrupado en ROCKCODE_NUMEQ=16; sigla sin leyenda</t>
        </is>
      </c>
      <c r="J278" t="inlineStr">
        <is>
          <t>Mármol (hipótesis: siglas M*)</t>
        </is>
      </c>
      <c r="K278" t="inlineStr">
        <is>
          <t>Metamorfico</t>
        </is>
      </c>
      <c r="L278" t="inlineStr">
        <is>
          <t>media_pond = ponderada por largo de intervalo</t>
        </is>
      </c>
      <c r="M278" t="n">
        <v>41</v>
      </c>
      <c r="N278" t="n">
        <v>94.9242</v>
      </c>
      <c r="O278" t="n">
        <v>15.6155</v>
      </c>
      <c r="P278" t="n">
        <v>0.1645</v>
      </c>
      <c r="Q278" t="n">
        <v>0</v>
      </c>
      <c r="R278" t="n">
        <v>88.89</v>
      </c>
      <c r="S278" t="n">
        <v>91.252</v>
      </c>
      <c r="T278" t="n">
        <v>96.67</v>
      </c>
      <c r="U278" t="n">
        <v>97.77800000000001</v>
      </c>
      <c r="V278" t="n">
        <v>100</v>
      </c>
      <c r="W278" t="n">
        <v>100</v>
      </c>
      <c r="X278" t="n">
        <v>100</v>
      </c>
      <c r="Y278" t="n">
        <v>100</v>
      </c>
      <c r="Z278" t="n">
        <v>92.8742</v>
      </c>
    </row>
    <row r="279">
      <c r="A279" t="inlineStr">
        <is>
          <t>MR24</t>
        </is>
      </c>
      <c r="B279" t="inlineStr">
        <is>
          <t>Merged_Table_Assay_lito</t>
        </is>
      </c>
      <c r="C279" t="inlineStr">
        <is>
          <t>RQD_pc</t>
        </is>
      </c>
      <c r="D279" t="inlineStr">
        <is>
          <t>%</t>
        </is>
      </c>
      <c r="E279" t="inlineStr">
        <is>
          <t>ROCKCODE</t>
        </is>
      </c>
      <c r="F279" t="inlineStr">
        <is>
          <t>MC</t>
        </is>
      </c>
      <c r="G279" t="inlineStr">
        <is>
          <t>sin asignar</t>
        </is>
      </c>
      <c r="H279" t="inlineStr">
        <is>
          <t>MC</t>
        </is>
      </c>
      <c r="I279" t="inlineStr">
        <is>
          <t>ROCKCODE agrupado en ROCKCODE_NUMEQ=16; sigla sin leyenda</t>
        </is>
      </c>
      <c r="J279" t="inlineStr">
        <is>
          <t>Mármol (hipótesis: siglas M*)</t>
        </is>
      </c>
      <c r="K279" t="inlineStr">
        <is>
          <t>Metamorfico</t>
        </is>
      </c>
      <c r="L279" t="inlineStr">
        <is>
          <t>media_pond = ponderada por largo de intervalo</t>
        </is>
      </c>
      <c r="M279" t="n">
        <v>24265</v>
      </c>
      <c r="N279" t="n">
        <v>96.509</v>
      </c>
      <c r="O279" t="n">
        <v>9.6364</v>
      </c>
      <c r="P279" t="n">
        <v>0.0999</v>
      </c>
      <c r="Q279" t="n">
        <v>0</v>
      </c>
      <c r="R279" t="n">
        <v>81.5123</v>
      </c>
      <c r="S279" t="n">
        <v>90.66670000000001</v>
      </c>
      <c r="T279" t="n">
        <v>97.67</v>
      </c>
      <c r="U279" t="n">
        <v>100</v>
      </c>
      <c r="V279" t="n">
        <v>100</v>
      </c>
      <c r="W279" t="n">
        <v>100</v>
      </c>
      <c r="X279" t="n">
        <v>100</v>
      </c>
      <c r="Y279" t="n">
        <v>100</v>
      </c>
      <c r="Z279" t="n">
        <v>96.30889999999999</v>
      </c>
    </row>
    <row r="280">
      <c r="A280" t="inlineStr">
        <is>
          <t>MR24</t>
        </is>
      </c>
      <c r="B280" t="inlineStr">
        <is>
          <t>Merged_Table_Assay_lito</t>
        </is>
      </c>
      <c r="C280" t="inlineStr">
        <is>
          <t>RQD_pc</t>
        </is>
      </c>
      <c r="D280" t="inlineStr">
        <is>
          <t>%</t>
        </is>
      </c>
      <c r="E280" t="inlineStr">
        <is>
          <t>ROCKCODE</t>
        </is>
      </c>
      <c r="F280" t="inlineStr">
        <is>
          <t>MCB</t>
        </is>
      </c>
      <c r="G280" t="inlineStr">
        <is>
          <t>sin asignar</t>
        </is>
      </c>
      <c r="H280" t="inlineStr">
        <is>
          <t>MCB</t>
        </is>
      </c>
      <c r="I280" t="inlineStr">
        <is>
          <t>ROCKCODE agrupado en ROCKCODE_NUMEQ=16; sigla sin leyenda</t>
        </is>
      </c>
      <c r="J280" t="inlineStr">
        <is>
          <t>Mármol (hipótesis: siglas M*)</t>
        </is>
      </c>
      <c r="K280" t="inlineStr">
        <is>
          <t>Metamorfico</t>
        </is>
      </c>
      <c r="L280" t="inlineStr">
        <is>
          <t>media_pond = ponderada por largo de intervalo</t>
        </is>
      </c>
      <c r="M280" t="n">
        <v>2524</v>
      </c>
      <c r="N280" t="n">
        <v>92.4521</v>
      </c>
      <c r="O280" t="n">
        <v>16.8445</v>
      </c>
      <c r="P280" t="n">
        <v>0.1822</v>
      </c>
      <c r="Q280" t="n">
        <v>0</v>
      </c>
      <c r="R280" t="n">
        <v>55.03</v>
      </c>
      <c r="S280" t="n">
        <v>73.17270000000001</v>
      </c>
      <c r="T280" t="n">
        <v>95</v>
      </c>
      <c r="U280" t="n">
        <v>100</v>
      </c>
      <c r="V280" t="n">
        <v>100</v>
      </c>
      <c r="W280" t="n">
        <v>100</v>
      </c>
      <c r="X280" t="n">
        <v>100</v>
      </c>
      <c r="Y280" t="n">
        <v>100</v>
      </c>
      <c r="Z280" t="n">
        <v>92.0587</v>
      </c>
    </row>
    <row r="281">
      <c r="A281" t="inlineStr">
        <is>
          <t>MR24</t>
        </is>
      </c>
      <c r="B281" t="inlineStr">
        <is>
          <t>Merged_Table_Assay_lito</t>
        </is>
      </c>
      <c r="C281" t="inlineStr">
        <is>
          <t>RQD_pc</t>
        </is>
      </c>
      <c r="D281" t="inlineStr">
        <is>
          <t>%</t>
        </is>
      </c>
      <c r="E281" t="inlineStr">
        <is>
          <t>ROCKCODE</t>
        </is>
      </c>
      <c r="F281" t="inlineStr">
        <is>
          <t>MCGB</t>
        </is>
      </c>
      <c r="G281" t="inlineStr">
        <is>
          <t>sin asignar</t>
        </is>
      </c>
      <c r="H281" t="inlineStr">
        <is>
          <t>MCGB</t>
        </is>
      </c>
      <c r="I281" t="inlineStr">
        <is>
          <t>ROCKCODE agrupado en ROCKCODE_NUMEQ=16; sigla sin leyenda</t>
        </is>
      </c>
      <c r="J281" t="inlineStr">
        <is>
          <t>Mármol (hipótesis: siglas M*)</t>
        </is>
      </c>
      <c r="K281" t="inlineStr">
        <is>
          <t>Metamorfico</t>
        </is>
      </c>
      <c r="L281" t="inlineStr">
        <is>
          <t>media_pond = ponderada por largo de intervalo</t>
        </is>
      </c>
      <c r="M281" t="n">
        <v>9009</v>
      </c>
      <c r="N281" t="n">
        <v>96.5702</v>
      </c>
      <c r="O281" t="n">
        <v>9.578900000000001</v>
      </c>
      <c r="P281" t="n">
        <v>0.0992</v>
      </c>
      <c r="Q281" t="n">
        <v>0</v>
      </c>
      <c r="R281" t="n">
        <v>80</v>
      </c>
      <c r="S281" t="n">
        <v>90.14530000000001</v>
      </c>
      <c r="T281" t="n">
        <v>98</v>
      </c>
      <c r="U281" t="n">
        <v>100</v>
      </c>
      <c r="V281" t="n">
        <v>100</v>
      </c>
      <c r="W281" t="n">
        <v>100</v>
      </c>
      <c r="X281" t="n">
        <v>100</v>
      </c>
      <c r="Y281" t="n">
        <v>100</v>
      </c>
      <c r="Z281" t="n">
        <v>96.5337</v>
      </c>
    </row>
    <row r="282">
      <c r="A282" t="inlineStr">
        <is>
          <t>MR24</t>
        </is>
      </c>
      <c r="B282" t="inlineStr">
        <is>
          <t>Merged_Table_Assay_lito</t>
        </is>
      </c>
      <c r="C282" t="inlineStr">
        <is>
          <t>RQD_pc</t>
        </is>
      </c>
      <c r="D282" t="inlineStr">
        <is>
          <t>%</t>
        </is>
      </c>
      <c r="E282" t="inlineStr">
        <is>
          <t>ROCKCODE</t>
        </is>
      </c>
      <c r="F282" t="inlineStr">
        <is>
          <t>MDL</t>
        </is>
      </c>
      <c r="G282" t="inlineStr">
        <is>
          <t>sin asignar</t>
        </is>
      </c>
      <c r="H282" t="inlineStr">
        <is>
          <t>MDL</t>
        </is>
      </c>
      <c r="I282" t="inlineStr">
        <is>
          <t>ROCKCODE agrupado en ROCKCODE_NUMEQ=16; sigla sin leyenda</t>
        </is>
      </c>
      <c r="J282" t="inlineStr">
        <is>
          <t>Mármol (hipótesis: siglas M*)</t>
        </is>
      </c>
      <c r="K282" t="inlineStr">
        <is>
          <t>Metamorfico</t>
        </is>
      </c>
      <c r="L282" t="inlineStr">
        <is>
          <t>media_pond = ponderada por largo de intervalo</t>
        </is>
      </c>
      <c r="M282" t="n">
        <v>1</v>
      </c>
      <c r="N282" t="n">
        <v>100</v>
      </c>
      <c r="O282" t="inlineStr"/>
      <c r="P282" t="inlineStr"/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</row>
    <row r="283">
      <c r="A283" t="inlineStr">
        <is>
          <t>MR24</t>
        </is>
      </c>
      <c r="B283" t="inlineStr">
        <is>
          <t>Merged_Table_Assay_lito</t>
        </is>
      </c>
      <c r="C283" t="inlineStr">
        <is>
          <t>RQD_pc</t>
        </is>
      </c>
      <c r="D283" t="inlineStr">
        <is>
          <t>%</t>
        </is>
      </c>
      <c r="E283" t="inlineStr">
        <is>
          <t>ROCKCODE</t>
        </is>
      </c>
      <c r="F283" t="inlineStr">
        <is>
          <t>MDP</t>
        </is>
      </c>
      <c r="G283" t="inlineStr">
        <is>
          <t>sin asignar</t>
        </is>
      </c>
      <c r="H283" t="inlineStr">
        <is>
          <t>MDP</t>
        </is>
      </c>
      <c r="I283" t="inlineStr">
        <is>
          <t>ROCKCODE agrupado en ROCKCODE_NUMEQ=19; sigla sin leyenda</t>
        </is>
      </c>
      <c r="J283" t="inlineStr">
        <is>
          <t>Mármol (hipótesis: sigla MDP)</t>
        </is>
      </c>
      <c r="K283" t="inlineStr">
        <is>
          <t>Metamorfico</t>
        </is>
      </c>
      <c r="L283" t="inlineStr">
        <is>
          <t>media_pond = ponderada por largo de intervalo</t>
        </is>
      </c>
      <c r="M283" t="n">
        <v>29342</v>
      </c>
      <c r="N283" t="n">
        <v>94.4149</v>
      </c>
      <c r="O283" t="n">
        <v>12.7267</v>
      </c>
      <c r="P283" t="n">
        <v>0.1348</v>
      </c>
      <c r="Q283" t="n">
        <v>0</v>
      </c>
      <c r="R283" t="n">
        <v>69.6242</v>
      </c>
      <c r="S283" t="n">
        <v>84.2473</v>
      </c>
      <c r="T283" t="n">
        <v>95</v>
      </c>
      <c r="U283" t="n">
        <v>100</v>
      </c>
      <c r="V283" t="n">
        <v>100</v>
      </c>
      <c r="W283" t="n">
        <v>100</v>
      </c>
      <c r="X283" t="n">
        <v>100</v>
      </c>
      <c r="Y283" t="n">
        <v>100</v>
      </c>
      <c r="Z283" t="n">
        <v>93.998</v>
      </c>
    </row>
    <row r="284">
      <c r="A284" t="inlineStr">
        <is>
          <t>MR24</t>
        </is>
      </c>
      <c r="B284" t="inlineStr">
        <is>
          <t>Merged_Table_Assay_lito</t>
        </is>
      </c>
      <c r="C284" t="inlineStr">
        <is>
          <t>RQD_pc</t>
        </is>
      </c>
      <c r="D284" t="inlineStr">
        <is>
          <t>%</t>
        </is>
      </c>
      <c r="E284" t="inlineStr">
        <is>
          <t>ROCKCODE</t>
        </is>
      </c>
      <c r="F284" t="inlineStr">
        <is>
          <t>MG</t>
        </is>
      </c>
      <c r="G284" t="inlineStr">
        <is>
          <t>sin asignar</t>
        </is>
      </c>
      <c r="H284" t="inlineStr">
        <is>
          <t>MG</t>
        </is>
      </c>
      <c r="I284" t="inlineStr">
        <is>
          <t>ROCKCODE agrupado en ROCKCODE_NUMEQ=16; sigla sin leyenda</t>
        </is>
      </c>
      <c r="J284" t="inlineStr">
        <is>
          <t>Mármol (hipótesis: siglas M*)</t>
        </is>
      </c>
      <c r="K284" t="inlineStr">
        <is>
          <t>Metamorfico</t>
        </is>
      </c>
      <c r="L284" t="inlineStr">
        <is>
          <t>media_pond = ponderada por largo de intervalo</t>
        </is>
      </c>
      <c r="M284" t="n">
        <v>11140</v>
      </c>
      <c r="N284" t="n">
        <v>97.02589999999999</v>
      </c>
      <c r="O284" t="n">
        <v>8.510899999999999</v>
      </c>
      <c r="P284" t="n">
        <v>0.0877</v>
      </c>
      <c r="Q284" t="n">
        <v>0</v>
      </c>
      <c r="R284" t="n">
        <v>85.5565</v>
      </c>
      <c r="S284" t="n">
        <v>92.4984</v>
      </c>
      <c r="T284" t="n">
        <v>98</v>
      </c>
      <c r="U284" t="n">
        <v>100</v>
      </c>
      <c r="V284" t="n">
        <v>100</v>
      </c>
      <c r="W284" t="n">
        <v>100</v>
      </c>
      <c r="X284" t="n">
        <v>100</v>
      </c>
      <c r="Y284" t="n">
        <v>100</v>
      </c>
      <c r="Z284" t="n">
        <v>96.815</v>
      </c>
    </row>
    <row r="285">
      <c r="A285" t="inlineStr">
        <is>
          <t>MR24</t>
        </is>
      </c>
      <c r="B285" t="inlineStr">
        <is>
          <t>Merged_Table_Assay_lito</t>
        </is>
      </c>
      <c r="C285" t="inlineStr">
        <is>
          <t>RQD_pc</t>
        </is>
      </c>
      <c r="D285" t="inlineStr">
        <is>
          <t>%</t>
        </is>
      </c>
      <c r="E285" t="inlineStr">
        <is>
          <t>ROCKCODE</t>
        </is>
      </c>
      <c r="F285" t="inlineStr">
        <is>
          <t>MGS</t>
        </is>
      </c>
      <c r="G285" t="inlineStr">
        <is>
          <t>sin asignar</t>
        </is>
      </c>
      <c r="H285" t="inlineStr">
        <is>
          <t>MGS</t>
        </is>
      </c>
      <c r="I285" t="inlineStr">
        <is>
          <t>ROCKCODE agrupado en ROCKCODE_NUMEQ=16; sigla sin leyenda</t>
        </is>
      </c>
      <c r="J285" t="inlineStr">
        <is>
          <t>Mármol (hipótesis: siglas M*)</t>
        </is>
      </c>
      <c r="K285" t="inlineStr">
        <is>
          <t>Metamorfico</t>
        </is>
      </c>
      <c r="L285" t="inlineStr">
        <is>
          <t>media_pond = ponderada por largo de intervalo</t>
        </is>
      </c>
      <c r="M285" t="n">
        <v>6741</v>
      </c>
      <c r="N285" t="n">
        <v>97.15860000000001</v>
      </c>
      <c r="O285" t="n">
        <v>7.9992</v>
      </c>
      <c r="P285" t="n">
        <v>0.0823</v>
      </c>
      <c r="Q285" t="n">
        <v>0</v>
      </c>
      <c r="R285" t="n">
        <v>85.64100000000001</v>
      </c>
      <c r="S285" t="n">
        <v>92.9853</v>
      </c>
      <c r="T285" t="n">
        <v>97.7778</v>
      </c>
      <c r="U285" t="n">
        <v>100</v>
      </c>
      <c r="V285" t="n">
        <v>100</v>
      </c>
      <c r="W285" t="n">
        <v>100</v>
      </c>
      <c r="X285" t="n">
        <v>100</v>
      </c>
      <c r="Y285" t="n">
        <v>100</v>
      </c>
      <c r="Z285" t="n">
        <v>96.67019999999999</v>
      </c>
    </row>
    <row r="286">
      <c r="A286" t="inlineStr">
        <is>
          <t>MR24</t>
        </is>
      </c>
      <c r="B286" t="inlineStr">
        <is>
          <t>Merged_Table_Assay_lito</t>
        </is>
      </c>
      <c r="C286" t="inlineStr">
        <is>
          <t>RQD_pc</t>
        </is>
      </c>
      <c r="D286" t="inlineStr">
        <is>
          <t>%</t>
        </is>
      </c>
      <c r="E286" t="inlineStr">
        <is>
          <t>ROCKCODE</t>
        </is>
      </c>
      <c r="F286" t="inlineStr">
        <is>
          <t>MPA</t>
        </is>
      </c>
      <c r="G286" t="inlineStr">
        <is>
          <t>sin asignar</t>
        </is>
      </c>
      <c r="H286" t="inlineStr">
        <is>
          <t>MPA</t>
        </is>
      </c>
      <c r="I286" t="inlineStr">
        <is>
          <t>ROCKCODE agrupado en ROCKCODE_NUMEQ=16; sigla sin leyenda</t>
        </is>
      </c>
      <c r="J286" t="inlineStr">
        <is>
          <t>Mármol (hipótesis: siglas M*)</t>
        </is>
      </c>
      <c r="K286" t="inlineStr">
        <is>
          <t>Metamorfico</t>
        </is>
      </c>
      <c r="L286" t="inlineStr">
        <is>
          <t>media_pond = ponderada por largo de intervalo</t>
        </is>
      </c>
      <c r="M286" t="n">
        <v>10658</v>
      </c>
      <c r="N286" t="n">
        <v>96.65179999999999</v>
      </c>
      <c r="O286" t="n">
        <v>8.4413</v>
      </c>
      <c r="P286" t="n">
        <v>0.0873</v>
      </c>
      <c r="Q286" t="n">
        <v>0</v>
      </c>
      <c r="R286" t="n">
        <v>83.33329999999999</v>
      </c>
      <c r="S286" t="n">
        <v>91.29000000000001</v>
      </c>
      <c r="T286" t="n">
        <v>96.67</v>
      </c>
      <c r="U286" t="n">
        <v>100</v>
      </c>
      <c r="V286" t="n">
        <v>100</v>
      </c>
      <c r="W286" t="n">
        <v>100</v>
      </c>
      <c r="X286" t="n">
        <v>100</v>
      </c>
      <c r="Y286" t="n">
        <v>100</v>
      </c>
      <c r="Z286" t="n">
        <v>96.39579999999999</v>
      </c>
    </row>
    <row r="287">
      <c r="A287" t="inlineStr">
        <is>
          <t>MR24</t>
        </is>
      </c>
      <c r="B287" t="inlineStr">
        <is>
          <t>Merged_Table_Assay_lito</t>
        </is>
      </c>
      <c r="C287" t="inlineStr">
        <is>
          <t>RQD_pc</t>
        </is>
      </c>
      <c r="D287" t="inlineStr">
        <is>
          <t>%</t>
        </is>
      </c>
      <c r="E287" t="inlineStr">
        <is>
          <t>ROCKCODE</t>
        </is>
      </c>
      <c r="F287" t="inlineStr">
        <is>
          <t>TODOS</t>
        </is>
      </c>
      <c r="G287" t="inlineStr"/>
      <c r="H287" t="inlineStr"/>
      <c r="I287" t="inlineStr"/>
      <c r="J287" t="inlineStr"/>
      <c r="K287" t="inlineStr">
        <is>
          <t>sin leyenda</t>
        </is>
      </c>
      <c r="L287" t="inlineStr">
        <is>
          <t>media_pond = ponderada por largo de intervalo</t>
        </is>
      </c>
      <c r="M287" t="n">
        <v>199076</v>
      </c>
      <c r="N287" t="n">
        <v>93.3047</v>
      </c>
      <c r="O287" t="n">
        <v>16.2235</v>
      </c>
      <c r="P287" t="n">
        <v>0.1739</v>
      </c>
      <c r="Q287" t="n">
        <v>0</v>
      </c>
      <c r="R287" t="n">
        <v>60.74</v>
      </c>
      <c r="S287" t="n">
        <v>81.4808</v>
      </c>
      <c r="T287" t="n">
        <v>95.044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92.6272</v>
      </c>
    </row>
    <row r="288">
      <c r="A288" t="inlineStr">
        <is>
          <t>MR24</t>
        </is>
      </c>
      <c r="B288" t="inlineStr">
        <is>
          <t>Merged_Table_Assay_lito</t>
        </is>
      </c>
      <c r="C288" t="inlineStr">
        <is>
          <t>ABRASION_pc</t>
        </is>
      </c>
      <c r="D288" t="inlineStr">
        <is>
          <t>%</t>
        </is>
      </c>
      <c r="E288" t="inlineStr">
        <is>
          <t>RT_Abrasion</t>
        </is>
      </c>
      <c r="F288" t="inlineStr">
        <is>
          <t>1</t>
        </is>
      </c>
      <c r="G288" t="inlineStr">
        <is>
          <t>Intrusivo</t>
        </is>
      </c>
      <c r="H288" t="inlineStr">
        <is>
          <t>RT1</t>
        </is>
      </c>
      <c r="I288" t="inlineStr">
        <is>
          <t>Geologia_2024=Intrusivo_1</t>
        </is>
      </c>
      <c r="J288" t="inlineStr">
        <is>
          <t>Intrusivo</t>
        </is>
      </c>
      <c r="K288" t="inlineStr">
        <is>
          <t>Intrusivo</t>
        </is>
      </c>
      <c r="L288" t="inlineStr"/>
      <c r="M288" t="n">
        <v>33</v>
      </c>
      <c r="N288" t="n">
        <v>24.4325</v>
      </c>
      <c r="O288" t="n">
        <v>2.0538</v>
      </c>
      <c r="P288" t="n">
        <v>0.08409999999999999</v>
      </c>
      <c r="Q288" t="n">
        <v>21.9756</v>
      </c>
      <c r="R288" t="n">
        <v>21.9756</v>
      </c>
      <c r="S288" t="n">
        <v>21.9756</v>
      </c>
      <c r="T288" t="n">
        <v>21.9912</v>
      </c>
      <c r="U288" t="n">
        <v>24.4902</v>
      </c>
      <c r="V288" t="n">
        <v>26.5441</v>
      </c>
      <c r="W288" t="n">
        <v>27.4145</v>
      </c>
      <c r="X288" t="n">
        <v>27.4145</v>
      </c>
      <c r="Y288" t="n">
        <v>27.4145</v>
      </c>
      <c r="Z288" t="inlineStr"/>
    </row>
    <row r="289">
      <c r="A289" t="inlineStr">
        <is>
          <t>MR24</t>
        </is>
      </c>
      <c r="B289" t="inlineStr">
        <is>
          <t>Merged_Table_Assay_lito</t>
        </is>
      </c>
      <c r="C289" t="inlineStr">
        <is>
          <t>ABRASION_pc</t>
        </is>
      </c>
      <c r="D289" t="inlineStr">
        <is>
          <t>%</t>
        </is>
      </c>
      <c r="E289" t="inlineStr">
        <is>
          <t>RT_Abrasion</t>
        </is>
      </c>
      <c r="F289" t="inlineStr">
        <is>
          <t>10</t>
        </is>
      </c>
      <c r="G289" t="inlineStr">
        <is>
          <t>sin asignar</t>
        </is>
      </c>
      <c r="H289" t="inlineStr">
        <is>
          <t>Sedimentario_10</t>
        </is>
      </c>
      <c r="I289" t="inlineStr">
        <is>
          <t>Geologia_2024=Sedimentario_10 (no especifica caliza)</t>
        </is>
      </c>
      <c r="J289" t="inlineStr">
        <is>
          <t>Caliza (hipótesis: siglas C*)</t>
        </is>
      </c>
      <c r="K289" t="inlineStr">
        <is>
          <t>Sedimentario</t>
        </is>
      </c>
      <c r="L289" t="inlineStr"/>
      <c r="M289" t="n">
        <v>42</v>
      </c>
      <c r="N289" t="n">
        <v>16.3609</v>
      </c>
      <c r="O289" t="n">
        <v>2.3768</v>
      </c>
      <c r="P289" t="n">
        <v>0.1453</v>
      </c>
      <c r="Q289" t="n">
        <v>13</v>
      </c>
      <c r="R289" t="n">
        <v>13</v>
      </c>
      <c r="S289" t="n">
        <v>13</v>
      </c>
      <c r="T289" t="n">
        <v>15.1</v>
      </c>
      <c r="U289" t="n">
        <v>16.417</v>
      </c>
      <c r="V289" t="n">
        <v>17.156</v>
      </c>
      <c r="W289" t="n">
        <v>19.2254</v>
      </c>
      <c r="X289" t="n">
        <v>20.9711</v>
      </c>
      <c r="Y289" t="n">
        <v>20.9711</v>
      </c>
      <c r="Z289" t="inlineStr"/>
    </row>
    <row r="290">
      <c r="A290" t="inlineStr">
        <is>
          <t>MR24</t>
        </is>
      </c>
      <c r="B290" t="inlineStr">
        <is>
          <t>Merged_Table_Assay_lito</t>
        </is>
      </c>
      <c r="C290" t="inlineStr">
        <is>
          <t>ABRASION_pc</t>
        </is>
      </c>
      <c r="D290" t="inlineStr">
        <is>
          <t>%</t>
        </is>
      </c>
      <c r="E290" t="inlineStr">
        <is>
          <t>RT_Abrasion</t>
        </is>
      </c>
      <c r="F290" t="inlineStr">
        <is>
          <t>11</t>
        </is>
      </c>
      <c r="G290" t="inlineStr">
        <is>
          <t>sin asignar</t>
        </is>
      </c>
      <c r="H290" t="inlineStr">
        <is>
          <t>Sedimentario_11</t>
        </is>
      </c>
      <c r="I290" t="inlineStr">
        <is>
          <t>Geologia_2024=Sedimentario_11 (no especifica caliza)</t>
        </is>
      </c>
      <c r="J290" t="inlineStr">
        <is>
          <t>Caliza (hipótesis: Sedimentario; RT11~NUMEQ10, siglas C*)</t>
        </is>
      </c>
      <c r="K290" t="inlineStr">
        <is>
          <t>Sedimentario</t>
        </is>
      </c>
      <c r="L290" t="inlineStr"/>
      <c r="M290" t="n">
        <v>319</v>
      </c>
      <c r="N290" t="n">
        <v>23.1681</v>
      </c>
      <c r="O290" t="n">
        <v>8.398400000000001</v>
      </c>
      <c r="P290" t="n">
        <v>0.3625</v>
      </c>
      <c r="Q290" t="n">
        <v>12</v>
      </c>
      <c r="R290" t="n">
        <v>15</v>
      </c>
      <c r="S290" t="n">
        <v>16.7</v>
      </c>
      <c r="T290" t="n">
        <v>19</v>
      </c>
      <c r="U290" t="n">
        <v>21.7851</v>
      </c>
      <c r="V290" t="n">
        <v>25.6</v>
      </c>
      <c r="W290" t="n">
        <v>28.5386</v>
      </c>
      <c r="X290" t="n">
        <v>32.7105</v>
      </c>
      <c r="Y290" t="n">
        <v>83.2</v>
      </c>
      <c r="Z290" t="inlineStr"/>
    </row>
    <row r="291">
      <c r="A291" t="inlineStr">
        <is>
          <t>MR24</t>
        </is>
      </c>
      <c r="B291" t="inlineStr">
        <is>
          <t>Merged_Table_Assay_lito</t>
        </is>
      </c>
      <c r="C291" t="inlineStr">
        <is>
          <t>ABRASION_pc</t>
        </is>
      </c>
      <c r="D291" t="inlineStr">
        <is>
          <t>%</t>
        </is>
      </c>
      <c r="E291" t="inlineStr">
        <is>
          <t>RT_Abrasion</t>
        </is>
      </c>
      <c r="F291" t="inlineStr">
        <is>
          <t>13</t>
        </is>
      </c>
      <c r="G291" t="inlineStr">
        <is>
          <t>sin asignar</t>
        </is>
      </c>
      <c r="H291" t="inlineStr">
        <is>
          <t>Metamorfico_13</t>
        </is>
      </c>
      <c r="I291" t="inlineStr">
        <is>
          <t>Geologia_2024=Metamorfico_13 (no distingue hornfels/mármol)</t>
        </is>
      </c>
      <c r="J291" t="inlineStr">
        <is>
          <t>Hornfels (hipótesis: siglas HG, HGS, HC)</t>
        </is>
      </c>
      <c r="K291" t="inlineStr">
        <is>
          <t>Metamorfico</t>
        </is>
      </c>
      <c r="L291" t="inlineStr"/>
      <c r="M291" t="n">
        <v>429</v>
      </c>
      <c r="N291" t="n">
        <v>19.6959</v>
      </c>
      <c r="O291" t="n">
        <v>5.9821</v>
      </c>
      <c r="P291" t="n">
        <v>0.3037</v>
      </c>
      <c r="Q291" t="n">
        <v>11.1211</v>
      </c>
      <c r="R291" t="n">
        <v>12.4131</v>
      </c>
      <c r="S291" t="n">
        <v>13.2238</v>
      </c>
      <c r="T291" t="n">
        <v>15.4682</v>
      </c>
      <c r="U291" t="n">
        <v>19.2</v>
      </c>
      <c r="V291" t="n">
        <v>21.9</v>
      </c>
      <c r="W291" t="n">
        <v>28.0642</v>
      </c>
      <c r="X291" t="n">
        <v>31.7459</v>
      </c>
      <c r="Y291" t="n">
        <v>55.9</v>
      </c>
      <c r="Z291" t="inlineStr"/>
    </row>
    <row r="292">
      <c r="A292" t="inlineStr">
        <is>
          <t>MR24</t>
        </is>
      </c>
      <c r="B292" t="inlineStr">
        <is>
          <t>Merged_Table_Assay_lito</t>
        </is>
      </c>
      <c r="C292" t="inlineStr">
        <is>
          <t>ABRASION_pc</t>
        </is>
      </c>
      <c r="D292" t="inlineStr">
        <is>
          <t>%</t>
        </is>
      </c>
      <c r="E292" t="inlineStr">
        <is>
          <t>RT_Abrasion</t>
        </is>
      </c>
      <c r="F292" t="inlineStr">
        <is>
          <t>14</t>
        </is>
      </c>
      <c r="G292" t="inlineStr">
        <is>
          <t>sin asignar</t>
        </is>
      </c>
      <c r="H292" t="inlineStr">
        <is>
          <t>Metamorfico_14</t>
        </is>
      </c>
      <c r="I292" t="inlineStr">
        <is>
          <t>Geologia_2024=Metamorfico_14 (no distingue hornfels/mármol)</t>
        </is>
      </c>
      <c r="J292" t="inlineStr">
        <is>
          <t>Hornfels (hipótesis: siglas HBV, HGV, HCB, HDP; 'Diop. Hornfels'~HGV)</t>
        </is>
      </c>
      <c r="K292" t="inlineStr">
        <is>
          <t>Metamorfico</t>
        </is>
      </c>
      <c r="L292" t="inlineStr"/>
      <c r="M292" t="n">
        <v>117</v>
      </c>
      <c r="N292" t="n">
        <v>23.7074</v>
      </c>
      <c r="O292" t="n">
        <v>6.408</v>
      </c>
      <c r="P292" t="n">
        <v>0.2703</v>
      </c>
      <c r="Q292" t="n">
        <v>11.6</v>
      </c>
      <c r="R292" t="n">
        <v>13</v>
      </c>
      <c r="S292" t="n">
        <v>13</v>
      </c>
      <c r="T292" t="n">
        <v>21.2046</v>
      </c>
      <c r="U292" t="n">
        <v>23.8</v>
      </c>
      <c r="V292" t="n">
        <v>26.9258</v>
      </c>
      <c r="W292" t="n">
        <v>33.2306</v>
      </c>
      <c r="X292" t="n">
        <v>33.6189</v>
      </c>
      <c r="Y292" t="n">
        <v>37.5675</v>
      </c>
      <c r="Z292" t="inlineStr"/>
    </row>
    <row r="293">
      <c r="A293" t="inlineStr">
        <is>
          <t>MR24</t>
        </is>
      </c>
      <c r="B293" t="inlineStr">
        <is>
          <t>Merged_Table_Assay_lito</t>
        </is>
      </c>
      <c r="C293" t="inlineStr">
        <is>
          <t>ABRASION_pc</t>
        </is>
      </c>
      <c r="D293" t="inlineStr">
        <is>
          <t>%</t>
        </is>
      </c>
      <c r="E293" t="inlineStr">
        <is>
          <t>RT_Abrasion</t>
        </is>
      </c>
      <c r="F293" t="inlineStr">
        <is>
          <t>16</t>
        </is>
      </c>
      <c r="G293" t="inlineStr">
        <is>
          <t>sin asignar</t>
        </is>
      </c>
      <c r="H293" t="inlineStr">
        <is>
          <t>Metamorfico_16</t>
        </is>
      </c>
      <c r="I293" t="inlineStr">
        <is>
          <t>Geologia_2024=Metamorfico_16 (no distingue hornfels/mármol)</t>
        </is>
      </c>
      <c r="J293" t="inlineStr">
        <is>
          <t>Mármol (hipótesis: siglas MC, MG, MGS, MPA, MCGB; 'Marble'~MCGB)</t>
        </is>
      </c>
      <c r="K293" t="inlineStr">
        <is>
          <t>Metamorfico</t>
        </is>
      </c>
      <c r="L293" t="inlineStr"/>
      <c r="M293" t="n">
        <v>705</v>
      </c>
      <c r="N293" t="n">
        <v>38.6914</v>
      </c>
      <c r="O293" t="n">
        <v>18.0497</v>
      </c>
      <c r="P293" t="n">
        <v>0.4665</v>
      </c>
      <c r="Q293" t="n">
        <v>2.6584</v>
      </c>
      <c r="R293" t="n">
        <v>15.8237</v>
      </c>
      <c r="S293" t="n">
        <v>18.1</v>
      </c>
      <c r="T293" t="n">
        <v>23.6</v>
      </c>
      <c r="U293" t="n">
        <v>36</v>
      </c>
      <c r="V293" t="n">
        <v>53.1138</v>
      </c>
      <c r="W293" t="n">
        <v>63.6164</v>
      </c>
      <c r="X293" t="n">
        <v>71.3844</v>
      </c>
      <c r="Y293" t="n">
        <v>82.9134</v>
      </c>
      <c r="Z293" t="inlineStr"/>
    </row>
    <row r="294">
      <c r="A294" t="inlineStr">
        <is>
          <t>MR24</t>
        </is>
      </c>
      <c r="B294" t="inlineStr">
        <is>
          <t>Merged_Table_Assay_lito</t>
        </is>
      </c>
      <c r="C294" t="inlineStr">
        <is>
          <t>ABRASION_pc</t>
        </is>
      </c>
      <c r="D294" t="inlineStr">
        <is>
          <t>%</t>
        </is>
      </c>
      <c r="E294" t="inlineStr">
        <is>
          <t>RT_Abrasion</t>
        </is>
      </c>
      <c r="F294" t="inlineStr">
        <is>
          <t>16_MN</t>
        </is>
      </c>
      <c r="G294" t="inlineStr">
        <is>
          <t>sin asignar</t>
        </is>
      </c>
      <c r="H294" t="inlineStr">
        <is>
          <t>Metamorfico_16</t>
        </is>
      </c>
      <c r="I294" t="inlineStr">
        <is>
          <t>Geologia_2024=Metamorfico_16 (no distingue hornfels/mármol)</t>
        </is>
      </c>
      <c r="J294" t="inlineStr">
        <is>
          <t>Mármol (hipótesis: siglas MC, MG, MGS, MPA, MCGB; 'Marble'~MCGB)</t>
        </is>
      </c>
      <c r="K294" t="inlineStr">
        <is>
          <t>Metamorfico</t>
        </is>
      </c>
      <c r="L294" t="inlineStr"/>
      <c r="M294" t="n">
        <v>98</v>
      </c>
      <c r="N294" t="n">
        <v>30.924</v>
      </c>
      <c r="O294" t="n">
        <v>10.6158</v>
      </c>
      <c r="P294" t="n">
        <v>0.3433</v>
      </c>
      <c r="Q294" t="n">
        <v>13.789</v>
      </c>
      <c r="R294" t="n">
        <v>17.2002</v>
      </c>
      <c r="S294" t="n">
        <v>18.6407</v>
      </c>
      <c r="T294" t="n">
        <v>25.2112</v>
      </c>
      <c r="U294" t="n">
        <v>29.0884</v>
      </c>
      <c r="V294" t="n">
        <v>36</v>
      </c>
      <c r="W294" t="n">
        <v>43.6945</v>
      </c>
      <c r="X294" t="n">
        <v>46.6653</v>
      </c>
      <c r="Y294" t="n">
        <v>63.5</v>
      </c>
      <c r="Z294" t="inlineStr"/>
    </row>
    <row r="295">
      <c r="A295" t="inlineStr">
        <is>
          <t>MR24</t>
        </is>
      </c>
      <c r="B295" t="inlineStr">
        <is>
          <t>Merged_Table_Assay_lito</t>
        </is>
      </c>
      <c r="C295" t="inlineStr">
        <is>
          <t>ABRASION_pc</t>
        </is>
      </c>
      <c r="D295" t="inlineStr">
        <is>
          <t>%</t>
        </is>
      </c>
      <c r="E295" t="inlineStr">
        <is>
          <t>RT_Abrasion</t>
        </is>
      </c>
      <c r="F295" t="inlineStr">
        <is>
          <t>19</t>
        </is>
      </c>
      <c r="G295" t="inlineStr">
        <is>
          <t>sin asignar</t>
        </is>
      </c>
      <c r="H295" t="inlineStr">
        <is>
          <t>Metamorfico_19</t>
        </is>
      </c>
      <c r="I295" t="inlineStr">
        <is>
          <t>Geologia_2024=Metamorfico_19 (no distingue hornfels/mármol)</t>
        </is>
      </c>
      <c r="J295" t="inlineStr">
        <is>
          <t>Mármol (hipótesis: sigla MDP)</t>
        </is>
      </c>
      <c r="K295" t="inlineStr">
        <is>
          <t>Metamorfico</t>
        </is>
      </c>
      <c r="L295" t="inlineStr"/>
      <c r="M295" t="n">
        <v>194</v>
      </c>
      <c r="N295" t="n">
        <v>26.1419</v>
      </c>
      <c r="O295" t="n">
        <v>6.6579</v>
      </c>
      <c r="P295" t="n">
        <v>0.2547</v>
      </c>
      <c r="Q295" t="n">
        <v>15.09</v>
      </c>
      <c r="R295" t="n">
        <v>18.9765</v>
      </c>
      <c r="S295" t="n">
        <v>20.114</v>
      </c>
      <c r="T295" t="n">
        <v>21.1958</v>
      </c>
      <c r="U295" t="n">
        <v>24.2</v>
      </c>
      <c r="V295" t="n">
        <v>28.8504</v>
      </c>
      <c r="W295" t="n">
        <v>34.9</v>
      </c>
      <c r="X295" t="n">
        <v>38.7052</v>
      </c>
      <c r="Y295" t="n">
        <v>48.7479</v>
      </c>
      <c r="Z295" t="inlineStr"/>
    </row>
    <row r="296">
      <c r="A296" t="inlineStr">
        <is>
          <t>MR24</t>
        </is>
      </c>
      <c r="B296" t="inlineStr">
        <is>
          <t>Merged_Table_Assay_lito</t>
        </is>
      </c>
      <c r="C296" t="inlineStr">
        <is>
          <t>ABRASION_pc</t>
        </is>
      </c>
      <c r="D296" t="inlineStr">
        <is>
          <t>%</t>
        </is>
      </c>
      <c r="E296" t="inlineStr">
        <is>
          <t>RT_Abrasion</t>
        </is>
      </c>
      <c r="F296" t="inlineStr">
        <is>
          <t>2</t>
        </is>
      </c>
      <c r="G296" t="inlineStr">
        <is>
          <t>Intrusivo</t>
        </is>
      </c>
      <c r="H296" t="inlineStr">
        <is>
          <t>RT2</t>
        </is>
      </c>
      <c r="I296" t="inlineStr">
        <is>
          <t>Geologia_2024=Intrusivo_2</t>
        </is>
      </c>
      <c r="J296" t="inlineStr">
        <is>
          <t>Intrusivo</t>
        </is>
      </c>
      <c r="K296" t="inlineStr">
        <is>
          <t>Intrusivo</t>
        </is>
      </c>
      <c r="L296" t="inlineStr"/>
      <c r="M296" t="n">
        <v>23</v>
      </c>
      <c r="N296" t="n">
        <v>22.7737</v>
      </c>
      <c r="O296" t="n">
        <v>8.1915</v>
      </c>
      <c r="P296" t="n">
        <v>0.3597</v>
      </c>
      <c r="Q296" t="n">
        <v>12.7175</v>
      </c>
      <c r="R296" t="n">
        <v>12.7175</v>
      </c>
      <c r="S296" t="n">
        <v>12.7175</v>
      </c>
      <c r="T296" t="n">
        <v>15.011</v>
      </c>
      <c r="U296" t="n">
        <v>27.6689</v>
      </c>
      <c r="V296" t="n">
        <v>30</v>
      </c>
      <c r="W296" t="n">
        <v>31.9</v>
      </c>
      <c r="X296" t="n">
        <v>31.9</v>
      </c>
      <c r="Y296" t="n">
        <v>31.9</v>
      </c>
      <c r="Z296" t="inlineStr"/>
    </row>
    <row r="297">
      <c r="A297" t="inlineStr">
        <is>
          <t>MR24</t>
        </is>
      </c>
      <c r="B297" t="inlineStr">
        <is>
          <t>Merged_Table_Assay_lito</t>
        </is>
      </c>
      <c r="C297" t="inlineStr">
        <is>
          <t>ABRASION_pc</t>
        </is>
      </c>
      <c r="D297" t="inlineStr">
        <is>
          <t>%</t>
        </is>
      </c>
      <c r="E297" t="inlineStr">
        <is>
          <t>RT_Abrasion</t>
        </is>
      </c>
      <c r="F297" t="inlineStr">
        <is>
          <t>TODOS</t>
        </is>
      </c>
      <c r="G297" t="inlineStr"/>
      <c r="H297" t="inlineStr"/>
      <c r="I297" t="inlineStr"/>
      <c r="J297" t="inlineStr"/>
      <c r="K297" t="inlineStr"/>
      <c r="L297" t="inlineStr"/>
      <c r="M297" t="n">
        <v>1960</v>
      </c>
      <c r="N297" t="n">
        <v>28.5769</v>
      </c>
      <c r="O297" t="n">
        <v>14.652</v>
      </c>
      <c r="P297" t="n">
        <v>0.5127</v>
      </c>
      <c r="Q297" t="n">
        <v>2.6584</v>
      </c>
      <c r="R297" t="n">
        <v>13.5973</v>
      </c>
      <c r="S297" t="n">
        <v>15.1</v>
      </c>
      <c r="T297" t="n">
        <v>19.1042</v>
      </c>
      <c r="U297" t="n">
        <v>23.95</v>
      </c>
      <c r="V297" t="n">
        <v>32.9288</v>
      </c>
      <c r="W297" t="n">
        <v>52.6515</v>
      </c>
      <c r="X297" t="n">
        <v>62.2347</v>
      </c>
      <c r="Y297" t="n">
        <v>83.2</v>
      </c>
      <c r="Z297" t="inlineStr"/>
    </row>
    <row r="298">
      <c r="A298" t="inlineStr">
        <is>
          <t>MR24</t>
        </is>
      </c>
      <c r="B298" t="inlineStr">
        <is>
          <t>Merged_Table_Assay_lito</t>
        </is>
      </c>
      <c r="C298" t="inlineStr">
        <is>
          <t>DTADJ</t>
        </is>
      </c>
      <c r="D298" t="inlineStr">
        <is>
          <t>t/m3 (supuesto)</t>
        </is>
      </c>
      <c r="E298" t="inlineStr">
        <is>
          <t>ROCA</t>
        </is>
      </c>
      <c r="F298" t="inlineStr">
        <is>
          <t>1</t>
        </is>
      </c>
      <c r="G298" t="inlineStr">
        <is>
          <t>Intrusivo</t>
        </is>
      </c>
      <c r="H298" t="inlineStr">
        <is>
          <t>RT1</t>
        </is>
      </c>
      <c r="I298" t="inlineStr">
        <is>
          <t>Geologia_2024=Intrusivo_1</t>
        </is>
      </c>
      <c r="J298" t="inlineStr">
        <is>
          <t>Intrusivo</t>
        </is>
      </c>
      <c r="K298" t="inlineStr">
        <is>
          <t>Intrusivo</t>
        </is>
      </c>
      <c r="L298" t="inlineStr">
        <is>
          <t>densidad ajustada (DTADJ) por código ROCA</t>
        </is>
      </c>
      <c r="M298" t="n">
        <v>3059</v>
      </c>
      <c r="N298" t="n">
        <v>2.4632</v>
      </c>
      <c r="O298" t="n">
        <v>0.09470000000000001</v>
      </c>
      <c r="P298" t="n">
        <v>0.0384</v>
      </c>
      <c r="Q298" t="n">
        <v>2.0708</v>
      </c>
      <c r="R298" t="n">
        <v>2.2965</v>
      </c>
      <c r="S298" t="n">
        <v>2.3554</v>
      </c>
      <c r="T298" t="n">
        <v>2.4142</v>
      </c>
      <c r="U298" t="n">
        <v>2.4633</v>
      </c>
      <c r="V298" t="n">
        <v>2.5222</v>
      </c>
      <c r="W298" t="n">
        <v>2.5713</v>
      </c>
      <c r="X298" t="n">
        <v>2.5909</v>
      </c>
      <c r="Y298" t="n">
        <v>2.8341</v>
      </c>
      <c r="Z298" t="inlineStr"/>
    </row>
    <row r="299">
      <c r="A299" t="inlineStr">
        <is>
          <t>MR24</t>
        </is>
      </c>
      <c r="B299" t="inlineStr">
        <is>
          <t>Merged_Table_Assay_lito</t>
        </is>
      </c>
      <c r="C299" t="inlineStr">
        <is>
          <t>DTADJ</t>
        </is>
      </c>
      <c r="D299" t="inlineStr">
        <is>
          <t>t/m3 (supuesto)</t>
        </is>
      </c>
      <c r="E299" t="inlineStr">
        <is>
          <t>ROCA</t>
        </is>
      </c>
      <c r="F299" t="inlineStr">
        <is>
          <t>2</t>
        </is>
      </c>
      <c r="G299" t="inlineStr">
        <is>
          <t>Intrusivo</t>
        </is>
      </c>
      <c r="H299" t="inlineStr">
        <is>
          <t>RT2</t>
        </is>
      </c>
      <c r="I299" t="inlineStr">
        <is>
          <t>Geologia_2024=Intrusivo_2</t>
        </is>
      </c>
      <c r="J299" t="inlineStr">
        <is>
          <t>Intrusivo</t>
        </is>
      </c>
      <c r="K299" t="inlineStr">
        <is>
          <t>Intrusivo</t>
        </is>
      </c>
      <c r="L299" t="inlineStr">
        <is>
          <t>densidad ajustada (DTADJ) por código ROCA</t>
        </is>
      </c>
      <c r="M299" t="n">
        <v>314</v>
      </c>
      <c r="N299" t="n">
        <v>2.5928</v>
      </c>
      <c r="O299" t="n">
        <v>0.062</v>
      </c>
      <c r="P299" t="n">
        <v>0.0239</v>
      </c>
      <c r="Q299" t="n">
        <v>2.2867</v>
      </c>
      <c r="R299" t="n">
        <v>2.5181</v>
      </c>
      <c r="S299" t="n">
        <v>2.532</v>
      </c>
      <c r="T299" t="n">
        <v>2.563</v>
      </c>
      <c r="U299" t="n">
        <v>2.5872</v>
      </c>
      <c r="V299" t="n">
        <v>2.6153</v>
      </c>
      <c r="W299" t="n">
        <v>2.6685</v>
      </c>
      <c r="X299" t="n">
        <v>2.7058</v>
      </c>
      <c r="Y299" t="n">
        <v>2.8242</v>
      </c>
      <c r="Z299" t="inlineStr"/>
    </row>
    <row r="300">
      <c r="A300" t="inlineStr">
        <is>
          <t>MR24</t>
        </is>
      </c>
      <c r="B300" t="inlineStr">
        <is>
          <t>Merged_Table_Assay_lito</t>
        </is>
      </c>
      <c r="C300" t="inlineStr">
        <is>
          <t>DTADJ</t>
        </is>
      </c>
      <c r="D300" t="inlineStr">
        <is>
          <t>t/m3 (supuesto)</t>
        </is>
      </c>
      <c r="E300" t="inlineStr">
        <is>
          <t>ROCA</t>
        </is>
      </c>
      <c r="F300" t="inlineStr">
        <is>
          <t>10</t>
        </is>
      </c>
      <c r="G300" t="inlineStr">
        <is>
          <t>sin asignar</t>
        </is>
      </c>
      <c r="H300" t="inlineStr">
        <is>
          <t>Sedimentario_10</t>
        </is>
      </c>
      <c r="I300" t="inlineStr">
        <is>
          <t>Geologia_2024=Sedimentario_10 (no especifica caliza)</t>
        </is>
      </c>
      <c r="J300" t="inlineStr">
        <is>
          <t>Caliza (hipótesis: siglas C*)</t>
        </is>
      </c>
      <c r="K300" t="inlineStr">
        <is>
          <t>Sedimentario</t>
        </is>
      </c>
      <c r="L300" t="inlineStr">
        <is>
          <t>densidad ajustada (DTADJ) por código ROCA</t>
        </is>
      </c>
      <c r="M300" t="n">
        <v>362</v>
      </c>
      <c r="N300" t="n">
        <v>2.7118</v>
      </c>
      <c r="O300" t="n">
        <v>0.0183</v>
      </c>
      <c r="P300" t="n">
        <v>0.0067</v>
      </c>
      <c r="Q300" t="n">
        <v>2.5995</v>
      </c>
      <c r="R300" t="n">
        <v>2.6786</v>
      </c>
      <c r="S300" t="n">
        <v>2.6884</v>
      </c>
      <c r="T300" t="n">
        <v>2.6983</v>
      </c>
      <c r="U300" t="n">
        <v>2.7173</v>
      </c>
      <c r="V300" t="n">
        <v>2.7273</v>
      </c>
      <c r="W300" t="n">
        <v>2.7273</v>
      </c>
      <c r="X300" t="n">
        <v>2.7373</v>
      </c>
      <c r="Y300" t="n">
        <v>2.7572</v>
      </c>
      <c r="Z300" t="inlineStr"/>
    </row>
    <row r="301">
      <c r="A301" t="inlineStr">
        <is>
          <t>MR24</t>
        </is>
      </c>
      <c r="B301" t="inlineStr">
        <is>
          <t>Merged_Table_Assay_lito</t>
        </is>
      </c>
      <c r="C301" t="inlineStr">
        <is>
          <t>DTADJ</t>
        </is>
      </c>
      <c r="D301" t="inlineStr">
        <is>
          <t>t/m3 (supuesto)</t>
        </is>
      </c>
      <c r="E301" t="inlineStr">
        <is>
          <t>ROCA</t>
        </is>
      </c>
      <c r="F301" t="inlineStr">
        <is>
          <t>11</t>
        </is>
      </c>
      <c r="G301" t="inlineStr">
        <is>
          <t>sin asignar</t>
        </is>
      </c>
      <c r="H301" t="inlineStr">
        <is>
          <t>Sedimentario_11</t>
        </is>
      </c>
      <c r="I301" t="inlineStr">
        <is>
          <t>Geologia_2024=Sedimentario_11 (no especifica caliza)</t>
        </is>
      </c>
      <c r="J301" t="inlineStr">
        <is>
          <t>Caliza (hipótesis: Sedimentario; RT11~NUMEQ10, siglas C*)</t>
        </is>
      </c>
      <c r="K301" t="inlineStr">
        <is>
          <t>Sedimentario</t>
        </is>
      </c>
      <c r="L301" t="inlineStr">
        <is>
          <t>densidad ajustada (DTADJ) por código ROCA</t>
        </is>
      </c>
      <c r="M301" t="n">
        <v>1178</v>
      </c>
      <c r="N301" t="n">
        <v>2.7194</v>
      </c>
      <c r="O301" t="n">
        <v>0.0183</v>
      </c>
      <c r="P301" t="n">
        <v>0.0067</v>
      </c>
      <c r="Q301" t="n">
        <v>2.625</v>
      </c>
      <c r="R301" t="n">
        <v>2.6851</v>
      </c>
      <c r="S301" t="n">
        <v>2.695</v>
      </c>
      <c r="T301" t="n">
        <v>2.7049</v>
      </c>
      <c r="U301" t="n">
        <v>2.7248</v>
      </c>
      <c r="V301" t="n">
        <v>2.7348</v>
      </c>
      <c r="W301" t="n">
        <v>2.7348</v>
      </c>
      <c r="X301" t="n">
        <v>2.7448</v>
      </c>
      <c r="Y301" t="n">
        <v>2.7847</v>
      </c>
      <c r="Z301" t="inlineStr"/>
    </row>
    <row r="302">
      <c r="A302" t="inlineStr">
        <is>
          <t>MR24</t>
        </is>
      </c>
      <c r="B302" t="inlineStr">
        <is>
          <t>Merged_Table_Assay_lito</t>
        </is>
      </c>
      <c r="C302" t="inlineStr">
        <is>
          <t>DTADJ</t>
        </is>
      </c>
      <c r="D302" t="inlineStr">
        <is>
          <t>t/m3 (supuesto)</t>
        </is>
      </c>
      <c r="E302" t="inlineStr">
        <is>
          <t>ROCA</t>
        </is>
      </c>
      <c r="F302" t="inlineStr">
        <is>
          <t>13</t>
        </is>
      </c>
      <c r="G302" t="inlineStr">
        <is>
          <t>sin asignar</t>
        </is>
      </c>
      <c r="H302" t="inlineStr">
        <is>
          <t>Metamorfico_13</t>
        </is>
      </c>
      <c r="I302" t="inlineStr">
        <is>
          <t>Geologia_2024=Metamorfico_13 (no distingue hornfels/mármol)</t>
        </is>
      </c>
      <c r="J302" t="inlineStr">
        <is>
          <t>Hornfels (hipótesis: siglas HG, HGS, HC)</t>
        </is>
      </c>
      <c r="K302" t="inlineStr">
        <is>
          <t>Metamorfico</t>
        </is>
      </c>
      <c r="L302" t="inlineStr">
        <is>
          <t>densidad ajustada (DTADJ) por código ROCA</t>
        </is>
      </c>
      <c r="M302" t="n">
        <v>2546</v>
      </c>
      <c r="N302" t="n">
        <v>2.7084</v>
      </c>
      <c r="O302" t="n">
        <v>0.0325</v>
      </c>
      <c r="P302" t="n">
        <v>0.012</v>
      </c>
      <c r="Q302" t="n">
        <v>2.5654</v>
      </c>
      <c r="R302" t="n">
        <v>2.6735</v>
      </c>
      <c r="S302" t="n">
        <v>2.6833</v>
      </c>
      <c r="T302" t="n">
        <v>2.6931</v>
      </c>
      <c r="U302" t="n">
        <v>2.703</v>
      </c>
      <c r="V302" t="n">
        <v>2.7217</v>
      </c>
      <c r="W302" t="n">
        <v>2.7514</v>
      </c>
      <c r="X302" t="n">
        <v>2.7718</v>
      </c>
      <c r="Y302" t="n">
        <v>2.8602</v>
      </c>
      <c r="Z302" t="inlineStr"/>
    </row>
    <row r="303">
      <c r="A303" t="inlineStr">
        <is>
          <t>MR24</t>
        </is>
      </c>
      <c r="B303" t="inlineStr">
        <is>
          <t>Merged_Table_Assay_lito</t>
        </is>
      </c>
      <c r="C303" t="inlineStr">
        <is>
          <t>DTADJ</t>
        </is>
      </c>
      <c r="D303" t="inlineStr">
        <is>
          <t>t/m3 (supuesto)</t>
        </is>
      </c>
      <c r="E303" t="inlineStr">
        <is>
          <t>ROCA</t>
        </is>
      </c>
      <c r="F303" t="inlineStr">
        <is>
          <t>14</t>
        </is>
      </c>
      <c r="G303" t="inlineStr">
        <is>
          <t>sin asignar</t>
        </is>
      </c>
      <c r="H303" t="inlineStr">
        <is>
          <t>Metamorfico_14</t>
        </is>
      </c>
      <c r="I303" t="inlineStr">
        <is>
          <t>Geologia_2024=Metamorfico_14 (no distingue hornfels/mármol)</t>
        </is>
      </c>
      <c r="J303" t="inlineStr">
        <is>
          <t>Hornfels (hipótesis: siglas HBV, HGV, HCB, HDP; 'Diop. Hornfels'~HGV)</t>
        </is>
      </c>
      <c r="K303" t="inlineStr">
        <is>
          <t>Metamorfico</t>
        </is>
      </c>
      <c r="L303" t="inlineStr">
        <is>
          <t>densidad ajustada (DTADJ) por código ROCA</t>
        </is>
      </c>
      <c r="M303" t="n">
        <v>980</v>
      </c>
      <c r="N303" t="n">
        <v>2.837</v>
      </c>
      <c r="O303" t="n">
        <v>0.1213</v>
      </c>
      <c r="P303" t="n">
        <v>0.0428</v>
      </c>
      <c r="Q303" t="n">
        <v>2.5126</v>
      </c>
      <c r="R303" t="n">
        <v>2.6697</v>
      </c>
      <c r="S303" t="n">
        <v>2.6988</v>
      </c>
      <c r="T303" t="n">
        <v>2.7375</v>
      </c>
      <c r="U303" t="n">
        <v>2.8267</v>
      </c>
      <c r="V303" t="n">
        <v>2.9249</v>
      </c>
      <c r="W303" t="n">
        <v>3.0034</v>
      </c>
      <c r="X303" t="n">
        <v>3.0525</v>
      </c>
      <c r="Y303" t="n">
        <v>3.2193</v>
      </c>
      <c r="Z303" t="inlineStr"/>
    </row>
    <row r="304">
      <c r="A304" t="inlineStr">
        <is>
          <t>MR24</t>
        </is>
      </c>
      <c r="B304" t="inlineStr">
        <is>
          <t>Merged_Table_Assay_lito</t>
        </is>
      </c>
      <c r="C304" t="inlineStr">
        <is>
          <t>DTADJ</t>
        </is>
      </c>
      <c r="D304" t="inlineStr">
        <is>
          <t>t/m3 (supuesto)</t>
        </is>
      </c>
      <c r="E304" t="inlineStr">
        <is>
          <t>ROCA</t>
        </is>
      </c>
      <c r="F304" t="inlineStr">
        <is>
          <t>16</t>
        </is>
      </c>
      <c r="G304" t="inlineStr">
        <is>
          <t>sin asignar</t>
        </is>
      </c>
      <c r="H304" t="inlineStr">
        <is>
          <t>Metamorfico_16</t>
        </is>
      </c>
      <c r="I304" t="inlineStr">
        <is>
          <t>Geologia_2024=Metamorfico_16 (no distingue hornfels/mármol)</t>
        </is>
      </c>
      <c r="J304" t="inlineStr">
        <is>
          <t>Mármol (hipótesis: siglas MC, MG, MGS, MPA, MCGB; 'Marble'~MCGB)</t>
        </is>
      </c>
      <c r="K304" t="inlineStr">
        <is>
          <t>Metamorfico</t>
        </is>
      </c>
      <c r="L304" t="inlineStr">
        <is>
          <t>densidad ajustada (DTADJ) por código ROCA</t>
        </is>
      </c>
      <c r="M304" t="n">
        <v>4788</v>
      </c>
      <c r="N304" t="n">
        <v>2.7132</v>
      </c>
      <c r="O304" t="n">
        <v>0.0416</v>
      </c>
      <c r="P304" t="n">
        <v>0.0153</v>
      </c>
      <c r="Q304" t="n">
        <v>2.4899</v>
      </c>
      <c r="R304" t="n">
        <v>2.6688</v>
      </c>
      <c r="S304" t="n">
        <v>2.6787</v>
      </c>
      <c r="T304" t="n">
        <v>2.6883</v>
      </c>
      <c r="U304" t="n">
        <v>2.7082</v>
      </c>
      <c r="V304" t="n">
        <v>2.728</v>
      </c>
      <c r="W304" t="n">
        <v>2.7578</v>
      </c>
      <c r="X304" t="n">
        <v>2.787</v>
      </c>
      <c r="Y304" t="n">
        <v>2.9661</v>
      </c>
      <c r="Z304" t="inlineStr"/>
    </row>
    <row r="305">
      <c r="A305" t="inlineStr">
        <is>
          <t>MR24</t>
        </is>
      </c>
      <c r="B305" t="inlineStr">
        <is>
          <t>Merged_Table_Assay_lito</t>
        </is>
      </c>
      <c r="C305" t="inlineStr">
        <is>
          <t>DTADJ</t>
        </is>
      </c>
      <c r="D305" t="inlineStr">
        <is>
          <t>t/m3 (supuesto)</t>
        </is>
      </c>
      <c r="E305" t="inlineStr">
        <is>
          <t>ROCA</t>
        </is>
      </c>
      <c r="F305" t="inlineStr">
        <is>
          <t>19</t>
        </is>
      </c>
      <c r="G305" t="inlineStr">
        <is>
          <t>sin asignar</t>
        </is>
      </c>
      <c r="H305" t="inlineStr">
        <is>
          <t>Metamorfico_19</t>
        </is>
      </c>
      <c r="I305" t="inlineStr">
        <is>
          <t>Geologia_2024=Metamorfico_19 (no distingue hornfels/mármol)</t>
        </is>
      </c>
      <c r="J305" t="inlineStr">
        <is>
          <t>Mármol (hipótesis: sigla MDP)</t>
        </is>
      </c>
      <c r="K305" t="inlineStr">
        <is>
          <t>Metamorfico</t>
        </is>
      </c>
      <c r="L305" t="inlineStr">
        <is>
          <t>densidad ajustada (DTADJ) por código ROCA</t>
        </is>
      </c>
      <c r="M305" t="n">
        <v>1064</v>
      </c>
      <c r="N305" t="n">
        <v>2.821</v>
      </c>
      <c r="O305" t="n">
        <v>0.1177</v>
      </c>
      <c r="P305" t="n">
        <v>0.0417</v>
      </c>
      <c r="Q305" t="n">
        <v>2.493</v>
      </c>
      <c r="R305" t="n">
        <v>2.6697</v>
      </c>
      <c r="S305" t="n">
        <v>2.6795</v>
      </c>
      <c r="T305" t="n">
        <v>2.7255</v>
      </c>
      <c r="U305" t="n">
        <v>2.8052</v>
      </c>
      <c r="V305" t="n">
        <v>2.8954</v>
      </c>
      <c r="W305" t="n">
        <v>2.9936</v>
      </c>
      <c r="X305" t="n">
        <v>3.0321</v>
      </c>
      <c r="Y305" t="n">
        <v>3.3077</v>
      </c>
      <c r="Z305" t="inlineStr"/>
    </row>
    <row r="306">
      <c r="A306" t="inlineStr">
        <is>
          <t>MR24</t>
        </is>
      </c>
      <c r="B306" t="inlineStr">
        <is>
          <t>Merged_Table_Assay_lito</t>
        </is>
      </c>
      <c r="C306" t="inlineStr">
        <is>
          <t>DTADJ</t>
        </is>
      </c>
      <c r="D306" t="inlineStr">
        <is>
          <t>t/m3 (supuesto)</t>
        </is>
      </c>
      <c r="E306" t="inlineStr">
        <is>
          <t>ROCA</t>
        </is>
      </c>
      <c r="F306" t="inlineStr">
        <is>
          <t>20</t>
        </is>
      </c>
      <c r="G306" t="inlineStr">
        <is>
          <t>Skarn</t>
        </is>
      </c>
      <c r="H306" t="inlineStr">
        <is>
          <t>Endoskarn_20</t>
        </is>
      </c>
      <c r="I306" t="inlineStr">
        <is>
          <t>Geologia_2024=Endoskarn_20</t>
        </is>
      </c>
      <c r="J306" t="inlineStr">
        <is>
          <t>Skarn</t>
        </is>
      </c>
      <c r="K306" t="inlineStr">
        <is>
          <t>Endoskarn</t>
        </is>
      </c>
      <c r="L306" t="inlineStr">
        <is>
          <t>densidad ajustada (DTADJ) por código ROCA</t>
        </is>
      </c>
      <c r="M306" t="n">
        <v>24</v>
      </c>
      <c r="N306" t="n">
        <v>2.3718</v>
      </c>
      <c r="O306" t="n">
        <v>0.1773</v>
      </c>
      <c r="P306" t="n">
        <v>0.07480000000000001</v>
      </c>
      <c r="Q306" t="n">
        <v>2.0162</v>
      </c>
      <c r="R306" t="n">
        <v>2.0611</v>
      </c>
      <c r="S306" t="n">
        <v>2.1571</v>
      </c>
      <c r="T306" t="n">
        <v>2.2248</v>
      </c>
      <c r="U306" t="n">
        <v>2.4094</v>
      </c>
      <c r="V306" t="n">
        <v>2.5059</v>
      </c>
      <c r="W306" t="n">
        <v>2.5461</v>
      </c>
      <c r="X306" t="n">
        <v>2.5698</v>
      </c>
      <c r="Y306" t="n">
        <v>2.7114</v>
      </c>
      <c r="Z306" t="inlineStr"/>
    </row>
    <row r="307">
      <c r="A307" t="inlineStr">
        <is>
          <t>MR24</t>
        </is>
      </c>
      <c r="B307" t="inlineStr">
        <is>
          <t>Merged_Table_Assay_lito</t>
        </is>
      </c>
      <c r="C307" t="inlineStr">
        <is>
          <t>DTADJ</t>
        </is>
      </c>
      <c r="D307" t="inlineStr">
        <is>
          <t>t/m3 (supuesto)</t>
        </is>
      </c>
      <c r="E307" t="inlineStr">
        <is>
          <t>ROCA</t>
        </is>
      </c>
      <c r="F307" t="inlineStr">
        <is>
          <t>22</t>
        </is>
      </c>
      <c r="G307" t="inlineStr">
        <is>
          <t>Skarn</t>
        </is>
      </c>
      <c r="H307" t="inlineStr">
        <is>
          <t>Endoskarn_22</t>
        </is>
      </c>
      <c r="I307" t="inlineStr">
        <is>
          <t>Geologia_2024=Endoskarn_22</t>
        </is>
      </c>
      <c r="J307" t="inlineStr">
        <is>
          <t>Skarn</t>
        </is>
      </c>
      <c r="K307" t="inlineStr">
        <is>
          <t>Endoskarn</t>
        </is>
      </c>
      <c r="L307" t="inlineStr">
        <is>
          <t>densidad ajustada (DTADJ) por código ROCA</t>
        </is>
      </c>
      <c r="M307" t="n">
        <v>126</v>
      </c>
      <c r="N307" t="n">
        <v>2.3904</v>
      </c>
      <c r="O307" t="n">
        <v>0.2</v>
      </c>
      <c r="P307" t="n">
        <v>0.0837</v>
      </c>
      <c r="Q307" t="n">
        <v>1.9487</v>
      </c>
      <c r="R307" t="n">
        <v>2.1221</v>
      </c>
      <c r="S307" t="n">
        <v>2.1561</v>
      </c>
      <c r="T307" t="n">
        <v>2.2604</v>
      </c>
      <c r="U307" t="n">
        <v>2.3774</v>
      </c>
      <c r="V307" t="n">
        <v>2.4986</v>
      </c>
      <c r="W307" t="n">
        <v>2.5837</v>
      </c>
      <c r="X307" t="n">
        <v>2.7373</v>
      </c>
      <c r="Y307" t="n">
        <v>3.4384</v>
      </c>
      <c r="Z307" t="inlineStr"/>
    </row>
    <row r="308">
      <c r="A308" t="inlineStr">
        <is>
          <t>MR24</t>
        </is>
      </c>
      <c r="B308" t="inlineStr">
        <is>
          <t>Merged_Table_Assay_lito</t>
        </is>
      </c>
      <c r="C308" t="inlineStr">
        <is>
          <t>DTADJ</t>
        </is>
      </c>
      <c r="D308" t="inlineStr">
        <is>
          <t>t/m3 (supuesto)</t>
        </is>
      </c>
      <c r="E308" t="inlineStr">
        <is>
          <t>ROCA</t>
        </is>
      </c>
      <c r="F308" t="inlineStr">
        <is>
          <t>23</t>
        </is>
      </c>
      <c r="G308" t="inlineStr">
        <is>
          <t>Skarn</t>
        </is>
      </c>
      <c r="H308" t="inlineStr">
        <is>
          <t>Endoskarn_23</t>
        </is>
      </c>
      <c r="I308" t="inlineStr">
        <is>
          <t>Geologia_2024=Endoskarn_23</t>
        </is>
      </c>
      <c r="J308" t="inlineStr">
        <is>
          <t>Skarn</t>
        </is>
      </c>
      <c r="K308" t="inlineStr">
        <is>
          <t>Endoskarn</t>
        </is>
      </c>
      <c r="L308" t="inlineStr">
        <is>
          <t>densidad ajustada (DTADJ) por código ROCA</t>
        </is>
      </c>
      <c r="M308" t="n">
        <v>8</v>
      </c>
      <c r="N308" t="n">
        <v>2.4756</v>
      </c>
      <c r="O308" t="n">
        <v>0.1309</v>
      </c>
      <c r="P308" t="n">
        <v>0.0529</v>
      </c>
      <c r="Q308" t="n">
        <v>2.2006</v>
      </c>
      <c r="R308" t="n">
        <v>2.2677</v>
      </c>
      <c r="S308" t="n">
        <v>2.3349</v>
      </c>
      <c r="T308" t="n">
        <v>2.4214</v>
      </c>
      <c r="U308" t="n">
        <v>2.5297</v>
      </c>
      <c r="V308" t="n">
        <v>2.5665</v>
      </c>
      <c r="W308" t="n">
        <v>2.5768</v>
      </c>
      <c r="X308" t="n">
        <v>2.5803</v>
      </c>
      <c r="Y308" t="n">
        <v>2.5837</v>
      </c>
      <c r="Z308" t="inlineStr"/>
    </row>
    <row r="309">
      <c r="A309" t="inlineStr">
        <is>
          <t>MR24</t>
        </is>
      </c>
      <c r="B309" t="inlineStr">
        <is>
          <t>Merged_Table_Assay_lito</t>
        </is>
      </c>
      <c r="C309" t="inlineStr">
        <is>
          <t>DTADJ</t>
        </is>
      </c>
      <c r="D309" t="inlineStr">
        <is>
          <t>t/m3 (supuesto)</t>
        </is>
      </c>
      <c r="E309" t="inlineStr">
        <is>
          <t>ROCA</t>
        </is>
      </c>
      <c r="F309" t="inlineStr">
        <is>
          <t>31</t>
        </is>
      </c>
      <c r="G309" t="inlineStr">
        <is>
          <t>Skarn</t>
        </is>
      </c>
      <c r="H309" t="inlineStr">
        <is>
          <t>Exoskarn_31</t>
        </is>
      </c>
      <c r="I309" t="inlineStr">
        <is>
          <t>Geologia_2024=Exoskarn_31</t>
        </is>
      </c>
      <c r="J309" t="inlineStr">
        <is>
          <t>Skarn</t>
        </is>
      </c>
      <c r="K309" t="inlineStr">
        <is>
          <t>Exoskarn</t>
        </is>
      </c>
      <c r="L309" t="inlineStr">
        <is>
          <t>densidad ajustada (DTADJ) por código ROCA</t>
        </is>
      </c>
      <c r="M309" t="n">
        <v>5</v>
      </c>
      <c r="N309" t="n">
        <v>2.6163</v>
      </c>
      <c r="O309" t="n">
        <v>0.2058</v>
      </c>
      <c r="P309" t="n">
        <v>0.07870000000000001</v>
      </c>
      <c r="Q309" t="n">
        <v>2.3534</v>
      </c>
      <c r="R309" t="n">
        <v>2.395</v>
      </c>
      <c r="S309" t="n">
        <v>2.4365</v>
      </c>
      <c r="T309" t="n">
        <v>2.5611</v>
      </c>
      <c r="U309" t="n">
        <v>2.5776</v>
      </c>
      <c r="V309" t="n">
        <v>2.6682</v>
      </c>
      <c r="W309" t="n">
        <v>2.8201</v>
      </c>
      <c r="X309" t="n">
        <v>2.8708</v>
      </c>
      <c r="Y309" t="n">
        <v>2.9214</v>
      </c>
      <c r="Z309" t="inlineStr"/>
    </row>
    <row r="310">
      <c r="A310" t="inlineStr">
        <is>
          <t>MR24</t>
        </is>
      </c>
      <c r="B310" t="inlineStr">
        <is>
          <t>Merged_Table_Assay_lito</t>
        </is>
      </c>
      <c r="C310" t="inlineStr">
        <is>
          <t>DTADJ</t>
        </is>
      </c>
      <c r="D310" t="inlineStr">
        <is>
          <t>t/m3 (supuesto)</t>
        </is>
      </c>
      <c r="E310" t="inlineStr">
        <is>
          <t>ROCA</t>
        </is>
      </c>
      <c r="F310" t="inlineStr">
        <is>
          <t>32</t>
        </is>
      </c>
      <c r="G310" t="inlineStr">
        <is>
          <t>Skarn</t>
        </is>
      </c>
      <c r="H310" t="inlineStr">
        <is>
          <t>Exoskarn_32</t>
        </is>
      </c>
      <c r="I310" t="inlineStr">
        <is>
          <t>Geologia_2024=Exoskarn_32</t>
        </is>
      </c>
      <c r="J310" t="inlineStr">
        <is>
          <t>Skarn</t>
        </is>
      </c>
      <c r="K310" t="inlineStr">
        <is>
          <t>Exoskarn</t>
        </is>
      </c>
      <c r="L310" t="inlineStr">
        <is>
          <t>densidad ajustada (DTADJ) por código ROCA</t>
        </is>
      </c>
      <c r="M310" t="n">
        <v>9</v>
      </c>
      <c r="N310" t="n">
        <v>2.5712</v>
      </c>
      <c r="O310" t="n">
        <v>0.1586</v>
      </c>
      <c r="P310" t="n">
        <v>0.0617</v>
      </c>
      <c r="Q310" t="n">
        <v>2.3161</v>
      </c>
      <c r="R310" t="n">
        <v>2.3161</v>
      </c>
      <c r="S310" t="n">
        <v>2.3161</v>
      </c>
      <c r="T310" t="n">
        <v>2.5589</v>
      </c>
      <c r="U310" t="n">
        <v>2.5903</v>
      </c>
      <c r="V310" t="n">
        <v>2.678</v>
      </c>
      <c r="W310" t="n">
        <v>2.7108</v>
      </c>
      <c r="X310" t="n">
        <v>2.7376</v>
      </c>
      <c r="Y310" t="n">
        <v>2.7643</v>
      </c>
      <c r="Z310" t="inlineStr"/>
    </row>
    <row r="311">
      <c r="A311" t="inlineStr">
        <is>
          <t>MR24</t>
        </is>
      </c>
      <c r="B311" t="inlineStr">
        <is>
          <t>Merged_Table_Assay_lito</t>
        </is>
      </c>
      <c r="C311" t="inlineStr">
        <is>
          <t>DTADJ</t>
        </is>
      </c>
      <c r="D311" t="inlineStr">
        <is>
          <t>t/m3 (supuesto)</t>
        </is>
      </c>
      <c r="E311" t="inlineStr">
        <is>
          <t>ROCA</t>
        </is>
      </c>
      <c r="F311" t="inlineStr">
        <is>
          <t>34</t>
        </is>
      </c>
      <c r="G311" t="inlineStr">
        <is>
          <t>Skarn</t>
        </is>
      </c>
      <c r="H311" t="inlineStr">
        <is>
          <t>Exoskarn_34</t>
        </is>
      </c>
      <c r="I311" t="inlineStr">
        <is>
          <t>Geologia_2024=Exoskarn_34</t>
        </is>
      </c>
      <c r="J311" t="inlineStr">
        <is>
          <t>Skarn</t>
        </is>
      </c>
      <c r="K311" t="inlineStr">
        <is>
          <t>Exoskarn</t>
        </is>
      </c>
      <c r="L311" t="inlineStr">
        <is>
          <t>densidad ajustada (DTADJ) por código ROCA</t>
        </is>
      </c>
      <c r="M311" t="n">
        <v>20</v>
      </c>
      <c r="N311" t="n">
        <v>2.8032</v>
      </c>
      <c r="O311" t="n">
        <v>0.2735</v>
      </c>
      <c r="P311" t="n">
        <v>0.09760000000000001</v>
      </c>
      <c r="Q311" t="n">
        <v>2.4375</v>
      </c>
      <c r="R311" t="n">
        <v>2.5272</v>
      </c>
      <c r="S311" t="n">
        <v>2.5394</v>
      </c>
      <c r="T311" t="n">
        <v>2.5781</v>
      </c>
      <c r="U311" t="n">
        <v>2.7753</v>
      </c>
      <c r="V311" t="n">
        <v>2.9798</v>
      </c>
      <c r="W311" t="n">
        <v>3.0665</v>
      </c>
      <c r="X311" t="n">
        <v>3.2479</v>
      </c>
      <c r="Y311" t="n">
        <v>3.5301</v>
      </c>
      <c r="Z311" t="inlineStr"/>
    </row>
    <row r="312">
      <c r="A312" t="inlineStr">
        <is>
          <t>MR24</t>
        </is>
      </c>
      <c r="B312" t="inlineStr">
        <is>
          <t>Merged_Table_Assay_lito</t>
        </is>
      </c>
      <c r="C312" t="inlineStr">
        <is>
          <t>DTADJ</t>
        </is>
      </c>
      <c r="D312" t="inlineStr">
        <is>
          <t>t/m3 (supuesto)</t>
        </is>
      </c>
      <c r="E312" t="inlineStr">
        <is>
          <t>ROCA</t>
        </is>
      </c>
      <c r="F312" t="inlineStr">
        <is>
          <t>35</t>
        </is>
      </c>
      <c r="G312" t="inlineStr">
        <is>
          <t>Skarn</t>
        </is>
      </c>
      <c r="H312" t="inlineStr">
        <is>
          <t>Exoskarn_35</t>
        </is>
      </c>
      <c r="I312" t="inlineStr">
        <is>
          <t>Geologia_2024=Exoskarn_35</t>
        </is>
      </c>
      <c r="J312" t="inlineStr">
        <is>
          <t>Skarn</t>
        </is>
      </c>
      <c r="K312" t="inlineStr">
        <is>
          <t>Exoskarn</t>
        </is>
      </c>
      <c r="L312" t="inlineStr">
        <is>
          <t>densidad ajustada (DTADJ) por código ROCA</t>
        </is>
      </c>
      <c r="M312" t="n">
        <v>10</v>
      </c>
      <c r="N312" t="n">
        <v>2.8575</v>
      </c>
      <c r="O312" t="n">
        <v>0.1556</v>
      </c>
      <c r="P312" t="n">
        <v>0.0544</v>
      </c>
      <c r="Q312" t="n">
        <v>2.5869</v>
      </c>
      <c r="R312" t="n">
        <v>2.6279</v>
      </c>
      <c r="S312" t="n">
        <v>2.6688</v>
      </c>
      <c r="T312" t="n">
        <v>2.7431</v>
      </c>
      <c r="U312" t="n">
        <v>2.8971</v>
      </c>
      <c r="V312" t="n">
        <v>2.9871</v>
      </c>
      <c r="W312" t="n">
        <v>3.0198</v>
      </c>
      <c r="X312" t="n">
        <v>3.0241</v>
      </c>
      <c r="Y312" t="n">
        <v>3.0285</v>
      </c>
      <c r="Z312" t="inlineStr"/>
    </row>
    <row r="313">
      <c r="A313" t="inlineStr">
        <is>
          <t>MR24</t>
        </is>
      </c>
      <c r="B313" t="inlineStr">
        <is>
          <t>Merged_Table_Assay_lito</t>
        </is>
      </c>
      <c r="C313" t="inlineStr">
        <is>
          <t>DTADJ</t>
        </is>
      </c>
      <c r="D313" t="inlineStr">
        <is>
          <t>t/m3 (supuesto)</t>
        </is>
      </c>
      <c r="E313" t="inlineStr">
        <is>
          <t>ROCA</t>
        </is>
      </c>
      <c r="F313" t="inlineStr">
        <is>
          <t>36</t>
        </is>
      </c>
      <c r="G313" t="inlineStr">
        <is>
          <t>Skarn</t>
        </is>
      </c>
      <c r="H313" t="inlineStr">
        <is>
          <t>Exoskarn_36</t>
        </is>
      </c>
      <c r="I313" t="inlineStr">
        <is>
          <t>Geologia_2024=Exoskarn_36</t>
        </is>
      </c>
      <c r="J313" t="inlineStr">
        <is>
          <t>Skarn</t>
        </is>
      </c>
      <c r="K313" t="inlineStr">
        <is>
          <t>Exoskarn</t>
        </is>
      </c>
      <c r="L313" t="inlineStr">
        <is>
          <t>densidad ajustada (DTADJ) por código ROCA</t>
        </is>
      </c>
      <c r="M313" t="n">
        <v>2</v>
      </c>
      <c r="N313" t="n">
        <v>2.3254</v>
      </c>
      <c r="O313" t="n">
        <v>0.1453</v>
      </c>
      <c r="P313" t="n">
        <v>0.0625</v>
      </c>
      <c r="Q313" t="n">
        <v>2.2227</v>
      </c>
      <c r="R313" t="n">
        <v>2.233</v>
      </c>
      <c r="S313" t="n">
        <v>2.2432</v>
      </c>
      <c r="T313" t="n">
        <v>2.274</v>
      </c>
      <c r="U313" t="n">
        <v>2.3254</v>
      </c>
      <c r="V313" t="n">
        <v>2.3768</v>
      </c>
      <c r="W313" t="n">
        <v>2.4076</v>
      </c>
      <c r="X313" t="n">
        <v>2.4179</v>
      </c>
      <c r="Y313" t="n">
        <v>2.4281</v>
      </c>
      <c r="Z313" t="inlineStr"/>
    </row>
    <row r="314">
      <c r="A314" t="inlineStr">
        <is>
          <t>MR24</t>
        </is>
      </c>
      <c r="B314" t="inlineStr">
        <is>
          <t>Merged_Table_Assay_lito</t>
        </is>
      </c>
      <c r="C314" t="inlineStr">
        <is>
          <t>DTADJ</t>
        </is>
      </c>
      <c r="D314" t="inlineStr">
        <is>
          <t>t/m3 (supuesto)</t>
        </is>
      </c>
      <c r="E314" t="inlineStr">
        <is>
          <t>ROCA</t>
        </is>
      </c>
      <c r="F314" t="inlineStr">
        <is>
          <t>37</t>
        </is>
      </c>
      <c r="G314" t="inlineStr">
        <is>
          <t>Skarn</t>
        </is>
      </c>
      <c r="H314" t="inlineStr">
        <is>
          <t>Exoskarn_37</t>
        </is>
      </c>
      <c r="I314" t="inlineStr">
        <is>
          <t>Geologia_2024=Exoskarn_37</t>
        </is>
      </c>
      <c r="J314" t="inlineStr">
        <is>
          <t>Skarn</t>
        </is>
      </c>
      <c r="K314" t="inlineStr">
        <is>
          <t>Exoskarn</t>
        </is>
      </c>
      <c r="L314" t="inlineStr">
        <is>
          <t>densidad ajustada (DTADJ) por código ROCA</t>
        </is>
      </c>
      <c r="M314" t="n">
        <v>15</v>
      </c>
      <c r="N314" t="n">
        <v>2.7076</v>
      </c>
      <c r="O314" t="n">
        <v>0.115</v>
      </c>
      <c r="P314" t="n">
        <v>0.0425</v>
      </c>
      <c r="Q314" t="n">
        <v>2.5319</v>
      </c>
      <c r="R314" t="n">
        <v>2.5442</v>
      </c>
      <c r="S314" t="n">
        <v>2.5542</v>
      </c>
      <c r="T314" t="n">
        <v>2.6383</v>
      </c>
      <c r="U314" t="n">
        <v>2.6974</v>
      </c>
      <c r="V314" t="n">
        <v>2.7802</v>
      </c>
      <c r="W314" t="n">
        <v>2.854</v>
      </c>
      <c r="X314" t="n">
        <v>2.8739</v>
      </c>
      <c r="Y314" t="n">
        <v>2.9117</v>
      </c>
      <c r="Z314" t="inlineStr"/>
    </row>
    <row r="315">
      <c r="A315" t="inlineStr">
        <is>
          <t>MR24</t>
        </is>
      </c>
      <c r="B315" t="inlineStr">
        <is>
          <t>Merged_Table_Assay_lito</t>
        </is>
      </c>
      <c r="C315" t="inlineStr">
        <is>
          <t>DTADJ</t>
        </is>
      </c>
      <c r="D315" t="inlineStr">
        <is>
          <t>t/m3 (supuesto)</t>
        </is>
      </c>
      <c r="E315" t="inlineStr">
        <is>
          <t>ROCA</t>
        </is>
      </c>
      <c r="F315" t="inlineStr">
        <is>
          <t>50</t>
        </is>
      </c>
      <c r="G315" t="inlineStr">
        <is>
          <t>Otra</t>
        </is>
      </c>
      <c r="H315" t="inlineStr">
        <is>
          <t>Brechas_50</t>
        </is>
      </c>
      <c r="I315" t="inlineStr">
        <is>
          <t>Geologia_2024=Brechas_50</t>
        </is>
      </c>
      <c r="J315" t="inlineStr">
        <is>
          <t>Otra (Brechas)</t>
        </is>
      </c>
      <c r="K315" t="inlineStr">
        <is>
          <t>Brechas</t>
        </is>
      </c>
      <c r="L315" t="inlineStr">
        <is>
          <t>densidad ajustada (DTADJ) por código ROCA</t>
        </is>
      </c>
      <c r="M315" t="n">
        <v>4</v>
      </c>
      <c r="N315" t="n">
        <v>2.3656</v>
      </c>
      <c r="O315" t="n">
        <v>0.1115</v>
      </c>
      <c r="P315" t="n">
        <v>0.0471</v>
      </c>
      <c r="Q315" t="n">
        <v>2.199</v>
      </c>
      <c r="R315" t="n">
        <v>2.2303</v>
      </c>
      <c r="S315" t="n">
        <v>2.2616</v>
      </c>
      <c r="T315" t="n">
        <v>2.3557</v>
      </c>
      <c r="U315" t="n">
        <v>2.4178</v>
      </c>
      <c r="V315" t="n">
        <v>2.4278</v>
      </c>
      <c r="W315" t="n">
        <v>2.4278</v>
      </c>
      <c r="X315" t="n">
        <v>2.4278</v>
      </c>
      <c r="Y315" t="n">
        <v>2.4278</v>
      </c>
      <c r="Z315" t="inlineStr"/>
    </row>
    <row r="316">
      <c r="A316" t="inlineStr">
        <is>
          <t>MR24</t>
        </is>
      </c>
      <c r="B316" t="inlineStr">
        <is>
          <t>Merged_Table_Assay_lito</t>
        </is>
      </c>
      <c r="C316" t="inlineStr">
        <is>
          <t>DTADJ</t>
        </is>
      </c>
      <c r="D316" t="inlineStr">
        <is>
          <t>t/m3 (supuesto)</t>
        </is>
      </c>
      <c r="E316" t="inlineStr">
        <is>
          <t>ROCA</t>
        </is>
      </c>
      <c r="F316" t="inlineStr">
        <is>
          <t>51</t>
        </is>
      </c>
      <c r="G316" t="inlineStr">
        <is>
          <t>sin asignar</t>
        </is>
      </c>
      <c r="H316" t="inlineStr">
        <is>
          <t>RT51</t>
        </is>
      </c>
      <c r="I316" t="inlineStr">
        <is>
          <t>código sin etiqueta en los datos</t>
        </is>
      </c>
      <c r="J316" t="inlineStr">
        <is>
          <t>sin hipótesis</t>
        </is>
      </c>
      <c r="K316" t="inlineStr">
        <is>
          <t>sin leyenda</t>
        </is>
      </c>
      <c r="L316" t="inlineStr">
        <is>
          <t>densidad ajustada (DTADJ) por código ROCA</t>
        </is>
      </c>
      <c r="M316" t="n">
        <v>1</v>
      </c>
      <c r="N316" t="n">
        <v>2.8656</v>
      </c>
      <c r="O316" t="inlineStr"/>
      <c r="P316" t="inlineStr"/>
      <c r="Q316" t="n">
        <v>2.8656</v>
      </c>
      <c r="R316" t="n">
        <v>2.8656</v>
      </c>
      <c r="S316" t="n">
        <v>2.8656</v>
      </c>
      <c r="T316" t="n">
        <v>2.8656</v>
      </c>
      <c r="U316" t="n">
        <v>2.8656</v>
      </c>
      <c r="V316" t="n">
        <v>2.8656</v>
      </c>
      <c r="W316" t="n">
        <v>2.8656</v>
      </c>
      <c r="X316" t="n">
        <v>2.8656</v>
      </c>
      <c r="Y316" t="n">
        <v>2.8656</v>
      </c>
      <c r="Z316" t="inlineStr"/>
    </row>
    <row r="317">
      <c r="A317" t="inlineStr">
        <is>
          <t>MR24</t>
        </is>
      </c>
      <c r="B317" t="inlineStr">
        <is>
          <t>Merged_Table_Assay_lito</t>
        </is>
      </c>
      <c r="C317" t="inlineStr">
        <is>
          <t>DTADJ</t>
        </is>
      </c>
      <c r="D317" t="inlineStr">
        <is>
          <t>t/m3 (supuesto)</t>
        </is>
      </c>
      <c r="E317" t="inlineStr">
        <is>
          <t>ROCA</t>
        </is>
      </c>
      <c r="F317" t="inlineStr">
        <is>
          <t>53</t>
        </is>
      </c>
      <c r="G317" t="inlineStr">
        <is>
          <t>sin asignar</t>
        </is>
      </c>
      <c r="H317" t="inlineStr">
        <is>
          <t>RT53</t>
        </is>
      </c>
      <c r="I317" t="inlineStr">
        <is>
          <t>código sin etiqueta en los datos</t>
        </is>
      </c>
      <c r="J317" t="inlineStr">
        <is>
          <t>sin hipótesis</t>
        </is>
      </c>
      <c r="K317" t="inlineStr">
        <is>
          <t>sin leyenda</t>
        </is>
      </c>
      <c r="L317" t="inlineStr">
        <is>
          <t>densidad ajustada (DTADJ) por código ROCA</t>
        </is>
      </c>
      <c r="M317" t="n">
        <v>6</v>
      </c>
      <c r="N317" t="n">
        <v>2.4825</v>
      </c>
      <c r="O317" t="n">
        <v>0.0644</v>
      </c>
      <c r="P317" t="n">
        <v>0.0259</v>
      </c>
      <c r="Q317" t="n">
        <v>2.4178</v>
      </c>
      <c r="R317" t="n">
        <v>2.4203</v>
      </c>
      <c r="S317" t="n">
        <v>2.4228</v>
      </c>
      <c r="T317" t="n">
        <v>2.4378</v>
      </c>
      <c r="U317" t="n">
        <v>2.4776</v>
      </c>
      <c r="V317" t="n">
        <v>2.495</v>
      </c>
      <c r="W317" t="n">
        <v>2.5472</v>
      </c>
      <c r="X317" t="n">
        <v>2.5721</v>
      </c>
      <c r="Y317" t="n">
        <v>2.597</v>
      </c>
      <c r="Z317" t="inlineStr"/>
    </row>
    <row r="318">
      <c r="A318" t="inlineStr">
        <is>
          <t>MR24</t>
        </is>
      </c>
      <c r="B318" t="inlineStr">
        <is>
          <t>Merged_Table_Assay_lito</t>
        </is>
      </c>
      <c r="C318" t="inlineStr">
        <is>
          <t>DTADJ</t>
        </is>
      </c>
      <c r="D318" t="inlineStr">
        <is>
          <t>t/m3 (supuesto)</t>
        </is>
      </c>
      <c r="E318" t="inlineStr">
        <is>
          <t>ROCA</t>
        </is>
      </c>
      <c r="F318" t="inlineStr">
        <is>
          <t>TODOS</t>
        </is>
      </c>
      <c r="G318" t="inlineStr"/>
      <c r="H318" t="inlineStr"/>
      <c r="I318" t="inlineStr"/>
      <c r="J318" t="inlineStr"/>
      <c r="K318" t="inlineStr"/>
      <c r="L318" t="inlineStr">
        <is>
          <t>densidad ajustada (DTADJ) por código ROCA</t>
        </is>
      </c>
      <c r="M318" t="n">
        <v>14521</v>
      </c>
      <c r="N318" t="n">
        <v>2.6702</v>
      </c>
      <c r="O318" t="n">
        <v>0.1418</v>
      </c>
      <c r="P318" t="n">
        <v>0.0531</v>
      </c>
      <c r="Q318" t="n">
        <v>1.9487</v>
      </c>
      <c r="R318" t="n">
        <v>2.4044</v>
      </c>
      <c r="S318" t="n">
        <v>2.4535</v>
      </c>
      <c r="T318" t="n">
        <v>2.6504</v>
      </c>
      <c r="U318" t="n">
        <v>2.6983</v>
      </c>
      <c r="V318" t="n">
        <v>2.728</v>
      </c>
      <c r="W318" t="n">
        <v>2.7914</v>
      </c>
      <c r="X318" t="n">
        <v>2.8826</v>
      </c>
      <c r="Y318" t="n">
        <v>3.5301</v>
      </c>
      <c r="Z3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fuente_id</t>
        </is>
      </c>
      <c r="B1" s="1" t="inlineStr">
        <is>
          <t>fuente</t>
        </is>
      </c>
      <c r="C1" s="1" t="inlineStr">
        <is>
          <t>anio</t>
        </is>
      </c>
      <c r="D1" s="1" t="inlineStr">
        <is>
          <t>autor_informe</t>
        </is>
      </c>
      <c r="E1" s="1" t="inlineStr">
        <is>
          <t>laboratorio</t>
        </is>
      </c>
      <c r="F1" s="1" t="inlineStr">
        <is>
          <t>set_id</t>
        </is>
      </c>
      <c r="G1" s="1" t="inlineStr">
        <is>
          <t>ensayo_id</t>
        </is>
      </c>
      <c r="H1" s="1" t="inlineStr">
        <is>
          <t>litologia_informe</t>
        </is>
      </c>
      <c r="I1" s="1" t="inlineStr">
        <is>
          <t>litologia</t>
        </is>
      </c>
      <c r="J1" s="1" t="inlineStr">
        <is>
          <t>litologia_detalle</t>
        </is>
      </c>
      <c r="K1" s="1" t="inlineStr">
        <is>
          <t>litologia_proporcion</t>
        </is>
      </c>
      <c r="L1" s="1" t="inlineStr">
        <is>
          <t>alteracion</t>
        </is>
      </c>
      <c r="M1" s="1" t="inlineStr">
        <is>
          <t>tipo_material</t>
        </is>
      </c>
      <c r="N1" s="1" t="inlineStr">
        <is>
          <t>clase_desmonte</t>
        </is>
      </c>
      <c r="O1" s="1" t="inlineStr">
        <is>
          <t>tipo_ensayo</t>
        </is>
      </c>
      <c r="P1" s="1" t="inlineStr">
        <is>
          <t>saturado</t>
        </is>
      </c>
      <c r="Q1" s="1" t="inlineStr">
        <is>
          <t>diametro_mm</t>
        </is>
      </c>
      <c r="R1" s="1" t="inlineStr">
        <is>
          <t>altura_mm</t>
        </is>
      </c>
      <c r="S1" s="1" t="inlineStr">
        <is>
          <t>Dmax_mm</t>
        </is>
      </c>
      <c r="T1" s="1" t="inlineStr">
        <is>
          <t>D10_mm</t>
        </is>
      </c>
      <c r="U1" s="1" t="inlineStr">
        <is>
          <t>D30_mm</t>
        </is>
      </c>
      <c r="V1" s="1" t="inlineStr">
        <is>
          <t>D50_mm</t>
        </is>
      </c>
      <c r="W1" s="1" t="inlineStr">
        <is>
          <t>D60_mm</t>
        </is>
      </c>
      <c r="X1" s="1" t="inlineStr">
        <is>
          <t>Cu</t>
        </is>
      </c>
      <c r="Y1" s="1" t="inlineStr">
        <is>
          <t>Cc</t>
        </is>
      </c>
      <c r="Z1" s="1" t="inlineStr">
        <is>
          <t>grava_pct</t>
        </is>
      </c>
      <c r="AA1" s="1" t="inlineStr">
        <is>
          <t>arena_pct</t>
        </is>
      </c>
      <c r="AB1" s="1" t="inlineStr">
        <is>
          <t>finos_pct</t>
        </is>
      </c>
      <c r="AC1" s="1" t="inlineStr">
        <is>
          <t>escalamiento</t>
        </is>
      </c>
      <c r="AD1" s="1" t="inlineStr">
        <is>
          <t>Gs</t>
        </is>
      </c>
      <c r="AE1" s="1" t="inlineStr">
        <is>
          <t>gamma_d_kNm3</t>
        </is>
      </c>
      <c r="AF1" s="1" t="inlineStr">
        <is>
          <t>e0</t>
        </is>
      </c>
      <c r="AG1" s="1" t="inlineStr">
        <is>
          <t>e0_origen</t>
        </is>
      </c>
      <c r="AH1" s="1" t="inlineStr">
        <is>
          <t>Dr_pct</t>
        </is>
      </c>
      <c r="AI1" s="1" t="inlineStr">
        <is>
          <t>w_pct</t>
        </is>
      </c>
      <c r="AJ1" s="1" t="inlineStr">
        <is>
          <t>UCS_MPa</t>
        </is>
      </c>
      <c r="AK1" s="1" t="inlineStr">
        <is>
          <t>sigma3_kPa</t>
        </is>
      </c>
      <c r="AL1" s="1" t="inlineStr">
        <is>
          <t>sigma1_kPa</t>
        </is>
      </c>
      <c r="AM1" s="1" t="inlineStr">
        <is>
          <t>q_kPa</t>
        </is>
      </c>
      <c r="AN1" s="1" t="inlineStr">
        <is>
          <t>criterio_falla</t>
        </is>
      </c>
      <c r="AO1" s="1" t="inlineStr">
        <is>
          <t>phi_sec_deg</t>
        </is>
      </c>
      <c r="AP1" s="1" t="inlineStr">
        <is>
          <t>eps_axial_falla_pct</t>
        </is>
      </c>
      <c r="AQ1" s="1" t="inlineStr">
        <is>
          <t>eps_vol_falla_pct</t>
        </is>
      </c>
      <c r="AR1" s="1" t="inlineStr">
        <is>
          <t>u_falla_kPa</t>
        </is>
      </c>
      <c r="AS1" s="1" t="inlineStr">
        <is>
          <t>p_falla_kPa</t>
        </is>
      </c>
      <c r="AT1" s="1" t="inlineStr">
        <is>
          <t>q_falla_und_kPa</t>
        </is>
      </c>
      <c r="AU1" s="1" t="inlineStr">
        <is>
          <t>Su_kPa</t>
        </is>
      </c>
      <c r="AV1" s="1" t="inlineStr">
        <is>
          <t>Bg_pct</t>
        </is>
      </c>
      <c r="AW1" s="1" t="inlineStr">
        <is>
          <t>Br</t>
        </is>
      </c>
      <c r="AX1" s="1" t="inlineStr">
        <is>
          <t>finos_post_pct</t>
        </is>
      </c>
      <c r="AY1" s="1" t="inlineStr">
        <is>
          <t>sigma_n_kPa</t>
        </is>
      </c>
      <c r="AZ1" s="1" t="inlineStr">
        <is>
          <t>tau_kPa</t>
        </is>
      </c>
      <c r="BA1" s="1" t="inlineStr">
        <is>
          <t>pagina</t>
        </is>
      </c>
      <c r="BB1" s="1" t="inlineStr">
        <is>
          <t>verificado_imagen</t>
        </is>
      </c>
      <c r="BC1" s="1" t="inlineStr">
        <is>
          <t>notas</t>
        </is>
      </c>
    </row>
    <row r="2">
      <c r="A2" t="inlineStr">
        <is>
          <t>OV2020</t>
        </is>
      </c>
      <c r="B2" t="inlineStr">
        <is>
          <t>2020_Ovalle_Data Compilation from Large ICDTx on Coarse Crushable Rockfill Materials.pdf</t>
        </is>
      </c>
      <c r="C2" t="n">
        <v>2020</v>
      </c>
      <c r="D2" t="inlineStr">
        <is>
          <t>Ovalle, Linero, Dano, Bard, Hicher y Osses (2020), JGGE 146(9) 06020013</t>
        </is>
      </c>
      <c r="E2" t="inlineStr">
        <is>
          <t>CFE (México), inferido de p.3</t>
        </is>
      </c>
      <c r="F2" t="inlineStr">
        <is>
          <t>Infiernillo Rockfill (dry)</t>
        </is>
      </c>
      <c r="G2" t="n">
        <v>1</v>
      </c>
      <c r="H2" t="inlineStr">
        <is>
          <t>Silified conglomerate</t>
        </is>
      </c>
      <c r="I2" t="inlineStr">
        <is>
          <t>Conglomerado</t>
        </is>
      </c>
      <c r="J2" t="inlineStr">
        <is>
          <t>conglomerado silicificado</t>
        </is>
      </c>
      <c r="K2" t="inlineStr"/>
      <c r="L2" t="inlineStr"/>
      <c r="M2" t="inlineStr">
        <is>
          <t>Enrocado</t>
        </is>
      </c>
      <c r="N2" t="inlineStr"/>
      <c r="O2" t="inlineStr">
        <is>
          <t>CID (compresión triaxial drenada)</t>
        </is>
      </c>
      <c r="P2" t="inlineStr">
        <is>
          <t>no</t>
        </is>
      </c>
      <c r="Q2" t="n">
        <v>1130</v>
      </c>
      <c r="R2" t="inlineStr"/>
      <c r="S2" t="n">
        <v>200</v>
      </c>
      <c r="T2" t="inlineStr"/>
      <c r="U2" t="inlineStr"/>
      <c r="V2" t="inlineStr"/>
      <c r="W2" t="inlineStr"/>
      <c r="X2" t="n">
        <v>4.25</v>
      </c>
      <c r="Y2" t="inlineStr"/>
      <c r="Z2" t="inlineStr"/>
      <c r="AA2" t="inlineStr"/>
      <c r="AB2" t="inlineStr"/>
      <c r="AC2" t="inlineStr"/>
      <c r="AD2" t="inlineStr"/>
      <c r="AE2" t="inlineStr"/>
      <c r="AF2" t="n">
        <v>0.6899999999999999</v>
      </c>
      <c r="AG2" t="inlineStr">
        <is>
          <t>informe</t>
        </is>
      </c>
      <c r="AH2" t="inlineStr"/>
      <c r="AI2" t="inlineStr"/>
      <c r="AJ2" t="inlineStr"/>
      <c r="AK2" t="n">
        <v>36</v>
      </c>
      <c r="AL2" t="n">
        <v>260</v>
      </c>
      <c r="AM2" t="n">
        <v>224</v>
      </c>
      <c r="AN2" t="inlineStr">
        <is>
          <t>máximo (φmax, σ1 máximo)</t>
        </is>
      </c>
      <c r="AO2" t="n">
        <v>49.3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Zenodo xlsx; material y dmax en p.4 (Fig. 2a)</t>
        </is>
      </c>
      <c r="BB2" t="inlineStr">
        <is>
          <t>no (valores del xlsx; nombre, litología y dmax verificados en imagen p.4)</t>
        </is>
      </c>
      <c r="BC2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12.0 MPa | SÍ en base Cylwik, equivalente probable: Marsal et al. (1965)|a|119</t>
        </is>
      </c>
    </row>
    <row r="3">
      <c r="A3" t="inlineStr">
        <is>
          <t>OV2020</t>
        </is>
      </c>
      <c r="B3" t="inlineStr">
        <is>
          <t>2020_Ovalle_Data Compilation from Large ICDTx on Coarse Crushable Rockfill Materials.pdf</t>
        </is>
      </c>
      <c r="C3" t="n">
        <v>2020</v>
      </c>
      <c r="D3" t="inlineStr">
        <is>
          <t>Ovalle, Linero, Dano, Bard, Hicher y Osses (2020), JGGE 146(9) 06020013</t>
        </is>
      </c>
      <c r="E3" t="inlineStr">
        <is>
          <t>CFE (México), inferido de p.3</t>
        </is>
      </c>
      <c r="F3" t="inlineStr">
        <is>
          <t>Infiernillo Rockfill (dry)</t>
        </is>
      </c>
      <c r="G3" t="n">
        <v>2</v>
      </c>
      <c r="H3" t="inlineStr">
        <is>
          <t>Silified conglomerate</t>
        </is>
      </c>
      <c r="I3" t="inlineStr">
        <is>
          <t>Conglomerado</t>
        </is>
      </c>
      <c r="J3" t="inlineStr">
        <is>
          <t>conglomerado silicificado</t>
        </is>
      </c>
      <c r="K3" t="inlineStr"/>
      <c r="L3" t="inlineStr"/>
      <c r="M3" t="inlineStr">
        <is>
          <t>Enrocado</t>
        </is>
      </c>
      <c r="N3" t="inlineStr"/>
      <c r="O3" t="inlineStr">
        <is>
          <t>CID (compresión triaxial drenada)</t>
        </is>
      </c>
      <c r="P3" t="inlineStr">
        <is>
          <t>no</t>
        </is>
      </c>
      <c r="Q3" t="n">
        <v>1130</v>
      </c>
      <c r="R3" t="inlineStr"/>
      <c r="S3" t="n">
        <v>200</v>
      </c>
      <c r="T3" t="inlineStr"/>
      <c r="U3" t="inlineStr"/>
      <c r="V3" t="inlineStr"/>
      <c r="W3" t="inlineStr"/>
      <c r="X3" t="n">
        <v>4.25</v>
      </c>
      <c r="Y3" t="inlineStr"/>
      <c r="Z3" t="inlineStr"/>
      <c r="AA3" t="inlineStr"/>
      <c r="AB3" t="inlineStr"/>
      <c r="AC3" t="inlineStr"/>
      <c r="AD3" t="inlineStr"/>
      <c r="AE3" t="inlineStr"/>
      <c r="AF3" t="n">
        <v>0.7</v>
      </c>
      <c r="AG3" t="inlineStr">
        <is>
          <t>informe</t>
        </is>
      </c>
      <c r="AH3" t="inlineStr"/>
      <c r="AI3" t="inlineStr"/>
      <c r="AJ3" t="inlineStr"/>
      <c r="AK3" t="n">
        <v>73</v>
      </c>
      <c r="AL3" t="n">
        <v>461</v>
      </c>
      <c r="AM3" t="n">
        <v>388</v>
      </c>
      <c r="AN3" t="inlineStr">
        <is>
          <t>máximo (φmax, σ1 máximo)</t>
        </is>
      </c>
      <c r="AO3" t="n">
        <v>46.5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Zenodo xlsx; material y dmax en p.4 (Fig. 2a)</t>
        </is>
      </c>
      <c r="BB3" t="inlineStr">
        <is>
          <t>no (valores del xlsx; nombre, litología y dmax verificados en imagen p.4)</t>
        </is>
      </c>
      <c r="BC3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18.6 MPa | SÍ en base Cylwik, equivalente probable: Marsal et al. (1965)|a|120</t>
        </is>
      </c>
    </row>
    <row r="4">
      <c r="A4" t="inlineStr">
        <is>
          <t>OV2020</t>
        </is>
      </c>
      <c r="B4" t="inlineStr">
        <is>
          <t>2020_Ovalle_Data Compilation from Large ICDTx on Coarse Crushable Rockfill Materials.pdf</t>
        </is>
      </c>
      <c r="C4" t="n">
        <v>2020</v>
      </c>
      <c r="D4" t="inlineStr">
        <is>
          <t>Ovalle, Linero, Dano, Bard, Hicher y Osses (2020), JGGE 146(9) 06020013</t>
        </is>
      </c>
      <c r="E4" t="inlineStr">
        <is>
          <t>CFE (México), inferido de p.3</t>
        </is>
      </c>
      <c r="F4" t="inlineStr">
        <is>
          <t>Infiernillo Rockfill (dry)</t>
        </is>
      </c>
      <c r="G4" t="n">
        <v>3</v>
      </c>
      <c r="H4" t="inlineStr">
        <is>
          <t>Silified conglomerate</t>
        </is>
      </c>
      <c r="I4" t="inlineStr">
        <is>
          <t>Conglomerado</t>
        </is>
      </c>
      <c r="J4" t="inlineStr">
        <is>
          <t>conglomerado silicificado</t>
        </is>
      </c>
      <c r="K4" t="inlineStr"/>
      <c r="L4" t="inlineStr"/>
      <c r="M4" t="inlineStr">
        <is>
          <t>Enrocado</t>
        </is>
      </c>
      <c r="N4" t="inlineStr"/>
      <c r="O4" t="inlineStr">
        <is>
          <t>CID (compresión triaxial drenada)</t>
        </is>
      </c>
      <c r="P4" t="inlineStr">
        <is>
          <t>no</t>
        </is>
      </c>
      <c r="Q4" t="n">
        <v>1130</v>
      </c>
      <c r="R4" t="inlineStr"/>
      <c r="S4" t="n">
        <v>200</v>
      </c>
      <c r="T4" t="inlineStr"/>
      <c r="U4" t="inlineStr"/>
      <c r="V4" t="inlineStr"/>
      <c r="W4" t="inlineStr"/>
      <c r="X4" t="n">
        <v>4.25</v>
      </c>
      <c r="Y4" t="inlineStr"/>
      <c r="Z4" t="inlineStr"/>
      <c r="AA4" t="inlineStr"/>
      <c r="AB4" t="inlineStr"/>
      <c r="AC4" t="inlineStr"/>
      <c r="AD4" t="inlineStr"/>
      <c r="AE4" t="inlineStr"/>
      <c r="AF4" t="n">
        <v>0.65</v>
      </c>
      <c r="AG4" t="inlineStr">
        <is>
          <t>informe</t>
        </is>
      </c>
      <c r="AH4" t="inlineStr"/>
      <c r="AI4" t="inlineStr"/>
      <c r="AJ4" t="inlineStr"/>
      <c r="AK4" t="n">
        <v>35</v>
      </c>
      <c r="AL4" t="n">
        <v>246</v>
      </c>
      <c r="AM4" t="n">
        <v>211</v>
      </c>
      <c r="AN4" t="inlineStr">
        <is>
          <t>máximo (φmax, σ1 máximo)</t>
        </is>
      </c>
      <c r="AO4" t="n">
        <v>48.8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Zenodo xlsx; material y dmax en p.4 (Fig. 2a)</t>
        </is>
      </c>
      <c r="BB4" t="inlineStr">
        <is>
          <t>no (valores del xlsx; nombre, litología y dmax verificados en imagen p.4)</t>
        </is>
      </c>
      <c r="BC4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14.0 MPa | SÍ en base Cylwik, equivalente probable: Marsal et al. (1965)|a|119</t>
        </is>
      </c>
    </row>
    <row r="5">
      <c r="A5" t="inlineStr">
        <is>
          <t>OV2020</t>
        </is>
      </c>
      <c r="B5" t="inlineStr">
        <is>
          <t>2020_Ovalle_Data Compilation from Large ICDTx on Coarse Crushable Rockfill Materials.pdf</t>
        </is>
      </c>
      <c r="C5" t="n">
        <v>2020</v>
      </c>
      <c r="D5" t="inlineStr">
        <is>
          <t>Ovalle, Linero, Dano, Bard, Hicher y Osses (2020), JGGE 146(9) 06020013</t>
        </is>
      </c>
      <c r="E5" t="inlineStr">
        <is>
          <t>CFE (México), inferido de p.3</t>
        </is>
      </c>
      <c r="F5" t="inlineStr">
        <is>
          <t>Infiernillo Rockfill (dry)</t>
        </is>
      </c>
      <c r="G5" t="n">
        <v>4</v>
      </c>
      <c r="H5" t="inlineStr">
        <is>
          <t>Silified conglomerate</t>
        </is>
      </c>
      <c r="I5" t="inlineStr">
        <is>
          <t>Conglomerado</t>
        </is>
      </c>
      <c r="J5" t="inlineStr">
        <is>
          <t>conglomerado silicificado</t>
        </is>
      </c>
      <c r="K5" t="inlineStr"/>
      <c r="L5" t="inlineStr"/>
      <c r="M5" t="inlineStr">
        <is>
          <t>Enrocado</t>
        </is>
      </c>
      <c r="N5" t="inlineStr"/>
      <c r="O5" t="inlineStr">
        <is>
          <t>CID (compresión triaxial drenada)</t>
        </is>
      </c>
      <c r="P5" t="inlineStr">
        <is>
          <t>no</t>
        </is>
      </c>
      <c r="Q5" t="n">
        <v>1130</v>
      </c>
      <c r="R5" t="inlineStr"/>
      <c r="S5" t="n">
        <v>200</v>
      </c>
      <c r="T5" t="inlineStr"/>
      <c r="U5" t="inlineStr"/>
      <c r="V5" t="inlineStr"/>
      <c r="W5" t="inlineStr"/>
      <c r="X5" t="n">
        <v>4.25</v>
      </c>
      <c r="Y5" t="inlineStr"/>
      <c r="Z5" t="inlineStr"/>
      <c r="AA5" t="inlineStr"/>
      <c r="AB5" t="inlineStr"/>
      <c r="AC5" t="inlineStr"/>
      <c r="AD5" t="inlineStr"/>
      <c r="AE5" t="inlineStr"/>
      <c r="AF5" t="n">
        <v>0.7</v>
      </c>
      <c r="AG5" t="inlineStr">
        <is>
          <t>informe</t>
        </is>
      </c>
      <c r="AH5" t="inlineStr"/>
      <c r="AI5" t="inlineStr"/>
      <c r="AJ5" t="inlineStr"/>
      <c r="AK5" t="n">
        <v>50</v>
      </c>
      <c r="AL5" t="n">
        <v>309</v>
      </c>
      <c r="AM5" t="n">
        <v>259</v>
      </c>
      <c r="AN5" t="inlineStr">
        <is>
          <t>máximo (φmax, σ1 máximo)</t>
        </is>
      </c>
      <c r="AO5" t="n">
        <v>46.2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Zenodo xlsx; material y dmax en p.4 (Fig. 2a)</t>
        </is>
      </c>
      <c r="BB5" t="inlineStr">
        <is>
          <t>no (valores del xlsx; nombre, litología y dmax verificados en imagen p.4)</t>
        </is>
      </c>
      <c r="BC5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12.3 MPa | SÍ en base Cylwik, equivalente probable: Marsal et al. (1965)|a|122</t>
        </is>
      </c>
    </row>
    <row r="6">
      <c r="A6" t="inlineStr">
        <is>
          <t>OV2020</t>
        </is>
      </c>
      <c r="B6" t="inlineStr">
        <is>
          <t>2020_Ovalle_Data Compilation from Large ICDTx on Coarse Crushable Rockfill Materials.pdf</t>
        </is>
      </c>
      <c r="C6" t="n">
        <v>2020</v>
      </c>
      <c r="D6" t="inlineStr">
        <is>
          <t>Ovalle, Linero, Dano, Bard, Hicher y Osses (2020), JGGE 146(9) 06020013</t>
        </is>
      </c>
      <c r="E6" t="inlineStr">
        <is>
          <t>CFE (México), inferido de p.3</t>
        </is>
      </c>
      <c r="F6" t="inlineStr">
        <is>
          <t>Infiernillo Rockfill (dry)</t>
        </is>
      </c>
      <c r="G6" t="n">
        <v>5</v>
      </c>
      <c r="H6" t="inlineStr">
        <is>
          <t>Silified conglomerate</t>
        </is>
      </c>
      <c r="I6" t="inlineStr">
        <is>
          <t>Conglomerado</t>
        </is>
      </c>
      <c r="J6" t="inlineStr">
        <is>
          <t>conglomerado silicificado</t>
        </is>
      </c>
      <c r="K6" t="inlineStr"/>
      <c r="L6" t="inlineStr"/>
      <c r="M6" t="inlineStr">
        <is>
          <t>Enrocado</t>
        </is>
      </c>
      <c r="N6" t="inlineStr"/>
      <c r="O6" t="inlineStr">
        <is>
          <t>CID (compresión triaxial drenada)</t>
        </is>
      </c>
      <c r="P6" t="inlineStr">
        <is>
          <t>no</t>
        </is>
      </c>
      <c r="Q6" t="n">
        <v>1130</v>
      </c>
      <c r="R6" t="inlineStr"/>
      <c r="S6" t="n">
        <v>200</v>
      </c>
      <c r="T6" t="inlineStr"/>
      <c r="U6" t="inlineStr"/>
      <c r="V6" t="inlineStr"/>
      <c r="W6" t="inlineStr"/>
      <c r="X6" t="n">
        <v>4.25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0.6</v>
      </c>
      <c r="AG6" t="inlineStr">
        <is>
          <t>informe</t>
        </is>
      </c>
      <c r="AH6" t="inlineStr"/>
      <c r="AI6" t="inlineStr"/>
      <c r="AJ6" t="inlineStr"/>
      <c r="AK6" t="n">
        <v>68</v>
      </c>
      <c r="AL6" t="n">
        <v>422</v>
      </c>
      <c r="AM6" t="n">
        <v>354</v>
      </c>
      <c r="AN6" t="inlineStr">
        <is>
          <t>máximo (φmax, σ1 máximo)</t>
        </is>
      </c>
      <c r="AO6" t="n">
        <v>46.2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Zenodo xlsx; material y dmax en p.4 (Fig. 2a)</t>
        </is>
      </c>
      <c r="BB6" t="inlineStr">
        <is>
          <t>no (valores del xlsx; nombre, litología y dmax verificados en imagen p.4)</t>
        </is>
      </c>
      <c r="BC6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14.7 MPa | SÍ en base Cylwik, equivalente probable: Marsal et al. (1965)|a|123</t>
        </is>
      </c>
    </row>
    <row r="7">
      <c r="A7" t="inlineStr">
        <is>
          <t>OV2020</t>
        </is>
      </c>
      <c r="B7" t="inlineStr">
        <is>
          <t>2020_Ovalle_Data Compilation from Large ICDTx on Coarse Crushable Rockfill Materials.pdf</t>
        </is>
      </c>
      <c r="C7" t="n">
        <v>2020</v>
      </c>
      <c r="D7" t="inlineStr">
        <is>
          <t>Ovalle, Linero, Dano, Bard, Hicher y Osses (2020), JGGE 146(9) 06020013</t>
        </is>
      </c>
      <c r="E7" t="inlineStr">
        <is>
          <t>CFE (México), inferido de p.3</t>
        </is>
      </c>
      <c r="F7" t="inlineStr">
        <is>
          <t>Infiernillo Rockfill (dry)</t>
        </is>
      </c>
      <c r="G7" t="n">
        <v>6</v>
      </c>
      <c r="H7" t="inlineStr">
        <is>
          <t>Silified conglomerate</t>
        </is>
      </c>
      <c r="I7" t="inlineStr">
        <is>
          <t>Conglomerado</t>
        </is>
      </c>
      <c r="J7" t="inlineStr">
        <is>
          <t>conglomerado silicificado</t>
        </is>
      </c>
      <c r="K7" t="inlineStr"/>
      <c r="L7" t="inlineStr"/>
      <c r="M7" t="inlineStr">
        <is>
          <t>Enrocado</t>
        </is>
      </c>
      <c r="N7" t="inlineStr"/>
      <c r="O7" t="inlineStr">
        <is>
          <t>CID (compresión triaxial drenada)</t>
        </is>
      </c>
      <c r="P7" t="inlineStr">
        <is>
          <t>no</t>
        </is>
      </c>
      <c r="Q7" t="n">
        <v>1130</v>
      </c>
      <c r="R7" t="inlineStr"/>
      <c r="S7" t="n">
        <v>200</v>
      </c>
      <c r="T7" t="inlineStr"/>
      <c r="U7" t="inlineStr"/>
      <c r="V7" t="inlineStr"/>
      <c r="W7" t="inlineStr"/>
      <c r="X7" t="n">
        <v>4.25</v>
      </c>
      <c r="Y7" t="inlineStr"/>
      <c r="Z7" t="inlineStr"/>
      <c r="AA7" t="inlineStr"/>
      <c r="AB7" t="inlineStr"/>
      <c r="AC7" t="inlineStr"/>
      <c r="AD7" t="inlineStr"/>
      <c r="AE7" t="inlineStr"/>
      <c r="AF7" t="n">
        <v>0.62</v>
      </c>
      <c r="AG7" t="inlineStr">
        <is>
          <t>informe</t>
        </is>
      </c>
      <c r="AH7" t="inlineStr"/>
      <c r="AI7" t="inlineStr"/>
      <c r="AJ7" t="inlineStr"/>
      <c r="AK7" t="n">
        <v>68</v>
      </c>
      <c r="AL7" t="n">
        <v>421</v>
      </c>
      <c r="AM7" t="n">
        <v>353</v>
      </c>
      <c r="AN7" t="inlineStr">
        <is>
          <t>máximo (φmax, σ1 máximo)</t>
        </is>
      </c>
      <c r="AO7" t="n">
        <v>46.1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Zenodo xlsx; material y dmax en p.4 (Fig. 2a)</t>
        </is>
      </c>
      <c r="BB7" t="inlineStr">
        <is>
          <t>no (valores del xlsx; nombre, litología y dmax verificados en imagen p.4)</t>
        </is>
      </c>
      <c r="BC7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14.7 MPa | SÍ en base Cylwik, equivalente probable: Marsal et al. (1965)|a|123</t>
        </is>
      </c>
    </row>
    <row r="8">
      <c r="A8" t="inlineStr">
        <is>
          <t>OV2020</t>
        </is>
      </c>
      <c r="B8" t="inlineStr">
        <is>
          <t>2020_Ovalle_Data Compilation from Large ICDTx on Coarse Crushable Rockfill Materials.pdf</t>
        </is>
      </c>
      <c r="C8" t="n">
        <v>2020</v>
      </c>
      <c r="D8" t="inlineStr">
        <is>
          <t>Ovalle, Linero, Dano, Bard, Hicher y Osses (2020), JGGE 146(9) 06020013</t>
        </is>
      </c>
      <c r="E8" t="inlineStr">
        <is>
          <t>CFE (México), inferido de p.3</t>
        </is>
      </c>
      <c r="F8" t="inlineStr">
        <is>
          <t>Infiernillo Rockfill (dry)</t>
        </is>
      </c>
      <c r="G8" t="n">
        <v>7</v>
      </c>
      <c r="H8" t="inlineStr">
        <is>
          <t>Silified conglomerate</t>
        </is>
      </c>
      <c r="I8" t="inlineStr">
        <is>
          <t>Conglomerado</t>
        </is>
      </c>
      <c r="J8" t="inlineStr">
        <is>
          <t>conglomerado silicificado</t>
        </is>
      </c>
      <c r="K8" t="inlineStr"/>
      <c r="L8" t="inlineStr"/>
      <c r="M8" t="inlineStr">
        <is>
          <t>Enrocado</t>
        </is>
      </c>
      <c r="N8" t="inlineStr"/>
      <c r="O8" t="inlineStr">
        <is>
          <t>CID (compresión triaxial drenada)</t>
        </is>
      </c>
      <c r="P8" t="inlineStr">
        <is>
          <t>no</t>
        </is>
      </c>
      <c r="Q8" t="n">
        <v>1130</v>
      </c>
      <c r="R8" t="inlineStr"/>
      <c r="S8" t="n">
        <v>200</v>
      </c>
      <c r="T8" t="inlineStr"/>
      <c r="U8" t="inlineStr"/>
      <c r="V8" t="inlineStr"/>
      <c r="W8" t="inlineStr"/>
      <c r="X8" t="n">
        <v>4.25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0.55</v>
      </c>
      <c r="AG8" t="inlineStr">
        <is>
          <t>informe</t>
        </is>
      </c>
      <c r="AH8" t="inlineStr"/>
      <c r="AI8" t="inlineStr"/>
      <c r="AJ8" t="inlineStr"/>
      <c r="AK8" t="n">
        <v>192</v>
      </c>
      <c r="AL8" t="n">
        <v>1148</v>
      </c>
      <c r="AM8" t="n">
        <v>956</v>
      </c>
      <c r="AN8" t="inlineStr">
        <is>
          <t>máximo (φmax, σ1 máximo)</t>
        </is>
      </c>
      <c r="AO8" t="n">
        <v>45.6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Zenodo xlsx; material y dmax en p.4 (Fig. 2a)</t>
        </is>
      </c>
      <c r="BB8" t="inlineStr">
        <is>
          <t>no (valores del xlsx; nombre, litología y dmax verificados en imagen p.4)</t>
        </is>
      </c>
      <c r="BC8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24.5 MPa | SÍ en base Cylwik, equivalente probable: Marsal et al. (1965)|b|125</t>
        </is>
      </c>
    </row>
    <row r="9">
      <c r="A9" t="inlineStr">
        <is>
          <t>OV2020</t>
        </is>
      </c>
      <c r="B9" t="inlineStr">
        <is>
          <t>2020_Ovalle_Data Compilation from Large ICDTx on Coarse Crushable Rockfill Materials.pdf</t>
        </is>
      </c>
      <c r="C9" t="n">
        <v>2020</v>
      </c>
      <c r="D9" t="inlineStr">
        <is>
          <t>Ovalle, Linero, Dano, Bard, Hicher y Osses (2020), JGGE 146(9) 06020013</t>
        </is>
      </c>
      <c r="E9" t="inlineStr">
        <is>
          <t>CFE (México), inferido de p.3</t>
        </is>
      </c>
      <c r="F9" t="inlineStr">
        <is>
          <t>Infiernillo Rockfill (dry)</t>
        </is>
      </c>
      <c r="G9" t="n">
        <v>8</v>
      </c>
      <c r="H9" t="inlineStr">
        <is>
          <t>Silified conglomerate</t>
        </is>
      </c>
      <c r="I9" t="inlineStr">
        <is>
          <t>Conglomerado</t>
        </is>
      </c>
      <c r="J9" t="inlineStr">
        <is>
          <t>conglomerado silicificado</t>
        </is>
      </c>
      <c r="K9" t="inlineStr"/>
      <c r="L9" t="inlineStr"/>
      <c r="M9" t="inlineStr">
        <is>
          <t>Enrocado</t>
        </is>
      </c>
      <c r="N9" t="inlineStr"/>
      <c r="O9" t="inlineStr">
        <is>
          <t>CID (compresión triaxial drenada)</t>
        </is>
      </c>
      <c r="P9" t="inlineStr">
        <is>
          <t>no</t>
        </is>
      </c>
      <c r="Q9" t="n">
        <v>1130</v>
      </c>
      <c r="R9" t="inlineStr"/>
      <c r="S9" t="n">
        <v>200</v>
      </c>
      <c r="T9" t="inlineStr"/>
      <c r="U9" t="inlineStr"/>
      <c r="V9" t="inlineStr"/>
      <c r="W9" t="inlineStr"/>
      <c r="X9" t="n">
        <v>4.25</v>
      </c>
      <c r="Y9" t="inlineStr"/>
      <c r="Z9" t="inlineStr"/>
      <c r="AA9" t="inlineStr"/>
      <c r="AB9" t="inlineStr"/>
      <c r="AC9" t="inlineStr"/>
      <c r="AD9" t="inlineStr"/>
      <c r="AE9" t="inlineStr"/>
      <c r="AF9" t="n">
        <v>0.55</v>
      </c>
      <c r="AG9" t="inlineStr">
        <is>
          <t>informe</t>
        </is>
      </c>
      <c r="AH9" t="inlineStr"/>
      <c r="AI9" t="inlineStr"/>
      <c r="AJ9" t="inlineStr"/>
      <c r="AK9" t="n">
        <v>497</v>
      </c>
      <c r="AL9" t="n">
        <v>2393</v>
      </c>
      <c r="AM9" t="n">
        <v>1896</v>
      </c>
      <c r="AN9" t="inlineStr">
        <is>
          <t>máximo (φmax, σ1 máximo)</t>
        </is>
      </c>
      <c r="AO9" t="n">
        <v>41</v>
      </c>
      <c r="AP9" t="inlineStr"/>
      <c r="AQ9" t="inlineStr"/>
      <c r="AR9" t="inlineStr"/>
      <c r="AS9" t="inlineStr"/>
      <c r="AT9" t="inlineStr"/>
      <c r="AU9" t="inlineStr"/>
      <c r="AV9" t="n">
        <v>13.8</v>
      </c>
      <c r="AW9" t="inlineStr"/>
      <c r="AX9" t="inlineStr"/>
      <c r="AY9" t="inlineStr"/>
      <c r="AZ9" t="inlineStr"/>
      <c r="BA9" t="inlineStr">
        <is>
          <t>Zenodo xlsx; material y dmax en p.4 (Fig. 2a)</t>
        </is>
      </c>
      <c r="BB9" t="inlineStr">
        <is>
          <t>no (valores del xlsx; nombre, litología y dmax verificados en imagen p.4)</t>
        </is>
      </c>
      <c r="BC9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32.7 MPa | SÍ en base Cylwik, equivalente probable: Marsal et al. (1965)|b|126</t>
        </is>
      </c>
    </row>
    <row r="10">
      <c r="A10" t="inlineStr">
        <is>
          <t>OV2020</t>
        </is>
      </c>
      <c r="B10" t="inlineStr">
        <is>
          <t>2020_Ovalle_Data Compilation from Large ICDTx on Coarse Crushable Rockfill Materials.pdf</t>
        </is>
      </c>
      <c r="C10" t="n">
        <v>2020</v>
      </c>
      <c r="D10" t="inlineStr">
        <is>
          <t>Ovalle, Linero, Dano, Bard, Hicher y Osses (2020), JGGE 146(9) 06020013</t>
        </is>
      </c>
      <c r="E10" t="inlineStr">
        <is>
          <t>CFE (México), inferido de p.3</t>
        </is>
      </c>
      <c r="F10" t="inlineStr">
        <is>
          <t>Infiernillo Rockfill (dry)</t>
        </is>
      </c>
      <c r="G10" t="n">
        <v>9</v>
      </c>
      <c r="H10" t="inlineStr">
        <is>
          <t>Silified conglomerate</t>
        </is>
      </c>
      <c r="I10" t="inlineStr">
        <is>
          <t>Conglomerado</t>
        </is>
      </c>
      <c r="J10" t="inlineStr">
        <is>
          <t>conglomerado silicificado</t>
        </is>
      </c>
      <c r="K10" t="inlineStr"/>
      <c r="L10" t="inlineStr"/>
      <c r="M10" t="inlineStr">
        <is>
          <t>Enrocado</t>
        </is>
      </c>
      <c r="N10" t="inlineStr"/>
      <c r="O10" t="inlineStr">
        <is>
          <t>CID (compresión triaxial drenada)</t>
        </is>
      </c>
      <c r="P10" t="inlineStr">
        <is>
          <t>no</t>
        </is>
      </c>
      <c r="Q10" t="n">
        <v>1130</v>
      </c>
      <c r="R10" t="inlineStr"/>
      <c r="S10" t="n">
        <v>200</v>
      </c>
      <c r="T10" t="inlineStr"/>
      <c r="U10" t="inlineStr"/>
      <c r="V10" t="inlineStr"/>
      <c r="W10" t="inlineStr"/>
      <c r="X10" t="n">
        <v>4.25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0.62</v>
      </c>
      <c r="AG10" t="inlineStr">
        <is>
          <t>informe</t>
        </is>
      </c>
      <c r="AH10" t="inlineStr"/>
      <c r="AI10" t="inlineStr"/>
      <c r="AJ10" t="inlineStr"/>
      <c r="AK10" t="n">
        <v>1017</v>
      </c>
      <c r="AL10" t="n">
        <v>4558</v>
      </c>
      <c r="AM10" t="n">
        <v>3541</v>
      </c>
      <c r="AN10" t="inlineStr">
        <is>
          <t>máximo (φmax, σ1 máximo)</t>
        </is>
      </c>
      <c r="AO10" t="n">
        <v>39.4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Zenodo xlsx; material y dmax en p.4 (Fig. 2a)</t>
        </is>
      </c>
      <c r="BB10" t="inlineStr">
        <is>
          <t>no (valores del xlsx; nombre, litología y dmax verificados en imagen p.4)</t>
        </is>
      </c>
      <c r="BC10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46.6 MPa | SÍ en base Cylwik, equivalente probable: Marsal et al. (1965)|b|127</t>
        </is>
      </c>
    </row>
    <row r="11">
      <c r="A11" t="inlineStr">
        <is>
          <t>OV2020</t>
        </is>
      </c>
      <c r="B11" t="inlineStr">
        <is>
          <t>2020_Ovalle_Data Compilation from Large ICDTx on Coarse Crushable Rockfill Materials.pdf</t>
        </is>
      </c>
      <c r="C11" t="n">
        <v>2020</v>
      </c>
      <c r="D11" t="inlineStr">
        <is>
          <t>Ovalle, Linero, Dano, Bard, Hicher y Osses (2020), JGGE 146(9) 06020013</t>
        </is>
      </c>
      <c r="E11" t="inlineStr">
        <is>
          <t>CFE (México), inferido de p.3</t>
        </is>
      </c>
      <c r="F11" t="inlineStr">
        <is>
          <t>Infiernillo Rockfill (dry)</t>
        </is>
      </c>
      <c r="G11" t="n">
        <v>10</v>
      </c>
      <c r="H11" t="inlineStr">
        <is>
          <t>Silified conglomerate</t>
        </is>
      </c>
      <c r="I11" t="inlineStr">
        <is>
          <t>Conglomerado</t>
        </is>
      </c>
      <c r="J11" t="inlineStr">
        <is>
          <t>conglomerado silicificado</t>
        </is>
      </c>
      <c r="K11" t="inlineStr"/>
      <c r="L11" t="inlineStr"/>
      <c r="M11" t="inlineStr">
        <is>
          <t>Enrocado</t>
        </is>
      </c>
      <c r="N11" t="inlineStr"/>
      <c r="O11" t="inlineStr">
        <is>
          <t>CID (compresión triaxial drenada)</t>
        </is>
      </c>
      <c r="P11" t="inlineStr">
        <is>
          <t>no</t>
        </is>
      </c>
      <c r="Q11" t="n">
        <v>1130</v>
      </c>
      <c r="R11" t="inlineStr"/>
      <c r="S11" t="n">
        <v>200</v>
      </c>
      <c r="T11" t="inlineStr"/>
      <c r="U11" t="inlineStr"/>
      <c r="V11" t="inlineStr"/>
      <c r="W11" t="inlineStr"/>
      <c r="X11" t="n">
        <v>4.25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0.51</v>
      </c>
      <c r="AG11" t="inlineStr">
        <is>
          <t>informe</t>
        </is>
      </c>
      <c r="AH11" t="inlineStr"/>
      <c r="AI11" t="inlineStr"/>
      <c r="AJ11" t="inlineStr"/>
      <c r="AK11" t="n">
        <v>1721</v>
      </c>
      <c r="AL11" t="n">
        <v>7192</v>
      </c>
      <c r="AM11" t="n">
        <v>5471</v>
      </c>
      <c r="AN11" t="inlineStr">
        <is>
          <t>máximo (φmax, σ1 máximo)</t>
        </is>
      </c>
      <c r="AO11" t="n">
        <v>37.9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Zenodo xlsx; material y dmax en p.4 (Fig. 2a)</t>
        </is>
      </c>
      <c r="BB11" t="inlineStr">
        <is>
          <t>no (valores del xlsx; nombre, litología y dmax verificados en imagen p.4)</t>
        </is>
      </c>
      <c r="BC11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70.6 MPa | SÍ en base Cylwik, equivalente probable: Marsal et al. (1965)|b|128</t>
        </is>
      </c>
    </row>
    <row r="12">
      <c r="A12" t="inlineStr">
        <is>
          <t>OV2020</t>
        </is>
      </c>
      <c r="B12" t="inlineStr">
        <is>
          <t>2020_Ovalle_Data Compilation from Large ICDTx on Coarse Crushable Rockfill Materials.pdf</t>
        </is>
      </c>
      <c r="C12" t="n">
        <v>2020</v>
      </c>
      <c r="D12" t="inlineStr">
        <is>
          <t>Ovalle, Linero, Dano, Bard, Hicher y Osses (2020), JGGE 146(9) 06020013</t>
        </is>
      </c>
      <c r="E12" t="inlineStr">
        <is>
          <t>CFE (México), inferido de p.3</t>
        </is>
      </c>
      <c r="F12" t="inlineStr">
        <is>
          <t>Infiernillo Rockfill (dry)</t>
        </is>
      </c>
      <c r="G12" t="n">
        <v>11</v>
      </c>
      <c r="H12" t="inlineStr">
        <is>
          <t>Silified conglomerate</t>
        </is>
      </c>
      <c r="I12" t="inlineStr">
        <is>
          <t>Conglomerado</t>
        </is>
      </c>
      <c r="J12" t="inlineStr">
        <is>
          <t>conglomerado silicificado</t>
        </is>
      </c>
      <c r="K12" t="inlineStr"/>
      <c r="L12" t="inlineStr"/>
      <c r="M12" t="inlineStr">
        <is>
          <t>Enrocado</t>
        </is>
      </c>
      <c r="N12" t="inlineStr"/>
      <c r="O12" t="inlineStr">
        <is>
          <t>CID (compresión triaxial drenada)</t>
        </is>
      </c>
      <c r="P12" t="inlineStr">
        <is>
          <t>no</t>
        </is>
      </c>
      <c r="Q12" t="n">
        <v>1130</v>
      </c>
      <c r="R12" t="inlineStr"/>
      <c r="S12" t="n">
        <v>200</v>
      </c>
      <c r="T12" t="inlineStr"/>
      <c r="U12" t="inlineStr"/>
      <c r="V12" t="inlineStr"/>
      <c r="W12" t="inlineStr"/>
      <c r="X12" t="n">
        <v>4.25</v>
      </c>
      <c r="Y12" t="inlineStr"/>
      <c r="Z12" t="inlineStr"/>
      <c r="AA12" t="inlineStr"/>
      <c r="AB12" t="inlineStr"/>
      <c r="AC12" t="inlineStr"/>
      <c r="AD12" t="inlineStr"/>
      <c r="AE12" t="inlineStr"/>
      <c r="AF12" t="n">
        <v>0.45</v>
      </c>
      <c r="AG12" t="inlineStr">
        <is>
          <t>informe</t>
        </is>
      </c>
      <c r="AH12" t="inlineStr"/>
      <c r="AI12" t="inlineStr"/>
      <c r="AJ12" t="inlineStr"/>
      <c r="AK12" t="n">
        <v>2537</v>
      </c>
      <c r="AL12" t="n">
        <v>10225</v>
      </c>
      <c r="AM12" t="n">
        <v>7688</v>
      </c>
      <c r="AN12" t="inlineStr">
        <is>
          <t>máximo (φmax, σ1 máximo)</t>
        </is>
      </c>
      <c r="AO12" t="n">
        <v>37</v>
      </c>
      <c r="AP12" t="inlineStr"/>
      <c r="AQ12" t="inlineStr"/>
      <c r="AR12" t="inlineStr"/>
      <c r="AS12" t="inlineStr"/>
      <c r="AT12" t="inlineStr"/>
      <c r="AU12" t="inlineStr"/>
      <c r="AV12" t="n">
        <v>10.6</v>
      </c>
      <c r="AW12" t="inlineStr"/>
      <c r="AX12" t="inlineStr"/>
      <c r="AY12" t="inlineStr"/>
      <c r="AZ12" t="inlineStr"/>
      <c r="BA12" t="inlineStr">
        <is>
          <t>Zenodo xlsx; material y dmax en p.4 (Fig. 2a)</t>
        </is>
      </c>
      <c r="BB12" t="inlineStr">
        <is>
          <t>no (valores del xlsx; nombre, litología y dmax verificados en imagen p.4)</t>
        </is>
      </c>
      <c r="BC12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91.1 MPa | SÍ en base Cylwik, equivalente probable: Marsal et al. (1965)|d|132</t>
        </is>
      </c>
    </row>
    <row r="13">
      <c r="A13" t="inlineStr">
        <is>
          <t>OV2020</t>
        </is>
      </c>
      <c r="B13" t="inlineStr">
        <is>
          <t>2020_Ovalle_Data Compilation from Large ICDTx on Coarse Crushable Rockfill Materials.pdf</t>
        </is>
      </c>
      <c r="C13" t="n">
        <v>2020</v>
      </c>
      <c r="D13" t="inlineStr">
        <is>
          <t>Ovalle, Linero, Dano, Bard, Hicher y Osses (2020), JGGE 146(9) 06020013</t>
        </is>
      </c>
      <c r="E13" t="inlineStr">
        <is>
          <t>CFE (México), inferido de p.3</t>
        </is>
      </c>
      <c r="F13" t="inlineStr">
        <is>
          <t>Infiernillo Rockfill (dry)</t>
        </is>
      </c>
      <c r="G13" t="n">
        <v>12</v>
      </c>
      <c r="H13" t="inlineStr">
        <is>
          <t>Silified conglomerate</t>
        </is>
      </c>
      <c r="I13" t="inlineStr">
        <is>
          <t>Conglomerado</t>
        </is>
      </c>
      <c r="J13" t="inlineStr">
        <is>
          <t>conglomerado silicificado</t>
        </is>
      </c>
      <c r="K13" t="inlineStr"/>
      <c r="L13" t="inlineStr"/>
      <c r="M13" t="inlineStr">
        <is>
          <t>Enrocado</t>
        </is>
      </c>
      <c r="N13" t="inlineStr"/>
      <c r="O13" t="inlineStr">
        <is>
          <t>CID (compresión triaxial drenada)</t>
        </is>
      </c>
      <c r="P13" t="inlineStr">
        <is>
          <t>no</t>
        </is>
      </c>
      <c r="Q13" t="n">
        <v>1130</v>
      </c>
      <c r="R13" t="inlineStr"/>
      <c r="S13" t="n">
        <v>200</v>
      </c>
      <c r="T13" t="inlineStr"/>
      <c r="U13" t="inlineStr"/>
      <c r="V13" t="inlineStr"/>
      <c r="W13" t="inlineStr"/>
      <c r="X13" t="n">
        <v>4.25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0.51</v>
      </c>
      <c r="AG13" t="inlineStr">
        <is>
          <t>informe</t>
        </is>
      </c>
      <c r="AH13" t="inlineStr"/>
      <c r="AI13" t="inlineStr"/>
      <c r="AJ13" t="inlineStr"/>
      <c r="AK13" t="n">
        <v>192</v>
      </c>
      <c r="AL13" t="n">
        <v>1152</v>
      </c>
      <c r="AM13" t="n">
        <v>960</v>
      </c>
      <c r="AN13" t="inlineStr">
        <is>
          <t>máximo (φmax, σ1 máximo)</t>
        </is>
      </c>
      <c r="AO13" t="n">
        <v>45.6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Zenodo xlsx; material y dmax en p.4 (Fig. 2a)</t>
        </is>
      </c>
      <c r="BB13" t="inlineStr">
        <is>
          <t>no (valores del xlsx; nombre, litología y dmax verificados en imagen p.4)</t>
        </is>
      </c>
      <c r="BC13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24.5 MPa | SÍ en base Cylwik, equivalente probable: Marsal et al. (1965)|b|125</t>
        </is>
      </c>
    </row>
    <row r="14">
      <c r="A14" t="inlineStr">
        <is>
          <t>OV2020</t>
        </is>
      </c>
      <c r="B14" t="inlineStr">
        <is>
          <t>2020_Ovalle_Data Compilation from Large ICDTx on Coarse Crushable Rockfill Materials.pdf</t>
        </is>
      </c>
      <c r="C14" t="n">
        <v>2020</v>
      </c>
      <c r="D14" t="inlineStr">
        <is>
          <t>Ovalle, Linero, Dano, Bard, Hicher y Osses (2020), JGGE 146(9) 06020013</t>
        </is>
      </c>
      <c r="E14" t="inlineStr">
        <is>
          <t>CFE (México), inferido de p.3</t>
        </is>
      </c>
      <c r="F14" t="inlineStr">
        <is>
          <t>Infiernillo Rockfill (dry)</t>
        </is>
      </c>
      <c r="G14" t="n">
        <v>13</v>
      </c>
      <c r="H14" t="inlineStr">
        <is>
          <t>Silified conglomerate</t>
        </is>
      </c>
      <c r="I14" t="inlineStr">
        <is>
          <t>Conglomerado</t>
        </is>
      </c>
      <c r="J14" t="inlineStr">
        <is>
          <t>conglomerado silicificado</t>
        </is>
      </c>
      <c r="K14" t="inlineStr"/>
      <c r="L14" t="inlineStr"/>
      <c r="M14" t="inlineStr">
        <is>
          <t>Enrocado</t>
        </is>
      </c>
      <c r="N14" t="inlineStr"/>
      <c r="O14" t="inlineStr">
        <is>
          <t>CID (compresión triaxial drenada)</t>
        </is>
      </c>
      <c r="P14" t="inlineStr">
        <is>
          <t>no</t>
        </is>
      </c>
      <c r="Q14" t="n">
        <v>1130</v>
      </c>
      <c r="R14" t="inlineStr"/>
      <c r="S14" t="n">
        <v>200</v>
      </c>
      <c r="T14" t="inlineStr"/>
      <c r="U14" t="inlineStr"/>
      <c r="V14" t="inlineStr"/>
      <c r="W14" t="inlineStr"/>
      <c r="X14" t="n">
        <v>4.25</v>
      </c>
      <c r="Y14" t="inlineStr"/>
      <c r="Z14" t="inlineStr"/>
      <c r="AA14" t="inlineStr"/>
      <c r="AB14" t="inlineStr"/>
      <c r="AC14" t="inlineStr"/>
      <c r="AD14" t="inlineStr"/>
      <c r="AE14" t="inlineStr"/>
      <c r="AF14" t="n">
        <v>0.5</v>
      </c>
      <c r="AG14" t="inlineStr">
        <is>
          <t>informe</t>
        </is>
      </c>
      <c r="AH14" t="inlineStr"/>
      <c r="AI14" t="inlineStr"/>
      <c r="AJ14" t="inlineStr"/>
      <c r="AK14" t="n">
        <v>497</v>
      </c>
      <c r="AL14" t="n">
        <v>2537</v>
      </c>
      <c r="AM14" t="n">
        <v>2040</v>
      </c>
      <c r="AN14" t="inlineStr">
        <is>
          <t>máximo (φmax, σ1 máximo)</t>
        </is>
      </c>
      <c r="AO14" t="n">
        <v>42.2</v>
      </c>
      <c r="AP14" t="inlineStr"/>
      <c r="AQ14" t="inlineStr"/>
      <c r="AR14" t="inlineStr"/>
      <c r="AS14" t="inlineStr"/>
      <c r="AT14" t="inlineStr"/>
      <c r="AU14" t="inlineStr"/>
      <c r="AV14" t="n">
        <v>6.3</v>
      </c>
      <c r="AW14" t="inlineStr"/>
      <c r="AX14" t="inlineStr"/>
      <c r="AY14" t="inlineStr"/>
      <c r="AZ14" t="inlineStr"/>
      <c r="BA14" t="inlineStr">
        <is>
          <t>Zenodo xlsx; material y dmax en p.4 (Fig. 2a)</t>
        </is>
      </c>
      <c r="BB14" t="inlineStr">
        <is>
          <t>no (valores del xlsx; nombre, litología y dmax verificados en imagen p.4)</t>
        </is>
      </c>
      <c r="BC14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34.3 MPa | SÍ en base Cylwik, equivalente probable: Marsal et al. (1965)|d|134</t>
        </is>
      </c>
    </row>
    <row r="15">
      <c r="A15" t="inlineStr">
        <is>
          <t>OV2020</t>
        </is>
      </c>
      <c r="B15" t="inlineStr">
        <is>
          <t>2020_Ovalle_Data Compilation from Large ICDTx on Coarse Crushable Rockfill Materials.pdf</t>
        </is>
      </c>
      <c r="C15" t="n">
        <v>2020</v>
      </c>
      <c r="D15" t="inlineStr">
        <is>
          <t>Ovalle, Linero, Dano, Bard, Hicher y Osses (2020), JGGE 146(9) 06020013</t>
        </is>
      </c>
      <c r="E15" t="inlineStr">
        <is>
          <t>CFE (México), inferido de p.3</t>
        </is>
      </c>
      <c r="F15" t="inlineStr">
        <is>
          <t>Infiernillo Rockfill (dry)</t>
        </is>
      </c>
      <c r="G15" t="n">
        <v>14</v>
      </c>
      <c r="H15" t="inlineStr">
        <is>
          <t>Silified conglomerate</t>
        </is>
      </c>
      <c r="I15" t="inlineStr">
        <is>
          <t>Conglomerado</t>
        </is>
      </c>
      <c r="J15" t="inlineStr">
        <is>
          <t>conglomerado silicificado</t>
        </is>
      </c>
      <c r="K15" t="inlineStr"/>
      <c r="L15" t="inlineStr"/>
      <c r="M15" t="inlineStr">
        <is>
          <t>Enrocado</t>
        </is>
      </c>
      <c r="N15" t="inlineStr"/>
      <c r="O15" t="inlineStr">
        <is>
          <t>CID (compresión triaxial drenada)</t>
        </is>
      </c>
      <c r="P15" t="inlineStr">
        <is>
          <t>no</t>
        </is>
      </c>
      <c r="Q15" t="n">
        <v>1130</v>
      </c>
      <c r="R15" t="inlineStr"/>
      <c r="S15" t="n">
        <v>200</v>
      </c>
      <c r="T15" t="inlineStr"/>
      <c r="U15" t="inlineStr"/>
      <c r="V15" t="inlineStr"/>
      <c r="W15" t="inlineStr"/>
      <c r="X15" t="n">
        <v>4.25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0.4</v>
      </c>
      <c r="AG15" t="inlineStr">
        <is>
          <t>informe</t>
        </is>
      </c>
      <c r="AH15" t="inlineStr"/>
      <c r="AI15" t="inlineStr"/>
      <c r="AJ15" t="inlineStr"/>
      <c r="AK15" t="n">
        <v>1017</v>
      </c>
      <c r="AL15" t="n">
        <v>4537</v>
      </c>
      <c r="AM15" t="n">
        <v>3520</v>
      </c>
      <c r="AN15" t="inlineStr">
        <is>
          <t>máximo (φmax, σ1 máximo)</t>
        </is>
      </c>
      <c r="AO15" t="n">
        <v>39.3</v>
      </c>
      <c r="AP15" t="inlineStr"/>
      <c r="AQ15" t="inlineStr"/>
      <c r="AR15" t="inlineStr"/>
      <c r="AS15" t="inlineStr"/>
      <c r="AT15" t="inlineStr"/>
      <c r="AU15" t="inlineStr"/>
      <c r="AV15" t="n">
        <v>15.3</v>
      </c>
      <c r="AW15" t="inlineStr"/>
      <c r="AX15" t="inlineStr"/>
      <c r="AY15" t="inlineStr"/>
      <c r="AZ15" t="inlineStr"/>
      <c r="BA15" t="inlineStr">
        <is>
          <t>Zenodo xlsx; material y dmax en p.4 (Fig. 2a)</t>
        </is>
      </c>
      <c r="BB15" t="inlineStr">
        <is>
          <t>no (valores del xlsx; nombre, litología y dmax verificados en imagen p.4)</t>
        </is>
      </c>
      <c r="BC15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60.5 MPa | SÍ en base Cylwik, equivalente probable: Marsal et al. (1965)|b|127</t>
        </is>
      </c>
    </row>
    <row r="16">
      <c r="A16" t="inlineStr">
        <is>
          <t>OV2020</t>
        </is>
      </c>
      <c r="B16" t="inlineStr">
        <is>
          <t>2020_Ovalle_Data Compilation from Large ICDTx on Coarse Crushable Rockfill Materials.pdf</t>
        </is>
      </c>
      <c r="C16" t="n">
        <v>2020</v>
      </c>
      <c r="D16" t="inlineStr">
        <is>
          <t>Ovalle, Linero, Dano, Bard, Hicher y Osses (2020), JGGE 146(9) 06020013</t>
        </is>
      </c>
      <c r="E16" t="inlineStr">
        <is>
          <t>CFE (México), inferido de p.3</t>
        </is>
      </c>
      <c r="F16" t="inlineStr">
        <is>
          <t>Infiernillo Rockfill (dry)</t>
        </is>
      </c>
      <c r="G16" t="n">
        <v>15</v>
      </c>
      <c r="H16" t="inlineStr">
        <is>
          <t>Silified conglomerate</t>
        </is>
      </c>
      <c r="I16" t="inlineStr">
        <is>
          <t>Conglomerado</t>
        </is>
      </c>
      <c r="J16" t="inlineStr">
        <is>
          <t>conglomerado silicificado</t>
        </is>
      </c>
      <c r="K16" t="inlineStr"/>
      <c r="L16" t="inlineStr"/>
      <c r="M16" t="inlineStr">
        <is>
          <t>Enrocado</t>
        </is>
      </c>
      <c r="N16" t="inlineStr"/>
      <c r="O16" t="inlineStr">
        <is>
          <t>CID (compresión triaxial drenada)</t>
        </is>
      </c>
      <c r="P16" t="inlineStr">
        <is>
          <t>no</t>
        </is>
      </c>
      <c r="Q16" t="n">
        <v>1130</v>
      </c>
      <c r="R16" t="inlineStr"/>
      <c r="S16" t="n">
        <v>200</v>
      </c>
      <c r="T16" t="inlineStr"/>
      <c r="U16" t="inlineStr"/>
      <c r="V16" t="inlineStr"/>
      <c r="W16" t="inlineStr"/>
      <c r="X16" t="n">
        <v>4.25</v>
      </c>
      <c r="Y16" t="inlineStr"/>
      <c r="Z16" t="inlineStr"/>
      <c r="AA16" t="inlineStr"/>
      <c r="AB16" t="inlineStr"/>
      <c r="AC16" t="inlineStr"/>
      <c r="AD16" t="inlineStr"/>
      <c r="AE16" t="inlineStr"/>
      <c r="AF16" t="n">
        <v>0.4</v>
      </c>
      <c r="AG16" t="inlineStr">
        <is>
          <t>informe</t>
        </is>
      </c>
      <c r="AH16" t="inlineStr"/>
      <c r="AI16" t="inlineStr"/>
      <c r="AJ16" t="inlineStr"/>
      <c r="AK16" t="n">
        <v>1721</v>
      </c>
      <c r="AL16" t="n">
        <v>7141</v>
      </c>
      <c r="AM16" t="n">
        <v>5420</v>
      </c>
      <c r="AN16" t="inlineStr">
        <is>
          <t>máximo (φmax, σ1 máximo)</t>
        </is>
      </c>
      <c r="AO16" t="n">
        <v>37.7</v>
      </c>
      <c r="AP16" t="inlineStr"/>
      <c r="AQ16" t="inlineStr"/>
      <c r="AR16" t="inlineStr"/>
      <c r="AS16" t="inlineStr"/>
      <c r="AT16" t="inlineStr"/>
      <c r="AU16" t="inlineStr"/>
      <c r="AV16" t="n">
        <v>14.3</v>
      </c>
      <c r="AW16" t="inlineStr"/>
      <c r="AX16" t="inlineStr"/>
      <c r="AY16" t="inlineStr"/>
      <c r="AZ16" t="inlineStr"/>
      <c r="BA16" t="inlineStr">
        <is>
          <t>Zenodo xlsx; material y dmax en p.4 (Fig. 2a)</t>
        </is>
      </c>
      <c r="BB16" t="inlineStr">
        <is>
          <t>no (valores del xlsx; nombre, litología y dmax verificados en imagen p.4)</t>
        </is>
      </c>
      <c r="BC16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77.1 MPa | SÍ en base Cylwik, equivalente probable: Marsal et al. (1965)|b|128</t>
        </is>
      </c>
    </row>
    <row r="17">
      <c r="A17" t="inlineStr">
        <is>
          <t>OV2020</t>
        </is>
      </c>
      <c r="B17" t="inlineStr">
        <is>
          <t>2020_Ovalle_Data Compilation from Large ICDTx on Coarse Crushable Rockfill Materials.pdf</t>
        </is>
      </c>
      <c r="C17" t="n">
        <v>2020</v>
      </c>
      <c r="D17" t="inlineStr">
        <is>
          <t>Ovalle, Linero, Dano, Bard, Hicher y Osses (2020), JGGE 146(9) 06020013</t>
        </is>
      </c>
      <c r="E17" t="inlineStr">
        <is>
          <t>CFE (México), inferido de p.3</t>
        </is>
      </c>
      <c r="F17" t="inlineStr">
        <is>
          <t>Infiernillo Rockfill (dry)</t>
        </is>
      </c>
      <c r="G17" t="n">
        <v>16</v>
      </c>
      <c r="H17" t="inlineStr">
        <is>
          <t>Silified conglomerate</t>
        </is>
      </c>
      <c r="I17" t="inlineStr">
        <is>
          <t>Conglomerado</t>
        </is>
      </c>
      <c r="J17" t="inlineStr">
        <is>
          <t>conglomerado silicificado</t>
        </is>
      </c>
      <c r="K17" t="inlineStr"/>
      <c r="L17" t="inlineStr"/>
      <c r="M17" t="inlineStr">
        <is>
          <t>Enrocado</t>
        </is>
      </c>
      <c r="N17" t="inlineStr"/>
      <c r="O17" t="inlineStr">
        <is>
          <t>CID (compresión triaxial drenada)</t>
        </is>
      </c>
      <c r="P17" t="inlineStr">
        <is>
          <t>no</t>
        </is>
      </c>
      <c r="Q17" t="n">
        <v>1130</v>
      </c>
      <c r="R17" t="inlineStr"/>
      <c r="S17" t="n">
        <v>200</v>
      </c>
      <c r="T17" t="inlineStr"/>
      <c r="U17" t="inlineStr"/>
      <c r="V17" t="inlineStr"/>
      <c r="W17" t="inlineStr"/>
      <c r="X17" t="n">
        <v>4.25</v>
      </c>
      <c r="Y17" t="inlineStr"/>
      <c r="Z17" t="inlineStr"/>
      <c r="AA17" t="inlineStr"/>
      <c r="AB17" t="inlineStr"/>
      <c r="AC17" t="inlineStr"/>
      <c r="AD17" t="inlineStr"/>
      <c r="AE17" t="inlineStr"/>
      <c r="AF17" t="n">
        <v>0.46</v>
      </c>
      <c r="AG17" t="inlineStr">
        <is>
          <t>informe</t>
        </is>
      </c>
      <c r="AH17" t="inlineStr"/>
      <c r="AI17" t="inlineStr"/>
      <c r="AJ17" t="inlineStr"/>
      <c r="AK17" t="n">
        <v>2537</v>
      </c>
      <c r="AL17" t="n">
        <v>9920</v>
      </c>
      <c r="AM17" t="n">
        <v>7383</v>
      </c>
      <c r="AN17" t="inlineStr">
        <is>
          <t>máximo (φmax, σ1 máximo)</t>
        </is>
      </c>
      <c r="AO17" t="n">
        <v>36.3</v>
      </c>
      <c r="AP17" t="inlineStr"/>
      <c r="AQ17" t="inlineStr"/>
      <c r="AR17" t="inlineStr"/>
      <c r="AS17" t="inlineStr"/>
      <c r="AT17" t="inlineStr"/>
      <c r="AU17" t="inlineStr"/>
      <c r="AV17" t="n">
        <v>14.1</v>
      </c>
      <c r="AW17" t="inlineStr"/>
      <c r="AX17" t="inlineStr"/>
      <c r="AY17" t="inlineStr"/>
      <c r="AZ17" t="inlineStr"/>
      <c r="BA17" t="inlineStr">
        <is>
          <t>Zenodo xlsx; material y dmax en p.4 (Fig. 2a)</t>
        </is>
      </c>
      <c r="BB17" t="inlineStr">
        <is>
          <t>no (valores del xlsx; nombre, litología y dmax verificados en imagen p.4)</t>
        </is>
      </c>
      <c r="BC17" t="inlineStr">
        <is>
          <t>Ref. original: Marsal et al., 1965 | Material en la fuente: «Infiernillo Rockfill (dry)» | Datos por ensayo del repositorio Zenodo doi:10.5281/zenodo.3625778 (xlsx v1; ensayo_id = N° de fila); el artículo solo trae la lista de materiales (Fig. 2a) | q calculado = σ1−σ3 | E50 = 88.3 MPa | SÍ en base Cylwik, equivalente probable: Marsal et al. (1965)|d|132</t>
        </is>
      </c>
    </row>
    <row r="18">
      <c r="A18" t="inlineStr">
        <is>
          <t>OV2020</t>
        </is>
      </c>
      <c r="B18" t="inlineStr">
        <is>
          <t>2020_Ovalle_Data Compilation from Large ICDTx on Coarse Crushable Rockfill Materials.pdf</t>
        </is>
      </c>
      <c r="C18" t="n">
        <v>2020</v>
      </c>
      <c r="D18" t="inlineStr">
        <is>
          <t>Ovalle, Linero, Dano, Bard, Hicher y Osses (2020), JGGE 146(9) 06020013</t>
        </is>
      </c>
      <c r="E18" t="inlineStr">
        <is>
          <t>CFE (México), inferido de p.3</t>
        </is>
      </c>
      <c r="F18" t="inlineStr">
        <is>
          <t>Infiernillo Cantera N°5 (dry)</t>
        </is>
      </c>
      <c r="G18" t="n">
        <v>17</v>
      </c>
      <c r="H18" t="inlineStr">
        <is>
          <t>Diorite</t>
        </is>
      </c>
      <c r="I18" t="inlineStr">
        <is>
          <t>Diorita</t>
        </is>
      </c>
      <c r="J18" t="inlineStr"/>
      <c r="K18" t="inlineStr"/>
      <c r="L18" t="inlineStr"/>
      <c r="M18" t="inlineStr"/>
      <c r="N18" t="inlineStr"/>
      <c r="O18" t="inlineStr">
        <is>
          <t>CID (compresión triaxial drenada)</t>
        </is>
      </c>
      <c r="P18" t="inlineStr">
        <is>
          <t>no</t>
        </is>
      </c>
      <c r="Q18" t="n">
        <v>1130</v>
      </c>
      <c r="R18" t="inlineStr"/>
      <c r="S18" t="n">
        <v>200</v>
      </c>
      <c r="T18" t="inlineStr"/>
      <c r="U18" t="inlineStr"/>
      <c r="V18" t="inlineStr"/>
      <c r="W18" t="inlineStr"/>
      <c r="X18" t="n">
        <v>4.83</v>
      </c>
      <c r="Y18" t="inlineStr"/>
      <c r="Z18" t="inlineStr"/>
      <c r="AA18" t="inlineStr"/>
      <c r="AB18" t="inlineStr"/>
      <c r="AC18" t="inlineStr"/>
      <c r="AD18" t="inlineStr"/>
      <c r="AE18" t="inlineStr"/>
      <c r="AF18" t="n">
        <v>0.45</v>
      </c>
      <c r="AG18" t="inlineStr">
        <is>
          <t>informe</t>
        </is>
      </c>
      <c r="AH18" t="inlineStr"/>
      <c r="AI18" t="inlineStr"/>
      <c r="AJ18" t="inlineStr"/>
      <c r="AK18" t="n">
        <v>41</v>
      </c>
      <c r="AL18" t="n">
        <v>308</v>
      </c>
      <c r="AM18" t="n">
        <v>267</v>
      </c>
      <c r="AN18" t="inlineStr">
        <is>
          <t>máximo (φmax, σ1 máximo)</t>
        </is>
      </c>
      <c r="AO18" t="n">
        <v>50</v>
      </c>
      <c r="AP18" t="inlineStr"/>
      <c r="AQ18" t="inlineStr"/>
      <c r="AR18" t="inlineStr"/>
      <c r="AS18" t="inlineStr"/>
      <c r="AT18" t="inlineStr"/>
      <c r="AU18" t="inlineStr"/>
      <c r="AV18" t="n">
        <v>7.9</v>
      </c>
      <c r="AW18" t="inlineStr"/>
      <c r="AX18" t="inlineStr"/>
      <c r="AY18" t="inlineStr"/>
      <c r="AZ18" t="inlineStr"/>
      <c r="BA18" t="inlineStr">
        <is>
          <t>Zenodo xlsx; material y dmax en p.4 (Fig. 2a)</t>
        </is>
      </c>
      <c r="BB18" t="inlineStr">
        <is>
          <t>no (valores del xlsx; nombre, litología y dmax verificados en imagen p.4)</t>
        </is>
      </c>
      <c r="BC18" t="inlineStr">
        <is>
          <t>Ref. original: Marsal et al., 1965 | Material en la fuente: «Infiernillo Cantera N°5 (dry)» (clase ROM/Chancado/Enrocado no indicada) | Datos por ensayo del repositorio Zenodo doi:10.5281/zenodo.3625778 (xlsx v1; ensayo_id = N° de fila); el artículo solo trae la lista de materiales (Fig. 2a) | q calculado = σ1−σ3 | E50 = 12.8 MPa | SÍ en base Cylwik, equivalente probable: Marsal et al. (1965)|e|138</t>
        </is>
      </c>
    </row>
    <row r="19">
      <c r="A19" t="inlineStr">
        <is>
          <t>OV2020</t>
        </is>
      </c>
      <c r="B19" t="inlineStr">
        <is>
          <t>2020_Ovalle_Data Compilation from Large ICDTx on Coarse Crushable Rockfill Materials.pdf</t>
        </is>
      </c>
      <c r="C19" t="n">
        <v>2020</v>
      </c>
      <c r="D19" t="inlineStr">
        <is>
          <t>Ovalle, Linero, Dano, Bard, Hicher y Osses (2020), JGGE 146(9) 06020013</t>
        </is>
      </c>
      <c r="E19" t="inlineStr">
        <is>
          <t>CFE (México), inferido de p.3</t>
        </is>
      </c>
      <c r="F19" t="inlineStr">
        <is>
          <t>Infiernillo Cantera N°5 (dry)</t>
        </is>
      </c>
      <c r="G19" t="n">
        <v>18</v>
      </c>
      <c r="H19" t="inlineStr">
        <is>
          <t>Diorite</t>
        </is>
      </c>
      <c r="I19" t="inlineStr">
        <is>
          <t>Diorita</t>
        </is>
      </c>
      <c r="J19" t="inlineStr"/>
      <c r="K19" t="inlineStr"/>
      <c r="L19" t="inlineStr"/>
      <c r="M19" t="inlineStr"/>
      <c r="N19" t="inlineStr"/>
      <c r="O19" t="inlineStr">
        <is>
          <t>CID (compresión triaxial drenada)</t>
        </is>
      </c>
      <c r="P19" t="inlineStr">
        <is>
          <t>no</t>
        </is>
      </c>
      <c r="Q19" t="n">
        <v>1130</v>
      </c>
      <c r="R19" t="inlineStr"/>
      <c r="S19" t="n">
        <v>200</v>
      </c>
      <c r="T19" t="inlineStr"/>
      <c r="U19" t="inlineStr"/>
      <c r="V19" t="inlineStr"/>
      <c r="W19" t="inlineStr"/>
      <c r="X19" t="n">
        <v>7.62</v>
      </c>
      <c r="Y19" t="inlineStr"/>
      <c r="Z19" t="inlineStr"/>
      <c r="AA19" t="inlineStr"/>
      <c r="AB19" t="inlineStr"/>
      <c r="AC19" t="inlineStr"/>
      <c r="AD19" t="inlineStr"/>
      <c r="AE19" t="inlineStr"/>
      <c r="AF19" t="n">
        <v>0.61</v>
      </c>
      <c r="AG19" t="inlineStr">
        <is>
          <t>informe</t>
        </is>
      </c>
      <c r="AH19" t="inlineStr"/>
      <c r="AI19" t="inlineStr"/>
      <c r="AJ19" t="inlineStr"/>
      <c r="AK19" t="n">
        <v>92</v>
      </c>
      <c r="AL19" t="n">
        <v>564</v>
      </c>
      <c r="AM19" t="n">
        <v>472</v>
      </c>
      <c r="AN19" t="inlineStr">
        <is>
          <t>máximo (φmax, σ1 máximo)</t>
        </is>
      </c>
      <c r="AO19" t="n">
        <v>46.1</v>
      </c>
      <c r="AP19" t="inlineStr"/>
      <c r="AQ19" t="inlineStr"/>
      <c r="AR19" t="inlineStr"/>
      <c r="AS19" t="inlineStr"/>
      <c r="AT19" t="inlineStr"/>
      <c r="AU19" t="inlineStr"/>
      <c r="AV19" t="n">
        <v>10.8</v>
      </c>
      <c r="AW19" t="inlineStr"/>
      <c r="AX19" t="inlineStr"/>
      <c r="AY19" t="inlineStr"/>
      <c r="AZ19" t="inlineStr"/>
      <c r="BA19" t="inlineStr">
        <is>
          <t>Zenodo xlsx; material y dmax en p.4 (Fig. 2a)</t>
        </is>
      </c>
      <c r="BB19" t="inlineStr">
        <is>
          <t>no (valores del xlsx; nombre, litología y dmax verificados en imagen p.4)</t>
        </is>
      </c>
      <c r="BC19" t="inlineStr">
        <is>
          <t>Ref. original: Marsal et al., 1965 | Material en la fuente: «Infiernillo Cantera N°5 (dry)» (clase ROM/Chancado/Enrocado no indicada) | Datos por ensayo del repositorio Zenodo doi:10.5281/zenodo.3625778 (xlsx v1; ensayo_id = N° de fila); el artículo solo trae la lista de materiales (Fig. 2a) | q calculado = σ1−σ3 | E50 = 15.1 MPa | SÍ en base Cylwik, equivalente probable: Marsal et al. (1965)|c|129</t>
        </is>
      </c>
    </row>
    <row r="20">
      <c r="A20" t="inlineStr">
        <is>
          <t>OV2020</t>
        </is>
      </c>
      <c r="B20" t="inlineStr">
        <is>
          <t>2020_Ovalle_Data Compilation from Large ICDTx on Coarse Crushable Rockfill Materials.pdf</t>
        </is>
      </c>
      <c r="C20" t="n">
        <v>2020</v>
      </c>
      <c r="D20" t="inlineStr">
        <is>
          <t>Ovalle, Linero, Dano, Bard, Hicher y Osses (2020), JGGE 146(9) 06020013</t>
        </is>
      </c>
      <c r="E20" t="inlineStr">
        <is>
          <t>CFE (México), inferido de p.3</t>
        </is>
      </c>
      <c r="F20" t="inlineStr">
        <is>
          <t>Infiernillo Cantera N°5 (dry)</t>
        </is>
      </c>
      <c r="G20" t="n">
        <v>19</v>
      </c>
      <c r="H20" t="inlineStr">
        <is>
          <t>Diorite</t>
        </is>
      </c>
      <c r="I20" t="inlineStr">
        <is>
          <t>Diorita</t>
        </is>
      </c>
      <c r="J20" t="inlineStr"/>
      <c r="K20" t="inlineStr"/>
      <c r="L20" t="inlineStr"/>
      <c r="M20" t="inlineStr"/>
      <c r="N20" t="inlineStr"/>
      <c r="O20" t="inlineStr">
        <is>
          <t>CID (compresión triaxial drenada)</t>
        </is>
      </c>
      <c r="P20" t="inlineStr">
        <is>
          <t>no</t>
        </is>
      </c>
      <c r="Q20" t="n">
        <v>1130</v>
      </c>
      <c r="R20" t="inlineStr"/>
      <c r="S20" t="n">
        <v>200</v>
      </c>
      <c r="T20" t="inlineStr"/>
      <c r="U20" t="inlineStr"/>
      <c r="V20" t="inlineStr"/>
      <c r="W20" t="inlineStr"/>
      <c r="X20" t="n">
        <v>7</v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0.62</v>
      </c>
      <c r="AG20" t="inlineStr">
        <is>
          <t>informe</t>
        </is>
      </c>
      <c r="AH20" t="inlineStr"/>
      <c r="AI20" t="inlineStr"/>
      <c r="AJ20" t="inlineStr"/>
      <c r="AK20" t="n">
        <v>192</v>
      </c>
      <c r="AL20" t="n">
        <v>1087</v>
      </c>
      <c r="AM20" t="n">
        <v>895</v>
      </c>
      <c r="AN20" t="inlineStr">
        <is>
          <t>máximo (φmax, σ1 máximo)</t>
        </is>
      </c>
      <c r="AO20" t="n">
        <v>44.4</v>
      </c>
      <c r="AP20" t="inlineStr"/>
      <c r="AQ20" t="inlineStr"/>
      <c r="AR20" t="inlineStr"/>
      <c r="AS20" t="inlineStr"/>
      <c r="AT20" t="inlineStr"/>
      <c r="AU20" t="inlineStr"/>
      <c r="AV20" t="n">
        <v>8.800000000000001</v>
      </c>
      <c r="AW20" t="inlineStr"/>
      <c r="AX20" t="inlineStr"/>
      <c r="AY20" t="inlineStr"/>
      <c r="AZ20" t="inlineStr"/>
      <c r="BA20" t="inlineStr">
        <is>
          <t>Zenodo xlsx; material y dmax en p.4 (Fig. 2a)</t>
        </is>
      </c>
      <c r="BB20" t="inlineStr">
        <is>
          <t>no (valores del xlsx; nombre, litología y dmax verificados en imagen p.4)</t>
        </is>
      </c>
      <c r="BC20" t="inlineStr">
        <is>
          <t>Ref. original: Marsal et al., 1965 | Material en la fuente: «Infiernillo Cantera N°5 (dry)» (clase ROM/Chancado/Enrocado no indicada) | Datos por ensayo del repositorio Zenodo doi:10.5281/zenodo.3625778 (xlsx v1; ensayo_id = N° de fila); el artículo solo trae la lista de materiales (Fig. 2a) | q calculado = σ1−σ3 | E50 = 21.5 MPa | SÍ en base Cylwik, equivalente probable: Marsal et al. (1965)|c|130</t>
        </is>
      </c>
    </row>
    <row r="21">
      <c r="A21" t="inlineStr">
        <is>
          <t>OV2020</t>
        </is>
      </c>
      <c r="B21" t="inlineStr">
        <is>
          <t>2020_Ovalle_Data Compilation from Large ICDTx on Coarse Crushable Rockfill Materials.pdf</t>
        </is>
      </c>
      <c r="C21" t="n">
        <v>2020</v>
      </c>
      <c r="D21" t="inlineStr">
        <is>
          <t>Ovalle, Linero, Dano, Bard, Hicher y Osses (2020), JGGE 146(9) 06020013</t>
        </is>
      </c>
      <c r="E21" t="inlineStr">
        <is>
          <t>CFE (México), inferido de p.3</t>
        </is>
      </c>
      <c r="F21" t="inlineStr">
        <is>
          <t>Infiernillo Cantera N°5 (dry)</t>
        </is>
      </c>
      <c r="G21" t="n">
        <v>20</v>
      </c>
      <c r="H21" t="inlineStr">
        <is>
          <t>Diorite</t>
        </is>
      </c>
      <c r="I21" t="inlineStr">
        <is>
          <t>Diorita</t>
        </is>
      </c>
      <c r="J21" t="inlineStr"/>
      <c r="K21" t="inlineStr"/>
      <c r="L21" t="inlineStr"/>
      <c r="M21" t="inlineStr"/>
      <c r="N21" t="inlineStr"/>
      <c r="O21" t="inlineStr">
        <is>
          <t>CID (compresión triaxial drenada)</t>
        </is>
      </c>
      <c r="P21" t="inlineStr">
        <is>
          <t>no</t>
        </is>
      </c>
      <c r="Q21" t="n">
        <v>1130</v>
      </c>
      <c r="R21" t="inlineStr"/>
      <c r="S21" t="n">
        <v>200</v>
      </c>
      <c r="T21" t="inlineStr"/>
      <c r="U21" t="inlineStr"/>
      <c r="V21" t="inlineStr"/>
      <c r="W21" t="inlineStr"/>
      <c r="X21" t="n">
        <v>4.52</v>
      </c>
      <c r="Y21" t="inlineStr"/>
      <c r="Z21" t="inlineStr"/>
      <c r="AA21" t="inlineStr"/>
      <c r="AB21" t="inlineStr"/>
      <c r="AC21" t="inlineStr"/>
      <c r="AD21" t="inlineStr"/>
      <c r="AE21" t="inlineStr"/>
      <c r="AF21" t="n">
        <v>0.73</v>
      </c>
      <c r="AG21" t="inlineStr">
        <is>
          <t>informe</t>
        </is>
      </c>
      <c r="AH21" t="inlineStr"/>
      <c r="AI21" t="inlineStr"/>
      <c r="AJ21" t="inlineStr"/>
      <c r="AK21" t="n">
        <v>497</v>
      </c>
      <c r="AL21" t="n">
        <v>2378</v>
      </c>
      <c r="AM21" t="n">
        <v>1881</v>
      </c>
      <c r="AN21" t="inlineStr">
        <is>
          <t>máximo (φmax, σ1 máximo)</t>
        </is>
      </c>
      <c r="AO21" t="n">
        <v>40.8</v>
      </c>
      <c r="AP21" t="inlineStr"/>
      <c r="AQ21" t="inlineStr"/>
      <c r="AR21" t="inlineStr"/>
      <c r="AS21" t="inlineStr"/>
      <c r="AT21" t="inlineStr"/>
      <c r="AU21" t="inlineStr"/>
      <c r="AV21" t="n">
        <v>15.1</v>
      </c>
      <c r="AW21" t="inlineStr"/>
      <c r="AX21" t="inlineStr"/>
      <c r="AY21" t="inlineStr"/>
      <c r="AZ21" t="inlineStr"/>
      <c r="BA21" t="inlineStr">
        <is>
          <t>Zenodo xlsx; material y dmax en p.4 (Fig. 2a)</t>
        </is>
      </c>
      <c r="BB21" t="inlineStr">
        <is>
          <t>no (valores del xlsx; nombre, litología y dmax verificados en imagen p.4)</t>
        </is>
      </c>
      <c r="BC21" t="inlineStr">
        <is>
          <t>Ref. original: Marsal et al., 1965 | Material en la fuente: «Infiernillo Cantera N°5 (dry)» (clase ROM/Chancado/Enrocado no indicada) | Datos por ensayo del repositorio Zenodo doi:10.5281/zenodo.3625778 (xlsx v1; ensayo_id = N° de fila); el artículo solo trae la lista de materiales (Fig. 2a) | q calculado = σ1−σ3 | E50 = 30.1 MPa | SÍ en base Cylwik, equivalente probable: Marsal et al. (1965)|b|126</t>
        </is>
      </c>
    </row>
    <row r="22">
      <c r="A22" t="inlineStr">
        <is>
          <t>OV2020</t>
        </is>
      </c>
      <c r="B22" t="inlineStr">
        <is>
          <t>2020_Ovalle_Data Compilation from Large ICDTx on Coarse Crushable Rockfill Materials.pdf</t>
        </is>
      </c>
      <c r="C22" t="n">
        <v>2020</v>
      </c>
      <c r="D22" t="inlineStr">
        <is>
          <t>Ovalle, Linero, Dano, Bard, Hicher y Osses (2020), JGGE 146(9) 06020013</t>
        </is>
      </c>
      <c r="E22" t="inlineStr">
        <is>
          <t>CFE (México), inferido de p.3</t>
        </is>
      </c>
      <c r="F22" t="inlineStr">
        <is>
          <t>Infiernillo Cantera N°5 (dry)</t>
        </is>
      </c>
      <c r="G22" t="n">
        <v>21</v>
      </c>
      <c r="H22" t="inlineStr">
        <is>
          <t>Diorite</t>
        </is>
      </c>
      <c r="I22" t="inlineStr">
        <is>
          <t>Diorita</t>
        </is>
      </c>
      <c r="J22" t="inlineStr"/>
      <c r="K22" t="inlineStr"/>
      <c r="L22" t="inlineStr"/>
      <c r="M22" t="inlineStr"/>
      <c r="N22" t="inlineStr"/>
      <c r="O22" t="inlineStr">
        <is>
          <t>CID (compresión triaxial drenada)</t>
        </is>
      </c>
      <c r="P22" t="inlineStr">
        <is>
          <t>no</t>
        </is>
      </c>
      <c r="Q22" t="n">
        <v>1130</v>
      </c>
      <c r="R22" t="inlineStr"/>
      <c r="S22" t="n">
        <v>200</v>
      </c>
      <c r="T22" t="inlineStr"/>
      <c r="U22" t="inlineStr"/>
      <c r="V22" t="inlineStr"/>
      <c r="W22" t="inlineStr"/>
      <c r="X22" t="n">
        <v>4.95</v>
      </c>
      <c r="Y22" t="inlineStr"/>
      <c r="Z22" t="inlineStr"/>
      <c r="AA22" t="inlineStr"/>
      <c r="AB22" t="inlineStr"/>
      <c r="AC22" t="inlineStr"/>
      <c r="AD22" t="inlineStr"/>
      <c r="AE22" t="inlineStr"/>
      <c r="AF22" t="n">
        <v>0.55</v>
      </c>
      <c r="AG22" t="inlineStr">
        <is>
          <t>informe</t>
        </is>
      </c>
      <c r="AH22" t="inlineStr"/>
      <c r="AI22" t="inlineStr"/>
      <c r="AJ22" t="inlineStr"/>
      <c r="AK22" t="n">
        <v>1017</v>
      </c>
      <c r="AL22" t="n">
        <v>4120</v>
      </c>
      <c r="AM22" t="n">
        <v>3103</v>
      </c>
      <c r="AN22" t="inlineStr">
        <is>
          <t>máximo (φmax, σ1 máximo)</t>
        </is>
      </c>
      <c r="AO22" t="n">
        <v>37.2</v>
      </c>
      <c r="AP22" t="inlineStr"/>
      <c r="AQ22" t="inlineStr"/>
      <c r="AR22" t="inlineStr"/>
      <c r="AS22" t="inlineStr"/>
      <c r="AT22" t="inlineStr"/>
      <c r="AU22" t="inlineStr"/>
      <c r="AV22" t="n">
        <v>21.2</v>
      </c>
      <c r="AW22" t="inlineStr"/>
      <c r="AX22" t="inlineStr"/>
      <c r="AY22" t="inlineStr"/>
      <c r="AZ22" t="inlineStr"/>
      <c r="BA22" t="inlineStr">
        <is>
          <t>Zenodo xlsx; material y dmax en p.4 (Fig. 2a)</t>
        </is>
      </c>
      <c r="BB22" t="inlineStr">
        <is>
          <t>no (valores del xlsx; nombre, litología y dmax verificados en imagen p.4)</t>
        </is>
      </c>
      <c r="BC22" t="inlineStr">
        <is>
          <t>Ref. original: Marsal et al., 1965 | Material en la fuente: «Infiernillo Cantera N°5 (dry)» (clase ROM/Chancado/Enrocado no indicada) | Datos por ensayo del repositorio Zenodo doi:10.5281/zenodo.3625778 (xlsx v1; ensayo_id = N° de fila); el artículo solo trae la lista de materiales (Fig. 2a) | q calculado = σ1−σ3 | E50 = 42.7 MPa | SÍ en base Cylwik, equivalente probable: Marsal et al. (1965)|e|139</t>
        </is>
      </c>
    </row>
    <row r="23">
      <c r="A23" t="inlineStr">
        <is>
          <t>OV2020</t>
        </is>
      </c>
      <c r="B23" t="inlineStr">
        <is>
          <t>2020_Ovalle_Data Compilation from Large ICDTx on Coarse Crushable Rockfill Materials.pdf</t>
        </is>
      </c>
      <c r="C23" t="n">
        <v>2020</v>
      </c>
      <c r="D23" t="inlineStr">
        <is>
          <t>Ovalle, Linero, Dano, Bard, Hicher y Osses (2020), JGGE 146(9) 06020013</t>
        </is>
      </c>
      <c r="E23" t="inlineStr">
        <is>
          <t>CFE (México), inferido de p.3</t>
        </is>
      </c>
      <c r="F23" t="inlineStr">
        <is>
          <t>Infiernillo Cantera N°5 (dry)</t>
        </is>
      </c>
      <c r="G23" t="n">
        <v>22</v>
      </c>
      <c r="H23" t="inlineStr">
        <is>
          <t>Diorite</t>
        </is>
      </c>
      <c r="I23" t="inlineStr">
        <is>
          <t>Diorita</t>
        </is>
      </c>
      <c r="J23" t="inlineStr"/>
      <c r="K23" t="inlineStr"/>
      <c r="L23" t="inlineStr"/>
      <c r="M23" t="inlineStr"/>
      <c r="N23" t="inlineStr"/>
      <c r="O23" t="inlineStr">
        <is>
          <t>CID (compresión triaxial drenada)</t>
        </is>
      </c>
      <c r="P23" t="inlineStr">
        <is>
          <t>no</t>
        </is>
      </c>
      <c r="Q23" t="n">
        <v>1130</v>
      </c>
      <c r="R23" t="inlineStr"/>
      <c r="S23" t="n">
        <v>200</v>
      </c>
      <c r="T23" t="inlineStr"/>
      <c r="U23" t="inlineStr"/>
      <c r="V23" t="inlineStr"/>
      <c r="W23" t="inlineStr"/>
      <c r="X23" t="n">
        <v>6.83</v>
      </c>
      <c r="Y23" t="inlineStr"/>
      <c r="Z23" t="inlineStr"/>
      <c r="AA23" t="inlineStr"/>
      <c r="AB23" t="inlineStr"/>
      <c r="AC23" t="inlineStr"/>
      <c r="AD23" t="inlineStr"/>
      <c r="AE23" t="inlineStr"/>
      <c r="AF23" t="n">
        <v>0.51</v>
      </c>
      <c r="AG23" t="inlineStr">
        <is>
          <t>informe</t>
        </is>
      </c>
      <c r="AH23" t="inlineStr"/>
      <c r="AI23" t="inlineStr"/>
      <c r="AJ23" t="inlineStr"/>
      <c r="AK23" t="n">
        <v>1721</v>
      </c>
      <c r="AL23" t="n">
        <v>6349</v>
      </c>
      <c r="AM23" t="n">
        <v>4628</v>
      </c>
      <c r="AN23" t="inlineStr">
        <is>
          <t>máximo (φmax, σ1 máximo)</t>
        </is>
      </c>
      <c r="AO23" t="n">
        <v>35</v>
      </c>
      <c r="AP23" t="inlineStr"/>
      <c r="AQ23" t="inlineStr"/>
      <c r="AR23" t="inlineStr"/>
      <c r="AS23" t="inlineStr"/>
      <c r="AT23" t="inlineStr"/>
      <c r="AU23" t="inlineStr"/>
      <c r="AV23" t="n">
        <v>18.1</v>
      </c>
      <c r="AW23" t="inlineStr"/>
      <c r="AX23" t="inlineStr"/>
      <c r="AY23" t="inlineStr"/>
      <c r="AZ23" t="inlineStr"/>
      <c r="BA23" t="inlineStr">
        <is>
          <t>Zenodo xlsx; material y dmax en p.4 (Fig. 2a)</t>
        </is>
      </c>
      <c r="BB23" t="inlineStr">
        <is>
          <t>no (valores del xlsx; nombre, litología y dmax verificados en imagen p.4)</t>
        </is>
      </c>
      <c r="BC23" t="inlineStr">
        <is>
          <t>Ref. original: Marsal et al., 1965 | Material en la fuente: «Infiernillo Cantera N°5 (dry)» (clase ROM/Chancado/Enrocado no indicada) | Datos por ensayo del repositorio Zenodo doi:10.5281/zenodo.3625778 (xlsx v1; ensayo_id = N° de fila); el artículo solo trae la lista de materiales (Fig. 2a) | q calculado = σ1−σ3 | E50 = 53.2 MPa | SÍ en base Cylwik, equivalente probable: Marsal et al. (1965)|e|140</t>
        </is>
      </c>
    </row>
    <row r="24">
      <c r="A24" t="inlineStr">
        <is>
          <t>OV2020</t>
        </is>
      </c>
      <c r="B24" t="inlineStr">
        <is>
          <t>2020_Ovalle_Data Compilation from Large ICDTx on Coarse Crushable Rockfill Materials.pdf</t>
        </is>
      </c>
      <c r="C24" t="n">
        <v>2020</v>
      </c>
      <c r="D24" t="inlineStr">
        <is>
          <t>Ovalle, Linero, Dano, Bard, Hicher y Osses (2020), JGGE 146(9) 06020013</t>
        </is>
      </c>
      <c r="E24" t="inlineStr">
        <is>
          <t>CFE (México), inferido de p.3</t>
        </is>
      </c>
      <c r="F24" t="inlineStr">
        <is>
          <t>Infiernillo Cantera N°5 (dry)</t>
        </is>
      </c>
      <c r="G24" t="n">
        <v>23</v>
      </c>
      <c r="H24" t="inlineStr">
        <is>
          <t>Diorite</t>
        </is>
      </c>
      <c r="I24" t="inlineStr">
        <is>
          <t>Diorita</t>
        </is>
      </c>
      <c r="J24" t="inlineStr"/>
      <c r="K24" t="inlineStr"/>
      <c r="L24" t="inlineStr"/>
      <c r="M24" t="inlineStr"/>
      <c r="N24" t="inlineStr"/>
      <c r="O24" t="inlineStr">
        <is>
          <t>CID (compresión triaxial drenada)</t>
        </is>
      </c>
      <c r="P24" t="inlineStr">
        <is>
          <t>no</t>
        </is>
      </c>
      <c r="Q24" t="n">
        <v>1130</v>
      </c>
      <c r="R24" t="inlineStr"/>
      <c r="S24" t="n">
        <v>200</v>
      </c>
      <c r="T24" t="inlineStr"/>
      <c r="U24" t="inlineStr"/>
      <c r="V24" t="inlineStr"/>
      <c r="W24" t="inlineStr"/>
      <c r="X24" t="n">
        <v>8.35</v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0.5</v>
      </c>
      <c r="AG24" t="inlineStr">
        <is>
          <t>informe</t>
        </is>
      </c>
      <c r="AH24" t="inlineStr"/>
      <c r="AI24" t="inlineStr"/>
      <c r="AJ24" t="inlineStr"/>
      <c r="AK24" t="n">
        <v>2537</v>
      </c>
      <c r="AL24" t="n">
        <v>9235</v>
      </c>
      <c r="AM24" t="n">
        <v>6698</v>
      </c>
      <c r="AN24" t="inlineStr">
        <is>
          <t>máximo (φmax, σ1 máximo)</t>
        </is>
      </c>
      <c r="AO24" t="n">
        <v>34.7</v>
      </c>
      <c r="AP24" t="inlineStr"/>
      <c r="AQ24" t="inlineStr"/>
      <c r="AR24" t="inlineStr"/>
      <c r="AS24" t="inlineStr"/>
      <c r="AT24" t="inlineStr"/>
      <c r="AU24" t="inlineStr"/>
      <c r="AV24" t="n">
        <v>24.4</v>
      </c>
      <c r="AW24" t="inlineStr"/>
      <c r="AX24" t="inlineStr"/>
      <c r="AY24" t="inlineStr"/>
      <c r="AZ24" t="inlineStr"/>
      <c r="BA24" t="inlineStr">
        <is>
          <t>Zenodo xlsx; material y dmax en p.4 (Fig. 2a)</t>
        </is>
      </c>
      <c r="BB24" t="inlineStr">
        <is>
          <t>no (valores del xlsx; nombre, litología y dmax verificados en imagen p.4)</t>
        </is>
      </c>
      <c r="BC24" t="inlineStr">
        <is>
          <t>Ref. original: Marsal et al., 1965 | Material en la fuente: «Infiernillo Cantera N°5 (dry)» (clase ROM/Chancado/Enrocado no indicada) | Datos por ensayo del repositorio Zenodo doi:10.5281/zenodo.3625778 (xlsx v1; ensayo_id = N° de fila); el artículo solo trae la lista de materiales (Fig. 2a) | q calculado = σ1−σ3 | E50 = 70.2 MPa | SÍ en base Cylwik, equivalente probable: Marsal et al. (1965)|e|141</t>
        </is>
      </c>
    </row>
    <row r="25">
      <c r="A25" t="inlineStr">
        <is>
          <t>OV2020</t>
        </is>
      </c>
      <c r="B25" t="inlineStr">
        <is>
          <t>2020_Ovalle_Data Compilation from Large ICDTx on Coarse Crushable Rockfill Materials.pdf</t>
        </is>
      </c>
      <c r="C25" t="n">
        <v>2020</v>
      </c>
      <c r="D25" t="inlineStr">
        <is>
          <t>Ovalle, Linero, Dano, Bard, Hicher y Osses (2020), JGGE 146(9) 06020013</t>
        </is>
      </c>
      <c r="E25" t="inlineStr">
        <is>
          <t>CFE (México), inferido de p.3</t>
        </is>
      </c>
      <c r="F25" t="inlineStr">
        <is>
          <t>Malpaso (dry)</t>
        </is>
      </c>
      <c r="G25" t="n">
        <v>24</v>
      </c>
      <c r="H25" t="inlineStr">
        <is>
          <t>Conglomerate</t>
        </is>
      </c>
      <c r="I25" t="inlineStr">
        <is>
          <t>Conglomerado</t>
        </is>
      </c>
      <c r="J25" t="inlineStr"/>
      <c r="K25" t="inlineStr"/>
      <c r="L25" t="inlineStr"/>
      <c r="M25" t="inlineStr"/>
      <c r="N25" t="inlineStr"/>
      <c r="O25" t="inlineStr">
        <is>
          <t>CID (compresión triaxial drenada)</t>
        </is>
      </c>
      <c r="P25" t="inlineStr">
        <is>
          <t>no</t>
        </is>
      </c>
      <c r="Q25" t="n">
        <v>1130</v>
      </c>
      <c r="R25" t="inlineStr"/>
      <c r="S25" t="n">
        <v>200</v>
      </c>
      <c r="T25" t="inlineStr"/>
      <c r="U25" t="inlineStr"/>
      <c r="V25" t="inlineStr"/>
      <c r="W25" t="inlineStr"/>
      <c r="X25" t="n">
        <v>49.3</v>
      </c>
      <c r="Y25" t="inlineStr"/>
      <c r="Z25" t="inlineStr"/>
      <c r="AA25" t="inlineStr"/>
      <c r="AB25" t="inlineStr"/>
      <c r="AC25" t="inlineStr"/>
      <c r="AD25" t="inlineStr"/>
      <c r="AE25" t="inlineStr"/>
      <c r="AF25" t="n">
        <v>0.42</v>
      </c>
      <c r="AG25" t="inlineStr">
        <is>
          <t>informe</t>
        </is>
      </c>
      <c r="AH25" t="inlineStr"/>
      <c r="AI25" t="inlineStr"/>
      <c r="AJ25" t="inlineStr"/>
      <c r="AK25" t="n">
        <v>41</v>
      </c>
      <c r="AL25" t="n">
        <v>315</v>
      </c>
      <c r="AM25" t="n">
        <v>274</v>
      </c>
      <c r="AN25" t="inlineStr">
        <is>
          <t>máximo (φmax, σ1 máximo)</t>
        </is>
      </c>
      <c r="AO25" t="n">
        <v>50.4</v>
      </c>
      <c r="AP25" t="inlineStr"/>
      <c r="AQ25" t="inlineStr"/>
      <c r="AR25" t="inlineStr"/>
      <c r="AS25" t="inlineStr"/>
      <c r="AT25" t="inlineStr"/>
      <c r="AU25" t="inlineStr"/>
      <c r="AV25" t="n">
        <v>2.1</v>
      </c>
      <c r="AW25" t="inlineStr"/>
      <c r="AX25" t="inlineStr"/>
      <c r="AY25" t="inlineStr"/>
      <c r="AZ25" t="inlineStr"/>
      <c r="BA25" t="inlineStr">
        <is>
          <t>Zenodo xlsx; material y dmax en p.4 (Fig. 2a)</t>
        </is>
      </c>
      <c r="BB25" t="inlineStr">
        <is>
          <t>no (valores del xlsx; nombre, litología y dmax verificados en imagen p.4)</t>
        </is>
      </c>
      <c r="BC25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et al. (1965)|e|138</t>
        </is>
      </c>
    </row>
    <row r="26">
      <c r="A26" t="inlineStr">
        <is>
          <t>OV2020</t>
        </is>
      </c>
      <c r="B26" t="inlineStr">
        <is>
          <t>2020_Ovalle_Data Compilation from Large ICDTx on Coarse Crushable Rockfill Materials.pdf</t>
        </is>
      </c>
      <c r="C26" t="n">
        <v>2020</v>
      </c>
      <c r="D26" t="inlineStr">
        <is>
          <t>Ovalle, Linero, Dano, Bard, Hicher y Osses (2020), JGGE 146(9) 06020013</t>
        </is>
      </c>
      <c r="E26" t="inlineStr">
        <is>
          <t>CFE (México), inferido de p.3</t>
        </is>
      </c>
      <c r="F26" t="inlineStr">
        <is>
          <t>Malpaso (dry)</t>
        </is>
      </c>
      <c r="G26" t="n">
        <v>25</v>
      </c>
      <c r="H26" t="inlineStr">
        <is>
          <t>Conglomerate</t>
        </is>
      </c>
      <c r="I26" t="inlineStr">
        <is>
          <t>Conglomerado</t>
        </is>
      </c>
      <c r="J26" t="inlineStr"/>
      <c r="K26" t="inlineStr"/>
      <c r="L26" t="inlineStr"/>
      <c r="M26" t="inlineStr"/>
      <c r="N26" t="inlineStr"/>
      <c r="O26" t="inlineStr">
        <is>
          <t>CID (compresión triaxial drenada)</t>
        </is>
      </c>
      <c r="P26" t="inlineStr">
        <is>
          <t>no</t>
        </is>
      </c>
      <c r="Q26" t="n">
        <v>1130</v>
      </c>
      <c r="R26" t="inlineStr"/>
      <c r="S26" t="n">
        <v>200</v>
      </c>
      <c r="T26" t="inlineStr"/>
      <c r="U26" t="inlineStr"/>
      <c r="V26" t="inlineStr"/>
      <c r="W26" t="inlineStr"/>
      <c r="X26" t="n">
        <v>98</v>
      </c>
      <c r="Y26" t="inlineStr"/>
      <c r="Z26" t="inlineStr"/>
      <c r="AA26" t="inlineStr"/>
      <c r="AB26" t="inlineStr"/>
      <c r="AC26" t="inlineStr"/>
      <c r="AD26" t="inlineStr"/>
      <c r="AE26" t="inlineStr"/>
      <c r="AF26" t="n">
        <v>0.35</v>
      </c>
      <c r="AG26" t="inlineStr">
        <is>
          <t>informe</t>
        </is>
      </c>
      <c r="AH26" t="inlineStr"/>
      <c r="AI26" t="inlineStr"/>
      <c r="AJ26" t="inlineStr"/>
      <c r="AK26" t="n">
        <v>82</v>
      </c>
      <c r="AL26" t="n">
        <v>589</v>
      </c>
      <c r="AM26" t="n">
        <v>507</v>
      </c>
      <c r="AN26" t="inlineStr">
        <is>
          <t>máximo (φmax, σ1 máximo)</t>
        </is>
      </c>
      <c r="AO26" t="n">
        <v>49.2</v>
      </c>
      <c r="AP26" t="inlineStr"/>
      <c r="AQ26" t="inlineStr"/>
      <c r="AR26" t="inlineStr"/>
      <c r="AS26" t="inlineStr"/>
      <c r="AT26" t="inlineStr"/>
      <c r="AU26" t="inlineStr"/>
      <c r="AV26" t="n">
        <v>7.5</v>
      </c>
      <c r="AW26" t="inlineStr"/>
      <c r="AX26" t="inlineStr"/>
      <c r="AY26" t="inlineStr"/>
      <c r="AZ26" t="inlineStr"/>
      <c r="BA26" t="inlineStr">
        <is>
          <t>Zenodo xlsx; material y dmax en p.4 (Fig. 2a)</t>
        </is>
      </c>
      <c r="BB26" t="inlineStr">
        <is>
          <t>no (valores del xlsx; nombre, litología y dmax verificados en imagen p.4)</t>
        </is>
      </c>
      <c r="BC26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= 34.3 MPa | SÍ en base Cylwik, equivalente probable: Marsal et al. (1965)|g|148</t>
        </is>
      </c>
    </row>
    <row r="27">
      <c r="A27" t="inlineStr">
        <is>
          <t>OV2020</t>
        </is>
      </c>
      <c r="B27" t="inlineStr">
        <is>
          <t>2020_Ovalle_Data Compilation from Large ICDTx on Coarse Crushable Rockfill Materials.pdf</t>
        </is>
      </c>
      <c r="C27" t="n">
        <v>2020</v>
      </c>
      <c r="D27" t="inlineStr">
        <is>
          <t>Ovalle, Linero, Dano, Bard, Hicher y Osses (2020), JGGE 146(9) 06020013</t>
        </is>
      </c>
      <c r="E27" t="inlineStr">
        <is>
          <t>CFE (México), inferido de p.3</t>
        </is>
      </c>
      <c r="F27" t="inlineStr">
        <is>
          <t>Malpaso (dry)</t>
        </is>
      </c>
      <c r="G27" t="n">
        <v>26</v>
      </c>
      <c r="H27" t="inlineStr">
        <is>
          <t>Conglomerate</t>
        </is>
      </c>
      <c r="I27" t="inlineStr">
        <is>
          <t>Conglomerado</t>
        </is>
      </c>
      <c r="J27" t="inlineStr"/>
      <c r="K27" t="inlineStr"/>
      <c r="L27" t="inlineStr"/>
      <c r="M27" t="inlineStr"/>
      <c r="N27" t="inlineStr"/>
      <c r="O27" t="inlineStr">
        <is>
          <t>CID (compresión triaxial drenada)</t>
        </is>
      </c>
      <c r="P27" t="inlineStr">
        <is>
          <t>no</t>
        </is>
      </c>
      <c r="Q27" t="n">
        <v>1130</v>
      </c>
      <c r="R27" t="inlineStr"/>
      <c r="S27" t="n">
        <v>200</v>
      </c>
      <c r="T27" t="inlineStr"/>
      <c r="U27" t="inlineStr"/>
      <c r="V27" t="inlineStr"/>
      <c r="W27" t="inlineStr"/>
      <c r="X27" t="n">
        <v>38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0.42</v>
      </c>
      <c r="AG27" t="inlineStr">
        <is>
          <t>informe</t>
        </is>
      </c>
      <c r="AH27" t="inlineStr"/>
      <c r="AI27" t="inlineStr"/>
      <c r="AJ27" t="inlineStr"/>
      <c r="AK27" t="n">
        <v>192</v>
      </c>
      <c r="AL27" t="n">
        <v>1315</v>
      </c>
      <c r="AM27" t="n">
        <v>1123</v>
      </c>
      <c r="AN27" t="inlineStr">
        <is>
          <t>máximo (φmax, σ1 máximo)</t>
        </is>
      </c>
      <c r="AO27" t="n">
        <v>48.2</v>
      </c>
      <c r="AP27" t="inlineStr"/>
      <c r="AQ27" t="inlineStr"/>
      <c r="AR27" t="inlineStr"/>
      <c r="AS27" t="inlineStr"/>
      <c r="AT27" t="inlineStr"/>
      <c r="AU27" t="inlineStr"/>
      <c r="AV27" t="n">
        <v>3.4</v>
      </c>
      <c r="AW27" t="inlineStr"/>
      <c r="AX27" t="inlineStr"/>
      <c r="AY27" t="inlineStr"/>
      <c r="AZ27" t="inlineStr"/>
      <c r="BA27" t="inlineStr">
        <is>
          <t>Zenodo xlsx; material y dmax en p.4 (Fig. 2a)</t>
        </is>
      </c>
      <c r="BB27" t="inlineStr">
        <is>
          <t>no (valores del xlsx; nombre, litología y dmax verificados en imagen p.4)</t>
        </is>
      </c>
      <c r="BC27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= 45.0 MPa | SÍ en base Cylwik, equivalente probable: Marsal et al. (1965)|f|143</t>
        </is>
      </c>
    </row>
    <row r="28">
      <c r="A28" t="inlineStr">
        <is>
          <t>OV2020</t>
        </is>
      </c>
      <c r="B28" t="inlineStr">
        <is>
          <t>2020_Ovalle_Data Compilation from Large ICDTx on Coarse Crushable Rockfill Materials.pdf</t>
        </is>
      </c>
      <c r="C28" t="n">
        <v>2020</v>
      </c>
      <c r="D28" t="inlineStr">
        <is>
          <t>Ovalle, Linero, Dano, Bard, Hicher y Osses (2020), JGGE 146(9) 06020013</t>
        </is>
      </c>
      <c r="E28" t="inlineStr">
        <is>
          <t>CFE (México), inferido de p.3</t>
        </is>
      </c>
      <c r="F28" t="inlineStr">
        <is>
          <t>Malpaso (dry)</t>
        </is>
      </c>
      <c r="G28" t="n">
        <v>27</v>
      </c>
      <c r="H28" t="inlineStr">
        <is>
          <t>Conglomerate</t>
        </is>
      </c>
      <c r="I28" t="inlineStr">
        <is>
          <t>Conglomerado</t>
        </is>
      </c>
      <c r="J28" t="inlineStr"/>
      <c r="K28" t="inlineStr"/>
      <c r="L28" t="inlineStr"/>
      <c r="M28" t="inlineStr"/>
      <c r="N28" t="inlineStr"/>
      <c r="O28" t="inlineStr">
        <is>
          <t>CID (compresión triaxial drenada)</t>
        </is>
      </c>
      <c r="P28" t="inlineStr">
        <is>
          <t>no</t>
        </is>
      </c>
      <c r="Q28" t="n">
        <v>1130</v>
      </c>
      <c r="R28" t="inlineStr"/>
      <c r="S28" t="n">
        <v>200</v>
      </c>
      <c r="T28" t="inlineStr"/>
      <c r="U28" t="inlineStr"/>
      <c r="V28" t="inlineStr"/>
      <c r="W28" t="inlineStr"/>
      <c r="X28" t="n">
        <v>82</v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0.32</v>
      </c>
      <c r="AG28" t="inlineStr">
        <is>
          <t>informe</t>
        </is>
      </c>
      <c r="AH28" t="inlineStr"/>
      <c r="AI28" t="inlineStr"/>
      <c r="AJ28" t="inlineStr"/>
      <c r="AK28" t="n">
        <v>497</v>
      </c>
      <c r="AL28" t="n">
        <v>2950</v>
      </c>
      <c r="AM28" t="n">
        <v>2453</v>
      </c>
      <c r="AN28" t="inlineStr">
        <is>
          <t>máximo (φmax, σ1 máximo)</t>
        </is>
      </c>
      <c r="AO28" t="n">
        <v>45.3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Zenodo xlsx; material y dmax en p.4 (Fig. 2a)</t>
        </is>
      </c>
      <c r="BB28" t="inlineStr">
        <is>
          <t>no (valores del xlsx; nombre, litología y dmax verificados en imagen p.4)</t>
        </is>
      </c>
      <c r="BC28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= 84.4 MPa | SÍ en base Cylwik, equivalente probable: Marsal et al. (1965)|g|149</t>
        </is>
      </c>
    </row>
    <row r="29">
      <c r="A29" t="inlineStr">
        <is>
          <t>OV2020</t>
        </is>
      </c>
      <c r="B29" t="inlineStr">
        <is>
          <t>2020_Ovalle_Data Compilation from Large ICDTx on Coarse Crushable Rockfill Materials.pdf</t>
        </is>
      </c>
      <c r="C29" t="n">
        <v>2020</v>
      </c>
      <c r="D29" t="inlineStr">
        <is>
          <t>Ovalle, Linero, Dano, Bard, Hicher y Osses (2020), JGGE 146(9) 06020013</t>
        </is>
      </c>
      <c r="E29" t="inlineStr">
        <is>
          <t>CFE (México), inferido de p.3</t>
        </is>
      </c>
      <c r="F29" t="inlineStr">
        <is>
          <t>Malpaso (dry)</t>
        </is>
      </c>
      <c r="G29" t="n">
        <v>28</v>
      </c>
      <c r="H29" t="inlineStr">
        <is>
          <t>Conglomerate</t>
        </is>
      </c>
      <c r="I29" t="inlineStr">
        <is>
          <t>Conglomerado</t>
        </is>
      </c>
      <c r="J29" t="inlineStr"/>
      <c r="K29" t="inlineStr"/>
      <c r="L29" t="inlineStr"/>
      <c r="M29" t="inlineStr"/>
      <c r="N29" t="inlineStr"/>
      <c r="O29" t="inlineStr">
        <is>
          <t>CID (compresión triaxial drenada)</t>
        </is>
      </c>
      <c r="P29" t="inlineStr">
        <is>
          <t>no</t>
        </is>
      </c>
      <c r="Q29" t="n">
        <v>1130</v>
      </c>
      <c r="R29" t="inlineStr"/>
      <c r="S29" t="n">
        <v>200</v>
      </c>
      <c r="T29" t="inlineStr"/>
      <c r="U29" t="inlineStr"/>
      <c r="V29" t="inlineStr"/>
      <c r="W29" t="inlineStr"/>
      <c r="X29" t="n">
        <v>33.5</v>
      </c>
      <c r="Y29" t="inlineStr"/>
      <c r="Z29" t="inlineStr"/>
      <c r="AA29" t="inlineStr"/>
      <c r="AB29" t="inlineStr"/>
      <c r="AC29" t="inlineStr"/>
      <c r="AD29" t="inlineStr"/>
      <c r="AE29" t="inlineStr"/>
      <c r="AF29" t="n">
        <v>0.44</v>
      </c>
      <c r="AG29" t="inlineStr">
        <is>
          <t>informe</t>
        </is>
      </c>
      <c r="AH29" t="inlineStr"/>
      <c r="AI29" t="inlineStr"/>
      <c r="AJ29" t="inlineStr"/>
      <c r="AK29" t="n">
        <v>1017</v>
      </c>
      <c r="AL29" t="n">
        <v>4476</v>
      </c>
      <c r="AM29" t="n">
        <v>3459</v>
      </c>
      <c r="AN29" t="inlineStr">
        <is>
          <t>máximo (φmax, σ1 máximo)</t>
        </is>
      </c>
      <c r="AO29" t="n">
        <v>39</v>
      </c>
      <c r="AP29" t="inlineStr"/>
      <c r="AQ29" t="inlineStr"/>
      <c r="AR29" t="inlineStr"/>
      <c r="AS29" t="inlineStr"/>
      <c r="AT29" t="inlineStr"/>
      <c r="AU29" t="inlineStr"/>
      <c r="AV29" t="n">
        <v>8.1</v>
      </c>
      <c r="AW29" t="inlineStr"/>
      <c r="AX29" t="inlineStr"/>
      <c r="AY29" t="inlineStr"/>
      <c r="AZ29" t="inlineStr"/>
      <c r="BA29" t="inlineStr">
        <is>
          <t>Zenodo xlsx; material y dmax en p.4 (Fig. 2a)</t>
        </is>
      </c>
      <c r="BB29" t="inlineStr">
        <is>
          <t>no (valores del xlsx; nombre, litología y dmax verificados en imagen p.4)</t>
        </is>
      </c>
      <c r="BC29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= 87.7 MPa | SÍ en base Cylwik, equivalente probable: Marsal et al. (1965)|b|127</t>
        </is>
      </c>
    </row>
    <row r="30">
      <c r="A30" t="inlineStr">
        <is>
          <t>OV2020</t>
        </is>
      </c>
      <c r="B30" t="inlineStr">
        <is>
          <t>2020_Ovalle_Data Compilation from Large ICDTx on Coarse Crushable Rockfill Materials.pdf</t>
        </is>
      </c>
      <c r="C30" t="n">
        <v>2020</v>
      </c>
      <c r="D30" t="inlineStr">
        <is>
          <t>Ovalle, Linero, Dano, Bard, Hicher y Osses (2020), JGGE 146(9) 06020013</t>
        </is>
      </c>
      <c r="E30" t="inlineStr">
        <is>
          <t>CFE (México), inferido de p.3</t>
        </is>
      </c>
      <c r="F30" t="inlineStr">
        <is>
          <t>Malpaso (dry)</t>
        </is>
      </c>
      <c r="G30" t="n">
        <v>29</v>
      </c>
      <c r="H30" t="inlineStr">
        <is>
          <t>Conglomerate</t>
        </is>
      </c>
      <c r="I30" t="inlineStr">
        <is>
          <t>Conglomerado</t>
        </is>
      </c>
      <c r="J30" t="inlineStr"/>
      <c r="K30" t="inlineStr"/>
      <c r="L30" t="inlineStr"/>
      <c r="M30" t="inlineStr"/>
      <c r="N30" t="inlineStr"/>
      <c r="O30" t="inlineStr">
        <is>
          <t>CID (compresión triaxial drenada)</t>
        </is>
      </c>
      <c r="P30" t="inlineStr">
        <is>
          <t>no</t>
        </is>
      </c>
      <c r="Q30" t="n">
        <v>1130</v>
      </c>
      <c r="R30" t="inlineStr"/>
      <c r="S30" t="n">
        <v>200</v>
      </c>
      <c r="T30" t="inlineStr"/>
      <c r="U30" t="inlineStr"/>
      <c r="V30" t="inlineStr"/>
      <c r="W30" t="inlineStr"/>
      <c r="X30" t="n">
        <v>77</v>
      </c>
      <c r="Y30" t="inlineStr"/>
      <c r="Z30" t="inlineStr"/>
      <c r="AA30" t="inlineStr"/>
      <c r="AB30" t="inlineStr"/>
      <c r="AC30" t="inlineStr"/>
      <c r="AD30" t="inlineStr"/>
      <c r="AE30" t="inlineStr"/>
      <c r="AF30" t="n">
        <v>0.38</v>
      </c>
      <c r="AG30" t="inlineStr">
        <is>
          <t>informe</t>
        </is>
      </c>
      <c r="AH30" t="inlineStr"/>
      <c r="AI30" t="inlineStr"/>
      <c r="AJ30" t="inlineStr"/>
      <c r="AK30" t="n">
        <v>1721</v>
      </c>
      <c r="AL30" t="n">
        <v>7588</v>
      </c>
      <c r="AM30" t="n">
        <v>5867</v>
      </c>
      <c r="AN30" t="inlineStr">
        <is>
          <t>máximo (φmax, σ1 máximo)</t>
        </is>
      </c>
      <c r="AO30" t="n">
        <v>39.1</v>
      </c>
      <c r="AP30" t="inlineStr"/>
      <c r="AQ30" t="inlineStr"/>
      <c r="AR30" t="inlineStr"/>
      <c r="AS30" t="inlineStr"/>
      <c r="AT30" t="inlineStr"/>
      <c r="AU30" t="inlineStr"/>
      <c r="AV30" t="n">
        <v>8.9</v>
      </c>
      <c r="AW30" t="inlineStr"/>
      <c r="AX30" t="inlineStr"/>
      <c r="AY30" t="inlineStr"/>
      <c r="AZ30" t="inlineStr"/>
      <c r="BA30" t="inlineStr">
        <is>
          <t>Zenodo xlsx; material y dmax en p.4 (Fig. 2a)</t>
        </is>
      </c>
      <c r="BB30" t="inlineStr">
        <is>
          <t>no (valores del xlsx; nombre, litología y dmax verificados en imagen p.4)</t>
        </is>
      </c>
      <c r="BC30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= 114.0 MPa | SÍ en base Cylwik, equivalente probable: Marsal et al. (1965)|g|150</t>
        </is>
      </c>
    </row>
    <row r="31">
      <c r="A31" t="inlineStr">
        <is>
          <t>OV2020</t>
        </is>
      </c>
      <c r="B31" t="inlineStr">
        <is>
          <t>2020_Ovalle_Data Compilation from Large ICDTx on Coarse Crushable Rockfill Materials.pdf</t>
        </is>
      </c>
      <c r="C31" t="n">
        <v>2020</v>
      </c>
      <c r="D31" t="inlineStr">
        <is>
          <t>Ovalle, Linero, Dano, Bard, Hicher y Osses (2020), JGGE 146(9) 06020013</t>
        </is>
      </c>
      <c r="E31" t="inlineStr">
        <is>
          <t>CFE (México), inferido de p.3</t>
        </is>
      </c>
      <c r="F31" t="inlineStr">
        <is>
          <t>Malpaso (dry)</t>
        </is>
      </c>
      <c r="G31" t="n">
        <v>30</v>
      </c>
      <c r="H31" t="inlineStr">
        <is>
          <t>Conglomerate</t>
        </is>
      </c>
      <c r="I31" t="inlineStr">
        <is>
          <t>Conglomerado</t>
        </is>
      </c>
      <c r="J31" t="inlineStr"/>
      <c r="K31" t="inlineStr"/>
      <c r="L31" t="inlineStr"/>
      <c r="M31" t="inlineStr"/>
      <c r="N31" t="inlineStr"/>
      <c r="O31" t="inlineStr">
        <is>
          <t>CID (compresión triaxial drenada)</t>
        </is>
      </c>
      <c r="P31" t="inlineStr">
        <is>
          <t>no</t>
        </is>
      </c>
      <c r="Q31" t="n">
        <v>1130</v>
      </c>
      <c r="R31" t="inlineStr"/>
      <c r="S31" t="n">
        <v>200</v>
      </c>
      <c r="T31" t="inlineStr"/>
      <c r="U31" t="inlineStr"/>
      <c r="V31" t="inlineStr"/>
      <c r="W31" t="inlineStr"/>
      <c r="X31" t="n">
        <v>35.6</v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0.4</v>
      </c>
      <c r="AG31" t="inlineStr">
        <is>
          <t>informe</t>
        </is>
      </c>
      <c r="AH31" t="inlineStr"/>
      <c r="AI31" t="inlineStr"/>
      <c r="AJ31" t="inlineStr"/>
      <c r="AK31" t="n">
        <v>2537</v>
      </c>
      <c r="AL31" t="n">
        <v>10149</v>
      </c>
      <c r="AM31" t="n">
        <v>7612</v>
      </c>
      <c r="AN31" t="inlineStr">
        <is>
          <t>máximo (φmax, σ1 máximo)</t>
        </is>
      </c>
      <c r="AO31" t="n">
        <v>36.9</v>
      </c>
      <c r="AP31" t="inlineStr"/>
      <c r="AQ31" t="inlineStr"/>
      <c r="AR31" t="inlineStr"/>
      <c r="AS31" t="inlineStr"/>
      <c r="AT31" t="inlineStr"/>
      <c r="AU31" t="inlineStr"/>
      <c r="AV31" t="n">
        <v>12.3</v>
      </c>
      <c r="AW31" t="inlineStr"/>
      <c r="AX31" t="inlineStr"/>
      <c r="AY31" t="inlineStr"/>
      <c r="AZ31" t="inlineStr"/>
      <c r="BA31" t="inlineStr">
        <is>
          <t>Zenodo xlsx; material y dmax en p.4 (Fig. 2a)</t>
        </is>
      </c>
      <c r="BB31" t="inlineStr">
        <is>
          <t>no (valores del xlsx; nombre, litología y dmax verificados en imagen p.4)</t>
        </is>
      </c>
      <c r="BC31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= 122.0 MPa | SÍ en base Cylwik, equivalente probable: Marsal et al. (1965)|d|132</t>
        </is>
      </c>
    </row>
    <row r="32">
      <c r="A32" t="inlineStr">
        <is>
          <t>OV2020</t>
        </is>
      </c>
      <c r="B32" t="inlineStr">
        <is>
          <t>2020_Ovalle_Data Compilation from Large ICDTx on Coarse Crushable Rockfill Materials.pdf</t>
        </is>
      </c>
      <c r="C32" t="n">
        <v>2020</v>
      </c>
      <c r="D32" t="inlineStr">
        <is>
          <t>Ovalle, Linero, Dano, Bard, Hicher y Osses (2020), JGGE 146(9) 06020013</t>
        </is>
      </c>
      <c r="E32" t="inlineStr">
        <is>
          <t>CFE (México), inferido de p.3</t>
        </is>
      </c>
      <c r="F32" t="inlineStr">
        <is>
          <t>Malpaso (dry)</t>
        </is>
      </c>
      <c r="G32" t="n">
        <v>31</v>
      </c>
      <c r="H32" t="inlineStr">
        <is>
          <t>Conglomerate</t>
        </is>
      </c>
      <c r="I32" t="inlineStr">
        <is>
          <t>Conglomerado</t>
        </is>
      </c>
      <c r="J32" t="inlineStr"/>
      <c r="K32" t="inlineStr"/>
      <c r="L32" t="inlineStr"/>
      <c r="M32" t="inlineStr"/>
      <c r="N32" t="inlineStr"/>
      <c r="O32" t="inlineStr">
        <is>
          <t>CID (compresión triaxial drenada)</t>
        </is>
      </c>
      <c r="P32" t="inlineStr">
        <is>
          <t>no</t>
        </is>
      </c>
      <c r="Q32" t="n">
        <v>1130</v>
      </c>
      <c r="R32" t="inlineStr"/>
      <c r="S32" t="n">
        <v>200</v>
      </c>
      <c r="T32" t="inlineStr"/>
      <c r="U32" t="inlineStr"/>
      <c r="V32" t="inlineStr"/>
      <c r="W32" t="inlineStr"/>
      <c r="X32" t="n">
        <v>49.3</v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0.43</v>
      </c>
      <c r="AG32" t="inlineStr">
        <is>
          <t>informe</t>
        </is>
      </c>
      <c r="AH32" t="inlineStr"/>
      <c r="AI32" t="inlineStr"/>
      <c r="AJ32" t="inlineStr"/>
      <c r="AK32" t="n">
        <v>2537</v>
      </c>
      <c r="AL32" t="n">
        <v>10301</v>
      </c>
      <c r="AM32" t="n">
        <v>7764</v>
      </c>
      <c r="AN32" t="inlineStr">
        <is>
          <t>máximo (φmax, σ1 máximo)</t>
        </is>
      </c>
      <c r="AO32" t="n">
        <v>37.2</v>
      </c>
      <c r="AP32" t="inlineStr"/>
      <c r="AQ32" t="inlineStr"/>
      <c r="AR32" t="inlineStr"/>
      <c r="AS32" t="inlineStr"/>
      <c r="AT32" t="inlineStr"/>
      <c r="AU32" t="inlineStr"/>
      <c r="AV32" t="n">
        <v>14.2</v>
      </c>
      <c r="AW32" t="inlineStr"/>
      <c r="AX32" t="inlineStr"/>
      <c r="AY32" t="inlineStr"/>
      <c r="AZ32" t="inlineStr"/>
      <c r="BA32" t="inlineStr">
        <is>
          <t>Zenodo xlsx; material y dmax en p.4 (Fig. 2a)</t>
        </is>
      </c>
      <c r="BB32" t="inlineStr">
        <is>
          <t>no (valores del xlsx; nombre, litología y dmax verificados en imagen p.4)</t>
        </is>
      </c>
      <c r="BC32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= 124.5 MPa | SÍ en base Cylwik, equivalente probable: Marsal et al. (1965)|d|132</t>
        </is>
      </c>
    </row>
    <row r="33">
      <c r="A33" t="inlineStr">
        <is>
          <t>OV2020</t>
        </is>
      </c>
      <c r="B33" t="inlineStr">
        <is>
          <t>2020_Ovalle_Data Compilation from Large ICDTx on Coarse Crushable Rockfill Materials.pdf</t>
        </is>
      </c>
      <c r="C33" t="n">
        <v>2020</v>
      </c>
      <c r="D33" t="inlineStr">
        <is>
          <t>Ovalle, Linero, Dano, Bard, Hicher y Osses (2020), JGGE 146(9) 06020013</t>
        </is>
      </c>
      <c r="E33" t="inlineStr">
        <is>
          <t>CFE (México), inferido de p.3</t>
        </is>
      </c>
      <c r="F33" t="inlineStr">
        <is>
          <t>Malpaso (dry)</t>
        </is>
      </c>
      <c r="G33" t="n">
        <v>32</v>
      </c>
      <c r="H33" t="inlineStr">
        <is>
          <t>Conglomerate</t>
        </is>
      </c>
      <c r="I33" t="inlineStr">
        <is>
          <t>Conglomerado</t>
        </is>
      </c>
      <c r="J33" t="inlineStr"/>
      <c r="K33" t="inlineStr"/>
      <c r="L33" t="inlineStr"/>
      <c r="M33" t="inlineStr"/>
      <c r="N33" t="inlineStr"/>
      <c r="O33" t="inlineStr">
        <is>
          <t>CID (compresión triaxial drenada)</t>
        </is>
      </c>
      <c r="P33" t="inlineStr">
        <is>
          <t>no</t>
        </is>
      </c>
      <c r="Q33" t="n">
        <v>1130</v>
      </c>
      <c r="R33" t="inlineStr"/>
      <c r="S33" t="n">
        <v>200</v>
      </c>
      <c r="T33" t="inlineStr"/>
      <c r="U33" t="inlineStr"/>
      <c r="V33" t="inlineStr"/>
      <c r="W33" t="inlineStr"/>
      <c r="X33" t="n">
        <v>82.8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0.42</v>
      </c>
      <c r="AG33" t="inlineStr">
        <is>
          <t>informe</t>
        </is>
      </c>
      <c r="AH33" t="inlineStr"/>
      <c r="AI33" t="inlineStr"/>
      <c r="AJ33" t="inlineStr"/>
      <c r="AK33" t="n">
        <v>2537</v>
      </c>
      <c r="AL33" t="n">
        <v>10428</v>
      </c>
      <c r="AM33" t="n">
        <v>7891</v>
      </c>
      <c r="AN33" t="inlineStr">
        <is>
          <t>máximo (φmax, σ1 máximo)</t>
        </is>
      </c>
      <c r="AO33" t="n">
        <v>37.5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Zenodo xlsx; material y dmax en p.4 (Fig. 2a)</t>
        </is>
      </c>
      <c r="BB33" t="inlineStr">
        <is>
          <t>no (valores del xlsx; nombre, litología y dmax verificados en imagen p.4)</t>
        </is>
      </c>
      <c r="BC33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= 151.9 MPa | SÍ en base Cylwik, equivalente probable: Marsal et al. (1965)|d|132</t>
        </is>
      </c>
    </row>
    <row r="34">
      <c r="A34" t="inlineStr">
        <is>
          <t>OV2020</t>
        </is>
      </c>
      <c r="B34" t="inlineStr">
        <is>
          <t>2020_Ovalle_Data Compilation from Large ICDTx on Coarse Crushable Rockfill Materials.pdf</t>
        </is>
      </c>
      <c r="C34" t="n">
        <v>2020</v>
      </c>
      <c r="D34" t="inlineStr">
        <is>
          <t>Ovalle, Linero, Dano, Bard, Hicher y Osses (2020), JGGE 146(9) 06020013</t>
        </is>
      </c>
      <c r="E34" t="inlineStr">
        <is>
          <t>CFE (México), inferido de p.3</t>
        </is>
      </c>
      <c r="F34" t="inlineStr">
        <is>
          <t>Malpaso (dry)</t>
        </is>
      </c>
      <c r="G34" t="n">
        <v>33</v>
      </c>
      <c r="H34" t="inlineStr">
        <is>
          <t>Conglomerate</t>
        </is>
      </c>
      <c r="I34" t="inlineStr">
        <is>
          <t>Conglomerado</t>
        </is>
      </c>
      <c r="J34" t="inlineStr"/>
      <c r="K34" t="inlineStr"/>
      <c r="L34" t="inlineStr"/>
      <c r="M34" t="inlineStr"/>
      <c r="N34" t="inlineStr"/>
      <c r="O34" t="inlineStr">
        <is>
          <t>CID (compresión triaxial drenada)</t>
        </is>
      </c>
      <c r="P34" t="inlineStr">
        <is>
          <t>no</t>
        </is>
      </c>
      <c r="Q34" t="n">
        <v>1130</v>
      </c>
      <c r="R34" t="inlineStr"/>
      <c r="S34" t="n">
        <v>200</v>
      </c>
      <c r="T34" t="inlineStr"/>
      <c r="U34" t="inlineStr"/>
      <c r="V34" t="inlineStr"/>
      <c r="W34" t="inlineStr"/>
      <c r="X34" t="n">
        <v>112</v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0.33</v>
      </c>
      <c r="AG34" t="inlineStr">
        <is>
          <t>informe</t>
        </is>
      </c>
      <c r="AH34" t="inlineStr"/>
      <c r="AI34" t="inlineStr"/>
      <c r="AJ34" t="inlineStr"/>
      <c r="AK34" t="n">
        <v>2537</v>
      </c>
      <c r="AL34" t="n">
        <v>11113</v>
      </c>
      <c r="AM34" t="n">
        <v>8576</v>
      </c>
      <c r="AN34" t="inlineStr">
        <is>
          <t>máximo (φmax, σ1 máximo)</t>
        </is>
      </c>
      <c r="AO34" t="n">
        <v>38.9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Zenodo xlsx; material y dmax en p.4 (Fig. 2a)</t>
        </is>
      </c>
      <c r="BB34" t="inlineStr">
        <is>
          <t>no (valores del xlsx; nombre, litología y dmax verificados en imagen p.4)</t>
        </is>
      </c>
      <c r="BC34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et al. (1965)|g|151</t>
        </is>
      </c>
    </row>
    <row r="35">
      <c r="A35" t="inlineStr">
        <is>
          <t>OV2020</t>
        </is>
      </c>
      <c r="B35" t="inlineStr">
        <is>
          <t>2020_Ovalle_Data Compilation from Large ICDTx on Coarse Crushable Rockfill Materials.pdf</t>
        </is>
      </c>
      <c r="C35" t="n">
        <v>2020</v>
      </c>
      <c r="D35" t="inlineStr">
        <is>
          <t>Ovalle, Linero, Dano, Bard, Hicher y Osses (2020), JGGE 146(9) 06020013</t>
        </is>
      </c>
      <c r="E35" t="inlineStr">
        <is>
          <t>CFE (México), inferido de p.3</t>
        </is>
      </c>
      <c r="F35" t="inlineStr">
        <is>
          <t>Malpaso (dry)</t>
        </is>
      </c>
      <c r="G35" t="n">
        <v>34</v>
      </c>
      <c r="H35" t="inlineStr">
        <is>
          <t>Conglomerate</t>
        </is>
      </c>
      <c r="I35" t="inlineStr">
        <is>
          <t>Conglomerado</t>
        </is>
      </c>
      <c r="J35" t="inlineStr"/>
      <c r="K35" t="inlineStr"/>
      <c r="L35" t="inlineStr"/>
      <c r="M35" t="inlineStr"/>
      <c r="N35" t="inlineStr"/>
      <c r="O35" t="inlineStr">
        <is>
          <t>CID (compresión triaxial drenada)</t>
        </is>
      </c>
      <c r="P35" t="inlineStr">
        <is>
          <t>no</t>
        </is>
      </c>
      <c r="Q35" t="n">
        <v>1130</v>
      </c>
      <c r="R35" t="inlineStr"/>
      <c r="S35" t="n">
        <v>200</v>
      </c>
      <c r="T35" t="inlineStr"/>
      <c r="U35" t="inlineStr"/>
      <c r="V35" t="inlineStr"/>
      <c r="W35" t="inlineStr"/>
      <c r="X35" t="n">
        <v>91</v>
      </c>
      <c r="Y35" t="inlineStr"/>
      <c r="Z35" t="inlineStr"/>
      <c r="AA35" t="inlineStr"/>
      <c r="AB35" t="inlineStr"/>
      <c r="AC35" t="inlineStr"/>
      <c r="AD35" t="inlineStr"/>
      <c r="AE35" t="inlineStr"/>
      <c r="AF35" t="n">
        <v>0.33</v>
      </c>
      <c r="AG35" t="inlineStr">
        <is>
          <t>informe</t>
        </is>
      </c>
      <c r="AH35" t="inlineStr"/>
      <c r="AI35" t="inlineStr"/>
      <c r="AJ35" t="inlineStr"/>
      <c r="AK35" t="n">
        <v>2537</v>
      </c>
      <c r="AL35" t="n">
        <v>11417</v>
      </c>
      <c r="AM35" t="n">
        <v>8880</v>
      </c>
      <c r="AN35" t="inlineStr">
        <is>
          <t>máximo (φmax, σ1 máximo)</t>
        </is>
      </c>
      <c r="AO35" t="n">
        <v>39.5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Zenodo xlsx; material y dmax en p.4 (Fig. 2a)</t>
        </is>
      </c>
      <c r="BB35" t="inlineStr">
        <is>
          <t>no (valores del xlsx; nombre, litología y dmax verificados en imagen p.4)</t>
        </is>
      </c>
      <c r="BC35" t="inlineStr">
        <is>
          <t>Ref. original: Marsal et al., 1965 | Material en la fuente: «Malpaso (dry)»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et al. (1965)|g|151</t>
        </is>
      </c>
    </row>
    <row r="36">
      <c r="A36" t="inlineStr">
        <is>
          <t>OV2020</t>
        </is>
      </c>
      <c r="B36" t="inlineStr">
        <is>
          <t>2020_Ovalle_Data Compilation from Large ICDTx on Coarse Crushable Rockfill Materials.pdf</t>
        </is>
      </c>
      <c r="C36" t="n">
        <v>2020</v>
      </c>
      <c r="D36" t="inlineStr">
        <is>
          <t>Ovalle, Linero, Dano, Bard, Hicher y Osses (2020), JGGE 146(9) 06020013</t>
        </is>
      </c>
      <c r="E36" t="inlineStr">
        <is>
          <t>CFE (México), inferido de p.3</t>
        </is>
      </c>
      <c r="F36" t="inlineStr">
        <is>
          <t>San Francisco grad. 2</t>
        </is>
      </c>
      <c r="G36" t="n">
        <v>35</v>
      </c>
      <c r="H36" t="inlineStr">
        <is>
          <t>Basalt</t>
        </is>
      </c>
      <c r="I36" t="inlineStr">
        <is>
          <t>Basalto</t>
        </is>
      </c>
      <c r="J36" t="inlineStr"/>
      <c r="K36" t="inlineStr"/>
      <c r="L36" t="inlineStr"/>
      <c r="M36" t="inlineStr"/>
      <c r="N36" t="inlineStr"/>
      <c r="O36" t="inlineStr">
        <is>
          <t>CID (compresión triaxial drenada)</t>
        </is>
      </c>
      <c r="P36" t="inlineStr">
        <is>
          <t>no indicado</t>
        </is>
      </c>
      <c r="Q36" t="n">
        <v>1130</v>
      </c>
      <c r="R36" t="inlineStr"/>
      <c r="S36" t="n">
        <v>180</v>
      </c>
      <c r="T36" t="inlineStr"/>
      <c r="U36" t="inlineStr"/>
      <c r="V36" t="inlineStr"/>
      <c r="W36" t="inlineStr"/>
      <c r="X36" t="n">
        <v>18</v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0.389</v>
      </c>
      <c r="AG36" t="inlineStr">
        <is>
          <t>informe</t>
        </is>
      </c>
      <c r="AH36" t="inlineStr"/>
      <c r="AI36" t="inlineStr"/>
      <c r="AJ36" t="inlineStr"/>
      <c r="AK36" t="n">
        <v>460</v>
      </c>
      <c r="AL36" t="n">
        <v>2834</v>
      </c>
      <c r="AM36" t="n">
        <v>2374</v>
      </c>
      <c r="AN36" t="inlineStr">
        <is>
          <t>máximo (φmax, σ1 máximo)</t>
        </is>
      </c>
      <c r="AO36" t="n">
        <v>46.1</v>
      </c>
      <c r="AP36" t="inlineStr"/>
      <c r="AQ36" t="inlineStr"/>
      <c r="AR36" t="inlineStr"/>
      <c r="AS36" t="inlineStr"/>
      <c r="AT36" t="inlineStr"/>
      <c r="AU36" t="inlineStr"/>
      <c r="AV36" t="n">
        <v>13.6</v>
      </c>
      <c r="AW36" t="inlineStr"/>
      <c r="AX36" t="inlineStr"/>
      <c r="AY36" t="inlineStr"/>
      <c r="AZ36" t="inlineStr"/>
      <c r="BA36" t="inlineStr">
        <is>
          <t>Zenodo xlsx; material y dmax en p.4 (Fig. 2a)</t>
        </is>
      </c>
      <c r="BB36" t="inlineStr">
        <is>
          <t>no (valores del xlsx; nombre, litología y dmax verificados en imagen p.4)</t>
        </is>
      </c>
      <c r="BC36" t="inlineStr">
        <is>
          <t>Ref. original: Marsal, 1973 | Material en la fuente: «San Francisco grad. 2» (clase ROM/Chancado/Enrocado no indicada) | Datos por ensayo del repositorio Zenodo doi:10.5281/zenodo.3625778 (xlsx v1; ensayo_id = N° de fila); el artículo solo trae la lista de materiales (Fig. 2a) | q calculado = σ1−σ3 | E50 = 61.3 MPa | SÍ en base Cylwik, equivalente probable: Marsal (1973)|M6|440</t>
        </is>
      </c>
    </row>
    <row r="37">
      <c r="A37" t="inlineStr">
        <is>
          <t>OV2020</t>
        </is>
      </c>
      <c r="B37" t="inlineStr">
        <is>
          <t>2020_Ovalle_Data Compilation from Large ICDTx on Coarse Crushable Rockfill Materials.pdf</t>
        </is>
      </c>
      <c r="C37" t="n">
        <v>2020</v>
      </c>
      <c r="D37" t="inlineStr">
        <is>
          <t>Ovalle, Linero, Dano, Bard, Hicher y Osses (2020), JGGE 146(9) 06020013</t>
        </is>
      </c>
      <c r="E37" t="inlineStr">
        <is>
          <t>CFE (México), inferido de p.3</t>
        </is>
      </c>
      <c r="F37" t="inlineStr">
        <is>
          <t>San Francisco grad. 2</t>
        </is>
      </c>
      <c r="G37" t="n">
        <v>36</v>
      </c>
      <c r="H37" t="inlineStr">
        <is>
          <t>Basalt</t>
        </is>
      </c>
      <c r="I37" t="inlineStr">
        <is>
          <t>Basalto</t>
        </is>
      </c>
      <c r="J37" t="inlineStr"/>
      <c r="K37" t="inlineStr"/>
      <c r="L37" t="inlineStr"/>
      <c r="M37" t="inlineStr"/>
      <c r="N37" t="inlineStr"/>
      <c r="O37" t="inlineStr">
        <is>
          <t>CID (compresión triaxial drenada)</t>
        </is>
      </c>
      <c r="P37" t="inlineStr">
        <is>
          <t>no indicado</t>
        </is>
      </c>
      <c r="Q37" t="n">
        <v>1130</v>
      </c>
      <c r="R37" t="inlineStr"/>
      <c r="S37" t="n">
        <v>180</v>
      </c>
      <c r="T37" t="inlineStr"/>
      <c r="U37" t="inlineStr"/>
      <c r="V37" t="inlineStr"/>
      <c r="W37" t="inlineStr"/>
      <c r="X37" t="n">
        <v>18</v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0.333</v>
      </c>
      <c r="AG37" t="inlineStr">
        <is>
          <t>informe</t>
        </is>
      </c>
      <c r="AH37" t="inlineStr"/>
      <c r="AI37" t="inlineStr"/>
      <c r="AJ37" t="inlineStr"/>
      <c r="AK37" t="n">
        <v>960</v>
      </c>
      <c r="AL37" t="n">
        <v>4886</v>
      </c>
      <c r="AM37" t="n">
        <v>3926</v>
      </c>
      <c r="AN37" t="inlineStr">
        <is>
          <t>máximo (φmax, σ1 máximo)</t>
        </is>
      </c>
      <c r="AO37" t="n">
        <v>42.2</v>
      </c>
      <c r="AP37" t="inlineStr"/>
      <c r="AQ37" t="inlineStr"/>
      <c r="AR37" t="inlineStr"/>
      <c r="AS37" t="inlineStr"/>
      <c r="AT37" t="inlineStr"/>
      <c r="AU37" t="inlineStr"/>
      <c r="AV37" t="n">
        <v>11.4</v>
      </c>
      <c r="AW37" t="inlineStr"/>
      <c r="AX37" t="inlineStr"/>
      <c r="AY37" t="inlineStr"/>
      <c r="AZ37" t="inlineStr"/>
      <c r="BA37" t="inlineStr">
        <is>
          <t>Zenodo xlsx; material y dmax en p.4 (Fig. 2a)</t>
        </is>
      </c>
      <c r="BB37" t="inlineStr">
        <is>
          <t>no (valores del xlsx; nombre, litología y dmax verificados en imagen p.4)</t>
        </is>
      </c>
      <c r="BC37" t="inlineStr">
        <is>
          <t>Ref. original: Marsal, 1973 | Material en la fuente: «San Francisco grad. 2» (clase ROM/Chancado/Enrocado no indicada) | Datos por ensayo del repositorio Zenodo doi:10.5281/zenodo.3625778 (xlsx v1; ensayo_id = N° de fila); el artículo solo trae la lista de materiales (Fig. 2a) | q calculado = σ1−σ3 | E50 = 78.5 MPa | SÍ en base Cylwik, equivalente probable: Marsal (1973)|M6|441</t>
        </is>
      </c>
    </row>
    <row r="38">
      <c r="A38" t="inlineStr">
        <is>
          <t>OV2020</t>
        </is>
      </c>
      <c r="B38" t="inlineStr">
        <is>
          <t>2020_Ovalle_Data Compilation from Large ICDTx on Coarse Crushable Rockfill Materials.pdf</t>
        </is>
      </c>
      <c r="C38" t="n">
        <v>2020</v>
      </c>
      <c r="D38" t="inlineStr">
        <is>
          <t>Ovalle, Linero, Dano, Bard, Hicher y Osses (2020), JGGE 146(9) 06020013</t>
        </is>
      </c>
      <c r="E38" t="inlineStr">
        <is>
          <t>CFE (México), inferido de p.3</t>
        </is>
      </c>
      <c r="F38" t="inlineStr">
        <is>
          <t>San Francisco grad. 2</t>
        </is>
      </c>
      <c r="G38" t="n">
        <v>37</v>
      </c>
      <c r="H38" t="inlineStr">
        <is>
          <t>Basalt</t>
        </is>
      </c>
      <c r="I38" t="inlineStr">
        <is>
          <t>Basalto</t>
        </is>
      </c>
      <c r="J38" t="inlineStr"/>
      <c r="K38" t="inlineStr"/>
      <c r="L38" t="inlineStr"/>
      <c r="M38" t="inlineStr"/>
      <c r="N38" t="inlineStr"/>
      <c r="O38" t="inlineStr">
        <is>
          <t>CID (compresión triaxial drenada)</t>
        </is>
      </c>
      <c r="P38" t="inlineStr">
        <is>
          <t>no indicado</t>
        </is>
      </c>
      <c r="Q38" t="n">
        <v>1130</v>
      </c>
      <c r="R38" t="inlineStr"/>
      <c r="S38" t="n">
        <v>180</v>
      </c>
      <c r="T38" t="inlineStr"/>
      <c r="U38" t="inlineStr"/>
      <c r="V38" t="inlineStr"/>
      <c r="W38" t="inlineStr"/>
      <c r="X38" t="n">
        <v>18</v>
      </c>
      <c r="Y38" t="inlineStr"/>
      <c r="Z38" t="inlineStr"/>
      <c r="AA38" t="inlineStr"/>
      <c r="AB38" t="inlineStr"/>
      <c r="AC38" t="inlineStr"/>
      <c r="AD38" t="inlineStr"/>
      <c r="AE38" t="inlineStr"/>
      <c r="AF38" t="n">
        <v>0.351</v>
      </c>
      <c r="AG38" t="inlineStr">
        <is>
          <t>informe</t>
        </is>
      </c>
      <c r="AH38" t="inlineStr"/>
      <c r="AI38" t="inlineStr"/>
      <c r="AJ38" t="inlineStr"/>
      <c r="AK38" t="n">
        <v>2420</v>
      </c>
      <c r="AL38" t="n">
        <v>10261</v>
      </c>
      <c r="AM38" t="n">
        <v>7841</v>
      </c>
      <c r="AN38" t="inlineStr">
        <is>
          <t>máximo (φmax, σ1 máximo)</t>
        </is>
      </c>
      <c r="AO38" t="n">
        <v>38.2</v>
      </c>
      <c r="AP38" t="inlineStr"/>
      <c r="AQ38" t="inlineStr"/>
      <c r="AR38" t="inlineStr"/>
      <c r="AS38" t="inlineStr"/>
      <c r="AT38" t="inlineStr"/>
      <c r="AU38" t="inlineStr"/>
      <c r="AV38" t="n">
        <v>12.6</v>
      </c>
      <c r="AW38" t="inlineStr"/>
      <c r="AX38" t="inlineStr"/>
      <c r="AY38" t="inlineStr"/>
      <c r="AZ38" t="inlineStr"/>
      <c r="BA38" t="inlineStr">
        <is>
          <t>Zenodo xlsx; material y dmax en p.4 (Fig. 2a)</t>
        </is>
      </c>
      <c r="BB38" t="inlineStr">
        <is>
          <t>no (valores del xlsx; nombre, litología y dmax verificados en imagen p.4)</t>
        </is>
      </c>
      <c r="BC38" t="inlineStr">
        <is>
          <t>Ref. original: Marsal, 1973 | Material en la fuente: «San Francisco grad. 2» (clase ROM/Chancado/Enrocado no indicada) | Datos por ensayo del repositorio Zenodo doi:10.5281/zenodo.3625778 (xlsx v1; ensayo_id = N° de fila); el artículo solo trae la lista de materiales (Fig. 2a) | q calculado = σ1−σ3 | E50 = 88.7 MPa | SÍ en base Cylwik, equivalente probable: Marsal (1973)|M5|439</t>
        </is>
      </c>
    </row>
    <row r="39">
      <c r="A39" t="inlineStr">
        <is>
          <t>OV2020</t>
        </is>
      </c>
      <c r="B39" t="inlineStr">
        <is>
          <t>2020_Ovalle_Data Compilation from Large ICDTx on Coarse Crushable Rockfill Materials.pdf</t>
        </is>
      </c>
      <c r="C39" t="n">
        <v>2020</v>
      </c>
      <c r="D39" t="inlineStr">
        <is>
          <t>Ovalle, Linero, Dano, Bard, Hicher y Osses (2020), JGGE 146(9) 06020013</t>
        </is>
      </c>
      <c r="E39" t="inlineStr">
        <is>
          <t>CFE (México), inferido de p.3</t>
        </is>
      </c>
      <c r="F39" t="inlineStr">
        <is>
          <t>Mica grad. X</t>
        </is>
      </c>
      <c r="G39" t="n">
        <v>38</v>
      </c>
      <c r="H39" t="inlineStr">
        <is>
          <t>Granitic gneiss</t>
        </is>
      </c>
      <c r="I39" t="inlineStr">
        <is>
          <t>Gneis</t>
        </is>
      </c>
      <c r="J39" t="inlineStr">
        <is>
          <t>gneis granítico</t>
        </is>
      </c>
      <c r="K39" t="inlineStr"/>
      <c r="L39" t="inlineStr"/>
      <c r="M39" t="inlineStr"/>
      <c r="N39" t="inlineStr"/>
      <c r="O39" t="inlineStr">
        <is>
          <t>CID (compresión triaxial drenada)</t>
        </is>
      </c>
      <c r="P39" t="inlineStr">
        <is>
          <t>no indicado</t>
        </is>
      </c>
      <c r="Q39" t="n">
        <v>1130</v>
      </c>
      <c r="R39" t="inlineStr"/>
      <c r="S39" t="n">
        <v>200</v>
      </c>
      <c r="T39" t="inlineStr"/>
      <c r="U39" t="inlineStr"/>
      <c r="V39" t="inlineStr"/>
      <c r="W39" t="inlineStr"/>
      <c r="X39" t="n">
        <v>14</v>
      </c>
      <c r="Y39" t="inlineStr"/>
      <c r="Z39" t="inlineStr"/>
      <c r="AA39" t="inlineStr"/>
      <c r="AB39" t="inlineStr"/>
      <c r="AC39" t="inlineStr"/>
      <c r="AD39" t="inlineStr"/>
      <c r="AE39" t="inlineStr"/>
      <c r="AF39" t="n">
        <v>0.33</v>
      </c>
      <c r="AG39" t="inlineStr">
        <is>
          <t>informe</t>
        </is>
      </c>
      <c r="AH39" t="inlineStr"/>
      <c r="AI39" t="inlineStr"/>
      <c r="AJ39" t="inlineStr"/>
      <c r="AK39" t="n">
        <v>451</v>
      </c>
      <c r="AL39" t="n">
        <v>1826</v>
      </c>
      <c r="AM39" t="n">
        <v>1375</v>
      </c>
      <c r="AN39" t="inlineStr">
        <is>
          <t>máximo (φmax, σ1 máximo)</t>
        </is>
      </c>
      <c r="AO39" t="n">
        <v>37.2</v>
      </c>
      <c r="AP39" t="inlineStr"/>
      <c r="AQ39" t="inlineStr"/>
      <c r="AR39" t="inlineStr"/>
      <c r="AS39" t="inlineStr"/>
      <c r="AT39" t="inlineStr"/>
      <c r="AU39" t="inlineStr"/>
      <c r="AV39" t="n">
        <v>10.5</v>
      </c>
      <c r="AW39" t="inlineStr"/>
      <c r="AX39" t="inlineStr"/>
      <c r="AY39" t="inlineStr"/>
      <c r="AZ39" t="inlineStr"/>
      <c r="BA39" t="inlineStr">
        <is>
          <t>Zenodo xlsx; material y dmax en p.4 (Fig. 2a)</t>
        </is>
      </c>
      <c r="BB39" t="inlineStr">
        <is>
          <t>no (valores del xlsx; nombre, litología y dmax verificados en imagen p.4)</t>
        </is>
      </c>
      <c r="BC39" t="inlineStr">
        <is>
          <t>Ref. original: Marsal, 1973 | Material en la fuente: «Mica grad. X» (clase ROM/Chancado/Enrocado no indicada) | Datos por ensayo del repositorio Zenodo doi:10.5281/zenodo.3625778 (xlsx v1; ensayo_id = N° de fila); el artículo solo trae la lista de materiales (Fig. 2a) | q calculado = σ1−σ3 | E50 = 39.2 MPa | SÍ en base Cylwik, equivalente probable: Marsal (1973)|M11|403</t>
        </is>
      </c>
    </row>
    <row r="40">
      <c r="A40" t="inlineStr">
        <is>
          <t>OV2020</t>
        </is>
      </c>
      <c r="B40" t="inlineStr">
        <is>
          <t>2020_Ovalle_Data Compilation from Large ICDTx on Coarse Crushable Rockfill Materials.pdf</t>
        </is>
      </c>
      <c r="C40" t="n">
        <v>2020</v>
      </c>
      <c r="D40" t="inlineStr">
        <is>
          <t>Ovalle, Linero, Dano, Bard, Hicher y Osses (2020), JGGE 146(9) 06020013</t>
        </is>
      </c>
      <c r="E40" t="inlineStr">
        <is>
          <t>CFE (México), inferido de p.3</t>
        </is>
      </c>
      <c r="F40" t="inlineStr">
        <is>
          <t>Mica grad. X</t>
        </is>
      </c>
      <c r="G40" t="n">
        <v>39</v>
      </c>
      <c r="H40" t="inlineStr">
        <is>
          <t>Granitic gneiss</t>
        </is>
      </c>
      <c r="I40" t="inlineStr">
        <is>
          <t>Gneis</t>
        </is>
      </c>
      <c r="J40" t="inlineStr">
        <is>
          <t>gneis granítico</t>
        </is>
      </c>
      <c r="K40" t="inlineStr"/>
      <c r="L40" t="inlineStr"/>
      <c r="M40" t="inlineStr"/>
      <c r="N40" t="inlineStr"/>
      <c r="O40" t="inlineStr">
        <is>
          <t>CID (compresión triaxial drenada)</t>
        </is>
      </c>
      <c r="P40" t="inlineStr">
        <is>
          <t>no indicado</t>
        </is>
      </c>
      <c r="Q40" t="n">
        <v>1130</v>
      </c>
      <c r="R40" t="inlineStr"/>
      <c r="S40" t="n">
        <v>200</v>
      </c>
      <c r="T40" t="inlineStr"/>
      <c r="U40" t="inlineStr"/>
      <c r="V40" t="inlineStr"/>
      <c r="W40" t="inlineStr"/>
      <c r="X40" t="n">
        <v>14</v>
      </c>
      <c r="Y40" t="inlineStr"/>
      <c r="Z40" t="inlineStr"/>
      <c r="AA40" t="inlineStr"/>
      <c r="AB40" t="inlineStr"/>
      <c r="AC40" t="inlineStr"/>
      <c r="AD40" t="inlineStr"/>
      <c r="AE40" t="inlineStr"/>
      <c r="AF40" t="n">
        <v>0.36</v>
      </c>
      <c r="AG40" t="inlineStr">
        <is>
          <t>informe</t>
        </is>
      </c>
      <c r="AH40" t="inlineStr"/>
      <c r="AI40" t="inlineStr"/>
      <c r="AJ40" t="inlineStr"/>
      <c r="AK40" t="n">
        <v>941</v>
      </c>
      <c r="AL40" t="n">
        <v>3330</v>
      </c>
      <c r="AM40" t="n">
        <v>2389</v>
      </c>
      <c r="AN40" t="inlineStr">
        <is>
          <t>máximo (φmax, σ1 máximo)</t>
        </is>
      </c>
      <c r="AO40" t="n">
        <v>34</v>
      </c>
      <c r="AP40" t="inlineStr"/>
      <c r="AQ40" t="inlineStr"/>
      <c r="AR40" t="inlineStr"/>
      <c r="AS40" t="inlineStr"/>
      <c r="AT40" t="inlineStr"/>
      <c r="AU40" t="inlineStr"/>
      <c r="AV40" t="n">
        <v>16.8</v>
      </c>
      <c r="AW40" t="inlineStr"/>
      <c r="AX40" t="inlineStr"/>
      <c r="AY40" t="inlineStr"/>
      <c r="AZ40" t="inlineStr"/>
      <c r="BA40" t="inlineStr">
        <is>
          <t>Zenodo xlsx; material y dmax en p.4 (Fig. 2a)</t>
        </is>
      </c>
      <c r="BB40" t="inlineStr">
        <is>
          <t>no (valores del xlsx; nombre, litología y dmax verificados en imagen p.4)</t>
        </is>
      </c>
      <c r="BC40" t="inlineStr">
        <is>
          <t>Ref. original: Marsal, 1973 | Material en la fuente: «Mica grad. X» (clase ROM/Chancado/Enrocado no indicada) | Datos por ensayo del repositorio Zenodo doi:10.5281/zenodo.3625778 (xlsx v1; ensayo_id = N° de fila); el artículo solo trae la lista de materiales (Fig. 2a) | q calculado = σ1−σ3 | E50 = 51.0 MPa | SÍ en base Cylwik, equivalente probable: Marsal (1973)|M11|404</t>
        </is>
      </c>
    </row>
    <row r="41">
      <c r="A41" t="inlineStr">
        <is>
          <t>OV2020</t>
        </is>
      </c>
      <c r="B41" t="inlineStr">
        <is>
          <t>2020_Ovalle_Data Compilation from Large ICDTx on Coarse Crushable Rockfill Materials.pdf</t>
        </is>
      </c>
      <c r="C41" t="n">
        <v>2020</v>
      </c>
      <c r="D41" t="inlineStr">
        <is>
          <t>Ovalle, Linero, Dano, Bard, Hicher y Osses (2020), JGGE 146(9) 06020013</t>
        </is>
      </c>
      <c r="E41" t="inlineStr">
        <is>
          <t>CFE (México), inferido de p.3</t>
        </is>
      </c>
      <c r="F41" t="inlineStr">
        <is>
          <t>Mica grad. X</t>
        </is>
      </c>
      <c r="G41" t="n">
        <v>40</v>
      </c>
      <c r="H41" t="inlineStr">
        <is>
          <t>Granitic gneiss</t>
        </is>
      </c>
      <c r="I41" t="inlineStr">
        <is>
          <t>Gneis</t>
        </is>
      </c>
      <c r="J41" t="inlineStr">
        <is>
          <t>gneis granítico</t>
        </is>
      </c>
      <c r="K41" t="inlineStr"/>
      <c r="L41" t="inlineStr"/>
      <c r="M41" t="inlineStr"/>
      <c r="N41" t="inlineStr"/>
      <c r="O41" t="inlineStr">
        <is>
          <t>CID (compresión triaxial drenada)</t>
        </is>
      </c>
      <c r="P41" t="inlineStr">
        <is>
          <t>no indicado</t>
        </is>
      </c>
      <c r="Q41" t="n">
        <v>1130</v>
      </c>
      <c r="R41" t="inlineStr"/>
      <c r="S41" t="n">
        <v>200</v>
      </c>
      <c r="T41" t="inlineStr"/>
      <c r="U41" t="inlineStr"/>
      <c r="V41" t="inlineStr"/>
      <c r="W41" t="inlineStr"/>
      <c r="X41" t="n">
        <v>14</v>
      </c>
      <c r="Y41" t="inlineStr"/>
      <c r="Z41" t="inlineStr"/>
      <c r="AA41" t="inlineStr"/>
      <c r="AB41" t="inlineStr"/>
      <c r="AC41" t="inlineStr"/>
      <c r="AD41" t="inlineStr"/>
      <c r="AE41" t="inlineStr"/>
      <c r="AF41" t="n">
        <v>0.38</v>
      </c>
      <c r="AG41" t="inlineStr">
        <is>
          <t>informe</t>
        </is>
      </c>
      <c r="AH41" t="inlineStr"/>
      <c r="AI41" t="inlineStr"/>
      <c r="AJ41" t="inlineStr"/>
      <c r="AK41" t="n">
        <v>1617</v>
      </c>
      <c r="AL41" t="n">
        <v>5433</v>
      </c>
      <c r="AM41" t="n">
        <v>3816</v>
      </c>
      <c r="AN41" t="inlineStr">
        <is>
          <t>máximo (φmax, σ1 máximo)</t>
        </is>
      </c>
      <c r="AO41" t="n">
        <v>32.8</v>
      </c>
      <c r="AP41" t="inlineStr"/>
      <c r="AQ41" t="inlineStr"/>
      <c r="AR41" t="inlineStr"/>
      <c r="AS41" t="inlineStr"/>
      <c r="AT41" t="inlineStr"/>
      <c r="AU41" t="inlineStr"/>
      <c r="AV41" t="n">
        <v>19</v>
      </c>
      <c r="AW41" t="inlineStr"/>
      <c r="AX41" t="inlineStr"/>
      <c r="AY41" t="inlineStr"/>
      <c r="AZ41" t="inlineStr"/>
      <c r="BA41" t="inlineStr">
        <is>
          <t>Zenodo xlsx; material y dmax en p.4 (Fig. 2a)</t>
        </is>
      </c>
      <c r="BB41" t="inlineStr">
        <is>
          <t>no (valores del xlsx; nombre, litología y dmax verificados en imagen p.4)</t>
        </is>
      </c>
      <c r="BC41" t="inlineStr">
        <is>
          <t>Ref. original: Marsal, 1973 | Material en la fuente: «Mica grad. X»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(1973)|M11|405</t>
        </is>
      </c>
    </row>
    <row r="42">
      <c r="A42" t="inlineStr">
        <is>
          <t>OV2020</t>
        </is>
      </c>
      <c r="B42" t="inlineStr">
        <is>
          <t>2020_Ovalle_Data Compilation from Large ICDTx on Coarse Crushable Rockfill Materials.pdf</t>
        </is>
      </c>
      <c r="C42" t="n">
        <v>2020</v>
      </c>
      <c r="D42" t="inlineStr">
        <is>
          <t>Ovalle, Linero, Dano, Bard, Hicher y Osses (2020), JGGE 146(9) 06020013</t>
        </is>
      </c>
      <c r="E42" t="inlineStr">
        <is>
          <t>CFE (México), inferido de p.3</t>
        </is>
      </c>
      <c r="F42" t="inlineStr">
        <is>
          <t>Mica grad. X</t>
        </is>
      </c>
      <c r="G42" t="n">
        <v>41</v>
      </c>
      <c r="H42" t="inlineStr">
        <is>
          <t>Granitic gneiss</t>
        </is>
      </c>
      <c r="I42" t="inlineStr">
        <is>
          <t>Gneis</t>
        </is>
      </c>
      <c r="J42" t="inlineStr">
        <is>
          <t>gneis granítico</t>
        </is>
      </c>
      <c r="K42" t="inlineStr"/>
      <c r="L42" t="inlineStr"/>
      <c r="M42" t="inlineStr"/>
      <c r="N42" t="inlineStr"/>
      <c r="O42" t="inlineStr">
        <is>
          <t>CID (compresión triaxial drenada)</t>
        </is>
      </c>
      <c r="P42" t="inlineStr">
        <is>
          <t>no indicado</t>
        </is>
      </c>
      <c r="Q42" t="n">
        <v>1130</v>
      </c>
      <c r="R42" t="inlineStr"/>
      <c r="S42" t="n">
        <v>200</v>
      </c>
      <c r="T42" t="inlineStr"/>
      <c r="U42" t="inlineStr"/>
      <c r="V42" t="inlineStr"/>
      <c r="W42" t="inlineStr"/>
      <c r="X42" t="n">
        <v>14</v>
      </c>
      <c r="Y42" t="inlineStr"/>
      <c r="Z42" t="inlineStr"/>
      <c r="AA42" t="inlineStr"/>
      <c r="AB42" t="inlineStr"/>
      <c r="AC42" t="inlineStr"/>
      <c r="AD42" t="inlineStr"/>
      <c r="AE42" t="inlineStr"/>
      <c r="AF42" t="n">
        <v>0.36</v>
      </c>
      <c r="AG42" t="inlineStr">
        <is>
          <t>informe</t>
        </is>
      </c>
      <c r="AH42" t="inlineStr"/>
      <c r="AI42" t="inlineStr"/>
      <c r="AJ42" t="inlineStr"/>
      <c r="AK42" t="n">
        <v>2421</v>
      </c>
      <c r="AL42" t="n">
        <v>7964</v>
      </c>
      <c r="AM42" t="n">
        <v>5543</v>
      </c>
      <c r="AN42" t="inlineStr">
        <is>
          <t>máximo (φmax, σ1 máximo)</t>
        </is>
      </c>
      <c r="AO42" t="n">
        <v>32.3</v>
      </c>
      <c r="AP42" t="inlineStr"/>
      <c r="AQ42" t="inlineStr"/>
      <c r="AR42" t="inlineStr"/>
      <c r="AS42" t="inlineStr"/>
      <c r="AT42" t="inlineStr"/>
      <c r="AU42" t="inlineStr"/>
      <c r="AV42" t="n">
        <v>23.9</v>
      </c>
      <c r="AW42" t="inlineStr"/>
      <c r="AX42" t="inlineStr"/>
      <c r="AY42" t="inlineStr"/>
      <c r="AZ42" t="inlineStr"/>
      <c r="BA42" t="inlineStr">
        <is>
          <t>Zenodo xlsx; material y dmax en p.4 (Fig. 2a)</t>
        </is>
      </c>
      <c r="BB42" t="inlineStr">
        <is>
          <t>no (valores del xlsx; nombre, litología y dmax verificados en imagen p.4)</t>
        </is>
      </c>
      <c r="BC42" t="inlineStr">
        <is>
          <t>Ref. original: Marsal, 1973 | Material en la fuente: «Mica grad. X» (clase ROM/Chancado/Enrocado no indicada) | Datos por ensayo del repositorio Zenodo doi:10.5281/zenodo.3625778 (xlsx v1; ensayo_id = N° de fila); el artículo solo trae la lista de materiales (Fig. 2a) | q calculado = σ1−σ3 | E50 = 96.3 MPa | SÍ en base Cylwik, equivalente probable: Marsal (1973)|M11|406</t>
        </is>
      </c>
    </row>
    <row r="43">
      <c r="A43" t="inlineStr">
        <is>
          <t>OV2020</t>
        </is>
      </c>
      <c r="B43" t="inlineStr">
        <is>
          <t>2020_Ovalle_Data Compilation from Large ICDTx on Coarse Crushable Rockfill Materials.pdf</t>
        </is>
      </c>
      <c r="C43" t="n">
        <v>2020</v>
      </c>
      <c r="D43" t="inlineStr">
        <is>
          <t>Ovalle, Linero, Dano, Bard, Hicher y Osses (2020), JGGE 146(9) 06020013</t>
        </is>
      </c>
      <c r="E43" t="inlineStr">
        <is>
          <t>CFE (México), inferido de p.3</t>
        </is>
      </c>
      <c r="F43" t="inlineStr">
        <is>
          <t>Mica grad. Y</t>
        </is>
      </c>
      <c r="G43" t="n">
        <v>42</v>
      </c>
      <c r="H43" t="inlineStr">
        <is>
          <t>Granitic gneiss</t>
        </is>
      </c>
      <c r="I43" t="inlineStr">
        <is>
          <t>Gneis</t>
        </is>
      </c>
      <c r="J43" t="inlineStr">
        <is>
          <t>gneis granítico</t>
        </is>
      </c>
      <c r="K43" t="inlineStr"/>
      <c r="L43" t="inlineStr"/>
      <c r="M43" t="inlineStr"/>
      <c r="N43" t="inlineStr"/>
      <c r="O43" t="inlineStr">
        <is>
          <t>CID (compresión triaxial drenada)</t>
        </is>
      </c>
      <c r="P43" t="inlineStr">
        <is>
          <t>no indicado</t>
        </is>
      </c>
      <c r="Q43" t="n">
        <v>1130</v>
      </c>
      <c r="R43" t="inlineStr"/>
      <c r="S43" t="n">
        <v>200</v>
      </c>
      <c r="T43" t="inlineStr"/>
      <c r="U43" t="inlineStr"/>
      <c r="V43" t="inlineStr"/>
      <c r="W43" t="inlineStr"/>
      <c r="X43" t="n">
        <v>2.5</v>
      </c>
      <c r="Y43" t="inlineStr"/>
      <c r="Z43" t="inlineStr"/>
      <c r="AA43" t="inlineStr"/>
      <c r="AB43" t="inlineStr"/>
      <c r="AC43" t="inlineStr"/>
      <c r="AD43" t="inlineStr"/>
      <c r="AE43" t="inlineStr"/>
      <c r="AF43" t="n">
        <v>0.66</v>
      </c>
      <c r="AG43" t="inlineStr">
        <is>
          <t>informe</t>
        </is>
      </c>
      <c r="AH43" t="inlineStr"/>
      <c r="AI43" t="inlineStr"/>
      <c r="AJ43" t="inlineStr"/>
      <c r="AK43" t="n">
        <v>449</v>
      </c>
      <c r="AL43" t="n">
        <v>1580</v>
      </c>
      <c r="AM43" t="n">
        <v>1131</v>
      </c>
      <c r="AN43" t="inlineStr">
        <is>
          <t>máximo (φmax, σ1 máximo)</t>
        </is>
      </c>
      <c r="AO43" t="n">
        <v>33.9</v>
      </c>
      <c r="AP43" t="inlineStr"/>
      <c r="AQ43" t="inlineStr"/>
      <c r="AR43" t="inlineStr"/>
      <c r="AS43" t="inlineStr"/>
      <c r="AT43" t="inlineStr"/>
      <c r="AU43" t="inlineStr"/>
      <c r="AV43" t="n">
        <v>23.5</v>
      </c>
      <c r="AW43" t="inlineStr"/>
      <c r="AX43" t="inlineStr"/>
      <c r="AY43" t="inlineStr"/>
      <c r="AZ43" t="inlineStr"/>
      <c r="BA43" t="inlineStr">
        <is>
          <t>Zenodo xlsx; material y dmax en p.4 (Fig. 2a)</t>
        </is>
      </c>
      <c r="BB43" t="inlineStr">
        <is>
          <t>no (valores del xlsx; nombre, litología y dmax verificados en imagen p.4)</t>
        </is>
      </c>
      <c r="BC43" t="inlineStr">
        <is>
          <t>Ref. original: Marsal, 1973 | Material en la fuente: «Mica grad. Y» (clase ROM/Chancado/Enrocado no indicada) | Datos por ensayo del repositorio Zenodo doi:10.5281/zenodo.3625778 (xlsx v1; ensayo_id = N° de fila); el artículo solo trae la lista de materiales (Fig. 2a) | q calculado = σ1−σ3 | E50 = 13.5 MPa | SÍ en base Cylwik, equivalente probable: Marsal (1973)|M12|407</t>
        </is>
      </c>
    </row>
    <row r="44">
      <c r="A44" t="inlineStr">
        <is>
          <t>OV2020</t>
        </is>
      </c>
      <c r="B44" t="inlineStr">
        <is>
          <t>2020_Ovalle_Data Compilation from Large ICDTx on Coarse Crushable Rockfill Materials.pdf</t>
        </is>
      </c>
      <c r="C44" t="n">
        <v>2020</v>
      </c>
      <c r="D44" t="inlineStr">
        <is>
          <t>Ovalle, Linero, Dano, Bard, Hicher y Osses (2020), JGGE 146(9) 06020013</t>
        </is>
      </c>
      <c r="E44" t="inlineStr">
        <is>
          <t>CFE (México), inferido de p.3</t>
        </is>
      </c>
      <c r="F44" t="inlineStr">
        <is>
          <t>Mica grad. Y</t>
        </is>
      </c>
      <c r="G44" t="n">
        <v>43</v>
      </c>
      <c r="H44" t="inlineStr">
        <is>
          <t>Granitic gneiss</t>
        </is>
      </c>
      <c r="I44" t="inlineStr">
        <is>
          <t>Gneis</t>
        </is>
      </c>
      <c r="J44" t="inlineStr">
        <is>
          <t>gneis granítico</t>
        </is>
      </c>
      <c r="K44" t="inlineStr"/>
      <c r="L44" t="inlineStr"/>
      <c r="M44" t="inlineStr"/>
      <c r="N44" t="inlineStr"/>
      <c r="O44" t="inlineStr">
        <is>
          <t>CID (compresión triaxial drenada)</t>
        </is>
      </c>
      <c r="P44" t="inlineStr">
        <is>
          <t>no indicado</t>
        </is>
      </c>
      <c r="Q44" t="n">
        <v>1130</v>
      </c>
      <c r="R44" t="inlineStr"/>
      <c r="S44" t="n">
        <v>200</v>
      </c>
      <c r="T44" t="inlineStr"/>
      <c r="U44" t="inlineStr"/>
      <c r="V44" t="inlineStr"/>
      <c r="W44" t="inlineStr"/>
      <c r="X44" t="n">
        <v>2.5</v>
      </c>
      <c r="Y44" t="inlineStr"/>
      <c r="Z44" t="inlineStr"/>
      <c r="AA44" t="inlineStr"/>
      <c r="AB44" t="inlineStr"/>
      <c r="AC44" t="inlineStr"/>
      <c r="AD44" t="inlineStr"/>
      <c r="AE44" t="inlineStr"/>
      <c r="AF44" t="n">
        <v>0.63</v>
      </c>
      <c r="AG44" t="inlineStr">
        <is>
          <t>informe</t>
        </is>
      </c>
      <c r="AH44" t="inlineStr"/>
      <c r="AI44" t="inlineStr"/>
      <c r="AJ44" t="inlineStr"/>
      <c r="AK44" t="n">
        <v>937</v>
      </c>
      <c r="AL44" t="n">
        <v>3204</v>
      </c>
      <c r="AM44" t="n">
        <v>2267</v>
      </c>
      <c r="AN44" t="inlineStr">
        <is>
          <t>máximo (φmax, σ1 máximo)</t>
        </is>
      </c>
      <c r="AO44" t="n">
        <v>33.2</v>
      </c>
      <c r="AP44" t="inlineStr"/>
      <c r="AQ44" t="inlineStr"/>
      <c r="AR44" t="inlineStr"/>
      <c r="AS44" t="inlineStr"/>
      <c r="AT44" t="inlineStr"/>
      <c r="AU44" t="inlineStr"/>
      <c r="AV44" t="n">
        <v>32.9</v>
      </c>
      <c r="AW44" t="inlineStr"/>
      <c r="AX44" t="inlineStr"/>
      <c r="AY44" t="inlineStr"/>
      <c r="AZ44" t="inlineStr"/>
      <c r="BA44" t="inlineStr">
        <is>
          <t>Zenodo xlsx; material y dmax en p.4 (Fig. 2a)</t>
        </is>
      </c>
      <c r="BB44" t="inlineStr">
        <is>
          <t>no (valores del xlsx; nombre, litología y dmax verificados en imagen p.4)</t>
        </is>
      </c>
      <c r="BC44" t="inlineStr">
        <is>
          <t>Ref. original: Marsal, 1973 | Material en la fuente: «Mica grad. Y» (clase ROM/Chancado/Enrocado no indicada) | Datos por ensayo del repositorio Zenodo doi:10.5281/zenodo.3625778 (xlsx v1; ensayo_id = N° de fila); el artículo solo trae la lista de materiales (Fig. 2a) | q calculado = σ1−σ3 | E50 = 16.3 MPa | SÍ en base Cylwik, equivalente probable: Marsal (1973)|M12|408</t>
        </is>
      </c>
    </row>
    <row r="45">
      <c r="A45" t="inlineStr">
        <is>
          <t>OV2020</t>
        </is>
      </c>
      <c r="B45" t="inlineStr">
        <is>
          <t>2020_Ovalle_Data Compilation from Large ICDTx on Coarse Crushable Rockfill Materials.pdf</t>
        </is>
      </c>
      <c r="C45" t="n">
        <v>2020</v>
      </c>
      <c r="D45" t="inlineStr">
        <is>
          <t>Ovalle, Linero, Dano, Bard, Hicher y Osses (2020), JGGE 146(9) 06020013</t>
        </is>
      </c>
      <c r="E45" t="inlineStr">
        <is>
          <t>CFE (México), inferido de p.3</t>
        </is>
      </c>
      <c r="F45" t="inlineStr">
        <is>
          <t>Mica grad. Y</t>
        </is>
      </c>
      <c r="G45" t="n">
        <v>44</v>
      </c>
      <c r="H45" t="inlineStr">
        <is>
          <t>Granitic gneiss</t>
        </is>
      </c>
      <c r="I45" t="inlineStr">
        <is>
          <t>Gneis</t>
        </is>
      </c>
      <c r="J45" t="inlineStr">
        <is>
          <t>gneis granítico</t>
        </is>
      </c>
      <c r="K45" t="inlineStr"/>
      <c r="L45" t="inlineStr"/>
      <c r="M45" t="inlineStr"/>
      <c r="N45" t="inlineStr"/>
      <c r="O45" t="inlineStr">
        <is>
          <t>CID (compresión triaxial drenada)</t>
        </is>
      </c>
      <c r="P45" t="inlineStr">
        <is>
          <t>no indicado</t>
        </is>
      </c>
      <c r="Q45" t="n">
        <v>1130</v>
      </c>
      <c r="R45" t="inlineStr"/>
      <c r="S45" t="n">
        <v>200</v>
      </c>
      <c r="T45" t="inlineStr"/>
      <c r="U45" t="inlineStr"/>
      <c r="V45" t="inlineStr"/>
      <c r="W45" t="inlineStr"/>
      <c r="X45" t="n">
        <v>2.5</v>
      </c>
      <c r="Y45" t="inlineStr"/>
      <c r="Z45" t="inlineStr"/>
      <c r="AA45" t="inlineStr"/>
      <c r="AB45" t="inlineStr"/>
      <c r="AC45" t="inlineStr"/>
      <c r="AD45" t="inlineStr"/>
      <c r="AE45" t="inlineStr"/>
      <c r="AF45" t="n">
        <v>0.68</v>
      </c>
      <c r="AG45" t="inlineStr">
        <is>
          <t>informe</t>
        </is>
      </c>
      <c r="AH45" t="inlineStr"/>
      <c r="AI45" t="inlineStr"/>
      <c r="AJ45" t="inlineStr"/>
      <c r="AK45" t="n">
        <v>1627</v>
      </c>
      <c r="AL45" t="n">
        <v>5222</v>
      </c>
      <c r="AM45" t="n">
        <v>3595</v>
      </c>
      <c r="AN45" t="inlineStr">
        <is>
          <t>máximo (φmax, σ1 máximo)</t>
        </is>
      </c>
      <c r="AO45" t="n">
        <v>31.7</v>
      </c>
      <c r="AP45" t="inlineStr"/>
      <c r="AQ45" t="inlineStr"/>
      <c r="AR45" t="inlineStr"/>
      <c r="AS45" t="inlineStr"/>
      <c r="AT45" t="inlineStr"/>
      <c r="AU45" t="inlineStr"/>
      <c r="AV45" t="n">
        <v>43.2</v>
      </c>
      <c r="AW45" t="inlineStr"/>
      <c r="AX45" t="inlineStr"/>
      <c r="AY45" t="inlineStr"/>
      <c r="AZ45" t="inlineStr"/>
      <c r="BA45" t="inlineStr">
        <is>
          <t>Zenodo xlsx; material y dmax en p.4 (Fig. 2a)</t>
        </is>
      </c>
      <c r="BB45" t="inlineStr">
        <is>
          <t>no (valores del xlsx; nombre, litología y dmax verificados en imagen p.4)</t>
        </is>
      </c>
      <c r="BC45" t="inlineStr">
        <is>
          <t>Ref. original: Marsal, 1973 | Material en la fuente: «Mica grad. Y» (clase ROM/Chancado/Enrocado no indicada) | Datos por ensayo del repositorio Zenodo doi:10.5281/zenodo.3625778 (xlsx v1; ensayo_id = N° de fila); el artículo solo trae la lista de materiales (Fig. 2a) | q calculado = σ1−σ3 | E50 = 36.1 MPa | SÍ en base Cylwik, equivalente probable: Marsal (1973)|M12|409</t>
        </is>
      </c>
    </row>
    <row r="46">
      <c r="A46" t="inlineStr">
        <is>
          <t>OV2020</t>
        </is>
      </c>
      <c r="B46" t="inlineStr">
        <is>
          <t>2020_Ovalle_Data Compilation from Large ICDTx on Coarse Crushable Rockfill Materials.pdf</t>
        </is>
      </c>
      <c r="C46" t="n">
        <v>2020</v>
      </c>
      <c r="D46" t="inlineStr">
        <is>
          <t>Ovalle, Linero, Dano, Bard, Hicher y Osses (2020), JGGE 146(9) 06020013</t>
        </is>
      </c>
      <c r="E46" t="inlineStr">
        <is>
          <t>CFE (México), inferido de p.3</t>
        </is>
      </c>
      <c r="F46" t="inlineStr">
        <is>
          <t>San Francisco grad. 1</t>
        </is>
      </c>
      <c r="G46" t="n">
        <v>45</v>
      </c>
      <c r="H46" t="inlineStr">
        <is>
          <t>Basalt</t>
        </is>
      </c>
      <c r="I46" t="inlineStr">
        <is>
          <t>Basalto</t>
        </is>
      </c>
      <c r="J46" t="inlineStr"/>
      <c r="K46" t="inlineStr"/>
      <c r="L46" t="inlineStr"/>
      <c r="M46" t="inlineStr"/>
      <c r="N46" t="inlineStr"/>
      <c r="O46" t="inlineStr">
        <is>
          <t>CID (compresión triaxial drenada)</t>
        </is>
      </c>
      <c r="P46" t="inlineStr">
        <is>
          <t>no indicado</t>
        </is>
      </c>
      <c r="Q46" t="n">
        <v>1130</v>
      </c>
      <c r="R46" t="inlineStr"/>
      <c r="S46" t="n">
        <v>80</v>
      </c>
      <c r="T46" t="inlineStr"/>
      <c r="U46" t="inlineStr"/>
      <c r="V46" t="inlineStr"/>
      <c r="W46" t="inlineStr"/>
      <c r="X46" t="n">
        <v>11</v>
      </c>
      <c r="Y46" t="inlineStr"/>
      <c r="Z46" t="inlineStr"/>
      <c r="AA46" t="inlineStr"/>
      <c r="AB46" t="inlineStr"/>
      <c r="AC46" t="inlineStr"/>
      <c r="AD46" t="inlineStr"/>
      <c r="AE46" t="inlineStr"/>
      <c r="AF46" t="n">
        <v>0.39</v>
      </c>
      <c r="AG46" t="inlineStr">
        <is>
          <t>informe</t>
        </is>
      </c>
      <c r="AH46" t="inlineStr"/>
      <c r="AI46" t="inlineStr"/>
      <c r="AJ46" t="inlineStr"/>
      <c r="AK46" t="n">
        <v>460</v>
      </c>
      <c r="AL46" t="n">
        <v>2668</v>
      </c>
      <c r="AM46" t="n">
        <v>2208</v>
      </c>
      <c r="AN46" t="inlineStr">
        <is>
          <t>máximo (φmax, σ1 máximo)</t>
        </is>
      </c>
      <c r="AO46" t="n">
        <v>44.9</v>
      </c>
      <c r="AP46" t="inlineStr"/>
      <c r="AQ46" t="inlineStr"/>
      <c r="AR46" t="inlineStr"/>
      <c r="AS46" t="inlineStr"/>
      <c r="AT46" t="inlineStr"/>
      <c r="AU46" t="inlineStr"/>
      <c r="AV46" t="n">
        <v>8.300000000000001</v>
      </c>
      <c r="AW46" t="inlineStr"/>
      <c r="AX46" t="inlineStr"/>
      <c r="AY46" t="inlineStr"/>
      <c r="AZ46" t="inlineStr"/>
      <c r="BA46" t="inlineStr">
        <is>
          <t>Zenodo xlsx; material y dmax en p.4 (Fig. 2a)</t>
        </is>
      </c>
      <c r="BB46" t="inlineStr">
        <is>
          <t>no (valores del xlsx; nombre, litología y dmax verificados en imagen p.4)</t>
        </is>
      </c>
      <c r="BC46" t="inlineStr">
        <is>
          <t>Ref. original: Marsal, 1973 | Material en la fuente: «San Francisco grad. 1»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(1973)|M5|437</t>
        </is>
      </c>
    </row>
    <row r="47">
      <c r="A47" t="inlineStr">
        <is>
          <t>OV2020</t>
        </is>
      </c>
      <c r="B47" t="inlineStr">
        <is>
          <t>2020_Ovalle_Data Compilation from Large ICDTx on Coarse Crushable Rockfill Materials.pdf</t>
        </is>
      </c>
      <c r="C47" t="n">
        <v>2020</v>
      </c>
      <c r="D47" t="inlineStr">
        <is>
          <t>Ovalle, Linero, Dano, Bard, Hicher y Osses (2020), JGGE 146(9) 06020013</t>
        </is>
      </c>
      <c r="E47" t="inlineStr">
        <is>
          <t>CFE (México), inferido de p.3</t>
        </is>
      </c>
      <c r="F47" t="inlineStr">
        <is>
          <t>San Francisco grad. 1</t>
        </is>
      </c>
      <c r="G47" t="n">
        <v>46</v>
      </c>
      <c r="H47" t="inlineStr">
        <is>
          <t>Basalt</t>
        </is>
      </c>
      <c r="I47" t="inlineStr">
        <is>
          <t>Basalto</t>
        </is>
      </c>
      <c r="J47" t="inlineStr"/>
      <c r="K47" t="inlineStr"/>
      <c r="L47" t="inlineStr"/>
      <c r="M47" t="inlineStr"/>
      <c r="N47" t="inlineStr"/>
      <c r="O47" t="inlineStr">
        <is>
          <t>CID (compresión triaxial drenada)</t>
        </is>
      </c>
      <c r="P47" t="inlineStr">
        <is>
          <t>no indicado</t>
        </is>
      </c>
      <c r="Q47" t="n">
        <v>1130</v>
      </c>
      <c r="R47" t="inlineStr"/>
      <c r="S47" t="n">
        <v>80</v>
      </c>
      <c r="T47" t="inlineStr"/>
      <c r="U47" t="inlineStr"/>
      <c r="V47" t="inlineStr"/>
      <c r="W47" t="inlineStr"/>
      <c r="X47" t="n">
        <v>14</v>
      </c>
      <c r="Y47" t="inlineStr"/>
      <c r="Z47" t="inlineStr"/>
      <c r="AA47" t="inlineStr"/>
      <c r="AB47" t="inlineStr"/>
      <c r="AC47" t="inlineStr"/>
      <c r="AD47" t="inlineStr"/>
      <c r="AE47" t="inlineStr"/>
      <c r="AF47" t="n">
        <v>0.33</v>
      </c>
      <c r="AG47" t="inlineStr">
        <is>
          <t>informe</t>
        </is>
      </c>
      <c r="AH47" t="inlineStr"/>
      <c r="AI47" t="inlineStr"/>
      <c r="AJ47" t="inlineStr"/>
      <c r="AK47" t="n">
        <v>960</v>
      </c>
      <c r="AL47" t="n">
        <v>4550</v>
      </c>
      <c r="AM47" t="n">
        <v>3590</v>
      </c>
      <c r="AN47" t="inlineStr">
        <is>
          <t>máximo (φmax, σ1 máximo)</t>
        </is>
      </c>
      <c r="AO47" t="n">
        <v>40.7</v>
      </c>
      <c r="AP47" t="inlineStr"/>
      <c r="AQ47" t="inlineStr"/>
      <c r="AR47" t="inlineStr"/>
      <c r="AS47" t="inlineStr"/>
      <c r="AT47" t="inlineStr"/>
      <c r="AU47" t="inlineStr"/>
      <c r="AV47" t="n">
        <v>7.7</v>
      </c>
      <c r="AW47" t="inlineStr"/>
      <c r="AX47" t="inlineStr"/>
      <c r="AY47" t="inlineStr"/>
      <c r="AZ47" t="inlineStr"/>
      <c r="BA47" t="inlineStr">
        <is>
          <t>Zenodo xlsx; material y dmax en p.4 (Fig. 2a)</t>
        </is>
      </c>
      <c r="BB47" t="inlineStr">
        <is>
          <t>no (valores del xlsx; nombre, litología y dmax verificados en imagen p.4)</t>
        </is>
      </c>
      <c r="BC47" t="inlineStr">
        <is>
          <t>Ref. original: Marsal, 1973 | Material en la fuente: «San Francisco grad. 1»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(1973)|M1|395</t>
        </is>
      </c>
    </row>
    <row r="48">
      <c r="A48" t="inlineStr">
        <is>
          <t>OV2020</t>
        </is>
      </c>
      <c r="B48" t="inlineStr">
        <is>
          <t>2020_Ovalle_Data Compilation from Large ICDTx on Coarse Crushable Rockfill Materials.pdf</t>
        </is>
      </c>
      <c r="C48" t="n">
        <v>2020</v>
      </c>
      <c r="D48" t="inlineStr">
        <is>
          <t>Ovalle, Linero, Dano, Bard, Hicher y Osses (2020), JGGE 146(9) 06020013</t>
        </is>
      </c>
      <c r="E48" t="inlineStr">
        <is>
          <t>CFE (México), inferido de p.3</t>
        </is>
      </c>
      <c r="F48" t="inlineStr">
        <is>
          <t>San Francisco grad. 1</t>
        </is>
      </c>
      <c r="G48" t="n">
        <v>47</v>
      </c>
      <c r="H48" t="inlineStr">
        <is>
          <t>Basalt</t>
        </is>
      </c>
      <c r="I48" t="inlineStr">
        <is>
          <t>Basalto</t>
        </is>
      </c>
      <c r="J48" t="inlineStr"/>
      <c r="K48" t="inlineStr"/>
      <c r="L48" t="inlineStr"/>
      <c r="M48" t="inlineStr"/>
      <c r="N48" t="inlineStr"/>
      <c r="O48" t="inlineStr">
        <is>
          <t>CID (compresión triaxial drenada)</t>
        </is>
      </c>
      <c r="P48" t="inlineStr">
        <is>
          <t>no indicado</t>
        </is>
      </c>
      <c r="Q48" t="n">
        <v>1130</v>
      </c>
      <c r="R48" t="inlineStr"/>
      <c r="S48" t="n">
        <v>80</v>
      </c>
      <c r="T48" t="inlineStr"/>
      <c r="U48" t="inlineStr"/>
      <c r="V48" t="inlineStr"/>
      <c r="W48" t="inlineStr"/>
      <c r="X48" t="n">
        <v>14</v>
      </c>
      <c r="Y48" t="inlineStr"/>
      <c r="Z48" t="inlineStr"/>
      <c r="AA48" t="inlineStr"/>
      <c r="AB48" t="inlineStr"/>
      <c r="AC48" t="inlineStr"/>
      <c r="AD48" t="inlineStr"/>
      <c r="AE48" t="inlineStr"/>
      <c r="AF48" t="n">
        <v>0.38</v>
      </c>
      <c r="AG48" t="inlineStr">
        <is>
          <t>informe</t>
        </is>
      </c>
      <c r="AH48" t="inlineStr"/>
      <c r="AI48" t="inlineStr"/>
      <c r="AJ48" t="inlineStr"/>
      <c r="AK48" t="n">
        <v>2420</v>
      </c>
      <c r="AL48" t="n">
        <v>10188</v>
      </c>
      <c r="AM48" t="n">
        <v>7768</v>
      </c>
      <c r="AN48" t="inlineStr">
        <is>
          <t>máximo (φmax, σ1 máximo)</t>
        </is>
      </c>
      <c r="AO48" t="n">
        <v>38</v>
      </c>
      <c r="AP48" t="inlineStr"/>
      <c r="AQ48" t="inlineStr"/>
      <c r="AR48" t="inlineStr"/>
      <c r="AS48" t="inlineStr"/>
      <c r="AT48" t="inlineStr"/>
      <c r="AU48" t="inlineStr"/>
      <c r="AV48" t="n">
        <v>15</v>
      </c>
      <c r="AW48" t="inlineStr"/>
      <c r="AX48" t="inlineStr"/>
      <c r="AY48" t="inlineStr"/>
      <c r="AZ48" t="inlineStr"/>
      <c r="BA48" t="inlineStr">
        <is>
          <t>Zenodo xlsx; material y dmax en p.4 (Fig. 2a)</t>
        </is>
      </c>
      <c r="BB48" t="inlineStr">
        <is>
          <t>no (valores del xlsx; nombre, litología y dmax verificados en imagen p.4)</t>
        </is>
      </c>
      <c r="BC48" t="inlineStr">
        <is>
          <t>Ref. original: Marsal, 1973 | Material en la fuente: «San Francisco grad. 1»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(1973)|M4|436</t>
        </is>
      </c>
    </row>
    <row r="49">
      <c r="A49" t="inlineStr">
        <is>
          <t>OV2020</t>
        </is>
      </c>
      <c r="B49" t="inlineStr">
        <is>
          <t>2020_Ovalle_Data Compilation from Large ICDTx on Coarse Crushable Rockfill Materials.pdf</t>
        </is>
      </c>
      <c r="C49" t="n">
        <v>2020</v>
      </c>
      <c r="D49" t="inlineStr">
        <is>
          <t>Ovalle, Linero, Dano, Bard, Hicher y Osses (2020), JGGE 146(9) 06020013</t>
        </is>
      </c>
      <c r="E49" t="inlineStr">
        <is>
          <t>CFE (México), inferido de p.3</t>
        </is>
      </c>
      <c r="F49" t="inlineStr">
        <is>
          <t>Infiernillo (dry)</t>
        </is>
      </c>
      <c r="G49" t="n">
        <v>48</v>
      </c>
      <c r="H49" t="inlineStr">
        <is>
          <t>Basalt</t>
        </is>
      </c>
      <c r="I49" t="inlineStr">
        <is>
          <t>Basalto</t>
        </is>
      </c>
      <c r="J49" t="inlineStr"/>
      <c r="K49" t="inlineStr"/>
      <c r="L49" t="inlineStr"/>
      <c r="M49" t="inlineStr"/>
      <c r="N49" t="inlineStr"/>
      <c r="O49" t="inlineStr">
        <is>
          <t>CID (compresión triaxial drenada)</t>
        </is>
      </c>
      <c r="P49" t="inlineStr">
        <is>
          <t>no</t>
        </is>
      </c>
      <c r="Q49" t="n">
        <v>1130</v>
      </c>
      <c r="R49" t="inlineStr"/>
      <c r="S49" t="n">
        <v>200</v>
      </c>
      <c r="T49" t="inlineStr"/>
      <c r="U49" t="inlineStr"/>
      <c r="V49" t="inlineStr"/>
      <c r="W49" t="inlineStr"/>
      <c r="X49" t="n">
        <v>19</v>
      </c>
      <c r="Y49" t="inlineStr"/>
      <c r="Z49" t="inlineStr"/>
      <c r="AA49" t="inlineStr"/>
      <c r="AB49" t="inlineStr"/>
      <c r="AC49" t="inlineStr"/>
      <c r="AD49" t="inlineStr"/>
      <c r="AE49" t="inlineStr"/>
      <c r="AF49" t="n">
        <v>0.3</v>
      </c>
      <c r="AG49" t="inlineStr">
        <is>
          <t>informe</t>
        </is>
      </c>
      <c r="AH49" t="inlineStr"/>
      <c r="AI49" t="inlineStr"/>
      <c r="AJ49" t="inlineStr"/>
      <c r="AK49" t="n">
        <v>2548</v>
      </c>
      <c r="AL49" t="n">
        <v>7951</v>
      </c>
      <c r="AM49" t="n">
        <v>5403</v>
      </c>
      <c r="AN49" t="inlineStr">
        <is>
          <t>máximo (φmax, σ1 máximo)</t>
        </is>
      </c>
      <c r="AO49" t="n">
        <v>31</v>
      </c>
      <c r="AP49" t="inlineStr"/>
      <c r="AQ49" t="inlineStr"/>
      <c r="AR49" t="inlineStr"/>
      <c r="AS49" t="inlineStr"/>
      <c r="AT49" t="inlineStr"/>
      <c r="AU49" t="inlineStr"/>
      <c r="AV49" t="n">
        <v>12</v>
      </c>
      <c r="AW49" t="inlineStr"/>
      <c r="AX49" t="inlineStr"/>
      <c r="AY49" t="inlineStr"/>
      <c r="AZ49" t="inlineStr"/>
      <c r="BA49" t="inlineStr">
        <is>
          <t>Zenodo xlsx; material y dmax en p.4 (Fig. 2a)</t>
        </is>
      </c>
      <c r="BB49" t="inlineStr">
        <is>
          <t>no (valores del xlsx; nombre, litología y dmax verificados en imagen p.4)</t>
        </is>
      </c>
      <c r="BC49" t="inlineStr">
        <is>
          <t>Ref. original: Marsal, 1967 | Material en la fuente: «Infiernillo (dry)» (clase ROM/Chancado/Enrocado no indicada) | Datos por ensayo del repositorio Zenodo doi:10.5281/zenodo.3625778 (xlsx v1; ensayo_id = N° de fila); el artículo solo trae la lista de materiales (Fig. 2a) | q calculado = σ1−σ3 | E50 = 96.9 MPa | NO en base Cylwik (Infiernillo basalto no figura; las coincidencias numéricas son con otros materiales)</t>
        </is>
      </c>
    </row>
    <row r="50">
      <c r="A50" t="inlineStr">
        <is>
          <t>OV2020</t>
        </is>
      </c>
      <c r="B50" t="inlineStr">
        <is>
          <t>2020_Ovalle_Data Compilation from Large ICDTx on Coarse Crushable Rockfill Materials.pdf</t>
        </is>
      </c>
      <c r="C50" t="n">
        <v>2020</v>
      </c>
      <c r="D50" t="inlineStr">
        <is>
          <t>Ovalle, Linero, Dano, Bard, Hicher y Osses (2020), JGGE 146(9) 06020013</t>
        </is>
      </c>
      <c r="E50" t="inlineStr">
        <is>
          <t>CFE (México), inferido de p.3</t>
        </is>
      </c>
      <c r="F50" t="inlineStr">
        <is>
          <t>Infiernillo (dry)</t>
        </is>
      </c>
      <c r="G50" t="n">
        <v>49</v>
      </c>
      <c r="H50" t="inlineStr">
        <is>
          <t>Basalt</t>
        </is>
      </c>
      <c r="I50" t="inlineStr">
        <is>
          <t>Basalto</t>
        </is>
      </c>
      <c r="J50" t="inlineStr"/>
      <c r="K50" t="inlineStr"/>
      <c r="L50" t="inlineStr"/>
      <c r="M50" t="inlineStr"/>
      <c r="N50" t="inlineStr"/>
      <c r="O50" t="inlineStr">
        <is>
          <t>CID (compresión triaxial drenada)</t>
        </is>
      </c>
      <c r="P50" t="inlineStr">
        <is>
          <t>no</t>
        </is>
      </c>
      <c r="Q50" t="n">
        <v>1130</v>
      </c>
      <c r="R50" t="inlineStr"/>
      <c r="S50" t="n">
        <v>200</v>
      </c>
      <c r="T50" t="inlineStr"/>
      <c r="U50" t="inlineStr"/>
      <c r="V50" t="inlineStr"/>
      <c r="W50" t="inlineStr"/>
      <c r="X50" t="n">
        <v>19</v>
      </c>
      <c r="Y50" t="inlineStr"/>
      <c r="Z50" t="inlineStr"/>
      <c r="AA50" t="inlineStr"/>
      <c r="AB50" t="inlineStr"/>
      <c r="AC50" t="inlineStr"/>
      <c r="AD50" t="inlineStr"/>
      <c r="AE50" t="inlineStr"/>
      <c r="AF50" t="n">
        <v>0.3</v>
      </c>
      <c r="AG50" t="inlineStr">
        <is>
          <t>informe</t>
        </is>
      </c>
      <c r="AH50" t="inlineStr"/>
      <c r="AI50" t="inlineStr"/>
      <c r="AJ50" t="inlineStr"/>
      <c r="AK50" t="n">
        <v>1019</v>
      </c>
      <c r="AL50" t="n">
        <v>4036</v>
      </c>
      <c r="AM50" t="n">
        <v>3017</v>
      </c>
      <c r="AN50" t="inlineStr">
        <is>
          <t>máximo (φmax, σ1 máximo)</t>
        </is>
      </c>
      <c r="AO50" t="n">
        <v>36.6</v>
      </c>
      <c r="AP50" t="inlineStr"/>
      <c r="AQ50" t="inlineStr"/>
      <c r="AR50" t="inlineStr"/>
      <c r="AS50" t="inlineStr"/>
      <c r="AT50" t="inlineStr"/>
      <c r="AU50" t="inlineStr"/>
      <c r="AV50" t="n">
        <v>11</v>
      </c>
      <c r="AW50" t="inlineStr"/>
      <c r="AX50" t="inlineStr"/>
      <c r="AY50" t="inlineStr"/>
      <c r="AZ50" t="inlineStr"/>
      <c r="BA50" t="inlineStr">
        <is>
          <t>Zenodo xlsx; material y dmax en p.4 (Fig. 2a)</t>
        </is>
      </c>
      <c r="BB50" t="inlineStr">
        <is>
          <t>no (valores del xlsx; nombre, litología y dmax verificados en imagen p.4)</t>
        </is>
      </c>
      <c r="BC50" t="inlineStr">
        <is>
          <t>Ref. original: Marsal, 1967 | Material en la fuente: «Infiernillo (dry)» (clase ROM/Chancado/Enrocado no indicada) | Datos por ensayo del repositorio Zenodo doi:10.5281/zenodo.3625778 (xlsx v1; ensayo_id = N° de fila); el artículo solo trae la lista de materiales (Fig. 2a) | q calculado = σ1−σ3 | E50 = 78.5 MPa | NO en base Cylwik (Infiernillo basalto no figura; las coincidencias numéricas son con otros materiales)</t>
        </is>
      </c>
    </row>
    <row r="51">
      <c r="A51" t="inlineStr">
        <is>
          <t>OV2020</t>
        </is>
      </c>
      <c r="B51" t="inlineStr">
        <is>
          <t>2020_Ovalle_Data Compilation from Large ICDTx on Coarse Crushable Rockfill Materials.pdf</t>
        </is>
      </c>
      <c r="C51" t="n">
        <v>2020</v>
      </c>
      <c r="D51" t="inlineStr">
        <is>
          <t>Ovalle, Linero, Dano, Bard, Hicher y Osses (2020), JGGE 146(9) 06020013</t>
        </is>
      </c>
      <c r="E51" t="inlineStr">
        <is>
          <t>CFE (México), inferido de p.3</t>
        </is>
      </c>
      <c r="F51" t="inlineStr">
        <is>
          <t>Infiernillo (dry)</t>
        </is>
      </c>
      <c r="G51" t="n">
        <v>50</v>
      </c>
      <c r="H51" t="inlineStr">
        <is>
          <t>Basalt</t>
        </is>
      </c>
      <c r="I51" t="inlineStr">
        <is>
          <t>Basalto</t>
        </is>
      </c>
      <c r="J51" t="inlineStr"/>
      <c r="K51" t="inlineStr"/>
      <c r="L51" t="inlineStr"/>
      <c r="M51" t="inlineStr"/>
      <c r="N51" t="inlineStr"/>
      <c r="O51" t="inlineStr">
        <is>
          <t>CID (compresión triaxial drenada)</t>
        </is>
      </c>
      <c r="P51" t="inlineStr">
        <is>
          <t>no</t>
        </is>
      </c>
      <c r="Q51" t="n">
        <v>1130</v>
      </c>
      <c r="R51" t="inlineStr"/>
      <c r="S51" t="n">
        <v>200</v>
      </c>
      <c r="T51" t="inlineStr"/>
      <c r="U51" t="inlineStr"/>
      <c r="V51" t="inlineStr"/>
      <c r="W51" t="inlineStr"/>
      <c r="X51" t="n">
        <v>19</v>
      </c>
      <c r="Y51" t="inlineStr"/>
      <c r="Z51" t="inlineStr"/>
      <c r="AA51" t="inlineStr"/>
      <c r="AB51" t="inlineStr"/>
      <c r="AC51" t="inlineStr"/>
      <c r="AD51" t="inlineStr"/>
      <c r="AE51" t="inlineStr"/>
      <c r="AF51" t="n">
        <v>0.3</v>
      </c>
      <c r="AG51" t="inlineStr">
        <is>
          <t>informe</t>
        </is>
      </c>
      <c r="AH51" t="inlineStr"/>
      <c r="AI51" t="inlineStr"/>
      <c r="AJ51" t="inlineStr"/>
      <c r="AK51" t="n">
        <v>510</v>
      </c>
      <c r="AL51" t="n">
        <v>2548</v>
      </c>
      <c r="AM51" t="n">
        <v>2038</v>
      </c>
      <c r="AN51" t="inlineStr">
        <is>
          <t>máximo (φmax, σ1 máximo)</t>
        </is>
      </c>
      <c r="AO51" t="n">
        <v>41.8</v>
      </c>
      <c r="AP51" t="inlineStr"/>
      <c r="AQ51" t="inlineStr"/>
      <c r="AR51" t="inlineStr"/>
      <c r="AS51" t="inlineStr"/>
      <c r="AT51" t="inlineStr"/>
      <c r="AU51" t="inlineStr"/>
      <c r="AV51" t="n">
        <v>13</v>
      </c>
      <c r="AW51" t="inlineStr"/>
      <c r="AX51" t="inlineStr"/>
      <c r="AY51" t="inlineStr"/>
      <c r="AZ51" t="inlineStr"/>
      <c r="BA51" t="inlineStr">
        <is>
          <t>Zenodo xlsx; material y dmax en p.4 (Fig. 2a)</t>
        </is>
      </c>
      <c r="BB51" t="inlineStr">
        <is>
          <t>no (valores del xlsx; nombre, litología y dmax verificados en imagen p.4)</t>
        </is>
      </c>
      <c r="BC51" t="inlineStr">
        <is>
          <t>Ref. original: Marsal, 1967 | Material en la fuente: «Infiernillo (dry)» (clase ROM/Chancado/Enrocado no indicada) | Datos por ensayo del repositorio Zenodo doi:10.5281/zenodo.3625778 (xlsx v1; ensayo_id = N° de fila); el artículo solo trae la lista de materiales (Fig. 2a) | q calculado = σ1−σ3 | E50 = 61.3 MPa | NO en base Cylwik (Infiernillo basalto no figura; las coincidencias numéricas son con otros materiales)</t>
        </is>
      </c>
    </row>
    <row r="52">
      <c r="A52" t="inlineStr">
        <is>
          <t>OV2020</t>
        </is>
      </c>
      <c r="B52" t="inlineStr">
        <is>
          <t>2020_Ovalle_Data Compilation from Large ICDTx on Coarse Crushable Rockfill Materials.pdf</t>
        </is>
      </c>
      <c r="C52" t="n">
        <v>2020</v>
      </c>
      <c r="D52" t="inlineStr">
        <is>
          <t>Ovalle, Linero, Dano, Bard, Hicher y Osses (2020), JGGE 146(9) 06020013</t>
        </is>
      </c>
      <c r="E52" t="inlineStr">
        <is>
          <t>CFE (México), inferido de p.3</t>
        </is>
      </c>
      <c r="F52" t="inlineStr">
        <is>
          <t>Infiernillo (dry)</t>
        </is>
      </c>
      <c r="G52" t="n">
        <v>51</v>
      </c>
      <c r="H52" t="inlineStr">
        <is>
          <t>Basalt</t>
        </is>
      </c>
      <c r="I52" t="inlineStr">
        <is>
          <t>Basalto</t>
        </is>
      </c>
      <c r="J52" t="inlineStr"/>
      <c r="K52" t="inlineStr"/>
      <c r="L52" t="inlineStr"/>
      <c r="M52" t="inlineStr"/>
      <c r="N52" t="inlineStr"/>
      <c r="O52" t="inlineStr">
        <is>
          <t>CID (compresión triaxial drenada)</t>
        </is>
      </c>
      <c r="P52" t="inlineStr">
        <is>
          <t>no</t>
        </is>
      </c>
      <c r="Q52" t="n">
        <v>1130</v>
      </c>
      <c r="R52" t="inlineStr"/>
      <c r="S52" t="n">
        <v>200</v>
      </c>
      <c r="T52" t="inlineStr"/>
      <c r="U52" t="inlineStr"/>
      <c r="V52" t="inlineStr"/>
      <c r="W52" t="inlineStr"/>
      <c r="X52" t="n">
        <v>19</v>
      </c>
      <c r="Y52" t="inlineStr"/>
      <c r="Z52" t="inlineStr"/>
      <c r="AA52" t="inlineStr"/>
      <c r="AB52" t="inlineStr"/>
      <c r="AC52" t="inlineStr"/>
      <c r="AD52" t="inlineStr"/>
      <c r="AE52" t="inlineStr"/>
      <c r="AF52" t="n">
        <v>0.3</v>
      </c>
      <c r="AG52" t="inlineStr">
        <is>
          <t>informe</t>
        </is>
      </c>
      <c r="AH52" t="inlineStr"/>
      <c r="AI52" t="inlineStr"/>
      <c r="AJ52" t="inlineStr"/>
      <c r="AK52" t="n">
        <v>41</v>
      </c>
      <c r="AL52" t="n">
        <v>571</v>
      </c>
      <c r="AM52" t="n">
        <v>530</v>
      </c>
      <c r="AN52" t="inlineStr">
        <is>
          <t>máximo (φmax, σ1 máximo)</t>
        </is>
      </c>
      <c r="AO52" t="n">
        <v>60.1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Zenodo xlsx; material y dmax en p.4 (Fig. 2a)</t>
        </is>
      </c>
      <c r="BB52" t="inlineStr">
        <is>
          <t>no (valores del xlsx; nombre, litología y dmax verificados en imagen p.4)</t>
        </is>
      </c>
      <c r="BC52" t="inlineStr">
        <is>
          <t>Ref. original: Marsal, 1967 | Material en la fuente: «Infiernillo (dry)» (clase ROM/Chancado/Enrocado no indicada) | Datos por ensayo del repositorio Zenodo doi:10.5281/zenodo.3625778 (xlsx v1; ensayo_id = N° de fila); el artículo solo trae la lista de materiales (Fig. 2a) | q calculado = σ1−σ3 | E50 sin dato | NO en base Cylwik (Infiernillo basalto no figura; las coincidencias numéricas son con otros materiales)</t>
        </is>
      </c>
    </row>
    <row r="53">
      <c r="A53" t="inlineStr">
        <is>
          <t>OV2020</t>
        </is>
      </c>
      <c r="B53" t="inlineStr">
        <is>
          <t>2020_Ovalle_Data Compilation from Large ICDTx on Coarse Crushable Rockfill Materials.pdf</t>
        </is>
      </c>
      <c r="C53" t="n">
        <v>2020</v>
      </c>
      <c r="D53" t="inlineStr">
        <is>
          <t>Ovalle, Linero, Dano, Bard, Hicher y Osses (2020), JGGE 146(9) 06020013</t>
        </is>
      </c>
      <c r="E53" t="inlineStr">
        <is>
          <t>CFE (México), inferido de p.3</t>
        </is>
      </c>
      <c r="F53" t="inlineStr">
        <is>
          <t>Infiernillo (dry)</t>
        </is>
      </c>
      <c r="G53" t="n">
        <v>52</v>
      </c>
      <c r="H53" t="inlineStr">
        <is>
          <t>Basalt</t>
        </is>
      </c>
      <c r="I53" t="inlineStr">
        <is>
          <t>Basalto</t>
        </is>
      </c>
      <c r="J53" t="inlineStr"/>
      <c r="K53" t="inlineStr"/>
      <c r="L53" t="inlineStr"/>
      <c r="M53" t="inlineStr"/>
      <c r="N53" t="inlineStr"/>
      <c r="O53" t="inlineStr">
        <is>
          <t>CID (compresión triaxial drenada)</t>
        </is>
      </c>
      <c r="P53" t="inlineStr">
        <is>
          <t>no</t>
        </is>
      </c>
      <c r="Q53" t="n">
        <v>1130</v>
      </c>
      <c r="R53" t="inlineStr"/>
      <c r="S53" t="n">
        <v>200</v>
      </c>
      <c r="T53" t="inlineStr"/>
      <c r="U53" t="inlineStr"/>
      <c r="V53" t="inlineStr"/>
      <c r="W53" t="inlineStr"/>
      <c r="X53" t="n">
        <v>19</v>
      </c>
      <c r="Y53" t="inlineStr"/>
      <c r="Z53" t="inlineStr"/>
      <c r="AA53" t="inlineStr"/>
      <c r="AB53" t="inlineStr"/>
      <c r="AC53" t="inlineStr"/>
      <c r="AD53" t="inlineStr"/>
      <c r="AE53" t="inlineStr"/>
      <c r="AF53" t="n">
        <v>0.3</v>
      </c>
      <c r="AG53" t="inlineStr">
        <is>
          <t>informe</t>
        </is>
      </c>
      <c r="AH53" t="inlineStr"/>
      <c r="AI53" t="inlineStr"/>
      <c r="AJ53" t="inlineStr"/>
      <c r="AK53" t="n">
        <v>92</v>
      </c>
      <c r="AL53" t="n">
        <v>963</v>
      </c>
      <c r="AM53" t="n">
        <v>871</v>
      </c>
      <c r="AN53" t="inlineStr">
        <is>
          <t>máximo (φmax, σ1 máximo)</t>
        </is>
      </c>
      <c r="AO53" t="n">
        <v>55.7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Zenodo xlsx; material y dmax en p.4 (Fig. 2a)</t>
        </is>
      </c>
      <c r="BB53" t="inlineStr">
        <is>
          <t>no (valores del xlsx; nombre, litología y dmax verificados en imagen p.4)</t>
        </is>
      </c>
      <c r="BC53" t="inlineStr">
        <is>
          <t>Ref. original: Marsal, 1967 | Material en la fuente: «Infiernillo (dry)» (clase ROM/Chancado/Enrocado no indicada) | Datos por ensayo del repositorio Zenodo doi:10.5281/zenodo.3625778 (xlsx v1; ensayo_id = N° de fila); el artículo solo trae la lista de materiales (Fig. 2a) | q calculado = σ1−σ3 | E50 sin dato | NO en base Cylwik (Infiernillo basalto no figura; las coincidencias numéricas son con otros materiales)</t>
        </is>
      </c>
    </row>
    <row r="54">
      <c r="A54" t="inlineStr">
        <is>
          <t>OV2020</t>
        </is>
      </c>
      <c r="B54" t="inlineStr">
        <is>
          <t>2020_Ovalle_Data Compilation from Large ICDTx on Coarse Crushable Rockfill Materials.pdf</t>
        </is>
      </c>
      <c r="C54" t="n">
        <v>2020</v>
      </c>
      <c r="D54" t="inlineStr">
        <is>
          <t>Ovalle, Linero, Dano, Bard, Hicher y Osses (2020), JGGE 146(9) 06020013</t>
        </is>
      </c>
      <c r="E54" t="inlineStr">
        <is>
          <t>UC Berkeley, inferido de p.3</t>
        </is>
      </c>
      <c r="F54" t="inlineStr">
        <is>
          <t>Crushed Basalt</t>
        </is>
      </c>
      <c r="G54" t="n">
        <v>53</v>
      </c>
      <c r="H54" t="inlineStr">
        <is>
          <t>Basalt</t>
        </is>
      </c>
      <c r="I54" t="inlineStr">
        <is>
          <t>Basalto</t>
        </is>
      </c>
      <c r="J54" t="inlineStr"/>
      <c r="K54" t="inlineStr"/>
      <c r="L54" t="inlineStr"/>
      <c r="M54" t="inlineStr">
        <is>
          <t>Chancado</t>
        </is>
      </c>
      <c r="N54" t="inlineStr"/>
      <c r="O54" t="inlineStr">
        <is>
          <t>CID (compresión triaxial drenada)</t>
        </is>
      </c>
      <c r="P54" t="inlineStr">
        <is>
          <t>no indicado</t>
        </is>
      </c>
      <c r="Q54" t="n">
        <v>914.4</v>
      </c>
      <c r="R54" t="inlineStr"/>
      <c r="S54" t="n">
        <v>152.4</v>
      </c>
      <c r="T54" t="inlineStr"/>
      <c r="U54" t="inlineStr"/>
      <c r="V54" t="inlineStr"/>
      <c r="W54" t="inlineStr"/>
      <c r="X54" t="n">
        <v>5.7</v>
      </c>
      <c r="Y54" t="inlineStr"/>
      <c r="Z54" t="inlineStr"/>
      <c r="AA54" t="inlineStr"/>
      <c r="AB54" t="inlineStr"/>
      <c r="AC54" t="inlineStr"/>
      <c r="AD54" t="inlineStr"/>
      <c r="AE54" t="inlineStr"/>
      <c r="AF54" t="n">
        <v>0.418</v>
      </c>
      <c r="AG54" t="inlineStr">
        <is>
          <t>informe</t>
        </is>
      </c>
      <c r="AH54" t="inlineStr"/>
      <c r="AI54" t="inlineStr"/>
      <c r="AJ54" t="inlineStr"/>
      <c r="AK54" t="n">
        <v>207</v>
      </c>
      <c r="AL54" t="n">
        <v>1360</v>
      </c>
      <c r="AM54" t="n">
        <v>1153</v>
      </c>
      <c r="AN54" t="inlineStr">
        <is>
          <t>máximo (φmax, σ1 máximo)</t>
        </is>
      </c>
      <c r="AO54" t="n">
        <v>47.4</v>
      </c>
      <c r="AP54" t="inlineStr"/>
      <c r="AQ54" t="inlineStr"/>
      <c r="AR54" t="inlineStr"/>
      <c r="AS54" t="inlineStr"/>
      <c r="AT54" t="inlineStr"/>
      <c r="AU54" t="inlineStr"/>
      <c r="AV54" t="n">
        <v>8.5</v>
      </c>
      <c r="AW54" t="inlineStr"/>
      <c r="AX54" t="inlineStr"/>
      <c r="AY54" t="inlineStr"/>
      <c r="AZ54" t="inlineStr"/>
      <c r="BA54" t="inlineStr">
        <is>
          <t>Zenodo xlsx; material y dmax en p.4 (Fig. 2a)</t>
        </is>
      </c>
      <c r="BB54" t="inlineStr">
        <is>
          <t>no (valores del xlsx; nombre, litología y dmax verificados en imagen p.4)</t>
        </is>
      </c>
      <c r="BC54" t="inlineStr">
        <is>
          <t>Ref. original: Marachi et al., 1969 | Material en la fuente: «Crushed Basalt» | Datos por ensayo del repositorio Zenodo doi:10.5281/zenodo.3625778 (xlsx v1; ensayo_id = N° de fila); el artículo solo trae la lista de materiales (Fig. 2a) | q calculado = σ1−σ3 | E50 = 57.9 MPa | SÍ en base Cylwik, equivalente probable: Marachi et al. (1972)|BL|356</t>
        </is>
      </c>
    </row>
    <row r="55">
      <c r="A55" t="inlineStr">
        <is>
          <t>OV2020</t>
        </is>
      </c>
      <c r="B55" t="inlineStr">
        <is>
          <t>2020_Ovalle_Data Compilation from Large ICDTx on Coarse Crushable Rockfill Materials.pdf</t>
        </is>
      </c>
      <c r="C55" t="n">
        <v>2020</v>
      </c>
      <c r="D55" t="inlineStr">
        <is>
          <t>Ovalle, Linero, Dano, Bard, Hicher y Osses (2020), JGGE 146(9) 06020013</t>
        </is>
      </c>
      <c r="E55" t="inlineStr">
        <is>
          <t>UC Berkeley, inferido de p.3</t>
        </is>
      </c>
      <c r="F55" t="inlineStr">
        <is>
          <t>Crushed Basalt</t>
        </is>
      </c>
      <c r="G55" t="n">
        <v>54</v>
      </c>
      <c r="H55" t="inlineStr">
        <is>
          <t>Basalt</t>
        </is>
      </c>
      <c r="I55" t="inlineStr">
        <is>
          <t>Basalto</t>
        </is>
      </c>
      <c r="J55" t="inlineStr"/>
      <c r="K55" t="inlineStr"/>
      <c r="L55" t="inlineStr"/>
      <c r="M55" t="inlineStr">
        <is>
          <t>Chancado</t>
        </is>
      </c>
      <c r="N55" t="inlineStr"/>
      <c r="O55" t="inlineStr">
        <is>
          <t>CID (compresión triaxial drenada)</t>
        </is>
      </c>
      <c r="P55" t="inlineStr">
        <is>
          <t>no indicado</t>
        </is>
      </c>
      <c r="Q55" t="n">
        <v>914.4</v>
      </c>
      <c r="R55" t="inlineStr"/>
      <c r="S55" t="n">
        <v>152.4</v>
      </c>
      <c r="T55" t="inlineStr"/>
      <c r="U55" t="inlineStr"/>
      <c r="V55" t="inlineStr"/>
      <c r="W55" t="inlineStr"/>
      <c r="X55" t="n">
        <v>5.7</v>
      </c>
      <c r="Y55" t="inlineStr"/>
      <c r="Z55" t="inlineStr"/>
      <c r="AA55" t="inlineStr"/>
      <c r="AB55" t="inlineStr"/>
      <c r="AC55" t="inlineStr"/>
      <c r="AD55" t="inlineStr"/>
      <c r="AE55" t="inlineStr"/>
      <c r="AF55" t="n">
        <v>0.407</v>
      </c>
      <c r="AG55" t="inlineStr">
        <is>
          <t>informe</t>
        </is>
      </c>
      <c r="AH55" t="inlineStr"/>
      <c r="AI55" t="inlineStr"/>
      <c r="AJ55" t="inlineStr"/>
      <c r="AK55" t="n">
        <v>965</v>
      </c>
      <c r="AL55" t="n">
        <v>4615</v>
      </c>
      <c r="AM55" t="n">
        <v>3650</v>
      </c>
      <c r="AN55" t="inlineStr">
        <is>
          <t>máximo (φmax, σ1 máximo)</t>
        </is>
      </c>
      <c r="AO55" t="n">
        <v>40.9</v>
      </c>
      <c r="AP55" t="inlineStr"/>
      <c r="AQ55" t="inlineStr"/>
      <c r="AR55" t="inlineStr"/>
      <c r="AS55" t="inlineStr"/>
      <c r="AT55" t="inlineStr"/>
      <c r="AU55" t="inlineStr"/>
      <c r="AV55" t="n">
        <v>14.8</v>
      </c>
      <c r="AW55" t="inlineStr"/>
      <c r="AX55" t="inlineStr"/>
      <c r="AY55" t="inlineStr"/>
      <c r="AZ55" t="inlineStr"/>
      <c r="BA55" t="inlineStr">
        <is>
          <t>Zenodo xlsx; material y dmax en p.4 (Fig. 2a)</t>
        </is>
      </c>
      <c r="BB55" t="inlineStr">
        <is>
          <t>no (valores del xlsx; nombre, litología y dmax verificados en imagen p.4)</t>
        </is>
      </c>
      <c r="BC55" t="inlineStr">
        <is>
          <t>Ref. original: Marachi et al., 1969 | Material en la fuente: «Crushed Basalt» | Datos por ensayo del repositorio Zenodo doi:10.5281/zenodo.3625778 (xlsx v1; ensayo_id = N° de fila); el artículo solo trae la lista de materiales (Fig. 2a) | q calculado = σ1−σ3 | E50 = 91.7 MPa | SÍ en base Cylwik, equivalente probable: Marachi et al. (1972)|BL|357</t>
        </is>
      </c>
    </row>
    <row r="56">
      <c r="A56" t="inlineStr">
        <is>
          <t>OV2020</t>
        </is>
      </c>
      <c r="B56" t="inlineStr">
        <is>
          <t>2020_Ovalle_Data Compilation from Large ICDTx on Coarse Crushable Rockfill Materials.pdf</t>
        </is>
      </c>
      <c r="C56" t="n">
        <v>2020</v>
      </c>
      <c r="D56" t="inlineStr">
        <is>
          <t>Ovalle, Linero, Dano, Bard, Hicher y Osses (2020), JGGE 146(9) 06020013</t>
        </is>
      </c>
      <c r="E56" t="inlineStr">
        <is>
          <t>UC Berkeley, inferido de p.3</t>
        </is>
      </c>
      <c r="F56" t="inlineStr">
        <is>
          <t>Crushed Basalt</t>
        </is>
      </c>
      <c r="G56" t="n">
        <v>55</v>
      </c>
      <c r="H56" t="inlineStr">
        <is>
          <t>Basalt</t>
        </is>
      </c>
      <c r="I56" t="inlineStr">
        <is>
          <t>Basalto</t>
        </is>
      </c>
      <c r="J56" t="inlineStr"/>
      <c r="K56" t="inlineStr"/>
      <c r="L56" t="inlineStr"/>
      <c r="M56" t="inlineStr">
        <is>
          <t>Chancado</t>
        </is>
      </c>
      <c r="N56" t="inlineStr"/>
      <c r="O56" t="inlineStr">
        <is>
          <t>CID (compresión triaxial drenada)</t>
        </is>
      </c>
      <c r="P56" t="inlineStr">
        <is>
          <t>no indicado</t>
        </is>
      </c>
      <c r="Q56" t="n">
        <v>914.4</v>
      </c>
      <c r="R56" t="inlineStr"/>
      <c r="S56" t="n">
        <v>152.4</v>
      </c>
      <c r="T56" t="inlineStr"/>
      <c r="U56" t="inlineStr"/>
      <c r="V56" t="inlineStr"/>
      <c r="W56" t="inlineStr"/>
      <c r="X56" t="n">
        <v>5.7</v>
      </c>
      <c r="Y56" t="inlineStr"/>
      <c r="Z56" t="inlineStr"/>
      <c r="AA56" t="inlineStr"/>
      <c r="AB56" t="inlineStr"/>
      <c r="AC56" t="inlineStr"/>
      <c r="AD56" t="inlineStr"/>
      <c r="AE56" t="inlineStr"/>
      <c r="AF56" t="n">
        <v>0.366</v>
      </c>
      <c r="AG56" t="inlineStr">
        <is>
          <t>informe</t>
        </is>
      </c>
      <c r="AH56" t="inlineStr"/>
      <c r="AI56" t="inlineStr"/>
      <c r="AJ56" t="inlineStr"/>
      <c r="AK56" t="n">
        <v>2896</v>
      </c>
      <c r="AL56" t="n">
        <v>11724</v>
      </c>
      <c r="AM56" t="n">
        <v>8828</v>
      </c>
      <c r="AN56" t="inlineStr">
        <is>
          <t>máximo (φmax, σ1 máximo)</t>
        </is>
      </c>
      <c r="AO56" t="n">
        <v>37.1</v>
      </c>
      <c r="AP56" t="inlineStr"/>
      <c r="AQ56" t="inlineStr"/>
      <c r="AR56" t="inlineStr"/>
      <c r="AS56" t="inlineStr"/>
      <c r="AT56" t="inlineStr"/>
      <c r="AU56" t="inlineStr"/>
      <c r="AV56" t="n">
        <v>27.6</v>
      </c>
      <c r="AW56" t="inlineStr"/>
      <c r="AX56" t="inlineStr"/>
      <c r="AY56" t="inlineStr"/>
      <c r="AZ56" t="inlineStr"/>
      <c r="BA56" t="inlineStr">
        <is>
          <t>Zenodo xlsx; material y dmax en p.4 (Fig. 2a)</t>
        </is>
      </c>
      <c r="BB56" t="inlineStr">
        <is>
          <t>no (valores del xlsx; nombre, litología y dmax verificados en imagen p.4)</t>
        </is>
      </c>
      <c r="BC56" t="inlineStr">
        <is>
          <t>Ref. original: Marachi et al., 1969 | Material en la fuente: «Crushed Basalt» | Datos por ensayo del repositorio Zenodo doi:10.5281/zenodo.3625778 (xlsx v1; ensayo_id = N° de fila); el artículo solo trae la lista de materiales (Fig. 2a) | q calculado = σ1−σ3 | E50 = 110.4 MPa | SÍ en base Cylwik, equivalente probable: Marachi et al. (1972)|BL|358</t>
        </is>
      </c>
    </row>
    <row r="57">
      <c r="A57" t="inlineStr">
        <is>
          <t>OV2020</t>
        </is>
      </c>
      <c r="B57" t="inlineStr">
        <is>
          <t>2020_Ovalle_Data Compilation from Large ICDTx on Coarse Crushable Rockfill Materials.pdf</t>
        </is>
      </c>
      <c r="C57" t="n">
        <v>2020</v>
      </c>
      <c r="D57" t="inlineStr">
        <is>
          <t>Ovalle, Linero, Dano, Bard, Hicher y Osses (2020), JGGE 146(9) 06020013</t>
        </is>
      </c>
      <c r="E57" t="inlineStr">
        <is>
          <t>UC Berkeley, inferido de p.3</t>
        </is>
      </c>
      <c r="F57" t="inlineStr">
        <is>
          <t>Crushed Basalt</t>
        </is>
      </c>
      <c r="G57" t="n">
        <v>56</v>
      </c>
      <c r="H57" t="inlineStr">
        <is>
          <t>Basalt</t>
        </is>
      </c>
      <c r="I57" t="inlineStr">
        <is>
          <t>Basalto</t>
        </is>
      </c>
      <c r="J57" t="inlineStr"/>
      <c r="K57" t="inlineStr"/>
      <c r="L57" t="inlineStr"/>
      <c r="M57" t="inlineStr">
        <is>
          <t>Chancado</t>
        </is>
      </c>
      <c r="N57" t="inlineStr"/>
      <c r="O57" t="inlineStr">
        <is>
          <t>CID (compresión triaxial drenada)</t>
        </is>
      </c>
      <c r="P57" t="inlineStr">
        <is>
          <t>no indicado</t>
        </is>
      </c>
      <c r="Q57" t="n">
        <v>914.4</v>
      </c>
      <c r="R57" t="inlineStr"/>
      <c r="S57" t="n">
        <v>152.4</v>
      </c>
      <c r="T57" t="inlineStr"/>
      <c r="U57" t="inlineStr"/>
      <c r="V57" t="inlineStr"/>
      <c r="W57" t="inlineStr"/>
      <c r="X57" t="n">
        <v>5.7</v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0.323</v>
      </c>
      <c r="AG57" t="inlineStr">
        <is>
          <t>informe</t>
        </is>
      </c>
      <c r="AH57" t="inlineStr"/>
      <c r="AI57" t="inlineStr"/>
      <c r="AJ57" t="inlineStr"/>
      <c r="AK57" t="n">
        <v>4482</v>
      </c>
      <c r="AL57" t="n">
        <v>17387</v>
      </c>
      <c r="AM57" t="n">
        <v>12905</v>
      </c>
      <c r="AN57" t="inlineStr">
        <is>
          <t>máximo (φmax, σ1 máximo)</t>
        </is>
      </c>
      <c r="AO57" t="n">
        <v>36.2</v>
      </c>
      <c r="AP57" t="inlineStr"/>
      <c r="AQ57" t="inlineStr"/>
      <c r="AR57" t="inlineStr"/>
      <c r="AS57" t="inlineStr"/>
      <c r="AT57" t="inlineStr"/>
      <c r="AU57" t="inlineStr"/>
      <c r="AV57" t="n">
        <v>33.8</v>
      </c>
      <c r="AW57" t="inlineStr"/>
      <c r="AX57" t="inlineStr"/>
      <c r="AY57" t="inlineStr"/>
      <c r="AZ57" t="inlineStr"/>
      <c r="BA57" t="inlineStr">
        <is>
          <t>Zenodo xlsx; material y dmax en p.4 (Fig. 2a)</t>
        </is>
      </c>
      <c r="BB57" t="inlineStr">
        <is>
          <t>no (valores del xlsx; nombre, litología y dmax verificados en imagen p.4)</t>
        </is>
      </c>
      <c r="BC57" t="inlineStr">
        <is>
          <t>Ref. original: Marachi et al., 1969 | Material en la fuente: «Crushed Basalt» | Datos por ensayo del repositorio Zenodo doi:10.5281/zenodo.3625778 (xlsx v1; ensayo_id = N° de fila); el artículo solo trae la lista de materiales (Fig. 2a) | q calculado = σ1−σ3 | E50 = 130.0 MPa | SÍ en base Cylwik, equivalente probable: Marachi et al. (1972)|BL|359</t>
        </is>
      </c>
    </row>
    <row r="58">
      <c r="A58" t="inlineStr">
        <is>
          <t>OV2020</t>
        </is>
      </c>
      <c r="B58" t="inlineStr">
        <is>
          <t>2020_Ovalle_Data Compilation from Large ICDTx on Coarse Crushable Rockfill Materials.pdf</t>
        </is>
      </c>
      <c r="C58" t="n">
        <v>2020</v>
      </c>
      <c r="D58" t="inlineStr">
        <is>
          <t>Ovalle, Linero, Dano, Bard, Hicher y Osses (2020), JGGE 146(9) 06020013</t>
        </is>
      </c>
      <c r="E58" t="inlineStr">
        <is>
          <t>UC Berkeley, inferido de p.3</t>
        </is>
      </c>
      <c r="F58" t="inlineStr">
        <is>
          <t>Oroville Dam</t>
        </is>
      </c>
      <c r="G58" t="n">
        <v>57</v>
      </c>
      <c r="H58" t="inlineStr">
        <is>
          <t>Augite, biotite and quartz</t>
        </is>
      </c>
      <c r="I58" t="inlineStr">
        <is>
          <t>Otra: no indicada</t>
        </is>
      </c>
      <c r="J58" t="inlineStr">
        <is>
          <t>solo mineralogía en la fuente: augita, biotita y cuarzo</t>
        </is>
      </c>
      <c r="K58" t="inlineStr"/>
      <c r="L58" t="inlineStr"/>
      <c r="M58" t="inlineStr"/>
      <c r="N58" t="inlineStr"/>
      <c r="O58" t="inlineStr">
        <is>
          <t>CID (compresión triaxial drenada)</t>
        </is>
      </c>
      <c r="P58" t="inlineStr">
        <is>
          <t>no indicado</t>
        </is>
      </c>
      <c r="Q58" t="n">
        <v>914.4</v>
      </c>
      <c r="R58" t="inlineStr"/>
      <c r="S58" t="n">
        <v>152.4</v>
      </c>
      <c r="T58" t="inlineStr"/>
      <c r="U58" t="inlineStr"/>
      <c r="V58" t="inlineStr"/>
      <c r="W58" t="inlineStr"/>
      <c r="X58" t="n">
        <v>5</v>
      </c>
      <c r="Y58" t="inlineStr"/>
      <c r="Z58" t="inlineStr"/>
      <c r="AA58" t="inlineStr"/>
      <c r="AB58" t="inlineStr"/>
      <c r="AC58" t="inlineStr"/>
      <c r="AD58" t="inlineStr"/>
      <c r="AE58" t="inlineStr"/>
      <c r="AF58" t="n">
        <v>0.22</v>
      </c>
      <c r="AG58" t="inlineStr">
        <is>
          <t>informe</t>
        </is>
      </c>
      <c r="AH58" t="inlineStr"/>
      <c r="AI58" t="inlineStr"/>
      <c r="AJ58" t="inlineStr"/>
      <c r="AK58" t="n">
        <v>207</v>
      </c>
      <c r="AL58" t="n">
        <v>1347</v>
      </c>
      <c r="AM58" t="n">
        <v>1140</v>
      </c>
      <c r="AN58" t="inlineStr">
        <is>
          <t>máximo (φmax, σ1 máximo)</t>
        </is>
      </c>
      <c r="AO58" t="n">
        <v>47.2</v>
      </c>
      <c r="AP58" t="inlineStr"/>
      <c r="AQ58" t="inlineStr"/>
      <c r="AR58" t="inlineStr"/>
      <c r="AS58" t="inlineStr"/>
      <c r="AT58" t="inlineStr"/>
      <c r="AU58" t="inlineStr"/>
      <c r="AV58" t="n">
        <v>2.2</v>
      </c>
      <c r="AW58" t="inlineStr"/>
      <c r="AX58" t="inlineStr"/>
      <c r="AY58" t="inlineStr"/>
      <c r="AZ58" t="inlineStr"/>
      <c r="BA58" t="inlineStr">
        <is>
          <t>Zenodo xlsx; material y dmax en p.4 (Fig. 2a)</t>
        </is>
      </c>
      <c r="BB58" t="inlineStr">
        <is>
          <t>no (valores del xlsx; nombre, litología y dmax verificados en imagen p.4)</t>
        </is>
      </c>
      <c r="BC58" t="inlineStr">
        <is>
          <t>Ref. original: Marachi et al., 1969 | Material en la fuente: «Oroville Dam»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Marachi et al. (1972)|OL|368</t>
        </is>
      </c>
    </row>
    <row r="59">
      <c r="A59" t="inlineStr">
        <is>
          <t>OV2020</t>
        </is>
      </c>
      <c r="B59" t="inlineStr">
        <is>
          <t>2020_Ovalle_Data Compilation from Large ICDTx on Coarse Crushable Rockfill Materials.pdf</t>
        </is>
      </c>
      <c r="C59" t="n">
        <v>2020</v>
      </c>
      <c r="D59" t="inlineStr">
        <is>
          <t>Ovalle, Linero, Dano, Bard, Hicher y Osses (2020), JGGE 146(9) 06020013</t>
        </is>
      </c>
      <c r="E59" t="inlineStr">
        <is>
          <t>UC Berkeley, inferido de p.3</t>
        </is>
      </c>
      <c r="F59" t="inlineStr">
        <is>
          <t>Oroville Dam</t>
        </is>
      </c>
      <c r="G59" t="n">
        <v>58</v>
      </c>
      <c r="H59" t="inlineStr">
        <is>
          <t>Augite, biotite and quartz</t>
        </is>
      </c>
      <c r="I59" t="inlineStr">
        <is>
          <t>Otra: no indicada</t>
        </is>
      </c>
      <c r="J59" t="inlineStr">
        <is>
          <t>solo mineralogía en la fuente: augita, biotita y cuarzo</t>
        </is>
      </c>
      <c r="K59" t="inlineStr"/>
      <c r="L59" t="inlineStr"/>
      <c r="M59" t="inlineStr"/>
      <c r="N59" t="inlineStr"/>
      <c r="O59" t="inlineStr">
        <is>
          <t>CID (compresión triaxial drenada)</t>
        </is>
      </c>
      <c r="P59" t="inlineStr">
        <is>
          <t>no indicado</t>
        </is>
      </c>
      <c r="Q59" t="n">
        <v>914.4</v>
      </c>
      <c r="R59" t="inlineStr"/>
      <c r="S59" t="n">
        <v>152.4</v>
      </c>
      <c r="T59" t="inlineStr"/>
      <c r="U59" t="inlineStr"/>
      <c r="V59" t="inlineStr"/>
      <c r="W59" t="inlineStr"/>
      <c r="X59" t="n">
        <v>5</v>
      </c>
      <c r="Y59" t="inlineStr"/>
      <c r="Z59" t="inlineStr"/>
      <c r="AA59" t="inlineStr"/>
      <c r="AB59" t="inlineStr"/>
      <c r="AC59" t="inlineStr"/>
      <c r="AD59" t="inlineStr"/>
      <c r="AE59" t="inlineStr"/>
      <c r="AF59" t="n">
        <v>0.214</v>
      </c>
      <c r="AG59" t="inlineStr">
        <is>
          <t>informe</t>
        </is>
      </c>
      <c r="AH59" t="inlineStr"/>
      <c r="AI59" t="inlineStr"/>
      <c r="AJ59" t="inlineStr"/>
      <c r="AK59" t="n">
        <v>965</v>
      </c>
      <c r="AL59" t="n">
        <v>5197</v>
      </c>
      <c r="AM59" t="n">
        <v>4232</v>
      </c>
      <c r="AN59" t="inlineStr">
        <is>
          <t>máximo (φmax, σ1 máximo)</t>
        </is>
      </c>
      <c r="AO59" t="n">
        <v>43.4</v>
      </c>
      <c r="AP59" t="inlineStr"/>
      <c r="AQ59" t="inlineStr"/>
      <c r="AR59" t="inlineStr"/>
      <c r="AS59" t="inlineStr"/>
      <c r="AT59" t="inlineStr"/>
      <c r="AU59" t="inlineStr"/>
      <c r="AV59" t="n">
        <v>6.4</v>
      </c>
      <c r="AW59" t="inlineStr"/>
      <c r="AX59" t="inlineStr"/>
      <c r="AY59" t="inlineStr"/>
      <c r="AZ59" t="inlineStr"/>
      <c r="BA59" t="inlineStr">
        <is>
          <t>Zenodo xlsx; material y dmax en p.4 (Fig. 2a)</t>
        </is>
      </c>
      <c r="BB59" t="inlineStr">
        <is>
          <t>no (valores del xlsx; nombre, litología y dmax verificados en imagen p.4)</t>
        </is>
      </c>
      <c r="BC59" t="inlineStr">
        <is>
          <t>Ref. original: Marachi et al., 1969 | Material en la fuente: «Oroville Dam»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Marachi et al. (1972)|OL|369</t>
        </is>
      </c>
    </row>
    <row r="60">
      <c r="A60" t="inlineStr">
        <is>
          <t>OV2020</t>
        </is>
      </c>
      <c r="B60" t="inlineStr">
        <is>
          <t>2020_Ovalle_Data Compilation from Large ICDTx on Coarse Crushable Rockfill Materials.pdf</t>
        </is>
      </c>
      <c r="C60" t="n">
        <v>2020</v>
      </c>
      <c r="D60" t="inlineStr">
        <is>
          <t>Ovalle, Linero, Dano, Bard, Hicher y Osses (2020), JGGE 146(9) 06020013</t>
        </is>
      </c>
      <c r="E60" t="inlineStr">
        <is>
          <t>UC Berkeley, inferido de p.3</t>
        </is>
      </c>
      <c r="F60" t="inlineStr">
        <is>
          <t>Oroville Dam</t>
        </is>
      </c>
      <c r="G60" t="n">
        <v>59</v>
      </c>
      <c r="H60" t="inlineStr">
        <is>
          <t>Augite, biotite and quartz</t>
        </is>
      </c>
      <c r="I60" t="inlineStr">
        <is>
          <t>Otra: no indicada</t>
        </is>
      </c>
      <c r="J60" t="inlineStr">
        <is>
          <t>solo mineralogía en la fuente: augita, biotita y cuarzo</t>
        </is>
      </c>
      <c r="K60" t="inlineStr"/>
      <c r="L60" t="inlineStr"/>
      <c r="M60" t="inlineStr"/>
      <c r="N60" t="inlineStr"/>
      <c r="O60" t="inlineStr">
        <is>
          <t>CID (compresión triaxial drenada)</t>
        </is>
      </c>
      <c r="P60" t="inlineStr">
        <is>
          <t>no indicado</t>
        </is>
      </c>
      <c r="Q60" t="n">
        <v>914.4</v>
      </c>
      <c r="R60" t="inlineStr"/>
      <c r="S60" t="n">
        <v>152.4</v>
      </c>
      <c r="T60" t="inlineStr"/>
      <c r="U60" t="inlineStr"/>
      <c r="V60" t="inlineStr"/>
      <c r="W60" t="inlineStr"/>
      <c r="X60" t="n">
        <v>5</v>
      </c>
      <c r="Y60" t="inlineStr"/>
      <c r="Z60" t="inlineStr"/>
      <c r="AA60" t="inlineStr"/>
      <c r="AB60" t="inlineStr"/>
      <c r="AC60" t="inlineStr"/>
      <c r="AD60" t="inlineStr"/>
      <c r="AE60" t="inlineStr"/>
      <c r="AF60" t="n">
        <v>0.209</v>
      </c>
      <c r="AG60" t="inlineStr">
        <is>
          <t>informe</t>
        </is>
      </c>
      <c r="AH60" t="inlineStr"/>
      <c r="AI60" t="inlineStr"/>
      <c r="AJ60" t="inlineStr"/>
      <c r="AK60" t="n">
        <v>2896</v>
      </c>
      <c r="AL60" t="n">
        <v>13259</v>
      </c>
      <c r="AM60" t="n">
        <v>10363</v>
      </c>
      <c r="AN60" t="inlineStr">
        <is>
          <t>máximo (φmax, σ1 máximo)</t>
        </is>
      </c>
      <c r="AO60" t="n">
        <v>39.9</v>
      </c>
      <c r="AP60" t="inlineStr"/>
      <c r="AQ60" t="inlineStr"/>
      <c r="AR60" t="inlineStr"/>
      <c r="AS60" t="inlineStr"/>
      <c r="AT60" t="inlineStr"/>
      <c r="AU60" t="inlineStr"/>
      <c r="AV60" t="n">
        <v>14</v>
      </c>
      <c r="AW60" t="inlineStr"/>
      <c r="AX60" t="inlineStr"/>
      <c r="AY60" t="inlineStr"/>
      <c r="AZ60" t="inlineStr"/>
      <c r="BA60" t="inlineStr">
        <is>
          <t>Zenodo xlsx; material y dmax en p.4 (Fig. 2a)</t>
        </is>
      </c>
      <c r="BB60" t="inlineStr">
        <is>
          <t>no (valores del xlsx; nombre, litología y dmax verificados en imagen p.4)</t>
        </is>
      </c>
      <c r="BC60" t="inlineStr">
        <is>
          <t>Ref. original: Marachi et al., 1969 | Material en la fuente: «Oroville Dam»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Marachi et al. (1972)|OL|370</t>
        </is>
      </c>
    </row>
    <row r="61">
      <c r="A61" t="inlineStr">
        <is>
          <t>OV2020</t>
        </is>
      </c>
      <c r="B61" t="inlineStr">
        <is>
          <t>2020_Ovalle_Data Compilation from Large ICDTx on Coarse Crushable Rockfill Materials.pdf</t>
        </is>
      </c>
      <c r="C61" t="n">
        <v>2020</v>
      </c>
      <c r="D61" t="inlineStr">
        <is>
          <t>Ovalle, Linero, Dano, Bard, Hicher y Osses (2020), JGGE 146(9) 06020013</t>
        </is>
      </c>
      <c r="E61" t="inlineStr">
        <is>
          <t>UC Berkeley, inferido de p.3</t>
        </is>
      </c>
      <c r="F61" t="inlineStr">
        <is>
          <t>Oroville Dam</t>
        </is>
      </c>
      <c r="G61" t="n">
        <v>60</v>
      </c>
      <c r="H61" t="inlineStr">
        <is>
          <t>Augite, biotite and quartz</t>
        </is>
      </c>
      <c r="I61" t="inlineStr">
        <is>
          <t>Otra: no indicada</t>
        </is>
      </c>
      <c r="J61" t="inlineStr">
        <is>
          <t>solo mineralogía en la fuente: augita, biotita y cuarzo</t>
        </is>
      </c>
      <c r="K61" t="inlineStr"/>
      <c r="L61" t="inlineStr"/>
      <c r="M61" t="inlineStr"/>
      <c r="N61" t="inlineStr"/>
      <c r="O61" t="inlineStr">
        <is>
          <t>CID (compresión triaxial drenada)</t>
        </is>
      </c>
      <c r="P61" t="inlineStr">
        <is>
          <t>no indicado</t>
        </is>
      </c>
      <c r="Q61" t="n">
        <v>914.4</v>
      </c>
      <c r="R61" t="inlineStr"/>
      <c r="S61" t="n">
        <v>152.4</v>
      </c>
      <c r="T61" t="inlineStr"/>
      <c r="U61" t="inlineStr"/>
      <c r="V61" t="inlineStr"/>
      <c r="W61" t="inlineStr"/>
      <c r="X61" t="n">
        <v>5</v>
      </c>
      <c r="Y61" t="inlineStr"/>
      <c r="Z61" t="inlineStr"/>
      <c r="AA61" t="inlineStr"/>
      <c r="AB61" t="inlineStr"/>
      <c r="AC61" t="inlineStr"/>
      <c r="AD61" t="inlineStr"/>
      <c r="AE61" t="inlineStr"/>
      <c r="AF61" t="n">
        <v>0.191</v>
      </c>
      <c r="AG61" t="inlineStr">
        <is>
          <t>informe</t>
        </is>
      </c>
      <c r="AH61" t="inlineStr"/>
      <c r="AI61" t="inlineStr"/>
      <c r="AJ61" t="inlineStr"/>
      <c r="AK61" t="n">
        <v>4482</v>
      </c>
      <c r="AL61" t="n">
        <v>19213</v>
      </c>
      <c r="AM61" t="n">
        <v>14731</v>
      </c>
      <c r="AN61" t="inlineStr">
        <is>
          <t>máximo (φmax, σ1 máximo)</t>
        </is>
      </c>
      <c r="AO61" t="n">
        <v>38.4</v>
      </c>
      <c r="AP61" t="inlineStr"/>
      <c r="AQ61" t="inlineStr"/>
      <c r="AR61" t="inlineStr"/>
      <c r="AS61" t="inlineStr"/>
      <c r="AT61" t="inlineStr"/>
      <c r="AU61" t="inlineStr"/>
      <c r="AV61" t="n">
        <v>18</v>
      </c>
      <c r="AW61" t="inlineStr"/>
      <c r="AX61" t="inlineStr"/>
      <c r="AY61" t="inlineStr"/>
      <c r="AZ61" t="inlineStr"/>
      <c r="BA61" t="inlineStr">
        <is>
          <t>Zenodo xlsx; material y dmax en p.4 (Fig. 2a)</t>
        </is>
      </c>
      <c r="BB61" t="inlineStr">
        <is>
          <t>no (valores del xlsx; nombre, litología y dmax verificados en imagen p.4)</t>
        </is>
      </c>
      <c r="BC61" t="inlineStr">
        <is>
          <t>Ref. original: Marachi et al., 1969 | Material en la fuente: «Oroville Dam»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Marachi et al. (1972)|OL|371</t>
        </is>
      </c>
    </row>
    <row r="62">
      <c r="A62" t="inlineStr">
        <is>
          <t>OV2020</t>
        </is>
      </c>
      <c r="B62" t="inlineStr">
        <is>
          <t>2020_Ovalle_Data Compilation from Large ICDTx on Coarse Crushable Rockfill Materials.pdf</t>
        </is>
      </c>
      <c r="C62" t="n">
        <v>2020</v>
      </c>
      <c r="D62" t="inlineStr">
        <is>
          <t>Ovalle, Linero, Dano, Bard, Hicher y Osses (2020), JGGE 146(9) 06020013</t>
        </is>
      </c>
      <c r="E62" t="inlineStr">
        <is>
          <t>UC Berkeley, inferido de p.3</t>
        </is>
      </c>
      <c r="F62" t="inlineStr">
        <is>
          <t>Pyramid Dam</t>
        </is>
      </c>
      <c r="G62" t="n">
        <v>61</v>
      </c>
      <c r="H62" t="inlineStr">
        <is>
          <t>Argillite</t>
        </is>
      </c>
      <c r="I62" t="inlineStr">
        <is>
          <t>Argilita</t>
        </is>
      </c>
      <c r="J62" t="inlineStr"/>
      <c r="K62" t="inlineStr"/>
      <c r="L62" t="inlineStr"/>
      <c r="M62" t="inlineStr"/>
      <c r="N62" t="inlineStr"/>
      <c r="O62" t="inlineStr">
        <is>
          <t>CID (compresión triaxial drenada)</t>
        </is>
      </c>
      <c r="P62" t="inlineStr">
        <is>
          <t>no indicado</t>
        </is>
      </c>
      <c r="Q62" t="n">
        <v>914.4</v>
      </c>
      <c r="R62" t="inlineStr"/>
      <c r="S62" t="n">
        <v>152.4</v>
      </c>
      <c r="T62" t="inlineStr"/>
      <c r="U62" t="inlineStr"/>
      <c r="V62" t="inlineStr"/>
      <c r="W62" t="inlineStr"/>
      <c r="X62" t="n">
        <v>10</v>
      </c>
      <c r="Y62" t="inlineStr"/>
      <c r="Z62" t="inlineStr"/>
      <c r="AA62" t="inlineStr"/>
      <c r="AB62" t="inlineStr"/>
      <c r="AC62" t="inlineStr"/>
      <c r="AD62" t="inlineStr"/>
      <c r="AE62" t="inlineStr"/>
      <c r="AF62" t="n">
        <v>0.439</v>
      </c>
      <c r="AG62" t="inlineStr">
        <is>
          <t>informe</t>
        </is>
      </c>
      <c r="AH62" t="inlineStr"/>
      <c r="AI62" t="inlineStr"/>
      <c r="AJ62" t="inlineStr"/>
      <c r="AK62" t="n">
        <v>207</v>
      </c>
      <c r="AL62" t="n">
        <v>1335</v>
      </c>
      <c r="AM62" t="n">
        <v>1128</v>
      </c>
      <c r="AN62" t="inlineStr">
        <is>
          <t>máximo (φmax, σ1 máximo)</t>
        </is>
      </c>
      <c r="AO62" t="n">
        <v>47</v>
      </c>
      <c r="AP62" t="inlineStr"/>
      <c r="AQ62" t="inlineStr"/>
      <c r="AR62" t="inlineStr"/>
      <c r="AS62" t="inlineStr"/>
      <c r="AT62" t="inlineStr"/>
      <c r="AU62" t="inlineStr"/>
      <c r="AV62" t="n">
        <v>13.6</v>
      </c>
      <c r="AW62" t="inlineStr"/>
      <c r="AX62" t="inlineStr"/>
      <c r="AY62" t="inlineStr"/>
      <c r="AZ62" t="inlineStr"/>
      <c r="BA62" t="inlineStr">
        <is>
          <t>Zenodo xlsx; material y dmax en p.4 (Fig. 2a)</t>
        </is>
      </c>
      <c r="BB62" t="inlineStr">
        <is>
          <t>no (valores del xlsx; nombre, litología y dmax verificados en imagen p.4)</t>
        </is>
      </c>
      <c r="BC62" t="inlineStr">
        <is>
          <t>Ref. original: Marachi et al., 1969 | Material en la fuente: «Pyramid Dam»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Marachi et al. (1972)|OL|368</t>
        </is>
      </c>
    </row>
    <row r="63">
      <c r="A63" t="inlineStr">
        <is>
          <t>OV2020</t>
        </is>
      </c>
      <c r="B63" t="inlineStr">
        <is>
          <t>2020_Ovalle_Data Compilation from Large ICDTx on Coarse Crushable Rockfill Materials.pdf</t>
        </is>
      </c>
      <c r="C63" t="n">
        <v>2020</v>
      </c>
      <c r="D63" t="inlineStr">
        <is>
          <t>Ovalle, Linero, Dano, Bard, Hicher y Osses (2020), JGGE 146(9) 06020013</t>
        </is>
      </c>
      <c r="E63" t="inlineStr">
        <is>
          <t>UC Berkeley, inferido de p.3</t>
        </is>
      </c>
      <c r="F63" t="inlineStr">
        <is>
          <t>Pyramid Dam</t>
        </is>
      </c>
      <c r="G63" t="n">
        <v>62</v>
      </c>
      <c r="H63" t="inlineStr">
        <is>
          <t>Argillite</t>
        </is>
      </c>
      <c r="I63" t="inlineStr">
        <is>
          <t>Argilita</t>
        </is>
      </c>
      <c r="J63" t="inlineStr"/>
      <c r="K63" t="inlineStr"/>
      <c r="L63" t="inlineStr"/>
      <c r="M63" t="inlineStr"/>
      <c r="N63" t="inlineStr"/>
      <c r="O63" t="inlineStr">
        <is>
          <t>CID (compresión triaxial drenada)</t>
        </is>
      </c>
      <c r="P63" t="inlineStr">
        <is>
          <t>no indicado</t>
        </is>
      </c>
      <c r="Q63" t="n">
        <v>914.4</v>
      </c>
      <c r="R63" t="inlineStr"/>
      <c r="S63" t="n">
        <v>152.4</v>
      </c>
      <c r="T63" t="inlineStr"/>
      <c r="U63" t="inlineStr"/>
      <c r="V63" t="inlineStr"/>
      <c r="W63" t="inlineStr"/>
      <c r="X63" t="n">
        <v>10</v>
      </c>
      <c r="Y63" t="inlineStr"/>
      <c r="Z63" t="inlineStr"/>
      <c r="AA63" t="inlineStr"/>
      <c r="AB63" t="inlineStr"/>
      <c r="AC63" t="inlineStr"/>
      <c r="AD63" t="inlineStr"/>
      <c r="AE63" t="inlineStr"/>
      <c r="AF63" t="n">
        <v>0.417</v>
      </c>
      <c r="AG63" t="inlineStr">
        <is>
          <t>informe</t>
        </is>
      </c>
      <c r="AH63" t="inlineStr"/>
      <c r="AI63" t="inlineStr"/>
      <c r="AJ63" t="inlineStr"/>
      <c r="AK63" t="n">
        <v>965</v>
      </c>
      <c r="AL63" t="n">
        <v>4415</v>
      </c>
      <c r="AM63" t="n">
        <v>3450</v>
      </c>
      <c r="AN63" t="inlineStr">
        <is>
          <t>máximo (φmax, σ1 máximo)</t>
        </is>
      </c>
      <c r="AO63" t="n">
        <v>39.9</v>
      </c>
      <c r="AP63" t="inlineStr"/>
      <c r="AQ63" t="inlineStr"/>
      <c r="AR63" t="inlineStr"/>
      <c r="AS63" t="inlineStr"/>
      <c r="AT63" t="inlineStr"/>
      <c r="AU63" t="inlineStr"/>
      <c r="AV63" t="n">
        <v>21.3</v>
      </c>
      <c r="AW63" t="inlineStr"/>
      <c r="AX63" t="inlineStr"/>
      <c r="AY63" t="inlineStr"/>
      <c r="AZ63" t="inlineStr"/>
      <c r="BA63" t="inlineStr">
        <is>
          <t>Zenodo xlsx; material y dmax en p.4 (Fig. 2a)</t>
        </is>
      </c>
      <c r="BB63" t="inlineStr">
        <is>
          <t>no (valores del xlsx; nombre, litología y dmax verificados en imagen p.4)</t>
        </is>
      </c>
      <c r="BC63" t="inlineStr">
        <is>
          <t>Ref. original: Marachi et al., 1969 | Material en la fuente: «Pyramid Dam» (clase ROM/Chancado/Enrocado no indicada) | Datos por ensayo del repositorio Zenodo doi:10.5281/zenodo.3625778 (xlsx v1; ensayo_id = N° de fila); el artículo solo trae la lista de materiales (Fig. 2a) | q calculado = σ1−σ3 | E50 = 57.9 MPa | SÍ en base Cylwik (Marachi et al. (1972) PL, case 381) pero σ1 difiere: Cylwik 3.46 MPa vs Zenodo 4.415 MPa</t>
        </is>
      </c>
    </row>
    <row r="64">
      <c r="A64" t="inlineStr">
        <is>
          <t>OV2020</t>
        </is>
      </c>
      <c r="B64" t="inlineStr">
        <is>
          <t>2020_Ovalle_Data Compilation from Large ICDTx on Coarse Crushable Rockfill Materials.pdf</t>
        </is>
      </c>
      <c r="C64" t="n">
        <v>2020</v>
      </c>
      <c r="D64" t="inlineStr">
        <is>
          <t>Ovalle, Linero, Dano, Bard, Hicher y Osses (2020), JGGE 146(9) 06020013</t>
        </is>
      </c>
      <c r="E64" t="inlineStr">
        <is>
          <t>UC Berkeley, inferido de p.3</t>
        </is>
      </c>
      <c r="F64" t="inlineStr">
        <is>
          <t>Pyramid Dam</t>
        </is>
      </c>
      <c r="G64" t="n">
        <v>63</v>
      </c>
      <c r="H64" t="inlineStr">
        <is>
          <t>Argillite</t>
        </is>
      </c>
      <c r="I64" t="inlineStr">
        <is>
          <t>Argilita</t>
        </is>
      </c>
      <c r="J64" t="inlineStr"/>
      <c r="K64" t="inlineStr"/>
      <c r="L64" t="inlineStr"/>
      <c r="M64" t="inlineStr"/>
      <c r="N64" t="inlineStr"/>
      <c r="O64" t="inlineStr">
        <is>
          <t>CID (compresión triaxial drenada)</t>
        </is>
      </c>
      <c r="P64" t="inlineStr">
        <is>
          <t>no indicado</t>
        </is>
      </c>
      <c r="Q64" t="n">
        <v>914.4</v>
      </c>
      <c r="R64" t="inlineStr"/>
      <c r="S64" t="n">
        <v>152.4</v>
      </c>
      <c r="T64" t="inlineStr"/>
      <c r="U64" t="inlineStr"/>
      <c r="V64" t="inlineStr"/>
      <c r="W64" t="inlineStr"/>
      <c r="X64" t="n">
        <v>10</v>
      </c>
      <c r="Y64" t="inlineStr"/>
      <c r="Z64" t="inlineStr"/>
      <c r="AA64" t="inlineStr"/>
      <c r="AB64" t="inlineStr"/>
      <c r="AC64" t="inlineStr"/>
      <c r="AD64" t="inlineStr"/>
      <c r="AE64" t="inlineStr"/>
      <c r="AF64" t="n">
        <v>0.362</v>
      </c>
      <c r="AG64" t="inlineStr">
        <is>
          <t>informe</t>
        </is>
      </c>
      <c r="AH64" t="inlineStr"/>
      <c r="AI64" t="inlineStr"/>
      <c r="AJ64" t="inlineStr"/>
      <c r="AK64" t="n">
        <v>2896</v>
      </c>
      <c r="AL64" t="n">
        <v>11698</v>
      </c>
      <c r="AM64" t="n">
        <v>8802</v>
      </c>
      <c r="AN64" t="inlineStr">
        <is>
          <t>máximo (φmax, σ1 máximo)</t>
        </is>
      </c>
      <c r="AO64" t="n">
        <v>37.1</v>
      </c>
      <c r="AP64" t="inlineStr"/>
      <c r="AQ64" t="inlineStr"/>
      <c r="AR64" t="inlineStr"/>
      <c r="AS64" t="inlineStr"/>
      <c r="AT64" t="inlineStr"/>
      <c r="AU64" t="inlineStr"/>
      <c r="AV64" t="n">
        <v>36.4</v>
      </c>
      <c r="AW64" t="inlineStr"/>
      <c r="AX64" t="inlineStr"/>
      <c r="AY64" t="inlineStr"/>
      <c r="AZ64" t="inlineStr"/>
      <c r="BA64" t="inlineStr">
        <is>
          <t>Zenodo xlsx; material y dmax en p.4 (Fig. 2a)</t>
        </is>
      </c>
      <c r="BB64" t="inlineStr">
        <is>
          <t>no (valores del xlsx; nombre, litología y dmax verificados en imagen p.4)</t>
        </is>
      </c>
      <c r="BC64" t="inlineStr">
        <is>
          <t>Ref. original: Marachi et al., 1969 | Material en la fuente: «Pyramid Dam» (clase ROM/Chancado/Enrocado no indicada) | Datos por ensayo del repositorio Zenodo doi:10.5281/zenodo.3625778 (xlsx v1; ensayo_id = N° de fila); el artículo solo trae la lista de materiales (Fig. 2a) | q calculado = σ1−σ3 | E50 = 96.5 MPa | SÍ en base Cylwik, equivalente probable: Marachi et al. (1972)|BL|358</t>
        </is>
      </c>
    </row>
    <row r="65">
      <c r="A65" t="inlineStr">
        <is>
          <t>OV2020</t>
        </is>
      </c>
      <c r="B65" t="inlineStr">
        <is>
          <t>2020_Ovalle_Data Compilation from Large ICDTx on Coarse Crushable Rockfill Materials.pdf</t>
        </is>
      </c>
      <c r="C65" t="n">
        <v>2020</v>
      </c>
      <c r="D65" t="inlineStr">
        <is>
          <t>Ovalle, Linero, Dano, Bard, Hicher y Osses (2020), JGGE 146(9) 06020013</t>
        </is>
      </c>
      <c r="E65" t="inlineStr">
        <is>
          <t>UC Berkeley, inferido de p.3</t>
        </is>
      </c>
      <c r="F65" t="inlineStr">
        <is>
          <t>Pyramid Dam</t>
        </is>
      </c>
      <c r="G65" t="n">
        <v>64</v>
      </c>
      <c r="H65" t="inlineStr">
        <is>
          <t>Argillite</t>
        </is>
      </c>
      <c r="I65" t="inlineStr">
        <is>
          <t>Argilita</t>
        </is>
      </c>
      <c r="J65" t="inlineStr"/>
      <c r="K65" t="inlineStr"/>
      <c r="L65" t="inlineStr"/>
      <c r="M65" t="inlineStr"/>
      <c r="N65" t="inlineStr"/>
      <c r="O65" t="inlineStr">
        <is>
          <t>CID (compresión triaxial drenada)</t>
        </is>
      </c>
      <c r="P65" t="inlineStr">
        <is>
          <t>no indicado</t>
        </is>
      </c>
      <c r="Q65" t="n">
        <v>914.4</v>
      </c>
      <c r="R65" t="inlineStr"/>
      <c r="S65" t="n">
        <v>152.4</v>
      </c>
      <c r="T65" t="inlineStr"/>
      <c r="U65" t="inlineStr"/>
      <c r="V65" t="inlineStr"/>
      <c r="W65" t="inlineStr"/>
      <c r="X65" t="n">
        <v>10</v>
      </c>
      <c r="Y65" t="inlineStr"/>
      <c r="Z65" t="inlineStr"/>
      <c r="AA65" t="inlineStr"/>
      <c r="AB65" t="inlineStr"/>
      <c r="AC65" t="inlineStr"/>
      <c r="AD65" t="inlineStr"/>
      <c r="AE65" t="inlineStr"/>
      <c r="AF65" t="n">
        <v>0.321</v>
      </c>
      <c r="AG65" t="inlineStr">
        <is>
          <t>informe</t>
        </is>
      </c>
      <c r="AH65" t="inlineStr"/>
      <c r="AI65" t="inlineStr"/>
      <c r="AJ65" t="inlineStr"/>
      <c r="AK65" t="n">
        <v>4482</v>
      </c>
      <c r="AL65" t="n">
        <v>16853</v>
      </c>
      <c r="AM65" t="n">
        <v>12371</v>
      </c>
      <c r="AN65" t="inlineStr">
        <is>
          <t>máximo (φmax, σ1 máximo)</t>
        </is>
      </c>
      <c r="AO65" t="n">
        <v>35.4</v>
      </c>
      <c r="AP65" t="inlineStr"/>
      <c r="AQ65" t="inlineStr"/>
      <c r="AR65" t="inlineStr"/>
      <c r="AS65" t="inlineStr"/>
      <c r="AT65" t="inlineStr"/>
      <c r="AU65" t="inlineStr"/>
      <c r="AV65" t="n">
        <v>42.3</v>
      </c>
      <c r="AW65" t="inlineStr"/>
      <c r="AX65" t="inlineStr"/>
      <c r="AY65" t="inlineStr"/>
      <c r="AZ65" t="inlineStr"/>
      <c r="BA65" t="inlineStr">
        <is>
          <t>Zenodo xlsx; material y dmax en p.4 (Fig. 2a)</t>
        </is>
      </c>
      <c r="BB65" t="inlineStr">
        <is>
          <t>no (valores del xlsx; nombre, litología y dmax verificados en imagen p.4)</t>
        </is>
      </c>
      <c r="BC65" t="inlineStr">
        <is>
          <t>Ref. original: Marachi et al., 1969 | Material en la fuente: «Pyramid Dam» (clase ROM/Chancado/Enrocado no indicada) | Datos por ensayo del repositorio Zenodo doi:10.5281/zenodo.3625778 (xlsx v1; ensayo_id = N° de fila); el artículo solo trae la lista de materiales (Fig. 2a) | q calculado = σ1−σ3 | E50 = 125.5 MPa | SÍ en base Cylwik, equivalente probable: Marachi et al. (1972)|BL|359</t>
        </is>
      </c>
    </row>
    <row r="66">
      <c r="A66" t="inlineStr">
        <is>
          <t>OV2020</t>
        </is>
      </c>
      <c r="B66" t="inlineStr">
        <is>
          <t>2020_Ovalle_Data Compilation from Large ICDTx on Coarse Crushable Rockfill Materials.pdf</t>
        </is>
      </c>
      <c r="C66" t="n">
        <v>2020</v>
      </c>
      <c r="D66" t="inlineStr">
        <is>
          <t>Ovalle, Linero, Dano, Bard, Hicher y Osses (2020), JGGE 146(9) 06020013</t>
        </is>
      </c>
      <c r="E66" t="inlineStr">
        <is>
          <t>IDIEM (Chile), inferido de p.3</t>
        </is>
      </c>
      <c r="F66" t="inlineStr">
        <is>
          <t>CAD waste Truncated GSD</t>
        </is>
      </c>
      <c r="G66" t="n">
        <v>65</v>
      </c>
      <c r="H66" t="inlineStr">
        <is>
          <t>Granodiorite</t>
        </is>
      </c>
      <c r="I66" t="inlineStr">
        <is>
          <t>Granodiorita</t>
        </is>
      </c>
      <c r="J66" t="inlineStr"/>
      <c r="K66" t="inlineStr"/>
      <c r="L66" t="inlineStr"/>
      <c r="M66" t="inlineStr"/>
      <c r="N66" t="inlineStr"/>
      <c r="O66" t="inlineStr">
        <is>
          <t>CID (compresión triaxial drenada)</t>
        </is>
      </c>
      <c r="P66" t="inlineStr">
        <is>
          <t>no indicado</t>
        </is>
      </c>
      <c r="Q66" t="n">
        <v>1000</v>
      </c>
      <c r="R66" t="inlineStr"/>
      <c r="S66" t="n">
        <v>200</v>
      </c>
      <c r="T66" t="inlineStr"/>
      <c r="U66" t="inlineStr"/>
      <c r="V66" t="inlineStr"/>
      <c r="W66" t="inlineStr"/>
      <c r="X66" t="n">
        <v>9</v>
      </c>
      <c r="Y66" t="inlineStr"/>
      <c r="Z66" t="inlineStr"/>
      <c r="AA66" t="inlineStr"/>
      <c r="AB66" t="inlineStr"/>
      <c r="AC66" t="inlineStr">
        <is>
          <t>truncado (según nombre del material)</t>
        </is>
      </c>
      <c r="AD66" t="inlineStr"/>
      <c r="AE66" t="inlineStr"/>
      <c r="AF66" t="n">
        <v>0.44</v>
      </c>
      <c r="AG66" t="inlineStr">
        <is>
          <t>informe</t>
        </is>
      </c>
      <c r="AH66" t="inlineStr"/>
      <c r="AI66" t="inlineStr"/>
      <c r="AJ66" t="inlineStr"/>
      <c r="AK66" t="n">
        <v>1000</v>
      </c>
      <c r="AL66" t="n">
        <v>4500</v>
      </c>
      <c r="AM66" t="n">
        <v>3500</v>
      </c>
      <c r="AN66" t="inlineStr">
        <is>
          <t>máximo (φmax, σ1 máximo)</t>
        </is>
      </c>
      <c r="AO66" t="n">
        <v>38</v>
      </c>
      <c r="AP66" t="inlineStr"/>
      <c r="AQ66" t="inlineStr"/>
      <c r="AR66" t="inlineStr"/>
      <c r="AS66" t="inlineStr"/>
      <c r="AT66" t="inlineStr"/>
      <c r="AU66" t="inlineStr"/>
      <c r="AV66" t="n">
        <v>16.4</v>
      </c>
      <c r="AW66" t="inlineStr"/>
      <c r="AX66" t="inlineStr"/>
      <c r="AY66" t="inlineStr"/>
      <c r="AZ66" t="inlineStr"/>
      <c r="BA66" t="inlineStr">
        <is>
          <t>Zenodo xlsx; material y dmax en p.4 (Fig. 2a)</t>
        </is>
      </c>
      <c r="BB66" t="inlineStr">
        <is>
          <t>no (valores del xlsx; nombre, litología y dmax verificados en imagen p.4)</t>
        </is>
      </c>
      <c r="BC66" t="inlineStr">
        <is>
          <t>Ref. original: Linero et al., 2007 | Material en la fuente: «CAD waste Truncated GSD» (clase ROM/Chancado/Enrocado no indicada) | Datos por ensayo del repositorio Zenodo doi:10.5281/zenodo.3625778 (xlsx v1; ensayo_id = N° de fila); el artículo solo trae la lista de materiales (Fig. 2a) | q calculado = σ1−σ3 | E50 = 45.0 MPa | NO en base Cylwik</t>
        </is>
      </c>
    </row>
    <row r="67">
      <c r="A67" t="inlineStr">
        <is>
          <t>OV2020</t>
        </is>
      </c>
      <c r="B67" t="inlineStr">
        <is>
          <t>2020_Ovalle_Data Compilation from Large ICDTx on Coarse Crushable Rockfill Materials.pdf</t>
        </is>
      </c>
      <c r="C67" t="n">
        <v>2020</v>
      </c>
      <c r="D67" t="inlineStr">
        <is>
          <t>Ovalle, Linero, Dano, Bard, Hicher y Osses (2020), JGGE 146(9) 06020013</t>
        </is>
      </c>
      <c r="E67" t="inlineStr">
        <is>
          <t>IDIEM (Chile), inferido de p.3</t>
        </is>
      </c>
      <c r="F67" t="inlineStr">
        <is>
          <t>CAD waste Truncated GSD</t>
        </is>
      </c>
      <c r="G67" t="n">
        <v>66</v>
      </c>
      <c r="H67" t="inlineStr">
        <is>
          <t>Granodiorite</t>
        </is>
      </c>
      <c r="I67" t="inlineStr">
        <is>
          <t>Granodiorita</t>
        </is>
      </c>
      <c r="J67" t="inlineStr"/>
      <c r="K67" t="inlineStr"/>
      <c r="L67" t="inlineStr"/>
      <c r="M67" t="inlineStr"/>
      <c r="N67" t="inlineStr"/>
      <c r="O67" t="inlineStr">
        <is>
          <t>CID (compresión triaxial drenada)</t>
        </is>
      </c>
      <c r="P67" t="inlineStr">
        <is>
          <t>no indicado</t>
        </is>
      </c>
      <c r="Q67" t="n">
        <v>1000</v>
      </c>
      <c r="R67" t="inlineStr"/>
      <c r="S67" t="n">
        <v>200</v>
      </c>
      <c r="T67" t="inlineStr"/>
      <c r="U67" t="inlineStr"/>
      <c r="V67" t="inlineStr"/>
      <c r="W67" t="inlineStr"/>
      <c r="X67" t="n">
        <v>9</v>
      </c>
      <c r="Y67" t="inlineStr"/>
      <c r="Z67" t="inlineStr"/>
      <c r="AA67" t="inlineStr"/>
      <c r="AB67" t="inlineStr"/>
      <c r="AC67" t="inlineStr">
        <is>
          <t>truncado (según nombre del material)</t>
        </is>
      </c>
      <c r="AD67" t="inlineStr"/>
      <c r="AE67" t="inlineStr"/>
      <c r="AF67" t="n">
        <v>0.37</v>
      </c>
      <c r="AG67" t="inlineStr">
        <is>
          <t>informe</t>
        </is>
      </c>
      <c r="AH67" t="inlineStr"/>
      <c r="AI67" t="inlineStr"/>
      <c r="AJ67" t="inlineStr"/>
      <c r="AK67" t="n">
        <v>1600</v>
      </c>
      <c r="AL67" t="n">
        <v>8000</v>
      </c>
      <c r="AM67" t="n">
        <v>6400</v>
      </c>
      <c r="AN67" t="inlineStr">
        <is>
          <t>máximo (φmax, σ1 máximo)</t>
        </is>
      </c>
      <c r="AO67" t="n">
        <v>40</v>
      </c>
      <c r="AP67" t="inlineStr"/>
      <c r="AQ67" t="inlineStr"/>
      <c r="AR67" t="inlineStr"/>
      <c r="AS67" t="inlineStr"/>
      <c r="AT67" t="inlineStr"/>
      <c r="AU67" t="inlineStr"/>
      <c r="AV67" t="n">
        <v>24.1</v>
      </c>
      <c r="AW67" t="inlineStr"/>
      <c r="AX67" t="inlineStr"/>
      <c r="AY67" t="inlineStr"/>
      <c r="AZ67" t="inlineStr"/>
      <c r="BA67" t="inlineStr">
        <is>
          <t>Zenodo xlsx; material y dmax en p.4 (Fig. 2a)</t>
        </is>
      </c>
      <c r="BB67" t="inlineStr">
        <is>
          <t>no (valores del xlsx; nombre, litología y dmax verificados en imagen p.4)</t>
        </is>
      </c>
      <c r="BC67" t="inlineStr">
        <is>
          <t>Ref. original: Linero et al., 2007 | Material en la fuente: «CAD waste Truncated GSD» (clase ROM/Chancado/Enrocado no indicada) | Datos por ensayo del repositorio Zenodo doi:10.5281/zenodo.3625778 (xlsx v1; ensayo_id = N° de fila); el artículo solo trae la lista de materiales (Fig. 2a) | q calculado = σ1−σ3 | E50 = 64.0 MPa | NO en base Cylwik</t>
        </is>
      </c>
    </row>
    <row r="68">
      <c r="A68" t="inlineStr">
        <is>
          <t>OV2020</t>
        </is>
      </c>
      <c r="B68" t="inlineStr">
        <is>
          <t>2020_Ovalle_Data Compilation from Large ICDTx on Coarse Crushable Rockfill Materials.pdf</t>
        </is>
      </c>
      <c r="C68" t="n">
        <v>2020</v>
      </c>
      <c r="D68" t="inlineStr">
        <is>
          <t>Ovalle, Linero, Dano, Bard, Hicher y Osses (2020), JGGE 146(9) 06020013</t>
        </is>
      </c>
      <c r="E68" t="inlineStr">
        <is>
          <t>IDIEM (Chile), inferido de p.3</t>
        </is>
      </c>
      <c r="F68" t="inlineStr">
        <is>
          <t>CAD waste Truncated GSD</t>
        </is>
      </c>
      <c r="G68" t="n">
        <v>67</v>
      </c>
      <c r="H68" t="inlineStr">
        <is>
          <t>Granodiorite</t>
        </is>
      </c>
      <c r="I68" t="inlineStr">
        <is>
          <t>Granodiorita</t>
        </is>
      </c>
      <c r="J68" t="inlineStr"/>
      <c r="K68" t="inlineStr"/>
      <c r="L68" t="inlineStr"/>
      <c r="M68" t="inlineStr"/>
      <c r="N68" t="inlineStr"/>
      <c r="O68" t="inlineStr">
        <is>
          <t>CID (compresión triaxial drenada)</t>
        </is>
      </c>
      <c r="P68" t="inlineStr">
        <is>
          <t>no indicado</t>
        </is>
      </c>
      <c r="Q68" t="n">
        <v>1000</v>
      </c>
      <c r="R68" t="inlineStr"/>
      <c r="S68" t="n">
        <v>200</v>
      </c>
      <c r="T68" t="inlineStr"/>
      <c r="U68" t="inlineStr"/>
      <c r="V68" t="inlineStr"/>
      <c r="W68" t="inlineStr"/>
      <c r="X68" t="n">
        <v>9</v>
      </c>
      <c r="Y68" t="inlineStr"/>
      <c r="Z68" t="inlineStr"/>
      <c r="AA68" t="inlineStr"/>
      <c r="AB68" t="inlineStr"/>
      <c r="AC68" t="inlineStr">
        <is>
          <t>truncado (según nombre del material)</t>
        </is>
      </c>
      <c r="AD68" t="inlineStr"/>
      <c r="AE68" t="inlineStr"/>
      <c r="AF68" t="n">
        <v>0.36</v>
      </c>
      <c r="AG68" t="inlineStr">
        <is>
          <t>informe</t>
        </is>
      </c>
      <c r="AH68" t="inlineStr"/>
      <c r="AI68" t="inlineStr"/>
      <c r="AJ68" t="inlineStr"/>
      <c r="AK68" t="n">
        <v>2500</v>
      </c>
      <c r="AL68" t="n">
        <v>10000</v>
      </c>
      <c r="AM68" t="n">
        <v>7500</v>
      </c>
      <c r="AN68" t="inlineStr">
        <is>
          <t>máximo (φmax, σ1 máximo)</t>
        </is>
      </c>
      <c r="AO68" t="n">
        <v>36</v>
      </c>
      <c r="AP68" t="inlineStr"/>
      <c r="AQ68" t="inlineStr"/>
      <c r="AR68" t="inlineStr"/>
      <c r="AS68" t="inlineStr"/>
      <c r="AT68" t="inlineStr"/>
      <c r="AU68" t="inlineStr"/>
      <c r="AV68" t="n">
        <v>30</v>
      </c>
      <c r="AW68" t="inlineStr"/>
      <c r="AX68" t="inlineStr"/>
      <c r="AY68" t="inlineStr"/>
      <c r="AZ68" t="inlineStr"/>
      <c r="BA68" t="inlineStr">
        <is>
          <t>Zenodo xlsx; material y dmax en p.4 (Fig. 2a)</t>
        </is>
      </c>
      <c r="BB68" t="inlineStr">
        <is>
          <t>no (valores del xlsx; nombre, litología y dmax verificados en imagen p.4)</t>
        </is>
      </c>
      <c r="BC68" t="inlineStr">
        <is>
          <t>Ref. original: Linero et al., 2007 | Material en la fuente: «CAD waste Truncated GSD» (clase ROM/Chancado/Enrocado no indicada) | Datos por ensayo del repositorio Zenodo doi:10.5281/zenodo.3625778 (xlsx v1; ensayo_id = N° de fila); el artículo solo trae la lista de materiales (Fig. 2a) | q calculado = σ1−σ3 | E50 = 63.3 MPa | NO en base Cylwik</t>
        </is>
      </c>
    </row>
    <row r="69">
      <c r="A69" t="inlineStr">
        <is>
          <t>OV2020</t>
        </is>
      </c>
      <c r="B69" t="inlineStr">
        <is>
          <t>2020_Ovalle_Data Compilation from Large ICDTx on Coarse Crushable Rockfill Materials.pdf</t>
        </is>
      </c>
      <c r="C69" t="n">
        <v>2020</v>
      </c>
      <c r="D69" t="inlineStr">
        <is>
          <t>Ovalle, Linero, Dano, Bard, Hicher y Osses (2020), JGGE 146(9) 06020013</t>
        </is>
      </c>
      <c r="E69" t="inlineStr">
        <is>
          <t>IDIEM (Chile), inferido de p.3</t>
        </is>
      </c>
      <c r="F69" t="inlineStr">
        <is>
          <t>CAD waste Parallel PSD</t>
        </is>
      </c>
      <c r="G69" t="n">
        <v>68</v>
      </c>
      <c r="H69" t="inlineStr">
        <is>
          <t>Granodiorite</t>
        </is>
      </c>
      <c r="I69" t="inlineStr">
        <is>
          <t>Granodiorita</t>
        </is>
      </c>
      <c r="J69" t="inlineStr"/>
      <c r="K69" t="inlineStr"/>
      <c r="L69" t="inlineStr"/>
      <c r="M69" t="inlineStr"/>
      <c r="N69" t="inlineStr"/>
      <c r="O69" t="inlineStr">
        <is>
          <t>CID (compresión triaxial drenada)</t>
        </is>
      </c>
      <c r="P69" t="inlineStr">
        <is>
          <t>no indicado</t>
        </is>
      </c>
      <c r="Q69" t="n">
        <v>1000</v>
      </c>
      <c r="R69" t="inlineStr"/>
      <c r="S69" t="n">
        <v>200</v>
      </c>
      <c r="T69" t="inlineStr"/>
      <c r="U69" t="inlineStr"/>
      <c r="V69" t="inlineStr"/>
      <c r="W69" t="inlineStr"/>
      <c r="X69" t="n">
        <v>16</v>
      </c>
      <c r="Y69" t="inlineStr"/>
      <c r="Z69" t="inlineStr"/>
      <c r="AA69" t="inlineStr"/>
      <c r="AB69" t="inlineStr"/>
      <c r="AC69" t="inlineStr">
        <is>
          <t>paralelo (según nombre del material)</t>
        </is>
      </c>
      <c r="AD69" t="inlineStr"/>
      <c r="AE69" t="inlineStr"/>
      <c r="AF69" t="n">
        <v>0.45</v>
      </c>
      <c r="AG69" t="inlineStr">
        <is>
          <t>informe</t>
        </is>
      </c>
      <c r="AH69" t="inlineStr"/>
      <c r="AI69" t="inlineStr"/>
      <c r="AJ69" t="inlineStr"/>
      <c r="AK69" t="n">
        <v>100</v>
      </c>
      <c r="AL69" t="n">
        <v>730</v>
      </c>
      <c r="AM69" t="n">
        <v>630</v>
      </c>
      <c r="AN69" t="inlineStr">
        <is>
          <t>máximo (φmax, σ1 máximo)</t>
        </is>
      </c>
      <c r="AO69" t="n">
        <v>51</v>
      </c>
      <c r="AP69" t="inlineStr"/>
      <c r="AQ69" t="inlineStr"/>
      <c r="AR69" t="inlineStr"/>
      <c r="AS69" t="inlineStr"/>
      <c r="AT69" t="inlineStr"/>
      <c r="AU69" t="inlineStr"/>
      <c r="AV69" t="n">
        <v>6.4</v>
      </c>
      <c r="AW69" t="inlineStr"/>
      <c r="AX69" t="inlineStr"/>
      <c r="AY69" t="inlineStr"/>
      <c r="AZ69" t="inlineStr"/>
      <c r="BA69" t="inlineStr">
        <is>
          <t>Zenodo xlsx; material y dmax en p.4 (Fig. 2a)</t>
        </is>
      </c>
      <c r="BB69" t="inlineStr">
        <is>
          <t>no (valores del xlsx; nombre, litología y dmax verificados en imagen p.4)</t>
        </is>
      </c>
      <c r="BC69" t="inlineStr">
        <is>
          <t>Ref. original: Linero et al., 2007 | Material en la fuente: «CAD waste Parallel PSD» (clase ROM/Chancado/Enrocado no indicada) | Datos por ensayo del repositorio Zenodo doi:10.5281/zenodo.3625778 (xlsx v1; ensayo_id = N° de fila); el artículo solo trae la lista de materiales (Fig. 2a) | q calculado = σ1−σ3 | E50 = 13.3 MPa | NO en base Cylwik</t>
        </is>
      </c>
    </row>
    <row r="70">
      <c r="A70" t="inlineStr">
        <is>
          <t>OV2020</t>
        </is>
      </c>
      <c r="B70" t="inlineStr">
        <is>
          <t>2020_Ovalle_Data Compilation from Large ICDTx on Coarse Crushable Rockfill Materials.pdf</t>
        </is>
      </c>
      <c r="C70" t="n">
        <v>2020</v>
      </c>
      <c r="D70" t="inlineStr">
        <is>
          <t>Ovalle, Linero, Dano, Bard, Hicher y Osses (2020), JGGE 146(9) 06020013</t>
        </is>
      </c>
      <c r="E70" t="inlineStr">
        <is>
          <t>IDIEM (Chile), inferido de p.3</t>
        </is>
      </c>
      <c r="F70" t="inlineStr">
        <is>
          <t>CAD waste Parallel PSD</t>
        </is>
      </c>
      <c r="G70" t="n">
        <v>69</v>
      </c>
      <c r="H70" t="inlineStr">
        <is>
          <t>Granodiorite</t>
        </is>
      </c>
      <c r="I70" t="inlineStr">
        <is>
          <t>Granodiorita</t>
        </is>
      </c>
      <c r="J70" t="inlineStr"/>
      <c r="K70" t="inlineStr"/>
      <c r="L70" t="inlineStr"/>
      <c r="M70" t="inlineStr"/>
      <c r="N70" t="inlineStr"/>
      <c r="O70" t="inlineStr">
        <is>
          <t>CID (compresión triaxial drenada)</t>
        </is>
      </c>
      <c r="P70" t="inlineStr">
        <is>
          <t>no indicado</t>
        </is>
      </c>
      <c r="Q70" t="n">
        <v>1000</v>
      </c>
      <c r="R70" t="inlineStr"/>
      <c r="S70" t="n">
        <v>200</v>
      </c>
      <c r="T70" t="inlineStr"/>
      <c r="U70" t="inlineStr"/>
      <c r="V70" t="inlineStr"/>
      <c r="W70" t="inlineStr"/>
      <c r="X70" t="n">
        <v>16</v>
      </c>
      <c r="Y70" t="inlineStr"/>
      <c r="Z70" t="inlineStr"/>
      <c r="AA70" t="inlineStr"/>
      <c r="AB70" t="inlineStr"/>
      <c r="AC70" t="inlineStr">
        <is>
          <t>paralelo (según nombre del material)</t>
        </is>
      </c>
      <c r="AD70" t="inlineStr"/>
      <c r="AE70" t="inlineStr"/>
      <c r="AF70" t="n">
        <v>0.44</v>
      </c>
      <c r="AG70" t="inlineStr">
        <is>
          <t>informe</t>
        </is>
      </c>
      <c r="AH70" t="inlineStr"/>
      <c r="AI70" t="inlineStr"/>
      <c r="AJ70" t="inlineStr"/>
      <c r="AK70" t="n">
        <v>200</v>
      </c>
      <c r="AL70" t="n">
        <v>1200</v>
      </c>
      <c r="AM70" t="n">
        <v>1000</v>
      </c>
      <c r="AN70" t="inlineStr">
        <is>
          <t>máximo (φmax, σ1 máximo)</t>
        </is>
      </c>
      <c r="AO70" t="n">
        <v>47</v>
      </c>
      <c r="AP70" t="inlineStr"/>
      <c r="AQ70" t="inlineStr"/>
      <c r="AR70" t="inlineStr"/>
      <c r="AS70" t="inlineStr"/>
      <c r="AT70" t="inlineStr"/>
      <c r="AU70" t="inlineStr"/>
      <c r="AV70" t="n">
        <v>7.7</v>
      </c>
      <c r="AW70" t="inlineStr"/>
      <c r="AX70" t="inlineStr"/>
      <c r="AY70" t="inlineStr"/>
      <c r="AZ70" t="inlineStr"/>
      <c r="BA70" t="inlineStr">
        <is>
          <t>Zenodo xlsx; material y dmax en p.4 (Fig. 2a)</t>
        </is>
      </c>
      <c r="BB70" t="inlineStr">
        <is>
          <t>no (valores del xlsx; nombre, litología y dmax verificados en imagen p.4)</t>
        </is>
      </c>
      <c r="BC70" t="inlineStr">
        <is>
          <t>Ref. original: Linero et al., 2007 | Material en la fuente: «CAD waste Parallel PSD» (clase ROM/Chancado/Enrocado no indicada) | Datos por ensayo del repositorio Zenodo doi:10.5281/zenodo.3625778 (xlsx v1; ensayo_id = N° de fila); el artículo solo trae la lista de materiales (Fig. 2a) | q calculado = σ1−σ3 | E50 = 10.0 MPa | NO en base Cylwik</t>
        </is>
      </c>
    </row>
    <row r="71">
      <c r="A71" t="inlineStr">
        <is>
          <t>OV2020</t>
        </is>
      </c>
      <c r="B71" t="inlineStr">
        <is>
          <t>2020_Ovalle_Data Compilation from Large ICDTx on Coarse Crushable Rockfill Materials.pdf</t>
        </is>
      </c>
      <c r="C71" t="n">
        <v>2020</v>
      </c>
      <c r="D71" t="inlineStr">
        <is>
          <t>Ovalle, Linero, Dano, Bard, Hicher y Osses (2020), JGGE 146(9) 06020013</t>
        </is>
      </c>
      <c r="E71" t="inlineStr">
        <is>
          <t>IDIEM (Chile), inferido de p.3</t>
        </is>
      </c>
      <c r="F71" t="inlineStr">
        <is>
          <t>CAD waste Parallel PSD</t>
        </is>
      </c>
      <c r="G71" t="n">
        <v>70</v>
      </c>
      <c r="H71" t="inlineStr">
        <is>
          <t>Granodiorite</t>
        </is>
      </c>
      <c r="I71" t="inlineStr">
        <is>
          <t>Granodiorita</t>
        </is>
      </c>
      <c r="J71" t="inlineStr"/>
      <c r="K71" t="inlineStr"/>
      <c r="L71" t="inlineStr"/>
      <c r="M71" t="inlineStr"/>
      <c r="N71" t="inlineStr"/>
      <c r="O71" t="inlineStr">
        <is>
          <t>CID (compresión triaxial drenada)</t>
        </is>
      </c>
      <c r="P71" t="inlineStr">
        <is>
          <t>no indicado</t>
        </is>
      </c>
      <c r="Q71" t="n">
        <v>1000</v>
      </c>
      <c r="R71" t="inlineStr"/>
      <c r="S71" t="n">
        <v>200</v>
      </c>
      <c r="T71" t="inlineStr"/>
      <c r="U71" t="inlineStr"/>
      <c r="V71" t="inlineStr"/>
      <c r="W71" t="inlineStr"/>
      <c r="X71" t="n">
        <v>16</v>
      </c>
      <c r="Y71" t="inlineStr"/>
      <c r="Z71" t="inlineStr"/>
      <c r="AA71" t="inlineStr"/>
      <c r="AB71" t="inlineStr"/>
      <c r="AC71" t="inlineStr">
        <is>
          <t>paralelo (según nombre del material)</t>
        </is>
      </c>
      <c r="AD71" t="inlineStr"/>
      <c r="AE71" t="inlineStr"/>
      <c r="AF71" t="n">
        <v>0.43</v>
      </c>
      <c r="AG71" t="inlineStr">
        <is>
          <t>informe</t>
        </is>
      </c>
      <c r="AH71" t="inlineStr"/>
      <c r="AI71" t="inlineStr"/>
      <c r="AJ71" t="inlineStr"/>
      <c r="AK71" t="n">
        <v>500</v>
      </c>
      <c r="AL71" t="n">
        <v>2300</v>
      </c>
      <c r="AM71" t="n">
        <v>1800</v>
      </c>
      <c r="AN71" t="inlineStr">
        <is>
          <t>máximo (φmax, σ1 máximo)</t>
        </is>
      </c>
      <c r="AO71" t="n">
        <v>40</v>
      </c>
      <c r="AP71" t="inlineStr"/>
      <c r="AQ71" t="inlineStr"/>
      <c r="AR71" t="inlineStr"/>
      <c r="AS71" t="inlineStr"/>
      <c r="AT71" t="inlineStr"/>
      <c r="AU71" t="inlineStr"/>
      <c r="AV71" t="n">
        <v>9.4</v>
      </c>
      <c r="AW71" t="inlineStr"/>
      <c r="AX71" t="inlineStr"/>
      <c r="AY71" t="inlineStr"/>
      <c r="AZ71" t="inlineStr"/>
      <c r="BA71" t="inlineStr">
        <is>
          <t>Zenodo xlsx; material y dmax en p.4 (Fig. 2a)</t>
        </is>
      </c>
      <c r="BB71" t="inlineStr">
        <is>
          <t>no (valores del xlsx; nombre, litología y dmax verificados en imagen p.4)</t>
        </is>
      </c>
      <c r="BC71" t="inlineStr">
        <is>
          <t>Ref. original: Linero et al., 2007 | Material en la fuente: «CAD waste Parallel PSD» (clase ROM/Chancado/Enrocado no indicada) | Datos por ensayo del repositorio Zenodo doi:10.5281/zenodo.3625778 (xlsx v1; ensayo_id = N° de fila); el artículo solo trae la lista de materiales (Fig. 2a) | q calculado = σ1−σ3 | E50 = 18.0 MPa | NO en base Cylwik</t>
        </is>
      </c>
    </row>
    <row r="72">
      <c r="A72" t="inlineStr">
        <is>
          <t>OV2020</t>
        </is>
      </c>
      <c r="B72" t="inlineStr">
        <is>
          <t>2020_Ovalle_Data Compilation from Large ICDTx on Coarse Crushable Rockfill Materials.pdf</t>
        </is>
      </c>
      <c r="C72" t="n">
        <v>2020</v>
      </c>
      <c r="D72" t="inlineStr">
        <is>
          <t>Ovalle, Linero, Dano, Bard, Hicher y Osses (2020), JGGE 146(9) 06020013</t>
        </is>
      </c>
      <c r="E72" t="inlineStr">
        <is>
          <t>IDIEM (Chile), inferido de p.3</t>
        </is>
      </c>
      <c r="F72" t="inlineStr">
        <is>
          <t>CAD waste Parallel PSD</t>
        </is>
      </c>
      <c r="G72" t="n">
        <v>71</v>
      </c>
      <c r="H72" t="inlineStr">
        <is>
          <t>Granodiorite</t>
        </is>
      </c>
      <c r="I72" t="inlineStr">
        <is>
          <t>Granodiorita</t>
        </is>
      </c>
      <c r="J72" t="inlineStr"/>
      <c r="K72" t="inlineStr"/>
      <c r="L72" t="inlineStr"/>
      <c r="M72" t="inlineStr"/>
      <c r="N72" t="inlineStr"/>
      <c r="O72" t="inlineStr">
        <is>
          <t>CID (compresión triaxial drenada)</t>
        </is>
      </c>
      <c r="P72" t="inlineStr">
        <is>
          <t>no indicado</t>
        </is>
      </c>
      <c r="Q72" t="n">
        <v>1000</v>
      </c>
      <c r="R72" t="inlineStr"/>
      <c r="S72" t="n">
        <v>200</v>
      </c>
      <c r="T72" t="inlineStr"/>
      <c r="U72" t="inlineStr"/>
      <c r="V72" t="inlineStr"/>
      <c r="W72" t="inlineStr"/>
      <c r="X72" t="n">
        <v>16</v>
      </c>
      <c r="Y72" t="inlineStr"/>
      <c r="Z72" t="inlineStr"/>
      <c r="AA72" t="inlineStr"/>
      <c r="AB72" t="inlineStr"/>
      <c r="AC72" t="inlineStr">
        <is>
          <t>paralelo (según nombre del material)</t>
        </is>
      </c>
      <c r="AD72" t="inlineStr"/>
      <c r="AE72" t="inlineStr"/>
      <c r="AF72" t="n">
        <v>0.39</v>
      </c>
      <c r="AG72" t="inlineStr">
        <is>
          <t>informe</t>
        </is>
      </c>
      <c r="AH72" t="inlineStr"/>
      <c r="AI72" t="inlineStr"/>
      <c r="AJ72" t="inlineStr"/>
      <c r="AK72" t="n">
        <v>1000</v>
      </c>
      <c r="AL72" t="n">
        <v>4400</v>
      </c>
      <c r="AM72" t="n">
        <v>3400</v>
      </c>
      <c r="AN72" t="inlineStr">
        <is>
          <t>máximo (φmax, σ1 máximo)</t>
        </is>
      </c>
      <c r="AO72" t="n">
        <v>39</v>
      </c>
      <c r="AP72" t="inlineStr"/>
      <c r="AQ72" t="inlineStr"/>
      <c r="AR72" t="inlineStr"/>
      <c r="AS72" t="inlineStr"/>
      <c r="AT72" t="inlineStr"/>
      <c r="AU72" t="inlineStr"/>
      <c r="AV72" t="n">
        <v>13.6</v>
      </c>
      <c r="AW72" t="inlineStr"/>
      <c r="AX72" t="inlineStr"/>
      <c r="AY72" t="inlineStr"/>
      <c r="AZ72" t="inlineStr"/>
      <c r="BA72" t="inlineStr">
        <is>
          <t>Zenodo xlsx; material y dmax en p.4 (Fig. 2a)</t>
        </is>
      </c>
      <c r="BB72" t="inlineStr">
        <is>
          <t>no (valores del xlsx; nombre, litología y dmax verificados en imagen p.4)</t>
        </is>
      </c>
      <c r="BC72" t="inlineStr">
        <is>
          <t>Ref. original: Linero et al., 2007 | Material en la fuente: «CAD waste Parallel PSD» (clase ROM/Chancado/Enrocado no indicada) | Datos por ensayo del repositorio Zenodo doi:10.5281/zenodo.3625778 (xlsx v1; ensayo_id = N° de fila); el artículo solo trae la lista de materiales (Fig. 2a) | q calculado = σ1−σ3 | E50 = 40.0 MPa | NO en base Cylwik</t>
        </is>
      </c>
    </row>
    <row r="73">
      <c r="A73" t="inlineStr">
        <is>
          <t>OV2020</t>
        </is>
      </c>
      <c r="B73" t="inlineStr">
        <is>
          <t>2020_Ovalle_Data Compilation from Large ICDTx on Coarse Crushable Rockfill Materials.pdf</t>
        </is>
      </c>
      <c r="C73" t="n">
        <v>2020</v>
      </c>
      <c r="D73" t="inlineStr">
        <is>
          <t>Ovalle, Linero, Dano, Bard, Hicher y Osses (2020), JGGE 146(9) 06020013</t>
        </is>
      </c>
      <c r="E73" t="inlineStr">
        <is>
          <t>IDIEM (Chile), inferido de p.3</t>
        </is>
      </c>
      <c r="F73" t="inlineStr">
        <is>
          <t>CAD waste Parallel PSD</t>
        </is>
      </c>
      <c r="G73" t="n">
        <v>72</v>
      </c>
      <c r="H73" t="inlineStr">
        <is>
          <t>Granodiorite</t>
        </is>
      </c>
      <c r="I73" t="inlineStr">
        <is>
          <t>Granodiorita</t>
        </is>
      </c>
      <c r="J73" t="inlineStr"/>
      <c r="K73" t="inlineStr"/>
      <c r="L73" t="inlineStr"/>
      <c r="M73" t="inlineStr"/>
      <c r="N73" t="inlineStr"/>
      <c r="O73" t="inlineStr">
        <is>
          <t>CID (compresión triaxial drenada)</t>
        </is>
      </c>
      <c r="P73" t="inlineStr">
        <is>
          <t>no indicado</t>
        </is>
      </c>
      <c r="Q73" t="n">
        <v>1000</v>
      </c>
      <c r="R73" t="inlineStr"/>
      <c r="S73" t="n">
        <v>200</v>
      </c>
      <c r="T73" t="inlineStr"/>
      <c r="U73" t="inlineStr"/>
      <c r="V73" t="inlineStr"/>
      <c r="W73" t="inlineStr"/>
      <c r="X73" t="n">
        <v>16</v>
      </c>
      <c r="Y73" t="inlineStr"/>
      <c r="Z73" t="inlineStr"/>
      <c r="AA73" t="inlineStr"/>
      <c r="AB73" t="inlineStr"/>
      <c r="AC73" t="inlineStr">
        <is>
          <t>paralelo (según nombre del material)</t>
        </is>
      </c>
      <c r="AD73" t="inlineStr"/>
      <c r="AE73" t="inlineStr"/>
      <c r="AF73" t="n">
        <v>0.34</v>
      </c>
      <c r="AG73" t="inlineStr">
        <is>
          <t>informe</t>
        </is>
      </c>
      <c r="AH73" t="inlineStr"/>
      <c r="AI73" t="inlineStr"/>
      <c r="AJ73" t="inlineStr"/>
      <c r="AK73" t="n">
        <v>2000</v>
      </c>
      <c r="AL73" t="n">
        <v>6600</v>
      </c>
      <c r="AM73" t="n">
        <v>4600</v>
      </c>
      <c r="AN73" t="inlineStr">
        <is>
          <t>máximo (φmax, σ1 máximo)</t>
        </is>
      </c>
      <c r="AO73" t="n">
        <v>32</v>
      </c>
      <c r="AP73" t="inlineStr"/>
      <c r="AQ73" t="inlineStr"/>
      <c r="AR73" t="inlineStr"/>
      <c r="AS73" t="inlineStr"/>
      <c r="AT73" t="inlineStr"/>
      <c r="AU73" t="inlineStr"/>
      <c r="AV73" t="n">
        <v>15</v>
      </c>
      <c r="AW73" t="inlineStr"/>
      <c r="AX73" t="inlineStr"/>
      <c r="AY73" t="inlineStr"/>
      <c r="AZ73" t="inlineStr"/>
      <c r="BA73" t="inlineStr">
        <is>
          <t>Zenodo xlsx; material y dmax en p.4 (Fig. 2a)</t>
        </is>
      </c>
      <c r="BB73" t="inlineStr">
        <is>
          <t>no (valores del xlsx; nombre, litología y dmax verificados en imagen p.4)</t>
        </is>
      </c>
      <c r="BC73" t="inlineStr">
        <is>
          <t>Ref. original: Linero et al., 2007 | Material en la fuente: «CAD waste Parallel PSD» (clase ROM/Chancado/Enrocado no indicada) | Datos por ensayo del repositorio Zenodo doi:10.5281/zenodo.3625778 (xlsx v1; ensayo_id = N° de fila); el artículo solo trae la lista de materiales (Fig. 2a) | q calculado = σ1−σ3 | E50 = 51.1 MPa | NO en base Cylwik</t>
        </is>
      </c>
    </row>
    <row r="74">
      <c r="A74" t="inlineStr">
        <is>
          <t>OV2020</t>
        </is>
      </c>
      <c r="B74" t="inlineStr">
        <is>
          <t>2020_Ovalle_Data Compilation from Large ICDTx on Coarse Crushable Rockfill Materials.pdf</t>
        </is>
      </c>
      <c r="C74" t="n">
        <v>2020</v>
      </c>
      <c r="D74" t="inlineStr">
        <is>
          <t>Ovalle, Linero, Dano, Bard, Hicher y Osses (2020), JGGE 146(9) 06020013</t>
        </is>
      </c>
      <c r="E74" t="inlineStr">
        <is>
          <t>IDIEM (Chile), inferido de p.3</t>
        </is>
      </c>
      <c r="F74" t="inlineStr">
        <is>
          <t>Andina waste rock 1</t>
        </is>
      </c>
      <c r="G74" t="n">
        <v>73</v>
      </c>
      <c r="H74" t="inlineStr">
        <is>
          <t>Granodiorite</t>
        </is>
      </c>
      <c r="I74" t="inlineStr">
        <is>
          <t>Granodiorita</t>
        </is>
      </c>
      <c r="J74" t="inlineStr"/>
      <c r="K74" t="inlineStr"/>
      <c r="L74" t="inlineStr"/>
      <c r="M74" t="inlineStr"/>
      <c r="N74" t="inlineStr"/>
      <c r="O74" t="inlineStr">
        <is>
          <t>CID (compresión triaxial drenada)</t>
        </is>
      </c>
      <c r="P74" t="inlineStr">
        <is>
          <t>no indicado</t>
        </is>
      </c>
      <c r="Q74" t="n">
        <v>1000</v>
      </c>
      <c r="R74" t="inlineStr"/>
      <c r="S74" t="n">
        <v>152.4</v>
      </c>
      <c r="T74" t="inlineStr"/>
      <c r="U74" t="inlineStr"/>
      <c r="V74" t="inlineStr"/>
      <c r="W74" t="inlineStr"/>
      <c r="X74" t="n">
        <v>30</v>
      </c>
      <c r="Y74" t="inlineStr"/>
      <c r="Z74" t="inlineStr"/>
      <c r="AA74" t="inlineStr"/>
      <c r="AB74" t="inlineStr"/>
      <c r="AC74" t="inlineStr"/>
      <c r="AD74" t="inlineStr"/>
      <c r="AE74" t="inlineStr"/>
      <c r="AF74" t="n">
        <v>0.39</v>
      </c>
      <c r="AG74" t="inlineStr">
        <is>
          <t>informe</t>
        </is>
      </c>
      <c r="AH74" t="inlineStr"/>
      <c r="AI74" t="inlineStr"/>
      <c r="AJ74" t="inlineStr"/>
      <c r="AK74" t="n">
        <v>800</v>
      </c>
      <c r="AL74" t="n">
        <v>3312</v>
      </c>
      <c r="AM74" t="n">
        <v>2512</v>
      </c>
      <c r="AN74" t="inlineStr">
        <is>
          <t>máximo (φmax, σ1 máximo)</t>
        </is>
      </c>
      <c r="AO74" t="n">
        <v>37</v>
      </c>
      <c r="AP74" t="inlineStr"/>
      <c r="AQ74" t="inlineStr"/>
      <c r="AR74" t="inlineStr"/>
      <c r="AS74" t="inlineStr"/>
      <c r="AT74" t="inlineStr"/>
      <c r="AU74" t="inlineStr"/>
      <c r="AV74" t="n">
        <v>13</v>
      </c>
      <c r="AW74" t="inlineStr"/>
      <c r="AX74" t="inlineStr"/>
      <c r="AY74" t="inlineStr"/>
      <c r="AZ74" t="inlineStr"/>
      <c r="BA74" t="inlineStr">
        <is>
          <t>Zenodo xlsx; material y dmax en p.4 (Fig. 2a)</t>
        </is>
      </c>
      <c r="BB74" t="inlineStr">
        <is>
          <t>no (valores del xlsx; nombre, litología y dmax verificados en imagen p.4)</t>
        </is>
      </c>
      <c r="BC74" t="inlineStr">
        <is>
          <t>Ref. original: Palma et al., 2009 | Material en la fuente: «Andina waste rock 1» (clase ROM/Chancado/Enrocado no indicada) | Datos por ensayo del repositorio Zenodo doi:10.5281/zenodo.3625778 (xlsx v1; ensayo_id = N° de fila); el artículo solo trae la lista de materiales (Fig. 2a) | q calculado = σ1−σ3 | E50 = 22.0 MPa | NO en base Cylwik</t>
        </is>
      </c>
    </row>
    <row r="75">
      <c r="A75" t="inlineStr">
        <is>
          <t>OV2020</t>
        </is>
      </c>
      <c r="B75" t="inlineStr">
        <is>
          <t>2020_Ovalle_Data Compilation from Large ICDTx on Coarse Crushable Rockfill Materials.pdf</t>
        </is>
      </c>
      <c r="C75" t="n">
        <v>2020</v>
      </c>
      <c r="D75" t="inlineStr">
        <is>
          <t>Ovalle, Linero, Dano, Bard, Hicher y Osses (2020), JGGE 146(9) 06020013</t>
        </is>
      </c>
      <c r="E75" t="inlineStr">
        <is>
          <t>IDIEM (Chile), inferido de p.3</t>
        </is>
      </c>
      <c r="F75" t="inlineStr">
        <is>
          <t>Andina waste rock 1</t>
        </is>
      </c>
      <c r="G75" t="n">
        <v>74</v>
      </c>
      <c r="H75" t="inlineStr">
        <is>
          <t>Granodiorite</t>
        </is>
      </c>
      <c r="I75" t="inlineStr">
        <is>
          <t>Granodiorita</t>
        </is>
      </c>
      <c r="J75" t="inlineStr"/>
      <c r="K75" t="inlineStr"/>
      <c r="L75" t="inlineStr"/>
      <c r="M75" t="inlineStr"/>
      <c r="N75" t="inlineStr"/>
      <c r="O75" t="inlineStr">
        <is>
          <t>CID (compresión triaxial drenada)</t>
        </is>
      </c>
      <c r="P75" t="inlineStr">
        <is>
          <t>no indicado</t>
        </is>
      </c>
      <c r="Q75" t="n">
        <v>1000</v>
      </c>
      <c r="R75" t="inlineStr"/>
      <c r="S75" t="n">
        <v>152.4</v>
      </c>
      <c r="T75" t="inlineStr"/>
      <c r="U75" t="inlineStr"/>
      <c r="V75" t="inlineStr"/>
      <c r="W75" t="inlineStr"/>
      <c r="X75" t="n">
        <v>30</v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0.36</v>
      </c>
      <c r="AG75" t="inlineStr">
        <is>
          <t>informe</t>
        </is>
      </c>
      <c r="AH75" t="inlineStr"/>
      <c r="AI75" t="inlineStr"/>
      <c r="AJ75" t="inlineStr"/>
      <c r="AK75" t="n">
        <v>1500</v>
      </c>
      <c r="AL75" t="n">
        <v>7185</v>
      </c>
      <c r="AM75" t="n">
        <v>5685</v>
      </c>
      <c r="AN75" t="inlineStr">
        <is>
          <t>máximo (φmax, σ1 máximo)</t>
        </is>
      </c>
      <c r="AO75" t="n">
        <v>40</v>
      </c>
      <c r="AP75" t="inlineStr"/>
      <c r="AQ75" t="inlineStr"/>
      <c r="AR75" t="inlineStr"/>
      <c r="AS75" t="inlineStr"/>
      <c r="AT75" t="inlineStr"/>
      <c r="AU75" t="inlineStr"/>
      <c r="AV75" t="n">
        <v>14</v>
      </c>
      <c r="AW75" t="inlineStr"/>
      <c r="AX75" t="inlineStr"/>
      <c r="AY75" t="inlineStr"/>
      <c r="AZ75" t="inlineStr"/>
      <c r="BA75" t="inlineStr">
        <is>
          <t>Zenodo xlsx; material y dmax en p.4 (Fig. 2a)</t>
        </is>
      </c>
      <c r="BB75" t="inlineStr">
        <is>
          <t>no (valores del xlsx; nombre, litología y dmax verificados en imagen p.4)</t>
        </is>
      </c>
      <c r="BC75" t="inlineStr">
        <is>
          <t>Ref. original: Palma et al., 2009 | Material en la fuente: «Andina waste rock 1» (clase ROM/Chancado/Enrocado no indicada) | Datos por ensayo del repositorio Zenodo doi:10.5281/zenodo.3625778 (xlsx v1; ensayo_id = N° de fila); el artículo solo trae la lista de materiales (Fig. 2a) | q calculado = σ1−σ3 | E50 = 46.9 MPa | NO en base Cylwik</t>
        </is>
      </c>
    </row>
    <row r="76">
      <c r="A76" t="inlineStr">
        <is>
          <t>OV2020</t>
        </is>
      </c>
      <c r="B76" t="inlineStr">
        <is>
          <t>2020_Ovalle_Data Compilation from Large ICDTx on Coarse Crushable Rockfill Materials.pdf</t>
        </is>
      </c>
      <c r="C76" t="n">
        <v>2020</v>
      </c>
      <c r="D76" t="inlineStr">
        <is>
          <t>Ovalle, Linero, Dano, Bard, Hicher y Osses (2020), JGGE 146(9) 06020013</t>
        </is>
      </c>
      <c r="E76" t="inlineStr">
        <is>
          <t>IDIEM (Chile), inferido de p.3</t>
        </is>
      </c>
      <c r="F76" t="inlineStr">
        <is>
          <t>Andina waste rock 1</t>
        </is>
      </c>
      <c r="G76" t="n">
        <v>75</v>
      </c>
      <c r="H76" t="inlineStr">
        <is>
          <t>Granodiorite</t>
        </is>
      </c>
      <c r="I76" t="inlineStr">
        <is>
          <t>Granodiorita</t>
        </is>
      </c>
      <c r="J76" t="inlineStr"/>
      <c r="K76" t="inlineStr"/>
      <c r="L76" t="inlineStr"/>
      <c r="M76" t="inlineStr"/>
      <c r="N76" t="inlineStr"/>
      <c r="O76" t="inlineStr">
        <is>
          <t>CID (compresión triaxial drenada)</t>
        </is>
      </c>
      <c r="P76" t="inlineStr">
        <is>
          <t>no indicado</t>
        </is>
      </c>
      <c r="Q76" t="n">
        <v>1000</v>
      </c>
      <c r="R76" t="inlineStr"/>
      <c r="S76" t="n">
        <v>152.4</v>
      </c>
      <c r="T76" t="inlineStr"/>
      <c r="U76" t="inlineStr"/>
      <c r="V76" t="inlineStr"/>
      <c r="W76" t="inlineStr"/>
      <c r="X76" t="n">
        <v>30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0.33</v>
      </c>
      <c r="AG76" t="inlineStr">
        <is>
          <t>informe</t>
        </is>
      </c>
      <c r="AH76" t="inlineStr"/>
      <c r="AI76" t="inlineStr"/>
      <c r="AJ76" t="inlineStr"/>
      <c r="AK76" t="n">
        <v>2000</v>
      </c>
      <c r="AL76" t="n">
        <v>8980</v>
      </c>
      <c r="AM76" t="n">
        <v>6980</v>
      </c>
      <c r="AN76" t="inlineStr">
        <is>
          <t>máximo (φmax, σ1 máximo)</t>
        </is>
      </c>
      <c r="AO76" t="n">
        <v>40</v>
      </c>
      <c r="AP76" t="inlineStr"/>
      <c r="AQ76" t="inlineStr"/>
      <c r="AR76" t="inlineStr"/>
      <c r="AS76" t="inlineStr"/>
      <c r="AT76" t="inlineStr"/>
      <c r="AU76" t="inlineStr"/>
      <c r="AV76" t="n">
        <v>18</v>
      </c>
      <c r="AW76" t="inlineStr"/>
      <c r="AX76" t="inlineStr"/>
      <c r="AY76" t="inlineStr"/>
      <c r="AZ76" t="inlineStr"/>
      <c r="BA76" t="inlineStr">
        <is>
          <t>Zenodo xlsx; material y dmax en p.4 (Fig. 2a)</t>
        </is>
      </c>
      <c r="BB76" t="inlineStr">
        <is>
          <t>no (valores del xlsx; nombre, litología y dmax verificados en imagen p.4)</t>
        </is>
      </c>
      <c r="BC76" t="inlineStr">
        <is>
          <t>Ref. original: Palma et al., 2009 | Material en la fuente: «Andina waste rock 1» (clase ROM/Chancado/Enrocado no indicada) | Datos por ensayo del repositorio Zenodo doi:10.5281/zenodo.3625778 (xlsx v1; ensayo_id = N° de fila); el artículo solo trae la lista de materiales (Fig. 2a) | q calculado = σ1−σ3 | E50 = 65.6 MPa | NO en base Cylwik</t>
        </is>
      </c>
    </row>
    <row r="77">
      <c r="A77" t="inlineStr">
        <is>
          <t>OV2020</t>
        </is>
      </c>
      <c r="B77" t="inlineStr">
        <is>
          <t>2020_Ovalle_Data Compilation from Large ICDTx on Coarse Crushable Rockfill Materials.pdf</t>
        </is>
      </c>
      <c r="C77" t="n">
        <v>2020</v>
      </c>
      <c r="D77" t="inlineStr">
        <is>
          <t>Ovalle, Linero, Dano, Bard, Hicher y Osses (2020), JGGE 146(9) 06020013</t>
        </is>
      </c>
      <c r="E77" t="inlineStr">
        <is>
          <t>IDIEM (Chile), inferido de p.3</t>
        </is>
      </c>
      <c r="F77" t="inlineStr">
        <is>
          <t>Andina waste rock 1</t>
        </is>
      </c>
      <c r="G77" t="n">
        <v>76</v>
      </c>
      <c r="H77" t="inlineStr">
        <is>
          <t>Granodiorite</t>
        </is>
      </c>
      <c r="I77" t="inlineStr">
        <is>
          <t>Granodiorita</t>
        </is>
      </c>
      <c r="J77" t="inlineStr"/>
      <c r="K77" t="inlineStr"/>
      <c r="L77" t="inlineStr"/>
      <c r="M77" t="inlineStr"/>
      <c r="N77" t="inlineStr"/>
      <c r="O77" t="inlineStr">
        <is>
          <t>CID (compresión triaxial drenada)</t>
        </is>
      </c>
      <c r="P77" t="inlineStr">
        <is>
          <t>no indicado</t>
        </is>
      </c>
      <c r="Q77" t="n">
        <v>1000</v>
      </c>
      <c r="R77" t="inlineStr"/>
      <c r="S77" t="n">
        <v>152.4</v>
      </c>
      <c r="T77" t="inlineStr"/>
      <c r="U77" t="inlineStr"/>
      <c r="V77" t="inlineStr"/>
      <c r="W77" t="inlineStr"/>
      <c r="X77" t="n">
        <v>30</v>
      </c>
      <c r="Y77" t="inlineStr"/>
      <c r="Z77" t="inlineStr"/>
      <c r="AA77" t="inlineStr"/>
      <c r="AB77" t="inlineStr"/>
      <c r="AC77" t="inlineStr"/>
      <c r="AD77" t="inlineStr"/>
      <c r="AE77" t="inlineStr"/>
      <c r="AF77" t="n">
        <v>0.33</v>
      </c>
      <c r="AG77" t="inlineStr">
        <is>
          <t>informe</t>
        </is>
      </c>
      <c r="AH77" t="inlineStr"/>
      <c r="AI77" t="inlineStr"/>
      <c r="AJ77" t="inlineStr"/>
      <c r="AK77" t="n">
        <v>2500</v>
      </c>
      <c r="AL77" t="n">
        <v>11875</v>
      </c>
      <c r="AM77" t="n">
        <v>9375</v>
      </c>
      <c r="AN77" t="inlineStr">
        <is>
          <t>máximo (φmax, σ1 máximo)</t>
        </is>
      </c>
      <c r="AO77" t="n">
        <v>40</v>
      </c>
      <c r="AP77" t="inlineStr"/>
      <c r="AQ77" t="inlineStr"/>
      <c r="AR77" t="inlineStr"/>
      <c r="AS77" t="inlineStr"/>
      <c r="AT77" t="inlineStr"/>
      <c r="AU77" t="inlineStr"/>
      <c r="AV77" t="n">
        <v>19</v>
      </c>
      <c r="AW77" t="inlineStr"/>
      <c r="AX77" t="inlineStr"/>
      <c r="AY77" t="inlineStr"/>
      <c r="AZ77" t="inlineStr"/>
      <c r="BA77" t="inlineStr">
        <is>
          <t>Zenodo xlsx; material y dmax en p.4 (Fig. 2a)</t>
        </is>
      </c>
      <c r="BB77" t="inlineStr">
        <is>
          <t>no (valores del xlsx; nombre, litología y dmax verificados en imagen p.4)</t>
        </is>
      </c>
      <c r="BC77" t="inlineStr">
        <is>
          <t>Ref. original: Palma et al., 2009 | Material en la fuente: «Andina waste rock 1» (clase ROM/Chancado/Enrocado no indicada) | Datos por ensayo del repositorio Zenodo doi:10.5281/zenodo.3625778 (xlsx v1; ensayo_id = N° de fila); el artículo solo trae la lista de materiales (Fig. 2a) | q calculado = σ1−σ3 | E50 = 72.2 MPa | NO en base Cylwik</t>
        </is>
      </c>
    </row>
    <row r="78">
      <c r="A78" t="inlineStr">
        <is>
          <t>OV2020</t>
        </is>
      </c>
      <c r="B78" t="inlineStr">
        <is>
          <t>2020_Ovalle_Data Compilation from Large ICDTx on Coarse Crushable Rockfill Materials.pdf</t>
        </is>
      </c>
      <c r="C78" t="n">
        <v>2020</v>
      </c>
      <c r="D78" t="inlineStr">
        <is>
          <t>Ovalle, Linero, Dano, Bard, Hicher y Osses (2020), JGGE 146(9) 06020013</t>
        </is>
      </c>
      <c r="E78" t="inlineStr">
        <is>
          <t>IDIEM (Chile), inferido de p.3</t>
        </is>
      </c>
      <c r="F78" t="inlineStr">
        <is>
          <t>Andina waste rock 2</t>
        </is>
      </c>
      <c r="G78" t="n">
        <v>77</v>
      </c>
      <c r="H78" t="inlineStr">
        <is>
          <t>Porphyry</t>
        </is>
      </c>
      <c r="I78" t="inlineStr">
        <is>
          <t>Pórfido</t>
        </is>
      </c>
      <c r="J78" t="inlineStr"/>
      <c r="K78" t="inlineStr"/>
      <c r="L78" t="inlineStr"/>
      <c r="M78" t="inlineStr"/>
      <c r="N78" t="inlineStr"/>
      <c r="O78" t="inlineStr">
        <is>
          <t>CID (compresión triaxial drenada)</t>
        </is>
      </c>
      <c r="P78" t="inlineStr">
        <is>
          <t>no indicado</t>
        </is>
      </c>
      <c r="Q78" t="n">
        <v>1000</v>
      </c>
      <c r="R78" t="inlineStr"/>
      <c r="S78" t="n">
        <v>152.4</v>
      </c>
      <c r="T78" t="inlineStr"/>
      <c r="U78" t="inlineStr"/>
      <c r="V78" t="inlineStr"/>
      <c r="W78" t="inlineStr"/>
      <c r="X78" t="n">
        <v>8</v>
      </c>
      <c r="Y78" t="inlineStr"/>
      <c r="Z78" t="inlineStr"/>
      <c r="AA78" t="inlineStr"/>
      <c r="AB78" t="inlineStr"/>
      <c r="AC78" t="inlineStr"/>
      <c r="AD78" t="inlineStr"/>
      <c r="AE78" t="inlineStr"/>
      <c r="AF78" t="n">
        <v>0.37</v>
      </c>
      <c r="AG78" t="inlineStr">
        <is>
          <t>informe</t>
        </is>
      </c>
      <c r="AH78" t="inlineStr"/>
      <c r="AI78" t="inlineStr"/>
      <c r="AJ78" t="inlineStr"/>
      <c r="AK78" t="n">
        <v>1000</v>
      </c>
      <c r="AL78" t="n">
        <v>6370</v>
      </c>
      <c r="AM78" t="n">
        <v>5370</v>
      </c>
      <c r="AN78" t="inlineStr">
        <is>
          <t>máximo (φmax, σ1 máximo)</t>
        </is>
      </c>
      <c r="AO78" t="n">
        <v>46</v>
      </c>
      <c r="AP78" t="inlineStr"/>
      <c r="AQ78" t="inlineStr"/>
      <c r="AR78" t="inlineStr"/>
      <c r="AS78" t="inlineStr"/>
      <c r="AT78" t="inlineStr"/>
      <c r="AU78" t="inlineStr"/>
      <c r="AV78" t="n">
        <v>19</v>
      </c>
      <c r="AW78" t="inlineStr"/>
      <c r="AX78" t="inlineStr"/>
      <c r="AY78" t="inlineStr"/>
      <c r="AZ78" t="inlineStr"/>
      <c r="BA78" t="inlineStr">
        <is>
          <t>Zenodo xlsx; material y dmax en p.4 (Fig. 2a)</t>
        </is>
      </c>
      <c r="BB78" t="inlineStr">
        <is>
          <t>no (valores del xlsx; nombre, litología y dmax verificados en imagen p.4)</t>
        </is>
      </c>
      <c r="BC78" t="inlineStr">
        <is>
          <t>Ref. original: Palma et al., 2009 | Material en la fuente: «Andina waste rock 2» (clase ROM/Chancado/Enrocado no indicada) | Datos por ensayo del repositorio Zenodo doi:10.5281/zenodo.3625778 (xlsx v1; ensayo_id = N° de fila); el artículo solo trae la lista de materiales (Fig. 2a) | q calculado = σ1−σ3 | E50 = 51.3 MPa | NO en base Cylwik</t>
        </is>
      </c>
    </row>
    <row r="79">
      <c r="A79" t="inlineStr">
        <is>
          <t>OV2020</t>
        </is>
      </c>
      <c r="B79" t="inlineStr">
        <is>
          <t>2020_Ovalle_Data Compilation from Large ICDTx on Coarse Crushable Rockfill Materials.pdf</t>
        </is>
      </c>
      <c r="C79" t="n">
        <v>2020</v>
      </c>
      <c r="D79" t="inlineStr">
        <is>
          <t>Ovalle, Linero, Dano, Bard, Hicher y Osses (2020), JGGE 146(9) 06020013</t>
        </is>
      </c>
      <c r="E79" t="inlineStr">
        <is>
          <t>IDIEM (Chile), inferido de p.3</t>
        </is>
      </c>
      <c r="F79" t="inlineStr">
        <is>
          <t>Andina waste rock 2</t>
        </is>
      </c>
      <c r="G79" t="n">
        <v>78</v>
      </c>
      <c r="H79" t="inlineStr">
        <is>
          <t>Porphyry</t>
        </is>
      </c>
      <c r="I79" t="inlineStr">
        <is>
          <t>Pórfido</t>
        </is>
      </c>
      <c r="J79" t="inlineStr"/>
      <c r="K79" t="inlineStr"/>
      <c r="L79" t="inlineStr"/>
      <c r="M79" t="inlineStr"/>
      <c r="N79" t="inlineStr"/>
      <c r="O79" t="inlineStr">
        <is>
          <t>CID (compresión triaxial drenada)</t>
        </is>
      </c>
      <c r="P79" t="inlineStr">
        <is>
          <t>no indicado</t>
        </is>
      </c>
      <c r="Q79" t="n">
        <v>1000</v>
      </c>
      <c r="R79" t="inlineStr"/>
      <c r="S79" t="n">
        <v>152.4</v>
      </c>
      <c r="T79" t="inlineStr"/>
      <c r="U79" t="inlineStr"/>
      <c r="V79" t="inlineStr"/>
      <c r="W79" t="inlineStr"/>
      <c r="X79" t="n">
        <v>8</v>
      </c>
      <c r="Y79" t="inlineStr"/>
      <c r="Z79" t="inlineStr"/>
      <c r="AA79" t="inlineStr"/>
      <c r="AB79" t="inlineStr"/>
      <c r="AC79" t="inlineStr"/>
      <c r="AD79" t="inlineStr"/>
      <c r="AE79" t="inlineStr"/>
      <c r="AF79" t="n">
        <v>0.35</v>
      </c>
      <c r="AG79" t="inlineStr">
        <is>
          <t>informe</t>
        </is>
      </c>
      <c r="AH79" t="inlineStr"/>
      <c r="AI79" t="inlineStr"/>
      <c r="AJ79" t="inlineStr"/>
      <c r="AK79" t="n">
        <v>1500</v>
      </c>
      <c r="AL79" t="n">
        <v>8325</v>
      </c>
      <c r="AM79" t="n">
        <v>6825</v>
      </c>
      <c r="AN79" t="inlineStr">
        <is>
          <t>máximo (φmax, σ1 máximo)</t>
        </is>
      </c>
      <c r="AO79" t="n">
        <v>43</v>
      </c>
      <c r="AP79" t="inlineStr"/>
      <c r="AQ79" t="inlineStr"/>
      <c r="AR79" t="inlineStr"/>
      <c r="AS79" t="inlineStr"/>
      <c r="AT79" t="inlineStr"/>
      <c r="AU79" t="inlineStr"/>
      <c r="AV79" t="n">
        <v>21</v>
      </c>
      <c r="AW79" t="inlineStr"/>
      <c r="AX79" t="inlineStr"/>
      <c r="AY79" t="inlineStr"/>
      <c r="AZ79" t="inlineStr"/>
      <c r="BA79" t="inlineStr">
        <is>
          <t>Zenodo xlsx; material y dmax en p.4 (Fig. 2a)</t>
        </is>
      </c>
      <c r="BB79" t="inlineStr">
        <is>
          <t>no (valores del xlsx; nombre, litología y dmax verificados en imagen p.4)</t>
        </is>
      </c>
      <c r="BC79" t="inlineStr">
        <is>
          <t>Ref. original: Palma et al., 2009 | Material en la fuente: «Andina waste rock 2» (clase ROM/Chancado/Enrocado no indicada) | Datos por ensayo del repositorio Zenodo doi:10.5281/zenodo.3625778 (xlsx v1; ensayo_id = N° de fila); el artículo solo trae la lista de materiales (Fig. 2a) | q calculado = σ1−σ3 | E50 = 80.3 MPa | NO en base Cylwik</t>
        </is>
      </c>
    </row>
    <row r="80">
      <c r="A80" t="inlineStr">
        <is>
          <t>OV2020</t>
        </is>
      </c>
      <c r="B80" t="inlineStr">
        <is>
          <t>2020_Ovalle_Data Compilation from Large ICDTx on Coarse Crushable Rockfill Materials.pdf</t>
        </is>
      </c>
      <c r="C80" t="n">
        <v>2020</v>
      </c>
      <c r="D80" t="inlineStr">
        <is>
          <t>Ovalle, Linero, Dano, Bard, Hicher y Osses (2020), JGGE 146(9) 06020013</t>
        </is>
      </c>
      <c r="E80" t="inlineStr">
        <is>
          <t>IDIEM (Chile), inferido de p.3</t>
        </is>
      </c>
      <c r="F80" t="inlineStr">
        <is>
          <t>Andina waste rock 2</t>
        </is>
      </c>
      <c r="G80" t="n">
        <v>79</v>
      </c>
      <c r="H80" t="inlineStr">
        <is>
          <t>Porphyry</t>
        </is>
      </c>
      <c r="I80" t="inlineStr">
        <is>
          <t>Pórfido</t>
        </is>
      </c>
      <c r="J80" t="inlineStr"/>
      <c r="K80" t="inlineStr"/>
      <c r="L80" t="inlineStr"/>
      <c r="M80" t="inlineStr"/>
      <c r="N80" t="inlineStr"/>
      <c r="O80" t="inlineStr">
        <is>
          <t>CID (compresión triaxial drenada)</t>
        </is>
      </c>
      <c r="P80" t="inlineStr">
        <is>
          <t>no indicado</t>
        </is>
      </c>
      <c r="Q80" t="n">
        <v>1000</v>
      </c>
      <c r="R80" t="inlineStr"/>
      <c r="S80" t="n">
        <v>152.4</v>
      </c>
      <c r="T80" t="inlineStr"/>
      <c r="U80" t="inlineStr"/>
      <c r="V80" t="inlineStr"/>
      <c r="W80" t="inlineStr"/>
      <c r="X80" t="n">
        <v>8</v>
      </c>
      <c r="Y80" t="inlineStr"/>
      <c r="Z80" t="inlineStr"/>
      <c r="AA80" t="inlineStr"/>
      <c r="AB80" t="inlineStr"/>
      <c r="AC80" t="inlineStr"/>
      <c r="AD80" t="inlineStr"/>
      <c r="AE80" t="inlineStr"/>
      <c r="AF80" t="n">
        <v>0.33</v>
      </c>
      <c r="AG80" t="inlineStr">
        <is>
          <t>informe</t>
        </is>
      </c>
      <c r="AH80" t="inlineStr"/>
      <c r="AI80" t="inlineStr"/>
      <c r="AJ80" t="inlineStr"/>
      <c r="AK80" t="n">
        <v>2000</v>
      </c>
      <c r="AL80" t="n">
        <v>11360</v>
      </c>
      <c r="AM80" t="n">
        <v>9360</v>
      </c>
      <c r="AN80" t="inlineStr">
        <is>
          <t>máximo (φmax, σ1 máximo)</t>
        </is>
      </c>
      <c r="AO80" t="n">
        <v>44</v>
      </c>
      <c r="AP80" t="inlineStr"/>
      <c r="AQ80" t="inlineStr"/>
      <c r="AR80" t="inlineStr"/>
      <c r="AS80" t="inlineStr"/>
      <c r="AT80" t="inlineStr"/>
      <c r="AU80" t="inlineStr"/>
      <c r="AV80" t="n">
        <v>25</v>
      </c>
      <c r="AW80" t="inlineStr"/>
      <c r="AX80" t="inlineStr"/>
      <c r="AY80" t="inlineStr"/>
      <c r="AZ80" t="inlineStr"/>
      <c r="BA80" t="inlineStr">
        <is>
          <t>Zenodo xlsx; material y dmax en p.4 (Fig. 2a)</t>
        </is>
      </c>
      <c r="BB80" t="inlineStr">
        <is>
          <t>no (valores del xlsx; nombre, litología y dmax verificados en imagen p.4)</t>
        </is>
      </c>
      <c r="BC80" t="inlineStr">
        <is>
          <t>Ref. original: Palma et al., 2009 | Material en la fuente: «Andina waste rock 2» (clase ROM/Chancado/Enrocado no indicada) | Datos por ensayo del repositorio Zenodo doi:10.5281/zenodo.3625778 (xlsx v1; ensayo_id = N° de fila); el artículo solo trae la lista de materiales (Fig. 2a) | q calculado = σ1−σ3 | E50 = 88.0 MPa | NO en base Cylwik</t>
        </is>
      </c>
    </row>
    <row r="81">
      <c r="A81" t="inlineStr">
        <is>
          <t>OV2020</t>
        </is>
      </c>
      <c r="B81" t="inlineStr">
        <is>
          <t>2020_Ovalle_Data Compilation from Large ICDTx on Coarse Crushable Rockfill Materials.pdf</t>
        </is>
      </c>
      <c r="C81" t="n">
        <v>2020</v>
      </c>
      <c r="D81" t="inlineStr">
        <is>
          <t>Ovalle, Linero, Dano, Bard, Hicher y Osses (2020), JGGE 146(9) 06020013</t>
        </is>
      </c>
      <c r="E81" t="inlineStr">
        <is>
          <t>IDIEM (Chile), inferido de p.3</t>
        </is>
      </c>
      <c r="F81" t="inlineStr">
        <is>
          <t>Andina waste rock 2</t>
        </is>
      </c>
      <c r="G81" t="n">
        <v>80</v>
      </c>
      <c r="H81" t="inlineStr">
        <is>
          <t>Porphyry</t>
        </is>
      </c>
      <c r="I81" t="inlineStr">
        <is>
          <t>Pórfido</t>
        </is>
      </c>
      <c r="J81" t="inlineStr"/>
      <c r="K81" t="inlineStr"/>
      <c r="L81" t="inlineStr"/>
      <c r="M81" t="inlineStr"/>
      <c r="N81" t="inlineStr"/>
      <c r="O81" t="inlineStr">
        <is>
          <t>CID (compresión triaxial drenada)</t>
        </is>
      </c>
      <c r="P81" t="inlineStr">
        <is>
          <t>no indicado</t>
        </is>
      </c>
      <c r="Q81" t="n">
        <v>1000</v>
      </c>
      <c r="R81" t="inlineStr"/>
      <c r="S81" t="n">
        <v>152.4</v>
      </c>
      <c r="T81" t="inlineStr"/>
      <c r="U81" t="inlineStr"/>
      <c r="V81" t="inlineStr"/>
      <c r="W81" t="inlineStr"/>
      <c r="X81" t="n">
        <v>8</v>
      </c>
      <c r="Y81" t="inlineStr"/>
      <c r="Z81" t="inlineStr"/>
      <c r="AA81" t="inlineStr"/>
      <c r="AB81" t="inlineStr"/>
      <c r="AC81" t="inlineStr"/>
      <c r="AD81" t="inlineStr"/>
      <c r="AE81" t="inlineStr"/>
      <c r="AF81" t="n">
        <v>0.32</v>
      </c>
      <c r="AG81" t="inlineStr">
        <is>
          <t>informe</t>
        </is>
      </c>
      <c r="AH81" t="inlineStr"/>
      <c r="AI81" t="inlineStr"/>
      <c r="AJ81" t="inlineStr"/>
      <c r="AK81" t="n">
        <v>2500</v>
      </c>
      <c r="AL81" t="n">
        <v>13450</v>
      </c>
      <c r="AM81" t="n">
        <v>10950</v>
      </c>
      <c r="AN81" t="inlineStr">
        <is>
          <t>máximo (φmax, σ1 máximo)</t>
        </is>
      </c>
      <c r="AO81" t="n">
        <v>42</v>
      </c>
      <c r="AP81" t="inlineStr"/>
      <c r="AQ81" t="inlineStr"/>
      <c r="AR81" t="inlineStr"/>
      <c r="AS81" t="inlineStr"/>
      <c r="AT81" t="inlineStr"/>
      <c r="AU81" t="inlineStr"/>
      <c r="AV81" t="n">
        <v>27</v>
      </c>
      <c r="AW81" t="inlineStr"/>
      <c r="AX81" t="inlineStr"/>
      <c r="AY81" t="inlineStr"/>
      <c r="AZ81" t="inlineStr"/>
      <c r="BA81" t="inlineStr">
        <is>
          <t>Zenodo xlsx; material y dmax en p.4 (Fig. 2a)</t>
        </is>
      </c>
      <c r="BB81" t="inlineStr">
        <is>
          <t>no (valores del xlsx; nombre, litología y dmax verificados en imagen p.4)</t>
        </is>
      </c>
      <c r="BC81" t="inlineStr">
        <is>
          <t>Ref. original: Palma et al., 2009 | Material en la fuente: «Andina waste rock 2» (clase ROM/Chancado/Enrocado no indicada) | Datos por ensayo del repositorio Zenodo doi:10.5281/zenodo.3625778 (xlsx v1; ensayo_id = N° de fila); el artículo solo trae la lista de materiales (Fig. 2a) | q calculado = σ1−σ3 | E50 = 113.6 MPa | NO en base Cylwik</t>
        </is>
      </c>
    </row>
    <row r="82">
      <c r="A82" t="inlineStr">
        <is>
          <t>OV2020</t>
        </is>
      </c>
      <c r="B82" t="inlineStr">
        <is>
          <t>2020_Ovalle_Data Compilation from Large ICDTx on Coarse Crushable Rockfill Materials.pdf</t>
        </is>
      </c>
      <c r="C82" t="n">
        <v>2020</v>
      </c>
      <c r="D82" t="inlineStr">
        <is>
          <t>Ovalle, Linero, Dano, Bard, Hicher y Osses (2020), JGGE 146(9) 06020013</t>
        </is>
      </c>
      <c r="E82" t="inlineStr">
        <is>
          <t>IDIEM (Chile), inferido de p.3</t>
        </is>
      </c>
      <c r="F82" t="inlineStr">
        <is>
          <t>Rancagua rockfill</t>
        </is>
      </c>
      <c r="G82" t="n">
        <v>81</v>
      </c>
      <c r="H82" t="inlineStr">
        <is>
          <t>Andesite</t>
        </is>
      </c>
      <c r="I82" t="inlineStr">
        <is>
          <t>Andesita</t>
        </is>
      </c>
      <c r="J82" t="inlineStr"/>
      <c r="K82" t="inlineStr"/>
      <c r="L82" t="inlineStr"/>
      <c r="M82" t="inlineStr">
        <is>
          <t>Enrocado</t>
        </is>
      </c>
      <c r="N82" t="inlineStr"/>
      <c r="O82" t="inlineStr">
        <is>
          <t>CID (compresión triaxial drenada)</t>
        </is>
      </c>
      <c r="P82" t="inlineStr">
        <is>
          <t>no indicado</t>
        </is>
      </c>
      <c r="Q82" t="n">
        <v>1000</v>
      </c>
      <c r="R82" t="inlineStr"/>
      <c r="S82" t="n">
        <v>175</v>
      </c>
      <c r="T82" t="inlineStr"/>
      <c r="U82" t="inlineStr"/>
      <c r="V82" t="inlineStr"/>
      <c r="W82" t="inlineStr"/>
      <c r="X82" t="n">
        <v>4.4</v>
      </c>
      <c r="Y82" t="inlineStr"/>
      <c r="Z82" t="inlineStr"/>
      <c r="AA82" t="inlineStr"/>
      <c r="AB82" t="inlineStr"/>
      <c r="AC82" t="inlineStr"/>
      <c r="AD82" t="inlineStr"/>
      <c r="AE82" t="inlineStr"/>
      <c r="AF82" t="n">
        <v>0.414</v>
      </c>
      <c r="AG82" t="inlineStr">
        <is>
          <t>informe</t>
        </is>
      </c>
      <c r="AH82" t="inlineStr"/>
      <c r="AI82" t="inlineStr"/>
      <c r="AJ82" t="inlineStr"/>
      <c r="AK82" t="n">
        <v>392</v>
      </c>
      <c r="AL82" t="n">
        <v>1511</v>
      </c>
      <c r="AM82" t="n">
        <v>1119</v>
      </c>
      <c r="AN82" t="inlineStr">
        <is>
          <t>máximo (φmax, σ1 máximo)</t>
        </is>
      </c>
      <c r="AO82" t="n">
        <v>36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Zenodo xlsx; material y dmax en p.4 (Fig. 2a)</t>
        </is>
      </c>
      <c r="BB82" t="inlineStr">
        <is>
          <t>no (valores del xlsx; nombre, litología y dmax verificados en imagen p.4)</t>
        </is>
      </c>
      <c r="BC82" t="inlineStr">
        <is>
          <t>Ref. original: Dorador, 2010 | Material en la fuente: «Rancagua rockfill» | Datos por ensayo del repositorio Zenodo doi:10.5281/zenodo.3625778 (xlsx v1; ensayo_id = N° de fila); el artículo solo trae la lista de materiales (Fig. 2a) | q calculado = σ1−σ3 | E50 = 10.8 MPa | NO en base Cylwik</t>
        </is>
      </c>
    </row>
    <row r="83">
      <c r="A83" t="inlineStr">
        <is>
          <t>OV2020</t>
        </is>
      </c>
      <c r="B83" t="inlineStr">
        <is>
          <t>2020_Ovalle_Data Compilation from Large ICDTx on Coarse Crushable Rockfill Materials.pdf</t>
        </is>
      </c>
      <c r="C83" t="n">
        <v>2020</v>
      </c>
      <c r="D83" t="inlineStr">
        <is>
          <t>Ovalle, Linero, Dano, Bard, Hicher y Osses (2020), JGGE 146(9) 06020013</t>
        </is>
      </c>
      <c r="E83" t="inlineStr">
        <is>
          <t>IDIEM (Chile), inferido de p.3</t>
        </is>
      </c>
      <c r="F83" t="inlineStr">
        <is>
          <t>Rancagua rockfill</t>
        </is>
      </c>
      <c r="G83" t="n">
        <v>82</v>
      </c>
      <c r="H83" t="inlineStr">
        <is>
          <t>Andesite</t>
        </is>
      </c>
      <c r="I83" t="inlineStr">
        <is>
          <t>Andesita</t>
        </is>
      </c>
      <c r="J83" t="inlineStr"/>
      <c r="K83" t="inlineStr"/>
      <c r="L83" t="inlineStr"/>
      <c r="M83" t="inlineStr">
        <is>
          <t>Enrocado</t>
        </is>
      </c>
      <c r="N83" t="inlineStr"/>
      <c r="O83" t="inlineStr">
        <is>
          <t>CID (compresión triaxial drenada)</t>
        </is>
      </c>
      <c r="P83" t="inlineStr">
        <is>
          <t>no indicado</t>
        </is>
      </c>
      <c r="Q83" t="n">
        <v>1000</v>
      </c>
      <c r="R83" t="inlineStr"/>
      <c r="S83" t="n">
        <v>175</v>
      </c>
      <c r="T83" t="inlineStr"/>
      <c r="U83" t="inlineStr"/>
      <c r="V83" t="inlineStr"/>
      <c r="W83" t="inlineStr"/>
      <c r="X83" t="n">
        <v>4.4</v>
      </c>
      <c r="Y83" t="inlineStr"/>
      <c r="Z83" t="inlineStr"/>
      <c r="AA83" t="inlineStr"/>
      <c r="AB83" t="inlineStr"/>
      <c r="AC83" t="inlineStr"/>
      <c r="AD83" t="inlineStr"/>
      <c r="AE83" t="inlineStr"/>
      <c r="AF83" t="n">
        <v>0.414</v>
      </c>
      <c r="AG83" t="inlineStr">
        <is>
          <t>informe</t>
        </is>
      </c>
      <c r="AH83" t="inlineStr"/>
      <c r="AI83" t="inlineStr"/>
      <c r="AJ83" t="inlineStr"/>
      <c r="AK83" t="n">
        <v>785</v>
      </c>
      <c r="AL83" t="n">
        <v>3076</v>
      </c>
      <c r="AM83" t="n">
        <v>2291</v>
      </c>
      <c r="AN83" t="inlineStr">
        <is>
          <t>máximo (φmax, σ1 máximo)</t>
        </is>
      </c>
      <c r="AO83" t="n">
        <v>36.4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Zenodo xlsx; material y dmax en p.4 (Fig. 2a)</t>
        </is>
      </c>
      <c r="BB83" t="inlineStr">
        <is>
          <t>no (valores del xlsx; nombre, litología y dmax verificados en imagen p.4)</t>
        </is>
      </c>
      <c r="BC83" t="inlineStr">
        <is>
          <t>Ref. original: Dorador, 2010 | Material en la fuente: «Rancagua rockfill» | Datos por ensayo del repositorio Zenodo doi:10.5281/zenodo.3625778 (xlsx v1; ensayo_id = N° de fila); el artículo solo trae la lista de materiales (Fig. 2a) | q calculado = σ1−σ3 | E50 = 19.0 MPa | NO en base Cylwik</t>
        </is>
      </c>
    </row>
    <row r="84">
      <c r="A84" t="inlineStr">
        <is>
          <t>OV2020</t>
        </is>
      </c>
      <c r="B84" t="inlineStr">
        <is>
          <t>2020_Ovalle_Data Compilation from Large ICDTx on Coarse Crushable Rockfill Materials.pdf</t>
        </is>
      </c>
      <c r="C84" t="n">
        <v>2020</v>
      </c>
      <c r="D84" t="inlineStr">
        <is>
          <t>Ovalle, Linero, Dano, Bard, Hicher y Osses (2020), JGGE 146(9) 06020013</t>
        </is>
      </c>
      <c r="E84" t="inlineStr">
        <is>
          <t>IDIEM (Chile), inferido de p.3</t>
        </is>
      </c>
      <c r="F84" t="inlineStr">
        <is>
          <t>Rancagua rockfill</t>
        </is>
      </c>
      <c r="G84" t="n">
        <v>83</v>
      </c>
      <c r="H84" t="inlineStr">
        <is>
          <t>Andesite</t>
        </is>
      </c>
      <c r="I84" t="inlineStr">
        <is>
          <t>Andesita</t>
        </is>
      </c>
      <c r="J84" t="inlineStr"/>
      <c r="K84" t="inlineStr"/>
      <c r="L84" t="inlineStr"/>
      <c r="M84" t="inlineStr">
        <is>
          <t>Enrocado</t>
        </is>
      </c>
      <c r="N84" t="inlineStr"/>
      <c r="O84" t="inlineStr">
        <is>
          <t>CID (compresión triaxial drenada)</t>
        </is>
      </c>
      <c r="P84" t="inlineStr">
        <is>
          <t>no indicado</t>
        </is>
      </c>
      <c r="Q84" t="n">
        <v>1000</v>
      </c>
      <c r="R84" t="inlineStr"/>
      <c r="S84" t="n">
        <v>175</v>
      </c>
      <c r="T84" t="inlineStr"/>
      <c r="U84" t="inlineStr"/>
      <c r="V84" t="inlineStr"/>
      <c r="W84" t="inlineStr"/>
      <c r="X84" t="n">
        <v>4.4</v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0.414</v>
      </c>
      <c r="AG84" t="inlineStr">
        <is>
          <t>informe</t>
        </is>
      </c>
      <c r="AH84" t="inlineStr"/>
      <c r="AI84" t="inlineStr"/>
      <c r="AJ84" t="inlineStr"/>
      <c r="AK84" t="n">
        <v>1570</v>
      </c>
      <c r="AL84" t="n">
        <v>6259</v>
      </c>
      <c r="AM84" t="n">
        <v>4689</v>
      </c>
      <c r="AN84" t="inlineStr">
        <is>
          <t>máximo (φmax, σ1 máximo)</t>
        </is>
      </c>
      <c r="AO84" t="n">
        <v>36.8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Zenodo xlsx; material y dmax en p.4 (Fig. 2a)</t>
        </is>
      </c>
      <c r="BB84" t="inlineStr">
        <is>
          <t>no (valores del xlsx; nombre, litología y dmax verificados en imagen p.4)</t>
        </is>
      </c>
      <c r="BC84" t="inlineStr">
        <is>
          <t>Ref. original: Dorador, 2010 | Material en la fuente: «Rancagua rockfill» | Datos por ensayo del repositorio Zenodo doi:10.5281/zenodo.3625778 (xlsx v1; ensayo_id = N° de fila); el artículo solo trae la lista de materiales (Fig. 2a) | q calculado = σ1−σ3 | E50 = 37.3 MPa | NO en base Cylwik</t>
        </is>
      </c>
    </row>
    <row r="85">
      <c r="A85" t="inlineStr">
        <is>
          <t>OV2020</t>
        </is>
      </c>
      <c r="B85" t="inlineStr">
        <is>
          <t>2020_Ovalle_Data Compilation from Large ICDTx on Coarse Crushable Rockfill Materials.pdf</t>
        </is>
      </c>
      <c r="C85" t="n">
        <v>2020</v>
      </c>
      <c r="D85" t="inlineStr">
        <is>
          <t>Ovalle, Linero, Dano, Bard, Hicher y Osses (2020), JGGE 146(9) 06020013</t>
        </is>
      </c>
      <c r="E85" t="inlineStr">
        <is>
          <t>IDIEM (Chile), inferido de p.3</t>
        </is>
      </c>
      <c r="F85" t="inlineStr">
        <is>
          <t>Leached rockfill</t>
        </is>
      </c>
      <c r="G85" t="n">
        <v>84</v>
      </c>
      <c r="H85" t="inlineStr">
        <is>
          <t>Altered granite</t>
        </is>
      </c>
      <c r="I85" t="inlineStr">
        <is>
          <t>Granito</t>
        </is>
      </c>
      <c r="J85" t="inlineStr"/>
      <c r="K85" t="inlineStr"/>
      <c r="L85" t="inlineStr">
        <is>
          <t>alterado (según el nombre «Altered granite»); lixiviado (leached)</t>
        </is>
      </c>
      <c r="M85" t="inlineStr">
        <is>
          <t>Enrocado</t>
        </is>
      </c>
      <c r="N85" t="inlineStr"/>
      <c r="O85" t="inlineStr">
        <is>
          <t>CID (compresión triaxial drenada)</t>
        </is>
      </c>
      <c r="P85" t="inlineStr">
        <is>
          <t>no indicado</t>
        </is>
      </c>
      <c r="Q85" t="n">
        <v>1000</v>
      </c>
      <c r="R85" t="inlineStr"/>
      <c r="S85" t="n">
        <v>152</v>
      </c>
      <c r="T85" t="inlineStr"/>
      <c r="U85" t="inlineStr"/>
      <c r="V85" t="inlineStr"/>
      <c r="W85" t="inlineStr"/>
      <c r="X85" t="n">
        <v>91</v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0.486</v>
      </c>
      <c r="AG85" t="inlineStr">
        <is>
          <t>informe</t>
        </is>
      </c>
      <c r="AH85" t="inlineStr"/>
      <c r="AI85" t="inlineStr"/>
      <c r="AJ85" t="inlineStr"/>
      <c r="AK85" t="n">
        <v>785</v>
      </c>
      <c r="AL85" t="n">
        <v>3941</v>
      </c>
      <c r="AM85" t="n">
        <v>3156</v>
      </c>
      <c r="AN85" t="inlineStr">
        <is>
          <t>máximo (φmax, σ1 máximo)</t>
        </is>
      </c>
      <c r="AO85" t="n">
        <v>41.9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Zenodo xlsx; material y dmax en p.4 (Fig. 2a)</t>
        </is>
      </c>
      <c r="BB85" t="inlineStr">
        <is>
          <t>no (valores del xlsx; nombre, litología y dmax verificados en imagen p.4)</t>
        </is>
      </c>
      <c r="BC85" t="inlineStr">
        <is>
          <t>Ref. original: Dorador, 2010 | Material en la fuente: «Leached rockfill» | Datos por ensayo del repositorio Zenodo doi:10.5281/zenodo.3625778 (xlsx v1; ensayo_id = N° de fila); el artículo solo trae la lista de materiales (Fig. 2a) | q calculado = σ1−σ3 | E50 = 39.2 MPa | NO en base Cylwik</t>
        </is>
      </c>
    </row>
    <row r="86">
      <c r="A86" t="inlineStr">
        <is>
          <t>OV2020</t>
        </is>
      </c>
      <c r="B86" t="inlineStr">
        <is>
          <t>2020_Ovalle_Data Compilation from Large ICDTx on Coarse Crushable Rockfill Materials.pdf</t>
        </is>
      </c>
      <c r="C86" t="n">
        <v>2020</v>
      </c>
      <c r="D86" t="inlineStr">
        <is>
          <t>Ovalle, Linero, Dano, Bard, Hicher y Osses (2020), JGGE 146(9) 06020013</t>
        </is>
      </c>
      <c r="E86" t="inlineStr">
        <is>
          <t>IDIEM (Chile), inferido de p.3</t>
        </is>
      </c>
      <c r="F86" t="inlineStr">
        <is>
          <t>Leached rockfill</t>
        </is>
      </c>
      <c r="G86" t="n">
        <v>85</v>
      </c>
      <c r="H86" t="inlineStr">
        <is>
          <t>Altered granite</t>
        </is>
      </c>
      <c r="I86" t="inlineStr">
        <is>
          <t>Granito</t>
        </is>
      </c>
      <c r="J86" t="inlineStr"/>
      <c r="K86" t="inlineStr"/>
      <c r="L86" t="inlineStr">
        <is>
          <t>alterado (según el nombre «Altered granite»); lixiviado (leached)</t>
        </is>
      </c>
      <c r="M86" t="inlineStr">
        <is>
          <t>Enrocado</t>
        </is>
      </c>
      <c r="N86" t="inlineStr"/>
      <c r="O86" t="inlineStr">
        <is>
          <t>CID (compresión triaxial drenada)</t>
        </is>
      </c>
      <c r="P86" t="inlineStr">
        <is>
          <t>no indicado</t>
        </is>
      </c>
      <c r="Q86" t="n">
        <v>1000</v>
      </c>
      <c r="R86" t="inlineStr"/>
      <c r="S86" t="n">
        <v>152</v>
      </c>
      <c r="T86" t="inlineStr"/>
      <c r="U86" t="inlineStr"/>
      <c r="V86" t="inlineStr"/>
      <c r="W86" t="inlineStr"/>
      <c r="X86" t="n">
        <v>91</v>
      </c>
      <c r="Y86" t="inlineStr"/>
      <c r="Z86" t="inlineStr"/>
      <c r="AA86" t="inlineStr"/>
      <c r="AB86" t="inlineStr"/>
      <c r="AC86" t="inlineStr"/>
      <c r="AD86" t="inlineStr"/>
      <c r="AE86" t="inlineStr"/>
      <c r="AF86" t="n">
        <v>0.486</v>
      </c>
      <c r="AG86" t="inlineStr">
        <is>
          <t>informe</t>
        </is>
      </c>
      <c r="AH86" t="inlineStr"/>
      <c r="AI86" t="inlineStr"/>
      <c r="AJ86" t="inlineStr"/>
      <c r="AK86" t="n">
        <v>1962</v>
      </c>
      <c r="AL86" t="n">
        <v>9898</v>
      </c>
      <c r="AM86" t="n">
        <v>7936</v>
      </c>
      <c r="AN86" t="inlineStr">
        <is>
          <t>máximo (φmax, σ1 máximo)</t>
        </is>
      </c>
      <c r="AO86" t="n">
        <v>42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Zenodo xlsx; material y dmax en p.4 (Fig. 2a)</t>
        </is>
      </c>
      <c r="BB86" t="inlineStr">
        <is>
          <t>no (valores del xlsx; nombre, litología y dmax verificados en imagen p.4)</t>
        </is>
      </c>
      <c r="BC86" t="inlineStr">
        <is>
          <t>Ref. original: Dorador, 2010 | Material en la fuente: «Leached rockfill» | Datos por ensayo del repositorio Zenodo doi:10.5281/zenodo.3625778 (xlsx v1; ensayo_id = N° de fila); el artículo solo trae la lista de materiales (Fig. 2a) | q calculado = σ1−σ3 | E50 = 58.2 MPa | NO en base Cylwik</t>
        </is>
      </c>
    </row>
    <row r="87">
      <c r="A87" t="inlineStr">
        <is>
          <t>OV2020</t>
        </is>
      </c>
      <c r="B87" t="inlineStr">
        <is>
          <t>2020_Ovalle_Data Compilation from Large ICDTx on Coarse Crushable Rockfill Materials.pdf</t>
        </is>
      </c>
      <c r="C87" t="n">
        <v>2020</v>
      </c>
      <c r="D87" t="inlineStr">
        <is>
          <t>Ovalle, Linero, Dano, Bard, Hicher y Osses (2020), JGGE 146(9) 06020013</t>
        </is>
      </c>
      <c r="E87" t="inlineStr">
        <is>
          <t>IDIEM (Chile), inferido de p.3</t>
        </is>
      </c>
      <c r="F87" t="inlineStr">
        <is>
          <t>Leached rockfill</t>
        </is>
      </c>
      <c r="G87" t="n">
        <v>86</v>
      </c>
      <c r="H87" t="inlineStr">
        <is>
          <t>Altered granite</t>
        </is>
      </c>
      <c r="I87" t="inlineStr">
        <is>
          <t>Granito</t>
        </is>
      </c>
      <c r="J87" t="inlineStr"/>
      <c r="K87" t="inlineStr"/>
      <c r="L87" t="inlineStr">
        <is>
          <t>alterado (según el nombre «Altered granite»); lixiviado (leached)</t>
        </is>
      </c>
      <c r="M87" t="inlineStr">
        <is>
          <t>Enrocado</t>
        </is>
      </c>
      <c r="N87" t="inlineStr"/>
      <c r="O87" t="inlineStr">
        <is>
          <t>CID (compresión triaxial drenada)</t>
        </is>
      </c>
      <c r="P87" t="inlineStr">
        <is>
          <t>no indicado</t>
        </is>
      </c>
      <c r="Q87" t="n">
        <v>1000</v>
      </c>
      <c r="R87" t="inlineStr"/>
      <c r="S87" t="n">
        <v>152</v>
      </c>
      <c r="T87" t="inlineStr"/>
      <c r="U87" t="inlineStr"/>
      <c r="V87" t="inlineStr"/>
      <c r="W87" t="inlineStr"/>
      <c r="X87" t="n">
        <v>91</v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0.486</v>
      </c>
      <c r="AG87" t="inlineStr">
        <is>
          <t>informe</t>
        </is>
      </c>
      <c r="AH87" t="inlineStr"/>
      <c r="AI87" t="inlineStr"/>
      <c r="AJ87" t="inlineStr"/>
      <c r="AK87" t="n">
        <v>2453</v>
      </c>
      <c r="AL87" t="n">
        <v>12372</v>
      </c>
      <c r="AM87" t="n">
        <v>9919</v>
      </c>
      <c r="AN87" t="inlineStr">
        <is>
          <t>máximo (φmax, σ1 máximo)</t>
        </is>
      </c>
      <c r="AO87" t="n">
        <v>42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Zenodo xlsx; material y dmax en p.4 (Fig. 2a)</t>
        </is>
      </c>
      <c r="BB87" t="inlineStr">
        <is>
          <t>no (valores del xlsx; nombre, litología y dmax verificados en imagen p.4)</t>
        </is>
      </c>
      <c r="BC87" t="inlineStr">
        <is>
          <t>Ref. original: Dorador, 2010 | Material en la fuente: «Leached rockfill» | Datos por ensayo del repositorio Zenodo doi:10.5281/zenodo.3625778 (xlsx v1; ensayo_id = N° de fila); el artículo solo trae la lista de materiales (Fig. 2a) | q calculado = σ1−σ3 | E50 = 83.6 MPa | NO en base Cylwik</t>
        </is>
      </c>
    </row>
    <row r="88">
      <c r="A88" t="inlineStr">
        <is>
          <t>OV2020</t>
        </is>
      </c>
      <c r="B88" t="inlineStr">
        <is>
          <t>2020_Ovalle_Data Compilation from Large ICDTx on Coarse Crushable Rockfill Materials.pdf</t>
        </is>
      </c>
      <c r="C88" t="n">
        <v>2020</v>
      </c>
      <c r="D88" t="inlineStr">
        <is>
          <t>Ovalle, Linero, Dano, Bard, Hicher y Osses (2020), JGGE 146(9) 06020013</t>
        </is>
      </c>
      <c r="E88" t="inlineStr">
        <is>
          <t>IDIEM (Chile), inferido de p.3</t>
        </is>
      </c>
      <c r="F88" t="inlineStr">
        <is>
          <t>Natural waste rock</t>
        </is>
      </c>
      <c r="G88" t="n">
        <v>87</v>
      </c>
      <c r="H88" t="inlineStr">
        <is>
          <t>Felsic and andesíte</t>
        </is>
      </c>
      <c r="I88" t="inlineStr">
        <is>
          <t>Mezcla</t>
        </is>
      </c>
      <c r="J88" t="inlineStr">
        <is>
          <t>félsico y andesita</t>
        </is>
      </c>
      <c r="K88" t="inlineStr">
        <is>
          <t>no indicada</t>
        </is>
      </c>
      <c r="L88" t="inlineStr"/>
      <c r="M88" t="inlineStr"/>
      <c r="N88" t="inlineStr"/>
      <c r="O88" t="inlineStr">
        <is>
          <t>CID (compresión triaxial drenada)</t>
        </is>
      </c>
      <c r="P88" t="inlineStr">
        <is>
          <t>no indicado</t>
        </is>
      </c>
      <c r="Q88" t="n">
        <v>1000</v>
      </c>
      <c r="R88" t="inlineStr"/>
      <c r="S88" t="n">
        <v>200</v>
      </c>
      <c r="T88" t="inlineStr"/>
      <c r="U88" t="inlineStr"/>
      <c r="V88" t="inlineStr"/>
      <c r="W88" t="inlineStr"/>
      <c r="X88" t="n">
        <v>17.4</v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0.5</v>
      </c>
      <c r="AG88" t="inlineStr">
        <is>
          <t>informe</t>
        </is>
      </c>
      <c r="AH88" t="inlineStr"/>
      <c r="AI88" t="inlineStr"/>
      <c r="AJ88" t="inlineStr"/>
      <c r="AK88" t="n">
        <v>98</v>
      </c>
      <c r="AL88" t="n">
        <v>814</v>
      </c>
      <c r="AM88" t="n">
        <v>716</v>
      </c>
      <c r="AN88" t="inlineStr">
        <is>
          <t>máximo (φmax, σ1 máximo)</t>
        </is>
      </c>
      <c r="AO88" t="n">
        <v>51.7</v>
      </c>
      <c r="AP88" t="inlineStr"/>
      <c r="AQ88" t="inlineStr"/>
      <c r="AR88" t="inlineStr"/>
      <c r="AS88" t="inlineStr"/>
      <c r="AT88" t="inlineStr"/>
      <c r="AU88" t="inlineStr"/>
      <c r="AV88" t="n">
        <v>6.5</v>
      </c>
      <c r="AW88" t="inlineStr"/>
      <c r="AX88" t="inlineStr"/>
      <c r="AY88" t="inlineStr"/>
      <c r="AZ88" t="inlineStr"/>
      <c r="BA88" t="inlineStr">
        <is>
          <t>Zenodo xlsx; material y dmax en p.4 (Fig. 2a)</t>
        </is>
      </c>
      <c r="BB88" t="inlineStr">
        <is>
          <t>no (valores del xlsx; nombre, litología y dmax verificados en imagen p.4)</t>
        </is>
      </c>
      <c r="BC88" t="inlineStr">
        <is>
          <t>Ref. original: Contreras, 2011 | Material en la fuente: «Natural waste rock» (clase ROM/Chancado/Enrocado no indicada) | Datos por ensayo del repositorio Zenodo doi:10.5281/zenodo.3625778 (xlsx v1; ensayo_id = N° de fila); el artículo solo trae la lista de materiales (Fig. 2a) | q calculado = σ1−σ3 | E50 = 13.6 MPa | NO en base Cylwik</t>
        </is>
      </c>
    </row>
    <row r="89">
      <c r="A89" t="inlineStr">
        <is>
          <t>OV2020</t>
        </is>
      </c>
      <c r="B89" t="inlineStr">
        <is>
          <t>2020_Ovalle_Data Compilation from Large ICDTx on Coarse Crushable Rockfill Materials.pdf</t>
        </is>
      </c>
      <c r="C89" t="n">
        <v>2020</v>
      </c>
      <c r="D89" t="inlineStr">
        <is>
          <t>Ovalle, Linero, Dano, Bard, Hicher y Osses (2020), JGGE 146(9) 06020013</t>
        </is>
      </c>
      <c r="E89" t="inlineStr">
        <is>
          <t>IDIEM (Chile), inferido de p.3</t>
        </is>
      </c>
      <c r="F89" t="inlineStr">
        <is>
          <t>Natural waste rock</t>
        </is>
      </c>
      <c r="G89" t="n">
        <v>88</v>
      </c>
      <c r="H89" t="inlineStr">
        <is>
          <t>Felsic and andesíte</t>
        </is>
      </c>
      <c r="I89" t="inlineStr">
        <is>
          <t>Mezcla</t>
        </is>
      </c>
      <c r="J89" t="inlineStr">
        <is>
          <t>félsico y andesita</t>
        </is>
      </c>
      <c r="K89" t="inlineStr">
        <is>
          <t>no indicada</t>
        </is>
      </c>
      <c r="L89" t="inlineStr"/>
      <c r="M89" t="inlineStr"/>
      <c r="N89" t="inlineStr"/>
      <c r="O89" t="inlineStr">
        <is>
          <t>CID (compresión triaxial drenada)</t>
        </is>
      </c>
      <c r="P89" t="inlineStr">
        <is>
          <t>no indicado</t>
        </is>
      </c>
      <c r="Q89" t="n">
        <v>1000</v>
      </c>
      <c r="R89" t="inlineStr"/>
      <c r="S89" t="n">
        <v>200</v>
      </c>
      <c r="T89" t="inlineStr"/>
      <c r="U89" t="inlineStr"/>
      <c r="V89" t="inlineStr"/>
      <c r="W89" t="inlineStr"/>
      <c r="X89" t="n">
        <v>17.4</v>
      </c>
      <c r="Y89" t="inlineStr"/>
      <c r="Z89" t="inlineStr"/>
      <c r="AA89" t="inlineStr"/>
      <c r="AB89" t="inlineStr"/>
      <c r="AC89" t="inlineStr"/>
      <c r="AD89" t="inlineStr"/>
      <c r="AE89" t="inlineStr"/>
      <c r="AF89" t="n">
        <v>0.5</v>
      </c>
      <c r="AG89" t="inlineStr">
        <is>
          <t>informe</t>
        </is>
      </c>
      <c r="AH89" t="inlineStr"/>
      <c r="AI89" t="inlineStr"/>
      <c r="AJ89" t="inlineStr"/>
      <c r="AK89" t="n">
        <v>196</v>
      </c>
      <c r="AL89" t="n">
        <v>1240</v>
      </c>
      <c r="AM89" t="n">
        <v>1044</v>
      </c>
      <c r="AN89" t="inlineStr">
        <is>
          <t>máximo (φmax, σ1 máximo)</t>
        </is>
      </c>
      <c r="AO89" t="n">
        <v>46.6</v>
      </c>
      <c r="AP89" t="inlineStr"/>
      <c r="AQ89" t="inlineStr"/>
      <c r="AR89" t="inlineStr"/>
      <c r="AS89" t="inlineStr"/>
      <c r="AT89" t="inlineStr"/>
      <c r="AU89" t="inlineStr"/>
      <c r="AV89" t="n">
        <v>7.5</v>
      </c>
      <c r="AW89" t="inlineStr"/>
      <c r="AX89" t="inlineStr"/>
      <c r="AY89" t="inlineStr"/>
      <c r="AZ89" t="inlineStr"/>
      <c r="BA89" t="inlineStr">
        <is>
          <t>Zenodo xlsx; material y dmax en p.4 (Fig. 2a)</t>
        </is>
      </c>
      <c r="BB89" t="inlineStr">
        <is>
          <t>no (valores del xlsx; nombre, litología y dmax verificados en imagen p.4)</t>
        </is>
      </c>
      <c r="BC89" t="inlineStr">
        <is>
          <t>Ref. original: Contreras, 2011 | Material en la fuente: «Natural waste rock» (clase ROM/Chancado/Enrocado no indicada) | Datos por ensayo del repositorio Zenodo doi:10.5281/zenodo.3625778 (xlsx v1; ensayo_id = N° de fila); el artículo solo trae la lista de materiales (Fig. 2a) | q calculado = σ1−σ3 | E50 = 12.7 MPa | NO en base Cylwik</t>
        </is>
      </c>
    </row>
    <row r="90">
      <c r="A90" t="inlineStr">
        <is>
          <t>OV2020</t>
        </is>
      </c>
      <c r="B90" t="inlineStr">
        <is>
          <t>2020_Ovalle_Data Compilation from Large ICDTx on Coarse Crushable Rockfill Materials.pdf</t>
        </is>
      </c>
      <c r="C90" t="n">
        <v>2020</v>
      </c>
      <c r="D90" t="inlineStr">
        <is>
          <t>Ovalle, Linero, Dano, Bard, Hicher y Osses (2020), JGGE 146(9) 06020013</t>
        </is>
      </c>
      <c r="E90" t="inlineStr">
        <is>
          <t>IDIEM (Chile), inferido de p.3</t>
        </is>
      </c>
      <c r="F90" t="inlineStr">
        <is>
          <t>Natural waste rock</t>
        </is>
      </c>
      <c r="G90" t="n">
        <v>89</v>
      </c>
      <c r="H90" t="inlineStr">
        <is>
          <t>Felsic and andesíte</t>
        </is>
      </c>
      <c r="I90" t="inlineStr">
        <is>
          <t>Mezcla</t>
        </is>
      </c>
      <c r="J90" t="inlineStr">
        <is>
          <t>félsico y andesita</t>
        </is>
      </c>
      <c r="K90" t="inlineStr">
        <is>
          <t>no indicada</t>
        </is>
      </c>
      <c r="L90" t="inlineStr"/>
      <c r="M90" t="inlineStr"/>
      <c r="N90" t="inlineStr"/>
      <c r="O90" t="inlineStr">
        <is>
          <t>CID (compresión triaxial drenada)</t>
        </is>
      </c>
      <c r="P90" t="inlineStr">
        <is>
          <t>no indicado</t>
        </is>
      </c>
      <c r="Q90" t="n">
        <v>1000</v>
      </c>
      <c r="R90" t="inlineStr"/>
      <c r="S90" t="n">
        <v>200</v>
      </c>
      <c r="T90" t="inlineStr"/>
      <c r="U90" t="inlineStr"/>
      <c r="V90" t="inlineStr"/>
      <c r="W90" t="inlineStr"/>
      <c r="X90" t="n">
        <v>17.4</v>
      </c>
      <c r="Y90" t="inlineStr"/>
      <c r="Z90" t="inlineStr"/>
      <c r="AA90" t="inlineStr"/>
      <c r="AB90" t="inlineStr"/>
      <c r="AC90" t="inlineStr"/>
      <c r="AD90" t="inlineStr"/>
      <c r="AE90" t="inlineStr"/>
      <c r="AF90" t="n">
        <v>0.5</v>
      </c>
      <c r="AG90" t="inlineStr">
        <is>
          <t>informe</t>
        </is>
      </c>
      <c r="AH90" t="inlineStr"/>
      <c r="AI90" t="inlineStr"/>
      <c r="AJ90" t="inlineStr"/>
      <c r="AK90" t="n">
        <v>490</v>
      </c>
      <c r="AL90" t="n">
        <v>2242</v>
      </c>
      <c r="AM90" t="n">
        <v>1752</v>
      </c>
      <c r="AN90" t="inlineStr">
        <is>
          <t>máximo (φmax, σ1 máximo)</t>
        </is>
      </c>
      <c r="AO90" t="n">
        <v>40</v>
      </c>
      <c r="AP90" t="inlineStr"/>
      <c r="AQ90" t="inlineStr"/>
      <c r="AR90" t="inlineStr"/>
      <c r="AS90" t="inlineStr"/>
      <c r="AT90" t="inlineStr"/>
      <c r="AU90" t="inlineStr"/>
      <c r="AV90" t="n">
        <v>9.5</v>
      </c>
      <c r="AW90" t="inlineStr"/>
      <c r="AX90" t="inlineStr"/>
      <c r="AY90" t="inlineStr"/>
      <c r="AZ90" t="inlineStr"/>
      <c r="BA90" t="inlineStr">
        <is>
          <t>Zenodo xlsx; material y dmax en p.4 (Fig. 2a)</t>
        </is>
      </c>
      <c r="BB90" t="inlineStr">
        <is>
          <t>no (valores del xlsx; nombre, litología y dmax verificados en imagen p.4)</t>
        </is>
      </c>
      <c r="BC90" t="inlineStr">
        <is>
          <t>Ref. original: Contreras, 2011 | Material en la fuente: «Natural waste rock» (clase ROM/Chancado/Enrocado no indicada) | Datos por ensayo del repositorio Zenodo doi:10.5281/zenodo.3625778 (xlsx v1; ensayo_id = N° de fila); el artículo solo trae la lista de materiales (Fig. 2a) | q calculado = σ1−σ3 | E50 = 19.7 MPa | NO en base Cylwik</t>
        </is>
      </c>
    </row>
    <row r="91">
      <c r="A91" t="inlineStr">
        <is>
          <t>OV2020</t>
        </is>
      </c>
      <c r="B91" t="inlineStr">
        <is>
          <t>2020_Ovalle_Data Compilation from Large ICDTx on Coarse Crushable Rockfill Materials.pdf</t>
        </is>
      </c>
      <c r="C91" t="n">
        <v>2020</v>
      </c>
      <c r="D91" t="inlineStr">
        <is>
          <t>Ovalle, Linero, Dano, Bard, Hicher y Osses (2020), JGGE 146(9) 06020013</t>
        </is>
      </c>
      <c r="E91" t="inlineStr">
        <is>
          <t>IDIEM (Chile), inferido de p.3</t>
        </is>
      </c>
      <c r="F91" t="inlineStr">
        <is>
          <t>Natural waste rock</t>
        </is>
      </c>
      <c r="G91" t="n">
        <v>90</v>
      </c>
      <c r="H91" t="inlineStr">
        <is>
          <t>Felsic and andesíte</t>
        </is>
      </c>
      <c r="I91" t="inlineStr">
        <is>
          <t>Mezcla</t>
        </is>
      </c>
      <c r="J91" t="inlineStr">
        <is>
          <t>félsico y andesita</t>
        </is>
      </c>
      <c r="K91" t="inlineStr">
        <is>
          <t>no indicada</t>
        </is>
      </c>
      <c r="L91" t="inlineStr"/>
      <c r="M91" t="inlineStr"/>
      <c r="N91" t="inlineStr"/>
      <c r="O91" t="inlineStr">
        <is>
          <t>CID (compresión triaxial drenada)</t>
        </is>
      </c>
      <c r="P91" t="inlineStr">
        <is>
          <t>no indicado</t>
        </is>
      </c>
      <c r="Q91" t="n">
        <v>1000</v>
      </c>
      <c r="R91" t="inlineStr"/>
      <c r="S91" t="n">
        <v>200</v>
      </c>
      <c r="T91" t="inlineStr"/>
      <c r="U91" t="inlineStr"/>
      <c r="V91" t="inlineStr"/>
      <c r="W91" t="inlineStr"/>
      <c r="X91" t="n">
        <v>17.4</v>
      </c>
      <c r="Y91" t="inlineStr"/>
      <c r="Z91" t="inlineStr"/>
      <c r="AA91" t="inlineStr"/>
      <c r="AB91" t="inlineStr"/>
      <c r="AC91" t="inlineStr"/>
      <c r="AD91" t="inlineStr"/>
      <c r="AE91" t="inlineStr"/>
      <c r="AF91" t="n">
        <v>0.5</v>
      </c>
      <c r="AG91" t="inlineStr">
        <is>
          <t>informe</t>
        </is>
      </c>
      <c r="AH91" t="inlineStr"/>
      <c r="AI91" t="inlineStr"/>
      <c r="AJ91" t="inlineStr"/>
      <c r="AK91" t="n">
        <v>981</v>
      </c>
      <c r="AL91" t="n">
        <v>4267</v>
      </c>
      <c r="AM91" t="n">
        <v>3286</v>
      </c>
      <c r="AN91" t="inlineStr">
        <is>
          <t>máximo (φmax, σ1 máximo)</t>
        </is>
      </c>
      <c r="AO91" t="n">
        <v>38.8</v>
      </c>
      <c r="AP91" t="inlineStr"/>
      <c r="AQ91" t="inlineStr"/>
      <c r="AR91" t="inlineStr"/>
      <c r="AS91" t="inlineStr"/>
      <c r="AT91" t="inlineStr"/>
      <c r="AU91" t="inlineStr"/>
      <c r="AV91" t="n">
        <v>13.5</v>
      </c>
      <c r="AW91" t="inlineStr"/>
      <c r="AX91" t="inlineStr"/>
      <c r="AY91" t="inlineStr"/>
      <c r="AZ91" t="inlineStr"/>
      <c r="BA91" t="inlineStr">
        <is>
          <t>Zenodo xlsx; material y dmax en p.4 (Fig. 2a)</t>
        </is>
      </c>
      <c r="BB91" t="inlineStr">
        <is>
          <t>no (valores del xlsx; nombre, litología y dmax verificados en imagen p.4)</t>
        </is>
      </c>
      <c r="BC91" t="inlineStr">
        <is>
          <t>Ref. original: Contreras, 2011 | Material en la fuente: «Natural waste rock» (clase ROM/Chancado/Enrocado no indicada) | Datos por ensayo del repositorio Zenodo doi:10.5281/zenodo.3625778 (xlsx v1; ensayo_id = N° de fila); el artículo solo trae la lista de materiales (Fig. 2a) | q calculado = σ1−σ3 | E50 = 34.1 MPa | NO en base Cylwik</t>
        </is>
      </c>
    </row>
    <row r="92">
      <c r="A92" t="inlineStr">
        <is>
          <t>OV2020</t>
        </is>
      </c>
      <c r="B92" t="inlineStr">
        <is>
          <t>2020_Ovalle_Data Compilation from Large ICDTx on Coarse Crushable Rockfill Materials.pdf</t>
        </is>
      </c>
      <c r="C92" t="n">
        <v>2020</v>
      </c>
      <c r="D92" t="inlineStr">
        <is>
          <t>Ovalle, Linero, Dano, Bard, Hicher y Osses (2020), JGGE 146(9) 06020013</t>
        </is>
      </c>
      <c r="E92" t="inlineStr">
        <is>
          <t>IDIEM (Chile), inferido de p.3</t>
        </is>
      </c>
      <c r="F92" t="inlineStr">
        <is>
          <t>Natural waste rock</t>
        </is>
      </c>
      <c r="G92" t="n">
        <v>91</v>
      </c>
      <c r="H92" t="inlineStr">
        <is>
          <t>Felsic and andesíte</t>
        </is>
      </c>
      <c r="I92" t="inlineStr">
        <is>
          <t>Mezcla</t>
        </is>
      </c>
      <c r="J92" t="inlineStr">
        <is>
          <t>félsico y andesita</t>
        </is>
      </c>
      <c r="K92" t="inlineStr">
        <is>
          <t>no indicada</t>
        </is>
      </c>
      <c r="L92" t="inlineStr"/>
      <c r="M92" t="inlineStr"/>
      <c r="N92" t="inlineStr"/>
      <c r="O92" t="inlineStr">
        <is>
          <t>CID (compresión triaxial drenada)</t>
        </is>
      </c>
      <c r="P92" t="inlineStr">
        <is>
          <t>no indicado</t>
        </is>
      </c>
      <c r="Q92" t="n">
        <v>1000</v>
      </c>
      <c r="R92" t="inlineStr"/>
      <c r="S92" t="n">
        <v>200</v>
      </c>
      <c r="T92" t="inlineStr"/>
      <c r="U92" t="inlineStr"/>
      <c r="V92" t="inlineStr"/>
      <c r="W92" t="inlineStr"/>
      <c r="X92" t="n">
        <v>17.4</v>
      </c>
      <c r="Y92" t="inlineStr"/>
      <c r="Z92" t="inlineStr"/>
      <c r="AA92" t="inlineStr"/>
      <c r="AB92" t="inlineStr"/>
      <c r="AC92" t="inlineStr"/>
      <c r="AD92" t="inlineStr"/>
      <c r="AE92" t="inlineStr"/>
      <c r="AF92" t="n">
        <v>0.5</v>
      </c>
      <c r="AG92" t="inlineStr">
        <is>
          <t>informe</t>
        </is>
      </c>
      <c r="AH92" t="inlineStr"/>
      <c r="AI92" t="inlineStr"/>
      <c r="AJ92" t="inlineStr"/>
      <c r="AK92" t="n">
        <v>1961</v>
      </c>
      <c r="AL92" t="n">
        <v>7551</v>
      </c>
      <c r="AM92" t="n">
        <v>5590</v>
      </c>
      <c r="AN92" t="inlineStr">
        <is>
          <t>máximo (φmax, σ1 máximo)</t>
        </is>
      </c>
      <c r="AO92" t="n">
        <v>36</v>
      </c>
      <c r="AP92" t="inlineStr"/>
      <c r="AQ92" t="inlineStr"/>
      <c r="AR92" t="inlineStr"/>
      <c r="AS92" t="inlineStr"/>
      <c r="AT92" t="inlineStr"/>
      <c r="AU92" t="inlineStr"/>
      <c r="AV92" t="n">
        <v>15</v>
      </c>
      <c r="AW92" t="inlineStr"/>
      <c r="AX92" t="inlineStr"/>
      <c r="AY92" t="inlineStr"/>
      <c r="AZ92" t="inlineStr"/>
      <c r="BA92" t="inlineStr">
        <is>
          <t>Zenodo xlsx; material y dmax en p.4 (Fig. 2a)</t>
        </is>
      </c>
      <c r="BB92" t="inlineStr">
        <is>
          <t>no (valores del xlsx; nombre, litología y dmax verificados en imagen p.4)</t>
        </is>
      </c>
      <c r="BC92" t="inlineStr">
        <is>
          <t>Ref. original: Contreras, 2011 | Material en la fuente: «Natural waste rock» (clase ROM/Chancado/Enrocado no indicada) | Datos por ensayo del repositorio Zenodo doi:10.5281/zenodo.3625778 (xlsx v1; ensayo_id = N° de fila); el artículo solo trae la lista de materiales (Fig. 2a) | q calculado = σ1−σ3 | E50 = 53.6 MPa | NO en base Cylwik</t>
        </is>
      </c>
    </row>
    <row r="93">
      <c r="A93" t="inlineStr">
        <is>
          <t>OV2020</t>
        </is>
      </c>
      <c r="B93" t="inlineStr">
        <is>
          <t>2020_Ovalle_Data Compilation from Large ICDTx on Coarse Crushable Rockfill Materials.pdf</t>
        </is>
      </c>
      <c r="C93" t="n">
        <v>2020</v>
      </c>
      <c r="D93" t="inlineStr">
        <is>
          <t>Ovalle, Linero, Dano, Bard, Hicher y Osses (2020), JGGE 146(9) 06020013</t>
        </is>
      </c>
      <c r="E93" t="inlineStr">
        <is>
          <t>IDIEM (Chile), inferido de p.3</t>
        </is>
      </c>
      <c r="F93" t="inlineStr">
        <is>
          <t>Leached waste rock</t>
        </is>
      </c>
      <c r="G93" t="n">
        <v>92</v>
      </c>
      <c r="H93" t="inlineStr">
        <is>
          <t>Felsic and andesíte</t>
        </is>
      </c>
      <c r="I93" t="inlineStr">
        <is>
          <t>Mezcla</t>
        </is>
      </c>
      <c r="J93" t="inlineStr">
        <is>
          <t>félsico y andesita</t>
        </is>
      </c>
      <c r="K93" t="inlineStr">
        <is>
          <t>no indicada</t>
        </is>
      </c>
      <c r="L93" t="inlineStr">
        <is>
          <t>lixiviado (leached)</t>
        </is>
      </c>
      <c r="M93" t="inlineStr"/>
      <c r="N93" t="inlineStr"/>
      <c r="O93" t="inlineStr">
        <is>
          <t>CID (compresión triaxial drenada)</t>
        </is>
      </c>
      <c r="P93" t="inlineStr">
        <is>
          <t>no indicado</t>
        </is>
      </c>
      <c r="Q93" t="n">
        <v>1000</v>
      </c>
      <c r="R93" t="inlineStr"/>
      <c r="S93" t="n">
        <v>200</v>
      </c>
      <c r="T93" t="inlineStr"/>
      <c r="U93" t="inlineStr"/>
      <c r="V93" t="inlineStr"/>
      <c r="W93" t="inlineStr"/>
      <c r="X93" t="n">
        <v>17.5</v>
      </c>
      <c r="Y93" t="inlineStr"/>
      <c r="Z93" t="inlineStr"/>
      <c r="AA93" t="inlineStr"/>
      <c r="AB93" t="inlineStr"/>
      <c r="AC93" t="inlineStr"/>
      <c r="AD93" t="inlineStr"/>
      <c r="AE93" t="inlineStr"/>
      <c r="AF93" t="n">
        <v>0.45</v>
      </c>
      <c r="AG93" t="inlineStr">
        <is>
          <t>informe</t>
        </is>
      </c>
      <c r="AH93" t="inlineStr"/>
      <c r="AI93" t="inlineStr"/>
      <c r="AJ93" t="inlineStr"/>
      <c r="AK93" t="n">
        <v>196</v>
      </c>
      <c r="AL93" t="n">
        <v>918</v>
      </c>
      <c r="AM93" t="n">
        <v>722</v>
      </c>
      <c r="AN93" t="inlineStr">
        <is>
          <t>máximo (φmax, σ1 máximo)</t>
        </is>
      </c>
      <c r="AO93" t="n">
        <v>40.4</v>
      </c>
      <c r="AP93" t="inlineStr"/>
      <c r="AQ93" t="inlineStr"/>
      <c r="AR93" t="inlineStr"/>
      <c r="AS93" t="inlineStr"/>
      <c r="AT93" t="inlineStr"/>
      <c r="AU93" t="inlineStr"/>
      <c r="AV93" t="n">
        <v>6.5</v>
      </c>
      <c r="AW93" t="inlineStr"/>
      <c r="AX93" t="inlineStr"/>
      <c r="AY93" t="inlineStr"/>
      <c r="AZ93" t="inlineStr"/>
      <c r="BA93" t="inlineStr">
        <is>
          <t>Zenodo xlsx; material y dmax en p.4 (Fig. 2a)</t>
        </is>
      </c>
      <c r="BB93" t="inlineStr">
        <is>
          <t>no (valores del xlsx; nombre, litología y dmax verificados en imagen p.4)</t>
        </is>
      </c>
      <c r="BC93" t="inlineStr">
        <is>
          <t>Ref. original: Contreras, 2011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9.2 MPa | NO en base Cylwik</t>
        </is>
      </c>
    </row>
    <row r="94">
      <c r="A94" t="inlineStr">
        <is>
          <t>OV2020</t>
        </is>
      </c>
      <c r="B94" t="inlineStr">
        <is>
          <t>2020_Ovalle_Data Compilation from Large ICDTx on Coarse Crushable Rockfill Materials.pdf</t>
        </is>
      </c>
      <c r="C94" t="n">
        <v>2020</v>
      </c>
      <c r="D94" t="inlineStr">
        <is>
          <t>Ovalle, Linero, Dano, Bard, Hicher y Osses (2020), JGGE 146(9) 06020013</t>
        </is>
      </c>
      <c r="E94" t="inlineStr">
        <is>
          <t>IDIEM (Chile), inferido de p.3</t>
        </is>
      </c>
      <c r="F94" t="inlineStr">
        <is>
          <t>Leached waste rock</t>
        </is>
      </c>
      <c r="G94" t="n">
        <v>93</v>
      </c>
      <c r="H94" t="inlineStr">
        <is>
          <t>Felsic and andesíte</t>
        </is>
      </c>
      <c r="I94" t="inlineStr">
        <is>
          <t>Mezcla</t>
        </is>
      </c>
      <c r="J94" t="inlineStr">
        <is>
          <t>félsico y andesita</t>
        </is>
      </c>
      <c r="K94" t="inlineStr">
        <is>
          <t>no indicada</t>
        </is>
      </c>
      <c r="L94" t="inlineStr">
        <is>
          <t>lixiviado (leached)</t>
        </is>
      </c>
      <c r="M94" t="inlineStr"/>
      <c r="N94" t="inlineStr"/>
      <c r="O94" t="inlineStr">
        <is>
          <t>CID (compresión triaxial drenada)</t>
        </is>
      </c>
      <c r="P94" t="inlineStr">
        <is>
          <t>no indicado</t>
        </is>
      </c>
      <c r="Q94" t="n">
        <v>1000</v>
      </c>
      <c r="R94" t="inlineStr"/>
      <c r="S94" t="n">
        <v>200</v>
      </c>
      <c r="T94" t="inlineStr"/>
      <c r="U94" t="inlineStr"/>
      <c r="V94" t="inlineStr"/>
      <c r="W94" t="inlineStr"/>
      <c r="X94" t="n">
        <v>17.5</v>
      </c>
      <c r="Y94" t="inlineStr"/>
      <c r="Z94" t="inlineStr"/>
      <c r="AA94" t="inlineStr"/>
      <c r="AB94" t="inlineStr"/>
      <c r="AC94" t="inlineStr"/>
      <c r="AD94" t="inlineStr"/>
      <c r="AE94" t="inlineStr"/>
      <c r="AF94" t="n">
        <v>0.45</v>
      </c>
      <c r="AG94" t="inlineStr">
        <is>
          <t>informe</t>
        </is>
      </c>
      <c r="AH94" t="inlineStr"/>
      <c r="AI94" t="inlineStr"/>
      <c r="AJ94" t="inlineStr"/>
      <c r="AK94" t="n">
        <v>981</v>
      </c>
      <c r="AL94" t="n">
        <v>4163</v>
      </c>
      <c r="AM94" t="n">
        <v>3182</v>
      </c>
      <c r="AN94" t="inlineStr">
        <is>
          <t>máximo (φmax, σ1 máximo)</t>
        </is>
      </c>
      <c r="AO94" t="n">
        <v>38.2</v>
      </c>
      <c r="AP94" t="inlineStr"/>
      <c r="AQ94" t="inlineStr"/>
      <c r="AR94" t="inlineStr"/>
      <c r="AS94" t="inlineStr"/>
      <c r="AT94" t="inlineStr"/>
      <c r="AU94" t="inlineStr"/>
      <c r="AV94" t="n">
        <v>16</v>
      </c>
      <c r="AW94" t="inlineStr"/>
      <c r="AX94" t="inlineStr"/>
      <c r="AY94" t="inlineStr"/>
      <c r="AZ94" t="inlineStr"/>
      <c r="BA94" t="inlineStr">
        <is>
          <t>Zenodo xlsx; material y dmax en p.4 (Fig. 2a)</t>
        </is>
      </c>
      <c r="BB94" t="inlineStr">
        <is>
          <t>no (valores del xlsx; nombre, litología y dmax verificados en imagen p.4)</t>
        </is>
      </c>
      <c r="BC94" t="inlineStr">
        <is>
          <t>Ref. original: Contreras, 2011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31.3 MPa | NO en base Cylwik</t>
        </is>
      </c>
    </row>
    <row r="95">
      <c r="A95" t="inlineStr">
        <is>
          <t>OV2020</t>
        </is>
      </c>
      <c r="B95" t="inlineStr">
        <is>
          <t>2020_Ovalle_Data Compilation from Large ICDTx on Coarse Crushable Rockfill Materials.pdf</t>
        </is>
      </c>
      <c r="C95" t="n">
        <v>2020</v>
      </c>
      <c r="D95" t="inlineStr">
        <is>
          <t>Ovalle, Linero, Dano, Bard, Hicher y Osses (2020), JGGE 146(9) 06020013</t>
        </is>
      </c>
      <c r="E95" t="inlineStr">
        <is>
          <t>IDIEM (Chile), inferido de p.3</t>
        </is>
      </c>
      <c r="F95" t="inlineStr">
        <is>
          <t>Leached waste rock</t>
        </is>
      </c>
      <c r="G95" t="n">
        <v>94</v>
      </c>
      <c r="H95" t="inlineStr">
        <is>
          <t>Felsic and andesíte</t>
        </is>
      </c>
      <c r="I95" t="inlineStr">
        <is>
          <t>Mezcla</t>
        </is>
      </c>
      <c r="J95" t="inlineStr">
        <is>
          <t>félsico y andesita</t>
        </is>
      </c>
      <c r="K95" t="inlineStr">
        <is>
          <t>no indicada</t>
        </is>
      </c>
      <c r="L95" t="inlineStr">
        <is>
          <t>lixiviado (leached)</t>
        </is>
      </c>
      <c r="M95" t="inlineStr"/>
      <c r="N95" t="inlineStr"/>
      <c r="O95" t="inlineStr">
        <is>
          <t>CID (compresión triaxial drenada)</t>
        </is>
      </c>
      <c r="P95" t="inlineStr">
        <is>
          <t>no indicado</t>
        </is>
      </c>
      <c r="Q95" t="n">
        <v>1000</v>
      </c>
      <c r="R95" t="inlineStr"/>
      <c r="S95" t="n">
        <v>200</v>
      </c>
      <c r="T95" t="inlineStr"/>
      <c r="U95" t="inlineStr"/>
      <c r="V95" t="inlineStr"/>
      <c r="W95" t="inlineStr"/>
      <c r="X95" t="n">
        <v>17.5</v>
      </c>
      <c r="Y95" t="inlineStr"/>
      <c r="Z95" t="inlineStr"/>
      <c r="AA95" t="inlineStr"/>
      <c r="AB95" t="inlineStr"/>
      <c r="AC95" t="inlineStr"/>
      <c r="AD95" t="inlineStr"/>
      <c r="AE95" t="inlineStr"/>
      <c r="AF95" t="n">
        <v>0.45</v>
      </c>
      <c r="AG95" t="inlineStr">
        <is>
          <t>informe</t>
        </is>
      </c>
      <c r="AH95" t="inlineStr"/>
      <c r="AI95" t="inlineStr"/>
      <c r="AJ95" t="inlineStr"/>
      <c r="AK95" t="n">
        <v>1471</v>
      </c>
      <c r="AL95" t="n">
        <v>7364</v>
      </c>
      <c r="AM95" t="n">
        <v>5893</v>
      </c>
      <c r="AN95" t="inlineStr">
        <is>
          <t>máximo (φmax, σ1 máximo)</t>
        </is>
      </c>
      <c r="AO95" t="n">
        <v>41.8</v>
      </c>
      <c r="AP95" t="inlineStr"/>
      <c r="AQ95" t="inlineStr"/>
      <c r="AR95" t="inlineStr"/>
      <c r="AS95" t="inlineStr"/>
      <c r="AT95" t="inlineStr"/>
      <c r="AU95" t="inlineStr"/>
      <c r="AV95" t="n">
        <v>19</v>
      </c>
      <c r="AW95" t="inlineStr"/>
      <c r="AX95" t="inlineStr"/>
      <c r="AY95" t="inlineStr"/>
      <c r="AZ95" t="inlineStr"/>
      <c r="BA95" t="inlineStr">
        <is>
          <t>Zenodo xlsx; material y dmax en p.4 (Fig. 2a)</t>
        </is>
      </c>
      <c r="BB95" t="inlineStr">
        <is>
          <t>no (valores del xlsx; nombre, litología y dmax verificados en imagen p.4)</t>
        </is>
      </c>
      <c r="BC95" t="inlineStr">
        <is>
          <t>Ref. original: Contreras, 2011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41.6 MPa | NO en base Cylwik</t>
        </is>
      </c>
    </row>
    <row r="96">
      <c r="A96" t="inlineStr">
        <is>
          <t>OV2020</t>
        </is>
      </c>
      <c r="B96" t="inlineStr">
        <is>
          <t>2020_Ovalle_Data Compilation from Large ICDTx on Coarse Crushable Rockfill Materials.pdf</t>
        </is>
      </c>
      <c r="C96" t="n">
        <v>2020</v>
      </c>
      <c r="D96" t="inlineStr">
        <is>
          <t>Ovalle, Linero, Dano, Bard, Hicher y Osses (2020), JGGE 146(9) 06020013</t>
        </is>
      </c>
      <c r="E96" t="inlineStr">
        <is>
          <t>IDIEM (Chile), inferido de p.3</t>
        </is>
      </c>
      <c r="F96" t="inlineStr">
        <is>
          <t>Leached waste rock</t>
        </is>
      </c>
      <c r="G96" t="n">
        <v>95</v>
      </c>
      <c r="H96" t="inlineStr">
        <is>
          <t>Felsic and andesíte</t>
        </is>
      </c>
      <c r="I96" t="inlineStr">
        <is>
          <t>Mezcla</t>
        </is>
      </c>
      <c r="J96" t="inlineStr">
        <is>
          <t>félsico y andesita</t>
        </is>
      </c>
      <c r="K96" t="inlineStr">
        <is>
          <t>no indicada</t>
        </is>
      </c>
      <c r="L96" t="inlineStr">
        <is>
          <t>lixiviado (leached)</t>
        </is>
      </c>
      <c r="M96" t="inlineStr"/>
      <c r="N96" t="inlineStr"/>
      <c r="O96" t="inlineStr">
        <is>
          <t>CID (compresión triaxial drenada)</t>
        </is>
      </c>
      <c r="P96" t="inlineStr">
        <is>
          <t>no indicado</t>
        </is>
      </c>
      <c r="Q96" t="n">
        <v>1000</v>
      </c>
      <c r="R96" t="inlineStr"/>
      <c r="S96" t="n">
        <v>200</v>
      </c>
      <c r="T96" t="inlineStr"/>
      <c r="U96" t="inlineStr"/>
      <c r="V96" t="inlineStr"/>
      <c r="W96" t="inlineStr"/>
      <c r="X96" t="n">
        <v>17.5</v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0.45</v>
      </c>
      <c r="AG96" t="inlineStr">
        <is>
          <t>informe</t>
        </is>
      </c>
      <c r="AH96" t="inlineStr"/>
      <c r="AI96" t="inlineStr"/>
      <c r="AJ96" t="inlineStr"/>
      <c r="AK96" t="n">
        <v>2452</v>
      </c>
      <c r="AL96" t="n">
        <v>8554</v>
      </c>
      <c r="AM96" t="n">
        <v>6102</v>
      </c>
      <c r="AN96" t="inlineStr">
        <is>
          <t>máximo (φmax, σ1 máximo)</t>
        </is>
      </c>
      <c r="AO96" t="n">
        <v>35.5</v>
      </c>
      <c r="AP96" t="inlineStr"/>
      <c r="AQ96" t="inlineStr"/>
      <c r="AR96" t="inlineStr"/>
      <c r="AS96" t="inlineStr"/>
      <c r="AT96" t="inlineStr"/>
      <c r="AU96" t="inlineStr"/>
      <c r="AV96" t="n">
        <v>18.5</v>
      </c>
      <c r="AW96" t="inlineStr"/>
      <c r="AX96" t="inlineStr"/>
      <c r="AY96" t="inlineStr"/>
      <c r="AZ96" t="inlineStr"/>
      <c r="BA96" t="inlineStr">
        <is>
          <t>Zenodo xlsx; material y dmax en p.4 (Fig. 2a)</t>
        </is>
      </c>
      <c r="BB96" t="inlineStr">
        <is>
          <t>no (valores del xlsx; nombre, litología y dmax verificados en imagen p.4)</t>
        </is>
      </c>
      <c r="BC96" t="inlineStr">
        <is>
          <t>Ref. original: Contreras, 2011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58.3 MPa | NO en base Cylwik</t>
        </is>
      </c>
    </row>
    <row r="97">
      <c r="A97" t="inlineStr">
        <is>
          <t>OV2020</t>
        </is>
      </c>
      <c r="B97" t="inlineStr">
        <is>
          <t>2020_Ovalle_Data Compilation from Large ICDTx on Coarse Crushable Rockfill Materials.pdf</t>
        </is>
      </c>
      <c r="C97" t="n">
        <v>2020</v>
      </c>
      <c r="D97" t="inlineStr">
        <is>
          <t>Ovalle, Linero, Dano, Bard, Hicher y Osses (2020), JGGE 146(9) 06020013</t>
        </is>
      </c>
      <c r="E97" t="inlineStr">
        <is>
          <t>IDIEM (Chile), inferido de p.3</t>
        </is>
      </c>
      <c r="F97" t="inlineStr">
        <is>
          <t>Crushed waste rock</t>
        </is>
      </c>
      <c r="G97" t="n">
        <v>96</v>
      </c>
      <c r="H97" t="inlineStr">
        <is>
          <t>Felsic and andesíte</t>
        </is>
      </c>
      <c r="I97" t="inlineStr">
        <is>
          <t>Mezcla</t>
        </is>
      </c>
      <c r="J97" t="inlineStr">
        <is>
          <t>félsico y andesita</t>
        </is>
      </c>
      <c r="K97" t="inlineStr">
        <is>
          <t>no indicada</t>
        </is>
      </c>
      <c r="L97" t="inlineStr"/>
      <c r="M97" t="inlineStr">
        <is>
          <t>Chancado</t>
        </is>
      </c>
      <c r="N97" t="inlineStr"/>
      <c r="O97" t="inlineStr">
        <is>
          <t>CID (compresión triaxial drenada)</t>
        </is>
      </c>
      <c r="P97" t="inlineStr">
        <is>
          <t>no indicado</t>
        </is>
      </c>
      <c r="Q97" t="n">
        <v>1000</v>
      </c>
      <c r="R97" t="inlineStr"/>
      <c r="S97" t="n">
        <v>200</v>
      </c>
      <c r="T97" t="inlineStr"/>
      <c r="U97" t="inlineStr"/>
      <c r="V97" t="inlineStr"/>
      <c r="W97" t="inlineStr"/>
      <c r="X97" t="n">
        <v>9.1</v>
      </c>
      <c r="Y97" t="inlineStr"/>
      <c r="Z97" t="inlineStr"/>
      <c r="AA97" t="inlineStr"/>
      <c r="AB97" t="inlineStr"/>
      <c r="AC97" t="inlineStr"/>
      <c r="AD97" t="inlineStr"/>
      <c r="AE97" t="inlineStr"/>
      <c r="AF97" t="n">
        <v>0.45</v>
      </c>
      <c r="AG97" t="inlineStr">
        <is>
          <t>informe</t>
        </is>
      </c>
      <c r="AH97" t="inlineStr"/>
      <c r="AI97" t="inlineStr"/>
      <c r="AJ97" t="inlineStr"/>
      <c r="AK97" t="n">
        <v>981</v>
      </c>
      <c r="AL97" t="n">
        <v>4527</v>
      </c>
      <c r="AM97" t="n">
        <v>3546</v>
      </c>
      <c r="AN97" t="inlineStr">
        <is>
          <t>máximo (φmax, σ1 máximo)</t>
        </is>
      </c>
      <c r="AO97" t="n">
        <v>40.1</v>
      </c>
      <c r="AP97" t="inlineStr"/>
      <c r="AQ97" t="inlineStr"/>
      <c r="AR97" t="inlineStr"/>
      <c r="AS97" t="inlineStr"/>
      <c r="AT97" t="inlineStr"/>
      <c r="AU97" t="inlineStr"/>
      <c r="AV97" t="n">
        <v>21.5</v>
      </c>
      <c r="AW97" t="inlineStr"/>
      <c r="AX97" t="inlineStr"/>
      <c r="AY97" t="inlineStr"/>
      <c r="AZ97" t="inlineStr"/>
      <c r="BA97" t="inlineStr">
        <is>
          <t>Zenodo xlsx; material y dmax en p.4 (Fig. 2a)</t>
        </is>
      </c>
      <c r="BB97" t="inlineStr">
        <is>
          <t>no (valores del xlsx; nombre, litología y dmax verificados en imagen p.4)</t>
        </is>
      </c>
      <c r="BC97" t="inlineStr">
        <is>
          <t>Ref. original: Contreras, 2011 | Material en la fuente: «Crushed waste rock» | Datos por ensayo del repositorio Zenodo doi:10.5281/zenodo.3625778 (xlsx v1; ensayo_id = N° de fila); el artículo solo trae la lista de materiales (Fig. 2a) | q calculado = σ1−σ3 | E50 = 38.8 MPa | NO en base Cylwik</t>
        </is>
      </c>
    </row>
    <row r="98">
      <c r="A98" t="inlineStr">
        <is>
          <t>OV2020</t>
        </is>
      </c>
      <c r="B98" t="inlineStr">
        <is>
          <t>2020_Ovalle_Data Compilation from Large ICDTx on Coarse Crushable Rockfill Materials.pdf</t>
        </is>
      </c>
      <c r="C98" t="n">
        <v>2020</v>
      </c>
      <c r="D98" t="inlineStr">
        <is>
          <t>Ovalle, Linero, Dano, Bard, Hicher y Osses (2020), JGGE 146(9) 06020013</t>
        </is>
      </c>
      <c r="E98" t="inlineStr">
        <is>
          <t>IDIEM (Chile), inferido de p.3</t>
        </is>
      </c>
      <c r="F98" t="inlineStr">
        <is>
          <t>Crushed waste rock</t>
        </is>
      </c>
      <c r="G98" t="n">
        <v>97</v>
      </c>
      <c r="H98" t="inlineStr">
        <is>
          <t>Felsic and andesíte</t>
        </is>
      </c>
      <c r="I98" t="inlineStr">
        <is>
          <t>Mezcla</t>
        </is>
      </c>
      <c r="J98" t="inlineStr">
        <is>
          <t>félsico y andesita</t>
        </is>
      </c>
      <c r="K98" t="inlineStr">
        <is>
          <t>no indicada</t>
        </is>
      </c>
      <c r="L98" t="inlineStr"/>
      <c r="M98" t="inlineStr">
        <is>
          <t>Chancado</t>
        </is>
      </c>
      <c r="N98" t="inlineStr"/>
      <c r="O98" t="inlineStr">
        <is>
          <t>CID (compresión triaxial drenada)</t>
        </is>
      </c>
      <c r="P98" t="inlineStr">
        <is>
          <t>no indicado</t>
        </is>
      </c>
      <c r="Q98" t="n">
        <v>1000</v>
      </c>
      <c r="R98" t="inlineStr"/>
      <c r="S98" t="n">
        <v>200</v>
      </c>
      <c r="T98" t="inlineStr"/>
      <c r="U98" t="inlineStr"/>
      <c r="V98" t="inlineStr"/>
      <c r="W98" t="inlineStr"/>
      <c r="X98" t="n">
        <v>9.1</v>
      </c>
      <c r="Y98" t="inlineStr"/>
      <c r="Z98" t="inlineStr"/>
      <c r="AA98" t="inlineStr"/>
      <c r="AB98" t="inlineStr"/>
      <c r="AC98" t="inlineStr"/>
      <c r="AD98" t="inlineStr"/>
      <c r="AE98" t="inlineStr"/>
      <c r="AF98" t="n">
        <v>0.45</v>
      </c>
      <c r="AG98" t="inlineStr">
        <is>
          <t>informe</t>
        </is>
      </c>
      <c r="AH98" t="inlineStr"/>
      <c r="AI98" t="inlineStr"/>
      <c r="AJ98" t="inlineStr"/>
      <c r="AK98" t="n">
        <v>1569</v>
      </c>
      <c r="AL98" t="n">
        <v>7767</v>
      </c>
      <c r="AM98" t="n">
        <v>6198</v>
      </c>
      <c r="AN98" t="inlineStr">
        <is>
          <t>máximo (φmax, σ1 máximo)</t>
        </is>
      </c>
      <c r="AO98" t="n">
        <v>41.6</v>
      </c>
      <c r="AP98" t="inlineStr"/>
      <c r="AQ98" t="inlineStr"/>
      <c r="AR98" t="inlineStr"/>
      <c r="AS98" t="inlineStr"/>
      <c r="AT98" t="inlineStr"/>
      <c r="AU98" t="inlineStr"/>
      <c r="AV98" t="n">
        <v>28</v>
      </c>
      <c r="AW98" t="inlineStr"/>
      <c r="AX98" t="inlineStr"/>
      <c r="AY98" t="inlineStr"/>
      <c r="AZ98" t="inlineStr"/>
      <c r="BA98" t="inlineStr">
        <is>
          <t>Zenodo xlsx; material y dmax en p.4 (Fig. 2a)</t>
        </is>
      </c>
      <c r="BB98" t="inlineStr">
        <is>
          <t>no (valores del xlsx; nombre, litología y dmax verificados en imagen p.4)</t>
        </is>
      </c>
      <c r="BC98" t="inlineStr">
        <is>
          <t>Ref. original: Contreras, 2011 | Material en la fuente: «Crushed waste rock» | Datos por ensayo del repositorio Zenodo doi:10.5281/zenodo.3625778 (xlsx v1; ensayo_id = N° de fila); el artículo solo trae la lista de materiales (Fig. 2a) | q calculado = σ1−σ3 | E50 = 67.3 MPa | NO en base Cylwik</t>
        </is>
      </c>
    </row>
    <row r="99">
      <c r="A99" t="inlineStr">
        <is>
          <t>OV2020</t>
        </is>
      </c>
      <c r="B99" t="inlineStr">
        <is>
          <t>2020_Ovalle_Data Compilation from Large ICDTx on Coarse Crushable Rockfill Materials.pdf</t>
        </is>
      </c>
      <c r="C99" t="n">
        <v>2020</v>
      </c>
      <c r="D99" t="inlineStr">
        <is>
          <t>Ovalle, Linero, Dano, Bard, Hicher y Osses (2020), JGGE 146(9) 06020013</t>
        </is>
      </c>
      <c r="E99" t="inlineStr">
        <is>
          <t>IDIEM (Chile), inferido de p.3</t>
        </is>
      </c>
      <c r="F99" t="inlineStr">
        <is>
          <t>Crushed waste rock</t>
        </is>
      </c>
      <c r="G99" t="n">
        <v>98</v>
      </c>
      <c r="H99" t="inlineStr">
        <is>
          <t>Felsic and andesíte</t>
        </is>
      </c>
      <c r="I99" t="inlineStr">
        <is>
          <t>Mezcla</t>
        </is>
      </c>
      <c r="J99" t="inlineStr">
        <is>
          <t>félsico y andesita</t>
        </is>
      </c>
      <c r="K99" t="inlineStr">
        <is>
          <t>no indicada</t>
        </is>
      </c>
      <c r="L99" t="inlineStr"/>
      <c r="M99" t="inlineStr">
        <is>
          <t>Chancado</t>
        </is>
      </c>
      <c r="N99" t="inlineStr"/>
      <c r="O99" t="inlineStr">
        <is>
          <t>CID (compresión triaxial drenada)</t>
        </is>
      </c>
      <c r="P99" t="inlineStr">
        <is>
          <t>no indicado</t>
        </is>
      </c>
      <c r="Q99" t="n">
        <v>1000</v>
      </c>
      <c r="R99" t="inlineStr"/>
      <c r="S99" t="n">
        <v>200</v>
      </c>
      <c r="T99" t="inlineStr"/>
      <c r="U99" t="inlineStr"/>
      <c r="V99" t="inlineStr"/>
      <c r="W99" t="inlineStr"/>
      <c r="X99" t="n">
        <v>9.1</v>
      </c>
      <c r="Y99" t="inlineStr"/>
      <c r="Z99" t="inlineStr"/>
      <c r="AA99" t="inlineStr"/>
      <c r="AB99" t="inlineStr"/>
      <c r="AC99" t="inlineStr"/>
      <c r="AD99" t="inlineStr"/>
      <c r="AE99" t="inlineStr"/>
      <c r="AF99" t="n">
        <v>0.45</v>
      </c>
      <c r="AG99" t="inlineStr">
        <is>
          <t>informe</t>
        </is>
      </c>
      <c r="AH99" t="inlineStr"/>
      <c r="AI99" t="inlineStr"/>
      <c r="AJ99" t="inlineStr"/>
      <c r="AK99" t="n">
        <v>2452</v>
      </c>
      <c r="AL99" t="n">
        <v>9860</v>
      </c>
      <c r="AM99" t="n">
        <v>7408</v>
      </c>
      <c r="AN99" t="inlineStr">
        <is>
          <t>máximo (φmax, σ1 máximo)</t>
        </is>
      </c>
      <c r="AO99" t="n">
        <v>37</v>
      </c>
      <c r="AP99" t="inlineStr"/>
      <c r="AQ99" t="inlineStr"/>
      <c r="AR99" t="inlineStr"/>
      <c r="AS99" t="inlineStr"/>
      <c r="AT99" t="inlineStr"/>
      <c r="AU99" t="inlineStr"/>
      <c r="AV99" t="n">
        <v>32</v>
      </c>
      <c r="AW99" t="inlineStr"/>
      <c r="AX99" t="inlineStr"/>
      <c r="AY99" t="inlineStr"/>
      <c r="AZ99" t="inlineStr"/>
      <c r="BA99" t="inlineStr">
        <is>
          <t>Zenodo xlsx; material y dmax en p.4 (Fig. 2a)</t>
        </is>
      </c>
      <c r="BB99" t="inlineStr">
        <is>
          <t>no (valores del xlsx; nombre, litología y dmax verificados en imagen p.4)</t>
        </is>
      </c>
      <c r="BC99" t="inlineStr">
        <is>
          <t>Ref. original: Contreras, 2011 | Material en la fuente: «Crushed waste rock» | Datos por ensayo del repositorio Zenodo doi:10.5281/zenodo.3625778 (xlsx v1; ensayo_id = N° de fila); el artículo solo trae la lista de materiales (Fig. 2a) | q calculado = σ1−σ3 | E50 = 71.9 MPa | NO en base Cylwik</t>
        </is>
      </c>
    </row>
    <row r="100">
      <c r="A100" t="inlineStr">
        <is>
          <t>OV2020</t>
        </is>
      </c>
      <c r="B100" t="inlineStr">
        <is>
          <t>2020_Ovalle_Data Compilation from Large ICDTx on Coarse Crushable Rockfill Materials.pdf</t>
        </is>
      </c>
      <c r="C100" t="n">
        <v>2020</v>
      </c>
      <c r="D100" t="inlineStr">
        <is>
          <t>Ovalle, Linero, Dano, Bard, Hicher y Osses (2020), JGGE 146(9) 06020013</t>
        </is>
      </c>
      <c r="E100" t="inlineStr">
        <is>
          <t>IDIEM (Chile), inferido de p.3</t>
        </is>
      </c>
      <c r="F100" t="inlineStr">
        <is>
          <t>ROM waste rock</t>
        </is>
      </c>
      <c r="G100" t="n">
        <v>99</v>
      </c>
      <c r="H100" t="inlineStr">
        <is>
          <t>Porphyry</t>
        </is>
      </c>
      <c r="I100" t="inlineStr">
        <is>
          <t>Pórfido</t>
        </is>
      </c>
      <c r="J100" t="inlineStr"/>
      <c r="K100" t="inlineStr"/>
      <c r="L100" t="inlineStr"/>
      <c r="M100" t="inlineStr">
        <is>
          <t>ROM</t>
        </is>
      </c>
      <c r="N100" t="inlineStr"/>
      <c r="O100" t="inlineStr">
        <is>
          <t>CID (compresión triaxial drenada)</t>
        </is>
      </c>
      <c r="P100" t="inlineStr">
        <is>
          <t>no indicado</t>
        </is>
      </c>
      <c r="Q100" t="n">
        <v>1000</v>
      </c>
      <c r="R100" t="inlineStr"/>
      <c r="S100" t="n">
        <v>200</v>
      </c>
      <c r="T100" t="inlineStr"/>
      <c r="U100" t="inlineStr"/>
      <c r="V100" t="inlineStr"/>
      <c r="W100" t="inlineStr"/>
      <c r="X100" t="n">
        <v>9.300000000000001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0.459</v>
      </c>
      <c r="AG100" t="inlineStr">
        <is>
          <t>informe</t>
        </is>
      </c>
      <c r="AH100" t="inlineStr"/>
      <c r="AI100" t="inlineStr"/>
      <c r="AJ100" t="inlineStr"/>
      <c r="AK100" t="n">
        <v>100</v>
      </c>
      <c r="AL100" t="n">
        <v>810</v>
      </c>
      <c r="AM100" t="n">
        <v>710</v>
      </c>
      <c r="AN100" t="inlineStr">
        <is>
          <t>máximo (φmax, σ1 máximo)</t>
        </is>
      </c>
      <c r="AO100" t="n">
        <v>51.3</v>
      </c>
      <c r="AP100" t="inlineStr"/>
      <c r="AQ100" t="inlineStr"/>
      <c r="AR100" t="inlineStr"/>
      <c r="AS100" t="inlineStr"/>
      <c r="AT100" t="inlineStr"/>
      <c r="AU100" t="inlineStr"/>
      <c r="AV100" t="n">
        <v>6.3</v>
      </c>
      <c r="AW100" t="inlineStr"/>
      <c r="AX100" t="inlineStr"/>
      <c r="AY100" t="inlineStr"/>
      <c r="AZ100" t="inlineStr"/>
      <c r="BA100" t="inlineStr">
        <is>
          <t>Zenodo xlsx; material y dmax en p.4 (Fig. 2a)</t>
        </is>
      </c>
      <c r="BB100" t="inlineStr">
        <is>
          <t>no (valores del xlsx; nombre, litología y dmax verificados en imagen p.4)</t>
        </is>
      </c>
      <c r="BC100" t="inlineStr">
        <is>
          <t>Ref. original: Bard et al., 2012 | Material en la fuente: «ROM waste rock» | Datos por ensayo del repositorio Zenodo doi:10.5281/zenodo.3625778 (xlsx v1; ensayo_id = N° de fila); el artículo solo trae la lista de materiales (Fig. 2a) | q calculado = σ1−σ3 | E50 = 12.0 MPa | NO en base Cylwik</t>
        </is>
      </c>
    </row>
    <row r="101">
      <c r="A101" t="inlineStr">
        <is>
          <t>OV2020</t>
        </is>
      </c>
      <c r="B101" t="inlineStr">
        <is>
          <t>2020_Ovalle_Data Compilation from Large ICDTx on Coarse Crushable Rockfill Materials.pdf</t>
        </is>
      </c>
      <c r="C101" t="n">
        <v>2020</v>
      </c>
      <c r="D101" t="inlineStr">
        <is>
          <t>Ovalle, Linero, Dano, Bard, Hicher y Osses (2020), JGGE 146(9) 06020013</t>
        </is>
      </c>
      <c r="E101" t="inlineStr">
        <is>
          <t>IDIEM (Chile), inferido de p.3</t>
        </is>
      </c>
      <c r="F101" t="inlineStr">
        <is>
          <t>ROM waste rock</t>
        </is>
      </c>
      <c r="G101" t="n">
        <v>100</v>
      </c>
      <c r="H101" t="inlineStr">
        <is>
          <t>Porphyry</t>
        </is>
      </c>
      <c r="I101" t="inlineStr">
        <is>
          <t>Pórfido</t>
        </is>
      </c>
      <c r="J101" t="inlineStr"/>
      <c r="K101" t="inlineStr"/>
      <c r="L101" t="inlineStr"/>
      <c r="M101" t="inlineStr">
        <is>
          <t>ROM</t>
        </is>
      </c>
      <c r="N101" t="inlineStr"/>
      <c r="O101" t="inlineStr">
        <is>
          <t>CID (compresión triaxial drenada)</t>
        </is>
      </c>
      <c r="P101" t="inlineStr">
        <is>
          <t>no indicado</t>
        </is>
      </c>
      <c r="Q101" t="n">
        <v>1000</v>
      </c>
      <c r="R101" t="inlineStr"/>
      <c r="S101" t="n">
        <v>200</v>
      </c>
      <c r="T101" t="inlineStr"/>
      <c r="U101" t="inlineStr"/>
      <c r="V101" t="inlineStr"/>
      <c r="W101" t="inlineStr"/>
      <c r="X101" t="n">
        <v>9.300000000000001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0.459</v>
      </c>
      <c r="AG101" t="inlineStr">
        <is>
          <t>informe</t>
        </is>
      </c>
      <c r="AH101" t="inlineStr"/>
      <c r="AI101" t="inlineStr"/>
      <c r="AJ101" t="inlineStr"/>
      <c r="AK101" t="n">
        <v>200</v>
      </c>
      <c r="AL101" t="n">
        <v>1268</v>
      </c>
      <c r="AM101" t="n">
        <v>1068</v>
      </c>
      <c r="AN101" t="inlineStr">
        <is>
          <t>máximo (φmax, σ1 máximo)</t>
        </is>
      </c>
      <c r="AO101" t="n">
        <v>46.7</v>
      </c>
      <c r="AP101" t="inlineStr"/>
      <c r="AQ101" t="inlineStr"/>
      <c r="AR101" t="inlineStr"/>
      <c r="AS101" t="inlineStr"/>
      <c r="AT101" t="inlineStr"/>
      <c r="AU101" t="inlineStr"/>
      <c r="AV101" t="n">
        <v>7.6</v>
      </c>
      <c r="AW101" t="inlineStr"/>
      <c r="AX101" t="inlineStr"/>
      <c r="AY101" t="inlineStr"/>
      <c r="AZ101" t="inlineStr"/>
      <c r="BA101" t="inlineStr">
        <is>
          <t>Zenodo xlsx; material y dmax en p.4 (Fig. 2a)</t>
        </is>
      </c>
      <c r="BB101" t="inlineStr">
        <is>
          <t>no (valores del xlsx; nombre, litología y dmax verificados en imagen p.4)</t>
        </is>
      </c>
      <c r="BC101" t="inlineStr">
        <is>
          <t>Ref. original: Bard et al., 2012 | Material en la fuente: «ROM waste rock» | Datos por ensayo del repositorio Zenodo doi:10.5281/zenodo.3625778 (xlsx v1; ensayo_id = N° de fila); el artículo solo trae la lista de materiales (Fig. 2a) | q calculado = σ1−σ3 | E50 = 12.5 MPa | NO en base Cylwik</t>
        </is>
      </c>
    </row>
    <row r="102">
      <c r="A102" t="inlineStr">
        <is>
          <t>OV2020</t>
        </is>
      </c>
      <c r="B102" t="inlineStr">
        <is>
          <t>2020_Ovalle_Data Compilation from Large ICDTx on Coarse Crushable Rockfill Materials.pdf</t>
        </is>
      </c>
      <c r="C102" t="n">
        <v>2020</v>
      </c>
      <c r="D102" t="inlineStr">
        <is>
          <t>Ovalle, Linero, Dano, Bard, Hicher y Osses (2020), JGGE 146(9) 06020013</t>
        </is>
      </c>
      <c r="E102" t="inlineStr">
        <is>
          <t>IDIEM (Chile), inferido de p.3</t>
        </is>
      </c>
      <c r="F102" t="inlineStr">
        <is>
          <t>ROM waste rock</t>
        </is>
      </c>
      <c r="G102" t="n">
        <v>101</v>
      </c>
      <c r="H102" t="inlineStr">
        <is>
          <t>Porphyry</t>
        </is>
      </c>
      <c r="I102" t="inlineStr">
        <is>
          <t>Pórfido</t>
        </is>
      </c>
      <c r="J102" t="inlineStr"/>
      <c r="K102" t="inlineStr"/>
      <c r="L102" t="inlineStr"/>
      <c r="M102" t="inlineStr">
        <is>
          <t>ROM</t>
        </is>
      </c>
      <c r="N102" t="inlineStr"/>
      <c r="O102" t="inlineStr">
        <is>
          <t>CID (compresión triaxial drenada)</t>
        </is>
      </c>
      <c r="P102" t="inlineStr">
        <is>
          <t>no indicado</t>
        </is>
      </c>
      <c r="Q102" t="n">
        <v>1000</v>
      </c>
      <c r="R102" t="inlineStr"/>
      <c r="S102" t="n">
        <v>200</v>
      </c>
      <c r="T102" t="inlineStr"/>
      <c r="U102" t="inlineStr"/>
      <c r="V102" t="inlineStr"/>
      <c r="W102" t="inlineStr"/>
      <c r="X102" t="n">
        <v>9.300000000000001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0.459</v>
      </c>
      <c r="AG102" t="inlineStr">
        <is>
          <t>informe</t>
        </is>
      </c>
      <c r="AH102" t="inlineStr"/>
      <c r="AI102" t="inlineStr"/>
      <c r="AJ102" t="inlineStr"/>
      <c r="AK102" t="n">
        <v>500</v>
      </c>
      <c r="AL102" t="n">
        <v>2320</v>
      </c>
      <c r="AM102" t="n">
        <v>1820</v>
      </c>
      <c r="AN102" t="inlineStr">
        <is>
          <t>máximo (φmax, σ1 máximo)</t>
        </is>
      </c>
      <c r="AO102" t="n">
        <v>40.2</v>
      </c>
      <c r="AP102" t="inlineStr"/>
      <c r="AQ102" t="inlineStr"/>
      <c r="AR102" t="inlineStr"/>
      <c r="AS102" t="inlineStr"/>
      <c r="AT102" t="inlineStr"/>
      <c r="AU102" t="inlineStr"/>
      <c r="AV102" t="n">
        <v>9.4</v>
      </c>
      <c r="AW102" t="inlineStr"/>
      <c r="AX102" t="inlineStr"/>
      <c r="AY102" t="inlineStr"/>
      <c r="AZ102" t="inlineStr"/>
      <c r="BA102" t="inlineStr">
        <is>
          <t>Zenodo xlsx; material y dmax en p.4 (Fig. 2a)</t>
        </is>
      </c>
      <c r="BB102" t="inlineStr">
        <is>
          <t>no (valores del xlsx; nombre, litología y dmax verificados en imagen p.4)</t>
        </is>
      </c>
      <c r="BC102" t="inlineStr">
        <is>
          <t>Ref. original: Bard et al., 2012 | Material en la fuente: «ROM waste rock» | Datos por ensayo del repositorio Zenodo doi:10.5281/zenodo.3625778 (xlsx v1; ensayo_id = N° de fila); el artículo solo trae la lista de materiales (Fig. 2a) | q calculado = σ1−σ3 | E50 = 17.0 MPa | NO en base Cylwik</t>
        </is>
      </c>
    </row>
    <row r="103">
      <c r="A103" t="inlineStr">
        <is>
          <t>OV2020</t>
        </is>
      </c>
      <c r="B103" t="inlineStr">
        <is>
          <t>2020_Ovalle_Data Compilation from Large ICDTx on Coarse Crushable Rockfill Materials.pdf</t>
        </is>
      </c>
      <c r="C103" t="n">
        <v>2020</v>
      </c>
      <c r="D103" t="inlineStr">
        <is>
          <t>Ovalle, Linero, Dano, Bard, Hicher y Osses (2020), JGGE 146(9) 06020013</t>
        </is>
      </c>
      <c r="E103" t="inlineStr">
        <is>
          <t>IDIEM (Chile), inferido de p.3</t>
        </is>
      </c>
      <c r="F103" t="inlineStr">
        <is>
          <t>ROM waste rock</t>
        </is>
      </c>
      <c r="G103" t="n">
        <v>102</v>
      </c>
      <c r="H103" t="inlineStr">
        <is>
          <t>Porphyry</t>
        </is>
      </c>
      <c r="I103" t="inlineStr">
        <is>
          <t>Pórfido</t>
        </is>
      </c>
      <c r="J103" t="inlineStr"/>
      <c r="K103" t="inlineStr"/>
      <c r="L103" t="inlineStr"/>
      <c r="M103" t="inlineStr">
        <is>
          <t>ROM</t>
        </is>
      </c>
      <c r="N103" t="inlineStr"/>
      <c r="O103" t="inlineStr">
        <is>
          <t>CID (compresión triaxial drenada)</t>
        </is>
      </c>
      <c r="P103" t="inlineStr">
        <is>
          <t>no indicado</t>
        </is>
      </c>
      <c r="Q103" t="n">
        <v>1000</v>
      </c>
      <c r="R103" t="inlineStr"/>
      <c r="S103" t="n">
        <v>200</v>
      </c>
      <c r="T103" t="inlineStr"/>
      <c r="U103" t="inlineStr"/>
      <c r="V103" t="inlineStr"/>
      <c r="W103" t="inlineStr"/>
      <c r="X103" t="n">
        <v>9.300000000000001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0.459</v>
      </c>
      <c r="AG103" t="inlineStr">
        <is>
          <t>informe</t>
        </is>
      </c>
      <c r="AH103" t="inlineStr"/>
      <c r="AI103" t="inlineStr"/>
      <c r="AJ103" t="inlineStr"/>
      <c r="AK103" t="n">
        <v>1000</v>
      </c>
      <c r="AL103" t="n">
        <v>4390</v>
      </c>
      <c r="AM103" t="n">
        <v>3390</v>
      </c>
      <c r="AN103" t="inlineStr">
        <is>
          <t>máximo (φmax, σ1 máximo)</t>
        </is>
      </c>
      <c r="AO103" t="n">
        <v>39</v>
      </c>
      <c r="AP103" t="inlineStr"/>
      <c r="AQ103" t="inlineStr"/>
      <c r="AR103" t="inlineStr"/>
      <c r="AS103" t="inlineStr"/>
      <c r="AT103" t="inlineStr"/>
      <c r="AU103" t="inlineStr"/>
      <c r="AV103" t="n">
        <v>13.6</v>
      </c>
      <c r="AW103" t="inlineStr"/>
      <c r="AX103" t="inlineStr"/>
      <c r="AY103" t="inlineStr"/>
      <c r="AZ103" t="inlineStr"/>
      <c r="BA103" t="inlineStr">
        <is>
          <t>Zenodo xlsx; material y dmax en p.4 (Fig. 2a)</t>
        </is>
      </c>
      <c r="BB103" t="inlineStr">
        <is>
          <t>no (valores del xlsx; nombre, litología y dmax verificados en imagen p.4)</t>
        </is>
      </c>
      <c r="BC103" t="inlineStr">
        <is>
          <t>Ref. original: Bard et al., 2012 | Material en la fuente: «ROM waste rock» | Datos por ensayo del repositorio Zenodo doi:10.5281/zenodo.3625778 (xlsx v1; ensayo_id = N° de fila); el artículo solo trae la lista de materiales (Fig. 2a) | q calculado = σ1−σ3 | E50 = 35.0 MPa | NO en base Cylwik</t>
        </is>
      </c>
    </row>
    <row r="104">
      <c r="A104" t="inlineStr">
        <is>
          <t>OV2020</t>
        </is>
      </c>
      <c r="B104" t="inlineStr">
        <is>
          <t>2020_Ovalle_Data Compilation from Large ICDTx on Coarse Crushable Rockfill Materials.pdf</t>
        </is>
      </c>
      <c r="C104" t="n">
        <v>2020</v>
      </c>
      <c r="D104" t="inlineStr">
        <is>
          <t>Ovalle, Linero, Dano, Bard, Hicher y Osses (2020), JGGE 146(9) 06020013</t>
        </is>
      </c>
      <c r="E104" t="inlineStr">
        <is>
          <t>IDIEM (Chile), inferido de p.3</t>
        </is>
      </c>
      <c r="F104" t="inlineStr">
        <is>
          <t>ROM waste rock</t>
        </is>
      </c>
      <c r="G104" t="n">
        <v>103</v>
      </c>
      <c r="H104" t="inlineStr">
        <is>
          <t>Porphyry</t>
        </is>
      </c>
      <c r="I104" t="inlineStr">
        <is>
          <t>Pórfido</t>
        </is>
      </c>
      <c r="J104" t="inlineStr"/>
      <c r="K104" t="inlineStr"/>
      <c r="L104" t="inlineStr"/>
      <c r="M104" t="inlineStr">
        <is>
          <t>ROM</t>
        </is>
      </c>
      <c r="N104" t="inlineStr"/>
      <c r="O104" t="inlineStr">
        <is>
          <t>CID (compresión triaxial drenada)</t>
        </is>
      </c>
      <c r="P104" t="inlineStr">
        <is>
          <t>no indicado</t>
        </is>
      </c>
      <c r="Q104" t="n">
        <v>1000</v>
      </c>
      <c r="R104" t="inlineStr"/>
      <c r="S104" t="n">
        <v>200</v>
      </c>
      <c r="T104" t="inlineStr"/>
      <c r="U104" t="inlineStr"/>
      <c r="V104" t="inlineStr"/>
      <c r="W104" t="inlineStr"/>
      <c r="X104" t="n">
        <v>9.300000000000001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0.459</v>
      </c>
      <c r="AG104" t="inlineStr">
        <is>
          <t>informe</t>
        </is>
      </c>
      <c r="AH104" t="inlineStr"/>
      <c r="AI104" t="inlineStr"/>
      <c r="AJ104" t="inlineStr"/>
      <c r="AK104" t="n">
        <v>2000</v>
      </c>
      <c r="AL104" t="n">
        <v>6610</v>
      </c>
      <c r="AM104" t="n">
        <v>4610</v>
      </c>
      <c r="AN104" t="inlineStr">
        <is>
          <t>máximo (φmax, σ1 máximo)</t>
        </is>
      </c>
      <c r="AO104" t="n">
        <v>32.4</v>
      </c>
      <c r="AP104" t="inlineStr"/>
      <c r="AQ104" t="inlineStr"/>
      <c r="AR104" t="inlineStr"/>
      <c r="AS104" t="inlineStr"/>
      <c r="AT104" t="inlineStr"/>
      <c r="AU104" t="inlineStr"/>
      <c r="AV104" t="n">
        <v>15</v>
      </c>
      <c r="AW104" t="inlineStr"/>
      <c r="AX104" t="inlineStr"/>
      <c r="AY104" t="inlineStr"/>
      <c r="AZ104" t="inlineStr"/>
      <c r="BA104" t="inlineStr">
        <is>
          <t>Zenodo xlsx; material y dmax en p.4 (Fig. 2a)</t>
        </is>
      </c>
      <c r="BB104" t="inlineStr">
        <is>
          <t>no (valores del xlsx; nombre, litología y dmax verificados en imagen p.4)</t>
        </is>
      </c>
      <c r="BC104" t="inlineStr">
        <is>
          <t>Ref. original: Bard et al., 2012 | Material en la fuente: «ROM waste rock» | Datos por ensayo del repositorio Zenodo doi:10.5281/zenodo.3625778 (xlsx v1; ensayo_id = N° de fila); el artículo solo trae la lista de materiales (Fig. 2a) | q calculado = σ1−σ3 | E50 = 48.7 MPa | NO en base Cylwik</t>
        </is>
      </c>
    </row>
    <row r="105">
      <c r="A105" t="inlineStr">
        <is>
          <t>OV2020</t>
        </is>
      </c>
      <c r="B105" t="inlineStr">
        <is>
          <t>2020_Ovalle_Data Compilation from Large ICDTx on Coarse Crushable Rockfill Materials.pdf</t>
        </is>
      </c>
      <c r="C105" t="n">
        <v>2020</v>
      </c>
      <c r="D105" t="inlineStr">
        <is>
          <t>Ovalle, Linero, Dano, Bard, Hicher y Osses (2020), JGGE 146(9) 06020013</t>
        </is>
      </c>
      <c r="E105" t="inlineStr">
        <is>
          <t>IDIEM (Chile), inferido de p.3</t>
        </is>
      </c>
      <c r="F105" t="inlineStr">
        <is>
          <t>Leached waste rock</t>
        </is>
      </c>
      <c r="G105" t="n">
        <v>104</v>
      </c>
      <c r="H105" t="inlineStr">
        <is>
          <t>Porphyry</t>
        </is>
      </c>
      <c r="I105" t="inlineStr">
        <is>
          <t>Pórfido</t>
        </is>
      </c>
      <c r="J105" t="inlineStr"/>
      <c r="K105" t="inlineStr"/>
      <c r="L105" t="inlineStr">
        <is>
          <t>lixiviado (leached)</t>
        </is>
      </c>
      <c r="M105" t="inlineStr"/>
      <c r="N105" t="inlineStr"/>
      <c r="O105" t="inlineStr">
        <is>
          <t>CID (compresión triaxial drenada)</t>
        </is>
      </c>
      <c r="P105" t="inlineStr">
        <is>
          <t>no indicado</t>
        </is>
      </c>
      <c r="Q105" t="n">
        <v>1000</v>
      </c>
      <c r="R105" t="inlineStr"/>
      <c r="S105" t="n">
        <v>200</v>
      </c>
      <c r="T105" t="inlineStr"/>
      <c r="U105" t="inlineStr"/>
      <c r="V105" t="inlineStr"/>
      <c r="W105" t="inlineStr"/>
      <c r="X105" t="n">
        <v>16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0.462</v>
      </c>
      <c r="AG105" t="inlineStr">
        <is>
          <t>informe</t>
        </is>
      </c>
      <c r="AH105" t="inlineStr"/>
      <c r="AI105" t="inlineStr"/>
      <c r="AJ105" t="inlineStr"/>
      <c r="AK105" t="n">
        <v>200</v>
      </c>
      <c r="AL105" t="n">
        <v>968</v>
      </c>
      <c r="AM105" t="n">
        <v>768</v>
      </c>
      <c r="AN105" t="inlineStr">
        <is>
          <t>máximo (φmax, σ1 máximo)</t>
        </is>
      </c>
      <c r="AO105" t="n">
        <v>41.1</v>
      </c>
      <c r="AP105" t="inlineStr"/>
      <c r="AQ105" t="inlineStr"/>
      <c r="AR105" t="inlineStr"/>
      <c r="AS105" t="inlineStr"/>
      <c r="AT105" t="inlineStr"/>
      <c r="AU105" t="inlineStr"/>
      <c r="AV105" t="n">
        <v>6</v>
      </c>
      <c r="AW105" t="inlineStr"/>
      <c r="AX105" t="inlineStr"/>
      <c r="AY105" t="inlineStr"/>
      <c r="AZ105" t="inlineStr"/>
      <c r="BA105" t="inlineStr">
        <is>
          <t>Zenodo xlsx; material y dmax en p.4 (Fig. 2a)</t>
        </is>
      </c>
      <c r="BB105" t="inlineStr">
        <is>
          <t>no (valores del xlsx; nombre, litología y dmax verificados en imagen p.4)</t>
        </is>
      </c>
      <c r="BC105" t="inlineStr">
        <is>
          <t>Ref. original: Bard et al., 2012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9.8 MPa | NO en base Cylwik</t>
        </is>
      </c>
    </row>
    <row r="106">
      <c r="A106" t="inlineStr">
        <is>
          <t>OV2020</t>
        </is>
      </c>
      <c r="B106" t="inlineStr">
        <is>
          <t>2020_Ovalle_Data Compilation from Large ICDTx on Coarse Crushable Rockfill Materials.pdf</t>
        </is>
      </c>
      <c r="C106" t="n">
        <v>2020</v>
      </c>
      <c r="D106" t="inlineStr">
        <is>
          <t>Ovalle, Linero, Dano, Bard, Hicher y Osses (2020), JGGE 146(9) 06020013</t>
        </is>
      </c>
      <c r="E106" t="inlineStr">
        <is>
          <t>IDIEM (Chile), inferido de p.3</t>
        </is>
      </c>
      <c r="F106" t="inlineStr">
        <is>
          <t>Leached waste rock</t>
        </is>
      </c>
      <c r="G106" t="n">
        <v>105</v>
      </c>
      <c r="H106" t="inlineStr">
        <is>
          <t>Porphyry</t>
        </is>
      </c>
      <c r="I106" t="inlineStr">
        <is>
          <t>Pórfido</t>
        </is>
      </c>
      <c r="J106" t="inlineStr"/>
      <c r="K106" t="inlineStr"/>
      <c r="L106" t="inlineStr">
        <is>
          <t>lixiviado (leached)</t>
        </is>
      </c>
      <c r="M106" t="inlineStr"/>
      <c r="N106" t="inlineStr"/>
      <c r="O106" t="inlineStr">
        <is>
          <t>CID (compresión triaxial drenada)</t>
        </is>
      </c>
      <c r="P106" t="inlineStr">
        <is>
          <t>no indicado</t>
        </is>
      </c>
      <c r="Q106" t="n">
        <v>1000</v>
      </c>
      <c r="R106" t="inlineStr"/>
      <c r="S106" t="n">
        <v>200</v>
      </c>
      <c r="T106" t="inlineStr"/>
      <c r="U106" t="inlineStr"/>
      <c r="V106" t="inlineStr"/>
      <c r="W106" t="inlineStr"/>
      <c r="X106" t="n">
        <v>16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0.462</v>
      </c>
      <c r="AG106" t="inlineStr">
        <is>
          <t>informe</t>
        </is>
      </c>
      <c r="AH106" t="inlineStr"/>
      <c r="AI106" t="inlineStr"/>
      <c r="AJ106" t="inlineStr"/>
      <c r="AK106" t="n">
        <v>1000</v>
      </c>
      <c r="AL106" t="n">
        <v>4640</v>
      </c>
      <c r="AM106" t="n">
        <v>3640</v>
      </c>
      <c r="AN106" t="inlineStr">
        <is>
          <t>máximo (φmax, σ1 máximo)</t>
        </is>
      </c>
      <c r="AO106" t="n">
        <v>40.2</v>
      </c>
      <c r="AP106" t="inlineStr"/>
      <c r="AQ106" t="inlineStr"/>
      <c r="AR106" t="inlineStr"/>
      <c r="AS106" t="inlineStr"/>
      <c r="AT106" t="inlineStr"/>
      <c r="AU106" t="inlineStr"/>
      <c r="AV106" t="n">
        <v>16</v>
      </c>
      <c r="AW106" t="inlineStr"/>
      <c r="AX106" t="inlineStr"/>
      <c r="AY106" t="inlineStr"/>
      <c r="AZ106" t="inlineStr"/>
      <c r="BA106" t="inlineStr">
        <is>
          <t>Zenodo xlsx; material y dmax en p.4 (Fig. 2a)</t>
        </is>
      </c>
      <c r="BB106" t="inlineStr">
        <is>
          <t>no (valores del xlsx; nombre, litología y dmax verificados en imagen p.4)</t>
        </is>
      </c>
      <c r="BC106" t="inlineStr">
        <is>
          <t>Ref. original: Bard et al., 2012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38.0 MPa | NO en base Cylwik</t>
        </is>
      </c>
    </row>
    <row r="107">
      <c r="A107" t="inlineStr">
        <is>
          <t>OV2020</t>
        </is>
      </c>
      <c r="B107" t="inlineStr">
        <is>
          <t>2020_Ovalle_Data Compilation from Large ICDTx on Coarse Crushable Rockfill Materials.pdf</t>
        </is>
      </c>
      <c r="C107" t="n">
        <v>2020</v>
      </c>
      <c r="D107" t="inlineStr">
        <is>
          <t>Ovalle, Linero, Dano, Bard, Hicher y Osses (2020), JGGE 146(9) 06020013</t>
        </is>
      </c>
      <c r="E107" t="inlineStr">
        <is>
          <t>IDIEM (Chile), inferido de p.3</t>
        </is>
      </c>
      <c r="F107" t="inlineStr">
        <is>
          <t>Leached waste rock</t>
        </is>
      </c>
      <c r="G107" t="n">
        <v>106</v>
      </c>
      <c r="H107" t="inlineStr">
        <is>
          <t>Porphyry</t>
        </is>
      </c>
      <c r="I107" t="inlineStr">
        <is>
          <t>Pórfido</t>
        </is>
      </c>
      <c r="J107" t="inlineStr"/>
      <c r="K107" t="inlineStr"/>
      <c r="L107" t="inlineStr">
        <is>
          <t>lixiviado (leached)</t>
        </is>
      </c>
      <c r="M107" t="inlineStr"/>
      <c r="N107" t="inlineStr"/>
      <c r="O107" t="inlineStr">
        <is>
          <t>CID (compresión triaxial drenada)</t>
        </is>
      </c>
      <c r="P107" t="inlineStr">
        <is>
          <t>no indicado</t>
        </is>
      </c>
      <c r="Q107" t="n">
        <v>1000</v>
      </c>
      <c r="R107" t="inlineStr"/>
      <c r="S107" t="n">
        <v>200</v>
      </c>
      <c r="T107" t="inlineStr"/>
      <c r="U107" t="inlineStr"/>
      <c r="V107" t="inlineStr"/>
      <c r="W107" t="inlineStr"/>
      <c r="X107" t="n">
        <v>16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0.462</v>
      </c>
      <c r="AG107" t="inlineStr">
        <is>
          <t>informe</t>
        </is>
      </c>
      <c r="AH107" t="inlineStr"/>
      <c r="AI107" t="inlineStr"/>
      <c r="AJ107" t="inlineStr"/>
      <c r="AK107" t="n">
        <v>1500</v>
      </c>
      <c r="AL107" t="n">
        <v>7280</v>
      </c>
      <c r="AM107" t="n">
        <v>5780</v>
      </c>
      <c r="AN107" t="inlineStr">
        <is>
          <t>máximo (φmax, σ1 máximo)</t>
        </is>
      </c>
      <c r="AO107" t="n">
        <v>41.2</v>
      </c>
      <c r="AP107" t="inlineStr"/>
      <c r="AQ107" t="inlineStr"/>
      <c r="AR107" t="inlineStr"/>
      <c r="AS107" t="inlineStr"/>
      <c r="AT107" t="inlineStr"/>
      <c r="AU107" t="inlineStr"/>
      <c r="AV107" t="n">
        <v>19</v>
      </c>
      <c r="AW107" t="inlineStr"/>
      <c r="AX107" t="inlineStr"/>
      <c r="AY107" t="inlineStr"/>
      <c r="AZ107" t="inlineStr"/>
      <c r="BA107" t="inlineStr">
        <is>
          <t>Zenodo xlsx; material y dmax en p.4 (Fig. 2a)</t>
        </is>
      </c>
      <c r="BB107" t="inlineStr">
        <is>
          <t>no (valores del xlsx; nombre, litología y dmax verificados en imagen p.4)</t>
        </is>
      </c>
      <c r="BC107" t="inlineStr">
        <is>
          <t>Ref. original: Bard et al., 2012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43.0 MPa | NO en base Cylwik</t>
        </is>
      </c>
    </row>
    <row r="108">
      <c r="A108" t="inlineStr">
        <is>
          <t>OV2020</t>
        </is>
      </c>
      <c r="B108" t="inlineStr">
        <is>
          <t>2020_Ovalle_Data Compilation from Large ICDTx on Coarse Crushable Rockfill Materials.pdf</t>
        </is>
      </c>
      <c r="C108" t="n">
        <v>2020</v>
      </c>
      <c r="D108" t="inlineStr">
        <is>
          <t>Ovalle, Linero, Dano, Bard, Hicher y Osses (2020), JGGE 146(9) 06020013</t>
        </is>
      </c>
      <c r="E108" t="inlineStr">
        <is>
          <t>IDIEM (Chile), inferido de p.3</t>
        </is>
      </c>
      <c r="F108" t="inlineStr">
        <is>
          <t>Leached waste rock</t>
        </is>
      </c>
      <c r="G108" t="n">
        <v>107</v>
      </c>
      <c r="H108" t="inlineStr">
        <is>
          <t>Porphyry</t>
        </is>
      </c>
      <c r="I108" t="inlineStr">
        <is>
          <t>Pórfido</t>
        </is>
      </c>
      <c r="J108" t="inlineStr"/>
      <c r="K108" t="inlineStr"/>
      <c r="L108" t="inlineStr">
        <is>
          <t>lixiviado (leached)</t>
        </is>
      </c>
      <c r="M108" t="inlineStr"/>
      <c r="N108" t="inlineStr"/>
      <c r="O108" t="inlineStr">
        <is>
          <t>CID (compresión triaxial drenada)</t>
        </is>
      </c>
      <c r="P108" t="inlineStr">
        <is>
          <t>no indicado</t>
        </is>
      </c>
      <c r="Q108" t="n">
        <v>1000</v>
      </c>
      <c r="R108" t="inlineStr"/>
      <c r="S108" t="n">
        <v>200</v>
      </c>
      <c r="T108" t="inlineStr"/>
      <c r="U108" t="inlineStr"/>
      <c r="V108" t="inlineStr"/>
      <c r="W108" t="inlineStr"/>
      <c r="X108" t="n">
        <v>16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0.462</v>
      </c>
      <c r="AG108" t="inlineStr">
        <is>
          <t>informe</t>
        </is>
      </c>
      <c r="AH108" t="inlineStr"/>
      <c r="AI108" t="inlineStr"/>
      <c r="AJ108" t="inlineStr"/>
      <c r="AK108" t="n">
        <v>2500</v>
      </c>
      <c r="AL108" t="n">
        <v>9420</v>
      </c>
      <c r="AM108" t="n">
        <v>6920</v>
      </c>
      <c r="AN108" t="inlineStr">
        <is>
          <t>máximo (φmax, σ1 máximo)</t>
        </is>
      </c>
      <c r="AO108" t="n">
        <v>35.5</v>
      </c>
      <c r="AP108" t="inlineStr"/>
      <c r="AQ108" t="inlineStr"/>
      <c r="AR108" t="inlineStr"/>
      <c r="AS108" t="inlineStr"/>
      <c r="AT108" t="inlineStr"/>
      <c r="AU108" t="inlineStr"/>
      <c r="AV108" t="n">
        <v>19</v>
      </c>
      <c r="AW108" t="inlineStr"/>
      <c r="AX108" t="inlineStr"/>
      <c r="AY108" t="inlineStr"/>
      <c r="AZ108" t="inlineStr"/>
      <c r="BA108" t="inlineStr">
        <is>
          <t>Zenodo xlsx; material y dmax en p.4 (Fig. 2a)</t>
        </is>
      </c>
      <c r="BB108" t="inlineStr">
        <is>
          <t>no (valores del xlsx; nombre, litología y dmax verificados en imagen p.4)</t>
        </is>
      </c>
      <c r="BC108" t="inlineStr">
        <is>
          <t>Ref. original: Bard et al., 2012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59.5 MPa | NO en base Cylwik</t>
        </is>
      </c>
    </row>
    <row r="109">
      <c r="A109" t="inlineStr">
        <is>
          <t>OV2020</t>
        </is>
      </c>
      <c r="B109" t="inlineStr">
        <is>
          <t>2020_Ovalle_Data Compilation from Large ICDTx on Coarse Crushable Rockfill Materials.pdf</t>
        </is>
      </c>
      <c r="C109" t="n">
        <v>2020</v>
      </c>
      <c r="D109" t="inlineStr">
        <is>
          <t>Ovalle, Linero, Dano, Bard, Hicher y Osses (2020), JGGE 146(9) 06020013</t>
        </is>
      </c>
      <c r="E109" t="inlineStr">
        <is>
          <t>IDIEM (Chile), inferido de p.3</t>
        </is>
      </c>
      <c r="F109" t="inlineStr">
        <is>
          <t>Leached waste rock</t>
        </is>
      </c>
      <c r="G109" t="n">
        <v>108</v>
      </c>
      <c r="H109" t="inlineStr">
        <is>
          <t>Porphyry</t>
        </is>
      </c>
      <c r="I109" t="inlineStr">
        <is>
          <t>Pórfido</t>
        </is>
      </c>
      <c r="J109" t="inlineStr"/>
      <c r="K109" t="inlineStr"/>
      <c r="L109" t="inlineStr">
        <is>
          <t>lixiviado (leached)</t>
        </is>
      </c>
      <c r="M109" t="inlineStr"/>
      <c r="N109" t="inlineStr"/>
      <c r="O109" t="inlineStr">
        <is>
          <t>CID (compresión triaxial drenada)</t>
        </is>
      </c>
      <c r="P109" t="inlineStr">
        <is>
          <t>no indicado</t>
        </is>
      </c>
      <c r="Q109" t="n">
        <v>1000</v>
      </c>
      <c r="R109" t="inlineStr"/>
      <c r="S109" t="n">
        <v>200</v>
      </c>
      <c r="T109" t="inlineStr"/>
      <c r="U109" t="inlineStr"/>
      <c r="V109" t="inlineStr"/>
      <c r="W109" t="inlineStr"/>
      <c r="X109" t="n">
        <v>123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0.462</v>
      </c>
      <c r="AG109" t="inlineStr">
        <is>
          <t>informe</t>
        </is>
      </c>
      <c r="AH109" t="inlineStr"/>
      <c r="AI109" t="inlineStr"/>
      <c r="AJ109" t="inlineStr"/>
      <c r="AK109" t="n">
        <v>1200</v>
      </c>
      <c r="AL109" t="n">
        <v>5320</v>
      </c>
      <c r="AM109" t="n">
        <v>4120</v>
      </c>
      <c r="AN109" t="inlineStr">
        <is>
          <t>máximo (φmax, σ1 máximo)</t>
        </is>
      </c>
      <c r="AO109" t="n">
        <v>39.2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Zenodo xlsx; material y dmax en p.4 (Fig. 2a)</t>
        </is>
      </c>
      <c r="BB109" t="inlineStr">
        <is>
          <t>no (valores del xlsx; nombre, litología y dmax verificados en imagen p.4)</t>
        </is>
      </c>
      <c r="BC109" t="inlineStr">
        <is>
          <t>Ref. original: Bard et al., 2012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41.3 MPa | NO en base Cylwik</t>
        </is>
      </c>
    </row>
    <row r="110">
      <c r="A110" t="inlineStr">
        <is>
          <t>OV2020</t>
        </is>
      </c>
      <c r="B110" t="inlineStr">
        <is>
          <t>2020_Ovalle_Data Compilation from Large ICDTx on Coarse Crushable Rockfill Materials.pdf</t>
        </is>
      </c>
      <c r="C110" t="n">
        <v>2020</v>
      </c>
      <c r="D110" t="inlineStr">
        <is>
          <t>Ovalle, Linero, Dano, Bard, Hicher y Osses (2020), JGGE 146(9) 06020013</t>
        </is>
      </c>
      <c r="E110" t="inlineStr">
        <is>
          <t>IDIEM (Chile), inferido de p.3</t>
        </is>
      </c>
      <c r="F110" t="inlineStr">
        <is>
          <t>Leached waste rock</t>
        </is>
      </c>
      <c r="G110" t="n">
        <v>109</v>
      </c>
      <c r="H110" t="inlineStr">
        <is>
          <t>Porphyry</t>
        </is>
      </c>
      <c r="I110" t="inlineStr">
        <is>
          <t>Pórfido</t>
        </is>
      </c>
      <c r="J110" t="inlineStr"/>
      <c r="K110" t="inlineStr"/>
      <c r="L110" t="inlineStr">
        <is>
          <t>lixiviado (leached)</t>
        </is>
      </c>
      <c r="M110" t="inlineStr"/>
      <c r="N110" t="inlineStr"/>
      <c r="O110" t="inlineStr">
        <is>
          <t>CID (compresión triaxial drenada)</t>
        </is>
      </c>
      <c r="P110" t="inlineStr">
        <is>
          <t>no indicado</t>
        </is>
      </c>
      <c r="Q110" t="n">
        <v>1000</v>
      </c>
      <c r="R110" t="inlineStr"/>
      <c r="S110" t="n">
        <v>200</v>
      </c>
      <c r="T110" t="inlineStr"/>
      <c r="U110" t="inlineStr"/>
      <c r="V110" t="inlineStr"/>
      <c r="W110" t="inlineStr"/>
      <c r="X110" t="n">
        <v>123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0.462</v>
      </c>
      <c r="AG110" t="inlineStr">
        <is>
          <t>informe</t>
        </is>
      </c>
      <c r="AH110" t="inlineStr"/>
      <c r="AI110" t="inlineStr"/>
      <c r="AJ110" t="inlineStr"/>
      <c r="AK110" t="n">
        <v>2000</v>
      </c>
      <c r="AL110" t="n">
        <v>7950</v>
      </c>
      <c r="AM110" t="n">
        <v>5950</v>
      </c>
      <c r="AN110" t="inlineStr">
        <is>
          <t>máximo (φmax, σ1 máximo)</t>
        </is>
      </c>
      <c r="AO110" t="n">
        <v>36.7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Zenodo xlsx; material y dmax en p.4 (Fig. 2a)</t>
        </is>
      </c>
      <c r="BB110" t="inlineStr">
        <is>
          <t>no (valores del xlsx; nombre, litología y dmax verificados en imagen p.4)</t>
        </is>
      </c>
      <c r="BC110" t="inlineStr">
        <is>
          <t>Ref. original: Bard et al., 2012 | Material en la fuente: «Leached waste rock» (clase ROM/Chancado/Enrocado no indicada) | Datos por ensayo del repositorio Zenodo doi:10.5281/zenodo.3625778 (xlsx v1; ensayo_id = N° de fila); el artículo solo trae la lista de materiales (Fig. 2a) | q calculado = σ1−σ3 | E50 = 69.7 MPa | NO en base Cylwik</t>
        </is>
      </c>
    </row>
    <row r="111">
      <c r="A111" t="inlineStr">
        <is>
          <t>OV2020</t>
        </is>
      </c>
      <c r="B111" t="inlineStr">
        <is>
          <t>2020_Ovalle_Data Compilation from Large ICDTx on Coarse Crushable Rockfill Materials.pdf</t>
        </is>
      </c>
      <c r="C111" t="n">
        <v>2020</v>
      </c>
      <c r="D111" t="inlineStr">
        <is>
          <t>Ovalle, Linero, Dano, Bard, Hicher y Osses (2020), JGGE 146(9) 06020013</t>
        </is>
      </c>
      <c r="E111" t="inlineStr">
        <is>
          <t>IDIEM (Chile), inferido de p.3</t>
        </is>
      </c>
      <c r="F111" t="inlineStr">
        <is>
          <t>Crushed waste rock</t>
        </is>
      </c>
      <c r="G111" t="n">
        <v>110</v>
      </c>
      <c r="H111" t="inlineStr">
        <is>
          <t>Porphyry</t>
        </is>
      </c>
      <c r="I111" t="inlineStr">
        <is>
          <t>Pórfido</t>
        </is>
      </c>
      <c r="J111" t="inlineStr"/>
      <c r="K111" t="inlineStr"/>
      <c r="L111" t="inlineStr"/>
      <c r="M111" t="inlineStr">
        <is>
          <t>Chancado</t>
        </is>
      </c>
      <c r="N111" t="inlineStr"/>
      <c r="O111" t="inlineStr">
        <is>
          <t>CID (compresión triaxial drenada)</t>
        </is>
      </c>
      <c r="P111" t="inlineStr">
        <is>
          <t>no indicado</t>
        </is>
      </c>
      <c r="Q111" t="n">
        <v>1000</v>
      </c>
      <c r="R111" t="inlineStr"/>
      <c r="S111" t="n">
        <v>200</v>
      </c>
      <c r="T111" t="inlineStr"/>
      <c r="U111" t="inlineStr"/>
      <c r="V111" t="inlineStr"/>
      <c r="W111" t="inlineStr"/>
      <c r="X111" t="n">
        <v>9.06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0.464</v>
      </c>
      <c r="AG111" t="inlineStr">
        <is>
          <t>informe</t>
        </is>
      </c>
      <c r="AH111" t="inlineStr"/>
      <c r="AI111" t="inlineStr"/>
      <c r="AJ111" t="inlineStr"/>
      <c r="AK111" t="n">
        <v>1000</v>
      </c>
      <c r="AL111" t="n">
        <v>5010</v>
      </c>
      <c r="AM111" t="n">
        <v>4010</v>
      </c>
      <c r="AN111" t="inlineStr">
        <is>
          <t>máximo (φmax, σ1 máximo)</t>
        </is>
      </c>
      <c r="AO111" t="n">
        <v>41.9</v>
      </c>
      <c r="AP111" t="inlineStr"/>
      <c r="AQ111" t="inlineStr"/>
      <c r="AR111" t="inlineStr"/>
      <c r="AS111" t="inlineStr"/>
      <c r="AT111" t="inlineStr"/>
      <c r="AU111" t="inlineStr"/>
      <c r="AV111" t="n">
        <v>23</v>
      </c>
      <c r="AW111" t="inlineStr"/>
      <c r="AX111" t="inlineStr"/>
      <c r="AY111" t="inlineStr"/>
      <c r="AZ111" t="inlineStr"/>
      <c r="BA111" t="inlineStr">
        <is>
          <t>Zenodo xlsx; material y dmax en p.4 (Fig. 2a)</t>
        </is>
      </c>
      <c r="BB111" t="inlineStr">
        <is>
          <t>no (valores del xlsx; nombre, litología y dmax verificados en imagen p.4)</t>
        </is>
      </c>
      <c r="BC111" t="inlineStr">
        <is>
          <t>Ref. original: Bard et al., 2012 | Material en la fuente: «Crushed waste rock» | Datos por ensayo del repositorio Zenodo doi:10.5281/zenodo.3625778 (xlsx v1; ensayo_id = N° de fila); el artículo solo trae la lista de materiales (Fig. 2a) | q calculado = σ1−σ3 | E50 = 36.5 MPa | NO en base Cylwik</t>
        </is>
      </c>
    </row>
    <row r="112">
      <c r="A112" t="inlineStr">
        <is>
          <t>OV2020</t>
        </is>
      </c>
      <c r="B112" t="inlineStr">
        <is>
          <t>2020_Ovalle_Data Compilation from Large ICDTx on Coarse Crushable Rockfill Materials.pdf</t>
        </is>
      </c>
      <c r="C112" t="n">
        <v>2020</v>
      </c>
      <c r="D112" t="inlineStr">
        <is>
          <t>Ovalle, Linero, Dano, Bard, Hicher y Osses (2020), JGGE 146(9) 06020013</t>
        </is>
      </c>
      <c r="E112" t="inlineStr">
        <is>
          <t>IDIEM (Chile), inferido de p.3</t>
        </is>
      </c>
      <c r="F112" t="inlineStr">
        <is>
          <t>Crushed waste rock</t>
        </is>
      </c>
      <c r="G112" t="n">
        <v>111</v>
      </c>
      <c r="H112" t="inlineStr">
        <is>
          <t>Porphyry</t>
        </is>
      </c>
      <c r="I112" t="inlineStr">
        <is>
          <t>Pórfido</t>
        </is>
      </c>
      <c r="J112" t="inlineStr"/>
      <c r="K112" t="inlineStr"/>
      <c r="L112" t="inlineStr"/>
      <c r="M112" t="inlineStr">
        <is>
          <t>Chancado</t>
        </is>
      </c>
      <c r="N112" t="inlineStr"/>
      <c r="O112" t="inlineStr">
        <is>
          <t>CID (compresión triaxial drenada)</t>
        </is>
      </c>
      <c r="P112" t="inlineStr">
        <is>
          <t>no indicado</t>
        </is>
      </c>
      <c r="Q112" t="n">
        <v>1000</v>
      </c>
      <c r="R112" t="inlineStr"/>
      <c r="S112" t="n">
        <v>200</v>
      </c>
      <c r="T112" t="inlineStr"/>
      <c r="U112" t="inlineStr"/>
      <c r="V112" t="inlineStr"/>
      <c r="W112" t="inlineStr"/>
      <c r="X112" t="n">
        <v>9.06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0.464</v>
      </c>
      <c r="AG112" t="inlineStr">
        <is>
          <t>informe</t>
        </is>
      </c>
      <c r="AH112" t="inlineStr"/>
      <c r="AI112" t="inlineStr"/>
      <c r="AJ112" t="inlineStr"/>
      <c r="AK112" t="n">
        <v>1000</v>
      </c>
      <c r="AL112" t="n">
        <v>4550</v>
      </c>
      <c r="AM112" t="n">
        <v>3550</v>
      </c>
      <c r="AN112" t="inlineStr">
        <is>
          <t>máximo (φmax, σ1 máximo)</t>
        </is>
      </c>
      <c r="AO112" t="n">
        <v>39.8</v>
      </c>
      <c r="AP112" t="inlineStr"/>
      <c r="AQ112" t="inlineStr"/>
      <c r="AR112" t="inlineStr"/>
      <c r="AS112" t="inlineStr"/>
      <c r="AT112" t="inlineStr"/>
      <c r="AU112" t="inlineStr"/>
      <c r="AV112" t="n">
        <v>21</v>
      </c>
      <c r="AW112" t="inlineStr"/>
      <c r="AX112" t="inlineStr"/>
      <c r="AY112" t="inlineStr"/>
      <c r="AZ112" t="inlineStr"/>
      <c r="BA112" t="inlineStr">
        <is>
          <t>Zenodo xlsx; material y dmax en p.4 (Fig. 2a)</t>
        </is>
      </c>
      <c r="BB112" t="inlineStr">
        <is>
          <t>no (valores del xlsx; nombre, litología y dmax verificados en imagen p.4)</t>
        </is>
      </c>
      <c r="BC112" t="inlineStr">
        <is>
          <t>Ref. original: Bard et al., 2012 | Material en la fuente: «Crushed waste rock» | Datos por ensayo del repositorio Zenodo doi:10.5281/zenodo.3625778 (xlsx v1; ensayo_id = N° de fila); el artículo solo trae la lista de materiales (Fig. 2a) | q calculado = σ1−σ3 | E50 = 40.4 MPa | NO en base Cylwik</t>
        </is>
      </c>
    </row>
    <row r="113">
      <c r="A113" t="inlineStr">
        <is>
          <t>OV2020</t>
        </is>
      </c>
      <c r="B113" t="inlineStr">
        <is>
          <t>2020_Ovalle_Data Compilation from Large ICDTx on Coarse Crushable Rockfill Materials.pdf</t>
        </is>
      </c>
      <c r="C113" t="n">
        <v>2020</v>
      </c>
      <c r="D113" t="inlineStr">
        <is>
          <t>Ovalle, Linero, Dano, Bard, Hicher y Osses (2020), JGGE 146(9) 06020013</t>
        </is>
      </c>
      <c r="E113" t="inlineStr">
        <is>
          <t>IDIEM (Chile), inferido de p.3</t>
        </is>
      </c>
      <c r="F113" t="inlineStr">
        <is>
          <t>Crushed waste rock</t>
        </is>
      </c>
      <c r="G113" t="n">
        <v>112</v>
      </c>
      <c r="H113" t="inlineStr">
        <is>
          <t>Porphyry</t>
        </is>
      </c>
      <c r="I113" t="inlineStr">
        <is>
          <t>Pórfido</t>
        </is>
      </c>
      <c r="J113" t="inlineStr"/>
      <c r="K113" t="inlineStr"/>
      <c r="L113" t="inlineStr"/>
      <c r="M113" t="inlineStr">
        <is>
          <t>Chancado</t>
        </is>
      </c>
      <c r="N113" t="inlineStr"/>
      <c r="O113" t="inlineStr">
        <is>
          <t>CID (compresión triaxial drenada)</t>
        </is>
      </c>
      <c r="P113" t="inlineStr">
        <is>
          <t>no indicado</t>
        </is>
      </c>
      <c r="Q113" t="n">
        <v>1000</v>
      </c>
      <c r="R113" t="inlineStr"/>
      <c r="S113" t="n">
        <v>200</v>
      </c>
      <c r="T113" t="inlineStr"/>
      <c r="U113" t="inlineStr"/>
      <c r="V113" t="inlineStr"/>
      <c r="W113" t="inlineStr"/>
      <c r="X113" t="n">
        <v>9.06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0.464</v>
      </c>
      <c r="AG113" t="inlineStr">
        <is>
          <t>informe</t>
        </is>
      </c>
      <c r="AH113" t="inlineStr"/>
      <c r="AI113" t="inlineStr"/>
      <c r="AJ113" t="inlineStr"/>
      <c r="AK113" t="n">
        <v>1600</v>
      </c>
      <c r="AL113" t="n">
        <v>8000</v>
      </c>
      <c r="AM113" t="n">
        <v>6400</v>
      </c>
      <c r="AN113" t="inlineStr">
        <is>
          <t>máximo (φmax, σ1 máximo)</t>
        </is>
      </c>
      <c r="AO113" t="n">
        <v>41.8</v>
      </c>
      <c r="AP113" t="inlineStr"/>
      <c r="AQ113" t="inlineStr"/>
      <c r="AR113" t="inlineStr"/>
      <c r="AS113" t="inlineStr"/>
      <c r="AT113" t="inlineStr"/>
      <c r="AU113" t="inlineStr"/>
      <c r="AV113" t="n">
        <v>28</v>
      </c>
      <c r="AW113" t="inlineStr"/>
      <c r="AX113" t="inlineStr"/>
      <c r="AY113" t="inlineStr"/>
      <c r="AZ113" t="inlineStr"/>
      <c r="BA113" t="inlineStr">
        <is>
          <t>Zenodo xlsx; material y dmax en p.4 (Fig. 2a)</t>
        </is>
      </c>
      <c r="BB113" t="inlineStr">
        <is>
          <t>no (valores del xlsx; nombre, litología y dmax verificados en imagen p.4)</t>
        </is>
      </c>
      <c r="BC113" t="inlineStr">
        <is>
          <t>Ref. original: Bard et al., 2012 | Material en la fuente: «Crushed waste rock» | Datos por ensayo del repositorio Zenodo doi:10.5281/zenodo.3625778 (xlsx v1; ensayo_id = N° de fila); el artículo solo trae la lista de materiales (Fig. 2a) | q calculado = σ1−σ3 | E50 = 66.4 MPa | NO en base Cylwik</t>
        </is>
      </c>
    </row>
    <row r="114">
      <c r="A114" t="inlineStr">
        <is>
          <t>OV2020</t>
        </is>
      </c>
      <c r="B114" t="inlineStr">
        <is>
          <t>2020_Ovalle_Data Compilation from Large ICDTx on Coarse Crushable Rockfill Materials.pdf</t>
        </is>
      </c>
      <c r="C114" t="n">
        <v>2020</v>
      </c>
      <c r="D114" t="inlineStr">
        <is>
          <t>Ovalle, Linero, Dano, Bard, Hicher y Osses (2020), JGGE 146(9) 06020013</t>
        </is>
      </c>
      <c r="E114" t="inlineStr">
        <is>
          <t>IDIEM (Chile), inferido de p.3</t>
        </is>
      </c>
      <c r="F114" t="inlineStr">
        <is>
          <t>Crushed waste rock</t>
        </is>
      </c>
      <c r="G114" t="n">
        <v>113</v>
      </c>
      <c r="H114" t="inlineStr">
        <is>
          <t>Porphyry</t>
        </is>
      </c>
      <c r="I114" t="inlineStr">
        <is>
          <t>Pórfido</t>
        </is>
      </c>
      <c r="J114" t="inlineStr"/>
      <c r="K114" t="inlineStr"/>
      <c r="L114" t="inlineStr"/>
      <c r="M114" t="inlineStr">
        <is>
          <t>Chancado</t>
        </is>
      </c>
      <c r="N114" t="inlineStr"/>
      <c r="O114" t="inlineStr">
        <is>
          <t>CID (compresión triaxial drenada)</t>
        </is>
      </c>
      <c r="P114" t="inlineStr">
        <is>
          <t>no indicado</t>
        </is>
      </c>
      <c r="Q114" t="n">
        <v>1000</v>
      </c>
      <c r="R114" t="inlineStr"/>
      <c r="S114" t="n">
        <v>200</v>
      </c>
      <c r="T114" t="inlineStr"/>
      <c r="U114" t="inlineStr"/>
      <c r="V114" t="inlineStr"/>
      <c r="W114" t="inlineStr"/>
      <c r="X114" t="n">
        <v>9.06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0.326</v>
      </c>
      <c r="AG114" t="inlineStr">
        <is>
          <t>informe</t>
        </is>
      </c>
      <c r="AH114" t="inlineStr"/>
      <c r="AI114" t="inlineStr"/>
      <c r="AJ114" t="inlineStr"/>
      <c r="AK114" t="n">
        <v>2500</v>
      </c>
      <c r="AL114" t="n">
        <v>9990</v>
      </c>
      <c r="AM114" t="n">
        <v>7490</v>
      </c>
      <c r="AN114" t="inlineStr">
        <is>
          <t>máximo (φmax, σ1 máximo)</t>
        </is>
      </c>
      <c r="AO114" t="n">
        <v>36.8</v>
      </c>
      <c r="AP114" t="inlineStr"/>
      <c r="AQ114" t="inlineStr"/>
      <c r="AR114" t="inlineStr"/>
      <c r="AS114" t="inlineStr"/>
      <c r="AT114" t="inlineStr"/>
      <c r="AU114" t="inlineStr"/>
      <c r="AV114" t="n">
        <v>33</v>
      </c>
      <c r="AW114" t="inlineStr"/>
      <c r="AX114" t="inlineStr"/>
      <c r="AY114" t="inlineStr"/>
      <c r="AZ114" t="inlineStr"/>
      <c r="BA114" t="inlineStr">
        <is>
          <t>Zenodo xlsx; material y dmax en p.4 (Fig. 2a)</t>
        </is>
      </c>
      <c r="BB114" t="inlineStr">
        <is>
          <t>no (valores del xlsx; nombre, litología y dmax verificados en imagen p.4)</t>
        </is>
      </c>
      <c r="BC114" t="inlineStr">
        <is>
          <t>Ref. original: Bard et al., 2012 | Material en la fuente: «Crushed waste rock» | Datos por ensayo del repositorio Zenodo doi:10.5281/zenodo.3625778 (xlsx v1; ensayo_id = N° de fila); el artículo solo trae la lista de materiales (Fig. 2a) | q calculado = σ1−σ3 | E50 = 73.0 MPa | NO en base Cylwik</t>
        </is>
      </c>
    </row>
    <row r="115">
      <c r="A115" t="inlineStr">
        <is>
          <t>OV2020</t>
        </is>
      </c>
      <c r="B115" t="inlineStr">
        <is>
          <t>2020_Ovalle_Data Compilation from Large ICDTx on Coarse Crushable Rockfill Materials.pdf</t>
        </is>
      </c>
      <c r="C115" t="n">
        <v>2020</v>
      </c>
      <c r="D115" t="inlineStr">
        <is>
          <t>Ovalle, Linero, Dano, Bard, Hicher y Osses (2020), JGGE 146(9) 06020013</t>
        </is>
      </c>
      <c r="E115" t="inlineStr">
        <is>
          <t>ECN (Francia), inferido de p.3</t>
        </is>
      </c>
      <c r="F115" t="inlineStr">
        <is>
          <t>STV</t>
        </is>
      </c>
      <c r="G115" t="n">
        <v>114</v>
      </c>
      <c r="H115" t="inlineStr">
        <is>
          <t>Shale</t>
        </is>
      </c>
      <c r="I115" t="inlineStr">
        <is>
          <t>Lutita</t>
        </is>
      </c>
      <c r="J115" t="inlineStr"/>
      <c r="K115" t="inlineStr"/>
      <c r="L115" t="inlineStr"/>
      <c r="M115" t="inlineStr"/>
      <c r="N115" t="inlineStr"/>
      <c r="O115" t="inlineStr">
        <is>
          <t>CID (compresión triaxial drenada)</t>
        </is>
      </c>
      <c r="P115" t="inlineStr">
        <is>
          <t>no indicado</t>
        </is>
      </c>
      <c r="Q115" t="n">
        <v>1000</v>
      </c>
      <c r="R115" t="inlineStr"/>
      <c r="S115" t="n">
        <v>160</v>
      </c>
      <c r="T115" t="inlineStr"/>
      <c r="U115" t="inlineStr"/>
      <c r="V115" t="inlineStr"/>
      <c r="W115" t="inlineStr"/>
      <c r="X115" t="n">
        <v>3.7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0.53</v>
      </c>
      <c r="AG115" t="inlineStr">
        <is>
          <t>informe</t>
        </is>
      </c>
      <c r="AH115" t="inlineStr"/>
      <c r="AI115" t="inlineStr"/>
      <c r="AJ115" t="inlineStr"/>
      <c r="AK115" t="n">
        <v>400</v>
      </c>
      <c r="AL115" t="n">
        <v>1953</v>
      </c>
      <c r="AM115" t="n">
        <v>1553</v>
      </c>
      <c r="AN115" t="inlineStr">
        <is>
          <t>máximo (φmax, σ1 máximo)</t>
        </is>
      </c>
      <c r="AO115" t="n">
        <v>41.3</v>
      </c>
      <c r="AP115" t="inlineStr"/>
      <c r="AQ115" t="inlineStr"/>
      <c r="AR115" t="inlineStr"/>
      <c r="AS115" t="inlineStr"/>
      <c r="AT115" t="inlineStr"/>
      <c r="AU115" t="inlineStr"/>
      <c r="AV115" t="n">
        <v>11.5</v>
      </c>
      <c r="AW115" t="inlineStr"/>
      <c r="AX115" t="inlineStr"/>
      <c r="AY115" t="inlineStr"/>
      <c r="AZ115" t="inlineStr"/>
      <c r="BA115" t="inlineStr">
        <is>
          <t>Zenodo xlsx; material y dmax en p.4 (Fig. 2a)</t>
        </is>
      </c>
      <c r="BB115" t="inlineStr">
        <is>
          <t>no (valores del xlsx; nombre, litología y dmax verificados en imagen p.4)</t>
        </is>
      </c>
      <c r="BC115" t="inlineStr">
        <is>
          <t>Ref. original: Ovalle et al., 2014 | Material en la fuente: «STV» (clase ROM/Chancado/Enrocado no indicada) | Datos por ensayo del repositorio Zenodo doi:10.5281/zenodo.3625778 (xlsx v1; ensayo_id = N° de fila); el artículo solo trae la lista de materiales (Fig. 2a) | q calculado = σ1−σ3 | E50 = 27.9 MPa | SÍ en base Cylwik, equivalente probable: Ovalle et al (2014)|CP1|897</t>
        </is>
      </c>
    </row>
    <row r="116">
      <c r="A116" t="inlineStr">
        <is>
          <t>OV2020</t>
        </is>
      </c>
      <c r="B116" t="inlineStr">
        <is>
          <t>2020_Ovalle_Data Compilation from Large ICDTx on Coarse Crushable Rockfill Materials.pdf</t>
        </is>
      </c>
      <c r="C116" t="n">
        <v>2020</v>
      </c>
      <c r="D116" t="inlineStr">
        <is>
          <t>Ovalle, Linero, Dano, Bard, Hicher y Osses (2020), JGGE 146(9) 06020013</t>
        </is>
      </c>
      <c r="E116" t="inlineStr">
        <is>
          <t>ECN (Francia), inferido de p.3</t>
        </is>
      </c>
      <c r="F116" t="inlineStr">
        <is>
          <t>STV</t>
        </is>
      </c>
      <c r="G116" t="n">
        <v>115</v>
      </c>
      <c r="H116" t="inlineStr">
        <is>
          <t>Shale</t>
        </is>
      </c>
      <c r="I116" t="inlineStr">
        <is>
          <t>Lutita</t>
        </is>
      </c>
      <c r="J116" t="inlineStr"/>
      <c r="K116" t="inlineStr"/>
      <c r="L116" t="inlineStr"/>
      <c r="M116" t="inlineStr"/>
      <c r="N116" t="inlineStr"/>
      <c r="O116" t="inlineStr">
        <is>
          <t>CID (compresión triaxial drenada)</t>
        </is>
      </c>
      <c r="P116" t="inlineStr">
        <is>
          <t>no indicado</t>
        </is>
      </c>
      <c r="Q116" t="n">
        <v>1000</v>
      </c>
      <c r="R116" t="inlineStr"/>
      <c r="S116" t="n">
        <v>160</v>
      </c>
      <c r="T116" t="inlineStr"/>
      <c r="U116" t="inlineStr"/>
      <c r="V116" t="inlineStr"/>
      <c r="W116" t="inlineStr"/>
      <c r="X116" t="n">
        <v>4.3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0.53</v>
      </c>
      <c r="AG116" t="inlineStr">
        <is>
          <t>informe</t>
        </is>
      </c>
      <c r="AH116" t="inlineStr"/>
      <c r="AI116" t="inlineStr"/>
      <c r="AJ116" t="inlineStr"/>
      <c r="AK116" t="n">
        <v>300</v>
      </c>
      <c r="AL116" t="n">
        <v>1663</v>
      </c>
      <c r="AM116" t="n">
        <v>1363</v>
      </c>
      <c r="AN116" t="inlineStr">
        <is>
          <t>máximo (φmax, σ1 máximo)</t>
        </is>
      </c>
      <c r="AO116" t="n">
        <v>44</v>
      </c>
      <c r="AP116" t="inlineStr"/>
      <c r="AQ116" t="inlineStr"/>
      <c r="AR116" t="inlineStr"/>
      <c r="AS116" t="inlineStr"/>
      <c r="AT116" t="inlineStr"/>
      <c r="AU116" t="inlineStr"/>
      <c r="AV116" t="n">
        <v>10.2</v>
      </c>
      <c r="AW116" t="inlineStr"/>
      <c r="AX116" t="inlineStr"/>
      <c r="AY116" t="inlineStr"/>
      <c r="AZ116" t="inlineStr"/>
      <c r="BA116" t="inlineStr">
        <is>
          <t>Zenodo xlsx; material y dmax en p.4 (Fig. 2a)</t>
        </is>
      </c>
      <c r="BB116" t="inlineStr">
        <is>
          <t>no (valores del xlsx; nombre, litología y dmax verificados en imagen p.4)</t>
        </is>
      </c>
      <c r="BC116" t="inlineStr">
        <is>
          <t>Ref. original: Ovalle et al., 2014 | Material en la fuente: «STV» (clase ROM/Chancado/Enrocado no indicada) | Datos por ensayo del repositorio Zenodo doi:10.5281/zenodo.3625778 (xlsx v1; ensayo_id = N° de fila); el artículo solo trae la lista de materiales (Fig. 2a) | q calculado = σ1−σ3 | E50 = 21.2 MPa | SÍ en base Cylwik, equivalente probable: Ovalle et al (2014)|STV2|905</t>
        </is>
      </c>
    </row>
    <row r="117">
      <c r="A117" t="inlineStr">
        <is>
          <t>OV2020</t>
        </is>
      </c>
      <c r="B117" t="inlineStr">
        <is>
          <t>2020_Ovalle_Data Compilation from Large ICDTx on Coarse Crushable Rockfill Materials.pdf</t>
        </is>
      </c>
      <c r="C117" t="n">
        <v>2020</v>
      </c>
      <c r="D117" t="inlineStr">
        <is>
          <t>Ovalle, Linero, Dano, Bard, Hicher y Osses (2020), JGGE 146(9) 06020013</t>
        </is>
      </c>
      <c r="E117" t="inlineStr">
        <is>
          <t>ECN (Francia), inferido de p.3</t>
        </is>
      </c>
      <c r="F117" t="inlineStr">
        <is>
          <t>STV</t>
        </is>
      </c>
      <c r="G117" t="n">
        <v>116</v>
      </c>
      <c r="H117" t="inlineStr">
        <is>
          <t>Shale</t>
        </is>
      </c>
      <c r="I117" t="inlineStr">
        <is>
          <t>Lutita</t>
        </is>
      </c>
      <c r="J117" t="inlineStr"/>
      <c r="K117" t="inlineStr"/>
      <c r="L117" t="inlineStr"/>
      <c r="M117" t="inlineStr"/>
      <c r="N117" t="inlineStr"/>
      <c r="O117" t="inlineStr">
        <is>
          <t>CID (compresión triaxial drenada)</t>
        </is>
      </c>
      <c r="P117" t="inlineStr">
        <is>
          <t>no indicado</t>
        </is>
      </c>
      <c r="Q117" t="n">
        <v>1000</v>
      </c>
      <c r="R117" t="inlineStr"/>
      <c r="S117" t="n">
        <v>160</v>
      </c>
      <c r="T117" t="inlineStr"/>
      <c r="U117" t="inlineStr"/>
      <c r="V117" t="inlineStr"/>
      <c r="W117" t="inlineStr"/>
      <c r="X117" t="n">
        <v>4.4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0.51</v>
      </c>
      <c r="AG117" t="inlineStr">
        <is>
          <t>informe</t>
        </is>
      </c>
      <c r="AH117" t="inlineStr"/>
      <c r="AI117" t="inlineStr"/>
      <c r="AJ117" t="inlineStr"/>
      <c r="AK117" t="n">
        <v>200</v>
      </c>
      <c r="AL117" t="n">
        <v>1198</v>
      </c>
      <c r="AM117" t="n">
        <v>998</v>
      </c>
      <c r="AN117" t="inlineStr">
        <is>
          <t>máximo (φmax, σ1 máximo)</t>
        </is>
      </c>
      <c r="AO117" t="n">
        <v>45.6</v>
      </c>
      <c r="AP117" t="inlineStr"/>
      <c r="AQ117" t="inlineStr"/>
      <c r="AR117" t="inlineStr"/>
      <c r="AS117" t="inlineStr"/>
      <c r="AT117" t="inlineStr"/>
      <c r="AU117" t="inlineStr"/>
      <c r="AV117" t="n">
        <v>9.1</v>
      </c>
      <c r="AW117" t="inlineStr"/>
      <c r="AX117" t="inlineStr"/>
      <c r="AY117" t="inlineStr"/>
      <c r="AZ117" t="inlineStr"/>
      <c r="BA117" t="inlineStr">
        <is>
          <t>Zenodo xlsx; material y dmax en p.4 (Fig. 2a)</t>
        </is>
      </c>
      <c r="BB117" t="inlineStr">
        <is>
          <t>no (valores del xlsx; nombre, litología y dmax verificados en imagen p.4)</t>
        </is>
      </c>
      <c r="BC117" t="inlineStr">
        <is>
          <t>Ref. original: Ovalle et al., 2014 | Material en la fuente: «STV» (clase ROM/Chancado/Enrocado no indicada) | Datos por ensayo del repositorio Zenodo doi:10.5281/zenodo.3625778 (xlsx v1; ensayo_id = N° de fila); el artículo solo trae la lista de materiales (Fig. 2a) | q calculado = σ1−σ3 | E50 = 21.2 MPa | SÍ en base Cylwik, equivalente probable: Ovalle et al (2014)|STV2|904</t>
        </is>
      </c>
    </row>
    <row r="118">
      <c r="A118" t="inlineStr">
        <is>
          <t>OV2020</t>
        </is>
      </c>
      <c r="B118" t="inlineStr">
        <is>
          <t>2020_Ovalle_Data Compilation from Large ICDTx on Coarse Crushable Rockfill Materials.pdf</t>
        </is>
      </c>
      <c r="C118" t="n">
        <v>2020</v>
      </c>
      <c r="D118" t="inlineStr">
        <is>
          <t>Ovalle, Linero, Dano, Bard, Hicher y Osses (2020), JGGE 146(9) 06020013</t>
        </is>
      </c>
      <c r="E118" t="inlineStr">
        <is>
          <t>ECN (Francia), inferido de p.3</t>
        </is>
      </c>
      <c r="F118" t="inlineStr">
        <is>
          <t>STV</t>
        </is>
      </c>
      <c r="G118" t="n">
        <v>117</v>
      </c>
      <c r="H118" t="inlineStr">
        <is>
          <t>Shale</t>
        </is>
      </c>
      <c r="I118" t="inlineStr">
        <is>
          <t>Lutita</t>
        </is>
      </c>
      <c r="J118" t="inlineStr"/>
      <c r="K118" t="inlineStr"/>
      <c r="L118" t="inlineStr"/>
      <c r="M118" t="inlineStr"/>
      <c r="N118" t="inlineStr"/>
      <c r="O118" t="inlineStr">
        <is>
          <t>CID (compresión triaxial drenada)</t>
        </is>
      </c>
      <c r="P118" t="inlineStr">
        <is>
          <t>no indicado</t>
        </is>
      </c>
      <c r="Q118" t="n">
        <v>1000</v>
      </c>
      <c r="R118" t="inlineStr"/>
      <c r="S118" t="n">
        <v>160</v>
      </c>
      <c r="T118" t="inlineStr"/>
      <c r="U118" t="inlineStr"/>
      <c r="V118" t="inlineStr"/>
      <c r="W118" t="inlineStr"/>
      <c r="X118" t="n">
        <v>3.8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0.59</v>
      </c>
      <c r="AG118" t="inlineStr">
        <is>
          <t>informe</t>
        </is>
      </c>
      <c r="AH118" t="inlineStr"/>
      <c r="AI118" t="inlineStr"/>
      <c r="AJ118" t="inlineStr"/>
      <c r="AK118" t="n">
        <v>300</v>
      </c>
      <c r="AL118" t="n">
        <v>1449</v>
      </c>
      <c r="AM118" t="n">
        <v>1149</v>
      </c>
      <c r="AN118" t="inlineStr">
        <is>
          <t>máximo (φmax, σ1 máximo)</t>
        </is>
      </c>
      <c r="AO118" t="n">
        <v>41.1</v>
      </c>
      <c r="AP118" t="inlineStr"/>
      <c r="AQ118" t="inlineStr"/>
      <c r="AR118" t="inlineStr"/>
      <c r="AS118" t="inlineStr"/>
      <c r="AT118" t="inlineStr"/>
      <c r="AU118" t="inlineStr"/>
      <c r="AV118" t="n">
        <v>7.3</v>
      </c>
      <c r="AW118" t="inlineStr"/>
      <c r="AX118" t="inlineStr"/>
      <c r="AY118" t="inlineStr"/>
      <c r="AZ118" t="inlineStr"/>
      <c r="BA118" t="inlineStr">
        <is>
          <t>Zenodo xlsx; material y dmax en p.4 (Fig. 2a)</t>
        </is>
      </c>
      <c r="BB118" t="inlineStr">
        <is>
          <t>no (valores del xlsx; nombre, litología y dmax verificados en imagen p.4)</t>
        </is>
      </c>
      <c r="BC118" t="inlineStr">
        <is>
          <t>Ref. original: Ovalle et al., 2014 | Material en la fuente: «STV» (clase ROM/Chancado/Enrocado no indicada) | Datos por ensayo del repositorio Zenodo doi:10.5281/zenodo.3625778 (xlsx v1; ensayo_id = N° de fila); el artículo solo trae la lista de materiales (Fig. 2a) | q calculado = σ1−σ3 | E50 = 26.4 MPa | NO en base Cylwik (STV2 de Ovalle et al. (2014) tiene 3 ensayos; este, e0=0.59, falta)</t>
        </is>
      </c>
    </row>
    <row r="119">
      <c r="A119" t="inlineStr">
        <is>
          <t>OV2020</t>
        </is>
      </c>
      <c r="B119" t="inlineStr">
        <is>
          <t>2020_Ovalle_Data Compilation from Large ICDTx on Coarse Crushable Rockfill Materials.pdf</t>
        </is>
      </c>
      <c r="C119" t="n">
        <v>2020</v>
      </c>
      <c r="D119" t="inlineStr">
        <is>
          <t>Ovalle, Linero, Dano, Bard, Hicher y Osses (2020), JGGE 146(9) 06020013</t>
        </is>
      </c>
      <c r="E119" t="inlineStr">
        <is>
          <t>UC Berkeley, inferido de p.3</t>
        </is>
      </c>
      <c r="F119" t="inlineStr">
        <is>
          <t>Venato</t>
        </is>
      </c>
      <c r="G119" t="n">
        <v>118</v>
      </c>
      <c r="H119" t="inlineStr">
        <is>
          <t>Sandstone</t>
        </is>
      </c>
      <c r="I119" t="inlineStr">
        <is>
          <t>Arenisca</t>
        </is>
      </c>
      <c r="J119" t="inlineStr"/>
      <c r="K119" t="inlineStr"/>
      <c r="L119" t="inlineStr"/>
      <c r="M119" t="inlineStr"/>
      <c r="N119" t="inlineStr"/>
      <c r="O119" t="inlineStr">
        <is>
          <t>CID (compresión triaxial drenada)</t>
        </is>
      </c>
      <c r="P119" t="inlineStr">
        <is>
          <t>no indicado</t>
        </is>
      </c>
      <c r="Q119" t="n">
        <v>914.4</v>
      </c>
      <c r="R119" t="inlineStr"/>
      <c r="S119" t="n">
        <v>152</v>
      </c>
      <c r="T119" t="inlineStr"/>
      <c r="U119" t="inlineStr"/>
      <c r="V119" t="inlineStr"/>
      <c r="W119" t="inlineStr"/>
      <c r="X119" t="n">
        <v>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0.476</v>
      </c>
      <c r="AG119" t="inlineStr">
        <is>
          <t>informe</t>
        </is>
      </c>
      <c r="AH119" t="inlineStr"/>
      <c r="AI119" t="inlineStr"/>
      <c r="AJ119" t="inlineStr"/>
      <c r="AK119" t="n">
        <v>207</v>
      </c>
      <c r="AL119" t="n">
        <v>963</v>
      </c>
      <c r="AM119" t="n">
        <v>756</v>
      </c>
      <c r="AN119" t="inlineStr">
        <is>
          <t>máximo (φmax, σ1 máximo)</t>
        </is>
      </c>
      <c r="AO119" t="n">
        <v>40.2</v>
      </c>
      <c r="AP119" t="inlineStr"/>
      <c r="AQ119" t="inlineStr"/>
      <c r="AR119" t="inlineStr"/>
      <c r="AS119" t="inlineStr"/>
      <c r="AT119" t="inlineStr"/>
      <c r="AU119" t="inlineStr"/>
      <c r="AV119" t="n">
        <v>12.4</v>
      </c>
      <c r="AW119" t="inlineStr"/>
      <c r="AX119" t="inlineStr"/>
      <c r="AY119" t="inlineStr"/>
      <c r="AZ119" t="inlineStr"/>
      <c r="BA119" t="inlineStr">
        <is>
          <t>Zenodo xlsx; material y dmax en p.4 (Fig. 2a)</t>
        </is>
      </c>
      <c r="BB119" t="inlineStr">
        <is>
          <t>no (valores del xlsx; nombre, litología y dmax verificados en imagen p.4)</t>
        </is>
      </c>
      <c r="BC119" t="inlineStr">
        <is>
          <t>Ref. original: Becker et al., 1972 | Material en la fuente: «Venato» (clase ROM/Chancado/Enrocado no indicada) | Datos por ensayo del repositorio Zenodo doi:10.5281/zenodo.3625778 (xlsx v1; ensayo_id = N° de fila); el artículo solo trae la lista de materiales (Fig. 2a) | q calculado = σ1−σ3 | E50 sin dato | NO en base Cylwik</t>
        </is>
      </c>
    </row>
    <row r="120">
      <c r="A120" t="inlineStr">
        <is>
          <t>OV2020</t>
        </is>
      </c>
      <c r="B120" t="inlineStr">
        <is>
          <t>2020_Ovalle_Data Compilation from Large ICDTx on Coarse Crushable Rockfill Materials.pdf</t>
        </is>
      </c>
      <c r="C120" t="n">
        <v>2020</v>
      </c>
      <c r="D120" t="inlineStr">
        <is>
          <t>Ovalle, Linero, Dano, Bard, Hicher y Osses (2020), JGGE 146(9) 06020013</t>
        </is>
      </c>
      <c r="E120" t="inlineStr">
        <is>
          <t>UC Berkeley, inferido de p.3</t>
        </is>
      </c>
      <c r="F120" t="inlineStr">
        <is>
          <t>Venato</t>
        </is>
      </c>
      <c r="G120" t="n">
        <v>119</v>
      </c>
      <c r="H120" t="inlineStr">
        <is>
          <t>Sandstone</t>
        </is>
      </c>
      <c r="I120" t="inlineStr">
        <is>
          <t>Arenisca</t>
        </is>
      </c>
      <c r="J120" t="inlineStr"/>
      <c r="K120" t="inlineStr"/>
      <c r="L120" t="inlineStr"/>
      <c r="M120" t="inlineStr"/>
      <c r="N120" t="inlineStr"/>
      <c r="O120" t="inlineStr">
        <is>
          <t>CID (compresión triaxial drenada)</t>
        </is>
      </c>
      <c r="P120" t="inlineStr">
        <is>
          <t>no indicado</t>
        </is>
      </c>
      <c r="Q120" t="n">
        <v>914.4</v>
      </c>
      <c r="R120" t="inlineStr"/>
      <c r="S120" t="n">
        <v>152</v>
      </c>
      <c r="T120" t="inlineStr"/>
      <c r="U120" t="inlineStr"/>
      <c r="V120" t="inlineStr"/>
      <c r="W120" t="inlineStr"/>
      <c r="X120" t="n">
        <v>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0.455</v>
      </c>
      <c r="AG120" t="inlineStr">
        <is>
          <t>informe</t>
        </is>
      </c>
      <c r="AH120" t="inlineStr"/>
      <c r="AI120" t="inlineStr"/>
      <c r="AJ120" t="inlineStr"/>
      <c r="AK120" t="n">
        <v>970</v>
      </c>
      <c r="AL120" t="n">
        <v>3841</v>
      </c>
      <c r="AM120" t="n">
        <v>2871</v>
      </c>
      <c r="AN120" t="inlineStr">
        <is>
          <t>máximo (φmax, σ1 máximo)</t>
        </is>
      </c>
      <c r="AO120" t="n">
        <v>36.6</v>
      </c>
      <c r="AP120" t="inlineStr"/>
      <c r="AQ120" t="inlineStr"/>
      <c r="AR120" t="inlineStr"/>
      <c r="AS120" t="inlineStr"/>
      <c r="AT120" t="inlineStr"/>
      <c r="AU120" t="inlineStr"/>
      <c r="AV120" t="n">
        <v>22.9</v>
      </c>
      <c r="AW120" t="inlineStr"/>
      <c r="AX120" t="inlineStr"/>
      <c r="AY120" t="inlineStr"/>
      <c r="AZ120" t="inlineStr"/>
      <c r="BA120" t="inlineStr">
        <is>
          <t>Zenodo xlsx; material y dmax en p.4 (Fig. 2a)</t>
        </is>
      </c>
      <c r="BB120" t="inlineStr">
        <is>
          <t>no (valores del xlsx; nombre, litología y dmax verificados en imagen p.4)</t>
        </is>
      </c>
      <c r="BC120" t="inlineStr">
        <is>
          <t>Ref. original: Becker et al., 1972 | Material en la fuente: «Venato» (clase ROM/Chancado/Enrocado no indicada) | Datos por ensayo del repositorio Zenodo doi:10.5281/zenodo.3625778 (xlsx v1; ensayo_id = N° de fila); el artículo solo trae la lista de materiales (Fig. 2a) | q calculado = σ1−σ3 | E50 = 51.7 MPa | NO en base Cylwik</t>
        </is>
      </c>
    </row>
    <row r="121">
      <c r="A121" t="inlineStr">
        <is>
          <t>OV2020</t>
        </is>
      </c>
      <c r="B121" t="inlineStr">
        <is>
          <t>2020_Ovalle_Data Compilation from Large ICDTx on Coarse Crushable Rockfill Materials.pdf</t>
        </is>
      </c>
      <c r="C121" t="n">
        <v>2020</v>
      </c>
      <c r="D121" t="inlineStr">
        <is>
          <t>Ovalle, Linero, Dano, Bard, Hicher y Osses (2020), JGGE 146(9) 06020013</t>
        </is>
      </c>
      <c r="E121" t="inlineStr">
        <is>
          <t>UC Berkeley, inferido de p.3</t>
        </is>
      </c>
      <c r="F121" t="inlineStr">
        <is>
          <t>Venato</t>
        </is>
      </c>
      <c r="G121" t="n">
        <v>120</v>
      </c>
      <c r="H121" t="inlineStr">
        <is>
          <t>Sandstone</t>
        </is>
      </c>
      <c r="I121" t="inlineStr">
        <is>
          <t>Arenisca</t>
        </is>
      </c>
      <c r="J121" t="inlineStr"/>
      <c r="K121" t="inlineStr"/>
      <c r="L121" t="inlineStr"/>
      <c r="M121" t="inlineStr"/>
      <c r="N121" t="inlineStr"/>
      <c r="O121" t="inlineStr">
        <is>
          <t>CID (compresión triaxial drenada)</t>
        </is>
      </c>
      <c r="P121" t="inlineStr">
        <is>
          <t>no indicado</t>
        </is>
      </c>
      <c r="Q121" t="n">
        <v>130</v>
      </c>
      <c r="R121" t="inlineStr"/>
      <c r="S121" t="n">
        <v>152</v>
      </c>
      <c r="T121" t="inlineStr"/>
      <c r="U121" t="inlineStr"/>
      <c r="V121" t="inlineStr"/>
      <c r="W121" t="inlineStr"/>
      <c r="X121" t="n">
        <v>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0.469</v>
      </c>
      <c r="AG121" t="inlineStr">
        <is>
          <t>informe</t>
        </is>
      </c>
      <c r="AH121" t="inlineStr"/>
      <c r="AI121" t="inlineStr"/>
      <c r="AJ121" t="inlineStr"/>
      <c r="AK121" t="n">
        <v>2910</v>
      </c>
      <c r="AL121" t="n">
        <v>11233</v>
      </c>
      <c r="AM121" t="n">
        <v>8323</v>
      </c>
      <c r="AN121" t="inlineStr">
        <is>
          <t>máximo (φmax, σ1 máximo)</t>
        </is>
      </c>
      <c r="AO121" t="n">
        <v>36</v>
      </c>
      <c r="AP121" t="inlineStr"/>
      <c r="AQ121" t="inlineStr"/>
      <c r="AR121" t="inlineStr"/>
      <c r="AS121" t="inlineStr"/>
      <c r="AT121" t="inlineStr"/>
      <c r="AU121" t="inlineStr"/>
      <c r="AV121" t="n">
        <v>28.8</v>
      </c>
      <c r="AW121" t="inlineStr"/>
      <c r="AX121" t="inlineStr"/>
      <c r="AY121" t="inlineStr"/>
      <c r="AZ121" t="inlineStr"/>
      <c r="BA121" t="inlineStr">
        <is>
          <t>Zenodo xlsx; material y dmax en p.4 (Fig. 2a)</t>
        </is>
      </c>
      <c r="BB121" t="inlineStr">
        <is>
          <t>no (valores del xlsx; nombre, litología y dmax verificados en imagen p.4)</t>
        </is>
      </c>
      <c r="BC121" t="inlineStr">
        <is>
          <t>Ref. original: Becker et al., 1972 | Material en la fuente: «Venato» (clase ROM/Chancado/Enrocado no indicada) | Datos por ensayo del repositorio Zenodo doi:10.5281/zenodo.3625778 (xlsx v1; ensayo_id = N° de fila); el artículo solo trae la lista de materiales (Fig. 2a) | q calculado = σ1−σ3 | E50 = 105.0 MPa | NO en base Cylwik | OJO: diámetro 130 mm en Zenodo, probable error (resto de Venato 914.4 mm)</t>
        </is>
      </c>
    </row>
    <row r="122">
      <c r="A122" t="inlineStr">
        <is>
          <t>OV2020</t>
        </is>
      </c>
      <c r="B122" t="inlineStr">
        <is>
          <t>2020_Ovalle_Data Compilation from Large ICDTx on Coarse Crushable Rockfill Materials.pdf</t>
        </is>
      </c>
      <c r="C122" t="n">
        <v>2020</v>
      </c>
      <c r="D122" t="inlineStr">
        <is>
          <t>Ovalle, Linero, Dano, Bard, Hicher y Osses (2020), JGGE 146(9) 06020013</t>
        </is>
      </c>
      <c r="E122" t="inlineStr">
        <is>
          <t>UC Berkeley, inferido de p.3</t>
        </is>
      </c>
      <c r="F122" t="inlineStr">
        <is>
          <t>Venato</t>
        </is>
      </c>
      <c r="G122" t="n">
        <v>121</v>
      </c>
      <c r="H122" t="inlineStr">
        <is>
          <t>Sandstone</t>
        </is>
      </c>
      <c r="I122" t="inlineStr">
        <is>
          <t>Arenisca</t>
        </is>
      </c>
      <c r="J122" t="inlineStr"/>
      <c r="K122" t="inlineStr"/>
      <c r="L122" t="inlineStr"/>
      <c r="M122" t="inlineStr"/>
      <c r="N122" t="inlineStr"/>
      <c r="O122" t="inlineStr">
        <is>
          <t>CID (compresión triaxial drenada)</t>
        </is>
      </c>
      <c r="P122" t="inlineStr">
        <is>
          <t>no indicado</t>
        </is>
      </c>
      <c r="Q122" t="n">
        <v>914.4</v>
      </c>
      <c r="R122" t="inlineStr"/>
      <c r="S122" t="n">
        <v>152</v>
      </c>
      <c r="T122" t="inlineStr"/>
      <c r="U122" t="inlineStr"/>
      <c r="V122" t="inlineStr"/>
      <c r="W122" t="inlineStr"/>
      <c r="X122" t="n">
        <v>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0.537</v>
      </c>
      <c r="AG122" t="inlineStr">
        <is>
          <t>informe</t>
        </is>
      </c>
      <c r="AH122" t="inlineStr"/>
      <c r="AI122" t="inlineStr"/>
      <c r="AJ122" t="inlineStr"/>
      <c r="AK122" t="n">
        <v>4480</v>
      </c>
      <c r="AL122" t="n">
        <v>17427</v>
      </c>
      <c r="AM122" t="n">
        <v>12947</v>
      </c>
      <c r="AN122" t="inlineStr">
        <is>
          <t>máximo (φmax, σ1 máximo)</t>
        </is>
      </c>
      <c r="AO122" t="n">
        <v>36.2</v>
      </c>
      <c r="AP122" t="inlineStr"/>
      <c r="AQ122" t="inlineStr"/>
      <c r="AR122" t="inlineStr"/>
      <c r="AS122" t="inlineStr"/>
      <c r="AT122" t="inlineStr"/>
      <c r="AU122" t="inlineStr"/>
      <c r="AV122" t="n">
        <v>33.3</v>
      </c>
      <c r="AW122" t="inlineStr"/>
      <c r="AX122" t="inlineStr"/>
      <c r="AY122" t="inlineStr"/>
      <c r="AZ122" t="inlineStr"/>
      <c r="BA122" t="inlineStr">
        <is>
          <t>Zenodo xlsx; material y dmax en p.4 (Fig. 2a)</t>
        </is>
      </c>
      <c r="BB122" t="inlineStr">
        <is>
          <t>no (valores del xlsx; nombre, litología y dmax verificados en imagen p.4)</t>
        </is>
      </c>
      <c r="BC122" t="inlineStr">
        <is>
          <t>Ref. original: Becker et al., 1972 | Material en la fuente: «Venato» (clase ROM/Chancado/Enrocado no indicada) | Datos por ensayo del repositorio Zenodo doi:10.5281/zenodo.3625778 (xlsx v1; ensayo_id = N° de fila); el artículo solo trae la lista de materiales (Fig. 2a) | q calculado = σ1−σ3 | E50 = 134.5 MPa | NO en base Cylwik</t>
        </is>
      </c>
    </row>
    <row r="123">
      <c r="A123" t="inlineStr">
        <is>
          <t>OV2020</t>
        </is>
      </c>
      <c r="B123" t="inlineStr">
        <is>
          <t>2020_Ovalle_Data Compilation from Large ICDTx on Coarse Crushable Rockfill Materials.pdf</t>
        </is>
      </c>
      <c r="C123" t="n">
        <v>2020</v>
      </c>
      <c r="D123" t="inlineStr">
        <is>
          <t>Ovalle, Linero, Dano, Bard, Hicher y Osses (2020), JGGE 146(9) 06020013</t>
        </is>
      </c>
      <c r="E123" t="inlineStr">
        <is>
          <t>IDIEM (Chile), inferido de p.3</t>
        </is>
      </c>
      <c r="F123" t="inlineStr">
        <is>
          <t>Black marble</t>
        </is>
      </c>
      <c r="G123" t="n">
        <v>122</v>
      </c>
      <c r="H123" t="inlineStr">
        <is>
          <t>Marble</t>
        </is>
      </c>
      <c r="I123" t="inlineStr">
        <is>
          <t>Mármol</t>
        </is>
      </c>
      <c r="J123" t="inlineStr">
        <is>
          <t>mármol negro</t>
        </is>
      </c>
      <c r="K123" t="inlineStr"/>
      <c r="L123" t="inlineStr"/>
      <c r="M123" t="inlineStr"/>
      <c r="N123" t="inlineStr"/>
      <c r="O123" t="inlineStr">
        <is>
          <t>CID (compresión triaxial drenada)</t>
        </is>
      </c>
      <c r="P123" t="inlineStr">
        <is>
          <t>no indicado</t>
        </is>
      </c>
      <c r="Q123" t="n">
        <v>1000</v>
      </c>
      <c r="R123" t="inlineStr"/>
      <c r="S123" t="n">
        <v>177.8</v>
      </c>
      <c r="T123" t="inlineStr"/>
      <c r="U123" t="inlineStr"/>
      <c r="V123" t="inlineStr"/>
      <c r="W123" t="inlineStr"/>
      <c r="X123" t="n">
        <v>34.4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0.293</v>
      </c>
      <c r="AG123" t="inlineStr">
        <is>
          <t>informe</t>
        </is>
      </c>
      <c r="AH123" t="inlineStr"/>
      <c r="AI123" t="inlineStr"/>
      <c r="AJ123" t="inlineStr"/>
      <c r="AK123" t="n">
        <v>490</v>
      </c>
      <c r="AL123" t="n">
        <v>2225</v>
      </c>
      <c r="AM123" t="n">
        <v>1735</v>
      </c>
      <c r="AN123" t="inlineStr">
        <is>
          <t>máximo (φmax, σ1 máximo)</t>
        </is>
      </c>
      <c r="AO123" t="n">
        <v>39.7</v>
      </c>
      <c r="AP123" t="inlineStr"/>
      <c r="AQ123" t="inlineStr"/>
      <c r="AR123" t="inlineStr"/>
      <c r="AS123" t="inlineStr"/>
      <c r="AT123" t="inlineStr"/>
      <c r="AU123" t="inlineStr"/>
      <c r="AV123" t="n">
        <v>12</v>
      </c>
      <c r="AW123" t="inlineStr"/>
      <c r="AX123" t="inlineStr"/>
      <c r="AY123" t="inlineStr"/>
      <c r="AZ123" t="inlineStr"/>
      <c r="BA123" t="inlineStr">
        <is>
          <t>Zenodo xlsx; material y dmax en p.4 (Fig. 2a)</t>
        </is>
      </c>
      <c r="BB123" t="inlineStr">
        <is>
          <t>no (valores del xlsx; nombre, litología y dmax verificados en imagen p.4)</t>
        </is>
      </c>
      <c r="BC123" t="inlineStr">
        <is>
          <t>Ref. original: Besio, 2012 | Material en la fuente: «Black marble» (clase ROM/Chancado/Enrocado no indicada) | Datos por ensayo del repositorio Zenodo doi:10.5281/zenodo.3625778 (xlsx v1; ensayo_id = N° de fila); el artículo solo trae la lista de materiales (Fig. 2a) | q calculado = σ1−σ3 | E50 = 27.8 MPa | NO en base Cylwik</t>
        </is>
      </c>
    </row>
    <row r="124">
      <c r="A124" t="inlineStr">
        <is>
          <t>OV2020</t>
        </is>
      </c>
      <c r="B124" t="inlineStr">
        <is>
          <t>2020_Ovalle_Data Compilation from Large ICDTx on Coarse Crushable Rockfill Materials.pdf</t>
        </is>
      </c>
      <c r="C124" t="n">
        <v>2020</v>
      </c>
      <c r="D124" t="inlineStr">
        <is>
          <t>Ovalle, Linero, Dano, Bard, Hicher y Osses (2020), JGGE 146(9) 06020013</t>
        </is>
      </c>
      <c r="E124" t="inlineStr">
        <is>
          <t>IDIEM (Chile), inferido de p.3</t>
        </is>
      </c>
      <c r="F124" t="inlineStr">
        <is>
          <t>Black marble</t>
        </is>
      </c>
      <c r="G124" t="n">
        <v>123</v>
      </c>
      <c r="H124" t="inlineStr">
        <is>
          <t>Marble</t>
        </is>
      </c>
      <c r="I124" t="inlineStr">
        <is>
          <t>Mármol</t>
        </is>
      </c>
      <c r="J124" t="inlineStr">
        <is>
          <t>mármol negro</t>
        </is>
      </c>
      <c r="K124" t="inlineStr"/>
      <c r="L124" t="inlineStr"/>
      <c r="M124" t="inlineStr"/>
      <c r="N124" t="inlineStr"/>
      <c r="O124" t="inlineStr">
        <is>
          <t>CID (compresión triaxial drenada)</t>
        </is>
      </c>
      <c r="P124" t="inlineStr">
        <is>
          <t>no indicado</t>
        </is>
      </c>
      <c r="Q124" t="n">
        <v>1000</v>
      </c>
      <c r="R124" t="inlineStr"/>
      <c r="S124" t="n">
        <v>177.8</v>
      </c>
      <c r="T124" t="inlineStr"/>
      <c r="U124" t="inlineStr"/>
      <c r="V124" t="inlineStr"/>
      <c r="W124" t="inlineStr"/>
      <c r="X124" t="n">
        <v>34.4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0.293</v>
      </c>
      <c r="AG124" t="inlineStr">
        <is>
          <t>informe</t>
        </is>
      </c>
      <c r="AH124" t="inlineStr"/>
      <c r="AI124" t="inlineStr"/>
      <c r="AJ124" t="inlineStr"/>
      <c r="AK124" t="n">
        <v>490</v>
      </c>
      <c r="AL124" t="n">
        <v>2154</v>
      </c>
      <c r="AM124" t="n">
        <v>1664</v>
      </c>
      <c r="AN124" t="inlineStr">
        <is>
          <t>máximo (φmax, σ1 máximo)</t>
        </is>
      </c>
      <c r="AO124" t="n">
        <v>39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Zenodo xlsx; material y dmax en p.4 (Fig. 2a)</t>
        </is>
      </c>
      <c r="BB124" t="inlineStr">
        <is>
          <t>no (valores del xlsx; nombre, litología y dmax verificados en imagen p.4)</t>
        </is>
      </c>
      <c r="BC124" t="inlineStr">
        <is>
          <t>Ref. original: Besio, 2012 | Material en la fuente: «Black marble» (clase ROM/Chancado/Enrocado no indicada) | Datos por ensayo del repositorio Zenodo doi:10.5281/zenodo.3625778 (xlsx v1; ensayo_id = N° de fila); el artículo solo trae la lista de materiales (Fig. 2a) | q calculado = σ1−σ3 | E50 = 27.8 MPa | NO en base Cylwik</t>
        </is>
      </c>
    </row>
    <row r="125">
      <c r="A125" t="inlineStr">
        <is>
          <t>OV2020</t>
        </is>
      </c>
      <c r="B125" t="inlineStr">
        <is>
          <t>2020_Ovalle_Data Compilation from Large ICDTx on Coarse Crushable Rockfill Materials.pdf</t>
        </is>
      </c>
      <c r="C125" t="n">
        <v>2020</v>
      </c>
      <c r="D125" t="inlineStr">
        <is>
          <t>Ovalle, Linero, Dano, Bard, Hicher y Osses (2020), JGGE 146(9) 06020013</t>
        </is>
      </c>
      <c r="E125" t="inlineStr">
        <is>
          <t>IDIEM (Chile), inferido de p.3</t>
        </is>
      </c>
      <c r="F125" t="inlineStr">
        <is>
          <t>Black marble</t>
        </is>
      </c>
      <c r="G125" t="n">
        <v>124</v>
      </c>
      <c r="H125" t="inlineStr">
        <is>
          <t>Marble</t>
        </is>
      </c>
      <c r="I125" t="inlineStr">
        <is>
          <t>Mármol</t>
        </is>
      </c>
      <c r="J125" t="inlineStr">
        <is>
          <t>mármol negro</t>
        </is>
      </c>
      <c r="K125" t="inlineStr"/>
      <c r="L125" t="inlineStr"/>
      <c r="M125" t="inlineStr"/>
      <c r="N125" t="inlineStr"/>
      <c r="O125" t="inlineStr">
        <is>
          <t>CID (compresión triaxial drenada)</t>
        </is>
      </c>
      <c r="P125" t="inlineStr">
        <is>
          <t>no indicado</t>
        </is>
      </c>
      <c r="Q125" t="n">
        <v>1000</v>
      </c>
      <c r="R125" t="inlineStr"/>
      <c r="S125" t="n">
        <v>177.8</v>
      </c>
      <c r="T125" t="inlineStr"/>
      <c r="U125" t="inlineStr"/>
      <c r="V125" t="inlineStr"/>
      <c r="W125" t="inlineStr"/>
      <c r="X125" t="n">
        <v>34.4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0.293</v>
      </c>
      <c r="AG125" t="inlineStr">
        <is>
          <t>informe</t>
        </is>
      </c>
      <c r="AH125" t="inlineStr"/>
      <c r="AI125" t="inlineStr"/>
      <c r="AJ125" t="inlineStr"/>
      <c r="AK125" t="n">
        <v>981</v>
      </c>
      <c r="AL125" t="n">
        <v>3730</v>
      </c>
      <c r="AM125" t="n">
        <v>2749</v>
      </c>
      <c r="AN125" t="inlineStr">
        <is>
          <t>máximo (φmax, σ1 máximo)</t>
        </is>
      </c>
      <c r="AO125" t="n">
        <v>35.7</v>
      </c>
      <c r="AP125" t="inlineStr"/>
      <c r="AQ125" t="inlineStr"/>
      <c r="AR125" t="inlineStr"/>
      <c r="AS125" t="inlineStr"/>
      <c r="AT125" t="inlineStr"/>
      <c r="AU125" t="inlineStr"/>
      <c r="AV125" t="n">
        <v>21</v>
      </c>
      <c r="AW125" t="inlineStr"/>
      <c r="AX125" t="inlineStr"/>
      <c r="AY125" t="inlineStr"/>
      <c r="AZ125" t="inlineStr"/>
      <c r="BA125" t="inlineStr">
        <is>
          <t>Zenodo xlsx; material y dmax en p.4 (Fig. 2a)</t>
        </is>
      </c>
      <c r="BB125" t="inlineStr">
        <is>
          <t>no (valores del xlsx; nombre, litología y dmax verificados en imagen p.4)</t>
        </is>
      </c>
      <c r="BC125" t="inlineStr">
        <is>
          <t>Ref. original: Besio, 2012 | Material en la fuente: «Black marble» (clase ROM/Chancado/Enrocado no indicada) | Datos por ensayo del repositorio Zenodo doi:10.5281/zenodo.3625778 (xlsx v1; ensayo_id = N° de fila); el artículo solo trae la lista de materiales (Fig. 2a) | q calculado = σ1−σ3 | E50 = 38.2 MPa | NO en base Cylwik</t>
        </is>
      </c>
    </row>
    <row r="126">
      <c r="A126" t="inlineStr">
        <is>
          <t>OV2020</t>
        </is>
      </c>
      <c r="B126" t="inlineStr">
        <is>
          <t>2020_Ovalle_Data Compilation from Large ICDTx on Coarse Crushable Rockfill Materials.pdf</t>
        </is>
      </c>
      <c r="C126" t="n">
        <v>2020</v>
      </c>
      <c r="D126" t="inlineStr">
        <is>
          <t>Ovalle, Linero, Dano, Bard, Hicher y Osses (2020), JGGE 146(9) 06020013</t>
        </is>
      </c>
      <c r="E126" t="inlineStr">
        <is>
          <t>IDIEM (Chile), inferido de p.3</t>
        </is>
      </c>
      <c r="F126" t="inlineStr">
        <is>
          <t>Black marble</t>
        </is>
      </c>
      <c r="G126" t="n">
        <v>125</v>
      </c>
      <c r="H126" t="inlineStr">
        <is>
          <t>Marble</t>
        </is>
      </c>
      <c r="I126" t="inlineStr">
        <is>
          <t>Mármol</t>
        </is>
      </c>
      <c r="J126" t="inlineStr">
        <is>
          <t>mármol negro</t>
        </is>
      </c>
      <c r="K126" t="inlineStr"/>
      <c r="L126" t="inlineStr"/>
      <c r="M126" t="inlineStr"/>
      <c r="N126" t="inlineStr"/>
      <c r="O126" t="inlineStr">
        <is>
          <t>CID (compresión triaxial drenada)</t>
        </is>
      </c>
      <c r="P126" t="inlineStr">
        <is>
          <t>no indicado</t>
        </is>
      </c>
      <c r="Q126" t="n">
        <v>1000</v>
      </c>
      <c r="R126" t="inlineStr"/>
      <c r="S126" t="n">
        <v>177.8</v>
      </c>
      <c r="T126" t="inlineStr"/>
      <c r="U126" t="inlineStr"/>
      <c r="V126" t="inlineStr"/>
      <c r="W126" t="inlineStr"/>
      <c r="X126" t="n">
        <v>34.4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0.293</v>
      </c>
      <c r="AG126" t="inlineStr">
        <is>
          <t>informe</t>
        </is>
      </c>
      <c r="AH126" t="inlineStr"/>
      <c r="AI126" t="inlineStr"/>
      <c r="AJ126" t="inlineStr"/>
      <c r="AK126" t="n">
        <v>1961</v>
      </c>
      <c r="AL126" t="n">
        <v>7786</v>
      </c>
      <c r="AM126" t="n">
        <v>5825</v>
      </c>
      <c r="AN126" t="inlineStr">
        <is>
          <t>máximo (φmax, σ1 máximo)</t>
        </is>
      </c>
      <c r="AO126" t="n">
        <v>36.7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Zenodo xlsx; material y dmax en p.4 (Fig. 2a)</t>
        </is>
      </c>
      <c r="BB126" t="inlineStr">
        <is>
          <t>no (valores del xlsx; nombre, litología y dmax verificados en imagen p.4)</t>
        </is>
      </c>
      <c r="BC126" t="inlineStr">
        <is>
          <t>Ref. original: Besio, 2012 | Material en la fuente: «Black marble» (clase ROM/Chancado/Enrocado no indicada) | Datos por ensayo del repositorio Zenodo doi:10.5281/zenodo.3625778 (xlsx v1; ensayo_id = N° de fila); el artículo solo trae la lista de materiales (Fig. 2a) | q calculado = σ1−σ3 | E50 = 73.3 MPa | NO en base Cylwik</t>
        </is>
      </c>
    </row>
    <row r="127">
      <c r="A127" t="inlineStr">
        <is>
          <t>OV2020</t>
        </is>
      </c>
      <c r="B127" t="inlineStr">
        <is>
          <t>2020_Ovalle_Data Compilation from Large ICDTx on Coarse Crushable Rockfill Materials.pdf</t>
        </is>
      </c>
      <c r="C127" t="n">
        <v>2020</v>
      </c>
      <c r="D127" t="inlineStr">
        <is>
          <t>Ovalle, Linero, Dano, Bard, Hicher y Osses (2020), JGGE 146(9) 06020013</t>
        </is>
      </c>
      <c r="E127" t="inlineStr">
        <is>
          <t>IDIEM (Chile), inferido de p.3</t>
        </is>
      </c>
      <c r="F127" t="inlineStr">
        <is>
          <t>Black marble</t>
        </is>
      </c>
      <c r="G127" t="n">
        <v>126</v>
      </c>
      <c r="H127" t="inlineStr">
        <is>
          <t>Marble</t>
        </is>
      </c>
      <c r="I127" t="inlineStr">
        <is>
          <t>Mármol</t>
        </is>
      </c>
      <c r="J127" t="inlineStr">
        <is>
          <t>mármol negro</t>
        </is>
      </c>
      <c r="K127" t="inlineStr"/>
      <c r="L127" t="inlineStr"/>
      <c r="M127" t="inlineStr"/>
      <c r="N127" t="inlineStr"/>
      <c r="O127" t="inlineStr">
        <is>
          <t>CID (compresión triaxial drenada)</t>
        </is>
      </c>
      <c r="P127" t="inlineStr">
        <is>
          <t>no indicado</t>
        </is>
      </c>
      <c r="Q127" t="n">
        <v>1000</v>
      </c>
      <c r="R127" t="inlineStr"/>
      <c r="S127" t="n">
        <v>177.8</v>
      </c>
      <c r="T127" t="inlineStr"/>
      <c r="U127" t="inlineStr"/>
      <c r="V127" t="inlineStr"/>
      <c r="W127" t="inlineStr"/>
      <c r="X127" t="n">
        <v>34.4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0.293</v>
      </c>
      <c r="AG127" t="inlineStr">
        <is>
          <t>informe</t>
        </is>
      </c>
      <c r="AH127" t="inlineStr"/>
      <c r="AI127" t="inlineStr"/>
      <c r="AJ127" t="inlineStr"/>
      <c r="AK127" t="n">
        <v>1961</v>
      </c>
      <c r="AL127" t="n">
        <v>7854</v>
      </c>
      <c r="AM127" t="n">
        <v>5893</v>
      </c>
      <c r="AN127" t="inlineStr">
        <is>
          <t>máximo (φmax, σ1 máximo)</t>
        </is>
      </c>
      <c r="AO127" t="n">
        <v>36.9</v>
      </c>
      <c r="AP127" t="inlineStr"/>
      <c r="AQ127" t="inlineStr"/>
      <c r="AR127" t="inlineStr"/>
      <c r="AS127" t="inlineStr"/>
      <c r="AT127" t="inlineStr"/>
      <c r="AU127" t="inlineStr"/>
      <c r="AV127" t="n">
        <v>25</v>
      </c>
      <c r="AW127" t="inlineStr"/>
      <c r="AX127" t="inlineStr"/>
      <c r="AY127" t="inlineStr"/>
      <c r="AZ127" t="inlineStr"/>
      <c r="BA127" t="inlineStr">
        <is>
          <t>Zenodo xlsx; material y dmax en p.4 (Fig. 2a)</t>
        </is>
      </c>
      <c r="BB127" t="inlineStr">
        <is>
          <t>no (valores del xlsx; nombre, litología y dmax verificados en imagen p.4)</t>
        </is>
      </c>
      <c r="BC127" t="inlineStr">
        <is>
          <t>Ref. original: Besio, 2012 | Material en la fuente: «Black marble» (clase ROM/Chancado/Enrocado no indicada) | Datos por ensayo del repositorio Zenodo doi:10.5281/zenodo.3625778 (xlsx v1; ensayo_id = N° de fila); el artículo solo trae la lista de materiales (Fig. 2a) | q calculado = σ1−σ3 | E50 = 73.3 MPa | NO en base Cylwik</t>
        </is>
      </c>
    </row>
    <row r="128">
      <c r="A128" t="inlineStr">
        <is>
          <t>OV2020</t>
        </is>
      </c>
      <c r="B128" t="inlineStr">
        <is>
          <t>2020_Ovalle_Data Compilation from Large ICDTx on Coarse Crushable Rockfill Materials.pdf</t>
        </is>
      </c>
      <c r="C128" t="n">
        <v>2020</v>
      </c>
      <c r="D128" t="inlineStr">
        <is>
          <t>Ovalle, Linero, Dano, Bard, Hicher y Osses (2020), JGGE 146(9) 06020013</t>
        </is>
      </c>
      <c r="E128" t="inlineStr">
        <is>
          <t>CFE (México), inferido de p.3</t>
        </is>
      </c>
      <c r="F128" t="inlineStr">
        <is>
          <t>El Granero, GSD A, dense</t>
        </is>
      </c>
      <c r="G128" t="n">
        <v>127</v>
      </c>
      <c r="H128" t="inlineStr">
        <is>
          <t>Slate</t>
        </is>
      </c>
      <c r="I128" t="inlineStr">
        <is>
          <t>Pizarra</t>
        </is>
      </c>
      <c r="J128" t="inlineStr"/>
      <c r="K128" t="inlineStr"/>
      <c r="L128" t="inlineStr"/>
      <c r="M128" t="inlineStr"/>
      <c r="N128" t="inlineStr"/>
      <c r="O128" t="inlineStr">
        <is>
          <t>CID (compresión triaxial drenada)</t>
        </is>
      </c>
      <c r="P128" t="inlineStr">
        <is>
          <t>no indicado</t>
        </is>
      </c>
      <c r="Q128" t="n">
        <v>1130</v>
      </c>
      <c r="R128" t="inlineStr"/>
      <c r="S128" t="n">
        <v>200</v>
      </c>
      <c r="T128" t="inlineStr"/>
      <c r="U128" t="inlineStr"/>
      <c r="V128" t="inlineStr"/>
      <c r="W128" t="inlineStr"/>
      <c r="X128" t="n">
        <v>10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0.49</v>
      </c>
      <c r="AG128" t="inlineStr">
        <is>
          <t>informe</t>
        </is>
      </c>
      <c r="AH128" t="inlineStr"/>
      <c r="AI128" t="inlineStr"/>
      <c r="AJ128" t="inlineStr"/>
      <c r="AK128" t="n">
        <v>40</v>
      </c>
      <c r="AL128" t="n">
        <v>364</v>
      </c>
      <c r="AM128" t="n">
        <v>324</v>
      </c>
      <c r="AN128" t="inlineStr">
        <is>
          <t>máximo (φmax, σ1 máximo)</t>
        </is>
      </c>
      <c r="AO128" t="n">
        <v>53.3</v>
      </c>
      <c r="AP128" t="inlineStr"/>
      <c r="AQ128" t="inlineStr"/>
      <c r="AR128" t="inlineStr"/>
      <c r="AS128" t="inlineStr"/>
      <c r="AT128" t="inlineStr"/>
      <c r="AU128" t="inlineStr"/>
      <c r="AV128" t="n">
        <v>7.7</v>
      </c>
      <c r="AW128" t="inlineStr"/>
      <c r="AX128" t="inlineStr"/>
      <c r="AY128" t="inlineStr"/>
      <c r="AZ128" t="inlineStr"/>
      <c r="BA128" t="inlineStr">
        <is>
          <t>Zenodo xlsx; material y dmax en p.4 (Fig. 2a)</t>
        </is>
      </c>
      <c r="BB128" t="inlineStr">
        <is>
          <t>no (valores del xlsx; nombre, litología y dmax verificados en imagen p.4)</t>
        </is>
      </c>
      <c r="BC128" t="inlineStr">
        <is>
          <t>Ref. original: Marsal, 1973 | Material en la fuente: «El Granero, GSD A,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(1973)|M3|425</t>
        </is>
      </c>
    </row>
    <row r="129">
      <c r="A129" t="inlineStr">
        <is>
          <t>OV2020</t>
        </is>
      </c>
      <c r="B129" t="inlineStr">
        <is>
          <t>2020_Ovalle_Data Compilation from Large ICDTx on Coarse Crushable Rockfill Materials.pdf</t>
        </is>
      </c>
      <c r="C129" t="n">
        <v>2020</v>
      </c>
      <c r="D129" t="inlineStr">
        <is>
          <t>Ovalle, Linero, Dano, Bard, Hicher y Osses (2020), JGGE 146(9) 06020013</t>
        </is>
      </c>
      <c r="E129" t="inlineStr">
        <is>
          <t>CFE (México), inferido de p.3</t>
        </is>
      </c>
      <c r="F129" t="inlineStr">
        <is>
          <t>El Granero, GSD A, dense</t>
        </is>
      </c>
      <c r="G129" t="n">
        <v>128</v>
      </c>
      <c r="H129" t="inlineStr">
        <is>
          <t>Slate</t>
        </is>
      </c>
      <c r="I129" t="inlineStr">
        <is>
          <t>Pizarra</t>
        </is>
      </c>
      <c r="J129" t="inlineStr"/>
      <c r="K129" t="inlineStr"/>
      <c r="L129" t="inlineStr"/>
      <c r="M129" t="inlineStr"/>
      <c r="N129" t="inlineStr"/>
      <c r="O129" t="inlineStr">
        <is>
          <t>CID (compresión triaxial drenada)</t>
        </is>
      </c>
      <c r="P129" t="inlineStr">
        <is>
          <t>no indicado</t>
        </is>
      </c>
      <c r="Q129" t="n">
        <v>1130</v>
      </c>
      <c r="R129" t="inlineStr"/>
      <c r="S129" t="n">
        <v>200</v>
      </c>
      <c r="T129" t="inlineStr"/>
      <c r="U129" t="inlineStr"/>
      <c r="V129" t="inlineStr"/>
      <c r="W129" t="inlineStr"/>
      <c r="X129" t="n">
        <v>10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0.49</v>
      </c>
      <c r="AG129" t="inlineStr">
        <is>
          <t>informe</t>
        </is>
      </c>
      <c r="AH129" t="inlineStr"/>
      <c r="AI129" t="inlineStr"/>
      <c r="AJ129" t="inlineStr"/>
      <c r="AK129" t="n">
        <v>90</v>
      </c>
      <c r="AL129" t="n">
        <v>699</v>
      </c>
      <c r="AM129" t="n">
        <v>609</v>
      </c>
      <c r="AN129" t="inlineStr">
        <is>
          <t>máximo (φmax, σ1 máximo)</t>
        </is>
      </c>
      <c r="AO129" t="n">
        <v>50.5</v>
      </c>
      <c r="AP129" t="inlineStr"/>
      <c r="AQ129" t="inlineStr"/>
      <c r="AR129" t="inlineStr"/>
      <c r="AS129" t="inlineStr"/>
      <c r="AT129" t="inlineStr"/>
      <c r="AU129" t="inlineStr"/>
      <c r="AV129" t="n">
        <v>7.1</v>
      </c>
      <c r="AW129" t="inlineStr"/>
      <c r="AX129" t="inlineStr"/>
      <c r="AY129" t="inlineStr"/>
      <c r="AZ129" t="inlineStr"/>
      <c r="BA129" t="inlineStr">
        <is>
          <t>Zenodo xlsx; material y dmax en p.4 (Fig. 2a)</t>
        </is>
      </c>
      <c r="BB129" t="inlineStr">
        <is>
          <t>no (valores del xlsx; nombre, litología y dmax verificados en imagen p.4)</t>
        </is>
      </c>
      <c r="BC129" t="inlineStr">
        <is>
          <t>Ref. original: Marsal, 1973 | Material en la fuente: «El Granero, GSD A, dense» (clase ROM/Chancado/Enrocado no indicada) | Datos por ensayo del repositorio Zenodo doi:10.5281/zenodo.3625778 (xlsx v1; ensayo_id = N° de fila); el artículo solo trae la lista de materiales (Fig. 2a) | q calculado = σ1−σ3 | E50 sin dato | NO en base Cylwik (set M7 de Marsal (1973) no tiene σ3=0.09 MPa)</t>
        </is>
      </c>
    </row>
    <row r="130">
      <c r="A130" t="inlineStr">
        <is>
          <t>OV2020</t>
        </is>
      </c>
      <c r="B130" t="inlineStr">
        <is>
          <t>2020_Ovalle_Data Compilation from Large ICDTx on Coarse Crushable Rockfill Materials.pdf</t>
        </is>
      </c>
      <c r="C130" t="n">
        <v>2020</v>
      </c>
      <c r="D130" t="inlineStr">
        <is>
          <t>Ovalle, Linero, Dano, Bard, Hicher y Osses (2020), JGGE 146(9) 06020013</t>
        </is>
      </c>
      <c r="E130" t="inlineStr">
        <is>
          <t>CFE (México), inferido de p.3</t>
        </is>
      </c>
      <c r="F130" t="inlineStr">
        <is>
          <t>El Granero, GSD A, dense</t>
        </is>
      </c>
      <c r="G130" t="n">
        <v>129</v>
      </c>
      <c r="H130" t="inlineStr">
        <is>
          <t>Slate</t>
        </is>
      </c>
      <c r="I130" t="inlineStr">
        <is>
          <t>Pizarra</t>
        </is>
      </c>
      <c r="J130" t="inlineStr"/>
      <c r="K130" t="inlineStr"/>
      <c r="L130" t="inlineStr"/>
      <c r="M130" t="inlineStr"/>
      <c r="N130" t="inlineStr"/>
      <c r="O130" t="inlineStr">
        <is>
          <t>CID (compresión triaxial drenada)</t>
        </is>
      </c>
      <c r="P130" t="inlineStr">
        <is>
          <t>no indicado</t>
        </is>
      </c>
      <c r="Q130" t="n">
        <v>1130</v>
      </c>
      <c r="R130" t="inlineStr"/>
      <c r="S130" t="n">
        <v>200</v>
      </c>
      <c r="T130" t="inlineStr"/>
      <c r="U130" t="inlineStr"/>
      <c r="V130" t="inlineStr"/>
      <c r="W130" t="inlineStr"/>
      <c r="X130" t="n">
        <v>10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0.49</v>
      </c>
      <c r="AG130" t="inlineStr">
        <is>
          <t>informe</t>
        </is>
      </c>
      <c r="AH130" t="inlineStr"/>
      <c r="AI130" t="inlineStr"/>
      <c r="AJ130" t="inlineStr"/>
      <c r="AK130" t="n">
        <v>157</v>
      </c>
      <c r="AL130" t="n">
        <v>937</v>
      </c>
      <c r="AM130" t="n">
        <v>780</v>
      </c>
      <c r="AN130" t="inlineStr">
        <is>
          <t>máximo (φmax, σ1 máximo)</t>
        </is>
      </c>
      <c r="AO130" t="n">
        <v>45.5</v>
      </c>
      <c r="AP130" t="inlineStr"/>
      <c r="AQ130" t="inlineStr"/>
      <c r="AR130" t="inlineStr"/>
      <c r="AS130" t="inlineStr"/>
      <c r="AT130" t="inlineStr"/>
      <c r="AU130" t="inlineStr"/>
      <c r="AV130" t="n">
        <v>8.4</v>
      </c>
      <c r="AW130" t="inlineStr"/>
      <c r="AX130" t="inlineStr"/>
      <c r="AY130" t="inlineStr"/>
      <c r="AZ130" t="inlineStr"/>
      <c r="BA130" t="inlineStr">
        <is>
          <t>Zenodo xlsx; material y dmax en p.4 (Fig. 2a)</t>
        </is>
      </c>
      <c r="BB130" t="inlineStr">
        <is>
          <t>no (valores del xlsx; nombre, litología y dmax verificados en imagen p.4)</t>
        </is>
      </c>
      <c r="BC130" t="inlineStr">
        <is>
          <t>Ref. original: Marsal, 1973 | Material en la fuente: «El Granero, GSD A,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(1973)|M7|444</t>
        </is>
      </c>
    </row>
    <row r="131">
      <c r="A131" t="inlineStr">
        <is>
          <t>OV2020</t>
        </is>
      </c>
      <c r="B131" t="inlineStr">
        <is>
          <t>2020_Ovalle_Data Compilation from Large ICDTx on Coarse Crushable Rockfill Materials.pdf</t>
        </is>
      </c>
      <c r="C131" t="n">
        <v>2020</v>
      </c>
      <c r="D131" t="inlineStr">
        <is>
          <t>Ovalle, Linero, Dano, Bard, Hicher y Osses (2020), JGGE 146(9) 06020013</t>
        </is>
      </c>
      <c r="E131" t="inlineStr">
        <is>
          <t>CFE (México), inferido de p.3</t>
        </is>
      </c>
      <c r="F131" t="inlineStr">
        <is>
          <t>El Granero, GSD A, dense</t>
        </is>
      </c>
      <c r="G131" t="n">
        <v>130</v>
      </c>
      <c r="H131" t="inlineStr">
        <is>
          <t>Slate</t>
        </is>
      </c>
      <c r="I131" t="inlineStr">
        <is>
          <t>Pizarra</t>
        </is>
      </c>
      <c r="J131" t="inlineStr"/>
      <c r="K131" t="inlineStr"/>
      <c r="L131" t="inlineStr"/>
      <c r="M131" t="inlineStr"/>
      <c r="N131" t="inlineStr"/>
      <c r="O131" t="inlineStr">
        <is>
          <t>CID (compresión triaxial drenada)</t>
        </is>
      </c>
      <c r="P131" t="inlineStr">
        <is>
          <t>no indicado</t>
        </is>
      </c>
      <c r="Q131" t="n">
        <v>1130</v>
      </c>
      <c r="R131" t="inlineStr"/>
      <c r="S131" t="n">
        <v>200</v>
      </c>
      <c r="T131" t="inlineStr"/>
      <c r="U131" t="inlineStr"/>
      <c r="V131" t="inlineStr"/>
      <c r="W131" t="inlineStr"/>
      <c r="X131" t="n">
        <v>10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0.49</v>
      </c>
      <c r="AG131" t="inlineStr">
        <is>
          <t>informe</t>
        </is>
      </c>
      <c r="AH131" t="inlineStr"/>
      <c r="AI131" t="inlineStr"/>
      <c r="AJ131" t="inlineStr"/>
      <c r="AK131" t="n">
        <v>455</v>
      </c>
      <c r="AL131" t="n">
        <v>2161</v>
      </c>
      <c r="AM131" t="n">
        <v>1706</v>
      </c>
      <c r="AN131" t="inlineStr">
        <is>
          <t>máximo (φmax, σ1 máximo)</t>
        </is>
      </c>
      <c r="AO131" t="n">
        <v>40.7</v>
      </c>
      <c r="AP131" t="inlineStr"/>
      <c r="AQ131" t="inlineStr"/>
      <c r="AR131" t="inlineStr"/>
      <c r="AS131" t="inlineStr"/>
      <c r="AT131" t="inlineStr"/>
      <c r="AU131" t="inlineStr"/>
      <c r="AV131" t="n">
        <v>14.5</v>
      </c>
      <c r="AW131" t="inlineStr"/>
      <c r="AX131" t="inlineStr"/>
      <c r="AY131" t="inlineStr"/>
      <c r="AZ131" t="inlineStr"/>
      <c r="BA131" t="inlineStr">
        <is>
          <t>Zenodo xlsx; material y dmax en p.4 (Fig. 2a)</t>
        </is>
      </c>
      <c r="BB131" t="inlineStr">
        <is>
          <t>no (valores del xlsx; nombre, litología y dmax verificados en imagen p.4)</t>
        </is>
      </c>
      <c r="BC131" t="inlineStr">
        <is>
          <t>Ref. original: Marsal, 1973 | Material en la fuente: «El Granero, GSD A,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(1973)|M7|445</t>
        </is>
      </c>
    </row>
    <row r="132">
      <c r="A132" t="inlineStr">
        <is>
          <t>OV2020</t>
        </is>
      </c>
      <c r="B132" t="inlineStr">
        <is>
          <t>2020_Ovalle_Data Compilation from Large ICDTx on Coarse Crushable Rockfill Materials.pdf</t>
        </is>
      </c>
      <c r="C132" t="n">
        <v>2020</v>
      </c>
      <c r="D132" t="inlineStr">
        <is>
          <t>Ovalle, Linero, Dano, Bard, Hicher y Osses (2020), JGGE 146(9) 06020013</t>
        </is>
      </c>
      <c r="E132" t="inlineStr">
        <is>
          <t>CFE (México), inferido de p.3</t>
        </is>
      </c>
      <c r="F132" t="inlineStr">
        <is>
          <t>El Granero, GSD A, dense</t>
        </is>
      </c>
      <c r="G132" t="n">
        <v>131</v>
      </c>
      <c r="H132" t="inlineStr">
        <is>
          <t>Slate</t>
        </is>
      </c>
      <c r="I132" t="inlineStr">
        <is>
          <t>Pizarra</t>
        </is>
      </c>
      <c r="J132" t="inlineStr"/>
      <c r="K132" t="inlineStr"/>
      <c r="L132" t="inlineStr"/>
      <c r="M132" t="inlineStr"/>
      <c r="N132" t="inlineStr"/>
      <c r="O132" t="inlineStr">
        <is>
          <t>CID (compresión triaxial drenada)</t>
        </is>
      </c>
      <c r="P132" t="inlineStr">
        <is>
          <t>no indicado</t>
        </is>
      </c>
      <c r="Q132" t="n">
        <v>1130</v>
      </c>
      <c r="R132" t="inlineStr"/>
      <c r="S132" t="n">
        <v>200</v>
      </c>
      <c r="T132" t="inlineStr"/>
      <c r="U132" t="inlineStr"/>
      <c r="V132" t="inlineStr"/>
      <c r="W132" t="inlineStr"/>
      <c r="X132" t="n">
        <v>10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0.49</v>
      </c>
      <c r="AG132" t="inlineStr">
        <is>
          <t>informe</t>
        </is>
      </c>
      <c r="AH132" t="inlineStr"/>
      <c r="AI132" t="inlineStr"/>
      <c r="AJ132" t="inlineStr"/>
      <c r="AK132" t="n">
        <v>973</v>
      </c>
      <c r="AL132" t="n">
        <v>3590</v>
      </c>
      <c r="AM132" t="n">
        <v>2617</v>
      </c>
      <c r="AN132" t="inlineStr">
        <is>
          <t>máximo (φmax, σ1 máximo)</t>
        </is>
      </c>
      <c r="AO132" t="n">
        <v>35</v>
      </c>
      <c r="AP132" t="inlineStr"/>
      <c r="AQ132" t="inlineStr"/>
      <c r="AR132" t="inlineStr"/>
      <c r="AS132" t="inlineStr"/>
      <c r="AT132" t="inlineStr"/>
      <c r="AU132" t="inlineStr"/>
      <c r="AV132" t="n">
        <v>22.6</v>
      </c>
      <c r="AW132" t="inlineStr"/>
      <c r="AX132" t="inlineStr"/>
      <c r="AY132" t="inlineStr"/>
      <c r="AZ132" t="inlineStr"/>
      <c r="BA132" t="inlineStr">
        <is>
          <t>Zenodo xlsx; material y dmax en p.4 (Fig. 2a)</t>
        </is>
      </c>
      <c r="BB132" t="inlineStr">
        <is>
          <t>no (valores del xlsx; nombre, litología y dmax verificados en imagen p.4)</t>
        </is>
      </c>
      <c r="BC132" t="inlineStr">
        <is>
          <t>Ref. original: Marsal, 1973 | Material en la fuente: «El Granero, GSD A,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(1973)|M7|446</t>
        </is>
      </c>
    </row>
    <row r="133">
      <c r="A133" t="inlineStr">
        <is>
          <t>OV2020</t>
        </is>
      </c>
      <c r="B133" t="inlineStr">
        <is>
          <t>2020_Ovalle_Data Compilation from Large ICDTx on Coarse Crushable Rockfill Materials.pdf</t>
        </is>
      </c>
      <c r="C133" t="n">
        <v>2020</v>
      </c>
      <c r="D133" t="inlineStr">
        <is>
          <t>Ovalle, Linero, Dano, Bard, Hicher y Osses (2020), JGGE 146(9) 06020013</t>
        </is>
      </c>
      <c r="E133" t="inlineStr">
        <is>
          <t>CFE (México), inferido de p.3</t>
        </is>
      </c>
      <c r="F133" t="inlineStr">
        <is>
          <t>El Granero, GSD A, dense</t>
        </is>
      </c>
      <c r="G133" t="n">
        <v>132</v>
      </c>
      <c r="H133" t="inlineStr">
        <is>
          <t>Slate</t>
        </is>
      </c>
      <c r="I133" t="inlineStr">
        <is>
          <t>Pizarra</t>
        </is>
      </c>
      <c r="J133" t="inlineStr"/>
      <c r="K133" t="inlineStr"/>
      <c r="L133" t="inlineStr"/>
      <c r="M133" t="inlineStr"/>
      <c r="N133" t="inlineStr"/>
      <c r="O133" t="inlineStr">
        <is>
          <t>CID (compresión triaxial drenada)</t>
        </is>
      </c>
      <c r="P133" t="inlineStr">
        <is>
          <t>no indicado</t>
        </is>
      </c>
      <c r="Q133" t="n">
        <v>1130</v>
      </c>
      <c r="R133" t="inlineStr"/>
      <c r="S133" t="n">
        <v>200</v>
      </c>
      <c r="T133" t="inlineStr"/>
      <c r="U133" t="inlineStr"/>
      <c r="V133" t="inlineStr"/>
      <c r="W133" t="inlineStr"/>
      <c r="X133" t="n">
        <v>10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0.49</v>
      </c>
      <c r="AG133" t="inlineStr">
        <is>
          <t>informe</t>
        </is>
      </c>
      <c r="AH133" t="inlineStr"/>
      <c r="AI133" t="inlineStr"/>
      <c r="AJ133" t="inlineStr"/>
      <c r="AK133" t="n">
        <v>1660</v>
      </c>
      <c r="AL133" t="n">
        <v>6557</v>
      </c>
      <c r="AM133" t="n">
        <v>4897</v>
      </c>
      <c r="AN133" t="inlineStr">
        <is>
          <t>máximo (φmax, σ1 máximo)</t>
        </is>
      </c>
      <c r="AO133" t="n">
        <v>36.6</v>
      </c>
      <c r="AP133" t="inlineStr"/>
      <c r="AQ133" t="inlineStr"/>
      <c r="AR133" t="inlineStr"/>
      <c r="AS133" t="inlineStr"/>
      <c r="AT133" t="inlineStr"/>
      <c r="AU133" t="inlineStr"/>
      <c r="AV133" t="n">
        <v>27.6</v>
      </c>
      <c r="AW133" t="inlineStr"/>
      <c r="AX133" t="inlineStr"/>
      <c r="AY133" t="inlineStr"/>
      <c r="AZ133" t="inlineStr"/>
      <c r="BA133" t="inlineStr">
        <is>
          <t>Zenodo xlsx; material y dmax en p.4 (Fig. 2a)</t>
        </is>
      </c>
      <c r="BB133" t="inlineStr">
        <is>
          <t>no (valores del xlsx; nombre, litología y dmax verificados en imagen p.4)</t>
        </is>
      </c>
      <c r="BC133" t="inlineStr">
        <is>
          <t>Ref. original: Marsal, 1973 | Material en la fuente: «El Granero, GSD A,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(1973)|M1|396</t>
        </is>
      </c>
    </row>
    <row r="134">
      <c r="A134" t="inlineStr">
        <is>
          <t>OV2020</t>
        </is>
      </c>
      <c r="B134" t="inlineStr">
        <is>
          <t>2020_Ovalle_Data Compilation from Large ICDTx on Coarse Crushable Rockfill Materials.pdf</t>
        </is>
      </c>
      <c r="C134" t="n">
        <v>2020</v>
      </c>
      <c r="D134" t="inlineStr">
        <is>
          <t>Ovalle, Linero, Dano, Bard, Hicher y Osses (2020), JGGE 146(9) 06020013</t>
        </is>
      </c>
      <c r="E134" t="inlineStr">
        <is>
          <t>CFE (México), inferido de p.3</t>
        </is>
      </c>
      <c r="F134" t="inlineStr">
        <is>
          <t>El Granero, GSD B, dense</t>
        </is>
      </c>
      <c r="G134" t="n">
        <v>133</v>
      </c>
      <c r="H134" t="inlineStr">
        <is>
          <t>Slate</t>
        </is>
      </c>
      <c r="I134" t="inlineStr">
        <is>
          <t>Pizarra</t>
        </is>
      </c>
      <c r="J134" t="inlineStr"/>
      <c r="K134" t="inlineStr"/>
      <c r="L134" t="inlineStr"/>
      <c r="M134" t="inlineStr"/>
      <c r="N134" t="inlineStr"/>
      <c r="O134" t="inlineStr">
        <is>
          <t>CID (compresión triaxial drenada)</t>
        </is>
      </c>
      <c r="P134" t="inlineStr">
        <is>
          <t>no indicado</t>
        </is>
      </c>
      <c r="Q134" t="n">
        <v>1130</v>
      </c>
      <c r="R134" t="inlineStr"/>
      <c r="S134" t="n">
        <v>200</v>
      </c>
      <c r="T134" t="inlineStr"/>
      <c r="U134" t="inlineStr"/>
      <c r="V134" t="inlineStr"/>
      <c r="W134" t="inlineStr"/>
      <c r="X134" t="n">
        <v>4.3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0.59</v>
      </c>
      <c r="AG134" t="inlineStr">
        <is>
          <t>informe</t>
        </is>
      </c>
      <c r="AH134" t="inlineStr"/>
      <c r="AI134" t="inlineStr"/>
      <c r="AJ134" t="inlineStr"/>
      <c r="AK134" t="n">
        <v>40</v>
      </c>
      <c r="AL134" t="n">
        <v>318</v>
      </c>
      <c r="AM134" t="n">
        <v>278</v>
      </c>
      <c r="AN134" t="inlineStr">
        <is>
          <t>máximo (φmax, σ1 máximo)</t>
        </is>
      </c>
      <c r="AO134" t="n">
        <v>51</v>
      </c>
      <c r="AP134" t="inlineStr"/>
      <c r="AQ134" t="inlineStr"/>
      <c r="AR134" t="inlineStr"/>
      <c r="AS134" t="inlineStr"/>
      <c r="AT134" t="inlineStr"/>
      <c r="AU134" t="inlineStr"/>
      <c r="AV134" t="n">
        <v>8.199999999999999</v>
      </c>
      <c r="AW134" t="inlineStr"/>
      <c r="AX134" t="inlineStr"/>
      <c r="AY134" t="inlineStr"/>
      <c r="AZ134" t="inlineStr"/>
      <c r="BA134" t="inlineStr">
        <is>
          <t>Zenodo xlsx; material y dmax en p.4 (Fig. 2a)</t>
        </is>
      </c>
      <c r="BB134" t="inlineStr">
        <is>
          <t>no (valores del xlsx; nombre, litología y dmax verificados en imagen p.4)</t>
        </is>
      </c>
      <c r="BC134" t="inlineStr">
        <is>
          <t>Ref. original: Marsal, 1973 | Material en la fuente: «El Granero, GSD B,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et al. (1965)|e|138</t>
        </is>
      </c>
    </row>
    <row r="135">
      <c r="A135" t="inlineStr">
        <is>
          <t>OV2020</t>
        </is>
      </c>
      <c r="B135" t="inlineStr">
        <is>
          <t>2020_Ovalle_Data Compilation from Large ICDTx on Coarse Crushable Rockfill Materials.pdf</t>
        </is>
      </c>
      <c r="C135" t="n">
        <v>2020</v>
      </c>
      <c r="D135" t="inlineStr">
        <is>
          <t>Ovalle, Linero, Dano, Bard, Hicher y Osses (2020), JGGE 146(9) 06020013</t>
        </is>
      </c>
      <c r="E135" t="inlineStr">
        <is>
          <t>CFE (México), inferido de p.3</t>
        </is>
      </c>
      <c r="F135" t="inlineStr">
        <is>
          <t>El Granero, GSD B, dense</t>
        </is>
      </c>
      <c r="G135" t="n">
        <v>134</v>
      </c>
      <c r="H135" t="inlineStr">
        <is>
          <t>Slate</t>
        </is>
      </c>
      <c r="I135" t="inlineStr">
        <is>
          <t>Pizarra</t>
        </is>
      </c>
      <c r="J135" t="inlineStr"/>
      <c r="K135" t="inlineStr"/>
      <c r="L135" t="inlineStr"/>
      <c r="M135" t="inlineStr"/>
      <c r="N135" t="inlineStr"/>
      <c r="O135" t="inlineStr">
        <is>
          <t>CID (compresión triaxial drenada)</t>
        </is>
      </c>
      <c r="P135" t="inlineStr">
        <is>
          <t>no indicado</t>
        </is>
      </c>
      <c r="Q135" t="n">
        <v>1130</v>
      </c>
      <c r="R135" t="inlineStr"/>
      <c r="S135" t="n">
        <v>200</v>
      </c>
      <c r="T135" t="inlineStr"/>
      <c r="U135" t="inlineStr"/>
      <c r="V135" t="inlineStr"/>
      <c r="W135" t="inlineStr"/>
      <c r="X135" t="n">
        <v>4.3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0.59</v>
      </c>
      <c r="AG135" t="inlineStr">
        <is>
          <t>informe</t>
        </is>
      </c>
      <c r="AH135" t="inlineStr"/>
      <c r="AI135" t="inlineStr"/>
      <c r="AJ135" t="inlineStr"/>
      <c r="AK135" t="n">
        <v>90</v>
      </c>
      <c r="AL135" t="n">
        <v>582</v>
      </c>
      <c r="AM135" t="n">
        <v>492</v>
      </c>
      <c r="AN135" t="inlineStr">
        <is>
          <t>máximo (φmax, σ1 máximo)</t>
        </is>
      </c>
      <c r="AO135" t="n">
        <v>47.1</v>
      </c>
      <c r="AP135" t="inlineStr"/>
      <c r="AQ135" t="inlineStr"/>
      <c r="AR135" t="inlineStr"/>
      <c r="AS135" t="inlineStr"/>
      <c r="AT135" t="inlineStr"/>
      <c r="AU135" t="inlineStr"/>
      <c r="AV135" t="n">
        <v>8.800000000000001</v>
      </c>
      <c r="AW135" t="inlineStr"/>
      <c r="AX135" t="inlineStr"/>
      <c r="AY135" t="inlineStr"/>
      <c r="AZ135" t="inlineStr"/>
      <c r="BA135" t="inlineStr">
        <is>
          <t>Zenodo xlsx; material y dmax en p.4 (Fig. 2a)</t>
        </is>
      </c>
      <c r="BB135" t="inlineStr">
        <is>
          <t>no (valores del xlsx; nombre, litología y dmax verificados en imagen p.4)</t>
        </is>
      </c>
      <c r="BC135" t="inlineStr">
        <is>
          <t>Ref. original: Marsal, 1973 | Material en la fuente: «El Granero, GSD B,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et al. (1965)|c|129</t>
        </is>
      </c>
    </row>
    <row r="136">
      <c r="A136" t="inlineStr">
        <is>
          <t>OV2020</t>
        </is>
      </c>
      <c r="B136" t="inlineStr">
        <is>
          <t>2020_Ovalle_Data Compilation from Large ICDTx on Coarse Crushable Rockfill Materials.pdf</t>
        </is>
      </c>
      <c r="C136" t="n">
        <v>2020</v>
      </c>
      <c r="D136" t="inlineStr">
        <is>
          <t>Ovalle, Linero, Dano, Bard, Hicher y Osses (2020), JGGE 146(9) 06020013</t>
        </is>
      </c>
      <c r="E136" t="inlineStr">
        <is>
          <t>CFE (México), inferido de p.3</t>
        </is>
      </c>
      <c r="F136" t="inlineStr">
        <is>
          <t>El Granero, GSD B, dense</t>
        </is>
      </c>
      <c r="G136" t="n">
        <v>135</v>
      </c>
      <c r="H136" t="inlineStr">
        <is>
          <t>Slate</t>
        </is>
      </c>
      <c r="I136" t="inlineStr">
        <is>
          <t>Pizarra</t>
        </is>
      </c>
      <c r="J136" t="inlineStr"/>
      <c r="K136" t="inlineStr"/>
      <c r="L136" t="inlineStr"/>
      <c r="M136" t="inlineStr"/>
      <c r="N136" t="inlineStr"/>
      <c r="O136" t="inlineStr">
        <is>
          <t>CID (compresión triaxial drenada)</t>
        </is>
      </c>
      <c r="P136" t="inlineStr">
        <is>
          <t>no indicado</t>
        </is>
      </c>
      <c r="Q136" t="n">
        <v>1130</v>
      </c>
      <c r="R136" t="inlineStr"/>
      <c r="S136" t="n">
        <v>200</v>
      </c>
      <c r="T136" t="inlineStr"/>
      <c r="U136" t="inlineStr"/>
      <c r="V136" t="inlineStr"/>
      <c r="W136" t="inlineStr"/>
      <c r="X136" t="n">
        <v>4.3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0.59</v>
      </c>
      <c r="AG136" t="inlineStr">
        <is>
          <t>informe</t>
        </is>
      </c>
      <c r="AH136" t="inlineStr"/>
      <c r="AI136" t="inlineStr"/>
      <c r="AJ136" t="inlineStr"/>
      <c r="AK136" t="n">
        <v>168</v>
      </c>
      <c r="AL136" t="n">
        <v>979</v>
      </c>
      <c r="AM136" t="n">
        <v>811</v>
      </c>
      <c r="AN136" t="inlineStr">
        <is>
          <t>máximo (φmax, σ1 máximo)</t>
        </is>
      </c>
      <c r="AO136" t="n">
        <v>45</v>
      </c>
      <c r="AP136" t="inlineStr"/>
      <c r="AQ136" t="inlineStr"/>
      <c r="AR136" t="inlineStr"/>
      <c r="AS136" t="inlineStr"/>
      <c r="AT136" t="inlineStr"/>
      <c r="AU136" t="inlineStr"/>
      <c r="AV136" t="n">
        <v>9.800000000000001</v>
      </c>
      <c r="AW136" t="inlineStr"/>
      <c r="AX136" t="inlineStr"/>
      <c r="AY136" t="inlineStr"/>
      <c r="AZ136" t="inlineStr"/>
      <c r="BA136" t="inlineStr">
        <is>
          <t>Zenodo xlsx; material y dmax en p.4 (Fig. 2a)</t>
        </is>
      </c>
      <c r="BB136" t="inlineStr">
        <is>
          <t>no (valores del xlsx; nombre, litología y dmax verificados en imagen p.4)</t>
        </is>
      </c>
      <c r="BC136" t="inlineStr">
        <is>
          <t>Ref. original: Marsal, 1973 | Material en la fuente: «El Granero, GSD B,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(1973)|M9|455</t>
        </is>
      </c>
    </row>
    <row r="137">
      <c r="A137" t="inlineStr">
        <is>
          <t>OV2020</t>
        </is>
      </c>
      <c r="B137" t="inlineStr">
        <is>
          <t>2020_Ovalle_Data Compilation from Large ICDTx on Coarse Crushable Rockfill Materials.pdf</t>
        </is>
      </c>
      <c r="C137" t="n">
        <v>2020</v>
      </c>
      <c r="D137" t="inlineStr">
        <is>
          <t>Ovalle, Linero, Dano, Bard, Hicher y Osses (2020), JGGE 146(9) 06020013</t>
        </is>
      </c>
      <c r="E137" t="inlineStr">
        <is>
          <t>CFE (México), inferido de p.3</t>
        </is>
      </c>
      <c r="F137" t="inlineStr">
        <is>
          <t>El Granero, GSD B, dense</t>
        </is>
      </c>
      <c r="G137" t="n">
        <v>136</v>
      </c>
      <c r="H137" t="inlineStr">
        <is>
          <t>Slate</t>
        </is>
      </c>
      <c r="I137" t="inlineStr">
        <is>
          <t>Pizarra</t>
        </is>
      </c>
      <c r="J137" t="inlineStr"/>
      <c r="K137" t="inlineStr"/>
      <c r="L137" t="inlineStr"/>
      <c r="M137" t="inlineStr"/>
      <c r="N137" t="inlineStr"/>
      <c r="O137" t="inlineStr">
        <is>
          <t>CID (compresión triaxial drenada)</t>
        </is>
      </c>
      <c r="P137" t="inlineStr">
        <is>
          <t>no indicado</t>
        </is>
      </c>
      <c r="Q137" t="n">
        <v>1130</v>
      </c>
      <c r="R137" t="inlineStr"/>
      <c r="S137" t="n">
        <v>200</v>
      </c>
      <c r="T137" t="inlineStr"/>
      <c r="U137" t="inlineStr"/>
      <c r="V137" t="inlineStr"/>
      <c r="W137" t="inlineStr"/>
      <c r="X137" t="n">
        <v>4.3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0.59</v>
      </c>
      <c r="AG137" t="inlineStr">
        <is>
          <t>informe</t>
        </is>
      </c>
      <c r="AH137" t="inlineStr"/>
      <c r="AI137" t="inlineStr"/>
      <c r="AJ137" t="inlineStr"/>
      <c r="AK137" t="n">
        <v>466</v>
      </c>
      <c r="AL137" t="n">
        <v>2060</v>
      </c>
      <c r="AM137" t="n">
        <v>1594</v>
      </c>
      <c r="AN137" t="inlineStr">
        <is>
          <t>máximo (φmax, σ1 máximo)</t>
        </is>
      </c>
      <c r="AO137" t="n">
        <v>39.1</v>
      </c>
      <c r="AP137" t="inlineStr"/>
      <c r="AQ137" t="inlineStr"/>
      <c r="AR137" t="inlineStr"/>
      <c r="AS137" t="inlineStr"/>
      <c r="AT137" t="inlineStr"/>
      <c r="AU137" t="inlineStr"/>
      <c r="AV137" t="n">
        <v>13.3</v>
      </c>
      <c r="AW137" t="inlineStr"/>
      <c r="AX137" t="inlineStr"/>
      <c r="AY137" t="inlineStr"/>
      <c r="AZ137" t="inlineStr"/>
      <c r="BA137" t="inlineStr">
        <is>
          <t>Zenodo xlsx; material y dmax en p.4 (Fig. 2a)</t>
        </is>
      </c>
      <c r="BB137" t="inlineStr">
        <is>
          <t>no (valores del xlsx; nombre, litología y dmax verificados en imagen p.4)</t>
        </is>
      </c>
      <c r="BC137" t="inlineStr">
        <is>
          <t>Ref. original: Marsal, 1973 | Material en la fuente: «El Granero, GSD B,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(1973)|M2|421</t>
        </is>
      </c>
    </row>
    <row r="138">
      <c r="A138" t="inlineStr">
        <is>
          <t>OV2020</t>
        </is>
      </c>
      <c r="B138" t="inlineStr">
        <is>
          <t>2020_Ovalle_Data Compilation from Large ICDTx on Coarse Crushable Rockfill Materials.pdf</t>
        </is>
      </c>
      <c r="C138" t="n">
        <v>2020</v>
      </c>
      <c r="D138" t="inlineStr">
        <is>
          <t>Ovalle, Linero, Dano, Bard, Hicher y Osses (2020), JGGE 146(9) 06020013</t>
        </is>
      </c>
      <c r="E138" t="inlineStr">
        <is>
          <t>CFE (México), inferido de p.3</t>
        </is>
      </c>
      <c r="F138" t="inlineStr">
        <is>
          <t>El Granero, GSD B, dense</t>
        </is>
      </c>
      <c r="G138" t="n">
        <v>137</v>
      </c>
      <c r="H138" t="inlineStr">
        <is>
          <t>Slate</t>
        </is>
      </c>
      <c r="I138" t="inlineStr">
        <is>
          <t>Pizarra</t>
        </is>
      </c>
      <c r="J138" t="inlineStr"/>
      <c r="K138" t="inlineStr"/>
      <c r="L138" t="inlineStr"/>
      <c r="M138" t="inlineStr"/>
      <c r="N138" t="inlineStr"/>
      <c r="O138" t="inlineStr">
        <is>
          <t>CID (compresión triaxial drenada)</t>
        </is>
      </c>
      <c r="P138" t="inlineStr">
        <is>
          <t>no indicado</t>
        </is>
      </c>
      <c r="Q138" t="n">
        <v>1130</v>
      </c>
      <c r="R138" t="inlineStr"/>
      <c r="S138" t="n">
        <v>200</v>
      </c>
      <c r="T138" t="inlineStr"/>
      <c r="U138" t="inlineStr"/>
      <c r="V138" t="inlineStr"/>
      <c r="W138" t="inlineStr"/>
      <c r="X138" t="n">
        <v>4.3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0.59</v>
      </c>
      <c r="AG138" t="inlineStr">
        <is>
          <t>informe</t>
        </is>
      </c>
      <c r="AH138" t="inlineStr"/>
      <c r="AI138" t="inlineStr"/>
      <c r="AJ138" t="inlineStr"/>
      <c r="AK138" t="n">
        <v>811</v>
      </c>
      <c r="AL138" t="n">
        <v>3341</v>
      </c>
      <c r="AM138" t="n">
        <v>2530</v>
      </c>
      <c r="AN138" t="inlineStr">
        <is>
          <t>máximo (φmax, σ1 máximo)</t>
        </is>
      </c>
      <c r="AO138" t="n">
        <v>37.5</v>
      </c>
      <c r="AP138" t="inlineStr"/>
      <c r="AQ138" t="inlineStr"/>
      <c r="AR138" t="inlineStr"/>
      <c r="AS138" t="inlineStr"/>
      <c r="AT138" t="inlineStr"/>
      <c r="AU138" t="inlineStr"/>
      <c r="AV138" t="n">
        <v>18</v>
      </c>
      <c r="AW138" t="inlineStr"/>
      <c r="AX138" t="inlineStr"/>
      <c r="AY138" t="inlineStr"/>
      <c r="AZ138" t="inlineStr"/>
      <c r="BA138" t="inlineStr">
        <is>
          <t>Zenodo xlsx; material y dmax en p.4 (Fig. 2a)</t>
        </is>
      </c>
      <c r="BB138" t="inlineStr">
        <is>
          <t>no (valores del xlsx; nombre, litología y dmax verificados en imagen p.4)</t>
        </is>
      </c>
      <c r="BC138" t="inlineStr">
        <is>
          <t>Ref. original: Marsal, 1973 | Material en la fuente: «El Granero, GSD B,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(1973)|M9|457</t>
        </is>
      </c>
    </row>
    <row r="139">
      <c r="A139" t="inlineStr">
        <is>
          <t>OV2020</t>
        </is>
      </c>
      <c r="B139" t="inlineStr">
        <is>
          <t>2020_Ovalle_Data Compilation from Large ICDTx on Coarse Crushable Rockfill Materials.pdf</t>
        </is>
      </c>
      <c r="C139" t="n">
        <v>2020</v>
      </c>
      <c r="D139" t="inlineStr">
        <is>
          <t>Ovalle, Linero, Dano, Bard, Hicher y Osses (2020), JGGE 146(9) 06020013</t>
        </is>
      </c>
      <c r="E139" t="inlineStr">
        <is>
          <t>CFE (México), inferido de p.3</t>
        </is>
      </c>
      <c r="F139" t="inlineStr">
        <is>
          <t>El Granero, GSD B, dense</t>
        </is>
      </c>
      <c r="G139" t="n">
        <v>138</v>
      </c>
      <c r="H139" t="inlineStr">
        <is>
          <t>Slate</t>
        </is>
      </c>
      <c r="I139" t="inlineStr">
        <is>
          <t>Pizarra</t>
        </is>
      </c>
      <c r="J139" t="inlineStr"/>
      <c r="K139" t="inlineStr"/>
      <c r="L139" t="inlineStr"/>
      <c r="M139" t="inlineStr"/>
      <c r="N139" t="inlineStr"/>
      <c r="O139" t="inlineStr">
        <is>
          <t>CID (compresión triaxial drenada)</t>
        </is>
      </c>
      <c r="P139" t="inlineStr">
        <is>
          <t>no indicado</t>
        </is>
      </c>
      <c r="Q139" t="n">
        <v>1130</v>
      </c>
      <c r="R139" t="inlineStr"/>
      <c r="S139" t="n">
        <v>200</v>
      </c>
      <c r="T139" t="inlineStr"/>
      <c r="U139" t="inlineStr"/>
      <c r="V139" t="inlineStr"/>
      <c r="W139" t="inlineStr"/>
      <c r="X139" t="n">
        <v>4.3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0.59</v>
      </c>
      <c r="AG139" t="inlineStr">
        <is>
          <t>informe</t>
        </is>
      </c>
      <c r="AH139" t="inlineStr"/>
      <c r="AI139" t="inlineStr"/>
      <c r="AJ139" t="inlineStr"/>
      <c r="AK139" t="n">
        <v>1510</v>
      </c>
      <c r="AL139" t="n">
        <v>5451</v>
      </c>
      <c r="AM139" t="n">
        <v>3941</v>
      </c>
      <c r="AN139" t="inlineStr">
        <is>
          <t>máximo (φmax, σ1 máximo)</t>
        </is>
      </c>
      <c r="AO139" t="n">
        <v>34.5</v>
      </c>
      <c r="AP139" t="inlineStr"/>
      <c r="AQ139" t="inlineStr"/>
      <c r="AR139" t="inlineStr"/>
      <c r="AS139" t="inlineStr"/>
      <c r="AT139" t="inlineStr"/>
      <c r="AU139" t="inlineStr"/>
      <c r="AV139" t="n">
        <v>21.7</v>
      </c>
      <c r="AW139" t="inlineStr"/>
      <c r="AX139" t="inlineStr"/>
      <c r="AY139" t="inlineStr"/>
      <c r="AZ139" t="inlineStr"/>
      <c r="BA139" t="inlineStr">
        <is>
          <t>Zenodo xlsx; material y dmax en p.4 (Fig. 2a)</t>
        </is>
      </c>
      <c r="BB139" t="inlineStr">
        <is>
          <t>no (valores del xlsx; nombre, litología y dmax verificados en imagen p.4)</t>
        </is>
      </c>
      <c r="BC139" t="inlineStr">
        <is>
          <t>Ref. original: Marsal, 1973 | Material en la fuente: «El Granero, GSD B, dense»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(1973)|M9|458</t>
        </is>
      </c>
    </row>
    <row r="140">
      <c r="A140" t="inlineStr">
        <is>
          <t>OV2020</t>
        </is>
      </c>
      <c r="B140" t="inlineStr">
        <is>
          <t>2020_Ovalle_Data Compilation from Large ICDTx on Coarse Crushable Rockfill Materials.pdf</t>
        </is>
      </c>
      <c r="C140" t="n">
        <v>2020</v>
      </c>
      <c r="D140" t="inlineStr">
        <is>
          <t>Ovalle, Linero, Dano, Bard, Hicher y Osses (2020), JGGE 146(9) 06020013</t>
        </is>
      </c>
      <c r="E140" t="inlineStr">
        <is>
          <t>CFE (México), inferido de p.3</t>
        </is>
      </c>
      <c r="F140" t="inlineStr">
        <is>
          <t>El Granero, GSD B, loose</t>
        </is>
      </c>
      <c r="G140" t="n">
        <v>139</v>
      </c>
      <c r="H140" t="inlineStr">
        <is>
          <t>Slate</t>
        </is>
      </c>
      <c r="I140" t="inlineStr">
        <is>
          <t>Pizarra</t>
        </is>
      </c>
      <c r="J140" t="inlineStr"/>
      <c r="K140" t="inlineStr"/>
      <c r="L140" t="inlineStr"/>
      <c r="M140" t="inlineStr"/>
      <c r="N140" t="inlineStr"/>
      <c r="O140" t="inlineStr">
        <is>
          <t>CID (compresión triaxial drenada)</t>
        </is>
      </c>
      <c r="P140" t="inlineStr">
        <is>
          <t>no indicado</t>
        </is>
      </c>
      <c r="Q140" t="n">
        <v>1130</v>
      </c>
      <c r="R140" t="inlineStr"/>
      <c r="S140" t="n">
        <v>200</v>
      </c>
      <c r="T140" t="inlineStr"/>
      <c r="U140" t="inlineStr"/>
      <c r="V140" t="inlineStr"/>
      <c r="W140" t="inlineStr"/>
      <c r="X140" t="n">
        <v>4.3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0.6899999999999999</v>
      </c>
      <c r="AG140" t="inlineStr">
        <is>
          <t>informe</t>
        </is>
      </c>
      <c r="AH140" t="inlineStr"/>
      <c r="AI140" t="inlineStr"/>
      <c r="AJ140" t="inlineStr"/>
      <c r="AK140" t="n">
        <v>71</v>
      </c>
      <c r="AL140" t="n">
        <v>429</v>
      </c>
      <c r="AM140" t="n">
        <v>358</v>
      </c>
      <c r="AN140" t="inlineStr">
        <is>
          <t>máximo (φmax, σ1 máximo)</t>
        </is>
      </c>
      <c r="AO140" t="n">
        <v>45.7</v>
      </c>
      <c r="AP140" t="inlineStr"/>
      <c r="AQ140" t="inlineStr"/>
      <c r="AR140" t="inlineStr"/>
      <c r="AS140" t="inlineStr"/>
      <c r="AT140" t="inlineStr"/>
      <c r="AU140" t="inlineStr"/>
      <c r="AV140" t="n">
        <v>8.9</v>
      </c>
      <c r="AW140" t="inlineStr"/>
      <c r="AX140" t="inlineStr"/>
      <c r="AY140" t="inlineStr"/>
      <c r="AZ140" t="inlineStr"/>
      <c r="BA140" t="inlineStr">
        <is>
          <t>Zenodo xlsx; material y dmax en p.4 (Fig. 2a)</t>
        </is>
      </c>
      <c r="BB140" t="inlineStr">
        <is>
          <t>no (valores del xlsx; nombre, litología y dmax verificados en imagen p.4)</t>
        </is>
      </c>
      <c r="BC140" t="inlineStr">
        <is>
          <t>Ref. original: Marsal, 1973 | Material en la fuente: «El Granero, GSD B,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et al. (1965)|a|123</t>
        </is>
      </c>
    </row>
    <row r="141">
      <c r="A141" t="inlineStr">
        <is>
          <t>OV2020</t>
        </is>
      </c>
      <c r="B141" t="inlineStr">
        <is>
          <t>2020_Ovalle_Data Compilation from Large ICDTx on Coarse Crushable Rockfill Materials.pdf</t>
        </is>
      </c>
      <c r="C141" t="n">
        <v>2020</v>
      </c>
      <c r="D141" t="inlineStr">
        <is>
          <t>Ovalle, Linero, Dano, Bard, Hicher y Osses (2020), JGGE 146(9) 06020013</t>
        </is>
      </c>
      <c r="E141" t="inlineStr">
        <is>
          <t>CFE (México), inferido de p.3</t>
        </is>
      </c>
      <c r="F141" t="inlineStr">
        <is>
          <t>El Granero, GSD B, loose</t>
        </is>
      </c>
      <c r="G141" t="n">
        <v>140</v>
      </c>
      <c r="H141" t="inlineStr">
        <is>
          <t>Slate</t>
        </is>
      </c>
      <c r="I141" t="inlineStr">
        <is>
          <t>Pizarra</t>
        </is>
      </c>
      <c r="J141" t="inlineStr"/>
      <c r="K141" t="inlineStr"/>
      <c r="L141" t="inlineStr"/>
      <c r="M141" t="inlineStr"/>
      <c r="N141" t="inlineStr"/>
      <c r="O141" t="inlineStr">
        <is>
          <t>CID (compresión triaxial drenada)</t>
        </is>
      </c>
      <c r="P141" t="inlineStr">
        <is>
          <t>no indicado</t>
        </is>
      </c>
      <c r="Q141" t="n">
        <v>1130</v>
      </c>
      <c r="R141" t="inlineStr"/>
      <c r="S141" t="n">
        <v>200</v>
      </c>
      <c r="T141" t="inlineStr"/>
      <c r="U141" t="inlineStr"/>
      <c r="V141" t="inlineStr"/>
      <c r="W141" t="inlineStr"/>
      <c r="X141" t="n">
        <v>4.3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0.6899999999999999</v>
      </c>
      <c r="AG141" t="inlineStr">
        <is>
          <t>informe</t>
        </is>
      </c>
      <c r="AH141" t="inlineStr"/>
      <c r="AI141" t="inlineStr"/>
      <c r="AJ141" t="inlineStr"/>
      <c r="AK141" t="n">
        <v>151</v>
      </c>
      <c r="AL141" t="n">
        <v>855</v>
      </c>
      <c r="AM141" t="n">
        <v>704</v>
      </c>
      <c r="AN141" t="inlineStr">
        <is>
          <t>máximo (φmax, σ1 máximo)</t>
        </is>
      </c>
      <c r="AO141" t="n">
        <v>44.4</v>
      </c>
      <c r="AP141" t="inlineStr"/>
      <c r="AQ141" t="inlineStr"/>
      <c r="AR141" t="inlineStr"/>
      <c r="AS141" t="inlineStr"/>
      <c r="AT141" t="inlineStr"/>
      <c r="AU141" t="inlineStr"/>
      <c r="AV141" t="n">
        <v>9.6</v>
      </c>
      <c r="AW141" t="inlineStr"/>
      <c r="AX141" t="inlineStr"/>
      <c r="AY141" t="inlineStr"/>
      <c r="AZ141" t="inlineStr"/>
      <c r="BA141" t="inlineStr">
        <is>
          <t>Zenodo xlsx; material y dmax en p.4 (Fig. 2a)</t>
        </is>
      </c>
      <c r="BB141" t="inlineStr">
        <is>
          <t>no (valores del xlsx; nombre, litología y dmax verificados en imagen p.4)</t>
        </is>
      </c>
      <c r="BC141" t="inlineStr">
        <is>
          <t>Ref. original: Marsal, 1973 | Material en la fuente: «El Granero, GSD B,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(1973)|M10|399</t>
        </is>
      </c>
    </row>
    <row r="142">
      <c r="A142" t="inlineStr">
        <is>
          <t>OV2020</t>
        </is>
      </c>
      <c r="B142" t="inlineStr">
        <is>
          <t>2020_Ovalle_Data Compilation from Large ICDTx on Coarse Crushable Rockfill Materials.pdf</t>
        </is>
      </c>
      <c r="C142" t="n">
        <v>2020</v>
      </c>
      <c r="D142" t="inlineStr">
        <is>
          <t>Ovalle, Linero, Dano, Bard, Hicher y Osses (2020), JGGE 146(9) 06020013</t>
        </is>
      </c>
      <c r="E142" t="inlineStr">
        <is>
          <t>CFE (México), inferido de p.3</t>
        </is>
      </c>
      <c r="F142" t="inlineStr">
        <is>
          <t>El Granero, GSD B, loose</t>
        </is>
      </c>
      <c r="G142" t="n">
        <v>141</v>
      </c>
      <c r="H142" t="inlineStr">
        <is>
          <t>Slate</t>
        </is>
      </c>
      <c r="I142" t="inlineStr">
        <is>
          <t>Pizarra</t>
        </is>
      </c>
      <c r="J142" t="inlineStr"/>
      <c r="K142" t="inlineStr"/>
      <c r="L142" t="inlineStr"/>
      <c r="M142" t="inlineStr"/>
      <c r="N142" t="inlineStr"/>
      <c r="O142" t="inlineStr">
        <is>
          <t>CID (compresión triaxial drenada)</t>
        </is>
      </c>
      <c r="P142" t="inlineStr">
        <is>
          <t>no indicado</t>
        </is>
      </c>
      <c r="Q142" t="n">
        <v>1130</v>
      </c>
      <c r="R142" t="inlineStr"/>
      <c r="S142" t="n">
        <v>200</v>
      </c>
      <c r="T142" t="inlineStr"/>
      <c r="U142" t="inlineStr"/>
      <c r="V142" t="inlineStr"/>
      <c r="W142" t="inlineStr"/>
      <c r="X142" t="n">
        <v>4.3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0.6899999999999999</v>
      </c>
      <c r="AG142" t="inlineStr">
        <is>
          <t>informe</t>
        </is>
      </c>
      <c r="AH142" t="inlineStr"/>
      <c r="AI142" t="inlineStr"/>
      <c r="AJ142" t="inlineStr"/>
      <c r="AK142" t="n">
        <v>465</v>
      </c>
      <c r="AL142" t="n">
        <v>1953</v>
      </c>
      <c r="AM142" t="n">
        <v>1488</v>
      </c>
      <c r="AN142" t="inlineStr">
        <is>
          <t>máximo (φmax, σ1 máximo)</t>
        </is>
      </c>
      <c r="AO142" t="n">
        <v>38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Zenodo xlsx; material y dmax en p.4 (Fig. 2a)</t>
        </is>
      </c>
      <c r="BB142" t="inlineStr">
        <is>
          <t>no (valores del xlsx; nombre, litología y dmax verificados en imagen p.4)</t>
        </is>
      </c>
      <c r="BC142" t="inlineStr">
        <is>
          <t>Ref. original: Marsal, 1973 | Material en la fuente: «El Granero, GSD B,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(1973)|M10|400</t>
        </is>
      </c>
    </row>
    <row r="143">
      <c r="A143" t="inlineStr">
        <is>
          <t>OV2020</t>
        </is>
      </c>
      <c r="B143" t="inlineStr">
        <is>
          <t>2020_Ovalle_Data Compilation from Large ICDTx on Coarse Crushable Rockfill Materials.pdf</t>
        </is>
      </c>
      <c r="C143" t="n">
        <v>2020</v>
      </c>
      <c r="D143" t="inlineStr">
        <is>
          <t>Ovalle, Linero, Dano, Bard, Hicher y Osses (2020), JGGE 146(9) 06020013</t>
        </is>
      </c>
      <c r="E143" t="inlineStr">
        <is>
          <t>CFE (México), inferido de p.3</t>
        </is>
      </c>
      <c r="F143" t="inlineStr">
        <is>
          <t>El Granero, GSD B, loose</t>
        </is>
      </c>
      <c r="G143" t="n">
        <v>142</v>
      </c>
      <c r="H143" t="inlineStr">
        <is>
          <t>Slate</t>
        </is>
      </c>
      <c r="I143" t="inlineStr">
        <is>
          <t>Pizarra</t>
        </is>
      </c>
      <c r="J143" t="inlineStr"/>
      <c r="K143" t="inlineStr"/>
      <c r="L143" t="inlineStr"/>
      <c r="M143" t="inlineStr"/>
      <c r="N143" t="inlineStr"/>
      <c r="O143" t="inlineStr">
        <is>
          <t>CID (compresión triaxial drenada)</t>
        </is>
      </c>
      <c r="P143" t="inlineStr">
        <is>
          <t>no indicado</t>
        </is>
      </c>
      <c r="Q143" t="n">
        <v>1130</v>
      </c>
      <c r="R143" t="inlineStr"/>
      <c r="S143" t="n">
        <v>200</v>
      </c>
      <c r="T143" t="inlineStr"/>
      <c r="U143" t="inlineStr"/>
      <c r="V143" t="inlineStr"/>
      <c r="W143" t="inlineStr"/>
      <c r="X143" t="n">
        <v>4.3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0.6899999999999999</v>
      </c>
      <c r="AG143" t="inlineStr">
        <is>
          <t>informe</t>
        </is>
      </c>
      <c r="AH143" t="inlineStr"/>
      <c r="AI143" t="inlineStr"/>
      <c r="AJ143" t="inlineStr"/>
      <c r="AK143" t="n">
        <v>824</v>
      </c>
      <c r="AL143" t="n">
        <v>3024</v>
      </c>
      <c r="AM143" t="n">
        <v>2200</v>
      </c>
      <c r="AN143" t="inlineStr">
        <is>
          <t>máximo (φmax, σ1 máximo)</t>
        </is>
      </c>
      <c r="AO143" t="n">
        <v>34.9</v>
      </c>
      <c r="AP143" t="inlineStr"/>
      <c r="AQ143" t="inlineStr"/>
      <c r="AR143" t="inlineStr"/>
      <c r="AS143" t="inlineStr"/>
      <c r="AT143" t="inlineStr"/>
      <c r="AU143" t="inlineStr"/>
      <c r="AV143" t="n">
        <v>17.8</v>
      </c>
      <c r="AW143" t="inlineStr"/>
      <c r="AX143" t="inlineStr"/>
      <c r="AY143" t="inlineStr"/>
      <c r="AZ143" t="inlineStr"/>
      <c r="BA143" t="inlineStr">
        <is>
          <t>Zenodo xlsx; material y dmax en p.4 (Fig. 2a)</t>
        </is>
      </c>
      <c r="BB143" t="inlineStr">
        <is>
          <t>no (valores del xlsx; nombre, litología y dmax verificados en imagen p.4)</t>
        </is>
      </c>
      <c r="BC143" t="inlineStr">
        <is>
          <t>Ref. original: Marsal, 1973 | Material en la fuente: «El Granero, GSD B,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(1973)|M10|401</t>
        </is>
      </c>
    </row>
    <row r="144">
      <c r="A144" t="inlineStr">
        <is>
          <t>OV2020</t>
        </is>
      </c>
      <c r="B144" t="inlineStr">
        <is>
          <t>2020_Ovalle_Data Compilation from Large ICDTx on Coarse Crushable Rockfill Materials.pdf</t>
        </is>
      </c>
      <c r="C144" t="n">
        <v>2020</v>
      </c>
      <c r="D144" t="inlineStr">
        <is>
          <t>Ovalle, Linero, Dano, Bard, Hicher y Osses (2020), JGGE 146(9) 06020013</t>
        </is>
      </c>
      <c r="E144" t="inlineStr">
        <is>
          <t>CFE (México), inferido de p.3</t>
        </is>
      </c>
      <c r="F144" t="inlineStr">
        <is>
          <t>El Granero, GSD B, loose</t>
        </is>
      </c>
      <c r="G144" t="n">
        <v>143</v>
      </c>
      <c r="H144" t="inlineStr">
        <is>
          <t>Slate</t>
        </is>
      </c>
      <c r="I144" t="inlineStr">
        <is>
          <t>Pizarra</t>
        </is>
      </c>
      <c r="J144" t="inlineStr"/>
      <c r="K144" t="inlineStr"/>
      <c r="L144" t="inlineStr"/>
      <c r="M144" t="inlineStr"/>
      <c r="N144" t="inlineStr"/>
      <c r="O144" t="inlineStr">
        <is>
          <t>CID (compresión triaxial drenada)</t>
        </is>
      </c>
      <c r="P144" t="inlineStr">
        <is>
          <t>no indicado</t>
        </is>
      </c>
      <c r="Q144" t="n">
        <v>1130</v>
      </c>
      <c r="R144" t="inlineStr"/>
      <c r="S144" t="n">
        <v>200</v>
      </c>
      <c r="T144" t="inlineStr"/>
      <c r="U144" t="inlineStr"/>
      <c r="V144" t="inlineStr"/>
      <c r="W144" t="inlineStr"/>
      <c r="X144" t="n">
        <v>4.3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0.6899999999999999</v>
      </c>
      <c r="AG144" t="inlineStr">
        <is>
          <t>informe</t>
        </is>
      </c>
      <c r="AH144" t="inlineStr"/>
      <c r="AI144" t="inlineStr"/>
      <c r="AJ144" t="inlineStr"/>
      <c r="AK144" t="n">
        <v>1510</v>
      </c>
      <c r="AL144" t="n">
        <v>4923</v>
      </c>
      <c r="AM144" t="n">
        <v>3413</v>
      </c>
      <c r="AN144" t="inlineStr">
        <is>
          <t>máximo (φmax, σ1 máximo)</t>
        </is>
      </c>
      <c r="AO144" t="n">
        <v>32</v>
      </c>
      <c r="AP144" t="inlineStr"/>
      <c r="AQ144" t="inlineStr"/>
      <c r="AR144" t="inlineStr"/>
      <c r="AS144" t="inlineStr"/>
      <c r="AT144" t="inlineStr"/>
      <c r="AU144" t="inlineStr"/>
      <c r="AV144" t="n">
        <v>25.1</v>
      </c>
      <c r="AW144" t="inlineStr"/>
      <c r="AX144" t="inlineStr"/>
      <c r="AY144" t="inlineStr"/>
      <c r="AZ144" t="inlineStr"/>
      <c r="BA144" t="inlineStr">
        <is>
          <t>Zenodo xlsx; material y dmax en p.4 (Fig. 2a)</t>
        </is>
      </c>
      <c r="BB144" t="inlineStr">
        <is>
          <t>no (valores del xlsx; nombre, litología y dmax verificados en imagen p.4)</t>
        </is>
      </c>
      <c r="BC144" t="inlineStr">
        <is>
          <t>Ref. original: Marsal, 1973 | Material en la fuente: «El Granero, GSD B,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(1973)|M10|402</t>
        </is>
      </c>
    </row>
    <row r="145">
      <c r="A145" t="inlineStr">
        <is>
          <t>OV2020</t>
        </is>
      </c>
      <c r="B145" t="inlineStr">
        <is>
          <t>2020_Ovalle_Data Compilation from Large ICDTx on Coarse Crushable Rockfill Materials.pdf</t>
        </is>
      </c>
      <c r="C145" t="n">
        <v>2020</v>
      </c>
      <c r="D145" t="inlineStr">
        <is>
          <t>Ovalle, Linero, Dano, Bard, Hicher y Osses (2020), JGGE 146(9) 06020013</t>
        </is>
      </c>
      <c r="E145" t="inlineStr">
        <is>
          <t>CFE (México), inferido de p.3</t>
        </is>
      </c>
      <c r="F145" t="inlineStr">
        <is>
          <t>El Granero, GSD A, loose</t>
        </is>
      </c>
      <c r="G145" t="n">
        <v>144</v>
      </c>
      <c r="H145" t="inlineStr">
        <is>
          <t>Slate</t>
        </is>
      </c>
      <c r="I145" t="inlineStr">
        <is>
          <t>Pizarra</t>
        </is>
      </c>
      <c r="J145" t="inlineStr"/>
      <c r="K145" t="inlineStr"/>
      <c r="L145" t="inlineStr"/>
      <c r="M145" t="inlineStr"/>
      <c r="N145" t="inlineStr"/>
      <c r="O145" t="inlineStr">
        <is>
          <t>CID (compresión triaxial drenada)</t>
        </is>
      </c>
      <c r="P145" t="inlineStr">
        <is>
          <t>no indicado</t>
        </is>
      </c>
      <c r="Q145" t="n">
        <v>1130</v>
      </c>
      <c r="R145" t="inlineStr"/>
      <c r="S145" t="n">
        <v>200</v>
      </c>
      <c r="T145" t="inlineStr"/>
      <c r="U145" t="inlineStr"/>
      <c r="V145" t="inlineStr"/>
      <c r="W145" t="inlineStr"/>
      <c r="X145" t="n">
        <v>10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0.7</v>
      </c>
      <c r="AG145" t="inlineStr">
        <is>
          <t>informe</t>
        </is>
      </c>
      <c r="AH145" t="inlineStr"/>
      <c r="AI145" t="inlineStr"/>
      <c r="AJ145" t="inlineStr"/>
      <c r="AK145" t="n">
        <v>90</v>
      </c>
      <c r="AL145" t="n">
        <v>575</v>
      </c>
      <c r="AM145" t="n">
        <v>485</v>
      </c>
      <c r="AN145" t="inlineStr">
        <is>
          <t>máximo (φmax, σ1 máximo)</t>
        </is>
      </c>
      <c r="AO145" t="n">
        <v>46.8</v>
      </c>
      <c r="AP145" t="inlineStr"/>
      <c r="AQ145" t="inlineStr"/>
      <c r="AR145" t="inlineStr"/>
      <c r="AS145" t="inlineStr"/>
      <c r="AT145" t="inlineStr"/>
      <c r="AU145" t="inlineStr"/>
      <c r="AV145" t="n">
        <v>7.1</v>
      </c>
      <c r="AW145" t="inlineStr"/>
      <c r="AX145" t="inlineStr"/>
      <c r="AY145" t="inlineStr"/>
      <c r="AZ145" t="inlineStr"/>
      <c r="BA145" t="inlineStr">
        <is>
          <t>Zenodo xlsx; material y dmax en p.4 (Fig. 2a)</t>
        </is>
      </c>
      <c r="BB145" t="inlineStr">
        <is>
          <t>no (valores del xlsx; nombre, litología y dmax verificados en imagen p.4)</t>
        </is>
      </c>
      <c r="BC145" t="inlineStr">
        <is>
          <t>Ref. original: Marsal, 1973 | Material en la fuente: «El Granero, GSD A,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et al. (1965)|c|129</t>
        </is>
      </c>
    </row>
    <row r="146">
      <c r="A146" t="inlineStr">
        <is>
          <t>OV2020</t>
        </is>
      </c>
      <c r="B146" t="inlineStr">
        <is>
          <t>2020_Ovalle_Data Compilation from Large ICDTx on Coarse Crushable Rockfill Materials.pdf</t>
        </is>
      </c>
      <c r="C146" t="n">
        <v>2020</v>
      </c>
      <c r="D146" t="inlineStr">
        <is>
          <t>Ovalle, Linero, Dano, Bard, Hicher y Osses (2020), JGGE 146(9) 06020013</t>
        </is>
      </c>
      <c r="E146" t="inlineStr">
        <is>
          <t>CFE (México), inferido de p.3</t>
        </is>
      </c>
      <c r="F146" t="inlineStr">
        <is>
          <t>El Granero, GSD A, loose</t>
        </is>
      </c>
      <c r="G146" t="n">
        <v>145</v>
      </c>
      <c r="H146" t="inlineStr">
        <is>
          <t>Slate</t>
        </is>
      </c>
      <c r="I146" t="inlineStr">
        <is>
          <t>Pizarra</t>
        </is>
      </c>
      <c r="J146" t="inlineStr"/>
      <c r="K146" t="inlineStr"/>
      <c r="L146" t="inlineStr"/>
      <c r="M146" t="inlineStr"/>
      <c r="N146" t="inlineStr"/>
      <c r="O146" t="inlineStr">
        <is>
          <t>CID (compresión triaxial drenada)</t>
        </is>
      </c>
      <c r="P146" t="inlineStr">
        <is>
          <t>no indicado</t>
        </is>
      </c>
      <c r="Q146" t="n">
        <v>1130</v>
      </c>
      <c r="R146" t="inlineStr"/>
      <c r="S146" t="n">
        <v>200</v>
      </c>
      <c r="T146" t="inlineStr"/>
      <c r="U146" t="inlineStr"/>
      <c r="V146" t="inlineStr"/>
      <c r="W146" t="inlineStr"/>
      <c r="X146" t="n">
        <v>10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0.7</v>
      </c>
      <c r="AG146" t="inlineStr">
        <is>
          <t>informe</t>
        </is>
      </c>
      <c r="AH146" t="inlineStr"/>
      <c r="AI146" t="inlineStr"/>
      <c r="AJ146" t="inlineStr"/>
      <c r="AK146" t="n">
        <v>162</v>
      </c>
      <c r="AL146" t="n">
        <v>820</v>
      </c>
      <c r="AM146" t="n">
        <v>658</v>
      </c>
      <c r="AN146" t="inlineStr">
        <is>
          <t>máximo (φmax, σ1 máximo)</t>
        </is>
      </c>
      <c r="AO146" t="n">
        <v>42.1</v>
      </c>
      <c r="AP146" t="inlineStr"/>
      <c r="AQ146" t="inlineStr"/>
      <c r="AR146" t="inlineStr"/>
      <c r="AS146" t="inlineStr"/>
      <c r="AT146" t="inlineStr"/>
      <c r="AU146" t="inlineStr"/>
      <c r="AV146" t="n">
        <v>9.9</v>
      </c>
      <c r="AW146" t="inlineStr"/>
      <c r="AX146" t="inlineStr"/>
      <c r="AY146" t="inlineStr"/>
      <c r="AZ146" t="inlineStr"/>
      <c r="BA146" t="inlineStr">
        <is>
          <t>Zenodo xlsx; material y dmax en p.4 (Fig. 2a)</t>
        </is>
      </c>
      <c r="BB146" t="inlineStr">
        <is>
          <t>no (valores del xlsx; nombre, litología y dmax verificados en imagen p.4)</t>
        </is>
      </c>
      <c r="BC146" t="inlineStr">
        <is>
          <t>Ref. original: Marsal, 1973 | Material en la fuente: «El Granero, GSD A,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(1973)|M8|450</t>
        </is>
      </c>
    </row>
    <row r="147">
      <c r="A147" t="inlineStr">
        <is>
          <t>OV2020</t>
        </is>
      </c>
      <c r="B147" t="inlineStr">
        <is>
          <t>2020_Ovalle_Data Compilation from Large ICDTx on Coarse Crushable Rockfill Materials.pdf</t>
        </is>
      </c>
      <c r="C147" t="n">
        <v>2020</v>
      </c>
      <c r="D147" t="inlineStr">
        <is>
          <t>Ovalle, Linero, Dano, Bard, Hicher y Osses (2020), JGGE 146(9) 06020013</t>
        </is>
      </c>
      <c r="E147" t="inlineStr">
        <is>
          <t>CFE (México), inferido de p.3</t>
        </is>
      </c>
      <c r="F147" t="inlineStr">
        <is>
          <t>El Granero, GSD A, loose</t>
        </is>
      </c>
      <c r="G147" t="n">
        <v>146</v>
      </c>
      <c r="H147" t="inlineStr">
        <is>
          <t>Slate</t>
        </is>
      </c>
      <c r="I147" t="inlineStr">
        <is>
          <t>Pizarra</t>
        </is>
      </c>
      <c r="J147" t="inlineStr"/>
      <c r="K147" t="inlineStr"/>
      <c r="L147" t="inlineStr"/>
      <c r="M147" t="inlineStr"/>
      <c r="N147" t="inlineStr"/>
      <c r="O147" t="inlineStr">
        <is>
          <t>CID (compresión triaxial drenada)</t>
        </is>
      </c>
      <c r="P147" t="inlineStr">
        <is>
          <t>no indicado</t>
        </is>
      </c>
      <c r="Q147" t="n">
        <v>1130</v>
      </c>
      <c r="R147" t="inlineStr"/>
      <c r="S147" t="n">
        <v>200</v>
      </c>
      <c r="T147" t="inlineStr"/>
      <c r="U147" t="inlineStr"/>
      <c r="V147" t="inlineStr"/>
      <c r="W147" t="inlineStr"/>
      <c r="X147" t="n">
        <v>10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0.7</v>
      </c>
      <c r="AG147" t="inlineStr">
        <is>
          <t>informe</t>
        </is>
      </c>
      <c r="AH147" t="inlineStr"/>
      <c r="AI147" t="inlineStr"/>
      <c r="AJ147" t="inlineStr"/>
      <c r="AK147" t="n">
        <v>462</v>
      </c>
      <c r="AL147" t="n">
        <v>1820</v>
      </c>
      <c r="AM147" t="n">
        <v>1358</v>
      </c>
      <c r="AN147" t="inlineStr">
        <is>
          <t>máximo (φmax, σ1 máximo)</t>
        </is>
      </c>
      <c r="AO147" t="n">
        <v>36.5</v>
      </c>
      <c r="AP147" t="inlineStr"/>
      <c r="AQ147" t="inlineStr"/>
      <c r="AR147" t="inlineStr"/>
      <c r="AS147" t="inlineStr"/>
      <c r="AT147" t="inlineStr"/>
      <c r="AU147" t="inlineStr"/>
      <c r="AV147" t="n">
        <v>13.7</v>
      </c>
      <c r="AW147" t="inlineStr"/>
      <c r="AX147" t="inlineStr"/>
      <c r="AY147" t="inlineStr"/>
      <c r="AZ147" t="inlineStr"/>
      <c r="BA147" t="inlineStr">
        <is>
          <t>Zenodo xlsx; material y dmax en p.4 (Fig. 2a)</t>
        </is>
      </c>
      <c r="BB147" t="inlineStr">
        <is>
          <t>no (valores del xlsx; nombre, litología y dmax verificados en imagen p.4)</t>
        </is>
      </c>
      <c r="BC147" t="inlineStr">
        <is>
          <t>Ref. original: Marsal, 1973 | Material en la fuente: «El Granero, GSD A,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(1973)|M11|403</t>
        </is>
      </c>
    </row>
    <row r="148">
      <c r="A148" t="inlineStr">
        <is>
          <t>OV2020</t>
        </is>
      </c>
      <c r="B148" t="inlineStr">
        <is>
          <t>2020_Ovalle_Data Compilation from Large ICDTx on Coarse Crushable Rockfill Materials.pdf</t>
        </is>
      </c>
      <c r="C148" t="n">
        <v>2020</v>
      </c>
      <c r="D148" t="inlineStr">
        <is>
          <t>Ovalle, Linero, Dano, Bard, Hicher y Osses (2020), JGGE 146(9) 06020013</t>
        </is>
      </c>
      <c r="E148" t="inlineStr">
        <is>
          <t>CFE (México), inferido de p.3</t>
        </is>
      </c>
      <c r="F148" t="inlineStr">
        <is>
          <t>El Granero, GSD A, loose</t>
        </is>
      </c>
      <c r="G148" t="n">
        <v>147</v>
      </c>
      <c r="H148" t="inlineStr">
        <is>
          <t>Slate</t>
        </is>
      </c>
      <c r="I148" t="inlineStr">
        <is>
          <t>Pizarra</t>
        </is>
      </c>
      <c r="J148" t="inlineStr"/>
      <c r="K148" t="inlineStr"/>
      <c r="L148" t="inlineStr"/>
      <c r="M148" t="inlineStr"/>
      <c r="N148" t="inlineStr"/>
      <c r="O148" t="inlineStr">
        <is>
          <t>CID (compresión triaxial drenada)</t>
        </is>
      </c>
      <c r="P148" t="inlineStr">
        <is>
          <t>no indicado</t>
        </is>
      </c>
      <c r="Q148" t="n">
        <v>1130</v>
      </c>
      <c r="R148" t="inlineStr"/>
      <c r="S148" t="n">
        <v>200</v>
      </c>
      <c r="T148" t="inlineStr"/>
      <c r="U148" t="inlineStr"/>
      <c r="V148" t="inlineStr"/>
      <c r="W148" t="inlineStr"/>
      <c r="X148" t="n">
        <v>10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0.7</v>
      </c>
      <c r="AG148" t="inlineStr">
        <is>
          <t>informe</t>
        </is>
      </c>
      <c r="AH148" t="inlineStr"/>
      <c r="AI148" t="inlineStr"/>
      <c r="AJ148" t="inlineStr"/>
      <c r="AK148" t="n">
        <v>955</v>
      </c>
      <c r="AL148" t="n">
        <v>3075</v>
      </c>
      <c r="AM148" t="n">
        <v>2120</v>
      </c>
      <c r="AN148" t="inlineStr">
        <is>
          <t>máximo (φmax, σ1 máximo)</t>
        </is>
      </c>
      <c r="AO148" t="n">
        <v>31.7</v>
      </c>
      <c r="AP148" t="inlineStr"/>
      <c r="AQ148" t="inlineStr"/>
      <c r="AR148" t="inlineStr"/>
      <c r="AS148" t="inlineStr"/>
      <c r="AT148" t="inlineStr"/>
      <c r="AU148" t="inlineStr"/>
      <c r="AV148" t="n">
        <v>16.2</v>
      </c>
      <c r="AW148" t="inlineStr"/>
      <c r="AX148" t="inlineStr"/>
      <c r="AY148" t="inlineStr"/>
      <c r="AZ148" t="inlineStr"/>
      <c r="BA148" t="inlineStr">
        <is>
          <t>Zenodo xlsx; material y dmax en p.4 (Fig. 2a)</t>
        </is>
      </c>
      <c r="BB148" t="inlineStr">
        <is>
          <t>no (valores del xlsx; nombre, litología y dmax verificados en imagen p.4)</t>
        </is>
      </c>
      <c r="BC148" t="inlineStr">
        <is>
          <t>Ref. original: Marsal, 1973 | Material en la fuente: «El Granero, GSD A,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(1973)|M8|452</t>
        </is>
      </c>
    </row>
    <row r="149">
      <c r="A149" t="inlineStr">
        <is>
          <t>OV2020</t>
        </is>
      </c>
      <c r="B149" t="inlineStr">
        <is>
          <t>2020_Ovalle_Data Compilation from Large ICDTx on Coarse Crushable Rockfill Materials.pdf</t>
        </is>
      </c>
      <c r="C149" t="n">
        <v>2020</v>
      </c>
      <c r="D149" t="inlineStr">
        <is>
          <t>Ovalle, Linero, Dano, Bard, Hicher y Osses (2020), JGGE 146(9) 06020013</t>
        </is>
      </c>
      <c r="E149" t="inlineStr">
        <is>
          <t>CFE (México), inferido de p.3</t>
        </is>
      </c>
      <c r="F149" t="inlineStr">
        <is>
          <t>El Granero, GSD A, loose</t>
        </is>
      </c>
      <c r="G149" t="n">
        <v>148</v>
      </c>
      <c r="H149" t="inlineStr">
        <is>
          <t>Slate</t>
        </is>
      </c>
      <c r="I149" t="inlineStr">
        <is>
          <t>Pizarra</t>
        </is>
      </c>
      <c r="J149" t="inlineStr"/>
      <c r="K149" t="inlineStr"/>
      <c r="L149" t="inlineStr"/>
      <c r="M149" t="inlineStr"/>
      <c r="N149" t="inlineStr"/>
      <c r="O149" t="inlineStr">
        <is>
          <t>CID (compresión triaxial drenada)</t>
        </is>
      </c>
      <c r="P149" t="inlineStr">
        <is>
          <t>no indicado</t>
        </is>
      </c>
      <c r="Q149" t="n">
        <v>1130</v>
      </c>
      <c r="R149" t="inlineStr"/>
      <c r="S149" t="n">
        <v>200</v>
      </c>
      <c r="T149" t="inlineStr"/>
      <c r="U149" t="inlineStr"/>
      <c r="V149" t="inlineStr"/>
      <c r="W149" t="inlineStr"/>
      <c r="X149" t="n">
        <v>10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0.7</v>
      </c>
      <c r="AG149" t="inlineStr">
        <is>
          <t>informe</t>
        </is>
      </c>
      <c r="AH149" t="inlineStr"/>
      <c r="AI149" t="inlineStr"/>
      <c r="AJ149" t="inlineStr"/>
      <c r="AK149" t="n">
        <v>1660</v>
      </c>
      <c r="AL149" t="n">
        <v>5760</v>
      </c>
      <c r="AM149" t="n">
        <v>4100</v>
      </c>
      <c r="AN149" t="inlineStr">
        <is>
          <t>máximo (φmax, σ1 máximo)</t>
        </is>
      </c>
      <c r="AO149" t="n">
        <v>33.5</v>
      </c>
      <c r="AP149" t="inlineStr"/>
      <c r="AQ149" t="inlineStr"/>
      <c r="AR149" t="inlineStr"/>
      <c r="AS149" t="inlineStr"/>
      <c r="AT149" t="inlineStr"/>
      <c r="AU149" t="inlineStr"/>
      <c r="AV149" t="n">
        <v>23</v>
      </c>
      <c r="AW149" t="inlineStr"/>
      <c r="AX149" t="inlineStr"/>
      <c r="AY149" t="inlineStr"/>
      <c r="AZ149" t="inlineStr"/>
      <c r="BA149" t="inlineStr">
        <is>
          <t>Zenodo xlsx; material y dmax en p.4 (Fig. 2a)</t>
        </is>
      </c>
      <c r="BB149" t="inlineStr">
        <is>
          <t>no (valores del xlsx; nombre, litología y dmax verificados en imagen p.4)</t>
        </is>
      </c>
      <c r="BC149" t="inlineStr">
        <is>
          <t>Ref. original: Marsal, 1973 | Material en la fuente: «El Granero, GSD A, loose» (clase ROM/Chancado/Enrocado no indicada) | Datos por ensayo del repositorio Zenodo doi:10.5281/zenodo.3625778 (xlsx v1; ensayo_id = N° de fila); el artículo solo trae la lista de materiales (Fig. 2a) | q calculado = σ1−σ3 | E50 sin dato | SÍ en base Cylwik, equivalente probable: Marsal (1973)|M8|453</t>
        </is>
      </c>
    </row>
    <row r="150">
      <c r="A150" t="inlineStr">
        <is>
          <t>OV2020</t>
        </is>
      </c>
      <c r="B150" t="inlineStr">
        <is>
          <t>2020_Ovalle_Data Compilation from Large ICDTx on Coarse Crushable Rockfill Materials.pdf</t>
        </is>
      </c>
      <c r="C150" t="n">
        <v>2020</v>
      </c>
      <c r="D150" t="inlineStr">
        <is>
          <t>Ovalle, Linero, Dano, Bard, Hicher y Osses (2020), JGGE 146(9) 06020013</t>
        </is>
      </c>
      <c r="E150" t="inlineStr">
        <is>
          <t>ECN (Francia), inferido de p.3</t>
        </is>
      </c>
      <c r="F150" t="inlineStr">
        <is>
          <t>ANR Pedra granite</t>
        </is>
      </c>
      <c r="G150" t="n">
        <v>149</v>
      </c>
      <c r="H150" t="inlineStr">
        <is>
          <t>Granite</t>
        </is>
      </c>
      <c r="I150" t="inlineStr">
        <is>
          <t>Granito</t>
        </is>
      </c>
      <c r="J150" t="inlineStr"/>
      <c r="K150" t="inlineStr"/>
      <c r="L150" t="inlineStr"/>
      <c r="M150" t="inlineStr">
        <is>
          <t>Chancado</t>
        </is>
      </c>
      <c r="N150" t="inlineStr"/>
      <c r="O150" t="inlineStr">
        <is>
          <t>CID (compresión triaxial drenada)</t>
        </is>
      </c>
      <c r="P150" t="inlineStr">
        <is>
          <t>no indicado</t>
        </is>
      </c>
      <c r="Q150" t="n">
        <v>1000</v>
      </c>
      <c r="R150" t="inlineStr"/>
      <c r="S150" t="n">
        <v>160</v>
      </c>
      <c r="T150" t="inlineStr"/>
      <c r="U150" t="inlineStr"/>
      <c r="V150" t="inlineStr"/>
      <c r="W150" t="inlineStr"/>
      <c r="X150" t="n">
        <v>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0.86</v>
      </c>
      <c r="AG150" t="inlineStr">
        <is>
          <t>informe</t>
        </is>
      </c>
      <c r="AH150" t="inlineStr"/>
      <c r="AI150" t="inlineStr"/>
      <c r="AJ150" t="inlineStr"/>
      <c r="AK150" t="n">
        <v>100</v>
      </c>
      <c r="AL150" t="n">
        <v>511</v>
      </c>
      <c r="AM150" t="n">
        <v>411</v>
      </c>
      <c r="AN150" t="inlineStr">
        <is>
          <t>máximo (φmax, σ1 máximo)</t>
        </is>
      </c>
      <c r="AO150" t="n">
        <v>42.3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Zenodo xlsx; material y dmax en p.4 (Fig. 2a)</t>
        </is>
      </c>
      <c r="BB150" t="inlineStr">
        <is>
          <t>no (valores del xlsx; nombre, litología y dmax verificados en imagen p.4)</t>
        </is>
      </c>
      <c r="BC150" t="inlineStr">
        <is>
          <t>Ref. original: Ovalle et al. (2020), datos nuevos | Material en la fuente: «ANR Pedra granite» | Datos por ensayo del repositorio Zenodo doi:10.5281/zenodo.3625778 (xlsx v1; ensayo_id = N° de fila); el artículo solo trae la lista de materiales (Fig. 2a) | q calculado = σ1−σ3 | E50 = 15.7 MPa | SÍ en base Cylwik (Ovalle et al. (2020))</t>
        </is>
      </c>
    </row>
    <row r="151">
      <c r="A151" t="inlineStr">
        <is>
          <t>OV2020</t>
        </is>
      </c>
      <c r="B151" t="inlineStr">
        <is>
          <t>2020_Ovalle_Data Compilation from Large ICDTx on Coarse Crushable Rockfill Materials.pdf</t>
        </is>
      </c>
      <c r="C151" t="n">
        <v>2020</v>
      </c>
      <c r="D151" t="inlineStr">
        <is>
          <t>Ovalle, Linero, Dano, Bard, Hicher y Osses (2020), JGGE 146(9) 06020013</t>
        </is>
      </c>
      <c r="E151" t="inlineStr">
        <is>
          <t>ECN (Francia), inferido de p.3</t>
        </is>
      </c>
      <c r="F151" t="inlineStr">
        <is>
          <t>ANR Pedra granite</t>
        </is>
      </c>
      <c r="G151" t="n">
        <v>150</v>
      </c>
      <c r="H151" t="inlineStr">
        <is>
          <t>Granite</t>
        </is>
      </c>
      <c r="I151" t="inlineStr">
        <is>
          <t>Granito</t>
        </is>
      </c>
      <c r="J151" t="inlineStr"/>
      <c r="K151" t="inlineStr"/>
      <c r="L151" t="inlineStr"/>
      <c r="M151" t="inlineStr">
        <is>
          <t>Chancado</t>
        </is>
      </c>
      <c r="N151" t="inlineStr"/>
      <c r="O151" t="inlineStr">
        <is>
          <t>CID (compresión triaxial drenada)</t>
        </is>
      </c>
      <c r="P151" t="inlineStr">
        <is>
          <t>no indicado</t>
        </is>
      </c>
      <c r="Q151" t="n">
        <v>1000</v>
      </c>
      <c r="R151" t="inlineStr"/>
      <c r="S151" t="n">
        <v>160</v>
      </c>
      <c r="T151" t="inlineStr"/>
      <c r="U151" t="inlineStr"/>
      <c r="V151" t="inlineStr"/>
      <c r="W151" t="inlineStr"/>
      <c r="X151" t="n">
        <v>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0.84</v>
      </c>
      <c r="AG151" t="inlineStr">
        <is>
          <t>informe</t>
        </is>
      </c>
      <c r="AH151" t="inlineStr"/>
      <c r="AI151" t="inlineStr"/>
      <c r="AJ151" t="inlineStr"/>
      <c r="AK151" t="n">
        <v>100</v>
      </c>
      <c r="AL151" t="n">
        <v>505</v>
      </c>
      <c r="AM151" t="n">
        <v>405</v>
      </c>
      <c r="AN151" t="inlineStr">
        <is>
          <t>máximo (φmax, σ1 máximo)</t>
        </is>
      </c>
      <c r="AO151" t="n">
        <v>42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Zenodo xlsx; material y dmax en p.4 (Fig. 2a)</t>
        </is>
      </c>
      <c r="BB151" t="inlineStr">
        <is>
          <t>no (valores del xlsx; nombre, litología y dmax verificados en imagen p.4)</t>
        </is>
      </c>
      <c r="BC151" t="inlineStr">
        <is>
          <t>Ref. original: Ovalle et al. (2020), datos nuevos | Material en la fuente: «ANR Pedra granite» | Datos por ensayo del repositorio Zenodo doi:10.5281/zenodo.3625778 (xlsx v1; ensayo_id = N° de fila); el artículo solo trae la lista de materiales (Fig. 2a) | q calculado = σ1−σ3 | E50 = 12.2 MPa | SÍ en base Cylwik (Ovalle et al. (2020))</t>
        </is>
      </c>
    </row>
    <row r="152">
      <c r="A152" t="inlineStr">
        <is>
          <t>OV2020</t>
        </is>
      </c>
      <c r="B152" t="inlineStr">
        <is>
          <t>2020_Ovalle_Data Compilation from Large ICDTx on Coarse Crushable Rockfill Materials.pdf</t>
        </is>
      </c>
      <c r="C152" t="n">
        <v>2020</v>
      </c>
      <c r="D152" t="inlineStr">
        <is>
          <t>Ovalle, Linero, Dano, Bard, Hicher y Osses (2020), JGGE 146(9) 06020013</t>
        </is>
      </c>
      <c r="E152" t="inlineStr">
        <is>
          <t>ECN (Francia), inferido de p.3</t>
        </is>
      </c>
      <c r="F152" t="inlineStr">
        <is>
          <t>ANR Pedra granite</t>
        </is>
      </c>
      <c r="G152" t="n">
        <v>151</v>
      </c>
      <c r="H152" t="inlineStr">
        <is>
          <t>Granite</t>
        </is>
      </c>
      <c r="I152" t="inlineStr">
        <is>
          <t>Granito</t>
        </is>
      </c>
      <c r="J152" t="inlineStr"/>
      <c r="K152" t="inlineStr"/>
      <c r="L152" t="inlineStr"/>
      <c r="M152" t="inlineStr">
        <is>
          <t>Chancado</t>
        </is>
      </c>
      <c r="N152" t="inlineStr"/>
      <c r="O152" t="inlineStr">
        <is>
          <t>CID (compresión triaxial drenada)</t>
        </is>
      </c>
      <c r="P152" t="inlineStr">
        <is>
          <t>no indicado</t>
        </is>
      </c>
      <c r="Q152" t="n">
        <v>1000</v>
      </c>
      <c r="R152" t="inlineStr"/>
      <c r="S152" t="n">
        <v>160</v>
      </c>
      <c r="T152" t="inlineStr"/>
      <c r="U152" t="inlineStr"/>
      <c r="V152" t="inlineStr"/>
      <c r="W152" t="inlineStr"/>
      <c r="X152" t="n">
        <v>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0.82</v>
      </c>
      <c r="AG152" t="inlineStr">
        <is>
          <t>informe</t>
        </is>
      </c>
      <c r="AH152" t="inlineStr"/>
      <c r="AI152" t="inlineStr"/>
      <c r="AJ152" t="inlineStr"/>
      <c r="AK152" t="n">
        <v>198</v>
      </c>
      <c r="AL152" t="n">
        <v>886</v>
      </c>
      <c r="AM152" t="n">
        <v>688</v>
      </c>
      <c r="AN152" t="inlineStr">
        <is>
          <t>máximo (φmax, σ1 máximo)</t>
        </is>
      </c>
      <c r="AO152" t="n">
        <v>39.4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Zenodo xlsx; material y dmax en p.4 (Fig. 2a)</t>
        </is>
      </c>
      <c r="BB152" t="inlineStr">
        <is>
          <t>no (valores del xlsx; nombre, litología y dmax verificados en imagen p.4)</t>
        </is>
      </c>
      <c r="BC152" t="inlineStr">
        <is>
          <t>Ref. original: Ovalle et al. (2020), datos nuevos | Material en la fuente: «ANR Pedra granite» | Datos por ensayo del repositorio Zenodo doi:10.5281/zenodo.3625778 (xlsx v1; ensayo_id = N° de fila); el artículo solo trae la lista de materiales (Fig. 2a) | q calculado = σ1−σ3 | E50 = 18.4 MPa | SÍ en base Cylwik (Ovalle et al. (2020))</t>
        </is>
      </c>
    </row>
    <row r="153">
      <c r="A153" t="inlineStr">
        <is>
          <t>OV2020</t>
        </is>
      </c>
      <c r="B153" t="inlineStr">
        <is>
          <t>2020_Ovalle_Data Compilation from Large ICDTx on Coarse Crushable Rockfill Materials.pdf</t>
        </is>
      </c>
      <c r="C153" t="n">
        <v>2020</v>
      </c>
      <c r="D153" t="inlineStr">
        <is>
          <t>Ovalle, Linero, Dano, Bard, Hicher y Osses (2020), JGGE 146(9) 06020013</t>
        </is>
      </c>
      <c r="E153" t="inlineStr">
        <is>
          <t>ECN (Francia), inferido de p.3</t>
        </is>
      </c>
      <c r="F153" t="inlineStr">
        <is>
          <t>Ste. Cécile d'Andorge dam</t>
        </is>
      </c>
      <c r="G153" t="n">
        <v>152</v>
      </c>
      <c r="H153" t="inlineStr">
        <is>
          <t>Schist and mica-schist</t>
        </is>
      </c>
      <c r="I153" t="inlineStr">
        <is>
          <t>Mezcla</t>
        </is>
      </c>
      <c r="J153" t="inlineStr">
        <is>
          <t>esquisto y micaesquisto</t>
        </is>
      </c>
      <c r="K153" t="inlineStr">
        <is>
          <t>no indicada</t>
        </is>
      </c>
      <c r="L153" t="inlineStr"/>
      <c r="M153" t="inlineStr"/>
      <c r="N153" t="inlineStr"/>
      <c r="O153" t="inlineStr">
        <is>
          <t>CID (compresión triaxial drenada)</t>
        </is>
      </c>
      <c r="P153" t="inlineStr">
        <is>
          <t>no indicado</t>
        </is>
      </c>
      <c r="Q153" t="n">
        <v>1000</v>
      </c>
      <c r="R153" t="inlineStr"/>
      <c r="S153" t="n">
        <v>160</v>
      </c>
      <c r="T153" t="inlineStr"/>
      <c r="U153" t="inlineStr"/>
      <c r="V153" t="inlineStr"/>
      <c r="W153" t="inlineStr"/>
      <c r="X153" t="n">
        <v>60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0.309</v>
      </c>
      <c r="AG153" t="inlineStr">
        <is>
          <t>informe</t>
        </is>
      </c>
      <c r="AH153" t="inlineStr"/>
      <c r="AI153" t="inlineStr"/>
      <c r="AJ153" t="inlineStr"/>
      <c r="AK153" t="n">
        <v>102</v>
      </c>
      <c r="AL153" t="n">
        <v>560</v>
      </c>
      <c r="AM153" t="n">
        <v>458</v>
      </c>
      <c r="AN153" t="inlineStr">
        <is>
          <t>máximo (φmax, σ1 máximo)</t>
        </is>
      </c>
      <c r="AO153" t="n">
        <v>43.8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Zenodo xlsx; material y dmax en p.4 (Fig. 2a)</t>
        </is>
      </c>
      <c r="BB153" t="inlineStr">
        <is>
          <t>no (valores del xlsx; nombre, litología y dmax verificados en imagen p.4)</t>
        </is>
      </c>
      <c r="BC153" t="inlineStr">
        <is>
          <t>Ref. original: Ovalle et al. (2020), datos nuevos | Material en la fuente: «Ste. Cécile d'Andorge dam» (clase ROM/Chancado/Enrocado no indicada) | Datos por ensayo del repositorio Zenodo doi:10.5281/zenodo.3625778 (xlsx v1; ensayo_id = N° de fila); el artículo solo trae la lista de materiales (Fig. 2a) | q calculado = σ1−σ3 | E50 = 10.9 MPa | SÍ en base Cylwik (Ovalle et al. (2020))</t>
        </is>
      </c>
    </row>
    <row r="154">
      <c r="A154" t="inlineStr">
        <is>
          <t>OV2020</t>
        </is>
      </c>
      <c r="B154" t="inlineStr">
        <is>
          <t>2020_Ovalle_Data Compilation from Large ICDTx on Coarse Crushable Rockfill Materials.pdf</t>
        </is>
      </c>
      <c r="C154" t="n">
        <v>2020</v>
      </c>
      <c r="D154" t="inlineStr">
        <is>
          <t>Ovalle, Linero, Dano, Bard, Hicher y Osses (2020), JGGE 146(9) 06020013</t>
        </is>
      </c>
      <c r="E154" t="inlineStr">
        <is>
          <t>ECN (Francia), inferido de p.3</t>
        </is>
      </c>
      <c r="F154" t="inlineStr">
        <is>
          <t>Ste. Cécile d'Andorge dam</t>
        </is>
      </c>
      <c r="G154" t="n">
        <v>153</v>
      </c>
      <c r="H154" t="inlineStr">
        <is>
          <t>Schist and mica-schist</t>
        </is>
      </c>
      <c r="I154" t="inlineStr">
        <is>
          <t>Mezcla</t>
        </is>
      </c>
      <c r="J154" t="inlineStr">
        <is>
          <t>esquisto y micaesquisto</t>
        </is>
      </c>
      <c r="K154" t="inlineStr">
        <is>
          <t>no indicada</t>
        </is>
      </c>
      <c r="L154" t="inlineStr"/>
      <c r="M154" t="inlineStr"/>
      <c r="N154" t="inlineStr"/>
      <c r="O154" t="inlineStr">
        <is>
          <t>CID (compresión triaxial drenada)</t>
        </is>
      </c>
      <c r="P154" t="inlineStr">
        <is>
          <t>no indicado</t>
        </is>
      </c>
      <c r="Q154" t="n">
        <v>1000</v>
      </c>
      <c r="R154" t="inlineStr"/>
      <c r="S154" t="n">
        <v>160</v>
      </c>
      <c r="T154" t="inlineStr"/>
      <c r="U154" t="inlineStr"/>
      <c r="V154" t="inlineStr"/>
      <c r="W154" t="inlineStr"/>
      <c r="X154" t="n">
        <v>60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0.304</v>
      </c>
      <c r="AG154" t="inlineStr">
        <is>
          <t>informe</t>
        </is>
      </c>
      <c r="AH154" t="inlineStr"/>
      <c r="AI154" t="inlineStr"/>
      <c r="AJ154" t="inlineStr"/>
      <c r="AK154" t="n">
        <v>198</v>
      </c>
      <c r="AL154" t="n">
        <v>965</v>
      </c>
      <c r="AM154" t="n">
        <v>767</v>
      </c>
      <c r="AN154" t="inlineStr">
        <is>
          <t>máximo (φmax, σ1 máximo)</t>
        </is>
      </c>
      <c r="AO154" t="n">
        <v>41.3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Zenodo xlsx; material y dmax en p.4 (Fig. 2a)</t>
        </is>
      </c>
      <c r="BB154" t="inlineStr">
        <is>
          <t>no (valores del xlsx; nombre, litología y dmax verificados en imagen p.4)</t>
        </is>
      </c>
      <c r="BC154" t="inlineStr">
        <is>
          <t>Ref. original: Ovalle et al. (2020), datos nuevos | Material en la fuente: «Ste. Cécile d'Andorge dam» (clase ROM/Chancado/Enrocado no indicada) | Datos por ensayo del repositorio Zenodo doi:10.5281/zenodo.3625778 (xlsx v1; ensayo_id = N° de fila); el artículo solo trae la lista de materiales (Fig. 2a) | q calculado = σ1−σ3 | E50 = 14.7 MPa | SÍ en base Cylwik (Ovalle et al. (2020))</t>
        </is>
      </c>
    </row>
    <row r="155">
      <c r="A155" t="inlineStr">
        <is>
          <t>OV2020</t>
        </is>
      </c>
      <c r="B155" t="inlineStr">
        <is>
          <t>2020_Ovalle_Data Compilation from Large ICDTx on Coarse Crushable Rockfill Materials.pdf</t>
        </is>
      </c>
      <c r="C155" t="n">
        <v>2020</v>
      </c>
      <c r="D155" t="inlineStr">
        <is>
          <t>Ovalle, Linero, Dano, Bard, Hicher y Osses (2020), JGGE 146(9) 06020013</t>
        </is>
      </c>
      <c r="E155" t="inlineStr">
        <is>
          <t>ECN (Francia), inferido de p.3</t>
        </is>
      </c>
      <c r="F155" t="inlineStr">
        <is>
          <t>Ste. Cécile d'Andorge dam</t>
        </is>
      </c>
      <c r="G155" t="n">
        <v>154</v>
      </c>
      <c r="H155" t="inlineStr">
        <is>
          <t>Schist and mica-schist</t>
        </is>
      </c>
      <c r="I155" t="inlineStr">
        <is>
          <t>Mezcla</t>
        </is>
      </c>
      <c r="J155" t="inlineStr">
        <is>
          <t>esquisto y micaesquisto</t>
        </is>
      </c>
      <c r="K155" t="inlineStr">
        <is>
          <t>no indicada</t>
        </is>
      </c>
      <c r="L155" t="inlineStr"/>
      <c r="M155" t="inlineStr"/>
      <c r="N155" t="inlineStr"/>
      <c r="O155" t="inlineStr">
        <is>
          <t>CID (compresión triaxial drenada)</t>
        </is>
      </c>
      <c r="P155" t="inlineStr">
        <is>
          <t>no indicado</t>
        </is>
      </c>
      <c r="Q155" t="n">
        <v>1000</v>
      </c>
      <c r="R155" t="inlineStr"/>
      <c r="S155" t="n">
        <v>160</v>
      </c>
      <c r="T155" t="inlineStr"/>
      <c r="U155" t="inlineStr"/>
      <c r="V155" t="inlineStr"/>
      <c r="W155" t="inlineStr"/>
      <c r="X155" t="n">
        <v>60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0.316</v>
      </c>
      <c r="AG155" t="inlineStr">
        <is>
          <t>informe</t>
        </is>
      </c>
      <c r="AH155" t="inlineStr"/>
      <c r="AI155" t="inlineStr"/>
      <c r="AJ155" t="inlineStr"/>
      <c r="AK155" t="n">
        <v>301</v>
      </c>
      <c r="AL155" t="n">
        <v>1331</v>
      </c>
      <c r="AM155" t="n">
        <v>1030</v>
      </c>
      <c r="AN155" t="inlineStr">
        <is>
          <t>máximo (φmax, σ1 máximo)</t>
        </is>
      </c>
      <c r="AO155" t="n">
        <v>39.1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Zenodo xlsx; material y dmax en p.4 (Fig. 2a)</t>
        </is>
      </c>
      <c r="BB155" t="inlineStr">
        <is>
          <t>no (valores del xlsx; nombre, litología y dmax verificados en imagen p.4)</t>
        </is>
      </c>
      <c r="BC155" t="inlineStr">
        <is>
          <t>Ref. original: Ovalle et al. (2020), datos nuevos | Material en la fuente: «Ste. Cécile d'Andorge dam» (clase ROM/Chancado/Enrocado no indicada) | Datos por ensayo del repositorio Zenodo doi:10.5281/zenodo.3625778 (xlsx v1; ensayo_id = N° de fila); el artículo solo trae la lista de materiales (Fig. 2a) | q calculado = σ1−σ3 | E50 = 16.4 MPa | SÍ en base Cylwik (Ovalle et al. (2020))</t>
        </is>
      </c>
    </row>
    <row r="156">
      <c r="A156" t="inlineStr">
        <is>
          <t>OV2020</t>
        </is>
      </c>
      <c r="B156" t="inlineStr">
        <is>
          <t>2020_Ovalle_Data Compilation from Large ICDTx on Coarse Crushable Rockfill Materials.pdf</t>
        </is>
      </c>
      <c r="C156" t="n">
        <v>2020</v>
      </c>
      <c r="D156" t="inlineStr">
        <is>
          <t>Ovalle, Linero, Dano, Bard, Hicher y Osses (2020), JGGE 146(9) 06020013</t>
        </is>
      </c>
      <c r="E156" t="inlineStr">
        <is>
          <t>IDIEM (Chile), inferido de p.3</t>
        </is>
      </c>
      <c r="F156" t="inlineStr">
        <is>
          <t>Pilbara</t>
        </is>
      </c>
      <c r="G156" t="n">
        <v>155</v>
      </c>
      <c r="H156" t="inlineStr">
        <is>
          <t>Colluvial BIF</t>
        </is>
      </c>
      <c r="I156" t="inlineStr">
        <is>
          <t>Formación de hierro bandeado (BIF)</t>
        </is>
      </c>
      <c r="J156" t="inlineStr">
        <is>
          <t>sedimentos aluviales y coluviales neógenos derivados de BIF precámbrico (p.3)</t>
        </is>
      </c>
      <c r="K156" t="inlineStr"/>
      <c r="L156" t="inlineStr">
        <is>
          <t>meteorizado (sedimentos de meteorización, erosión y transporte, p.3)</t>
        </is>
      </c>
      <c r="M156" t="inlineStr">
        <is>
          <t>Chancado</t>
        </is>
      </c>
      <c r="N156" t="inlineStr"/>
      <c r="O156" t="inlineStr">
        <is>
          <t>CID (compresión triaxial drenada)</t>
        </is>
      </c>
      <c r="P156" t="inlineStr">
        <is>
          <t>no indicado</t>
        </is>
      </c>
      <c r="Q156" t="n">
        <v>1000</v>
      </c>
      <c r="R156" t="inlineStr"/>
      <c r="S156" t="n">
        <v>152</v>
      </c>
      <c r="T156" t="inlineStr"/>
      <c r="U156" t="inlineStr"/>
      <c r="V156" t="inlineStr"/>
      <c r="W156" t="inlineStr"/>
      <c r="X156" t="n">
        <v>18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0.55</v>
      </c>
      <c r="AG156" t="inlineStr">
        <is>
          <t>informe</t>
        </is>
      </c>
      <c r="AH156" t="inlineStr"/>
      <c r="AI156" t="inlineStr"/>
      <c r="AJ156" t="inlineStr"/>
      <c r="AK156" t="n">
        <v>250</v>
      </c>
      <c r="AL156" t="n">
        <v>1528</v>
      </c>
      <c r="AM156" t="n">
        <v>1278</v>
      </c>
      <c r="AN156" t="inlineStr">
        <is>
          <t>máximo (φmax, σ1 máximo)</t>
        </is>
      </c>
      <c r="AO156" t="n">
        <v>45.9</v>
      </c>
      <c r="AP156" t="inlineStr"/>
      <c r="AQ156" t="inlineStr"/>
      <c r="AR156" t="inlineStr"/>
      <c r="AS156" t="inlineStr"/>
      <c r="AT156" t="inlineStr"/>
      <c r="AU156" t="inlineStr"/>
      <c r="AV156" t="n">
        <v>4</v>
      </c>
      <c r="AW156" t="inlineStr"/>
      <c r="AX156" t="inlineStr"/>
      <c r="AY156" t="inlineStr"/>
      <c r="AZ156" t="inlineStr"/>
      <c r="BA156" t="inlineStr">
        <is>
          <t>Zenodo xlsx; material y dmax en p.4 (Fig. 2a)</t>
        </is>
      </c>
      <c r="BB156" t="inlineStr">
        <is>
          <t>no (valores del xlsx; nombre, litología y dmax verificados en imagen p.4)</t>
        </is>
      </c>
      <c r="BC156" t="inlineStr">
        <is>
          <t>Ref. original: Ovalle et al. (2020), datos nuevos | Material en la fuente: «Pilbara» | Datos por ensayo del repositorio Zenodo doi:10.5281/zenodo.3625778 (xlsx v1; ensayo_id = N° de fila); el artículo solo trae la lista de materiales (Fig. 2a) | q calculado = σ1−σ3 | E50 = 17.8 MPa | SÍ en base Cylwik (Ovalle et al. (2020)) | ensayo inédito antes de 2020 (p.3)</t>
        </is>
      </c>
    </row>
    <row r="157">
      <c r="A157" t="inlineStr">
        <is>
          <t>OV2020</t>
        </is>
      </c>
      <c r="B157" t="inlineStr">
        <is>
          <t>2020_Ovalle_Data Compilation from Large ICDTx on Coarse Crushable Rockfill Materials.pdf</t>
        </is>
      </c>
      <c r="C157" t="n">
        <v>2020</v>
      </c>
      <c r="D157" t="inlineStr">
        <is>
          <t>Ovalle, Linero, Dano, Bard, Hicher y Osses (2020), JGGE 146(9) 06020013</t>
        </is>
      </c>
      <c r="E157" t="inlineStr">
        <is>
          <t>IDIEM (Chile), inferido de p.3</t>
        </is>
      </c>
      <c r="F157" t="inlineStr">
        <is>
          <t>Pilbara</t>
        </is>
      </c>
      <c r="G157" t="n">
        <v>156</v>
      </c>
      <c r="H157" t="inlineStr">
        <is>
          <t>Colluvial BIF</t>
        </is>
      </c>
      <c r="I157" t="inlineStr">
        <is>
          <t>Formación de hierro bandeado (BIF)</t>
        </is>
      </c>
      <c r="J157" t="inlineStr">
        <is>
          <t>sedimentos aluviales y coluviales neógenos derivados de BIF precámbrico (p.3)</t>
        </is>
      </c>
      <c r="K157" t="inlineStr"/>
      <c r="L157" t="inlineStr">
        <is>
          <t>meteorizado (sedimentos de meteorización, erosión y transporte, p.3)</t>
        </is>
      </c>
      <c r="M157" t="inlineStr">
        <is>
          <t>Chancado</t>
        </is>
      </c>
      <c r="N157" t="inlineStr"/>
      <c r="O157" t="inlineStr">
        <is>
          <t>CID (compresión triaxial drenada)</t>
        </is>
      </c>
      <c r="P157" t="inlineStr">
        <is>
          <t>no indicado</t>
        </is>
      </c>
      <c r="Q157" t="n">
        <v>1000</v>
      </c>
      <c r="R157" t="inlineStr"/>
      <c r="S157" t="n">
        <v>152</v>
      </c>
      <c r="T157" t="inlineStr"/>
      <c r="U157" t="inlineStr"/>
      <c r="V157" t="inlineStr"/>
      <c r="W157" t="inlineStr"/>
      <c r="X157" t="n">
        <v>18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0.55</v>
      </c>
      <c r="AG157" t="inlineStr">
        <is>
          <t>informe</t>
        </is>
      </c>
      <c r="AH157" t="inlineStr"/>
      <c r="AI157" t="inlineStr"/>
      <c r="AJ157" t="inlineStr"/>
      <c r="AK157" t="n">
        <v>500</v>
      </c>
      <c r="AL157" t="n">
        <v>2720</v>
      </c>
      <c r="AM157" t="n">
        <v>2220</v>
      </c>
      <c r="AN157" t="inlineStr">
        <is>
          <t>máximo (φmax, σ1 máximo)</t>
        </is>
      </c>
      <c r="AO157" t="n">
        <v>43.6</v>
      </c>
      <c r="AP157" t="inlineStr"/>
      <c r="AQ157" t="inlineStr"/>
      <c r="AR157" t="inlineStr"/>
      <c r="AS157" t="inlineStr"/>
      <c r="AT157" t="inlineStr"/>
      <c r="AU157" t="inlineStr"/>
      <c r="AV157" t="n">
        <v>11</v>
      </c>
      <c r="AW157" t="inlineStr"/>
      <c r="AX157" t="inlineStr"/>
      <c r="AY157" t="inlineStr"/>
      <c r="AZ157" t="inlineStr"/>
      <c r="BA157" t="inlineStr">
        <is>
          <t>Zenodo xlsx; material y dmax en p.4 (Fig. 2a)</t>
        </is>
      </c>
      <c r="BB157" t="inlineStr">
        <is>
          <t>no (valores del xlsx; nombre, litología y dmax verificados en imagen p.4)</t>
        </is>
      </c>
      <c r="BC157" t="inlineStr">
        <is>
          <t>Ref. original: Ovalle et al. (2020), datos nuevos | Material en la fuente: «Pilbara» | Datos por ensayo del repositorio Zenodo doi:10.5281/zenodo.3625778 (xlsx v1; ensayo_id = N° de fila); el artículo solo trae la lista de materiales (Fig. 2a) | q calculado = σ1−σ3 | E50 = 29.2 MPa | SÍ en base Cylwik (Ovalle et al. (2020)) | ensayo inédito antes de 2020 (p.3)</t>
        </is>
      </c>
    </row>
    <row r="158">
      <c r="A158" t="inlineStr">
        <is>
          <t>OV2020</t>
        </is>
      </c>
      <c r="B158" t="inlineStr">
        <is>
          <t>2020_Ovalle_Data Compilation from Large ICDTx on Coarse Crushable Rockfill Materials.pdf</t>
        </is>
      </c>
      <c r="C158" t="n">
        <v>2020</v>
      </c>
      <c r="D158" t="inlineStr">
        <is>
          <t>Ovalle, Linero, Dano, Bard, Hicher y Osses (2020), JGGE 146(9) 06020013</t>
        </is>
      </c>
      <c r="E158" t="inlineStr">
        <is>
          <t>IDIEM (Chile), inferido de p.3</t>
        </is>
      </c>
      <c r="F158" t="inlineStr">
        <is>
          <t>Pilbara</t>
        </is>
      </c>
      <c r="G158" t="n">
        <v>157</v>
      </c>
      <c r="H158" t="inlineStr">
        <is>
          <t>Colluvial BIF</t>
        </is>
      </c>
      <c r="I158" t="inlineStr">
        <is>
          <t>Formación de hierro bandeado (BIF)</t>
        </is>
      </c>
      <c r="J158" t="inlineStr">
        <is>
          <t>sedimentos aluviales y coluviales neógenos derivados de BIF precámbrico (p.3)</t>
        </is>
      </c>
      <c r="K158" t="inlineStr"/>
      <c r="L158" t="inlineStr">
        <is>
          <t>meteorizado (sedimentos de meteorización, erosión y transporte, p.3)</t>
        </is>
      </c>
      <c r="M158" t="inlineStr">
        <is>
          <t>Chancado</t>
        </is>
      </c>
      <c r="N158" t="inlineStr"/>
      <c r="O158" t="inlineStr">
        <is>
          <t>CID (compresión triaxial drenada)</t>
        </is>
      </c>
      <c r="P158" t="inlineStr">
        <is>
          <t>no indicado</t>
        </is>
      </c>
      <c r="Q158" t="n">
        <v>1000</v>
      </c>
      <c r="R158" t="inlineStr"/>
      <c r="S158" t="n">
        <v>152</v>
      </c>
      <c r="T158" t="inlineStr"/>
      <c r="U158" t="inlineStr"/>
      <c r="V158" t="inlineStr"/>
      <c r="W158" t="inlineStr"/>
      <c r="X158" t="n">
        <v>18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0.55</v>
      </c>
      <c r="AG158" t="inlineStr">
        <is>
          <t>informe</t>
        </is>
      </c>
      <c r="AH158" t="inlineStr"/>
      <c r="AI158" t="inlineStr"/>
      <c r="AJ158" t="inlineStr"/>
      <c r="AK158" t="n">
        <v>1000</v>
      </c>
      <c r="AL158" t="n">
        <v>4610</v>
      </c>
      <c r="AM158" t="n">
        <v>3610</v>
      </c>
      <c r="AN158" t="inlineStr">
        <is>
          <t>máximo (φmax, σ1 máximo)</t>
        </is>
      </c>
      <c r="AO158" t="n">
        <v>40.1</v>
      </c>
      <c r="AP158" t="inlineStr"/>
      <c r="AQ158" t="inlineStr"/>
      <c r="AR158" t="inlineStr"/>
      <c r="AS158" t="inlineStr"/>
      <c r="AT158" t="inlineStr"/>
      <c r="AU158" t="inlineStr"/>
      <c r="AV158" t="n">
        <v>14</v>
      </c>
      <c r="AW158" t="inlineStr"/>
      <c r="AX158" t="inlineStr"/>
      <c r="AY158" t="inlineStr"/>
      <c r="AZ158" t="inlineStr"/>
      <c r="BA158" t="inlineStr">
        <is>
          <t>Zenodo xlsx; material y dmax en p.4 (Fig. 2a)</t>
        </is>
      </c>
      <c r="BB158" t="inlineStr">
        <is>
          <t>no (valores del xlsx; nombre, litología y dmax verificados en imagen p.4)</t>
        </is>
      </c>
      <c r="BC158" t="inlineStr">
        <is>
          <t>Ref. original: Ovalle et al. (2020), datos nuevos | Material en la fuente: «Pilbara» | Datos por ensayo del repositorio Zenodo doi:10.5281/zenodo.3625778 (xlsx v1; ensayo_id = N° de fila); el artículo solo trae la lista de materiales (Fig. 2a) | q calculado = σ1−σ3 | E50 = 42.7 MPa | SÍ en base Cylwik (Ovalle et al. (2020)) | ensayo inédito antes de 2020 (p.3)</t>
        </is>
      </c>
    </row>
    <row r="159">
      <c r="A159" t="inlineStr">
        <is>
          <t>OV2020</t>
        </is>
      </c>
      <c r="B159" t="inlineStr">
        <is>
          <t>2020_Ovalle_Data Compilation from Large ICDTx on Coarse Crushable Rockfill Materials.pdf</t>
        </is>
      </c>
      <c r="C159" t="n">
        <v>2020</v>
      </c>
      <c r="D159" t="inlineStr">
        <is>
          <t>Ovalle, Linero, Dano, Bard, Hicher y Osses (2020), JGGE 146(9) 06020013</t>
        </is>
      </c>
      <c r="E159" t="inlineStr">
        <is>
          <t>IDIEM (Chile), inferido de p.3</t>
        </is>
      </c>
      <c r="F159" t="inlineStr">
        <is>
          <t>Pilbara</t>
        </is>
      </c>
      <c r="G159" t="n">
        <v>158</v>
      </c>
      <c r="H159" t="inlineStr">
        <is>
          <t>Colluvial BIF</t>
        </is>
      </c>
      <c r="I159" t="inlineStr">
        <is>
          <t>Formación de hierro bandeado (BIF)</t>
        </is>
      </c>
      <c r="J159" t="inlineStr">
        <is>
          <t>sedimentos aluviales y coluviales neógenos derivados de BIF precámbrico (p.3)</t>
        </is>
      </c>
      <c r="K159" t="inlineStr"/>
      <c r="L159" t="inlineStr">
        <is>
          <t>meteorizado (sedimentos de meteorización, erosión y transporte, p.3)</t>
        </is>
      </c>
      <c r="M159" t="inlineStr">
        <is>
          <t>Chancado</t>
        </is>
      </c>
      <c r="N159" t="inlineStr"/>
      <c r="O159" t="inlineStr">
        <is>
          <t>CID (compresión triaxial drenada)</t>
        </is>
      </c>
      <c r="P159" t="inlineStr">
        <is>
          <t>no indicado</t>
        </is>
      </c>
      <c r="Q159" t="n">
        <v>1000</v>
      </c>
      <c r="R159" t="inlineStr"/>
      <c r="S159" t="n">
        <v>152</v>
      </c>
      <c r="T159" t="inlineStr"/>
      <c r="U159" t="inlineStr"/>
      <c r="V159" t="inlineStr"/>
      <c r="W159" t="inlineStr"/>
      <c r="X159" t="n">
        <v>18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0.55</v>
      </c>
      <c r="AG159" t="inlineStr">
        <is>
          <t>informe</t>
        </is>
      </c>
      <c r="AH159" t="inlineStr"/>
      <c r="AI159" t="inlineStr"/>
      <c r="AJ159" t="inlineStr"/>
      <c r="AK159" t="n">
        <v>2000</v>
      </c>
      <c r="AL159" t="n">
        <v>9040</v>
      </c>
      <c r="AM159" t="n">
        <v>7040</v>
      </c>
      <c r="AN159" t="inlineStr">
        <is>
          <t>máximo (φmax, σ1 máximo)</t>
        </is>
      </c>
      <c r="AO159" t="n">
        <v>39.6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Zenodo xlsx; material y dmax en p.4 (Fig. 2a)</t>
        </is>
      </c>
      <c r="BB159" t="inlineStr">
        <is>
          <t>no (valores del xlsx; nombre, litología y dmax verificados en imagen p.4)</t>
        </is>
      </c>
      <c r="BC159" t="inlineStr">
        <is>
          <t>Ref. original: Ovalle et al. (2020), datos nuevos | Material en la fuente: «Pilbara» | Datos por ensayo del repositorio Zenodo doi:10.5281/zenodo.3625778 (xlsx v1; ensayo_id = N° de fila); el artículo solo trae la lista de materiales (Fig. 2a) | q calculado = σ1−σ3 | E50 = 64.1 MPa | SÍ en base Cylwik (Ovalle et al. (2020)) | ensayo inédito antes de 2020 (p.3)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MR24_RT</t>
        </is>
      </c>
      <c r="B1" s="1" t="inlineStr">
        <is>
          <t>n_bloques</t>
        </is>
      </c>
      <c r="C1" s="1" t="inlineStr">
        <is>
          <t>UCS_media</t>
        </is>
      </c>
      <c r="D1" s="1" t="inlineStr">
        <is>
          <t>UCS_mediana</t>
        </is>
      </c>
      <c r="E1" s="1" t="inlineStr">
        <is>
          <t>BD_media</t>
        </is>
      </c>
      <c r="F1" s="1" t="inlineStr">
        <is>
          <t>ton</t>
        </is>
      </c>
      <c r="G1" s="1" t="inlineStr">
        <is>
          <t>pct_ton</t>
        </is>
      </c>
      <c r="H1" s="1" t="inlineStr">
        <is>
          <t>litologia_lamina12</t>
        </is>
      </c>
      <c r="I1" s="1" t="inlineStr">
        <is>
          <t>litologia_normalizada</t>
        </is>
      </c>
      <c r="J1" s="1" t="inlineStr">
        <is>
          <t>grupo_Geologia_2024</t>
        </is>
      </c>
      <c r="K1" s="1" t="inlineStr">
        <is>
          <t>evidencia</t>
        </is>
      </c>
    </row>
    <row r="2">
      <c r="A2" t="n">
        <v>1</v>
      </c>
      <c r="B2" t="n">
        <v>46813</v>
      </c>
      <c r="C2" t="n">
        <v>63.27040693824365</v>
      </c>
      <c r="D2" t="n">
        <v>63.18</v>
      </c>
      <c r="E2" t="n">
        <v>2.460906735308568</v>
      </c>
      <c r="F2" t="n">
        <v>691214562</v>
      </c>
      <c r="G2" t="n">
        <v>13.85883443472034</v>
      </c>
      <c r="H2" t="inlineStr">
        <is>
          <t>Intrusivo</t>
        </is>
      </c>
      <c r="I2" t="inlineStr">
        <is>
          <t>Intrusivo</t>
        </is>
      </c>
      <c r="J2" t="inlineStr">
        <is>
          <t>Intrusivo_1</t>
        </is>
      </c>
      <c r="K2" t="inlineStr">
        <is>
          <t>n de bloques y mediana de UCS idénticos a WSC lámina 12; % de tonelaje coherente con WSC lámina 17</t>
        </is>
      </c>
    </row>
    <row r="3">
      <c r="A3" t="n">
        <v>2</v>
      </c>
      <c r="B3" t="n">
        <v>3137</v>
      </c>
      <c r="C3" t="n">
        <v>104.4651131654447</v>
      </c>
      <c r="D3" t="n">
        <v>103.3</v>
      </c>
      <c r="E3" t="n">
        <v>2.690280841568378</v>
      </c>
      <c r="F3" t="n">
        <v>50636466</v>
      </c>
      <c r="G3" t="n">
        <v>1.015259858853127</v>
      </c>
      <c r="H3" t="inlineStr">
        <is>
          <t>Intrus-Estruct-Tab</t>
        </is>
      </c>
      <c r="I3" t="inlineStr">
        <is>
          <t>Intrusivo</t>
        </is>
      </c>
      <c r="J3" t="inlineStr">
        <is>
          <t>Intrusivo_2</t>
        </is>
      </c>
      <c r="K3" t="inlineStr">
        <is>
          <t>n de bloques y mediana de UCS idénticos a WSC lámina 12; % de tonelaje coherente con WSC lámina 17</t>
        </is>
      </c>
    </row>
    <row r="4">
      <c r="A4" t="n">
        <v>10</v>
      </c>
      <c r="B4" t="n">
        <v>24434</v>
      </c>
      <c r="C4" t="n">
        <v>81.31580870917574</v>
      </c>
      <c r="D4" t="n">
        <v>82.54000000000001</v>
      </c>
      <c r="E4" t="n">
        <v>2.708592739625113</v>
      </c>
      <c r="F4" t="n">
        <v>397090530</v>
      </c>
      <c r="G4" t="n">
        <v>7.961655053883764</v>
      </c>
      <c r="H4" t="inlineStr">
        <is>
          <t>Caliza</t>
        </is>
      </c>
      <c r="I4" t="inlineStr">
        <is>
          <t>Caliza</t>
        </is>
      </c>
      <c r="J4" t="inlineStr">
        <is>
          <t>Sedimentario_10</t>
        </is>
      </c>
      <c r="K4" t="inlineStr">
        <is>
          <t>n de bloques y mediana de UCS idénticos a WSC lámina 12; % de tonelaje coherente con WSC lámina 17</t>
        </is>
      </c>
    </row>
    <row r="5">
      <c r="A5" t="n">
        <v>11</v>
      </c>
      <c r="B5" t="n">
        <v>58104</v>
      </c>
      <c r="C5" t="n">
        <v>70.02874053421451</v>
      </c>
      <c r="D5" t="n">
        <v>69.23999999999999</v>
      </c>
      <c r="E5" t="n">
        <v>2.710942706182018</v>
      </c>
      <c r="F5" t="n">
        <v>945099690</v>
      </c>
      <c r="G5" t="n">
        <v>18.94922481105877</v>
      </c>
      <c r="H5" t="inlineStr">
        <is>
          <t>Margas-Limonitas</t>
        </is>
      </c>
      <c r="I5" t="inlineStr">
        <is>
          <t>Marga-Limolita</t>
        </is>
      </c>
      <c r="J5" t="inlineStr">
        <is>
          <t>Sedimentario_11</t>
        </is>
      </c>
      <c r="K5" t="inlineStr">
        <is>
          <t>n de bloques y mediana de UCS idénticos a WSC lámina 12; % de tonelaje coherente con WSC lámina 17</t>
        </is>
      </c>
    </row>
    <row r="6">
      <c r="A6" t="n">
        <v>13</v>
      </c>
      <c r="B6" t="n">
        <v>48510</v>
      </c>
      <c r="C6" t="n">
        <v>105.8541142032571</v>
      </c>
      <c r="D6" t="n">
        <v>104.93</v>
      </c>
      <c r="E6" t="n">
        <v>2.706499196042053</v>
      </c>
      <c r="F6" t="n">
        <v>787753656</v>
      </c>
      <c r="G6" t="n">
        <v>15.79444082060534</v>
      </c>
      <c r="H6" t="inlineStr">
        <is>
          <t>Horfels</t>
        </is>
      </c>
      <c r="I6" t="inlineStr">
        <is>
          <t>Hornfels</t>
        </is>
      </c>
      <c r="J6" t="inlineStr">
        <is>
          <t>Metamorfico_13</t>
        </is>
      </c>
      <c r="K6" t="inlineStr">
        <is>
          <t>n de bloques y mediana de UCS idénticos a WSC lámina 12; % de tonelaje coherente con WSC lámina 17</t>
        </is>
      </c>
    </row>
    <row r="7">
      <c r="A7" t="n">
        <v>14</v>
      </c>
      <c r="B7" t="n">
        <v>9983</v>
      </c>
      <c r="C7" t="n">
        <v>116.9646889712511</v>
      </c>
      <c r="D7" t="n">
        <v>114.95</v>
      </c>
      <c r="E7" t="n">
        <v>2.859585194831213</v>
      </c>
      <c r="F7" t="n">
        <v>171283434</v>
      </c>
      <c r="G7" t="n">
        <v>3.434228506916713</v>
      </c>
      <c r="H7" t="inlineStr">
        <is>
          <t>Horfel Diopsida</t>
        </is>
      </c>
      <c r="I7" t="inlineStr">
        <is>
          <t>Hornfels</t>
        </is>
      </c>
      <c r="J7" t="inlineStr">
        <is>
          <t>Metamorfico_14</t>
        </is>
      </c>
      <c r="K7" t="inlineStr">
        <is>
          <t>n de bloques y mediana de UCS idénticos a WSC lámina 12; % de tonelaje coherente con WSC lámina 17</t>
        </is>
      </c>
    </row>
    <row r="8">
      <c r="A8" t="n">
        <v>16</v>
      </c>
      <c r="B8" t="n">
        <v>110698</v>
      </c>
      <c r="C8" t="n">
        <v>74.02818442970965</v>
      </c>
      <c r="D8" t="n">
        <v>74.14</v>
      </c>
      <c r="E8" t="n">
        <v>2.711598448029775</v>
      </c>
      <c r="F8" t="n">
        <v>1801011150</v>
      </c>
      <c r="G8" t="n">
        <v>36.1102278729702</v>
      </c>
      <c r="H8" t="inlineStr">
        <is>
          <t>Marmol</t>
        </is>
      </c>
      <c r="I8" t="inlineStr">
        <is>
          <t>Mármol</t>
        </is>
      </c>
      <c r="J8" t="inlineStr">
        <is>
          <t>Metamorfico_16</t>
        </is>
      </c>
      <c r="K8" t="inlineStr">
        <is>
          <t>n de bloques y mediana de UCS idénticos a WSC lámina 12; % de tonelaje coherente con WSC lámina 17</t>
        </is>
      </c>
    </row>
    <row r="9">
      <c r="A9" t="n">
        <v>19</v>
      </c>
      <c r="B9" t="n">
        <v>8020</v>
      </c>
      <c r="C9" t="n">
        <v>94.90758478802992</v>
      </c>
      <c r="D9" t="n">
        <v>94.66500000000001</v>
      </c>
      <c r="E9" t="n">
        <v>2.847519201995012</v>
      </c>
      <c r="F9" t="n">
        <v>137022624</v>
      </c>
      <c r="G9" t="n">
        <v>2.747300135477959</v>
      </c>
      <c r="H9" t="inlineStr">
        <is>
          <t>Marmol Diopsida</t>
        </is>
      </c>
      <c r="I9" t="inlineStr">
        <is>
          <t>Mármol</t>
        </is>
      </c>
      <c r="J9" t="inlineStr">
        <is>
          <t>Metamorfico_19</t>
        </is>
      </c>
      <c r="K9" t="inlineStr">
        <is>
          <t>n de bloques y mediana de UCS idénticos a WSC lámina 12; % de tonelaje coherente con WSC lámina 17</t>
        </is>
      </c>
    </row>
    <row r="10">
      <c r="A10" t="n">
        <v>53</v>
      </c>
      <c r="B10" t="n">
        <v>403</v>
      </c>
      <c r="C10" t="n">
        <v>57.36540942928039</v>
      </c>
      <c r="D10" t="n">
        <v>56.68</v>
      </c>
      <c r="E10" t="n">
        <v>2.657307692307692</v>
      </c>
      <c r="F10" t="n">
        <v>6425370</v>
      </c>
      <c r="G10" t="n">
        <v>0.1288285055137757</v>
      </c>
      <c r="H10" t="inlineStr">
        <is>
          <t>Brechas-Intrus</t>
        </is>
      </c>
      <c r="I10" t="inlineStr">
        <is>
          <t>Intrusivo</t>
        </is>
      </c>
      <c r="J10" t="inlineStr">
        <is>
          <t>sin etiqueta</t>
        </is>
      </c>
      <c r="K10" t="inlineStr">
        <is>
          <t>n de bloques y mediana de UCS idénticos a WSC lámina 12; % de tonelaje coherente con WSC lámina 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litologia_normalizada</t>
        </is>
      </c>
      <c r="B1" s="1" t="inlineStr">
        <is>
          <t>pct_tonelaje_LE2</t>
        </is>
      </c>
    </row>
    <row r="2">
      <c r="A2" t="inlineStr">
        <is>
          <t>Mármol</t>
        </is>
      </c>
      <c r="B2" t="n">
        <v>38.85752800844816</v>
      </c>
    </row>
    <row r="3">
      <c r="A3" t="inlineStr">
        <is>
          <t>Hornfels</t>
        </is>
      </c>
      <c r="B3" t="n">
        <v>19.22866932752206</v>
      </c>
    </row>
    <row r="4">
      <c r="A4" t="inlineStr">
        <is>
          <t>Marga-Limolita</t>
        </is>
      </c>
      <c r="B4" t="n">
        <v>18.94922481105877</v>
      </c>
    </row>
    <row r="5">
      <c r="A5" t="inlineStr">
        <is>
          <t>Intrusivo</t>
        </is>
      </c>
      <c r="B5" t="n">
        <v>15.00292279908725</v>
      </c>
    </row>
    <row r="6">
      <c r="A6" t="inlineStr">
        <is>
          <t>Caliza</t>
        </is>
      </c>
      <c r="B6" t="n">
        <v>7.961655053883764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ROCKCODE_NUMEQ</t>
        </is>
      </c>
      <c r="B1" s="1" t="inlineStr">
        <is>
          <t>litologia</t>
        </is>
      </c>
      <c r="C1" s="1" t="inlineStr">
        <is>
          <t>size_Core_PLT</t>
        </is>
      </c>
      <c r="D1" s="1" t="inlineStr">
        <is>
          <t>size_Core_UCS</t>
        </is>
      </c>
      <c r="E1" s="1" t="inlineStr">
        <is>
          <t>median_Core_PLT</t>
        </is>
      </c>
      <c r="F1" s="1" t="inlineStr">
        <is>
          <t>median_Core_UCS</t>
        </is>
      </c>
      <c r="G1" s="1" t="inlineStr">
        <is>
          <t>mean_Core_PLT</t>
        </is>
      </c>
      <c r="H1" s="1" t="inlineStr">
        <is>
          <t>mean_Core_UCS</t>
        </is>
      </c>
      <c r="I1" s="1" t="inlineStr">
        <is>
          <t>razon_PLT_sobre_UCS</t>
        </is>
      </c>
    </row>
    <row r="2">
      <c r="A2" t="n">
        <v>1</v>
      </c>
      <c r="B2" t="inlineStr">
        <is>
          <t>Intrusivo</t>
        </is>
      </c>
      <c r="C2" t="n">
        <v>1665</v>
      </c>
      <c r="D2" t="n">
        <v>539</v>
      </c>
      <c r="E2" t="n">
        <v>66.3947</v>
      </c>
      <c r="F2" t="n">
        <v>63.13</v>
      </c>
      <c r="G2" t="n">
        <v>79.58973867867869</v>
      </c>
      <c r="H2" t="n">
        <v>71.57888998144712</v>
      </c>
      <c r="I2" t="n">
        <v>1.051713923649612</v>
      </c>
    </row>
    <row r="3">
      <c r="A3" t="n">
        <v>10</v>
      </c>
      <c r="B3" t="inlineStr">
        <is>
          <t>Caliza y margas (sedimentario)</t>
        </is>
      </c>
      <c r="C3" t="n">
        <v>1747</v>
      </c>
      <c r="D3" t="n">
        <v>302</v>
      </c>
      <c r="E3" t="n">
        <v>75.1328</v>
      </c>
      <c r="F3" t="n">
        <v>56.595</v>
      </c>
      <c r="G3" t="n">
        <v>77.90728460217515</v>
      </c>
      <c r="H3" t="n">
        <v>60.57546357615895</v>
      </c>
      <c r="I3" t="n">
        <v>1.327551903878434</v>
      </c>
    </row>
    <row r="4">
      <c r="A4" t="n">
        <v>13</v>
      </c>
      <c r="B4" t="inlineStr">
        <is>
          <t>Hornfels</t>
        </is>
      </c>
      <c r="C4" t="n">
        <v>2056</v>
      </c>
      <c r="D4" t="n">
        <v>367</v>
      </c>
      <c r="E4" t="n">
        <v>110.85</v>
      </c>
      <c r="F4" t="n">
        <v>68.14</v>
      </c>
      <c r="G4" t="n">
        <v>119.7106000486381</v>
      </c>
      <c r="H4" t="n">
        <v>75.78162588555858</v>
      </c>
      <c r="I4" t="n">
        <v>1.626797769298503</v>
      </c>
    </row>
    <row r="5">
      <c r="A5" t="n">
        <v>14</v>
      </c>
      <c r="B5" t="inlineStr">
        <is>
          <t>Hornfels diópsido</t>
        </is>
      </c>
      <c r="C5" t="n">
        <v>344</v>
      </c>
      <c r="D5" t="n">
        <v>40</v>
      </c>
      <c r="E5" t="n">
        <v>151.4145</v>
      </c>
      <c r="F5" t="n">
        <v>87.75</v>
      </c>
      <c r="G5" t="n">
        <v>163.0729622093023</v>
      </c>
      <c r="H5" t="n">
        <v>99.04649999999999</v>
      </c>
      <c r="I5" t="n">
        <v>1.725521367521368</v>
      </c>
    </row>
    <row r="6">
      <c r="A6" t="n">
        <v>16</v>
      </c>
      <c r="B6" t="inlineStr">
        <is>
          <t>Mármol</t>
        </is>
      </c>
      <c r="C6" t="n">
        <v>5255</v>
      </c>
      <c r="D6" t="n">
        <v>763</v>
      </c>
      <c r="E6" t="n">
        <v>71.88979999999999</v>
      </c>
      <c r="F6" t="n">
        <v>48.04</v>
      </c>
      <c r="G6" t="n">
        <v>80.24529330161751</v>
      </c>
      <c r="H6" t="n">
        <v>55.00933132372215</v>
      </c>
      <c r="I6" t="n">
        <v>1.496457119067444</v>
      </c>
    </row>
    <row r="7">
      <c r="A7" t="n">
        <v>19</v>
      </c>
      <c r="B7" t="inlineStr">
        <is>
          <t>Mármol diópsido</t>
        </is>
      </c>
      <c r="C7" t="n">
        <v>1585</v>
      </c>
      <c r="D7" t="n">
        <v>247</v>
      </c>
      <c r="E7" t="n">
        <v>97.58459999999999</v>
      </c>
      <c r="F7" t="n">
        <v>55.8</v>
      </c>
      <c r="G7" t="n">
        <v>99.26749223974764</v>
      </c>
      <c r="H7" t="n">
        <v>60.08378299595142</v>
      </c>
      <c r="I7" t="n">
        <v>1.748827956989247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descripcion</t>
        </is>
      </c>
    </row>
    <row r="2">
      <c r="A2" t="inlineStr">
        <is>
          <t>ensayos</t>
        </is>
      </c>
      <c r="B2" t="inlineStr">
        <is>
          <t>id_probeta</t>
        </is>
      </c>
      <c r="C2" t="inlineStr">
        <is>
          <t>Identificador único de la probeta en esta base</t>
        </is>
      </c>
    </row>
    <row r="3">
      <c r="A3" t="inlineStr">
        <is>
          <t>ensayos</t>
        </is>
      </c>
      <c r="B3" t="inlineStr">
        <is>
          <t>id_material</t>
        </is>
      </c>
      <c r="C3" t="inlineStr">
        <is>
          <t>fuente_id|set_id; enlaza con la tabla materiales</t>
        </is>
      </c>
    </row>
    <row r="4">
      <c r="A4" t="inlineStr">
        <is>
          <t>ensayos</t>
        </is>
      </c>
      <c r="B4" t="inlineStr">
        <is>
          <t>tipo_ensayo_std</t>
        </is>
      </c>
      <c r="C4" t="inlineStr">
        <is>
          <t>Triaxial CD, CD carga-descarga, CU, cíclico + monótono, corte directo CD, edómetro o permeabilidad</t>
        </is>
      </c>
    </row>
    <row r="5">
      <c r="A5" t="inlineStr">
        <is>
          <t>ensayos</t>
        </is>
      </c>
      <c r="B5" t="inlineStr">
        <is>
          <t>sigma3c_kPa</t>
        </is>
      </c>
      <c r="C5" t="inlineStr">
        <is>
          <t>σ′3 de consolidación</t>
        </is>
      </c>
    </row>
    <row r="6">
      <c r="A6" t="inlineStr">
        <is>
          <t>ensayos</t>
        </is>
      </c>
      <c r="B6" t="inlineStr">
        <is>
          <t>sigma3f_kPa_std / sigma1f_kPa_std</t>
        </is>
      </c>
      <c r="C6" t="inlineStr">
        <is>
          <t>Esfuerzos efectivos en la falla (en CD, σ′3f = σ′3c)</t>
        </is>
      </c>
    </row>
    <row r="7">
      <c r="A7" t="inlineStr">
        <is>
          <t>ensayos</t>
        </is>
      </c>
      <c r="B7" t="inlineStr">
        <is>
          <t>q_kPa_std</t>
        </is>
      </c>
      <c r="C7" t="inlineStr">
        <is>
          <t>Desviador en la falla = σ′1f − σ′3f (se corrigió la notación MIT de las hojas IDIEM)</t>
        </is>
      </c>
    </row>
    <row r="8">
      <c r="A8" t="inlineStr">
        <is>
          <t>ensayos</t>
        </is>
      </c>
      <c r="B8" t="inlineStr">
        <is>
          <t>phi_sec_deg_std</t>
        </is>
      </c>
      <c r="C8" t="inlineStr">
        <is>
          <t>Ángulo secante: asin(q/(σ′1+σ′3)) en triaxial; atan(τ/σn) en corte directo</t>
        </is>
      </c>
    </row>
    <row r="9">
      <c r="A9" t="inlineStr">
        <is>
          <t>ensayos</t>
        </is>
      </c>
      <c r="B9" t="inlineStr">
        <is>
          <t>sigma_n_falla_kPa, tau_falla_kPa</t>
        </is>
      </c>
      <c r="C9" t="inlineStr">
        <is>
          <t>Punto de tangencia aproximado (círculo de Mohr con φ secante); referencia</t>
        </is>
      </c>
    </row>
    <row r="10">
      <c r="A10" t="inlineStr">
        <is>
          <t>ensayos</t>
        </is>
      </c>
      <c r="B10" t="inlineStr">
        <is>
          <t>eps_vol_falla_pct</t>
        </is>
      </c>
      <c r="C10" t="inlineStr">
        <is>
          <t>Deformación volumétrica en la falla; compresión negativa</t>
        </is>
      </c>
    </row>
    <row r="11">
      <c r="A11" t="inlineStr">
        <is>
          <t>ensayos</t>
        </is>
      </c>
      <c r="B11" t="inlineStr">
        <is>
          <t>Bg_pct</t>
        </is>
      </c>
      <c r="C11" t="inlineStr">
        <is>
          <t>Índice de rotura de Marsal = suma de diferencias positivas (Golder 2012 corregido a la mitad)</t>
        </is>
      </c>
    </row>
    <row r="12">
      <c r="A12" t="inlineStr">
        <is>
          <t>ensayos</t>
        </is>
      </c>
      <c r="B12" t="inlineStr">
        <is>
          <t>escala</t>
        </is>
      </c>
      <c r="C12" t="inlineStr">
        <is>
          <t>Clase de diámetro de probeta</t>
        </is>
      </c>
    </row>
    <row r="13">
      <c r="A13" t="inlineStr">
        <is>
          <t>ensayos</t>
        </is>
      </c>
      <c r="B13" t="inlineStr">
        <is>
          <t>clase_desmonte_std, clase_confianza</t>
        </is>
      </c>
      <c r="C13" t="inlineStr">
        <is>
          <t>ROM, Chancado, Enrocado, Mezcla co-disposición o No indicada; con el respaldo de la asignación</t>
        </is>
      </c>
    </row>
    <row r="14">
      <c r="A14" t="inlineStr">
        <is>
          <t>ensayos</t>
        </is>
      </c>
      <c r="B14" t="inlineStr">
        <is>
          <t>relave_pct_masa_total</t>
        </is>
      </c>
      <c r="C14" t="inlineStr">
        <is>
          <t>Relave en masa seca total (WSP 2024 corregido: 13.1/10.7/9.0 % en vez de 22/18/15 % nominal)</t>
        </is>
      </c>
    </row>
    <row r="15">
      <c r="A15" t="inlineStr">
        <is>
          <t>ensayos</t>
        </is>
      </c>
      <c r="B15" t="inlineStr">
        <is>
          <t>e0_adoptado, e0_nota</t>
        </is>
      </c>
      <c r="C15" t="inlineStr">
        <is>
          <t>e0 verificado; corregido cuando el Gs del informe es físicamente incompatible</t>
        </is>
      </c>
    </row>
    <row r="16">
      <c r="A16" t="inlineStr">
        <is>
          <t>ensayos</t>
        </is>
      </c>
      <c r="B16" t="inlineStr">
        <is>
          <t>excluir_envolvente</t>
        </is>
      </c>
      <c r="C16" t="inlineStr">
        <is>
          <t>Motivo para no usar el ensayo en envolventes (duplicado, falla no alcanzada, no es de resistencia)</t>
        </is>
      </c>
    </row>
    <row r="17">
      <c r="A17" t="inlineStr">
        <is>
          <t>ensayos</t>
        </is>
      </c>
      <c r="B17" t="inlineStr">
        <is>
          <t>calidad</t>
        </is>
      </c>
      <c r="C17" t="inlineStr">
        <is>
          <t>A: tabla verificada en imagen; B: leído o digitalizado de gráfico; C: otro</t>
        </is>
      </c>
    </row>
    <row r="18">
      <c r="A18" t="inlineStr">
        <is>
          <t>materiales</t>
        </is>
      </c>
      <c r="B18" t="inlineStr">
        <is>
          <t>—</t>
        </is>
      </c>
      <c r="C18" t="inlineStr">
        <is>
          <t>Una fila por set (material ensayado) con condiciones de campo y laboratorio verificadas</t>
        </is>
      </c>
    </row>
    <row r="19">
      <c r="A19" t="inlineStr">
        <is>
          <t>indices_roca</t>
        </is>
      </c>
      <c r="B19" t="inlineStr">
        <is>
          <t>—</t>
        </is>
      </c>
      <c r="C19" t="inlineStr">
        <is>
          <t>UCS, carga puntual, Los Ángeles, durabilidad, absorción y Gs por litología: Golder 2010 (por fase) y LE2 2025 (por RMU)</t>
        </is>
      </c>
    </row>
    <row r="20">
      <c r="A20" t="inlineStr">
        <is>
          <t>fragmentacion</t>
        </is>
      </c>
      <c r="B20" t="inlineStr">
        <is>
          <t>—</t>
        </is>
      </c>
      <c r="C20" t="inlineStr">
        <is>
          <t>319 análisis de fragmentación por fotos del ROM recién volado (fases 8, 9 y 10)</t>
        </is>
      </c>
    </row>
    <row r="21">
      <c r="A21" t="inlineStr">
        <is>
          <t>litologia_plan</t>
        </is>
      </c>
      <c r="B21" t="inlineStr">
        <is>
          <t>—</t>
        </is>
      </c>
      <c r="C21" t="inlineStr">
        <is>
          <t>Proporción de litologías del desmonte LE2 (modelo de bloques MR2024) por período y fase; códigos pendientes de leyenda</t>
        </is>
      </c>
    </row>
    <row r="22">
      <c r="A22" t="inlineStr">
        <is>
          <t>externos_ovalle2020</t>
        </is>
      </c>
      <c r="B22" t="inlineStr">
        <is>
          <t>—</t>
        </is>
      </c>
      <c r="C22" t="inlineStr">
        <is>
          <t>158 triaxiales de gran escala (Ovalle et al., 2020); no Antamina; posibles duplicados con otras fuentes chilenas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litologia</t>
        </is>
      </c>
      <c r="B1" s="1" t="inlineStr">
        <is>
          <t>clase_desmonte_std</t>
        </is>
      </c>
      <c r="C1" s="1" t="inlineStr">
        <is>
          <t>(0, 300]</t>
        </is>
      </c>
      <c r="D1" s="1" t="inlineStr">
        <is>
          <t>(1000, 1500]</t>
        </is>
      </c>
      <c r="E1" s="1" t="inlineStr">
        <is>
          <t>(1500, 2000]</t>
        </is>
      </c>
      <c r="F1" s="1" t="inlineStr">
        <is>
          <t>(2000, 2500]</t>
        </is>
      </c>
      <c r="G1" s="1" t="inlineStr">
        <is>
          <t>(300, 600]</t>
        </is>
      </c>
      <c r="H1" s="1" t="inlineStr">
        <is>
          <t>(600, 1000]</t>
        </is>
      </c>
      <c r="I1" s="1" t="inlineStr">
        <is>
          <t>nan</t>
        </is>
      </c>
      <c r="J1" s="1" t="inlineStr">
        <is>
          <t>total</t>
        </is>
      </c>
    </row>
    <row r="2">
      <c r="A2" s="1" t="inlineStr">
        <is>
          <t>Hornfels</t>
        </is>
      </c>
      <c r="B2" s="1" t="inlineStr">
        <is>
          <t>Chancado</t>
        </is>
      </c>
      <c r="C2" t="n">
        <v>2</v>
      </c>
      <c r="D2" t="n">
        <v>0</v>
      </c>
      <c r="E2" t="n">
        <v>1</v>
      </c>
      <c r="F2" t="n">
        <v>0</v>
      </c>
      <c r="G2" t="n">
        <v>4</v>
      </c>
      <c r="H2" t="n">
        <v>2</v>
      </c>
      <c r="I2" t="n">
        <v>0</v>
      </c>
      <c r="J2" t="n">
        <v>9</v>
      </c>
    </row>
    <row r="3">
      <c r="A3" s="1" t="n"/>
      <c r="B3" s="1" t="inlineStr">
        <is>
          <t>Enrocado</t>
        </is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3</v>
      </c>
      <c r="I3" t="n">
        <v>0</v>
      </c>
      <c r="J3" t="n">
        <v>8</v>
      </c>
    </row>
    <row r="4">
      <c r="A4" s="1" t="n"/>
      <c r="B4" s="1" t="inlineStr">
        <is>
          <t>ROM</t>
        </is>
      </c>
      <c r="C4" t="n">
        <v>0</v>
      </c>
      <c r="D4" t="n">
        <v>0</v>
      </c>
      <c r="E4" t="n">
        <v>2</v>
      </c>
      <c r="F4" t="n">
        <v>0</v>
      </c>
      <c r="G4" t="n">
        <v>4</v>
      </c>
      <c r="H4" t="n">
        <v>3</v>
      </c>
      <c r="I4" t="n">
        <v>3</v>
      </c>
      <c r="J4" t="n">
        <v>12</v>
      </c>
    </row>
    <row r="5">
      <c r="A5" s="1" t="inlineStr">
        <is>
          <t>Intrusivo</t>
        </is>
      </c>
      <c r="B5" s="1" t="inlineStr">
        <is>
          <t>Chancado</t>
        </is>
      </c>
      <c r="C5" t="n">
        <v>2</v>
      </c>
      <c r="D5" t="n">
        <v>0</v>
      </c>
      <c r="E5" t="n">
        <v>1</v>
      </c>
      <c r="F5" t="n">
        <v>0</v>
      </c>
      <c r="G5" t="n">
        <v>4</v>
      </c>
      <c r="H5" t="n">
        <v>2</v>
      </c>
      <c r="I5" t="n">
        <v>0</v>
      </c>
      <c r="J5" t="n">
        <v>9</v>
      </c>
    </row>
    <row r="6">
      <c r="A6" s="1" t="n"/>
      <c r="B6" s="1" t="inlineStr">
        <is>
          <t>Mezcla co-disposición (desmonte ROM + relave)</t>
        </is>
      </c>
      <c r="C6" t="n">
        <v>0</v>
      </c>
      <c r="D6" t="n">
        <v>0</v>
      </c>
      <c r="E6" t="n">
        <v>5</v>
      </c>
      <c r="F6" t="n">
        <v>0</v>
      </c>
      <c r="G6" t="n">
        <v>5</v>
      </c>
      <c r="H6" t="n">
        <v>5</v>
      </c>
      <c r="I6" t="n">
        <v>0</v>
      </c>
      <c r="J6" t="n">
        <v>15</v>
      </c>
    </row>
    <row r="7">
      <c r="A7" s="1" t="n"/>
      <c r="B7" s="1" t="inlineStr">
        <is>
          <t>ROM</t>
        </is>
      </c>
      <c r="C7" t="n">
        <v>0</v>
      </c>
      <c r="D7" t="n">
        <v>0</v>
      </c>
      <c r="E7" t="n">
        <v>5</v>
      </c>
      <c r="F7" t="n">
        <v>0</v>
      </c>
      <c r="G7" t="n">
        <v>7</v>
      </c>
      <c r="H7" t="n">
        <v>6</v>
      </c>
      <c r="I7" t="n">
        <v>6</v>
      </c>
      <c r="J7" t="n">
        <v>24</v>
      </c>
    </row>
    <row r="8">
      <c r="A8" s="1" t="inlineStr">
        <is>
          <t>Mezcla</t>
        </is>
      </c>
      <c r="B8" s="1" t="inlineStr">
        <is>
          <t>Mezcla co-disposición (desmonte ROM + relave)</t>
        </is>
      </c>
      <c r="C8" t="n">
        <v>9</v>
      </c>
      <c r="D8" t="n">
        <v>9</v>
      </c>
      <c r="E8" t="n">
        <v>0</v>
      </c>
      <c r="F8" t="n">
        <v>0</v>
      </c>
      <c r="G8" t="n">
        <v>9</v>
      </c>
      <c r="H8" t="n">
        <v>0</v>
      </c>
      <c r="I8" t="n">
        <v>0</v>
      </c>
      <c r="J8" t="n">
        <v>27</v>
      </c>
    </row>
    <row r="9">
      <c r="A9" s="1" t="n"/>
      <c r="B9" s="1" t="inlineStr">
        <is>
          <t>ROM</t>
        </is>
      </c>
      <c r="C9" t="n">
        <v>1</v>
      </c>
      <c r="D9" t="n">
        <v>1</v>
      </c>
      <c r="E9" t="n">
        <v>1</v>
      </c>
      <c r="F9" t="n">
        <v>0</v>
      </c>
      <c r="G9" t="n">
        <v>2</v>
      </c>
      <c r="H9" t="n">
        <v>1</v>
      </c>
      <c r="I9" t="n">
        <v>3</v>
      </c>
      <c r="J9" t="n">
        <v>9</v>
      </c>
    </row>
    <row r="10">
      <c r="A10" s="1" t="inlineStr">
        <is>
          <t>Mármol</t>
        </is>
      </c>
      <c r="B10" s="1" t="inlineStr">
        <is>
          <t>Chancado</t>
        </is>
      </c>
      <c r="C10" t="n">
        <v>2</v>
      </c>
      <c r="D10" t="n">
        <v>0</v>
      </c>
      <c r="E10" t="n">
        <v>1</v>
      </c>
      <c r="F10" t="n">
        <v>0</v>
      </c>
      <c r="G10" t="n">
        <v>4</v>
      </c>
      <c r="H10" t="n">
        <v>2</v>
      </c>
      <c r="I10" t="n">
        <v>0</v>
      </c>
      <c r="J10" t="n">
        <v>9</v>
      </c>
    </row>
    <row r="11">
      <c r="A11" s="1" t="n"/>
      <c r="B11" s="1" t="inlineStr">
        <is>
          <t>Enrocado</t>
        </is>
      </c>
      <c r="C11" t="n">
        <v>0</v>
      </c>
      <c r="D11" t="n">
        <v>0</v>
      </c>
      <c r="E11" t="n">
        <v>2</v>
      </c>
      <c r="F11" t="n">
        <v>0</v>
      </c>
      <c r="G11" t="n">
        <v>4</v>
      </c>
      <c r="H11" t="n">
        <v>2</v>
      </c>
      <c r="I11" t="n">
        <v>0</v>
      </c>
      <c r="J11" t="n">
        <v>8</v>
      </c>
    </row>
    <row r="12">
      <c r="A12" s="1" t="n"/>
      <c r="B12" s="1" t="inlineStr">
        <is>
          <t>ROM</t>
        </is>
      </c>
      <c r="C12" t="n">
        <v>0</v>
      </c>
      <c r="D12" t="n">
        <v>0</v>
      </c>
      <c r="E12" t="n">
        <v>2</v>
      </c>
      <c r="F12" t="n">
        <v>0</v>
      </c>
      <c r="G12" t="n">
        <v>2</v>
      </c>
      <c r="H12" t="n">
        <v>2</v>
      </c>
      <c r="I12" t="n">
        <v>3</v>
      </c>
      <c r="J12" t="n">
        <v>9</v>
      </c>
    </row>
    <row r="13">
      <c r="A13" s="1" t="inlineStr">
        <is>
          <t>Skarn</t>
        </is>
      </c>
      <c r="B13" s="1" t="inlineStr">
        <is>
          <t>Chancado</t>
        </is>
      </c>
      <c r="C13" t="n">
        <v>2</v>
      </c>
      <c r="D13" t="n">
        <v>0</v>
      </c>
      <c r="E13" t="n">
        <v>1</v>
      </c>
      <c r="F13" t="n">
        <v>0</v>
      </c>
      <c r="G13" t="n">
        <v>4</v>
      </c>
      <c r="H13" t="n">
        <v>2</v>
      </c>
      <c r="I13" t="n">
        <v>0</v>
      </c>
      <c r="J13" t="n">
        <v>9</v>
      </c>
    </row>
    <row r="14">
      <c r="A14" s="1" t="n"/>
      <c r="B14" s="1" t="inlineStr">
        <is>
          <t>ROM</t>
        </is>
      </c>
      <c r="C14" t="n">
        <v>0</v>
      </c>
      <c r="D14" t="n">
        <v>0</v>
      </c>
      <c r="E14" t="n">
        <v>1</v>
      </c>
      <c r="F14" t="n">
        <v>0</v>
      </c>
      <c r="G14" t="n">
        <v>3</v>
      </c>
      <c r="H14" t="n">
        <v>2</v>
      </c>
      <c r="I14" t="n">
        <v>0</v>
      </c>
      <c r="J14" t="n">
        <v>6</v>
      </c>
    </row>
  </sheetData>
  <mergeCells count="5">
    <mergeCell ref="A8:A9"/>
    <mergeCell ref="A2:A4"/>
    <mergeCell ref="A13:A14"/>
    <mergeCell ref="A10:A12"/>
    <mergeCell ref="A5:A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litologia</t>
        </is>
      </c>
      <c r="B1" s="1" t="inlineStr">
        <is>
          <t>0.6 m</t>
        </is>
      </c>
      <c r="C1" s="1" t="inlineStr">
        <is>
          <t>1.0 m</t>
        </is>
      </c>
      <c r="D1" s="1" t="inlineStr">
        <is>
          <t>6 in (≈150 mm)</t>
        </is>
      </c>
      <c r="E1" s="1" t="inlineStr">
        <is>
          <t>media (240–305 mm)</t>
        </is>
      </c>
      <c r="F1" s="1" t="inlineStr">
        <is>
          <t>pequeña (&lt;120 mm)</t>
        </is>
      </c>
    </row>
    <row r="2">
      <c r="A2" s="1" t="inlineStr">
        <is>
          <t>Hornfels</t>
        </is>
      </c>
      <c r="B2" t="n">
        <v>0</v>
      </c>
      <c r="C2" t="n">
        <v>6</v>
      </c>
      <c r="D2" t="n">
        <v>8</v>
      </c>
      <c r="E2" t="n">
        <v>3</v>
      </c>
      <c r="F2" t="n">
        <v>12</v>
      </c>
    </row>
    <row r="3">
      <c r="A3" s="1" t="inlineStr">
        <is>
          <t>Intrusivo</t>
        </is>
      </c>
      <c r="B3" t="n">
        <v>18</v>
      </c>
      <c r="C3" t="n">
        <v>3</v>
      </c>
      <c r="D3" t="n">
        <v>9</v>
      </c>
      <c r="E3" t="n">
        <v>6</v>
      </c>
      <c r="F3" t="n">
        <v>12</v>
      </c>
    </row>
    <row r="4">
      <c r="A4" s="1" t="inlineStr">
        <is>
          <t>Mezcla</t>
        </is>
      </c>
      <c r="B4" t="n">
        <v>0</v>
      </c>
      <c r="C4" t="n">
        <v>0</v>
      </c>
      <c r="D4" t="n">
        <v>33</v>
      </c>
      <c r="E4" t="n">
        <v>3</v>
      </c>
      <c r="F4" t="n">
        <v>0</v>
      </c>
    </row>
    <row r="5">
      <c r="A5" s="1" t="inlineStr">
        <is>
          <t>Mármol</t>
        </is>
      </c>
      <c r="B5" t="n">
        <v>0</v>
      </c>
      <c r="C5" t="n">
        <v>5</v>
      </c>
      <c r="D5" t="n">
        <v>9</v>
      </c>
      <c r="E5" t="n">
        <v>3</v>
      </c>
      <c r="F5" t="n">
        <v>9</v>
      </c>
    </row>
    <row r="6">
      <c r="A6" s="1" t="inlineStr">
        <is>
          <t>Skarn</t>
        </is>
      </c>
      <c r="B6" t="n">
        <v>0</v>
      </c>
      <c r="C6" t="n">
        <v>0</v>
      </c>
      <c r="D6" t="n">
        <v>3</v>
      </c>
      <c r="E6" t="n">
        <v>0</v>
      </c>
      <c r="F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2026-10-06T20:41:33Z</dcterms:created>
  <dcterms:modified xsi:type="dcterms:W3CDTF">2026-10-06T20:41:34Z</dcterms:modified>
</cp:coreProperties>
</file>